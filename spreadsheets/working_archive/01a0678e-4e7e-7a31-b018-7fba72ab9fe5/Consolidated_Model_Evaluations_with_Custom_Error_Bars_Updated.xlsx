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pivotCache/pivotCacheDefinition1.xml" ContentType="application/vnd.openxmlformats-officedocument.spreadsheetml.pivotCacheDefinition+xml"/>
  <Override PartName="/pivotCache/pivotCacheRecords1.xml" ContentType="application/vnd.openxmlformats-officedocument.spreadsheetml.pivotCacheRecords+xml"/>
  <Override PartName="/pivotCache/pivotCacheDefinition2.xml" ContentType="application/vnd.openxmlformats-officedocument.spreadsheetml.pivotCacheDefinition+xml"/>
  <Override PartName="/pivotCache/pivotCacheRecords2.xml" ContentType="application/vnd.openxmlformats-officedocument.spreadsheetml.pivotCacheRecords+xml"/>
  <Override PartName="/pivotCache/pivotCacheDefinition3.xml" ContentType="application/vnd.openxmlformats-officedocument.spreadsheetml.pivotCacheDefinition+xml"/>
  <Override PartName="/pivotCache/pivotCacheRecords3.xml" ContentType="application/vnd.openxmlformats-officedocument.spreadsheetml.pivotCacheRecord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pivotTables/pivotTable.xml" ContentType="application/vnd.openxmlformats-officedocument.spreadsheetml.pivotTable+xml"/>
  <Override PartName="/xl/pivotTables/pivotTable2.xml" ContentType="application/vnd.openxmlformats-officedocument.spreadsheetml.pivot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pivotTables/pivotTable3.xml" ContentType="application/vnd.openxmlformats-officedocument.spreadsheetml.pivotTable+xml"/>
  <Override PartName="/xl/worksheets/sheet7.xml" ContentType="application/vnd.openxmlformats-officedocument.spreadsheetml.worksheet+xml"/>
  <Override PartName="/xl/tables/table5.xml" ContentType="application/vnd.openxmlformats-officedocument.spreadsheetml.table+xml"/>
  <Override PartName="/xl/pivotTables/pivotTable4.xml" ContentType="application/vnd.openxmlformats-officedocument.spreadsheetml.pivot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drawings/drawing2.xml" ContentType="application/vnd.openxmlformats-officedocument.drawing+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drawings/charts/chart14.xml" ContentType="application/vnd.openxmlformats-officedocument.drawingml.chart+xml"/>
  <Override PartName="/xl/drawings/charts/chart15.xml" ContentType="application/vnd.openxmlformats-officedocument.drawingml.chart+xml"/>
  <Override PartName="/xl/drawings/charts/chart16.xml" ContentType="application/vnd.openxmlformats-officedocument.drawingml.chart+xml"/>
  <Override PartName="/xl/worksheets/sheet11.xml" ContentType="application/vnd.openxmlformats-officedocument.spreadsheetml.worksheet+xml"/>
  <Override PartName="/xl/drawings/drawing3.xml" ContentType="application/vnd.openxmlformats-officedocument.drawing+xml"/>
  <Override PartName="/xl/drawings/charts/chart17.xml" ContentType="application/vnd.openxmlformats-officedocument.drawingml.char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7204e41da2485c" /></Relationships>
</file>

<file path=xl/workbook.xml><?xml version="1.0" encoding="utf-8"?>
<x:workbook xmlns:x="http://schemas.openxmlformats.org/spreadsheetml/2006/main">
  <x:sheets>
    <x:sheet xmlns:r="http://schemas.openxmlformats.org/officeDocument/2006/relationships" name="Results" sheetId="1" r:id="R9afb7f42f4a04ede"/>
    <x:sheet xmlns:r="http://schemas.openxmlformats.org/officeDocument/2006/relationships" name="Read Me" sheetId="2" r:id="R42e6a5038e754fe6"/>
    <x:sheet xmlns:r="http://schemas.openxmlformats.org/officeDocument/2006/relationships" name="VLA-0" sheetId="3" r:id="Rec292c92982e4da2"/>
    <x:sheet xmlns:r="http://schemas.openxmlformats.org/officeDocument/2006/relationships" name="GR00T Vision" sheetId="4" r:id="Rc8183fa1b5c64532"/>
    <x:sheet xmlns:r="http://schemas.openxmlformats.org/officeDocument/2006/relationships" name="GR00T Full" sheetId="5" r:id="R2eaa3d97ee7d4a73"/>
    <x:sheet xmlns:r="http://schemas.openxmlformats.org/officeDocument/2006/relationships" name="MolmoAct2" sheetId="6" r:id="R5a39c36972a94c07"/>
    <x:sheet xmlns:r="http://schemas.openxmlformats.org/officeDocument/2006/relationships" name="Pi0.5" sheetId="7" r:id="R144808c5efe74e90"/>
    <x:sheet xmlns:r="http://schemas.openxmlformats.org/officeDocument/2006/relationships" name="GR00T Action-Only" sheetId="8" r:id="Rbd86cdf6cfa54542"/>
    <x:sheet xmlns:r="http://schemas.openxmlformats.org/officeDocument/2006/relationships" name="Analysis Data" sheetId="9" r:id="R4320b20407e84510"/>
    <x:sheet xmlns:r="http://schemas.openxmlformats.org/officeDocument/2006/relationships" name="Task Charts" sheetId="10" r:id="Ra35b513b2e8944d7"/>
    <x:sheet xmlns:r="http://schemas.openxmlformats.org/officeDocument/2006/relationships" name="Overall Charts" sheetId="15" r:id="R9d25751095dc4b8f"/>
    <x:sheet xmlns:r="http://schemas.openxmlformats.org/officeDocument/2006/relationships" name="Counterfactuals" sheetId="16" r:id="Rf08c11c140bc48c5"/>
  </x:sheets>
  <x:definedNames>
    <x:definedName name="Overall_Conditions">{"Concept/compositional transfer","In-distribution concept baseline","Matched manipulation control"}</x:definedName>
    <x:definedName name="Overall_GR">{0.4433333333,0.675,0.8166666667}</x:definedName>
    <x:definedName name="Overall_GR_Test">{0.4433333333,0.675,0.8166666667}</x:definedName>
    <x:definedName name="Overall_Molmo">{0.52,0.725,0.8916666667}</x:definedName>
    <x:definedName name="Overall_Pi">{0.4066666667,0.6833333333,0.8333333333}</x:definedName>
    <x:definedName name="Overall_Zero">{0,0,0}</x:definedName>
  </x:definedNames>
  <x:pivotCaches>
    <x:pivotCache xmlns:r="http://schemas.openxmlformats.org/officeDocument/2006/relationships" cacheId="24" r:id="R121eac34c1a046bb"/>
    <x:pivotCache xmlns:r="http://schemas.openxmlformats.org/officeDocument/2006/relationships" cacheId="45" r:id="R27f66ead60a54e68"/>
    <x:pivotCache xmlns:r="http://schemas.openxmlformats.org/officeDocument/2006/relationships" cacheId="50" r:id="R23827859e3a341a5"/>
  </x:pivotCaches>
</x:workbook>
</file>

<file path=xl/sharedStrings.xml><?xml version="1.0" encoding="utf-8"?>
<x:sst xmlns:x="http://schemas.openxmlformats.org/spreadsheetml/2006/main">
  <x:si>
    <x:t xml:space="preserve">CONSOLIDATED ROBOT EVALUATION RESULTS</x:t>
  </x:si>
  <x:si>
    <x:t xml:space="preserve">Success rates use scored evaluations only. Confidence intervals are two-sided Wilson 95% intervals (z = 1.96).</x:t>
  </x:si>
  <x:si>
    <x:t xml:space="preserve">VLA-0</x:t>
  </x:si>
  <x:si>
    <x:t xml:space="preserve">MolmoAct2</x:t>
  </x:si>
  <x:si>
    <x:t xml:space="preserve">Pi0.5</x:t>
  </x:si>
  <x:si>
    <x:t xml:space="preserve">Model</x:t>
  </x:si>
  <x:si>
    <x:t xml:space="preserve">Success</x:t>
  </x:si>
  <x:si>
    <x:t xml:space="preserve">Scored</x:t>
  </x:si>
  <x:si>
    <x:t xml:space="preserve">Rate</x:t>
  </x:si>
  <x:si>
    <x:t xml:space="preserve">CI Lower</x:t>
  </x:si>
  <x:si>
    <x:t xml:space="preserve">CI Upper</x:t>
  </x:si>
  <x:si>
    <x:t xml:space="preserve">Wilson 95% CI</x:t>
  </x:si>
  <x:si>
    <x:t xml:space="preserve">Task</x:t>
  </x:si>
  <x:si>
    <x:t xml:space="preserve">State Recognition</x:t>
  </x:si>
  <x:si>
    <x:t xml:space="preserve">Counting</x:t>
  </x:si>
  <x:si>
    <x:t xml:space="preserve">Ordinal Reference Ordering</x:t>
  </x:si>
  <x:si>
    <x:t xml:space="preserve">Relational Placement</x:t>
  </x:si>
  <x:si>
    <x:t xml:space="preserve">Referential Disambiguation</x:t>
  </x:si>
  <x:si>
    <x:t xml:space="preserve">Size Recognition</x:t>
  </x:si>
  <x:si>
    <x:t xml:space="preserve">CI matrix cells show: success rate [Wilson 95% lower bound – upper bound]. Exact success and scored counts are retained in Analysis Data.</x:t>
  </x:si>
  <x:si>
    <x:t xml:space="preserve">CONSOLIDATED EVALUATION WORKBOOK — GUIDE</x:t>
  </x:si>
  <x:si>
    <x:t xml:space="preserve">INCLUSION AND NORMALIZATION RULES</x:t>
  </x:si>
  <x:si>
    <x:t xml:space="preserve">Scored rows</x:t>
  </x:si>
  <x:si>
    <x:t xml:space="preserve">Only Success and Failure rows are included; Not collected and blank artifacts are excluded.</x:t>
  </x:si>
  <x:si>
    <x:t xml:space="preserve">The 20 Goal already satisfied / no movement rows are excluded, leaving 130 planned rows for complete models.</x:t>
  </x:si>
  <x:si>
    <x:t xml:space="preserve">Task metadata</x:t>
  </x:si>
  <x:si>
    <x:t xml:space="preserve">Prompt, scene, condition, and design fields come from each workbook's Evaluation Plan; model sheets contribute Status and Observations.</x:t>
  </x:si>
  <x:si>
    <x:t xml:space="preserve">Scene Setup</x:t>
  </x:si>
  <x:si>
    <x:t xml:space="preserve">Ordinal setup</x:t>
  </x:si>
  <x:si>
    <x:t xml:space="preserve">Relational setup</x:t>
  </x:si>
  <x:si>
    <x:t xml:space="preserve">MODEL SHEETS</x:t>
  </x:si>
  <x:si>
    <x:t xml:space="preserve">Worksheet</x:t>
  </x:si>
  <x:si>
    <x:t xml:space="preserve">Scored evaluations</x:t>
  </x:si>
  <x:si>
    <x:t xml:space="preserve">Tasks represented</x:t>
  </x:si>
  <x:si>
    <x:t xml:space="preserve">GR00T Full</x:t>
  </x:si>
  <x:si>
    <x:t xml:space="preserve">GR00T-N1.7 (action only, 1 epoch)</x:t>
  </x:si>
  <x:si>
    <x:t xml:space="preserve">GR00T Action-Only</x:t>
  </x:si>
  <x:si>
    <x:t xml:space="preserve">RESULTS AND CONFIDENCE INTERVALS</x:t>
  </x:si>
  <x:si>
    <x:t xml:space="preserve">Success rate</x:t>
  </x:si>
  <x:si>
    <x:t xml:space="preserve">Success ÷ (Success + Failure). Because model sheets contain scored rows only, every consolidated row contributes to the denominator for its condition.</x:t>
  </x:si>
  <x:si>
    <x:t xml:space="preserve">In-distribution</x:t>
  </x:si>
  <x:si>
    <x:t xml:space="preserve">Condition = In-distribution concept baseline.</x:t>
  </x:si>
  <x:si>
    <x:t xml:space="preserve">Concept transfer</x:t>
  </x:si>
  <x:si>
    <x:t xml:space="preserve">Condition = Concept/compositional transfer.</x:t>
  </x:si>
  <x:si>
    <x:t xml:space="preserve">Confidence interval</x:t>
  </x:si>
  <x:si>
    <x:t xml:space="preserve">Two-sided Wilson score interval at 95% confidence using z = 1.96. Exact lower and upper bounds are available in Results and Analysis Data.</x:t>
  </x:si>
  <x:si>
    <x:t xml:space="preserve">RESOLVED SOURCE DISCREPANCIES</x:t>
  </x:si>
  <x:si>
    <x:t xml:space="preserve">Mislabeled Status headers</x:t>
  </x:si>
  <x:si>
    <x:t xml:space="preserve">MolmoAct2 Counting used pi; vision-only Referential Disambiguation used Column 1. Both are normalized to Status.</x:t>
  </x:si>
  <x:si>
    <x:t xml:space="preserve">Reference Episode drift</x:t>
  </x:si>
  <x:si>
    <x:t xml:space="preserve">Several copied result sheets disagreed with their Evaluation Plan. The Evaluation Plan value is used consistently.</x:t>
  </x:si>
  <x:si>
    <x:t xml:space="preserve">Relational Molmo setup</x:t>
  </x:si>
  <x:si>
    <x:t xml:space="preserve">Eighteen result rows contained Full table in the setup field; the Evaluation Plan restores the task definition before object-only simplification.</x:t>
  </x:si>
  <x:si>
    <x:t xml:space="preserve">Status</x:t>
  </x:si>
  <x:si>
    <x:t xml:space="preserve">Episode</x:t>
  </x:si>
  <x:si>
    <x:t xml:space="preserve">Prompt</x:t>
  </x:si>
  <x:si>
    <x:t xml:space="preserve">Expected Target / Action</x:t>
  </x:si>
  <x:si>
    <x:t xml:space="preserve">Observations</x:t>
  </x:si>
  <x:si>
    <x:t xml:space="preserve">Condition</x:t>
  </x:si>
  <x:si>
    <x:t xml:space="preserve">Scene Family</x:t>
  </x:si>
  <x:si>
    <x:t xml:space="preserve">Comparison / Subtype</x:t>
  </x:si>
  <x:si>
    <x:t xml:space="preserve">Reference Episode</x:t>
  </x:si>
  <x:si>
    <x:t xml:space="preserve">Original Training Episode(s)</x:t>
  </x:si>
  <x:si>
    <x:t xml:space="preserve">Manifest Alignment</x:t>
  </x:si>
  <x:si>
    <x:t xml:space="preserve">Collection Block</x:t>
  </x:si>
  <x:si>
    <x:t xml:space="preserve">Setup Change from Previous</x:t>
  </x:si>
  <x:si>
    <x:t xml:space="preserve">Design Note</x:t>
  </x:si>
  <x:si>
    <x:t xml:space="preserve">Reference Media Filename</x:t>
  </x:si>
  <x:si>
    <x:t xml:space="preserve">Object Count</x:t>
  </x:si>
  <x:si>
    <x:t xml:space="preserve">Valid Candidate Count</x:t>
  </x:si>
  <x:si>
    <x:t xml:space="preserve">Bowl Start</x:t>
  </x:si>
  <x:si>
    <x:t xml:space="preserve">Queried State</x:t>
  </x:si>
  <x:si>
    <x:t xml:space="preserve">Queried Category</x:t>
  </x:si>
  <x:si>
    <x:t xml:space="preserve">Contrast Pair</x:t>
  </x:si>
  <x:si>
    <x:t xml:space="preserve">Initial Bowl Count</x:t>
  </x:si>
  <x:si>
    <x:t xml:space="preserve">Goal Count</x:t>
  </x:si>
  <x:si>
    <x:t xml:space="preserve">Action Direction</x:t>
  </x:si>
  <x:si>
    <x:t xml:space="preserve">Target Position</x:t>
  </x:si>
  <x:si>
    <x:t xml:space="preserve">Query Concept</x:t>
  </x:si>
  <x:si>
    <x:t xml:space="preserve">Relation</x:t>
  </x:si>
  <x:si>
    <x:t xml:space="preserve">Target Object</x:t>
  </x:si>
  <x:si>
    <x:t xml:space="preserve">Reference Object</x:t>
  </x:si>
  <x:si>
    <x:t xml:space="preserve">Juggling Ball Role</x:t>
  </x:si>
  <x:si>
    <x:t xml:space="preserve">Candidate Category</x:t>
  </x:si>
  <x:si>
    <x:t xml:space="preserve">Target Side</x:t>
  </x:si>
  <x:si>
    <x:t xml:space="preserve">Separation (cm)</x:t>
  </x:si>
  <x:si>
    <x:t xml:space="preserve">Tested Cell / Role</x:t>
  </x:si>
  <x:si>
    <x:t xml:space="preserve">Source Workbook</x:t>
  </x:si>
  <x:si>
    <x:t xml:space="preserve">Source Result Sheet</x:t>
  </x:si>
  <x:si>
    <x:t xml:space="preserve">Source Result Row</x:t>
  </x:si>
  <x:si>
    <x:t xml:space="preserve">Source Plan Row</x:t>
  </x:si>
  <x:si>
    <x:t xml:space="preserve">Failure</x:t>
  </x:si>
  <x:si>
    <x:t xml:space="preserve">Put the open white cup in the bowl.</x:t>
  </x:si>
  <x:si>
    <x:t xml:space="preserve">white cup A (O, RU); white cup B (C, RU); glass spice container A (O, RU); yellow-white striped cup B (O, RU)</x:t>
  </x:si>
  <x:si>
    <x:t xml:space="preserve">white cup A</x:t>
  </x:si>
  <x:si>
    <x:t xml:space="preserve">went for striped cup and knocked it over</x:t>
  </x:si>
  <x:si>
    <x:t xml:space="preserve">In-distribution concept baseline</x:t>
  </x:si>
  <x:si>
    <x:t xml:space="preserve">SR-ID01</x:t>
  </x:si>
  <x:si>
    <x:t xml:space="preserve">Exact training-supported state-object baseline</x:t>
  </x:si>
  <x:si>
    <x:t xml:space="preserve">2</x:t>
  </x:si>
  <x:si>
    <x:t xml:space="preserve">Exact manifest episode: trained state-object cell, prompt, same-category candidate structure, and object membership match; physical layout is manually recreated. All objects are upright, matching the context of every explicit open/closed training demonstration.</x:t>
  </x:si>
  <x:si>
    <x:t xml:space="preserve">Recreate the listed manifest scene with the bowl empty.</x:t>
  </x:si>
  <x:si>
    <x:t xml:space="preserve">The queried state-object combination and same-category discrimination structure are explicitly represented in training. The orthogonal orientation axis is fixed: every object is RU.</x:t>
  </x:si>
  <x:si>
    <x:t xml:space="preserve">Empty</x:t>
  </x:si>
  <x:si>
    <x:t xml:space="preserve">O</x:t>
  </x:si>
  <x:si>
    <x:t xml:space="preserve">white cup</x:t>
  </x:si>
  <x:si>
    <x:t xml:space="preserve">Eval_State_Recognition.xlsm</x:t>
  </x:si>
  <x:si>
    <x:t xml:space="preserve">VLA0 Results</x:t>
  </x:si>
  <x:si>
    <x:t xml:space="preserve">Put the upright white cup in the bowl.</x:t>
  </x:si>
  <x:si>
    <x:t xml:space="preserve">white cup A (O, RU); white cup B (O, UD)</x:t>
  </x:si>
  <x:si>
    <x:t xml:space="preserve">went for upside-down white cup and didn't even grip it</x:t>
  </x:si>
  <x:si>
    <x:t xml:space="preserve">SR-ID02</x:t>
  </x:si>
  <x:si>
    <x:t xml:space="preserve">26</x:t>
  </x:si>
  <x:si>
    <x:t xml:space="preserve">Exact manifest episode: trained state-object cell, prompt, same-category candidate structure, and object membership match; physical layout is manually recreated.</x:t>
  </x:si>
  <x:si>
    <x:t xml:space="preserve">The queried state-object combination and same-category discrimination structure are explicitly represented in training. The same-category candidates share the orthogonal C/O state (O).</x:t>
  </x:si>
  <x:si>
    <x:t xml:space="preserve">RU</x:t>
  </x:si>
  <x:si>
    <x:t xml:space="preserve">Move the closed yellow-white striped cup into the bowl.</x:t>
  </x:si>
  <x:si>
    <x:t xml:space="preserve">yellow-white striped cup B (C, RU); yellow-white striped cup A (O, RU); white cup A (C, RU)</x:t>
  </x:si>
  <x:si>
    <x:t xml:space="preserve">yellow-white striped cup B</x:t>
  </x:si>
  <x:si>
    <x:t xml:space="preserve">correctly went for the closed striped cup but then drift to grabbing empty space between the striped cup and white cup. Also started moving to the left of the workspace, pushing the white cup.</x:t>
  </x:si>
  <x:si>
    <x:t xml:space="preserve">SR-ID03</x:t>
  </x:si>
  <x:si>
    <x:t xml:space="preserve">51</x:t>
  </x:si>
  <x:si>
    <x:t xml:space="preserve">C</x:t>
  </x:si>
  <x:si>
    <x:t xml:space="preserve">yellow-white striped cup</x:t>
  </x:si>
  <x:si>
    <x:t xml:space="preserve">Move the upside-down yellow-white striped cup into the bowl.</x:t>
  </x:si>
  <x:si>
    <x:t xml:space="preserve">yellow-white striped cup B (O, UD); yellow-white striped cup A (O, RU); brown cup B (C, RU); glass spice container A (O, RU)</x:t>
  </x:si>
  <x:si>
    <x:t xml:space="preserve">went for the brown cup and then kind of was moving in between the brown cup and upright striped cup</x:t>
  </x:si>
  <x:si>
    <x:t xml:space="preserve">SR-ID04</x:t>
  </x:si>
  <x:si>
    <x:t xml:space="preserve">78</x:t>
  </x:si>
  <x:si>
    <x:t xml:space="preserve">UD</x:t>
  </x:si>
  <x:si>
    <x:t xml:space="preserve">Put the open brown cup in the bowl.</x:t>
  </x:si>
  <x:si>
    <x:t xml:space="preserve">brown cup B (O, RU); brown cup A (C, RU); glass spice container A (O, RU)</x:t>
  </x:si>
  <x:si>
    <x:t xml:space="preserve">brown cup B</x:t>
  </x:si>
  <x:si>
    <x:t xml:space="preserve">went for open glass container. had it between grippers, but didn't close the grippers</x:t>
  </x:si>
  <x:si>
    <x:t xml:space="preserve">SR-ID05</x:t>
  </x:si>
  <x:si>
    <x:t xml:space="preserve">104</x:t>
  </x:si>
  <x:si>
    <x:t xml:space="preserve">brown cup</x:t>
  </x:si>
  <x:si>
    <x:t xml:space="preserve">Put the upside-down brown cup in the bowl.</x:t>
  </x:si>
  <x:si>
    <x:t xml:space="preserve">brown cup A (O, UD); brown cup B (O, RU)</x:t>
  </x:si>
  <x:si>
    <x:t xml:space="preserve">brown cup A</x:t>
  </x:si>
  <x:si>
    <x:t xml:space="preserve">SR-ID06</x:t>
  </x:si>
  <x:si>
    <x:t xml:space="preserve">125</x:t>
  </x:si>
  <x:si>
    <x:t xml:space="preserve">Put the upright brown cup in the bowl.</x:t>
  </x:si>
  <x:si>
    <x:t xml:space="preserve">brown cup B (C, RU); brown cup A (C, UD)</x:t>
  </x:si>
  <x:si>
    <x:t xml:space="preserve">grasped thin air</x:t>
  </x:si>
  <x:si>
    <x:t xml:space="preserve">SR-ID07</x:t>
  </x:si>
  <x:si>
    <x:t xml:space="preserve">134</x:t>
  </x:si>
  <x:si>
    <x:t xml:space="preserve">The queried state-object combination and same-category discrimination structure are explicitly represented in training. The same-category candidates share the orthogonal C/O state (C).</x:t>
  </x:si>
  <x:si>
    <x:t xml:space="preserve">Place the closed glass spice container in the bowl.</x:t>
  </x:si>
  <x:si>
    <x:t xml:space="preserve">glass spice container A (C, RU); glass spice container B (O, RU); yellow-white striped cup A (C, RU)</x:t>
  </x:si>
  <x:si>
    <x:t xml:space="preserve">glass spice container A</x:t>
  </x:si>
  <x:si>
    <x:t xml:space="preserve">was facing closed spice container, but didn't do anything; kind of froze</x:t>
  </x:si>
  <x:si>
    <x:t xml:space="preserve">SR-ID08</x:t>
  </x:si>
  <x:si>
    <x:t xml:space="preserve">151</x:t>
  </x:si>
  <x:si>
    <x:t xml:space="preserve">glass spice container</x:t>
  </x:si>
  <x:si>
    <x:t xml:space="preserve">Move the open glass spice container into the bowl.</x:t>
  </x:si>
  <x:si>
    <x:t xml:space="preserve">glass spice container B (O, RU); glass spice container A (C, RU); white cup B (O, RU)</x:t>
  </x:si>
  <x:si>
    <x:t xml:space="preserve">glass spice container B</x:t>
  </x:si>
  <x:si>
    <x:t xml:space="preserve">didn't move</x:t>
  </x:si>
  <x:si>
    <x:t xml:space="preserve">SR-ID09</x:t>
  </x:si>
  <x:si>
    <x:t xml:space="preserve">156</x:t>
  </x:si>
  <x:si>
    <x:t xml:space="preserve">Put the upside-down glass spice container in the bowl.</x:t>
  </x:si>
  <x:si>
    <x:t xml:space="preserve">glass spice container B (C, UD); glass spice container A (C, RU)</x:t>
  </x:si>
  <x:si>
    <x:t xml:space="preserve">went for upright glass spice container, but didn't grip it; was reaching around the right side of the container</x:t>
  </x:si>
  <x:si>
    <x:t xml:space="preserve">SR-ID10</x:t>
  </x:si>
  <x:si>
    <x:t xml:space="preserve">176</x:t>
  </x:si>
  <x:si>
    <x:t xml:space="preserve">Leave exactly one object in the bowl.</x:t>
  </x:si>
  <x:si>
    <x:t xml:space="preserve">Bowl objects: [none] | Table objects: [blue pen, yellow block, green pencil sharpener]</x:t>
  </x:si>
  <x:si>
    <x:t xml:space="preserve">ADD any one table object; finish with 1 object in the bowl</x:t>
  </x:si>
  <x:si>
    <x:t xml:space="preserve">ID-F01</x:t>
  </x:si>
  <x:si>
    <x:t xml:space="preserve">In-distribution: one via trained 0→1 addition</x:t>
  </x:si>
  <x:si>
    <x:t xml:space="preserve">801</x:t>
  </x:si>
  <x:si>
    <x:t xml:space="preserve">Exact trained cell: prompt, count transition, and scene-object membership match; physical layout is not copied exactly.</x:t>
  </x:si>
  <x:si>
    <x:t xml:space="preserve">Recreate the listed bowl/table membership from training episode 801.</x:t>
  </x:si>
  <x:si>
    <x:t xml:space="preserve">Exact trained count transition and scene-object membership. Any object that reaches the requested final count is acceptable.</x:t>
  </x:si>
  <x:si>
    <x:t xml:space="preserve">ADD</x:t>
  </x:si>
  <x:si>
    <x:t xml:space="preserve">Eval_Counting.xlsm</x:t>
  </x:si>
  <x:si>
    <x:t xml:space="preserve">Adjust the bowl so that it contains two objects.</x:t>
  </x:si>
  <x:si>
    <x:t xml:space="preserve">Bowl objects: [yellow block] | Table objects: [blue pen, green pencil sharpener]</x:t>
  </x:si>
  <x:si>
    <x:t xml:space="preserve">ADD any one table object; finish with 2 objects in the bowl</x:t>
  </x:si>
  <x:si>
    <x:t xml:space="preserve">tried to pick the blue pen, but didn't even open the gripper</x:t>
  </x:si>
  <x:si>
    <x:t xml:space="preserve">In-distribution: two via trained 1→2 addition</x:t>
  </x:si>
  <x:si>
    <x:t xml:space="preserve">809</x:t>
  </x:si>
  <x:si>
    <x:t xml:space="preserve">Recreate the listed bowl/table membership from training episode 809.</x:t>
  </x:si>
  <x:si>
    <x:t xml:space="preserve">Leave exactly three objects in the bowl.</x:t>
  </x:si>
  <x:si>
    <x:t xml:space="preserve">Bowl objects: [blue pen, yellow block, green pencil sharpener, airplane toy without propellers] | Table objects: [none]</x:t>
  </x:si>
  <x:si>
    <x:t xml:space="preserve">REMOVE any one bowl object; finish with 3 objects in the bowl</x:t>
  </x:si>
  <x:si>
    <x:t xml:space="preserve">started gripping in middle of workspace like it's going for a soda can or cup</x:t>
  </x:si>
  <x:si>
    <x:t xml:space="preserve">In-distribution: three via trained 4→3 removal</x:t>
  </x:si>
  <x:si>
    <x:t xml:space="preserve">843</x:t>
  </x:si>
  <x:si>
    <x:t xml:space="preserve">Recreate the listed bowl/table membership from training episode 843.</x:t>
  </x:si>
  <x:si>
    <x:t xml:space="preserve">REMOVE</x:t>
  </x:si>
  <x:si>
    <x:t xml:space="preserve">Adjust the bowl so that it contains zero objects.</x:t>
  </x:si>
  <x:si>
    <x:t xml:space="preserve">Bowl objects: [blue pen] | Table objects: [green pencil sharpener, airplane toy without propellers]</x:t>
  </x:si>
  <x:si>
    <x:t xml:space="preserve">REMOVE the only bowl object; finish with 0 objects in the bowl</x:t>
  </x:si>
  <x:si>
    <x:t xml:space="preserve">In-distribution: zero via trained 1→0 removal</x:t>
  </x:si>
  <x:si>
    <x:t xml:space="preserve">826</x:t>
  </x:si>
  <x:si>
    <x:t xml:space="preserve">Recreate the listed bowl/table membership from training episode 826.</x:t>
  </x:si>
  <x:si>
    <x:t xml:space="preserve">Bowl objects: [none] | Table objects: [yellow block, blue pen]</x:t>
  </x:si>
  <x:si>
    <x:t xml:space="preserve">went to middle of workspace and couldn't grab anything</x:t>
  </x:si>
  <x:si>
    <x:t xml:space="preserve">ID-F02</x:t>
  </x:si>
  <x:si>
    <x:t xml:space="preserve">852</x:t>
  </x:si>
  <x:si>
    <x:t xml:space="preserve">Recreate the listed bowl/table membership from training episode 852.</x:t>
  </x:si>
  <x:si>
    <x:t xml:space="preserve">Bowl objects: [green pencil sharpener] | Table objects: [yellow block, airplane toy without propellers]</x:t>
  </x:si>
  <x:si>
    <x:t xml:space="preserve">went to the yellow block, but couldn't grab it</x:t>
  </x:si>
  <x:si>
    <x:t xml:space="preserve">859</x:t>
  </x:si>
  <x:si>
    <x:t xml:space="preserve">Recreate the listed bowl/table membership from training episode 859.</x:t>
  </x:si>
  <x:si>
    <x:t xml:space="preserve">Bowl objects: [yellow block, green pencil sharpener, airplane toy without propellers, blue pen] | Table objects: [none]</x:t>
  </x:si>
  <x:si>
    <x:t xml:space="preserve">Went to bowl but couldn't grab anything</x:t>
  </x:si>
  <x:si>
    <x:t xml:space="preserve">893</x:t>
  </x:si>
  <x:si>
    <x:t xml:space="preserve">Recreate the listed bowl/table membership from training episode 893.</x:t>
  </x:si>
  <x:si>
    <x:t xml:space="preserve">Bowl objects: [yellow block] | Table objects: [blue pen]</x:t>
  </x:si>
  <x:si>
    <x:t xml:space="preserve">878</x:t>
  </x:si>
  <x:si>
    <x:t xml:space="preserve">Recreate the listed bowl/table membership from training episode 878.</x:t>
  </x:si>
  <x:si>
    <x:t xml:space="preserve">Bowl objects: [none] | Table objects: [green pencil sharpener, yellow block]</x:t>
  </x:si>
  <x:si>
    <x:t xml:space="preserve">went towards the yellow block which is on the right side of workspace but didn't grab it</x:t>
  </x:si>
  <x:si>
    <x:t xml:space="preserve">ID-F03</x:t>
  </x:si>
  <x:si>
    <x:t xml:space="preserve">902</x:t>
  </x:si>
  <x:si>
    <x:t xml:space="preserve">Recreate the listed bowl/table membership from training episode 902.</x:t>
  </x:si>
  <x:si>
    <x:t xml:space="preserve">went to airplane toy but couldn't grab it</x:t>
  </x:si>
  <x:si>
    <x:t xml:space="preserve">909</x:t>
  </x:si>
  <x:si>
    <x:t xml:space="preserve">Recreate the listed bowl/table membership from training episode 909.</x:t>
  </x:si>
  <x:si>
    <x:t xml:space="preserve">Put the second object from the right in the bowl.</x:t>
  </x:si>
  <x:si>
    <x:t xml:space="preserve">L1: blue tape ball, L2: airplane toy with propellers</x:t>
  </x:si>
  <x:si>
    <x:t xml:space="preserve">blue tape ball</x:t>
  </x:si>
  <x:si>
    <x:t xml:space="preserve">just jittered around the home position</x:t>
  </x:si>
  <x:si>
    <x:t xml:space="preserve">ID-EXACT01</x:t>
  </x:si>
  <x:si>
    <x:t xml:space="preserve">Exact training recreation — source episode 658</x:t>
  </x:si>
  <x:si>
    <x:t xml:space="preserve">1 — In-distribution baselines</x:t>
  </x:si>
  <x:si>
    <x:t xml:space="preserve">Independently recreate the prompt and ordered object list from training episode 658; do not reuse the preceding baseline scene.</x:t>
  </x:si>
  <x:si>
    <x:t xml:space="preserve">Exact final prompt and complete left-to-right object order from explicit training episode 658: blue tape ball | airplane toy with propellers.</x:t>
  </x:si>
  <x:si>
    <x:t xml:space="preserve">None — independent exact training recreation</x:t>
  </x:si>
  <x:si>
    <x:t xml:space="preserve">L1</x:t>
  </x:si>
  <x:si>
    <x:t xml:space="preserve">second from right</x:t>
  </x:si>
  <x:si>
    <x:t xml:space="preserve">Eval_Ordinal_Reference_Ordering.xlsm</x:t>
  </x:si>
  <x:si>
    <x:t xml:space="preserve">VLA0</x:t>
  </x:si>
  <x:si>
    <x:t xml:space="preserve">Put the second object from the left in the bowl.</x:t>
  </x:si>
  <x:si>
    <x:t xml:space="preserve">airplane toy with propellers</x:t>
  </x:si>
  <x:si>
    <x:t xml:space="preserve">went to airplane toy but didn't pick it up</x:t>
  </x:si>
  <x:si>
    <x:t xml:space="preserve">ID-EXACT02</x:t>
  </x:si>
  <x:si>
    <x:t xml:space="preserve">Exact training recreation — source episode 619</x:t>
  </x:si>
  <x:si>
    <x:t xml:space="preserve">Independently recreate the prompt and ordered object list from training episode 619; do not reuse the preceding baseline scene.</x:t>
  </x:si>
  <x:si>
    <x:t xml:space="preserve">Exact final prompt and complete left-to-right object order from explicit training episode 619: blue tape ball | airplane toy with propellers.</x:t>
  </x:si>
  <x:si>
    <x:t xml:space="preserve">L2</x:t>
  </x:si>
  <x:si>
    <x:t xml:space="preserve">second from left</x:t>
  </x:si>
  <x:si>
    <x:t xml:space="preserve">Move the second item counted from the left into the bowl.</x:t>
  </x:si>
  <x:si>
    <x:t xml:space="preserve">L1: airplane toy with propellers, L2: green highlighter</x:t>
  </x:si>
  <x:si>
    <x:t xml:space="preserve">green highlighter</x:t>
  </x:si>
  <x:si>
    <x:t xml:space="preserve">ID-EXACT03</x:t>
  </x:si>
  <x:si>
    <x:t xml:space="preserve">Exact training recreation — source episode 719</x:t>
  </x:si>
  <x:si>
    <x:t xml:space="preserve">Independently recreate the prompt and ordered object list from training episode 719; do not reuse the preceding baseline scene.</x:t>
  </x:si>
  <x:si>
    <x:t xml:space="preserve">Exact final prompt and complete left-to-right object order from explicit training episode 719: airplane toy with propellers | green highlighter.</x:t>
  </x:si>
  <x:si>
    <x:t xml:space="preserve">Move the second item counted from the right into the bowl.</x:t>
  </x:si>
  <x:si>
    <x:t xml:space="preserve">L1: yellow pen, L2: airplane toy with propellers</x:t>
  </x:si>
  <x:si>
    <x:t xml:space="preserve">yellow pen</x:t>
  </x:si>
  <x:si>
    <x:t xml:space="preserve">moved to middle of the workspace again</x:t>
  </x:si>
  <x:si>
    <x:t xml:space="preserve">ID-EXACT04</x:t>
  </x:si>
  <x:si>
    <x:t xml:space="preserve">Exact training recreation — source episode 758</x:t>
  </x:si>
  <x:si>
    <x:t xml:space="preserve">Independently recreate the prompt and ordered object list from training episode 758; do not reuse the preceding baseline scene.</x:t>
  </x:si>
  <x:si>
    <x:t xml:space="preserve">Exact final prompt and complete left-to-right object order from explicit training episode 758: yellow pen | airplane toy with propellers.</x:t>
  </x:si>
  <x:si>
    <x:t xml:space="preserve">Put the third object from the right in the bowl.</x:t>
  </x:si>
  <x:si>
    <x:t xml:space="preserve">L1: airplane toy with propellers, L2: yellow pen, L3: blue tape ball</x:t>
  </x:si>
  <x:si>
    <x:t xml:space="preserve">went for yellow pen but didn't grasp it. seems to just be moving the arm to the middle of the workspace</x:t>
  </x:si>
  <x:si>
    <x:t xml:space="preserve">ID-EXACT05</x:t>
  </x:si>
  <x:si>
    <x:t xml:space="preserve">Exact training recreation — source episode 604</x:t>
  </x:si>
  <x:si>
    <x:t xml:space="preserve">Independently recreate the prompt and ordered object list from training episode 604; do not reuse the preceding baseline scene.</x:t>
  </x:si>
  <x:si>
    <x:t xml:space="preserve">Exact final prompt and complete left-to-right object order from explicit training episode 604: airplane toy with propellers | yellow pen | blue tape ball.</x:t>
  </x:si>
  <x:si>
    <x:t xml:space="preserve">third from right</x:t>
  </x:si>
  <x:si>
    <x:t xml:space="preserve">Put the object that is first from the right in the bowl.</x:t>
  </x:si>
  <x:si>
    <x:t xml:space="preserve">L1: airplane toy with propellers, L2: green highlighter, L3: blue tape ball</x:t>
  </x:si>
  <x:si>
    <x:t xml:space="preserve">went for blue tape ball which actually wasn't in center of workspace; the green pen was in the center. couldn't pick up the tape ball</x:t>
  </x:si>
  <x:si>
    <x:t xml:space="preserve">ID-EXACT06</x:t>
  </x:si>
  <x:si>
    <x:t xml:space="preserve">Exact training recreation — source episode 679</x:t>
  </x:si>
  <x:si>
    <x:t xml:space="preserve">Independently recreate the prompt and ordered object list from training episode 679; do not reuse the preceding baseline scene.</x:t>
  </x:si>
  <x:si>
    <x:t xml:space="preserve">Exact final prompt and complete left-to-right object order from explicit training episode 679: airplane toy with propellers | green highlighter | blue tape ball.</x:t>
  </x:si>
  <x:si>
    <x:t xml:space="preserve">L3</x:t>
  </x:si>
  <x:si>
    <x:t xml:space="preserve">first from right</x:t>
  </x:si>
  <x:si>
    <x:t xml:space="preserve">Put the object that is third from the left in the bowl.</x:t>
  </x:si>
  <x:si>
    <x:t xml:space="preserve">L1: green highlighter, L2: blue tape ball, L3: yellow pen</x:t>
  </x:si>
  <x:si>
    <x:t xml:space="preserve">went to green highlighter but didn't pick it up</x:t>
  </x:si>
  <x:si>
    <x:t xml:space="preserve">ID-EXACT07</x:t>
  </x:si>
  <x:si>
    <x:t xml:space="preserve">Exact training recreation — source episode 784</x:t>
  </x:si>
  <x:si>
    <x:t xml:space="preserve">Independently recreate the prompt and ordered object list from training episode 784; do not reuse the preceding baseline scene.</x:t>
  </x:si>
  <x:si>
    <x:t xml:space="preserve">Exact final prompt and complete left-to-right object order from explicit training episode 784: green highlighter | blue tape ball | yellow pen.</x:t>
  </x:si>
  <x:si>
    <x:t xml:space="preserve">third from left</x:t>
  </x:si>
  <x:si>
    <x:t xml:space="preserve">Put the first object from the left in the bowl.</x:t>
  </x:si>
  <x:si>
    <x:t xml:space="preserve">L1: green highlighter, L2: airplane toy with propellers, L3: blue tape ball</x:t>
  </x:si>
  <x:si>
    <x:t xml:space="preserve">went towards the green highlighter, but couldn't pick it up</x:t>
  </x:si>
  <x:si>
    <x:t xml:space="preserve">ID-EXACT08</x:t>
  </x:si>
  <x:si>
    <x:t xml:space="preserve">Exact training recreation — source episode 706</x:t>
  </x:si>
  <x:si>
    <x:t xml:space="preserve">Independently recreate the prompt and ordered object list from training episode 706; do not reuse the preceding baseline scene.</x:t>
  </x:si>
  <x:si>
    <x:t xml:space="preserve">Exact final prompt and complete left-to-right object order from explicit training episode 706: green highlighter | airplane toy with propellers | blue tape ball.</x:t>
  </x:si>
  <x:si>
    <x:t xml:space="preserve">first from left</x:t>
  </x:si>
  <x:si>
    <x:t xml:space="preserve">Put the fourth object from the right in the bowl.</x:t>
  </x:si>
  <x:si>
    <x:t xml:space="preserve">L1: blue tape ball, L2: green highlighter, L3: airplane toy with propellers, L4: yellow pen</x:t>
  </x:si>
  <x:si>
    <x:t xml:space="preserve">went for green highlighter/sort of towards the blue tape ball</x:t>
  </x:si>
  <x:si>
    <x:t xml:space="preserve">ID-EXACT09</x:t>
  </x:si>
  <x:si>
    <x:t xml:space="preserve">Exact training recreation — source episode 652</x:t>
  </x:si>
  <x:si>
    <x:t xml:space="preserve">Independently recreate the prompt and ordered object list from training episode 652; do not reuse the preceding baseline scene.</x:t>
  </x:si>
  <x:si>
    <x:t xml:space="preserve">Exact final prompt and complete left-to-right object order from explicit training episode 652: blue tape ball | green highlighter | airplane toy with propellers | yellow pen.</x:t>
  </x:si>
  <x:si>
    <x:t xml:space="preserve">fourth from right</x:t>
  </x:si>
  <x:si>
    <x:t xml:space="preserve">L1: blue tape ball, L2: airplane toy with propellers, L3: yellow pen, L4: green highlighter</x:t>
  </x:si>
  <x:si>
    <x:t xml:space="preserve">went towards airplane toy but didn't grasp it</x:t>
  </x:si>
  <x:si>
    <x:t xml:space="preserve">ID-EXACT10</x:t>
  </x:si>
  <x:si>
    <x:t xml:space="preserve">Exact training recreation — source episode 614</x:t>
  </x:si>
  <x:si>
    <x:t xml:space="preserve">Independently recreate the prompt and ordered object list from training episode 614; do not reuse the preceding baseline scene.</x:t>
  </x:si>
  <x:si>
    <x:t xml:space="preserve">Exact final prompt and complete left-to-right object order from explicit training episode 614: blue tape ball | airplane toy with propellers | yellow pen | green highlighter.</x:t>
  </x:si>
  <x:si>
    <x:t xml:space="preserve">Move the green pen to the front of the pink marker.</x:t>
  </x:si>
  <x:si>
    <x:t xml:space="preserve">green pen, pink marker, red block</x:t>
  </x:si>
  <x:si>
    <x:t xml:space="preserve">green pen → 2–8 cm edge gap in front of pink marker; centroid direction within ±45°.</x:t>
  </x:si>
  <x:si>
    <x:t xml:space="preserve">went for red block but didn't even pick it up</x:t>
  </x:si>
  <x:si>
    <x:t xml:space="preserve">RP-ID-CF01</x:t>
  </x:si>
  <x:si>
    <x:t xml:space="preserve">Four-way trained-cell counterfactual: front/behind polarity × target/reference role</x:t>
  </x:si>
  <x:si>
    <x:t xml:space="preserve">204</x:t>
  </x:si>
  <x:si>
    <x:t xml:space="preserve">Build the listed neutral scene and save the first frame.</x:t>
  </x:si>
  <x:si>
    <x:t xml:space="preserve">Exact explicitly trained ordered relation-object cell from training episode 204. The four adjacent prompts share one initially unsatisfied scene.</x:t>
  </x:si>
  <x:si>
    <x:t xml:space="preserve">front</x:t>
  </x:si>
  <x:si>
    <x:t xml:space="preserve">green pen</x:t>
  </x:si>
  <x:si>
    <x:t xml:space="preserve">pink marker</x:t>
  </x:si>
  <x:si>
    <x:t xml:space="preserve">None</x:t>
  </x:si>
  <x:si>
    <x:t xml:space="preserve">Eval_Relational_Placement (1).xlsm</x:t>
  </x:si>
  <x:si>
    <x:t xml:space="preserve">Move the green pen to the back of the pink marker.</x:t>
  </x:si>
  <x:si>
    <x:t xml:space="preserve">green pen → 2–8 cm edge gap behind pink marker; centroid direction within ±45°.</x:t>
  </x:si>
  <x:si>
    <x:t xml:space="preserve">217</x:t>
  </x:si>
  <x:si>
    <x:t xml:space="preserve">Reset the moved object to its marked pose; preserve the exact scene and change only the instruction.</x:t>
  </x:si>
  <x:si>
    <x:t xml:space="preserve">Exact explicitly trained ordered relation-object cell from training episode 217. The four adjacent prompts share one initially unsatisfied scene.</x:t>
  </x:si>
  <x:si>
    <x:t xml:space="preserve">behind</x:t>
  </x:si>
  <x:si>
    <x:t xml:space="preserve">Move the pink marker to the front of the green pen.</x:t>
  </x:si>
  <x:si>
    <x:t xml:space="preserve">pink marker → 2–8 cm edge gap in front of green pen; centroid direction within ±45°.</x:t>
  </x:si>
  <x:si>
    <x:t xml:space="preserve">went for red block again; didn't move it or anything</x:t>
  </x:si>
  <x:si>
    <x:t xml:space="preserve">305</x:t>
  </x:si>
  <x:si>
    <x:t xml:space="preserve">Exact explicitly trained ordered relation-object cell from training episode 305. The four adjacent prompts share one initially unsatisfied scene.</x:t>
  </x:si>
  <x:si>
    <x:t xml:space="preserve">Move the pink marker to the back of the green pen.</x:t>
  </x:si>
  <x:si>
    <x:t xml:space="preserve">pink marker → 2–8 cm edge gap behind green pen; centroid direction within ±45°.</x:t>
  </x:si>
  <x:si>
    <x:t xml:space="preserve">kind of jittered around home</x:t>
  </x:si>
  <x:si>
    <x:t xml:space="preserve">317</x:t>
  </x:si>
  <x:si>
    <x:t xml:space="preserve">Exact explicitly trained ordered relation-object cell from training episode 317. The four adjacent prompts share one initially unsatisfied scene.</x:t>
  </x:si>
  <x:si>
    <x:t xml:space="preserve">Move the green pen to the front of the blue block.</x:t>
  </x:si>
  <x:si>
    <x:t xml:space="preserve">green pen, blue block, pink marker, red block</x:t>
  </x:si>
  <x:si>
    <x:t xml:space="preserve">green pen → 2–8 cm edge gap in front of blue block; centroid direction within ±45°.</x:t>
  </x:si>
  <x:si>
    <x:t xml:space="preserve">went for pink pen but didn't pick it</x:t>
  </x:si>
  <x:si>
    <x:t xml:space="preserve">RP-ID-CF02</x:t>
  </x:si>
  <x:si>
    <x:t xml:space="preserve">208</x:t>
  </x:si>
  <x:si>
    <x:t xml:space="preserve">Exact explicitly trained ordered relation-object cell from training episode 208. The four adjacent prompts share one initially unsatisfied scene.</x:t>
  </x:si>
  <x:si>
    <x:t xml:space="preserve">blue block</x:t>
  </x:si>
  <x:si>
    <x:t xml:space="preserve">Move the green pen to the back of the blue block.</x:t>
  </x:si>
  <x:si>
    <x:t xml:space="preserve">green pen → 2–8 cm edge gap behind blue block; centroid direction within ±45°.</x:t>
  </x:si>
  <x:si>
    <x:t xml:space="preserve">similar trajectory as before</x:t>
  </x:si>
  <x:si>
    <x:t xml:space="preserve">221</x:t>
  </x:si>
  <x:si>
    <x:t xml:space="preserve">Exact explicitly trained ordered relation-object cell from training episode 221. The four adjacent prompts share one initially unsatisfied scene.</x:t>
  </x:si>
  <x:si>
    <x:t xml:space="preserve">Put the blue block on the table in front of the green pen.</x:t>
  </x:si>
  <x:si>
    <x:t xml:space="preserve">blue block → 2–8 cm edge gap in front of green pen; centroid direction within ±45°.</x:t>
  </x:si>
  <x:si>
    <x:t xml:space="preserve">went to green pen then returned home</x:t>
  </x:si>
  <x:si>
    <x:t xml:space="preserve">350</x:t>
  </x:si>
  <x:si>
    <x:t xml:space="preserve">Exact explicitly trained ordered relation-object cell from training episode 350. The four adjacent prompts share one initially unsatisfied scene.</x:t>
  </x:si>
  <x:si>
    <x:t xml:space="preserve">Put the blue block on the table behind the green pen.</x:t>
  </x:si>
  <x:si>
    <x:t xml:space="preserve">blue block → 2–8 cm edge gap behind green pen; centroid direction within ±45°.</x:t>
  </x:si>
  <x:si>
    <x:t xml:space="preserve">362</x:t>
  </x:si>
  <x:si>
    <x:t xml:space="preserve">Exact explicitly trained ordered relation-object cell from training episode 362. The four adjacent prompts share one initially unsatisfied scene.</x:t>
  </x:si>
  <x:si>
    <x:t xml:space="preserve">Place the red block to the left of the pink marker.</x:t>
  </x:si>
  <x:si>
    <x:t xml:space="preserve">red block, pink marker, blue block</x:t>
  </x:si>
  <x:si>
    <x:t xml:space="preserve">red block → 2–8 cm edge gap to the left of pink marker; centroid direction within ±45°.</x:t>
  </x:si>
  <x:si>
    <x:t xml:space="preserve">was gripping around the middle of the workspace; between blue and red block; did move towards the blue block; but couldn't pick it up</x:t>
  </x:si>
  <x:si>
    <x:t xml:space="preserve">RP-ID-CF03</x:t>
  </x:si>
  <x:si>
    <x:t xml:space="preserve">Four-way trained-cell counterfactual: left/right polarity × target/reference role</x:t>
  </x:si>
  <x:si>
    <x:t xml:space="preserve">275</x:t>
  </x:si>
  <x:si>
    <x:t xml:space="preserve">Exact explicitly trained ordered relation-object cell from training episode 275. The four adjacent prompts share one initially unsatisfied scene.</x:t>
  </x:si>
  <x:si>
    <x:t xml:space="preserve">left</x:t>
  </x:si>
  <x:si>
    <x:t xml:space="preserve">red block</x:t>
  </x:si>
  <x:si>
    <x:t xml:space="preserve">Place the red block to the right of the pink marker.</x:t>
  </x:si>
  <x:si>
    <x:t xml:space="preserve">red block → 2–8 cm edge gap to the right of pink marker; centroid direction within ±45°.</x:t>
  </x:si>
  <x:si>
    <x:t xml:space="preserve">went for blue block</x:t>
  </x:si>
  <x:si>
    <x:t xml:space="preserve">287</x:t>
  </x:si>
  <x:si>
    <x:t xml:space="preserve">Exact explicitly trained ordered relation-object cell from training episode 287. The four adjacent prompts share one initially unsatisfied scene.</x:t>
  </x:si>
  <x:si>
    <x:t xml:space="preserve">right</x:t>
  </x:si>
  <x:si>
    <x:t xml:space="preserve">Place the pink marker to the left of the red block.</x:t>
  </x:si>
  <x:si>
    <x:t xml:space="preserve">pink marker → 2–8 cm edge gap to the left of red block; centroid direction within ±45°.</x:t>
  </x:si>
  <x:si>
    <x:t xml:space="preserve">went for red block but couldn't pick it</x:t>
  </x:si>
  <x:si>
    <x:t xml:space="preserve">333</x:t>
  </x:si>
  <x:si>
    <x:t xml:space="preserve">Exact explicitly trained ordered relation-object cell from training episode 333. The four adjacent prompts share one initially unsatisfied scene.</x:t>
  </x:si>
  <x:si>
    <x:t xml:space="preserve">Place the pink marker to the right of the red block.</x:t>
  </x:si>
  <x:si>
    <x:t xml:space="preserve">pink marker → 2–8 cm edge gap to the right of red block; centroid direction within ±45°.</x:t>
  </x:si>
  <x:si>
    <x:t xml:space="preserve">346</x:t>
  </x:si>
  <x:si>
    <x:t xml:space="preserve">Exact explicitly trained ordered relation-object cell from training episode 346. The four adjacent prompts share one initially unsatisfied scene.</x:t>
  </x:si>
  <x:si>
    <x:t xml:space="preserve">Move the crushed soda can lying between the green pencil sharpener and the green pen into the bowl.</x:t>
  </x:si>
  <x:si>
    <x:t xml:space="preserve">crushed Coke can; crushed Pepsi can; green pencil sharpener; green pen</x:t>
  </x:si>
  <x:si>
    <x:t xml:space="preserve">crushed Coke can</x:t>
  </x:si>
  <x:si>
    <x:t xml:space="preserve">moved wrist up a bit but didn't move to a can</x:t>
  </x:si>
  <x:si>
    <x:t xml:space="preserve">RD-ID01</x:t>
  </x:si>
  <x:si>
    <x:t xml:space="preserve">Exact training-supported relation × candidate-category baseline</x:t>
  </x:si>
  <x:si>
    <x:t xml:space="preserve">430</x:t>
  </x:si>
  <x:si>
    <x:t xml:space="preserve">Exact manifest cell: prompt, relation × candidate-category combination, target identity, and object membership are explicitly represented in training; physical positions are manually recreated with a clear margin.</x:t>
  </x:si>
  <x:si>
    <x:t xml:space="preserve">Place the 4 listed objects. Arrange Expected Target as the unique answer to the prompt; keep the bowl empty.</x:t>
  </x:si>
  <x:si>
    <x:t xml:space="preserve">The relation, candidate category, target identity, and object membership occur together in the cited training episode.</x:t>
  </x:si>
  <x:si>
    <x:t xml:space="preserve">between</x:t>
  </x:si>
  <x:si>
    <x:t xml:space="preserve">crushed soda can</x:t>
  </x:si>
  <x:si>
    <x:t xml:space="preserve">Eval_Referential_Disambiguation.xlsm</x:t>
  </x:si>
  <x:si>
    <x:t xml:space="preserve">Pick up the crushed soda can positioned between the airplane toy with propellers and the green pen, then place it in the bowl.</x:t>
  </x:si>
  <x:si>
    <x:t xml:space="preserve">crushed Coke can; crushed Pepsi can; airplane toy with propellers; green pen; green pencil sharpener</x:t>
  </x:si>
  <x:si>
    <x:t xml:space="preserve">went to coke can, but didn't open gripper to actually grab it; stayed pretty still when it was by the coke can</x:t>
  </x:si>
  <x:si>
    <x:t xml:space="preserve">RD-ID02</x:t>
  </x:si>
  <x:si>
    <x:t xml:space="preserve">432</x:t>
  </x:si>
  <x:si>
    <x:t xml:space="preserve">Place the 5 listed objects. Arrange Expected Target as the unique answer to the prompt; keep the bowl empty.</x:t>
  </x:si>
  <x:si>
    <x:t xml:space="preserve">Pick up the crushed soda can positioned between the airplane toy with propellers and the green pencil sharpener, then place it in the bowl.</x:t>
  </x:si>
  <x:si>
    <x:t xml:space="preserve">crushed Coke can; crushed Pepsi can; airplane toy with propellers; green pencil sharpener</x:t>
  </x:si>
  <x:si>
    <x:t xml:space="preserve">didn't start moving to the coke can until end of episode; once got gripper around coke can, didn't seem like it was gonna close</x:t>
  </x:si>
  <x:si>
    <x:t xml:space="preserve">RD-ID03</x:t>
  </x:si>
  <x:si>
    <x:t xml:space="preserve">431</x:t>
  </x:si>
  <x:si>
    <x:t xml:space="preserve">Pick up the crushed soda can furthest from the green pen and place it in the bowl.</x:t>
  </x:si>
  <x:si>
    <x:t xml:space="preserve">crushed Coke can; crushed Pepsi can; green pen</x:t>
  </x:si>
  <x:si>
    <x:t xml:space="preserve">crushed Pepsi can</x:t>
  </x:si>
  <x:si>
    <x:t xml:space="preserve">turned towards pepsi can sort of, but then started gripping in middle of nowhere between the pepsi can and coke can; drifted closer to coke can until it push the coke can to the left</x:t>
  </x:si>
  <x:si>
    <x:t xml:space="preserve">RD-ID04</x:t>
  </x:si>
  <x:si>
    <x:t xml:space="preserve">415</x:t>
  </x:si>
  <x:si>
    <x:t xml:space="preserve">Place the 3 listed objects. Arrange Expected Target as the unique answer to the prompt; keep the bowl empty.</x:t>
  </x:si>
  <x:si>
    <x:t xml:space="preserve">furthest</x:t>
  </x:si>
  <x:si>
    <x:t xml:space="preserve">Pick up the crushed soda can furthest from the yellow pen and place it in the bowl.</x:t>
  </x:si>
  <x:si>
    <x:t xml:space="preserve">crushed Coke can; crushed Pepsi can; yellow pen; airplane toy with propellers</x:t>
  </x:si>
  <x:si>
    <x:t xml:space="preserve">went to coke can in correct gripping strategy, but with grippers closed</x:t>
  </x:si>
  <x:si>
    <x:t xml:space="preserve">RD-ID05</x:t>
  </x:si>
  <x:si>
    <x:t xml:space="preserve">416</x:t>
  </x:si>
  <x:si>
    <x:t xml:space="preserve">Pick up the pencil sharpener nearest to the crushed Coke can and place it in the bowl.</x:t>
  </x:si>
  <x:si>
    <x:t xml:space="preserve">green pencil sharpener; red pencil sharpener; crushed Coke can</x:t>
  </x:si>
  <x:si>
    <x:t xml:space="preserve">green pencil sharpener</x:t>
  </x:si>
  <x:si>
    <x:t xml:space="preserve">went for red pencil sharpener, but couldn't get it</x:t>
  </x:si>
  <x:si>
    <x:t xml:space="preserve">RD-ID06</x:t>
  </x:si>
  <x:si>
    <x:t xml:space="preserve">450</x:t>
  </x:si>
  <x:si>
    <x:t xml:space="preserve">closest</x:t>
  </x:si>
  <x:si>
    <x:t xml:space="preserve">pencil sharpener</x:t>
  </x:si>
  <x:si>
    <x:t xml:space="preserve">Move the pencil sharpener that is closest to the crushed Pepsi can into the bowl.</x:t>
  </x:si>
  <x:si>
    <x:t xml:space="preserve">green pencil sharpener; red pencil sharpener; crushed Pepsi can; airplane toy with propellers</x:t>
  </x:si>
  <x:si>
    <x:t xml:space="preserve">red pencil sharpener</x:t>
  </x:si>
  <x:si>
    <x:t xml:space="preserve">started going to the pepsi can with top down gripping position, then suddenly jerked up to soada can gripping strategy; knocked the soda can out of the workspace</x:t>
  </x:si>
  <x:si>
    <x:t xml:space="preserve">RD-ID07</x:t>
  </x:si>
  <x:si>
    <x:t xml:space="preserve">451</x:t>
  </x:si>
  <x:si>
    <x:t xml:space="preserve">Move the pencil sharpener that is closest to the green pen into the bowl.</x:t>
  </x:si>
  <x:si>
    <x:t xml:space="preserve">green pencil sharpener; red pencil sharpener; green pen</x:t>
  </x:si>
  <x:si>
    <x:t xml:space="preserve">almost gripped the green sharpener, but after closing gripper, couldn't recover</x:t>
  </x:si>
  <x:si>
    <x:t xml:space="preserve">RD-ID08</x:t>
  </x:si>
  <x:si>
    <x:t xml:space="preserve">452</x:t>
  </x:si>
  <x:si>
    <x:t xml:space="preserve">Pick up the pencil sharpener furthest from the yellow pen and place it in the bowl.</x:t>
  </x:si>
  <x:si>
    <x:t xml:space="preserve">green pencil sharpener; red pencil sharpener; yellow pen; airplane toy without propellers</x:t>
  </x:si>
  <x:si>
    <x:t xml:space="preserve">went towards teh yellow pen, but couldn't grip it</x:t>
  </x:si>
  <x:si>
    <x:t xml:space="preserve">RD-ID09</x:t>
  </x:si>
  <x:si>
    <x:t xml:space="preserve">466</x:t>
  </x:si>
  <x:si>
    <x:t xml:space="preserve">Pick up the pencil sharpener furthest from the green pen and place it in the bowl.</x:t>
  </x:si>
  <x:si>
    <x:t xml:space="preserve">went for the red pencil sharpener; couldn't pick up</x:t>
  </x:si>
  <x:si>
    <x:t xml:space="preserve">RD-ID10</x:t>
  </x:si>
  <x:si>
    <x:t xml:space="preserve">465</x:t>
  </x:si>
  <x:si>
    <x:t xml:space="preserve">Move the object that is smallest into the bowl.</x:t>
  </x:si>
  <x:si>
    <x:t xml:space="preserve">Bowl: empty. Table, robot-left→robot-right: P1 red pencil sharpener; P2 green block; P3 juggling ball; P4 crushed Pepsi can. Adjacent centers 8 cm apart; row centered on the workspace; all objects fully visible and grasp paths clear.</x:t>
  </x:si>
  <x:si>
    <x:t xml:space="preserve">MOVE red pencil sharpener to bowl</x:t>
  </x:si>
  <x:si>
    <x:t xml:space="preserve">moved towards the red pencil sharpener, but didn't open gripper to pick it up.</x:t>
  </x:si>
  <x:si>
    <x:t xml:space="preserve">SZ-ID-SH01</x:t>
  </x:si>
  <x:si>
    <x:t xml:space="preserve">smallest</x:t>
  </x:si>
  <x:si>
    <x:t xml:space="preserve">1005</x:t>
  </x:si>
  <x:si>
    <x:t xml:space="preserve">Build the listed manifest-supported scene.</x:t>
  </x:si>
  <x:si>
    <x:t xml:space="preserve">Exact prompt and object composition from training episode 1005; this establishes the familiar smallest × red pencil sharpener cell.</x:t>
  </x:si>
  <x:si>
    <x:t xml:space="preserve">Left</x:t>
  </x:si>
  <x:si>
    <x:t xml:space="preserve">Explicitly trained smallest × red pencil sharpener</x:t>
  </x:si>
  <x:si>
    <x:t xml:space="preserve">Eval_Size_Recognition (1).xlsm</x:t>
  </x:si>
  <x:si>
    <x:t xml:space="preserve">VLA-0 Results</x:t>
  </x:si>
  <x:si>
    <x:t xml:space="preserve">Pick up the smallest item and place it in the bowl.</x:t>
  </x:si>
  <x:si>
    <x:t xml:space="preserve">Bowl: empty. Table, robot-left→robot-right: P1 crushed Pepsi can; P2 juggling ball; P3 green block. Adjacent centers 12 cm apart; row shifted 4 cm toward robot-left; all objects fully visible and grasp paths clear.</x:t>
  </x:si>
  <x:si>
    <x:t xml:space="preserve">MOVE green block to bowl</x:t>
  </x:si>
  <x:si>
    <x:t xml:space="preserve">also went towards the green block, but didn't go to the top of it; didn't open grippers properly to try and pick it up</x:t>
  </x:si>
  <x:si>
    <x:t xml:space="preserve">SZ-ID-GB01</x:t>
  </x:si>
  <x:si>
    <x:t xml:space="preserve">1050</x:t>
  </x:si>
  <x:si>
    <x:t xml:space="preserve">Exact prompt and object composition from training episode 1050; this establishes the familiar smallest × green block cell.</x:t>
  </x:si>
  <x:si>
    <x:t xml:space="preserve">green block</x:t>
  </x:si>
  <x:si>
    <x:t xml:space="preserve">Right</x:t>
  </x:si>
  <x:si>
    <x:t xml:space="preserve">Explicitly trained smallest × green block</x:t>
  </x:si>
  <x:si>
    <x:t xml:space="preserve">Put the largest object in the bowl.</x:t>
  </x:si>
  <x:si>
    <x:t xml:space="preserve">Bowl: empty. Table, robot-left→robot-right: P1 juggling ball; P2 red pencil sharpener; P3 green block. Adjacent centers 16 cm apart; row shifted 4 cm toward robot-right; all objects fully visible and grasp paths clear.</x:t>
  </x:si>
  <x:si>
    <x:t xml:space="preserve">MOVE juggling ball to bowl</x:t>
  </x:si>
  <x:si>
    <x:t xml:space="preserve">went between the red pencil sharpener and green block, but didn't pick anything up</x:t>
  </x:si>
  <x:si>
    <x:t xml:space="preserve">SZ-ID-JB01</x:t>
  </x:si>
  <x:si>
    <x:t xml:space="preserve">largest</x:t>
  </x:si>
  <x:si>
    <x:t xml:space="preserve">1125</x:t>
  </x:si>
  <x:si>
    <x:t xml:space="preserve">Exact prompt and object composition from training episode 1125; this establishes the familiar largest × juggling ball cell.</x:t>
  </x:si>
  <x:si>
    <x:t xml:space="preserve">juggling ball</x:t>
  </x:si>
  <x:si>
    <x:t xml:space="preserve">Explicitly trained largest × juggling ball</x:t>
  </x:si>
  <x:si>
    <x:t xml:space="preserve">Pick up the largest item and place it in the bowl.</x:t>
  </x:si>
  <x:si>
    <x:t xml:space="preserve">Bowl: empty. Table, robot-left→robot-right: P1 red pencil sharpener; P2 green block; P3 juggling ball; P4 crushed Pepsi can. Adjacent centers 8 cm apart; row shifted 4 cm toward the robot; all objects fully visible and grasp paths clear.</x:t>
  </x:si>
  <x:si>
    <x:t xml:space="preserve">MOVE crushed Pepsi can to bowl</x:t>
  </x:si>
  <x:si>
    <x:t xml:space="preserve">went into the gripping strategy for the can, but didn't open the gripper to pick it up</x:t>
  </x:si>
  <x:si>
    <x:t xml:space="preserve">SZ-ID-PC01</x:t>
  </x:si>
  <x:si>
    <x:t xml:space="preserve">1155</x:t>
  </x:si>
  <x:si>
    <x:t xml:space="preserve">Exact prompt and object composition from training episode 1155; this establishes the familiar largest × crushed Pepsi can cell.</x:t>
  </x:si>
  <x:si>
    <x:t xml:space="preserve">Explicitly trained largest × crushed Pepsi can</x:t>
  </x:si>
  <x:si>
    <x:t xml:space="preserve">Bowl: empty. Table, robot-left→robot-right: P1 juggling ball; P2 crushed Pepsi can; P3 green block; P4 red pencil sharpener. Adjacent centers 12 cm apart; row shifted 4 cm toward robot-left; all objects fully visible and grasp paths clear.</x:t>
  </x:si>
  <x:si>
    <x:t xml:space="preserve">went to pepsi can, but with non soda can gripping strategy</x:t>
  </x:si>
  <x:si>
    <x:t xml:space="preserve">SZ-ID-SH02</x:t>
  </x:si>
  <x:si>
    <x:t xml:space="preserve">1006</x:t>
  </x:si>
  <x:si>
    <x:t xml:space="preserve">Exact prompt and object composition from training episode 1006; this establishes the familiar smallest × red pencil sharpener cell.</x:t>
  </x:si>
  <x:si>
    <x:t xml:space="preserve">Bowl: empty. Table, robot-left→robot-right: P1 green block; P2 juggling ball; P3 crushed Pepsi can. Adjacent centers 16 cm apart; row shifted 4 cm toward robot-right; all objects fully visible and grasp paths clear.</x:t>
  </x:si>
  <x:si>
    <x:t xml:space="preserve">went to middle of workspace, but didn't grab anything</x:t>
  </x:si>
  <x:si>
    <x:t xml:space="preserve">SZ-ID-GB02</x:t>
  </x:si>
  <x:si>
    <x:t xml:space="preserve">1051</x:t>
  </x:si>
  <x:si>
    <x:t xml:space="preserve">Exact prompt and object composition from training episode 1051; this establishes the familiar smallest × green block cell.</x:t>
  </x:si>
  <x:si>
    <x:t xml:space="preserve">Bowl: empty. Table, robot-left→robot-right: P1 green block; P2 red pencil sharpener; P3 juggling ball. Adjacent centers 8 cm apart; row shifted 4 cm toward the robot; all objects fully visible and grasp paths clear.</x:t>
  </x:si>
  <x:si>
    <x:t xml:space="preserve">did go to the juggling ball but couldn't grip it</x:t>
  </x:si>
  <x:si>
    <x:t xml:space="preserve">SZ-ID-JB02</x:t>
  </x:si>
  <x:si>
    <x:t xml:space="preserve">1126</x:t>
  </x:si>
  <x:si>
    <x:t xml:space="preserve">Exact prompt and object composition from training episode 1126; this establishes the familiar largest × juggling ball cell.</x:t>
  </x:si>
  <x:si>
    <x:t xml:space="preserve">Move the object that is largest into the bowl.</x:t>
  </x:si>
  <x:si>
    <x:t xml:space="preserve">Bowl: empty. Table, robot-left→robot-right: P1 crushed Pepsi can; P2 green block; P3 juggling ball; P4 red pencil sharpener. Adjacent centers 12 cm apart; row shifted 4 cm away from the robot; all objects fully visible and grasp paths clear.</x:t>
  </x:si>
  <x:si>
    <x:t xml:space="preserve">turned to juggling ball with soda can gripping strategy; didn't grip the juggling ball</x:t>
  </x:si>
  <x:si>
    <x:t xml:space="preserve">SZ-ID-PC02</x:t>
  </x:si>
  <x:si>
    <x:t xml:space="preserve">1156</x:t>
  </x:si>
  <x:si>
    <x:t xml:space="preserve">Exact prompt and object composition from training episode 1156; this establishes the familiar largest × crushed Pepsi can cell.</x:t>
  </x:si>
  <x:si>
    <x:t xml:space="preserve">Bowl: empty. Table, robot-left→robot-right: P1 red pencil sharpener; P2 crushed Pepsi can; P3 green block; P4 juggling ball. Adjacent centers 16 cm apart; row shifted 4 cm toward robot-right; all objects fully visible and grasp paths clear.</x:t>
  </x:si>
  <x:si>
    <x:t xml:space="preserve">kind of went for green block</x:t>
  </x:si>
  <x:si>
    <x:t xml:space="preserve">SZ-ID-SH03</x:t>
  </x:si>
  <x:si>
    <x:t xml:space="preserve">1007</x:t>
  </x:si>
  <x:si>
    <x:t xml:space="preserve">Exact prompt and object composition from training episode 1007; this establishes the familiar smallest × red pencil sharpener cell.</x:t>
  </x:si>
  <x:si>
    <x:t xml:space="preserve">Put the smallest object in the bowl.</x:t>
  </x:si>
  <x:si>
    <x:t xml:space="preserve">Bowl: empty. Table, robot-left→robot-right: P1 crushed Pepsi can; P2 juggling ball; P3 green block. Adjacent centers 8 cm apart; row shifted 4 cm toward the robot; all objects fully visible and grasp paths clear.</x:t>
  </x:si>
  <x:si>
    <x:t xml:space="preserve">went to juggling ball and could not pick up</x:t>
  </x:si>
  <x:si>
    <x:t xml:space="preserve">SZ-ID-GB03</x:t>
  </x:si>
  <x:si>
    <x:t xml:space="preserve">1052</x:t>
  </x:si>
  <x:si>
    <x:t xml:space="preserve">Exact prompt and object composition from training episode 1052; this establishes the familiar smallest × green block cell.</x:t>
  </x:si>
  <x:si>
    <x:t xml:space="preserve">Bowl: empty. Table, robot-left→robot-right: P1 juggling ball; P2 red pencil sharpener; P3 green block. Adjacent centers 12 cm apart; row shifted 4 cm away from the robot; all objects fully visible and grasp paths clear.</x:t>
  </x:si>
  <x:si>
    <x:t xml:space="preserve">went to red pencil sharpener and did not move</x:t>
  </x:si>
  <x:si>
    <x:t xml:space="preserve">SZ-ID-JB03</x:t>
  </x:si>
  <x:si>
    <x:t xml:space="preserve">1127</x:t>
  </x:si>
  <x:si>
    <x:t xml:space="preserve">Exact prompt and object composition from training episode 1127; this establishes the familiar largest × juggling ball cell.</x:t>
  </x:si>
  <x:si>
    <x:t xml:space="preserve">Bowl: empty. Table, robot-left→robot-right: P1 juggling ball; P2 red pencil sharpener; P3 green block; P4 crushed Pepsi can. Adjacent centers 16 cm apart; row centered on the workspace; all objects fully visible and grasp paths clear.</x:t>
  </x:si>
  <x:si>
    <x:t xml:space="preserve">went into the can gripping strategy but didn't get it</x:t>
  </x:si>
  <x:si>
    <x:t xml:space="preserve">SZ-ID-PC03</x:t>
  </x:si>
  <x:si>
    <x:t xml:space="preserve">1157</x:t>
  </x:si>
  <x:si>
    <x:t xml:space="preserve">Exact prompt and object composition from training episode 1157; this establishes the familiar largest × crushed Pepsi can cell.</x:t>
  </x:si>
  <x:si>
    <x:t xml:space="preserve">Bowl: empty. Table, robot-left→robot-right: P1 green block; P2 juggling ball; P3 crushed Pepsi can; P4 red pencil sharpener. Adjacent centers 8 cm apart; row shifted 4 cm toward the robot; all objects fully visible and grasp paths clear.</x:t>
  </x:si>
  <x:si>
    <x:t xml:space="preserve">SZ-ID-SH04</x:t>
  </x:si>
  <x:si>
    <x:t xml:space="preserve">1008</x:t>
  </x:si>
  <x:si>
    <x:t xml:space="preserve">Exact prompt and object composition from training episode 1008; this establishes the familiar smallest × red pencil sharpener cell.</x:t>
  </x:si>
  <x:si>
    <x:t xml:space="preserve">Bowl: empty. Table, robot-left→robot-right: P1 green block; P2 juggling ball; P3 crushed Pepsi can. Adjacent centers 12 cm apart; row shifted 4 cm away from the robot; all objects fully visible and grasp paths clear.</x:t>
  </x:si>
  <x:si>
    <x:t xml:space="preserve">slowly rotated towards right but didn't do anything</x:t>
  </x:si>
  <x:si>
    <x:t xml:space="preserve">SZ-ID-GB04</x:t>
  </x:si>
  <x:si>
    <x:t xml:space="preserve">1053</x:t>
  </x:si>
  <x:si>
    <x:t xml:space="preserve">Exact prompt and object composition from training episode 1053; this establishes the familiar smallest × green block cell.</x:t>
  </x:si>
  <x:si>
    <x:t xml:space="preserve">Bowl: empty. Table, robot-left→robot-right: P1 green block; P2 red pencil sharpener; P3 juggling ball. Adjacent centers 16 cm apart; row centered on the workspace; all objects fully visible and grasp paths clear.</x:t>
  </x:si>
  <x:si>
    <x:t xml:space="preserve">went for the green block, but couldn't grab it</x:t>
  </x:si>
  <x:si>
    <x:t xml:space="preserve">SZ-ID-JB04</x:t>
  </x:si>
  <x:si>
    <x:t xml:space="preserve">1128</x:t>
  </x:si>
  <x:si>
    <x:t xml:space="preserve">Exact prompt and object composition from training episode 1128; this establishes the familiar largest × juggling ball cell.</x:t>
  </x:si>
  <x:si>
    <x:t xml:space="preserve">Bowl: empty. Table, robot-left→robot-right: P1 crushed Pepsi can; P2 red pencil sharpener; P3 green block; P4 juggling ball. Adjacent centers 8 cm apart; row shifted 4 cm toward robot-left; all objects fully visible and grasp paths clear.</x:t>
  </x:si>
  <x:si>
    <x:t xml:space="preserve">didn't rotate far enough to the right to grab the soda can. Had the right gripping strategy but was going to pencil sharpener</x:t>
  </x:si>
  <x:si>
    <x:t xml:space="preserve">SZ-ID-PC04</x:t>
  </x:si>
  <x:si>
    <x:t xml:space="preserve">1158</x:t>
  </x:si>
  <x:si>
    <x:t xml:space="preserve">Exact prompt and object composition from training episode 1158; this establishes the familiar largest × crushed Pepsi can cell.</x:t>
  </x:si>
  <x:si>
    <x:t xml:space="preserve">Bowl: empty. Table, robot-left→robot-right: P1 red pencil sharpener; P2 juggling ball; P3 crushed Pepsi can; P4 green block. Adjacent centers 12 cm apart; row shifted 4 cm away from the robot; all objects fully visible and grasp paths clear.</x:t>
  </x:si>
  <x:si>
    <x:t xml:space="preserve">went for juggling ball, then aggressively lifted wrist up and rolled it out of the workspace</x:t>
  </x:si>
  <x:si>
    <x:t xml:space="preserve">SZ-ID-SH05</x:t>
  </x:si>
  <x:si>
    <x:t xml:space="preserve">1009</x:t>
  </x:si>
  <x:si>
    <x:t xml:space="preserve">Exact prompt and object composition from training episode 1009; this establishes the familiar smallest × red pencil sharpener cell.</x:t>
  </x:si>
  <x:si>
    <x:t xml:space="preserve">Bowl: empty. Table, robot-left→robot-right: P1 crushed Pepsi can; P2 juggling ball; P3 green block. Adjacent centers 16 cm apart; row centered on the workspace; all objects fully visible and grasp paths clear.</x:t>
  </x:si>
  <x:si>
    <x:t xml:space="preserve">moved to the green block, but didn't open up the gripper to pick it up</x:t>
  </x:si>
  <x:si>
    <x:t xml:space="preserve">SZ-ID-GB05</x:t>
  </x:si>
  <x:si>
    <x:t xml:space="preserve">1054</x:t>
  </x:si>
  <x:si>
    <x:t xml:space="preserve">Exact prompt and object composition from training episode 1054; this establishes the familiar smallest × green block cell.</x:t>
  </x:si>
  <x:si>
    <x:t xml:space="preserve">Bowl: empty. Table, robot-left→robot-right: P1 juggling ball; P2 red pencil sharpener; P3 green block. Adjacent centers 8 cm apart; row shifted 4 cm toward robot-left; all objects fully visible and grasp paths clear.</x:t>
  </x:si>
  <x:si>
    <x:t xml:space="preserve">tried to pick the red pencil sharpener and couldn't</x:t>
  </x:si>
  <x:si>
    <x:t xml:space="preserve">SZ-ID-JB05</x:t>
  </x:si>
  <x:si>
    <x:t xml:space="preserve">1129</x:t>
  </x:si>
  <x:si>
    <x:t xml:space="preserve">Exact prompt and object composition from training episode 1129; this establishes the familiar largest × juggling ball cell.</x:t>
  </x:si>
  <x:si>
    <x:t xml:space="preserve">Bowl: empty. Table, robot-left→robot-right: P1 green block; P2 juggling ball; P3 red pencil sharpener; P4 crushed Pepsi can. Adjacent centers 12 cm apart; row shifted 4 cm toward robot-right; all objects fully visible and grasp paths clear.</x:t>
  </x:si>
  <x:si>
    <x:t xml:space="preserve">moved between the pepsi can and juggling ball with soda can gripping technique.</x:t>
  </x:si>
  <x:si>
    <x:t xml:space="preserve">SZ-ID-PC05</x:t>
  </x:si>
  <x:si>
    <x:t xml:space="preserve">1159</x:t>
  </x:si>
  <x:si>
    <x:t xml:space="preserve">Exact prompt and object composition from training episode 1159; this establishes the familiar largest × crushed Pepsi can cell.</x:t>
  </x:si>
  <x:si>
    <x:t xml:space="preserve">GR00T vision only Results</x:t>
  </x:si>
  <x:si>
    <x:t xml:space="preserve">picked upside down cup</x:t>
  </x:si>
  <x:si>
    <x:t xml:space="preserve">grabbed open one and hesitated to move to bowl; after taking the open one, moved the closed one to the bowl too. IDK if this count as a success or not</x:t>
  </x:si>
  <x:si>
    <x:t xml:space="preserve">Move the closed white cup into the bowl.</x:t>
  </x:si>
  <x:si>
    <x:t xml:space="preserve">white cup B (C, RU); white cup A (O, RU); yellow-white striped cup A (C, RU); brown cup B (C, RU)</x:t>
  </x:si>
  <x:si>
    <x:t xml:space="preserve">white cup B</x:t>
  </x:si>
  <x:si>
    <x:t xml:space="preserve">popped cap off</x:t>
  </x:si>
  <x:si>
    <x:t xml:space="preserve">SR-ID11</x:t>
  </x:si>
  <x:si>
    <x:t xml:space="preserve">0</x:t>
  </x:si>
  <x:si>
    <x:t xml:space="preserve">Place the closed white cup in the bowl.</x:t>
  </x:si>
  <x:si>
    <x:t xml:space="preserve">white cup A (C, RU); white cup B (O, RU); brown cup B (O, RU)</x:t>
  </x:si>
  <x:si>
    <x:t xml:space="preserve">SR-ID12</x:t>
  </x:si>
  <x:si>
    <x:t xml:space="preserve">7</x:t>
  </x:si>
  <x:si>
    <x:t xml:space="preserve">white cup B (O, RU); white cup A (C, RU); glass spice container B (O, RU)</x:t>
  </x:si>
  <x:si>
    <x:t xml:space="preserve">SR-ID13</x:t>
  </x:si>
  <x:si>
    <x:t xml:space="preserve">17</x:t>
  </x:si>
  <x:si>
    <x:t xml:space="preserve">Place the upside-down yellow-white striped cup in the bowl.</x:t>
  </x:si>
  <x:si>
    <x:t xml:space="preserve">yellow-white striped cup A (O, UD); yellow-white striped cup B (O, RU)</x:t>
  </x:si>
  <x:si>
    <x:t xml:space="preserve">yellow-white striped cup A</x:t>
  </x:si>
  <x:si>
    <x:t xml:space="preserve">SR-ID14</x:t>
  </x:si>
  <x:si>
    <x:t xml:space="preserve">88</x:t>
  </x:si>
  <x:si>
    <x:t xml:space="preserve">Move the upright yellow-white striped cup into the bowl.</x:t>
  </x:si>
  <x:si>
    <x:t xml:space="preserve">yellow-white striped cup A (O, RU); yellow-white striped cup B (O, UD); glass spice container A (O, RU); white cup B (C, UD)</x:t>
  </x:si>
  <x:si>
    <x:t xml:space="preserve">SR-ID15</x:t>
  </x:si>
  <x:si>
    <x:t xml:space="preserve">75</x:t>
  </x:si>
  <x:si>
    <x:t xml:space="preserve">Put the upright yellow-white striped cup in the bowl.</x:t>
  </x:si>
  <x:si>
    <x:t xml:space="preserve">yellow-white striped cup B (C, RU); yellow-white striped cup A (C, UD)</x:t>
  </x:si>
  <x:si>
    <x:t xml:space="preserve">SR-ID16</x:t>
  </x:si>
  <x:si>
    <x:t xml:space="preserve">80</x:t>
  </x:si>
  <x:si>
    <x:t xml:space="preserve">Move the upside-down brown cup into the bowl.</x:t>
  </x:si>
  <x:si>
    <x:t xml:space="preserve">brown cup A (C, UD); brown cup B (C, RU); yellow-white striped cup B (C, UD); glass spice container A (O, RU)</x:t>
  </x:si>
  <x:si>
    <x:t xml:space="preserve">picked upright cup</x:t>
  </x:si>
  <x:si>
    <x:t xml:space="preserve">SR-ID17</x:t>
  </x:si>
  <x:si>
    <x:t xml:space="preserve">135</x:t>
  </x:si>
  <x:si>
    <x:t xml:space="preserve">Place the upright brown cup in the bowl.</x:t>
  </x:si>
  <x:si>
    <x:t xml:space="preserve">brown cup A (C, RU); brown cup B (C, UD); glass spice container B (C, UD)</x:t>
  </x:si>
  <x:si>
    <x:t xml:space="preserve">SR-ID18</x:t>
  </x:si>
  <x:si>
    <x:t xml:space="preserve">139</x:t>
  </x:si>
  <x:si>
    <x:t xml:space="preserve">Put the closed glass spice container in the bowl.</x:t>
  </x:si>
  <x:si>
    <x:t xml:space="preserve">glass spice container A (C, RU); glass spice container B (O, RU); brown cup A (C, RU); white cup B (O, RU)</x:t>
  </x:si>
  <x:si>
    <x:t xml:space="preserve">SR-ID19</x:t>
  </x:si>
  <x:si>
    <x:t xml:space="preserve">155</x:t>
  </x:si>
  <x:si>
    <x:t xml:space="preserve">glass spice container B (O, RU); glass spice container A (C, RU); white cup B (O, RU); yellow-white striped cup A (O, RU)</x:t>
  </x:si>
  <x:si>
    <x:t xml:space="preserve">SR-ID20</x:t>
  </x:si>
  <x:si>
    <x:t xml:space="preserve">162</x:t>
  </x:si>
  <x:si>
    <x:t xml:space="preserve">Place the upside-down white cup in the bowl.</x:t>
  </x:si>
  <x:si>
    <x:t xml:space="preserve">white cup A (C, UD); white cup B (C, RU)</x:t>
  </x:si>
  <x:si>
    <x:t xml:space="preserve">Concept/compositional transfer</x:t>
  </x:si>
  <x:si>
    <x:t xml:space="preserve">SR-CT01</x:t>
  </x:si>
  <x:si>
    <x:t xml:space="preserve">Primary held-out state-object composition</x:t>
  </x:si>
  <x:si>
    <x:t xml:space="preserve">35</x:t>
  </x:si>
  <x:si>
    <x:t xml:space="preserve">Physical-state and manipulation-trajectory reference under a direct category prompt; the evaluated state word × object-category cell is intentionally absent from training.</x:t>
  </x:si>
  <x:si>
    <x:t xml:space="preserve">Build the listed same-category discrimination scene with the bowl empty.</x:t>
  </x:si>
  <x:si>
    <x:t xml:space="preserve">Two same-category candidates share the non-queried state axis; only the held-out state word identifies the target. The same-category candidates share the orthogonal C/O state (C).</x:t>
  </x:si>
  <x:si>
    <x:t xml:space="preserve">Put a white cup in the bowl.</x:t>
  </x:si>
  <x:si>
    <x:t xml:space="preserve">white cup A (C, UD); yellow-white striped cup A (C, RU)</x:t>
  </x:si>
  <x:si>
    <x:t xml:space="preserve">Matched manipulation control</x:t>
  </x:si>
  <x:si>
    <x:t xml:space="preserve">One-object-substitution direct-category control</x:t>
  </x:si>
  <x:si>
    <x:t xml:space="preserve">Exact direct-category manipulation prompt from training episode 35. The transfer target, state, and pose are preserved; only the competing white cup is replaced by yellow-white striped cup A.</x:t>
  </x:si>
  <x:si>
    <x:t xml:space="preserve">Reset white cup A to its transfer pose. Replace white cup B with yellow-white striped cup A in the same location and use the states listed in this row; preserve all other objects.</x:t>
  </x:si>
  <x:si>
    <x:t xml:space="preserve">Pure recognition/manipulation control: the prompt uniquely names the only object from the target category, while the physical target remains identical to the transfer row.</x:t>
  </x:si>
  <x:si>
    <x:t xml:space="preserve">N/A</x:t>
  </x:si>
  <x:si>
    <x:t xml:space="preserve">Move the inverted white cup into the bowl.</x:t>
  </x:si>
  <x:si>
    <x:t xml:space="preserve">Language robustness</x:t>
  </x:si>
  <x:si>
    <x:t xml:space="preserve">Primary compositional-transfer prompt paraphrase</x:t>
  </x:si>
  <x:si>
    <x:t xml:space="preserve">The canonical transfer scene and masked trajectory reference are unchanged; only the evaluation wording is paraphrased. This remains a language diagnostic and is not pooled into the primary 50.</x:t>
  </x:si>
  <x:si>
    <x:t xml:space="preserve">Reset the moved object exactly; preserve every object and state; change only the prompt wording.</x:t>
  </x:si>
  <x:si>
    <x:t xml:space="preserve">Exact-scene paraphrase of one of the 50 canonical compositional-transfer trials. The same-category candidates share the orthogonal C/O state (C). The scene is an exact copy of the referenced canonical row.</x:t>
  </x:si>
  <x:si>
    <x:t xml:space="preserve">Transfer the white cup from the table into the bowl.</x:t>
  </x:si>
  <x:si>
    <x:t xml:space="preserve">Direct-category matched-control paraphrase</x:t>
  </x:si>
  <x:si>
    <x:t xml:space="preserve">Paraphrase of the direct-category matched control grounded by training episode 35. The modified control scene and physical target are unchanged.</x:t>
  </x:si>
  <x:si>
    <x:t xml:space="preserve">Reset the target to its marked pose; preserve the exact modified control scene and change only the direct instruction wording.</x:t>
  </x:si>
  <x:si>
    <x:t xml:space="preserve">Language diagnostic for the pure manipulation control; no state word or state-based selection is required. The scene is an exact copy of the referenced canonical row.</x:t>
  </x:si>
  <x:si>
    <x:t xml:space="preserve">Place the open yellow-white striped cup in the bowl.</x:t>
  </x:si>
  <x:si>
    <x:t xml:space="preserve">yellow-white striped cup B (O, RU); yellow-white striped cup A (C, RU); brown cup B (O, RU)</x:t>
  </x:si>
  <x:si>
    <x:t xml:space="preserve">SR-CT02</x:t>
  </x:si>
  <x:si>
    <x:t xml:space="preserve">64</x:t>
  </x:si>
  <x:si>
    <x:t xml:space="preserve">Physical-state and manipulation-trajectory reference under a direct category prompt; the evaluated state word × object-category cell is intentionally absent from training. All objects are upright, matching the context of every explicit open/closed training demonstration.</x:t>
  </x:si>
  <x:si>
    <x:t xml:space="preserve">Two same-category candidates share the non-queried state axis; only the held-out state word identifies the target. The orthogonal orientation axis is fixed: every object is RU.</x:t>
  </x:si>
  <x:si>
    <x:t xml:space="preserve">Place a yellow-white striped cup in the bowl.</x:t>
  </x:si>
  <x:si>
    <x:t xml:space="preserve">yellow-white striped cup B (O, RU); glass spice container B (C, RU); brown cup B (O, RU)</x:t>
  </x:si>
  <x:si>
    <x:t xml:space="preserve">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t>
  </x:si>
  <x:si>
    <x:t xml:space="preserve">Reset yellow-white striped cup B to its transfer pose. Replace yellow-white striped cup A with glass spice container B in the same location and use the states listed in this row; preserve all other objects.</x:t>
  </x:si>
  <x:si>
    <x:t xml:space="preserve">Pure recognition/manipulation control: the prompt uniquely names the only object from the target category, while the physical target remains identical to the transfer row. Every object is RU.</x:t>
  </x:si>
  <x:si>
    <x:t xml:space="preserve">Move the yellow-white striped cup whose opening is uncovered into the bowl.</x:t>
  </x:si>
  <x:si>
    <x:t xml:space="preserve">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t>
  </x:si>
  <x:si>
    <x:t xml:space="preserve">Exact-scene paraphrase of one of the 50 canonical compositional-transfer trials. The orthogonal orientation axis is fixed: every object is RU. The scene is an exact copy of the referenced canonical row.</x:t>
  </x:si>
  <x:si>
    <x:t xml:space="preserve">Lift the yellow-white striped cup and set it inside the bowl.</x:t>
  </x:si>
  <x:si>
    <x:t xml:space="preserve">Paraphrase of the direct-category matched control grounded by training episode 64. The modified control scene and physical target are unchanged.</x:t>
  </x:si>
  <x:si>
    <x:t xml:space="preserve">Place the upright glass spice container in the bowl.</x:t>
  </x:si>
  <x:si>
    <x:t xml:space="preserve">glass spice container B (C, RU); glass spice container A (C, UD)</x:t>
  </x:si>
  <x:si>
    <x:t xml:space="preserve">picked upside down container</x:t>
  </x:si>
  <x:si>
    <x:t xml:space="preserve">SR-CT04</x:t>
  </x:si>
  <x:si>
    <x:t xml:space="preserve">169</x:t>
  </x:si>
  <x:si>
    <x:t xml:space="preserve">Place a glass spice container in the bowl.</x:t>
  </x:si>
  <x:si>
    <x:t xml:space="preserve">glass spice container B (C, RU); white cup B (C, UD)</x:t>
  </x:si>
  <x:si>
    <x:t xml:space="preserve">Exact direct-category manipulation prompt from training episode 169. The transfer target, state, and pose are preserved; only the competing glass spice container is replaced by white cup B.</x:t>
  </x:si>
  <x:si>
    <x:t xml:space="preserve">Reset glass spice container B to its transfer pose. Replace glass spice container A with white cup B in the same location and use the states listed in this row; preserve all other objects.</x:t>
  </x:si>
  <x:si>
    <x:t xml:space="preserve">Move the right-side-up glass spice container into the bowl.</x:t>
  </x:si>
  <x:si>
    <x:t xml:space="preserve">Move the glass spice container from the workspace into the bowl.</x:t>
  </x:si>
  <x:si>
    <x:t xml:space="preserve">Paraphrase of the direct-category matched control grounded by training episode 169. The modified control scene and physical target are unchanged.</x:t>
  </x:si>
  <x:si>
    <x:t xml:space="preserve">white cup A (O, UD); white cup B (O, RU); brown cup A (C, RU)</x:t>
  </x:si>
  <x:si>
    <x:t xml:space="preserve">SR-CT05</x:t>
  </x:si>
  <x:si>
    <x:t xml:space="preserve">30</x:t>
  </x:si>
  <x:si>
    <x:t xml:space="preserve">Two same-category candidates share the non-queried state axis; only the held-out state word identifies the target. The same-category candidates share the orthogonal C/O state (O).</x:t>
  </x:si>
  <x:si>
    <x:t xml:space="preserve">Move a white cup into the bowl.</x:t>
  </x:si>
  <x:si>
    <x:t xml:space="preserve">white cup A (O, UD); yellow-white striped cup A (O, RU); brown cup A (C, RU)</x:t>
  </x:si>
  <x:si>
    <x:t xml:space="preserve">Exact direct-category manipulation prompt from training episode 30. The transfer target, state, and pose are preserved; only the competing white cup is replaced by yellow-white striped cup A.</x:t>
  </x:si>
  <x:si>
    <x:t xml:space="preserve">Exact-scene paraphrase of one of the 50 canonical compositional-transfer trials. The same-category candidates share the orthogonal C/O state (O). The scene is an exact copy of the referenced canonical row.</x:t>
  </x:si>
  <x:si>
    <x:t xml:space="preserve">Set the white cup inside the bowl.</x:t>
  </x:si>
  <x:si>
    <x:t xml:space="preserve">Paraphrase of the direct-category matched control grounded by training episode 30. The modified control scene and physical target are unchanged.</x:t>
  </x:si>
  <x:si>
    <x:t xml:space="preserve">Place the closed brown cup in the bowl.</x:t>
  </x:si>
  <x:si>
    <x:t xml:space="preserve">brown cup A (C, RU); brown cup B (O, RU); glass spice container A (C, RU); white cup B (O, RU)</x:t>
  </x:si>
  <x:si>
    <x:t xml:space="preserve">SR-CT03</x:t>
  </x:si>
  <x:si>
    <x:t xml:space="preserve">100</x:t>
  </x:si>
  <x:si>
    <x:t xml:space="preserve">Place a brown cup in the bowl.</x:t>
  </x:si>
  <x:si>
    <x:t xml:space="preserve">brown cup A (C, RU); yellow-white striped cup A (O, RU); glass spice container A (C, RU); white cup B (O, RU)</x:t>
  </x:si>
  <x:si>
    <x:t xml:space="preserve">Exact direct-category manipulation prompt from training episode 100. The transfer target, state, and pose are preserved; only the competing brown cup is replaced by yellow-white striped cup A. The full control scene is upright because its paired transfer instruction queries open/closed.</x:t>
  </x:si>
  <x:si>
    <x:t xml:space="preserve">Reset brown cup A to its transfer pose. Replace brown cup B with yellow-white striped cup A in the same location and use the states listed in this row; preserve all other objects.</x:t>
  </x:si>
  <x:si>
    <x:t xml:space="preserve">Move the brown cup whose opening is covered into the bowl.</x:t>
  </x:si>
  <x:si>
    <x:t xml:space="preserve">got open cup</x:t>
  </x:si>
  <x:si>
    <x:t xml:space="preserve">Take the brown cup off the table and place it in the bowl.</x:t>
  </x:si>
  <x:si>
    <x:t xml:space="preserve">Paraphrase of the direct-category matched control grounded by training episode 100. The modified control scene and physical target are unchanged.</x:t>
  </x:si>
  <x:si>
    <x:t xml:space="preserve">yellow-white striped cup B (O, RU); yellow-white striped cup A (C, RU); glass spice container B (O, RU); white cup A (C, RU)</x:t>
  </x:si>
  <x:si>
    <x:t xml:space="preserve">picked closed striped cup</x:t>
  </x:si>
  <x:si>
    <x:t xml:space="preserve">SR-CT06</x:t>
  </x:si>
  <x:si>
    <x:t xml:space="preserve">53</x:t>
  </x:si>
  <x:si>
    <x:t xml:space="preserve">Put a yellow-white striped cup in the bowl.</x:t>
  </x:si>
  <x:si>
    <x:t xml:space="preserve">yellow-white striped cup B (O, RU); brown cup B (C, RU); glass spice container B (O, RU); white cup A (C, RU)</x:t>
  </x:si>
  <x:si>
    <x:t xml:space="preserve">Exact direct-category manipulation prompt from training episode 53. The transfer target, state, and pose are preserved; only the competing yellow-white striped cup is replaced by brown cup B. The full control scene is upright because its paired transfer instruction queries open/closed.</x:t>
  </x:si>
  <x:si>
    <x:t xml:space="preserve">Reset yellow-white striped cup B to its transfer pose. Replace yellow-white striped cup A with brown cup B in the same location and use the states listed in this row; preserve all other objects.</x:t>
  </x:si>
  <x:si>
    <x:t xml:space="preserve">Transfer the yellow-white striped cup from the table into the bowl.</x:t>
  </x:si>
  <x:si>
    <x:t xml:space="preserve">picked brown cup</x:t>
  </x:si>
  <x:si>
    <x:t xml:space="preserve">Paraphrase of the direct-category matched control grounded by training episode 53. The modified control scene and physical target are unchanged.</x:t>
  </x:si>
  <x:si>
    <x:t xml:space="preserve">brown cup A (C, RU); brown cup B (O, RU)</x:t>
  </x:si>
  <x:si>
    <x:t xml:space="preserve">picked open cup</x:t>
  </x:si>
  <x:si>
    <x:t xml:space="preserve">SR-CT07</x:t>
  </x:si>
  <x:si>
    <x:t xml:space="preserve">107</x:t>
  </x:si>
  <x:si>
    <x:t xml:space="preserve">Put a brown cup in the bowl.</x:t>
  </x:si>
  <x:si>
    <x:t xml:space="preserve">brown cup A (C, RU); white cup A (O, RU)</x:t>
  </x:si>
  <x:si>
    <x:t xml:space="preserve">Exact direct-category manipulation prompt from training episode 107. The transfer target, state, and pose are preserved; only the competing brown cup is replaced by white cup A. The full control scene is upright because its paired transfer instruction queries open/closed.</x:t>
  </x:si>
  <x:si>
    <x:t xml:space="preserve">Reset brown cup A to its transfer pose. Replace brown cup B with white cup A in the same location and use the states listed in this row; preserve all other objects.</x:t>
  </x:si>
  <x:si>
    <x:t xml:space="preserve">Lift the brown cup and set it inside the bowl.</x:t>
  </x:si>
  <x:si>
    <x:t xml:space="preserve">Paraphrase of the direct-category matched control grounded by training episode 107. The modified control scene and physical target are unchanged.</x:t>
  </x:si>
  <x:si>
    <x:t xml:space="preserve">glass spice container B (O, RU); glass spice container A (O, UD); yellow-white striped cup B (O, UD)</x:t>
  </x:si>
  <x:si>
    <x:t xml:space="preserve">SR-CT08</x:t>
  </x:si>
  <x:si>
    <x:t xml:space="preserve">153</x:t>
  </x:si>
  <x:si>
    <x:t xml:space="preserve">Move a glass spice container into the bowl.</x:t>
  </x:si>
  <x:si>
    <x:t xml:space="preserve">glass spice container B (O, RU); brown cup B (O, UD); yellow-white striped cup B (O, UD)</x:t>
  </x:si>
  <x:si>
    <x:t xml:space="preserve">Exact direct-category manipulation prompt from training episode 153. The transfer target, state, and pose are preserved; only the competing glass spice container is replaced by brown cup B.</x:t>
  </x:si>
  <x:si>
    <x:t xml:space="preserve">Reset glass spice container B to its transfer pose. Replace glass spice container A with brown cup B in the same location and use the states listed in this row; preserve all other objects.</x:t>
  </x:si>
  <x:si>
    <x:t xml:space="preserve">Take the glass spice container off the table and place it in the bowl.</x:t>
  </x:si>
  <x:si>
    <x:t xml:space="preserve">Paraphrase of the direct-category matched control grounded by training episode 153. The modified control scene and physical target are unchanged.</x:t>
  </x:si>
  <x:si>
    <x:t xml:space="preserve">white cup A (C, UD); white cup B (C, RU); glass spice container A (C, RU); yellow-white striped cup B (O, RU)</x:t>
  </x:si>
  <x:si>
    <x:t xml:space="preserve">SR-CT09</x:t>
  </x:si>
  <x:si>
    <x:t xml:space="preserve">39</x:t>
  </x:si>
  <x:si>
    <x:t xml:space="preserve">white cup A (C, UD); brown cup A (C, RU); glass spice container A (C, RU); yellow-white striped cup B (O, RU)</x:t>
  </x:si>
  <x:si>
    <x:t xml:space="preserve">popped lid off</x:t>
  </x:si>
  <x:si>
    <x:t xml:space="preserve">Exact direct-category manipulation prompt from training episode 39. The transfer target, state, and pose are preserved; only the competing white cup is replaced by brown cup A.</x:t>
  </x:si>
  <x:si>
    <x:t xml:space="preserve">Reset white cup A to its transfer pose. Replace white cup B with brown cup A in the same location and use the states listed in this row; preserve all other objects.</x:t>
  </x:si>
  <x:si>
    <x:t xml:space="preserve">Move the white cup from the workspace into the bowl.</x:t>
  </x:si>
  <x:si>
    <x:t xml:space="preserve">Paraphrase of the direct-category matched control grounded by training episode 39. The modified control scene and physical target are unchanged.</x:t>
  </x:si>
  <x:si>
    <x:t xml:space="preserve">yellow-white striped cup B (O, RU); yellow-white striped cup A (C, RU)</x:t>
  </x:si>
  <x:si>
    <x:t xml:space="preserve">SR-CT10</x:t>
  </x:si>
  <x:si>
    <x:t xml:space="preserve">71</x:t>
  </x:si>
  <x:si>
    <x:t xml:space="preserve">yellow-white striped cup B (O, RU); white cup B (C, RU)</x:t>
  </x:si>
  <x:si>
    <x:t xml:space="preserve">Exact direct-category manipulation prompt from training episode 71. The transfer target, state, and pose are preserved; only the competing yellow-white striped cup is replaced by white cup B. The full control scene is upright because its paired transfer instruction queries open/closed.</x:t>
  </x:si>
  <x:si>
    <x:t xml:space="preserve">Reset yellow-white striped cup B to its transfer pose. Replace yellow-white striped cup A with white cup B in the same location and use the states listed in this row; preserve all other objects.</x:t>
  </x:si>
  <x:si>
    <x:t xml:space="preserve">Set the yellow-white striped cup inside the bowl.</x:t>
  </x:si>
  <x:si>
    <x:t xml:space="preserve">Paraphrase of the direct-category matched control grounded by training episode 71. The modified control scene and physical target are unchanged.</x:t>
  </x:si>
  <x:si>
    <x:t xml:space="preserve">brown cup A (C, RU); brown cup B (O, RU); yellow-white striped cup A (C, RU)</x:t>
  </x:si>
  <x:si>
    <x:t xml:space="preserve">picked the open cup</x:t>
  </x:si>
  <x:si>
    <x:t xml:space="preserve">SR-CT11</x:t>
  </x:si>
  <x:si>
    <x:t xml:space="preserve">102</x:t>
  </x:si>
  <x:si>
    <x:t xml:space="preserve">Move a brown cup into the bowl.</x:t>
  </x:si>
  <x:si>
    <x:t xml:space="preserve">brown cup A (C, RU); white cup A (O, RU); yellow-white striped cup A (C, RU)</x:t>
  </x:si>
  <x:si>
    <x:t xml:space="preserve">Exact direct-category manipulation prompt from training episode 102. The transfer target, state, and pose are preserved; only the competing brown cup is replaced by white cup A. The full control scene is upright because its paired transfer instruction queries open/closed.</x:t>
  </x:si>
  <x:si>
    <x:t xml:space="preserve">glass spice container B (C, RU); glass spice container A (C, UD); brown cup B (O, UD); white cup A (C, RU)</x:t>
  </x:si>
  <x:si>
    <x:t xml:space="preserve">SR-CT12</x:t>
  </x:si>
  <x:si>
    <x:t xml:space="preserve">172</x:t>
  </x:si>
  <x:si>
    <x:t xml:space="preserve">glass spice container B (C, RU); yellow-white striped cup B (C, UD); brown cup B (O, UD); white cup A (C, RU)</x:t>
  </x:si>
  <x:si>
    <x:t xml:space="preserve">Exact direct-category manipulation prompt from training episode 172. The transfer target, state, and pose are preserved; only the competing glass spice container is replaced by yellow-white striped cup B.</x:t>
  </x:si>
  <x:si>
    <x:t xml:space="preserve">Reset glass spice container B to its transfer pose. Replace glass spice container A with yellow-white striped cup B in the same location and use the states listed in this row; preserve all other objects.</x:t>
  </x:si>
  <x:si>
    <x:t xml:space="preserve">white cup A (O, UD); white cup B (O, RU)</x:t>
  </x:si>
  <x:si>
    <x:t xml:space="preserve">SR-CT13</x:t>
  </x:si>
  <x:si>
    <x:t xml:space="preserve">32</x:t>
  </x:si>
  <x:si>
    <x:t xml:space="preserve">white cup A (O, UD); yellow-white striped cup A (O, RU)</x:t>
  </x:si>
  <x:si>
    <x:t xml:space="preserve">Exact direct-category manipulation prompt from training episode 32. The transfer target, state, and pose are preserved; only the competing white cup is replaced by yellow-white striped cup A.</x:t>
  </x:si>
  <x:si>
    <x:t xml:space="preserve">SR-CT14</x:t>
  </x:si>
  <x:si>
    <x:t xml:space="preserve">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t>
  </x:si>
  <x:si>
    <x:t xml:space="preserve">placed open brown cup in the bowl</x:t>
  </x:si>
  <x:si>
    <x:t xml:space="preserve">SR-CT15</x:t>
  </x:si>
  <x:si>
    <x:t xml:space="preserve">129</x:t>
  </x:si>
  <x:si>
    <x:t xml:space="preserve">Exact direct-category manipulation prompt from training episode 129. The transfer target, state, and pose are preserved; only the competing brown cup is replaced by yellow-white striped cup A. The full control scene is upright because its paired transfer instruction queries open/closed.</x:t>
  </x:si>
  <x:si>
    <x:t xml:space="preserve">glass spice container B (O, RU); glass spice container A (O, UD)</x:t>
  </x:si>
  <x:si>
    <x:t xml:space="preserve">SR-CT16</x:t>
  </x:si>
  <x:si>
    <x:t xml:space="preserve">157</x:t>
  </x:si>
  <x:si>
    <x:t xml:space="preserve">glass spice container B (O, RU); white cup B (O, UD)</x:t>
  </x:si>
  <x:si>
    <x:t xml:space="preserve">Exact direct-category manipulation prompt from training episode 157. The transfer target, state, and pose are preserved; only the competing glass spice container is replaced by white cup B.</x:t>
  </x:si>
  <x:si>
    <x:t xml:space="preserve">white cup A (C, UD); white cup B (C, RU); brown cup A (C, RU)</x:t>
  </x:si>
  <x:si>
    <x:t xml:space="preserve">picked upright</x:t>
  </x:si>
  <x:si>
    <x:t xml:space="preserve">SR-CT17</x:t>
  </x:si>
  <x:si>
    <x:t xml:space="preserve">white cup A (C, UD); yellow-white striped cup A (C, RU); brown cup A (C, RU)</x:t>
  </x:si>
  <x:si>
    <x:t xml:space="preserve">SR-CT18</x:t>
  </x:si>
  <x:si>
    <x:t xml:space="preserve">72</x:t>
  </x:si>
  <x:si>
    <x:t xml:space="preserve">Move a yellow-white striped cup into the bowl.</x:t>
  </x:si>
  <x:si>
    <x:t xml:space="preserve">Exact direct-category manipulation prompt from training episode 72. The transfer target, state, and pose are preserved; only the competing yellow-white striped cup is replaced by brown cup B. The full control scene is upright because its paired transfer instruction queries open/closed.</x:t>
  </x:si>
  <x:si>
    <x:t xml:space="preserve">picked open brown cup</x:t>
  </x:si>
  <x:si>
    <x:t xml:space="preserve">SR-CT19</x:t>
  </x:si>
  <x:si>
    <x:t xml:space="preserve">105</x:t>
  </x:si>
  <x:si>
    <x:t xml:space="preserve">Exact direct-category manipulation prompt from training episode 105. The transfer target, state, and pose are preserved; only the competing brown cup is replaced by white cup A. The full control scene is upright because its paired transfer instruction queries open/closed.</x:t>
  </x:si>
  <x:si>
    <x:t xml:space="preserve">glass spice container B (C, RU); glass spice container A (C, UD); yellow-white striped cup B (O, UD)</x:t>
  </x:si>
  <x:si>
    <x:t xml:space="preserve">picked upside down spice container</x:t>
  </x:si>
  <x:si>
    <x:t xml:space="preserve">SR-CT20</x:t>
  </x:si>
  <x:si>
    <x:t xml:space="preserve">179</x:t>
  </x:si>
  <x:si>
    <x:t xml:space="preserve">Put a glass spice container in the bowl.</x:t>
  </x:si>
  <x:si>
    <x:t xml:space="preserve">glass spice container B (C, RU); brown cup B (C, UD); yellow-white striped cup B (O, UD)</x:t>
  </x:si>
  <x:si>
    <x:t xml:space="preserve">Exact direct-category manipulation prompt from training episode 179. The transfer target, state, and pose are preserved; only the competing glass spice container is replaced by brown cup B.</x:t>
  </x:si>
  <x:si>
    <x:t xml:space="preserve">white cup A (O, UD); white cup B (O, RU); glass spice container A (C, RU); yellow-white striped cup B (O, RU)</x:t>
  </x:si>
  <x:si>
    <x:t xml:space="preserve">SR-CT21</x:t>
  </x:si>
  <x:si>
    <x:t xml:space="preserve">34</x:t>
  </x:si>
  <x:si>
    <x:t xml:space="preserve">SR-CT22</x:t>
  </x:si>
  <x:si>
    <x:t xml:space="preserve">picked the open brown cup</x:t>
  </x:si>
  <x:si>
    <x:t xml:space="preserve">SR-CT23</x:t>
  </x:si>
  <x:si>
    <x:t xml:space="preserve">glass spice container B (O, RU); glass spice container A (O, UD); brown cup B (O, UD); white cup A (C, RU)</x:t>
  </x:si>
  <x:si>
    <x:t xml:space="preserve">SR-CT24</x:t>
  </x:si>
  <x:si>
    <x:t xml:space="preserve">183</x:t>
  </x:si>
  <x:si>
    <x:t xml:space="preserve">picked upright cup; popped off lid</x:t>
  </x:si>
  <x:si>
    <x:t xml:space="preserve">SR-CT25</x:t>
  </x:si>
  <x:si>
    <x:t xml:space="preserve">SR-CT26</x:t>
  </x:si>
  <x:si>
    <x:t xml:space="preserve">SR-CT27</x:t>
  </x:si>
  <x:si>
    <x:t xml:space="preserve">143</x:t>
  </x:si>
  <x:si>
    <x:t xml:space="preserve">SR-CT28</x:t>
  </x:si>
  <x:si>
    <x:t xml:space="preserve">182</x:t>
  </x:si>
  <x:si>
    <x:t xml:space="preserve">picked upright white cup</x:t>
  </x:si>
  <x:si>
    <x:t xml:space="preserve">SR-CT29</x:t>
  </x:si>
  <x:si>
    <x:t xml:space="preserve">49</x:t>
  </x:si>
  <x:si>
    <x:t xml:space="preserve">SR-CT30</x:t>
  </x:si>
  <x:si>
    <x:t xml:space="preserve">SR-CT31</x:t>
  </x:si>
  <x:si>
    <x:t xml:space="preserve">SR-CT32</x:t>
  </x:si>
  <x:si>
    <x:t xml:space="preserve">197</x:t>
  </x:si>
  <x:si>
    <x:t xml:space="preserve">SR-CT33</x:t>
  </x:si>
  <x:si>
    <x:t xml:space="preserve">SR-CT34</x:t>
  </x:si>
  <x:si>
    <x:t xml:space="preserve">SR-CT35</x:t>
  </x:si>
  <x:si>
    <x:t xml:space="preserve">picked the upside down container</x:t>
  </x:si>
  <x:si>
    <x:t xml:space="preserve">SR-CT36</x:t>
  </x:si>
  <x:si>
    <x:t xml:space="preserve">SR-CT37</x:t>
  </x:si>
  <x:si>
    <x:t xml:space="preserve">SR-CT38</x:t>
  </x:si>
  <x:si>
    <x:t xml:space="preserve">SR-CT39</x:t>
  </x:si>
  <x:si>
    <x:t xml:space="preserve">SR-CT40</x:t>
  </x:si>
  <x:si>
    <x:t xml:space="preserve">SR-CT41</x:t>
  </x:si>
  <x:si>
    <x:t xml:space="preserve">SR-CT42</x:t>
  </x:si>
  <x:si>
    <x:t xml:space="preserve">SR-CT43</x:t>
  </x:si>
  <x:si>
    <x:t xml:space="preserve">SR-CT44</x:t>
  </x:si>
  <x:si>
    <x:t xml:space="preserve">SR-CT45</x:t>
  </x:si>
  <x:si>
    <x:t xml:space="preserve">SR-CT46</x:t>
  </x:si>
  <x:si>
    <x:t xml:space="preserve">SR-CT47</x:t>
  </x:si>
  <x:si>
    <x:t xml:space="preserve">SR-CT48</x:t>
  </x:si>
  <x:si>
    <x:t xml:space="preserve">popped off lid</x:t>
  </x:si>
  <x:si>
    <x:t xml:space="preserve">SR-CT49</x:t>
  </x:si>
  <x:si>
    <x:t xml:space="preserve">picked the closed striped cup</x:t>
  </x:si>
  <x:si>
    <x:t xml:space="preserve">SR-CT50</x:t>
  </x:si>
  <x:si>
    <x:t xml:space="preserve">Place the closed black cup in the bowl.</x:t>
  </x:si>
  <x:si>
    <x:t xml:space="preserve">black cup A (C, RU); black cup B (O, RU)</x:t>
  </x:si>
  <x:si>
    <x:t xml:space="preserve">black cup A</x:t>
  </x:si>
  <x:si>
    <x:t xml:space="preserve">Novel-object state reasoning</x:t>
  </x:si>
  <x:si>
    <x:t xml:space="preserve">SR-BLACK-CF01</x:t>
  </x:si>
  <x:si>
    <x:t xml:space="preserve">Exact-scene counterfactual globally unseen black-cup state reasoning</x:t>
  </x:si>
  <x:si>
    <x:t xml:space="preserve">State-word concept reference from training episode 0; black cups are globally unseen. This is an exact-scene state counterfactual pair, not a direct-name manipulation control.</x:t>
  </x:si>
  <x:si>
    <x:t xml:space="preserve">Build the listed scene with both black cups and an empty bowl.</x:t>
  </x:si>
  <x:si>
    <x:t xml:space="preserve">Counterfactual C/O pair: both black cups and every distractor are RU; only the queried state word changes the correct black cup.</x:t>
  </x:si>
  <x:si>
    <x:t xml:space="preserve">black cup</x:t>
  </x:si>
  <x:si>
    <x:t xml:space="preserve">Place the open black cup in the bowl.</x:t>
  </x:si>
  <x:si>
    <x:t xml:space="preserve">black cup B</x:t>
  </x:si>
  <x:si>
    <x:t xml:space="preserve">State-word concept reference from training episode 101; black cups are globally unseen. This is an exact-scene state counterfactual pair, not a direct-name manipulation control.</x:t>
  </x:si>
  <x:si>
    <x:t xml:space="preserve">Reset the moved black cup to its marked pose; preserve the exact scene and change only the state word in the prompt.</x:t>
  </x:si>
  <x:si>
    <x:t xml:space="preserve">Place the upside-down black cup in the bowl.</x:t>
  </x:si>
  <x:si>
    <x:t xml:space="preserve">black cup A (C, UD); black cup B (C, RU); yellow-white striped cup B (O, UD)</x:t>
  </x:si>
  <x:si>
    <x:t xml:space="preserve">tried to pick upright cup but couldn't failed reasoning and grasping</x:t>
  </x:si>
  <x:si>
    <x:t xml:space="preserve">SR-BLACK-CF02</x:t>
  </x:si>
  <x:si>
    <x:t xml:space="preserve">State-word concept reference from training episode 78; black cups are globally unseen. This is an exact-scene state counterfactual pair, not a direct-name manipulation control.</x:t>
  </x:si>
  <x:si>
    <x:t xml:space="preserve">Counterfactual UD/RU pair: both black cups share the orthogonal C/O state (C); only the queried state word changes the correct black cup.</x:t>
  </x:si>
  <x:si>
    <x:t xml:space="preserve">Place the upright black cup in the bowl.</x:t>
  </x:si>
  <x:si>
    <x:t xml:space="preserve">State-word concept reference from training episode 26; black cups are globally unseen. This is an exact-scene state counterfactual pair, not a direct-name manipulation control.</x:t>
  </x:si>
  <x:si>
    <x:t xml:space="preserve">black cup A (O, RU); black cup B (C, RU); brown cup A (C, RU); glass spice container B (O, RU)</x:t>
  </x:si>
  <x:si>
    <x:t xml:space="preserve">SR-BLACK-CF03</x:t>
  </x:si>
  <x:si>
    <x:t xml:space="preserve">picked the closed black cup</x:t>
  </x:si>
  <x:si>
    <x:t xml:space="preserve">black cup A (O, RU); black cup B (O, UD)</x:t>
  </x:si>
  <x:si>
    <x:t xml:space="preserve">SR-BLACK-CF04</x:t>
  </x:si>
  <x:si>
    <x:t xml:space="preserve">Counterfactual UD/RU pair: both black cups share the orthogonal C/O state (O); only the queried state word changes the correct black cup.</x:t>
  </x:si>
  <x:si>
    <x:t xml:space="preserve">black cup A (C, RU); black cup B (O, RU); white cup A (C, RU)</x:t>
  </x:si>
  <x:si>
    <x:t xml:space="preserve">tried to pick closed white cup, but didn't grasp it</x:t>
  </x:si>
  <x:si>
    <x:t xml:space="preserve">SR-BLACK-CF05</x:t>
  </x:si>
  <x:si>
    <x:t xml:space="preserve">picked the closed white cup</x:t>
  </x:si>
  <x:si>
    <x:t xml:space="preserve">black cup A (C, UD); black cup B (C, RU); yellow-white striped cup B (O, UD); brown cup A (C, RU)</x:t>
  </x:si>
  <x:si>
    <x:t xml:space="preserve">picked upright black cup</x:t>
  </x:si>
  <x:si>
    <x:t xml:space="preserve">SR-BLACK-CF06</x:t>
  </x:si>
  <x:si>
    <x:t xml:space="preserve">black cup A (O, RU); black cup B (C, RU)</x:t>
  </x:si>
  <x:si>
    <x:t xml:space="preserve">struggled to grasp but did get it</x:t>
  </x:si>
  <x:si>
    <x:t xml:space="preserve">SR-BLACK-CF07</x:t>
  </x:si>
  <x:si>
    <x:t xml:space="preserve">picked closed cup</x:t>
  </x:si>
  <x:si>
    <x:t xml:space="preserve">black cup A (O, RU); black cup B (O, UD); glass spice container B (O, UD)</x:t>
  </x:si>
  <x:si>
    <x:t xml:space="preserve">picked the upright</x:t>
  </x:si>
  <x:si>
    <x:t xml:space="preserve">SR-BLACK-CF08</x:t>
  </x:si>
  <x:si>
    <x:t xml:space="preserve">black cup A (C, RU); black cup B (O, RU); white cup A (C, RU); yellow-white striped cup B (O, RU)</x:t>
  </x:si>
  <x:si>
    <x:t xml:space="preserve">tried to pick closed white cup but couldn't</x:t>
  </x:si>
  <x:si>
    <x:t xml:space="preserve">SR-BLACK-CF09</x:t>
  </x:si>
  <x:si>
    <x:t xml:space="preserve">picked the upright cup</x:t>
  </x:si>
  <x:si>
    <x:t xml:space="preserve">SR-BLACK-CF10</x:t>
  </x:si>
  <x:si>
    <x:t xml:space="preserve">white cup A (O, RU); white cup B (O, RU)</x:t>
  </x:si>
  <x:si>
    <x:t xml:space="preserve">NO-OP; no object has state C, so nothing should be picked up</x:t>
  </x:si>
  <x:si>
    <x:t xml:space="preserve">picked the open cup closer to the bowl</x:t>
  </x:si>
  <x:si>
    <x:t xml:space="preserve">No valid target / no movement</x:t>
  </x:si>
  <x:si>
    <x:t xml:space="preserve">SR-NOOP01</x:t>
  </x:si>
  <x:si>
    <x:t xml:space="preserve">No satisfying state present; bowl remains empty</x:t>
  </x:si>
  <x:si>
    <x:t xml:space="preserve">The state-object concept is explicitly trained, but training does not contain a no-satisfying-target abstention trajectory. All objects are upright, matching the context of every explicit open/closed training demonstration.</x:t>
  </x:si>
  <x:si>
    <x:t xml:space="preserve">Build the listed no-match scene and confirm the bowl is empty.</x:t>
  </x:si>
  <x:si>
    <x:t xml:space="preserve">No object in the entire scene has the queried state. The prompt uses the same canonical frame as active trials, and the queried state-object cell is training-supported. The orthogonal orientation axis is fixed: every object is RU.</x:t>
  </x:si>
  <x:si>
    <x:t xml:space="preserve">yellow-white striped cup A (C, RU); yellow-white striped cup B (C, RU); brown cup B (O, RU)</x:t>
  </x:si>
  <x:si>
    <x:t xml:space="preserve">NO-OP; no object has state UD, so nothing should be picked up</x:t>
  </x:si>
  <x:si>
    <x:t xml:space="preserve">picked the striped cup furthest from the bowl</x:t>
  </x:si>
  <x:si>
    <x:t xml:space="preserve">SR-NOOP02</x:t>
  </x:si>
  <x:si>
    <x:t xml:space="preserve">The state-object concept is explicitly trained, but training does not contain a no-satisfying-target abstention trajectory.</x:t>
  </x:si>
  <x:si>
    <x:t xml:space="preserve">No object in the entire scene has the queried state. The prompt uses the same canonical frame as active trials, and the queried state-object cell is training-supported. The same-category candidates share the orthogonal C/O state (C).</x:t>
  </x:si>
  <x:si>
    <x:t xml:space="preserve">Place the open brown cup in the bowl.</x:t>
  </x:si>
  <x:si>
    <x:t xml:space="preserve">brown cup A (C, RU); brown cup B (C, RU); glass spice container A (C, RU); white cup B (C, RU)</x:t>
  </x:si>
  <x:si>
    <x:t xml:space="preserve">NO-OP; no object has state O, so nothing should be picked up</x:t>
  </x:si>
  <x:si>
    <x:t xml:space="preserve">picked brown cup closest to the bowl</x:t>
  </x:si>
  <x:si>
    <x:t xml:space="preserve">SR-NOOP03</x:t>
  </x:si>
  <x:si>
    <x:t xml:space="preserve">101</x:t>
  </x:si>
  <x:si>
    <x:t xml:space="preserve">glass spice container A (O, RU); glass spice container B (O, RU)</x:t>
  </x:si>
  <x:si>
    <x:t xml:space="preserve">picked container further from bowl</x:t>
  </x:si>
  <x:si>
    <x:t xml:space="preserve">SR-NOOP04</x:t>
  </x:si>
  <x:si>
    <x:t xml:space="preserve">Place the open white cup in the bowl.</x:t>
  </x:si>
  <x:si>
    <x:t xml:space="preserve">white cup A (C, RU); white cup B (C, RU); glass spice container B (C, RU)</x:t>
  </x:si>
  <x:si>
    <x:t xml:space="preserve">picked the cup closer to the bowl</x:t>
  </x:si>
  <x:si>
    <x:t xml:space="preserve">SR-NOOP05</x:t>
  </x:si>
  <x:si>
    <x:t xml:space="preserve">1</x:t>
  </x:si>
  <x:si>
    <x:t xml:space="preserve">Place the upright yellow-white striped cup in the bowl.</x:t>
  </x:si>
  <x:si>
    <x:t xml:space="preserve">yellow-white striped cup A (O, UD); yellow-white striped cup B (O, UD); white cup A (C, UD); brown cup B (O, UD)</x:t>
  </x:si>
  <x:si>
    <x:t xml:space="preserve">NO-OP; no object has state RU, so nothing should be picked up</x:t>
  </x:si>
  <x:si>
    <x:t xml:space="preserve">picked the upside down white cup</x:t>
  </x:si>
  <x:si>
    <x:t xml:space="preserve">SR-NOOP06</x:t>
  </x:si>
  <x:si>
    <x:t xml:space="preserve">No object in the entire scene has the queried state. The prompt uses the same canonical frame as active trials, and the queried state-object cell is training-supported. The same-category candidates share the orthogonal C/O state (O).</x:t>
  </x:si>
  <x:si>
    <x:t xml:space="preserve">Place the upside-down brown cup in the bowl.</x:t>
  </x:si>
  <x:si>
    <x:t xml:space="preserve">brown cup A (O, RU); brown cup B (O, RU)</x:t>
  </x:si>
  <x:si>
    <x:t xml:space="preserve">picked cup closest to bowl</x:t>
  </x:si>
  <x:si>
    <x:t xml:space="preserve">SR-NOOP07</x:t>
  </x:si>
  <x:si>
    <x:t xml:space="preserve">Place the open glass spice container in the bowl.</x:t>
  </x:si>
  <x:si>
    <x:t xml:space="preserve">glass spice container A (C, RU); glass spice container B (C, RU); brown cup A (C, RU)</x:t>
  </x:si>
  <x:si>
    <x:t xml:space="preserve">picked the container further from the bowl</x:t>
  </x:si>
  <x:si>
    <x:t xml:space="preserve">SR-NOOP08</x:t>
  </x:si>
  <x:si>
    <x:t xml:space="preserve">150</x:t>
  </x:si>
  <x:si>
    <x:t xml:space="preserve">Place the upright white cup in the bowl.</x:t>
  </x:si>
  <x:si>
    <x:t xml:space="preserve">white cup A (C, UD); white cup B (C, UD); brown cup A (C, UD); glass spice container B (O, UD)</x:t>
  </x:si>
  <x:si>
    <x:t xml:space="preserve">picked upside down white cup furthest from bowl</x:t>
  </x:si>
  <x:si>
    <x:t xml:space="preserve">SR-NOOP09</x:t>
  </x:si>
  <x:si>
    <x:t xml:space="preserve">Place the closed yellow-white striped cup in the bowl.</x:t>
  </x:si>
  <x:si>
    <x:t xml:space="preserve">yellow-white striped cup A (O, RU); yellow-white striped cup B (O, RU)</x:t>
  </x:si>
  <x:si>
    <x:t xml:space="preserve">picked cup furthest from bowl</x:t>
  </x:si>
  <x:si>
    <x:t xml:space="preserve">SR-NOOP10</x:t>
  </x:si>
  <x:si>
    <x:t xml:space="preserve">brown cup A (C, UD); brown cup B (C, UD); white cup A (C, UD)</x:t>
  </x:si>
  <x:si>
    <x:t xml:space="preserve">placed the upside down brown cup furthest from the bowl</x:t>
  </x:si>
  <x:si>
    <x:t xml:space="preserve">SR-NOOP11</x:t>
  </x:si>
  <x:si>
    <x:t xml:space="preserve">128</x:t>
  </x:si>
  <x:si>
    <x:t xml:space="preserve">Place the upside-down glass spice container in the bowl.</x:t>
  </x:si>
  <x:si>
    <x:t xml:space="preserve">glass spice container A (C, RU); glass spice container B (C, RU); yellow-white striped cup B (O, RU); brown cup A (C, RU)</x:t>
  </x:si>
  <x:si>
    <x:t xml:space="preserve">picked conatiner further from bowl</x:t>
  </x:si>
  <x:si>
    <x:t xml:space="preserve">SR-NOOP12</x:t>
  </x:si>
  <x:si>
    <x:t xml:space="preserve">picked cup closest to the bowl</x:t>
  </x:si>
  <x:si>
    <x:t xml:space="preserve">SR-NOOP13</x:t>
  </x:si>
  <x:si>
    <x:t xml:space="preserve">3</x:t>
  </x:si>
  <x:si>
    <x:t xml:space="preserve">yellow-white striped cup A (O, RU); yellow-white striped cup B (O, RU); brown cup A (C, RU)</x:t>
  </x:si>
  <x:si>
    <x:t xml:space="preserve">SR-NOOP14</x:t>
  </x:si>
  <x:si>
    <x:t xml:space="preserve">83</x:t>
  </x:si>
  <x:si>
    <x:t xml:space="preserve">brown cup A (O, RU); brown cup B (O, RU); glass spice container B (O, RU); white cup A (C, RU)</x:t>
  </x:si>
  <x:si>
    <x:t xml:space="preserve">picked brown cup furthest from bowl</x:t>
  </x:si>
  <x:si>
    <x:t xml:space="preserve">SR-NOOP15</x:t>
  </x:si>
  <x:si>
    <x:t xml:space="preserve">127</x:t>
  </x:si>
  <x:si>
    <x:t xml:space="preserve">picked furthest container from bowl</x:t>
  </x:si>
  <x:si>
    <x:t xml:space="preserve">SR-NOOP16</x:t>
  </x:si>
  <x:si>
    <x:t xml:space="preserve">152</x:t>
  </x:si>
  <x:si>
    <x:t xml:space="preserve">white cup A (C, RU); white cup B (C, RU); glass spice container A (C, RU)</x:t>
  </x:si>
  <x:si>
    <x:t xml:space="preserve">picked white cup furthest from bowl; popped off lid</x:t>
  </x:si>
  <x:si>
    <x:t xml:space="preserve">SR-NOOP17</x:t>
  </x:si>
  <x:si>
    <x:t xml:space="preserve">yellow-white striped cup A (C, UD); yellow-white striped cup B (C, UD); white cup B (O, UD); brown cup A (C, UD)</x:t>
  </x:si>
  <x:si>
    <x:t xml:space="preserve">picked the striped cup closest to the bowl</x:t>
  </x:si>
  <x:si>
    <x:t xml:space="preserve">SR-NOOP18</x:t>
  </x:si>
  <x:si>
    <x:t xml:space="preserve">76</x:t>
  </x:si>
  <x:si>
    <x:t xml:space="preserve">brown cup A (C, UD); brown cup B (C, UD)</x:t>
  </x:si>
  <x:si>
    <x:t xml:space="preserve">picked brown cup furthest from bowl; lid popped off</x:t>
  </x:si>
  <x:si>
    <x:t xml:space="preserve">SR-NOOP19</x:t>
  </x:si>
  <x:si>
    <x:t xml:space="preserve">130</x:t>
  </x:si>
  <x:si>
    <x:t xml:space="preserve">glass spice container A (C, RU); glass spice container B (C, RU); brown cup B (C, RU)</x:t>
  </x:si>
  <x:si>
    <x:t xml:space="preserve">picked the container closest to the bowl</x:t>
  </x:si>
  <x:si>
    <x:t xml:space="preserve">SR-NOOP20</x:t>
  </x:si>
  <x:si>
    <x:t xml:space="preserve">154</x:t>
  </x:si>
  <x:si>
    <x:t xml:space="preserve">picked the yellow block</x:t>
  </x:si>
  <x:si>
    <x:t xml:space="preserve">picked both the airplane toy and green pencil sharpener simulataneously so left two items int he bowl</x:t>
  </x:si>
  <x:si>
    <x:t xml:space="preserve">tried to pick yellow block but couldn't</x:t>
  </x:si>
  <x:si>
    <x:t xml:space="preserve">went to bowl, but couldn't grab anything</x:t>
  </x:si>
  <x:si>
    <x:t xml:space="preserve">went for the airplane toy 5 times, but never moved it.</x:t>
  </x:si>
  <x:si>
    <x:t xml:space="preserve">Bowl objects: [green pencil sharpener, airplane toy without propellers, blue pen, yellow block] | Table objects: [none]</x:t>
  </x:si>
  <x:si>
    <x:t xml:space="preserve">went to bowl but couldn't pick anything up</x:t>
  </x:si>
  <x:si>
    <x:t xml:space="preserve">943</x:t>
  </x:si>
  <x:si>
    <x:t xml:space="preserve">Recreate the listed bowl/table membership from training episode 943.</x:t>
  </x:si>
  <x:si>
    <x:t xml:space="preserve">Make the bowl contain exactly zero objects.</x:t>
  </x:si>
  <x:si>
    <x:t xml:space="preserve">Bowl objects: [green pencil sharpener] | Table objects: [yellow block]</x:t>
  </x:si>
  <x:si>
    <x:t xml:space="preserve">928</x:t>
  </x:si>
  <x:si>
    <x:t xml:space="preserve">Recreate the listed bowl/table membership from training episode 928.</x:t>
  </x:si>
  <x:si>
    <x:t xml:space="preserve">Bowl objects: [none] | Table objects: [airplane toy without propellers, blue pen, yellow block]</x:t>
  </x:si>
  <x:si>
    <x:t xml:space="preserve">ID-F04</x:t>
  </x:si>
  <x:si>
    <x:t xml:space="preserve">951</x:t>
  </x:si>
  <x:si>
    <x:t xml:space="preserve">Recreate the listed bowl/table membership from training episode 951.</x:t>
  </x:si>
  <x:si>
    <x:t xml:space="preserve">Make the bowl contain exactly two objects.</x:t>
  </x:si>
  <x:si>
    <x:t xml:space="preserve">Bowl objects: [green pencil sharpener] | Table objects: [airplane toy without propellers, yellow block]</x:t>
  </x:si>
  <x:si>
    <x:t xml:space="preserve">960</x:t>
  </x:si>
  <x:si>
    <x:t xml:space="preserve">Recreate the listed bowl/table membership from training episode 960.</x:t>
  </x:si>
  <x:si>
    <x:t xml:space="preserve">Bowl objects: [airplane toy without propellers, blue pen, yellow block, green pencil sharpener] | Table objects: [none]</x:t>
  </x:si>
  <x:si>
    <x:t xml:space="preserve">went to bowl but couldn't remove anything</x:t>
  </x:si>
  <x:si>
    <x:t xml:space="preserve">993</x:t>
  </x:si>
  <x:si>
    <x:t xml:space="preserve">Recreate the listed bowl/table membership from training episode 993.</x:t>
  </x:si>
  <x:si>
    <x:t xml:space="preserve">Leave no objects in the bowl.</x:t>
  </x:si>
  <x:si>
    <x:t xml:space="preserve">Bowl objects: [airplane toy without propellers] | Table objects: [green pencil sharpener]</x:t>
  </x:si>
  <x:si>
    <x:t xml:space="preserve">978</x:t>
  </x:si>
  <x:si>
    <x:t xml:space="preserve">Recreate the listed bowl/table membership from training episode 978.</x:t>
  </x:si>
  <x:si>
    <x:t xml:space="preserve">Bowl objects: [none] | Table objects: [yellow block]</x:t>
  </x:si>
  <x:si>
    <x:t xml:space="preserve">ADD the only table object; finish with 1 object in the bowl</x:t>
  </x:si>
  <x:si>
    <x:t xml:space="preserve">ID-F05</x:t>
  </x:si>
  <x:si>
    <x:t xml:space="preserve">857</x:t>
  </x:si>
  <x:si>
    <x:t xml:space="preserve">Recreate the listed bowl/table membership from training episode 857.</x:t>
  </x:si>
  <x:si>
    <x:t xml:space="preserve">ADD the only table object; finish with 2 objects in the bowl</x:t>
  </x:si>
  <x:si>
    <x:t xml:space="preserve">865</x:t>
  </x:si>
  <x:si>
    <x:t xml:space="preserve">Recreate the listed bowl/table membership from training episode 865.</x:t>
  </x:si>
  <x:si>
    <x:t xml:space="preserve">994</x:t>
  </x:si>
  <x:si>
    <x:t xml:space="preserve">Recreate the listed bowl/table membership from training episode 994.</x:t>
  </x:si>
  <x:si>
    <x:t xml:space="preserve">Bowl objects: [yellow block] | Table objects: [none]</x:t>
  </x:si>
  <x:si>
    <x:t xml:space="preserve">880</x:t>
  </x:si>
  <x:si>
    <x:t xml:space="preserve">Recreate the listed bowl/table membership from training episode 880.</x:t>
  </x:si>
  <x:si>
    <x:t xml:space="preserve">Bowl objects: [blue pen, airplane toy without propellers] | Table objects: [yellow block, green pencil sharpener]</x:t>
  </x:si>
  <x:si>
    <x:t xml:space="preserve">REMOVE any one bowl object; finish with 1 object in the bowl</x:t>
  </x:si>
  <x:si>
    <x:t xml:space="preserve">CT-CF09</x:t>
  </x:si>
  <x:si>
    <x:t xml:space="preserve">Primary: one via held-out 2→1 removal</x:t>
  </x:si>
  <x:si>
    <x:t xml:space="preserve">831</x:t>
  </x:si>
  <x:si>
    <x:t xml:space="preserve">Representative direct-instruction trajectory for blue pen; the evaluated count × transition composition is intentionally absent.</x:t>
  </x:si>
  <x:si>
    <x:t xml:space="preserve">Build the listed count-2 scene.</x:t>
  </x:si>
  <x:si>
    <x:t xml:space="preserve">The goal word one is trained, and this 2→1 trajectory is trained under a direct instruction, but the combination is withheld.</x:t>
  </x:si>
  <x:si>
    <x:t xml:space="preserve">CT-CF09-REMOVE</x:t>
  </x:si>
  <x:si>
    <x:t xml:space="preserve">Move the airplane toy without propellers from the bowl to the table.</x:t>
  </x:si>
  <x:si>
    <x:t xml:space="preserve">REMOVE airplane toy without propellers</x:t>
  </x:si>
  <x:si>
    <x:t xml:space="preserve">Matched direct REMOVE control</x:t>
  </x:si>
  <x:si>
    <x:t xml:space="preserve">985</x:t>
  </x:si>
  <x:si>
    <x:t xml:space="preserve">Exact direct-prompt trajectory for the named object and action direction; evaluation layout is reset manually.</x:t>
  </x:si>
  <x:si>
    <x:t xml:space="preserve">Reset the exact count-2 scene; change only the prompt.</x:t>
  </x:si>
  <x:si>
    <x:t xml:space="preserve">The direct prompt is present in Counting training for this same-task object and action direction.</x:t>
  </x:si>
  <x:si>
    <x:t xml:space="preserve">Move the green pencil sharpener into the bowl.</x:t>
  </x:si>
  <x:si>
    <x:t xml:space="preserve">ADD green pencil sharpener</x:t>
  </x:si>
  <x:si>
    <x:t xml:space="preserve">Matched direct ADD control</x:t>
  </x:si>
  <x:si>
    <x:t xml:space="preserve">917</x:t>
  </x:si>
  <x:si>
    <x:t xml:space="preserve">CT-CF09-ADD</x:t>
  </x:si>
  <x:si>
    <x:t xml:space="preserve">ADD any one table object; finish with 3 objects in the bowl</x:t>
  </x:si>
  <x:si>
    <x:t xml:space="preserve">Primary: three via held-out 2→3 addition</x:t>
  </x:si>
  <x:si>
    <x:t xml:space="preserve">916</x:t>
  </x:si>
  <x:si>
    <x:t xml:space="preserve">Representative direct-instruction trajectory for green pencil sharpener; the evaluated count × transition composition is intentionally absent.</x:t>
  </x:si>
  <x:si>
    <x:t xml:space="preserve">The goal word three is trained, and this 2→3 trajectory is trained under a direct instruction, but the combination is withheld.</x:t>
  </x:si>
  <x:si>
    <x:t xml:space="preserve">Bowl objects: [green pencil sharpener, airplane toy without propellers] | Table objects: [blue pen, yellow block]</x:t>
  </x:si>
  <x:si>
    <x:t xml:space="preserve">CT-CF24</x:t>
  </x:si>
  <x:si>
    <x:t xml:space="preserve">816</x:t>
  </x:si>
  <x:si>
    <x:t xml:space="preserve">CT-CF24-ADD</x:t>
  </x:si>
  <x:si>
    <x:t xml:space="preserve">981</x:t>
  </x:si>
  <x:si>
    <x:t xml:space="preserve">Representative direct-instruction trajectory for airplane toy without propellers; the evaluated count × transition composition is intentionally absent.</x:t>
  </x:si>
  <x:si>
    <x:t xml:space="preserve">CT-CF24-REMOVE</x:t>
  </x:si>
  <x:si>
    <x:t xml:space="preserve">Bowl objects: [blue pen, yellow block] | Table objects: [green pencil sharpener]</x:t>
  </x:si>
  <x:si>
    <x:t xml:space="preserve">CT-CF01</x:t>
  </x:si>
  <x:si>
    <x:t xml:space="preserve">CT-CF01-REMOVE</x:t>
  </x:si>
  <x:si>
    <x:t xml:space="preserve">Move the blue pen from the bowl to the table.</x:t>
  </x:si>
  <x:si>
    <x:t xml:space="preserve">REMOVE blue pen</x:t>
  </x:si>
  <x:si>
    <x:t xml:space="preserve">went to bowl but couldn't take the pen out</x:t>
  </x:si>
  <x:si>
    <x:t xml:space="preserve">835</x:t>
  </x:si>
  <x:si>
    <x:t xml:space="preserve">Finish with one object in the bowl.</x:t>
  </x:si>
  <x:si>
    <x:t xml:space="preserve">Primary compositional paraphrase: one via 2→1 removal</x:t>
  </x:si>
  <x:si>
    <x:t xml:space="preserve">Representative direct-instruction trajectory for blue pen; the evaluated count × transition composition is intentionally absent. The evaluation wording is also paraphrased.</x:t>
  </x:si>
  <x:si>
    <x:t xml:space="preserve">Exact-scene paraphrase of the canonical held-out composition.</x:t>
  </x:si>
  <x:si>
    <x:t xml:space="preserve">Lift the blue pen out of the bowl and set it on the table.</x:t>
  </x:si>
  <x:si>
    <x:t xml:space="preserve">Matched-control paraphrase: REMOVE</x:t>
  </x:si>
  <x:si>
    <x:t xml:space="preserve">Canonical direct-control trajectory for the named object and action direction; evaluation wording is paraphrased.</x:t>
  </x:si>
  <x:si>
    <x:t xml:space="preserve">Exact-scene paraphrase of the direct manipulation control.</x:t>
  </x:si>
  <x:si>
    <x:t xml:space="preserve">CT-CF01-ADD</x:t>
  </x:si>
  <x:si>
    <x:t xml:space="preserve">Lift the green pencil sharpener from the table and set it inside the bowl.</x:t>
  </x:si>
  <x:si>
    <x:t xml:space="preserve">Matched-control paraphrase: ADD</x:t>
  </x:si>
  <x:si>
    <x:t xml:space="preserve">Finish with three objects in the bowl.</x:t>
  </x:si>
  <x:si>
    <x:t xml:space="preserve">Primary compositional paraphrase: three via 2→3 addition</x:t>
  </x:si>
  <x:si>
    <x:t xml:space="preserve">Representative direct-instruction trajectory for green pencil sharpener; the evaluated count × transition composition is intentionally absent. The evaluation wording is also paraphrased.</x:t>
  </x:si>
  <x:si>
    <x:t xml:space="preserve">Bowl objects: [yellow block, green pencil sharpener] | Table objects: [blue pen, airplane toy without propellers]</x:t>
  </x:si>
  <x:si>
    <x:t xml:space="preserve">CT-CF10</x:t>
  </x:si>
  <x:si>
    <x:t xml:space="preserve">CT-CF10-ADD</x:t>
  </x:si>
  <x:si>
    <x:t xml:space="preserve">Move the airplane toy without propellers into the bowl.</x:t>
  </x:si>
  <x:si>
    <x:t xml:space="preserve">ADD airplane toy without propellers</x:t>
  </x:si>
  <x:si>
    <x:t xml:space="preserve">968</x:t>
  </x:si>
  <x:si>
    <x:t xml:space="preserve">Move the green pencil sharpener from the bowl to the table.</x:t>
  </x:si>
  <x:si>
    <x:t xml:space="preserve">REMOVE green pencil sharpener</x:t>
  </x:si>
  <x:si>
    <x:t xml:space="preserve">935</x:t>
  </x:si>
  <x:si>
    <x:t xml:space="preserve">CT-CF10-REMOVE</x:t>
  </x:si>
  <x:si>
    <x:t xml:space="preserve">931</x:t>
  </x:si>
  <x:si>
    <x:t xml:space="preserve">Bowl objects: [airplane toy without propellers, green pencil sharpener, yellow block] | Table objects: [blue pen]</x:t>
  </x:si>
  <x:si>
    <x:t xml:space="preserve">NO-OP; preserve 3 objects in the bowl and do not initiate a grasp</x:t>
  </x:si>
  <x:si>
    <x:t xml:space="preserve">Goal already satisfied / no movement</x:t>
  </x:si>
  <x:si>
    <x:t xml:space="preserve">NOOP-04</x:t>
  </x:si>
  <x:si>
    <x:t xml:space="preserve">Goal already satisfied: 3→3</x:t>
  </x:si>
  <x:si>
    <x:t xml:space="preserve">Prompt/concept grounding only. Training does not contain a goal-already-satisfied no-movement trajectory.</x:t>
  </x:si>
  <x:si>
    <x:t xml:space="preserve">Build the first no-movement scene in this family.</x:t>
  </x:si>
  <x:si>
    <x:t xml:space="preserve">Visible-object count varies across no-op families. Table objects are distractors where present; success requires leaving the satisfied scene unchanged.</x:t>
  </x:si>
  <x:si>
    <x:t xml:space="preserve">NO-OP</x:t>
  </x:si>
  <x:si>
    <x:t xml:space="preserve">Leave exactly two objects in the bowl.</x:t>
  </x:si>
  <x:si>
    <x:t xml:space="preserve">Bowl objects: [airplane toy without propellers, green pencil sharpener] | Table objects: [yellow block]</x:t>
  </x:si>
  <x:si>
    <x:t xml:space="preserve">NO-OP; preserve 2 objects in the bowl and do not initiate a grasp</x:t>
  </x:si>
  <x:si>
    <x:t xml:space="preserve">Goal already satisfied: 2→2</x:t>
  </x:si>
  <x:si>
    <x:t xml:space="preserve">861</x:t>
  </x:si>
  <x:si>
    <x:t xml:space="preserve">Move only the minimum listed objects between bowl and table for the next count.</x:t>
  </x:si>
  <x:si>
    <x:t xml:space="preserve">NO-OP; preserve 1 object in the bowl and do not initiate a grasp</x:t>
  </x:si>
  <x:si>
    <x:t xml:space="preserve">Goal already satisfied: 1→1</x:t>
  </x:si>
  <x:si>
    <x:t xml:space="preserve">800</x:t>
  </x:si>
  <x:si>
    <x:t xml:space="preserve">Bowl objects: [none] | Table objects: [airplane toy without propellers]</x:t>
  </x:si>
  <x:si>
    <x:t xml:space="preserve">NO-OP; preserve 0 objects in the bowl and do not initiate a grasp</x:t>
  </x:si>
  <x:si>
    <x:t xml:space="preserve">Goal already satisfied: 0→0</x:t>
  </x:si>
  <x:si>
    <x:t xml:space="preserve">975</x:t>
  </x:si>
  <x:si>
    <x:t xml:space="preserve">Bowl objects: [none] | Table objects: [blue pen]</x:t>
  </x:si>
  <x:si>
    <x:t xml:space="preserve">NOOP-01</x:t>
  </x:si>
  <x:si>
    <x:t xml:space="preserve">Bowl objects: [blue pen] | Table objects: [none]</x:t>
  </x:si>
  <x:si>
    <x:t xml:space="preserve">Bowl objects: [blue pen, yellow block] | Table objects: [none]</x:t>
  </x:si>
  <x:si>
    <x:t xml:space="preserve">tried to remove the yellow block</x:t>
  </x:si>
  <x:si>
    <x:t xml:space="preserve">Bowl objects: [blue pen, yellow block, green pencil sharpener] | Table objects: [none]</x:t>
  </x:si>
  <x:si>
    <x:t xml:space="preserve">went to the bowl</x:t>
  </x:si>
  <x:si>
    <x:t xml:space="preserve">Bowl objects: [green pencil sharpener, airplane toy without propellers] | Table objects: [yellow block]</x:t>
  </x:si>
  <x:si>
    <x:t xml:space="preserve">CT-CF06</x:t>
  </x:si>
  <x:si>
    <x:t xml:space="preserve">866</x:t>
  </x:si>
  <x:si>
    <x:t xml:space="preserve">Representative direct-instruction trajectory for yellow block; the evaluated count × transition composition is intentionally absent.</x:t>
  </x:si>
  <x:si>
    <x:t xml:space="preserve">CT-CF06-ADD</x:t>
  </x:si>
  <x:si>
    <x:t xml:space="preserve">Move the yellow block into the bowl.</x:t>
  </x:si>
  <x:si>
    <x:t xml:space="preserve">ADD yellow block</x:t>
  </x:si>
  <x:si>
    <x:t xml:space="preserve">872</x:t>
  </x:si>
  <x:si>
    <x:t xml:space="preserve">tried to get the airplane toy out of the bowl, but didn't</x:t>
  </x:si>
  <x:si>
    <x:t xml:space="preserve">CT-CF06-REMOVE</x:t>
  </x:si>
  <x:si>
    <x:t xml:space="preserve">CT-CF15</x:t>
  </x:si>
  <x:si>
    <x:t xml:space="preserve">CT-CF15-REMOVE</x:t>
  </x:si>
  <x:si>
    <x:t xml:space="preserve">CT-CF15-ADD</x:t>
  </x:si>
  <x:si>
    <x:t xml:space="preserve">Bowl objects: [blue pen, yellow block] | Table objects: [green pencil sharpener, airplane toy without propellers]</x:t>
  </x:si>
  <x:si>
    <x:t xml:space="preserve">CT-CF13</x:t>
  </x:si>
  <x:si>
    <x:t xml:space="preserve">CT-CF13-REMOVE</x:t>
  </x:si>
  <x:si>
    <x:t xml:space="preserve">966</x:t>
  </x:si>
  <x:si>
    <x:t xml:space="preserve">CT-CF13-ADD</x:t>
  </x:si>
  <x:si>
    <x:t xml:space="preserve">Bowl objects: [green highlighter] | Table objects: [blue pen]</x:t>
  </x:si>
  <x:si>
    <x:t xml:space="preserve">REMOVE green highlighter; finish with 0 objects in the bowl</x:t>
  </x:si>
  <x:si>
    <x:t xml:space="preserve">Cross-task object reasoning</x:t>
  </x:si>
  <x:si>
    <x:t xml:space="preserve">XT-GH01</x:t>
  </x:si>
  <x:si>
    <x:t xml:space="preserve">Reasoning-only cross-task target: 1→0 removal</x:t>
  </x:si>
  <x:si>
    <x:t xml:space="preserve">825; 708</x:t>
  </x:si>
  <x:si>
    <x:t xml:space="preserve">First episode grounds the Counting prompt/transition; episode 708 grounds direct green-highlighter manipulation. No exact green-highlighter Counting cell exists.</x:t>
  </x:si>
  <x:si>
    <x:t xml:space="preserve">Build counterfactual cross-task scene A.</x:t>
  </x:si>
  <x:si>
    <x:t xml:space="preserve">The prompt never names the highlighter. The highlighter is the required object; the familiar Counting transition determines the action.</x:t>
  </x:si>
  <x:si>
    <x:t xml:space="preserve">XT-GH01-A</x:t>
  </x:si>
  <x:si>
    <x:t xml:space="preserve">ADD blue pen; finish with 2 objects in the bowl</x:t>
  </x:si>
  <x:si>
    <x:t xml:space="preserve">Reasoning-only cross-task distractor: 1→2 addition</x:t>
  </x:si>
  <x:si>
    <x:t xml:space="preserve">808; 708</x:t>
  </x:si>
  <x:si>
    <x:t xml:space="preserve">Reset the exact scene; change only the requested final count.</x:t>
  </x:si>
  <x:si>
    <x:t xml:space="preserve">The prompt never names the highlighter. The highlighter is a distractor; the familiar Counting transition determines the action.</x:t>
  </x:si>
  <x:si>
    <x:t xml:space="preserve">Bowl objects: [blue pen] | Table objects: [green highlighter]</x:t>
  </x:si>
  <x:si>
    <x:t xml:space="preserve">ADD green highlighter; finish with 2 objects in the bowl</x:t>
  </x:si>
  <x:si>
    <x:t xml:space="preserve">Reasoning-only cross-task target: 1→2 addition</x:t>
  </x:si>
  <x:si>
    <x:t xml:space="preserve">Build counterfactual cross-task scene B.</x:t>
  </x:si>
  <x:si>
    <x:t xml:space="preserve">XT-GH01-B</x:t>
  </x:si>
  <x:si>
    <x:t xml:space="preserve">REMOVE blue pen; finish with 0 objects in the bowl</x:t>
  </x:si>
  <x:si>
    <x:t xml:space="preserve">picked up the green highlighter and moved it closer to the bowl, but didn't put it in . Went back for green highlighter, but couldn't grab it</x:t>
  </x:si>
  <x:si>
    <x:t xml:space="preserve">Reasoning-only cross-task distractor: 1→0 removal</x:t>
  </x:si>
  <x:si>
    <x:t xml:space="preserve">XT-GH05</x:t>
  </x:si>
  <x:si>
    <x:t xml:space="preserve">XT-GH05-A</x:t>
  </x:si>
  <x:si>
    <x:t xml:space="preserve">XT-GH05-B</x:t>
  </x:si>
  <x:si>
    <x:t xml:space="preserve">CT-CF25</x:t>
  </x:si>
  <x:si>
    <x:t xml:space="preserve">CT-CF25-REMOVE</x:t>
  </x:si>
  <x:si>
    <x:t xml:space="preserve">CT-CF25-ADD</x:t>
  </x:si>
  <x:si>
    <x:t xml:space="preserve">Bowl objects: [blue pen, green pencil sharpener] | Table objects: [yellow block, airplane toy without propellers]</x:t>
  </x:si>
  <x:si>
    <x:t xml:space="preserve">CT-CF14</x:t>
  </x:si>
  <x:si>
    <x:t xml:space="preserve">CT-CF14-ADD</x:t>
  </x:si>
  <x:si>
    <x:t xml:space="preserve">CT-CF14-REMOVE</x:t>
  </x:si>
  <x:si>
    <x:t xml:space="preserve">CT-CF20</x:t>
  </x:si>
  <x:si>
    <x:t xml:space="preserve">CT-CF20-ADD</x:t>
  </x:si>
  <x:si>
    <x:t xml:space="preserve">CT-CF20-REMOVE</x:t>
  </x:si>
  <x:si>
    <x:t xml:space="preserve">CT-CF07</x:t>
  </x:si>
  <x:si>
    <x:t xml:space="preserve">CT-CF07-REMOVE</x:t>
  </x:si>
  <x:si>
    <x:t xml:space="preserve">Move the yellow block from the bowl to the table.</x:t>
  </x:si>
  <x:si>
    <x:t xml:space="preserve">REMOVE yellow block</x:t>
  </x:si>
  <x:si>
    <x:t xml:space="preserve">removed the blue pen and left the yellow block in the bowl</x:t>
  </x:si>
  <x:si>
    <x:t xml:space="preserve">885</x:t>
  </x:si>
  <x:si>
    <x:t xml:space="preserve">CT-CF07-ADD</x:t>
  </x:si>
  <x:si>
    <x:t xml:space="preserve">CT-CF08</x:t>
  </x:si>
  <x:si>
    <x:t xml:space="preserve">CT-CF08-ADD</x:t>
  </x:si>
  <x:si>
    <x:t xml:space="preserve">picked the pen first, then tried to pick the green pencil sharpener, but timed out</x:t>
  </x:si>
  <x:si>
    <x:t xml:space="preserve">CT-CF08-REMOVE</x:t>
  </x:si>
  <x:si>
    <x:t xml:space="preserve">Bowl objects: [yellow block, airplane toy without propellers] | Table objects: [blue pen]</x:t>
  </x:si>
  <x:si>
    <x:t xml:space="preserve">CT-CF11</x:t>
  </x:si>
  <x:si>
    <x:t xml:space="preserve">881</x:t>
  </x:si>
  <x:si>
    <x:t xml:space="preserve">CT-CF11-REMOVE</x:t>
  </x:si>
  <x:si>
    <x:t xml:space="preserve">CT-CF11-ADD</x:t>
  </x:si>
  <x:si>
    <x:t xml:space="preserve">Bowl objects: [green highlighter] | Table objects: [green pencil sharpener]</x:t>
  </x:si>
  <x:si>
    <x:t xml:space="preserve">XT-GH03</x:t>
  </x:si>
  <x:si>
    <x:t xml:space="preserve">XT-GH03-A</x:t>
  </x:si>
  <x:si>
    <x:t xml:space="preserve">ADD green pencil sharpener; finish with 2 objects in the bowl</x:t>
  </x:si>
  <x:si>
    <x:t xml:space="preserve">Bowl objects: [green pencil sharpener] | Table objects: [green highlighter]</x:t>
  </x:si>
  <x:si>
    <x:t xml:space="preserve">went to the highlighter and was pinching it hten went back home. Then proceded to go back and forth to the green highlighter 3 times</x:t>
  </x:si>
  <x:si>
    <x:t xml:space="preserve">XT-GH03-B</x:t>
  </x:si>
  <x:si>
    <x:t xml:space="preserve">REMOVE green pencil sharpener; finish with 0 objects in the bowl</x:t>
  </x:si>
  <x:si>
    <x:t xml:space="preserve">CT-CF17</x:t>
  </x:si>
  <x:si>
    <x:t xml:space="preserve">CT-CF17-REMOVE</x:t>
  </x:si>
  <x:si>
    <x:t xml:space="preserve">CT-CF17-ADD</x:t>
  </x:si>
  <x:si>
    <x:t xml:space="preserve">CT-CF03</x:t>
  </x:si>
  <x:si>
    <x:t xml:space="preserve">CT-CF03-REMOVE</x:t>
  </x:si>
  <x:si>
    <x:t xml:space="preserve">Change the contents so the bowl ends up holding one item.</x:t>
  </x:si>
  <x:si>
    <x:t xml:space="preserve">succeeded reasoning; got the block to the bowl, but didn't return home</x:t>
  </x:si>
  <x:si>
    <x:t xml:space="preserve">CT-CF03-ADD</x:t>
  </x:si>
  <x:si>
    <x:t xml:space="preserve">Lift the yellow block from the table and set it inside the bowl.</x:t>
  </x:si>
  <x:si>
    <x:t xml:space="preserve">Change the contents so the bowl ends up holding three items.</x:t>
  </x:si>
  <x:si>
    <x:t xml:space="preserve">CT-CF19</x:t>
  </x:si>
  <x:si>
    <x:t xml:space="preserve">CT-CF19-REMOVE</x:t>
  </x:si>
  <x:si>
    <x:t xml:space="preserve">CT-CF19-ADD</x:t>
  </x:si>
  <x:si>
    <x:t xml:space="preserve">CT-CF04</x:t>
  </x:si>
  <x:si>
    <x:t xml:space="preserve">CT-CF04-ADD</x:t>
  </x:si>
  <x:si>
    <x:t xml:space="preserve">Move the blue pen into the bowl.</x:t>
  </x:si>
  <x:si>
    <x:t xml:space="preserve">ADD blue pen</x:t>
  </x:si>
  <x:si>
    <x:t xml:space="preserve">817</x:t>
  </x:si>
  <x:si>
    <x:t xml:space="preserve">End with three items inside the bowl.</x:t>
  </x:si>
  <x:si>
    <x:t xml:space="preserve">Lift the blue pen from the table and set it inside the bowl.</x:t>
  </x:si>
  <x:si>
    <x:t xml:space="preserve">succeeded reasoning; tried to pick the yellow block but couldn't</x:t>
  </x:si>
  <x:si>
    <x:t xml:space="preserve">CT-CF04-REMOVE</x:t>
  </x:si>
  <x:si>
    <x:t xml:space="preserve">Lift the yellow block out of the bowl and set it on the table.</x:t>
  </x:si>
  <x:si>
    <x:t xml:space="preserve">took out the green pencil sharpener</x:t>
  </x:si>
  <x:si>
    <x:t xml:space="preserve">End with a single object in the bowl.</x:t>
  </x:si>
  <x:si>
    <x:t xml:space="preserve">Bowl objects: [none] | Table objects: [green pencil sharpener]</x:t>
  </x:si>
  <x:si>
    <x:t xml:space="preserve">NOOP-03</x:t>
  </x:si>
  <x:si>
    <x:t xml:space="preserve">Bowl objects: [green pencil sharpener] | Table objects: [airplane toy without propellers]</x:t>
  </x:si>
  <x:si>
    <x:t xml:space="preserve">Bowl objects: [green pencil sharpener, airplane toy without propellers] | Table objects: [blue pen]</x:t>
  </x:si>
  <x:si>
    <x:t xml:space="preserve">Bowl objects: [green pencil sharpener, airplane toy without propellers, blue pen] | Table objects: [yellow block]</x:t>
  </x:si>
  <x:si>
    <x:t xml:space="preserve">Bowl objects: [yellow block, airplane toy without propellers] | Table objects: [blue pen, green pencil sharpener]</x:t>
  </x:si>
  <x:si>
    <x:t xml:space="preserve">CT-CF05</x:t>
  </x:si>
  <x:si>
    <x:t xml:space="preserve">CT-CF05-REMOVE</x:t>
  </x:si>
  <x:si>
    <x:t xml:space="preserve">Adjust the contents until only one object remains in the bowl.</x:t>
  </x:si>
  <x:si>
    <x:t xml:space="preserve">Representative direct-instruction trajectory for yellow block; the evaluated count × transition composition is intentionally absent. The evaluation wording is also paraphrased.</x:t>
  </x:si>
  <x:si>
    <x:t xml:space="preserve">CT-CF05-ADD</x:t>
  </x:si>
  <x:si>
    <x:t xml:space="preserve">Adjust the contents until three objects remain in the bowl.</x:t>
  </x:si>
  <x:si>
    <x:t xml:space="preserve">Bowl objects: [yellow block, green pencil sharpener] | Table objects: [airplane toy without propellers]</x:t>
  </x:si>
  <x:si>
    <x:t xml:space="preserve">CT-CF22</x:t>
  </x:si>
  <x:si>
    <x:t xml:space="preserve">CT-CF22-ADD</x:t>
  </x:si>
  <x:si>
    <x:t xml:space="preserve">CT-CF22-REMOVE</x:t>
  </x:si>
  <x:si>
    <x:t xml:space="preserve">Bowl objects: [blue pen, airplane toy without propellers] | Table objects: [yellow block]</x:t>
  </x:si>
  <x:si>
    <x:t xml:space="preserve">CT-CF21</x:t>
  </x:si>
  <x:si>
    <x:t xml:space="preserve">CT-CF21-REMOVE</x:t>
  </x:si>
  <x:si>
    <x:t xml:space="preserve">CT-CF21-ADD</x:t>
  </x:si>
  <x:si>
    <x:t xml:space="preserve">Bowl objects: [yellow block] | Table objects: [green highlighter]</x:t>
  </x:si>
  <x:si>
    <x:t xml:space="preserve">REMOVE yellow block; finish with 0 objects in the bowl</x:t>
  </x:si>
  <x:si>
    <x:t xml:space="preserve">XT-GH02</x:t>
  </x:si>
  <x:si>
    <x:t xml:space="preserve">XT-GH02-B</x:t>
  </x:si>
  <x:si>
    <x:t xml:space="preserve">Bowl objects: [green highlighter] | Table objects: [yellow block]</x:t>
  </x:si>
  <x:si>
    <x:t xml:space="preserve">ADD yellow block; finish with 2 objects in the bowl</x:t>
  </x:si>
  <x:si>
    <x:t xml:space="preserve">XT-GH02-A</x:t>
  </x:si>
  <x:si>
    <x:t xml:space="preserve">CT-CF16</x:t>
  </x:si>
  <x:si>
    <x:t xml:space="preserve">CT-CF16-ADD</x:t>
  </x:si>
  <x:si>
    <x:t xml:space="preserve">CT-CF16-REMOVE</x:t>
  </x:si>
  <x:si>
    <x:t xml:space="preserve">Bowl objects: [airplane toy without propellers] | Table objects: [green highlighter]</x:t>
  </x:si>
  <x:si>
    <x:t xml:space="preserve">REMOVE airplane toy without propellers; finish with 0 objects in the bowl</x:t>
  </x:si>
  <x:si>
    <x:t xml:space="preserve">XT-GH04</x:t>
  </x:si>
  <x:si>
    <x:t xml:space="preserve">XT-GH04-B</x:t>
  </x:si>
  <x:si>
    <x:t xml:space="preserve">put the green highlighter in and then took out the airplane toy</x:t>
  </x:si>
  <x:si>
    <x:t xml:space="preserve">Bowl objects: [green highlighter] | Table objects: [airplane toy without propellers]</x:t>
  </x:si>
  <x:si>
    <x:t xml:space="preserve">ADD airplane toy without propellers; finish with 2 objects in the bowl</x:t>
  </x:si>
  <x:si>
    <x:t xml:space="preserve">put the green highlighter in the bowl and then took it out. the robot then drifted to the right edge of workspace</x:t>
  </x:si>
  <x:si>
    <x:t xml:space="preserve">XT-GH04-A</x:t>
  </x:si>
  <x:si>
    <x:t xml:space="preserve">NOOP-05</x:t>
  </x:si>
  <x:si>
    <x:t xml:space="preserve">Bowl objects: [yellow block, blue pen] | Table objects: [airplane toy without propellers]</x:t>
  </x:si>
  <x:si>
    <x:t xml:space="preserve">Bowl objects: [yellow block, blue pen, airplane toy without propellers] | Table objects: [green pencil sharpener]</x:t>
  </x:si>
  <x:si>
    <x:t xml:space="preserve">Bowl objects: [blue pen, green pencil sharpener] | Table objects: [airplane toy without propellers]</x:t>
  </x:si>
  <x:si>
    <x:t xml:space="preserve">CT-CF02</x:t>
  </x:si>
  <x:si>
    <x:t xml:space="preserve">CT-CF02-ADD</x:t>
  </x:si>
  <x:si>
    <x:t xml:space="preserve">Set the bowl's final object count to three.</x:t>
  </x:si>
  <x:si>
    <x:t xml:space="preserve">Representative direct-instruction trajectory for airplane toy without propellers; the evaluated count × transition composition is intentionally absent. The evaluation wording is also paraphrased.</x:t>
  </x:si>
  <x:si>
    <x:t xml:space="preserve">Lift the airplane toy without propellers from the table and set it inside the bowl.</x:t>
  </x:si>
  <x:si>
    <x:t xml:space="preserve">knocked the airplane out of range and then the arm drifted to the right edge of the workspace</x:t>
  </x:si>
  <x:si>
    <x:t xml:space="preserve">went to the bowl, but couldn't grab the blue pen</x:t>
  </x:si>
  <x:si>
    <x:t xml:space="preserve">CT-CF02-REMOVE</x:t>
  </x:si>
  <x:si>
    <x:t xml:space="preserve">took pencil sharpener out</x:t>
  </x:si>
  <x:si>
    <x:t xml:space="preserve">Set the bowl's final object count to one.</x:t>
  </x:si>
  <x:si>
    <x:t xml:space="preserve">CT-CF12</x:t>
  </x:si>
  <x:si>
    <x:t xml:space="preserve">CT-CF12-ADD</x:t>
  </x:si>
  <x:si>
    <x:t xml:space="preserve">CT-CF12-REMOVE</x:t>
  </x:si>
  <x:si>
    <x:t xml:space="preserve">Bowl objects: [yellow block, airplane toy without propellers, blue pen] | Table objects: [none]</x:t>
  </x:si>
  <x:si>
    <x:t xml:space="preserve">took the blue pen out</x:t>
  </x:si>
  <x:si>
    <x:t xml:space="preserve">NOOP-02</x:t>
  </x:si>
  <x:si>
    <x:t xml:space="preserve">Bowl objects: [yellow block, airplane toy without propellers] | Table objects: [none]</x:t>
  </x:si>
  <x:si>
    <x:t xml:space="preserve">CT-CF18</x:t>
  </x:si>
  <x:si>
    <x:t xml:space="preserve">CT-CF18-ADD</x:t>
  </x:si>
  <x:si>
    <x:t xml:space="preserve">CT-CF18-REMOVE</x:t>
  </x:si>
  <x:si>
    <x:t xml:space="preserve">CT-CF23</x:t>
  </x:si>
  <x:si>
    <x:t xml:space="preserve">CT-CF23-REMOVE</x:t>
  </x:si>
  <x:si>
    <x:t xml:space="preserve">CT-CF23-ADD</x:t>
  </x:si>
  <x:si>
    <x:t xml:space="preserve">picked the airplane toy</x:t>
  </x:si>
  <x:si>
    <x:t xml:space="preserve">GR00T visual only Results</x:t>
  </x:si>
  <x:si>
    <x:t xml:space="preserve">failed reasoning; tried to grasp the airplane toy and failed, then in recovery, got the yellow pen</x:t>
  </x:si>
  <x:si>
    <x:t xml:space="preserve">picked yellow pen</x:t>
  </x:si>
  <x:si>
    <x:t xml:space="preserve">picked tape ball</x:t>
  </x:si>
  <x:si>
    <x:t xml:space="preserve">succeeded reasoning; picked the green highlighter badly at first and dropped it and then recovered</x:t>
  </x:si>
  <x:si>
    <x:t xml:space="preserve">went for airplane toy but couldn't get it; knocked it out of range</x:t>
  </x:si>
  <x:si>
    <x:t xml:space="preserve">picked the yellow pen</x:t>
  </x:si>
  <x:si>
    <x:t xml:space="preserve">Pick up the object that is second from the left and place it in the bowl.</x:t>
  </x:si>
  <x:si>
    <x:t xml:space="preserve">L1: blue tape ball, L2: yellow pen, L3: green highlighter, L4: airplane toy with propellers</x:t>
  </x:si>
  <x:si>
    <x:t xml:space="preserve">succeeded reasoning but picked the yellow pen from the edge and dropped it; couldn't recover</x:t>
  </x:si>
  <x:si>
    <x:t xml:space="preserve">ID-EXACT11</x:t>
  </x:si>
  <x:si>
    <x:t xml:space="preserve">Exact training recreation — source episode 765</x:t>
  </x:si>
  <x:si>
    <x:t xml:space="preserve">Independently recreate the prompt and ordered object list from training episode 765; do not reuse the preceding baseline scene.</x:t>
  </x:si>
  <x:si>
    <x:t xml:space="preserve">Exact final prompt and complete left-to-right object order from explicit training episode 765: blue tape ball | yellow pen | green highlighter | airplane toy with propellers.</x:t>
  </x:si>
  <x:si>
    <x:t xml:space="preserve">Pick up the object that is fourth from the right and place it in the bowl.</x:t>
  </x:si>
  <x:si>
    <x:t xml:space="preserve">L1: green highlighter, L2: airplane toy with propellers, L3: yellow pen, L4: blue tape ball</x:t>
  </x:si>
  <x:si>
    <x:t xml:space="preserve">picked airplane toy</x:t>
  </x:si>
  <x:si>
    <x:t xml:space="preserve">ID-EXACT12</x:t>
  </x:si>
  <x:si>
    <x:t xml:space="preserve">Exact training recreation — source episode 701</x:t>
  </x:si>
  <x:si>
    <x:t xml:space="preserve">Independently recreate the prompt and ordered object list from training episode 701; do not reuse the preceding baseline scene.</x:t>
  </x:si>
  <x:si>
    <x:t xml:space="preserve">Exact final prompt and complete left-to-right object order from explicit training episode 701: green highlighter | airplane toy with propellers | yellow pen | blue tape ball.</x:t>
  </x:si>
  <x:si>
    <x:t xml:space="preserve">Move the first item counted from the left into the bowl.</x:t>
  </x:si>
  <x:si>
    <x:t xml:space="preserve">L1: yellow pen, L2: airplane toy with propellers, L3: blue tape ball, L4: green highlighter</x:t>
  </x:si>
  <x:si>
    <x:t xml:space="preserve">ID-EXACT13</x:t>
  </x:si>
  <x:si>
    <x:t xml:space="preserve">Exact training recreation — source episode 750</x:t>
  </x:si>
  <x:si>
    <x:t xml:space="preserve">Independently recreate the prompt and ordered object list from training episode 750; do not reuse the preceding baseline scene.</x:t>
  </x:si>
  <x:si>
    <x:t xml:space="preserve">Exact final prompt and complete left-to-right object order from explicit training episode 750: yellow pen | airplane toy with propellers | blue tape ball | green highlighter.</x:t>
  </x:si>
  <x:si>
    <x:t xml:space="preserve">Move the third item counted from the right into the bowl.</x:t>
  </x:si>
  <x:si>
    <x:t xml:space="preserve">L1: blue tape ball, L2: green highlighter, L3: yellow pen, L4: airplane toy with propellers</x:t>
  </x:si>
  <x:si>
    <x:t xml:space="preserve">went for the yellow pen but didn't grab it</x:t>
  </x:si>
  <x:si>
    <x:t xml:space="preserve">ID-EXACT14</x:t>
  </x:si>
  <x:si>
    <x:t xml:space="preserve">Exact training recreation — source episode 716</x:t>
  </x:si>
  <x:si>
    <x:t xml:space="preserve">Independently recreate the prompt and ordered object list from training episode 716; do not reuse the preceding baseline scene.</x:t>
  </x:si>
  <x:si>
    <x:t xml:space="preserve">Exact final prompt and complete left-to-right object order from explicit training episode 716: blue tape ball | green highlighter | yellow pen | airplane toy with propellers.</x:t>
  </x:si>
  <x:si>
    <x:t xml:space="preserve">Move the fourth from the left object into the bowl.</x:t>
  </x:si>
  <x:si>
    <x:t xml:space="preserve">L1: airplane toy with propellers, L2: blue tape ball, L3: yellow pen, L4: green highlighter</x:t>
  </x:si>
  <x:si>
    <x:t xml:space="preserve">ID-EXACT15</x:t>
  </x:si>
  <x:si>
    <x:t xml:space="preserve">Exact training recreation — source episode 738</x:t>
  </x:si>
  <x:si>
    <x:t xml:space="preserve">Independently recreate the prompt and ordered object list from training episode 738; do not reuse the preceding baseline scene.</x:t>
  </x:si>
  <x:si>
    <x:t xml:space="preserve">Exact final prompt and complete left-to-right object order from explicit training episode 738: airplane toy with propellers | blue tape ball | yellow pen | green highlighter.</x:t>
  </x:si>
  <x:si>
    <x:t xml:space="preserve">L4</x:t>
  </x:si>
  <x:si>
    <x:t xml:space="preserve">fourth from left</x:t>
  </x:si>
  <x:si>
    <x:t xml:space="preserve">Move the second from the right object into the bowl.</x:t>
  </x:si>
  <x:si>
    <x:t xml:space="preserve">L1: green highlighter, L2: blue tape ball, L3: airplane toy with propellers, L4: yellow pen</x:t>
  </x:si>
  <x:si>
    <x:t xml:space="preserve">ID-EXACT16</x:t>
  </x:si>
  <x:si>
    <x:t xml:space="preserve">Exact training recreation — source episode 627</x:t>
  </x:si>
  <x:si>
    <x:t xml:space="preserve">Independently recreate the prompt and ordered object list from training episode 627; do not reuse the preceding baseline scene.</x:t>
  </x:si>
  <x:si>
    <x:t xml:space="preserve">Exact final prompt and complete left-to-right object order from explicit training episode 627: green highlighter | blue tape ball | airplane toy with propellers | yellow pen.</x:t>
  </x:si>
  <x:si>
    <x:t xml:space="preserve">Move the third from the left object into the bowl.</x:t>
  </x:si>
  <x:si>
    <x:t xml:space="preserve">L1: green highlighter, L2: blue tape ball, L3: yellow pen, L4: airplane toy with propellers</x:t>
  </x:si>
  <x:si>
    <x:t xml:space="preserve">picked airplane toy; hesitated for a long time before taking it to the bowl</x:t>
  </x:si>
  <x:si>
    <x:t xml:space="preserve">ID-EXACT17</x:t>
  </x:si>
  <x:si>
    <x:t xml:space="preserve">Exact training recreation — source episode 786</x:t>
  </x:si>
  <x:si>
    <x:t xml:space="preserve">Independently recreate the prompt and ordered object list from training episode 786; do not reuse the preceding baseline scene.</x:t>
  </x:si>
  <x:si>
    <x:t xml:space="preserve">Exact final prompt and complete left-to-right object order from explicit training episode 786: green highlighter | blue tape ball | yellow pen | airplane toy with propellers.</x:t>
  </x:si>
  <x:si>
    <x:t xml:space="preserve">Move the first from the right object into the bowl.</x:t>
  </x:si>
  <x:si>
    <x:t xml:space="preserve">L1: airplane toy with propellers, L2: green highlighter, L3: yellow pen, L4: blue tape ball</x:t>
  </x:si>
  <x:si>
    <x:t xml:space="preserve">ID-EXACT18</x:t>
  </x:si>
  <x:si>
    <x:t xml:space="preserve">Exact training recreation — source episode 687</x:t>
  </x:si>
  <x:si>
    <x:t xml:space="preserve">Independently recreate the prompt and ordered object list from training episode 687; do not reuse the preceding baseline scene.</x:t>
  </x:si>
  <x:si>
    <x:t xml:space="preserve">Exact final prompt and complete left-to-right object order from explicit training episode 687: airplane toy with propellers | green highlighter | yellow pen | blue tape ball.</x:t>
  </x:si>
  <x:si>
    <x:t xml:space="preserve">Pick up the object that is first from the right and place it in the bowl.</x:t>
  </x:si>
  <x:si>
    <x:t xml:space="preserve">ID-EXACT19</x:t>
  </x:si>
  <x:si>
    <x:t xml:space="preserve">Exact training recreation — source episode 689</x:t>
  </x:si>
  <x:si>
    <x:t xml:space="preserve">Independently recreate the prompt and ordered object list from training episode 689; do not reuse the preceding baseline scene.</x:t>
  </x:si>
  <x:si>
    <x:t xml:space="preserve">Exact final prompt and complete left-to-right object order from explicit training episode 689: green highlighter | airplane toy with propellers | yellow pen | blue tape ball.</x:t>
  </x:si>
  <x:si>
    <x:t xml:space="preserve">Pick up the object that is third from the left and place it in the bowl.</x:t>
  </x:si>
  <x:si>
    <x:t xml:space="preserve">L1: blue tape ball, L2: yellow pen, L3: airplane toy with propellers, L4: green highlighter</x:t>
  </x:si>
  <x:si>
    <x:t xml:space="preserve">ID-EXACT20</x:t>
  </x:si>
  <x:si>
    <x:t xml:space="preserve">Exact training recreation — source episode 626</x:t>
  </x:si>
  <x:si>
    <x:t xml:space="preserve">Independently recreate the prompt and ordered object list from training episode 626; do not reuse the preceding baseline scene.</x:t>
  </x:si>
  <x:si>
    <x:t xml:space="preserve">Exact final prompt and complete left-to-right object order from explicit training episode 626: blue tape ball | yellow pen | airplane toy with propellers | green highlighter.</x:t>
  </x:si>
  <x:si>
    <x:t xml:space="preserve">Pick up the object that is first from the left and place it in the bowl.</x:t>
  </x:si>
  <x:si>
    <x:t xml:space="preserve">L1: airplane toy with propellers, L2: blue tape ball</x:t>
  </x:si>
  <x:si>
    <x:t xml:space="preserve">CT-CF01-N2-01</x:t>
  </x:si>
  <x:si>
    <x:t xml:space="preserve">Masked cell n=2, L1, airplane toy with propellers</x:t>
  </x:si>
  <x:si>
    <x:t xml:space="preserve">2 — Full transfer/control/language families</x:t>
  </x:si>
  <x:si>
    <x:t xml:space="preserve">Build this new scene family exactly from the L1–L4 description and save a first-frame reference image.</x:t>
  </x:si>
  <x:si>
    <x:t xml:space="preserve">The final manifest masks this exact sequence-length × physical-position × target-identity cell. Both equivalent left- and right-based descriptions are absent for this cell, while the canonical instruction wording occurs elsewhere in training.</x:t>
  </x:si>
  <x:si>
    <x:t xml:space="preserve">Pick up the airplane toy with propellers and place it in the bowl.</x:t>
  </x:si>
  <x:si>
    <x:t xml:space="preserve">Exact-scene direct control; training prompt from episode 608</x:t>
  </x:si>
  <x:si>
    <x:t xml:space="preserve">Return the previously moved object to its marked position. Do not move any other object; only the prompt changes.</x:t>
  </x:si>
  <x:si>
    <x:t xml:space="preserve">This is the direct-name prompt assigned to the same masked training cell. It tests recognition and manipulation of the exact transfer target in the exact scene without requiring ordinal selection.</x:t>
  </x:si>
  <x:si>
    <x:t xml:space="preserve">Direct-name control</x:t>
  </x:si>
  <x:si>
    <x:t xml:space="preserve">Place the item occupying position first when counted from the left into the bowl.</x:t>
  </x:si>
  <x:si>
    <x:t xml:space="preserve">Transfer paraphrase</x:t>
  </x:si>
  <x:si>
    <x:t xml:space="preserve">Exact-scene paraphrase of the referenced canonical transfer row. Exclude this row from the 50-trial primary canonical score.</x:t>
  </x:si>
  <x:si>
    <x:t xml:space="preserve">first from left — paraphrase</x:t>
  </x:si>
  <x:si>
    <x:t xml:space="preserve">Take the airplane toy with propellers from the row and set it inside the bowl.</x:t>
  </x:si>
  <x:si>
    <x:t xml:space="preserve">Matched-control paraphrase</x:t>
  </x:si>
  <x:si>
    <x:t xml:space="preserve">Exact-scene paraphrase of the referenced direct-name control. This tests wording sensitivity without changing the target or physical scene.</x:t>
  </x:si>
  <x:si>
    <x:t xml:space="preserve">Direct-name paraphrase</x:t>
  </x:si>
  <x:si>
    <x:t xml:space="preserve">Lift the blue tape ball and leave it in the bowl.</x:t>
  </x:si>
  <x:si>
    <x:t xml:space="preserve">Starting at the left, count to the second item and put that item in the bowl.</x:t>
  </x:si>
  <x:si>
    <x:t xml:space="preserve">second from left — paraphrase</x:t>
  </x:si>
  <x:si>
    <x:t xml:space="preserve">Move the blue tape ball into the bowl.</x:t>
  </x:si>
  <x:si>
    <x:t xml:space="preserve">Exact-scene direct control; training prompt from episode 669</x:t>
  </x:si>
  <x:si>
    <x:t xml:space="preserve">Masked cell n=2, L2, blue tape ball</x:t>
  </x:si>
  <x:si>
    <x:t xml:space="preserve">L1: blue tape ball, L2: green highlighter, L3: airplane toy with propellers</x:t>
  </x:si>
  <x:si>
    <x:t xml:space="preserve">picked green highlighter</x:t>
  </x:si>
  <x:si>
    <x:t xml:space="preserve">CT-CF02-N3-01</x:t>
  </x:si>
  <x:si>
    <x:t xml:space="preserve">Masked cell n=3, L3, airplane toy with propellers</x:t>
  </x:si>
  <x:si>
    <x:t xml:space="preserve">Put the airplane toy with propellers in the bowl.</x:t>
  </x:si>
  <x:si>
    <x:t xml:space="preserve">Exact-scene direct control; training prompt from episode 631</x:t>
  </x:si>
  <x:si>
    <x:t xml:space="preserve">Move whichever item comes third when you count from the left into the bowl.</x:t>
  </x:si>
  <x:si>
    <x:t xml:space="preserve">third from left — paraphrase</x:t>
  </x:si>
  <x:si>
    <x:t xml:space="preserve">Transfer the airplane toy with propellers from its marked position into the bowl.</x:t>
  </x:si>
  <x:si>
    <x:t xml:space="preserve">succeeded reasoning and was trying to grab airplane toy, and couldn't during recovery, picked the green highlighter</x:t>
  </x:si>
  <x:si>
    <x:t xml:space="preserve">Starting at the left, count to the first item and put that item in the bowl.</x:t>
  </x:si>
  <x:si>
    <x:t xml:space="preserve">tried picking the airplane toy, couldn't then grabbed the green highlighter</x:t>
  </x:si>
  <x:si>
    <x:t xml:space="preserve">Put the blue tape ball in the bowl.</x:t>
  </x:si>
  <x:si>
    <x:t xml:space="preserve">succeeded reasoning; went for the blue tape ball, but knocked it out of range and couldn't recover</x:t>
  </x:si>
  <x:si>
    <x:t xml:space="preserve">Exact-scene direct control; training prompt from episode 655</x:t>
  </x:si>
  <x:si>
    <x:t xml:space="preserve">Masked cell n=3, L1, blue tape ball</x:t>
  </x:si>
  <x:si>
    <x:t xml:space="preserve">Pick up the object that is second from the right and place it in the bowl.</x:t>
  </x:si>
  <x:si>
    <x:t xml:space="preserve">L1: green highlighter, L2: yellow pen</x:t>
  </x:si>
  <x:si>
    <x:t xml:space="preserve">CT-CF03-N2-04</x:t>
  </x:si>
  <x:si>
    <x:t xml:space="preserve">Masked cell n=2, L1, green highlighter</x:t>
  </x:si>
  <x:si>
    <x:t xml:space="preserve">Pick up the green highlighter and place it in the bowl.</x:t>
  </x:si>
  <x:si>
    <x:t xml:space="preserve">Exact-scene direct control; training prompt from episode 710</x:t>
  </x:si>
  <x:si>
    <x:t xml:space="preserve">Move whichever item comes second when you count from the right into the bowl.</x:t>
  </x:si>
  <x:si>
    <x:t xml:space="preserve">got gripper on the green highlighter, but couldn't pick it up</x:t>
  </x:si>
  <x:si>
    <x:t xml:space="preserve">second from right — paraphrase</x:t>
  </x:si>
  <x:si>
    <x:t xml:space="preserve">Transfer the green highlighter from its marked position into the bowl.</x:t>
  </x:si>
  <x:si>
    <x:t xml:space="preserve">Grasp the yellow pen, then release it inside the bowl.</x:t>
  </x:si>
  <x:si>
    <x:t xml:space="preserve">Count from the left; place item number 2 in the bowl.</x:t>
  </x:si>
  <x:si>
    <x:t xml:space="preserve">got gripper on the green highlighter and then didn't move</x:t>
  </x:si>
  <x:si>
    <x:t xml:space="preserve">Move the yellow pen into the bowl.</x:t>
  </x:si>
  <x:si>
    <x:t xml:space="preserve">Exact-scene direct control; training prompt from episode 771</x:t>
  </x:si>
  <x:si>
    <x:t xml:space="preserve">Masked cell n=2, L2, yellow pen</x:t>
  </x:si>
  <x:si>
    <x:t xml:space="preserve">L1: yellow pen, L2: airplane toy with propellers, L3: green highlighter</x:t>
  </x:si>
  <x:si>
    <x:t xml:space="preserve">CT-CF04-N3-04</x:t>
  </x:si>
  <x:si>
    <x:t xml:space="preserve">Masked cell n=3, L3, green highlighter</x:t>
  </x:si>
  <x:si>
    <x:t xml:space="preserve">Put the green highlighter in the bowl.</x:t>
  </x:si>
  <x:si>
    <x:t xml:space="preserve">Exact-scene direct control; training prompt from episode 733</x:t>
  </x:si>
  <x:si>
    <x:t xml:space="preserve">Put the item in the third position from the left into the bowl.</x:t>
  </x:si>
  <x:si>
    <x:t xml:space="preserve">Move the row's green highlighter into the bowl.</x:t>
  </x:si>
  <x:si>
    <x:t xml:space="preserve">Count from the left; place item number 1 in the bowl.</x:t>
  </x:si>
  <x:si>
    <x:t xml:space="preserve">Put the yellow pen in the bowl.</x:t>
  </x:si>
  <x:si>
    <x:t xml:space="preserve">Exact-scene direct control; training prompt from episode 757</x:t>
  </x:si>
  <x:si>
    <x:t xml:space="preserve">Masked cell n=3, L1, yellow pen</x:t>
  </x:si>
  <x:si>
    <x:t xml:space="preserve">picked blue tape ball</x:t>
  </x:si>
  <x:si>
    <x:t xml:space="preserve">CT-CF05-N4-01</x:t>
  </x:si>
  <x:si>
    <x:t xml:space="preserve">Masked cell n=4, L1, airplane toy with propellers</x:t>
  </x:si>
  <x:si>
    <x:t xml:space="preserve">Move the airplane toy with propellers into the bowl.</x:t>
  </x:si>
  <x:si>
    <x:t xml:space="preserve">Exact-scene direct control; training prompt from episode 600</x:t>
  </x:si>
  <x:si>
    <x:t xml:space="preserve">Put the item in the fourth position from the right into the bowl.</x:t>
  </x:si>
  <x:si>
    <x:t xml:space="preserve">fourth from right — paraphrase</x:t>
  </x:si>
  <x:si>
    <x:t xml:space="preserve">Move the row's airplane toy with propellers into the bowl.</x:t>
  </x:si>
  <x:si>
    <x:t xml:space="preserve">Take the blue tape ball from the row and set it inside the bowl.</x:t>
  </x:si>
  <x:si>
    <x:t xml:space="preserve">succeeded in going to the tape ball but didn't grasp it; knocked it out of range</x:t>
  </x:si>
  <x:si>
    <x:t xml:space="preserve">Place the item occupying position second when counted from the left into the bowl.</x:t>
  </x:si>
  <x:si>
    <x:t xml:space="preserve">Exact-scene direct control; training prompt from episode 667</x:t>
  </x:si>
  <x:si>
    <x:t xml:space="preserve">Masked cell n=4, L2, blue tape ball</x:t>
  </x:si>
  <x:si>
    <x:t xml:space="preserve">L1: green highlighter, L2: blue tape ball</x:t>
  </x:si>
  <x:si>
    <x:t xml:space="preserve">CT-CF06-N2-03</x:t>
  </x:si>
  <x:si>
    <x:t xml:space="preserve">3 — Transfer + matched-control families</x:t>
  </x:si>
  <x:si>
    <x:t xml:space="preserve">Pick up the blue tape ball and place it in the bowl.</x:t>
  </x:si>
  <x:si>
    <x:t xml:space="preserve">Exact-scene direct control; training prompt from episode 668</x:t>
  </x:si>
  <x:si>
    <x:t xml:space="preserve">Move the green highlighter into the bowl.</x:t>
  </x:si>
  <x:si>
    <x:t xml:space="preserve">Exact-scene direct control; training prompt from episode 708</x:t>
  </x:si>
  <x:si>
    <x:t xml:space="preserve">L1: yellow pen, L2: blue tape ball, L3: airplane toy with propellers</x:t>
  </x:si>
  <x:si>
    <x:t xml:space="preserve">CT-CF07-N3-03</x:t>
  </x:si>
  <x:si>
    <x:t xml:space="preserve">Exact-scene direct control; training prompt from episode 756</x:t>
  </x:si>
  <x:si>
    <x:t xml:space="preserve">Exact-scene direct control; training prompt from episode 630</x:t>
  </x:si>
  <x:si>
    <x:t xml:space="preserve">Pick up the object that is fourth from the left and place it in the bowl.</x:t>
  </x:si>
  <x:si>
    <x:t xml:space="preserve">L1: blue tape ball, L2: airplane toy with propellers, L3: green highlighter, L4: yellow pen</x:t>
  </x:si>
  <x:si>
    <x:t xml:space="preserve">CT-CF08-N4-02</x:t>
  </x:si>
  <x:si>
    <x:t xml:space="preserve">Masked cell n=4, L4, yellow pen</x:t>
  </x:si>
  <x:si>
    <x:t xml:space="preserve">Pick up the yellow pen and place it in the bowl.</x:t>
  </x:si>
  <x:si>
    <x:t xml:space="preserve">Exact-scene direct control; training prompt from episode 795</x:t>
  </x:si>
  <x:si>
    <x:t xml:space="preserve">Exact-scene direct control; training prompt from episode 725</x:t>
  </x:si>
  <x:si>
    <x:t xml:space="preserve">Masked cell n=4, L3, green highlighter</x:t>
  </x:si>
  <x:si>
    <x:t xml:space="preserve">L1: airplane toy with propellers, L2: yellow pen</x:t>
  </x:si>
  <x:si>
    <x:t xml:space="preserve">CT-CF09-N2-02</x:t>
  </x:si>
  <x:si>
    <x:t xml:space="preserve">Exact-scene direct control; training prompt from episode 611</x:t>
  </x:si>
  <x:si>
    <x:t xml:space="preserve">L1: blue tape ball, L2: yellow pen, L3: green highlighter</x:t>
  </x:si>
  <x:si>
    <x:t xml:space="preserve">CT-CF10-N3-02</x:t>
  </x:si>
  <x:si>
    <x:t xml:space="preserve">picked the green highlighter</x:t>
  </x:si>
  <x:si>
    <x:t xml:space="preserve">succeeded reasoning. tried to get the airplane toy, but knocked it and during recovery got the blue tape ball</x:t>
  </x:si>
  <x:si>
    <x:t xml:space="preserve">CT-CF11-N2-05</x:t>
  </x:si>
  <x:si>
    <x:t xml:space="preserve">4 — Transfer-only counterfactual pairs</x:t>
  </x:si>
  <x:si>
    <x:t xml:space="preserve">succeeded reasoning, but overgripped and the tape ball flew away</x:t>
  </x:si>
  <x:si>
    <x:t xml:space="preserve">L1: blue tape ball, L2: yellow pen, L3: airplane toy with propellers</x:t>
  </x:si>
  <x:si>
    <x:t xml:space="preserve">CT-CF12-N3-05</x:t>
  </x:si>
  <x:si>
    <x:t xml:space="preserve">L1: airplane toy with propellers, L2: yellow pen, L3: green highlighter, L4: blue tape ball</x:t>
  </x:si>
  <x:si>
    <x:t xml:space="preserve">CT-CF13-N4-03</x:t>
  </x:si>
  <x:si>
    <x:t xml:space="preserve">CT-CF14-N2-06</x:t>
  </x:si>
  <x:si>
    <x:t xml:space="preserve">L1: blue tape ball, L2: airplane toy with propellers, L3: green highlighter</x:t>
  </x:si>
  <x:si>
    <x:t xml:space="preserve">CT-CF15-N3-06</x:t>
  </x:si>
  <x:si>
    <x:t xml:space="preserve">tried to pick airplane toy and then misgripped and during recovery got the tape ball</x:t>
  </x:si>
  <x:si>
    <x:t xml:space="preserve">CT-CF16-N4-04</x:t>
  </x:si>
  <x:si>
    <x:t xml:space="preserve">Pick up the object that is third from the right and place it in the bowl.</x:t>
  </x:si>
  <x:si>
    <x:t xml:space="preserve">CT-CF17-N2-07</x:t>
  </x:si>
  <x:si>
    <x:t xml:space="preserve">L1: yellow pen, L2: green highlighter, L3: airplane toy with propellers</x:t>
  </x:si>
  <x:si>
    <x:t xml:space="preserve">CT-CF18-N3-07</x:t>
  </x:si>
  <x:si>
    <x:t xml:space="preserve">L1: airplane toy with propellers, L2: green highlighter, L3: blue tape ball, L4: yellow pen</x:t>
  </x:si>
  <x:si>
    <x:t xml:space="preserve">CT-CF19-N4-05</x:t>
  </x:si>
  <x:si>
    <x:t xml:space="preserve">went to the right edge of workspace and jittered around</x:t>
  </x:si>
  <x:si>
    <x:t xml:space="preserve">CT-CF20-N2-08</x:t>
  </x:si>
  <x:si>
    <x:t xml:space="preserve">L1: yellow pen, L2: blue tape ball, L3: green highlighter</x:t>
  </x:si>
  <x:si>
    <x:t xml:space="preserve">CT-CF21-N3-08</x:t>
  </x:si>
  <x:si>
    <x:t xml:space="preserve">L1: yellow pen, L2: blue tape ball, L3: green highlighter, L4: airplane toy with propellers</x:t>
  </x:si>
  <x:si>
    <x:t xml:space="preserve">CT-CF22-N4-06</x:t>
  </x:si>
  <x:si>
    <x:t xml:space="preserve">L1: airplane toy with propellers, L2: blue tape ball, L3: green highlighter, L4: yellow pen</x:t>
  </x:si>
  <x:si>
    <x:t xml:space="preserve">CT-CF23-N4-07</x:t>
  </x:si>
  <x:si>
    <x:t xml:space="preserve">CT-CF24-N4-08</x:t>
  </x:si>
  <x:si>
    <x:t xml:space="preserve">CT-CF25-N4-09</x:t>
  </x:si>
  <x:si>
    <x:t xml:space="preserve">tried picking green highlighter and couldn't</x:t>
  </x:si>
  <x:si>
    <x:t xml:space="preserve">L1: red block, L2: airplane toy with propellers</x:t>
  </x:si>
  <x:si>
    <x:t xml:space="preserve">Cross-task ordinal transfer — red block target</x:t>
  </x:si>
  <x:si>
    <x:t xml:space="preserve">XO-RB-CF01</x:t>
  </x:si>
  <x:si>
    <x:t xml:space="preserve">Reasoning prompt; red block is the ordinal target</x:t>
  </x:si>
  <x:si>
    <x:t xml:space="preserve">5 — Red-block counterfactual pairs</x:t>
  </x:si>
  <x:si>
    <x:t xml:space="preserve">The red block is globally familiar from Relational Placement but absent from Ordering training. The prompt never names it; ordinal reasoning is required. Pair order is counterbalanced across families.</x:t>
  </x:si>
  <x:si>
    <x:t xml:space="preserve">Cross-task ordinal counterfactual — red block distractor</x:t>
  </x:si>
  <x:si>
    <x:t xml:space="preserve">Same scene; explicitly trained Ordering target (source episode 621)</x:t>
  </x:si>
  <x:si>
    <x:t xml:space="preserve">The same scene now targets a familiar Ordering object using the same canonical reasoning template and an exact training-supported ordinal prompt. The red block remains visible but is not the target.</x:t>
  </x:si>
  <x:si>
    <x:t xml:space="preserve">L1: blue tape ball, L2: red block</x:t>
  </x:si>
  <x:si>
    <x:t xml:space="preserve">picked red block</x:t>
  </x:si>
  <x:si>
    <x:t xml:space="preserve">XO-RB-CF02</x:t>
  </x:si>
  <x:si>
    <x:t xml:space="preserve">Same scene; explicitly trained Ordering target (source episode 659)</x:t>
  </x:si>
  <x:si>
    <x:t xml:space="preserve">L1: red block, L2: green highlighter, L3: blue tape ball</x:t>
  </x:si>
  <x:si>
    <x:t xml:space="preserve">went towards the red block then drifted to green highlighter and took it</x:t>
  </x:si>
  <x:si>
    <x:t xml:space="preserve">XO-RB-CF03</x:t>
  </x:si>
  <x:si>
    <x:t xml:space="preserve">Same scene; explicitly trained Ordering target (source episode 683)</x:t>
  </x:si>
  <x:si>
    <x:t xml:space="preserve">L1: airplane toy with propellers, L2: yellow pen, L3: red block</x:t>
  </x:si>
  <x:si>
    <x:t xml:space="preserve">XO-RB-CF04</x:t>
  </x:si>
  <x:si>
    <x:t xml:space="preserve">Same scene; explicitly trained Ordering target (source episode 606)</x:t>
  </x:si>
  <x:si>
    <x:t xml:space="preserve">L1: red block, L2: green highlighter, L3: yellow pen, L4: blue tape ball</x:t>
  </x:si>
  <x:si>
    <x:t xml:space="preserve">XO-RB-CF05</x:t>
  </x:si>
  <x:si>
    <x:t xml:space="preserve">Same scene; explicitly trained Ordering target (source episode 718)</x:t>
  </x:si>
  <x:si>
    <x:t xml:space="preserve">L1: yellow pen, L2: red block, L3: airplane toy with propellers, L4: blue tape ball</x:t>
  </x:si>
  <x:si>
    <x:t xml:space="preserve">XO-RB-CF06</x:t>
  </x:si>
  <x:si>
    <x:t xml:space="preserve">Same scene; explicitly trained Ordering target (source episode 626)</x:t>
  </x:si>
  <x:si>
    <x:t xml:space="preserve">L1: yellow pen, L2: red block, L3: green highlighter, L4: blue tape ball</x:t>
  </x:si>
  <x:si>
    <x:t xml:space="preserve">XO-RB-CF07</x:t>
  </x:si>
  <x:si>
    <x:t xml:space="preserve">Same scene; explicitly trained Ordering target (source episode 689)</x:t>
  </x:si>
  <x:si>
    <x:t xml:space="preserve">L1: airplane toy with propellers, L2: yellow pen, L3: red block, L4: blue tape ball</x:t>
  </x:si>
  <x:si>
    <x:t xml:space="preserve">picked the red block; seemed to be trying to pick the yellow pen but drifted to the red block</x:t>
  </x:si>
  <x:si>
    <x:t xml:space="preserve">XO-RB-CF08</x:t>
  </x:si>
  <x:si>
    <x:t xml:space="preserve">Same scene; explicitly trained Ordering target (source episode 765)</x:t>
  </x:si>
  <x:si>
    <x:t xml:space="preserve">L1: airplane toy with propellers, L2: green highlighter, L3: blue tape ball, L4: red block</x:t>
  </x:si>
  <x:si>
    <x:t xml:space="preserve">XO-RB-CF09</x:t>
  </x:si>
  <x:si>
    <x:t xml:space="preserve">failed reasoning; tried ot pick the blue tape ball and missed and then got the green highlighter</x:t>
  </x:si>
  <x:si>
    <x:t xml:space="preserve">Same scene; explicitly trained Ordering target (source episode 717)</x:t>
  </x:si>
  <x:si>
    <x:t xml:space="preserve">L1: blue tape ball, L2: airplane toy with propellers, L3: yellow pen, L4: red block</x:t>
  </x:si>
  <x:si>
    <x:t xml:space="preserve">XO-RB-CF10</x:t>
  </x:si>
  <x:si>
    <x:t xml:space="preserve">Same scene; explicitly trained Ordering target (source episode 776)</x:t>
  </x:si>
  <x:si>
    <x:t xml:space="preserve">L1: airplane toy with propellers, L2: blue tape ball, L3: green highlighter</x:t>
  </x:si>
  <x:si>
    <x:t xml:space="preserve">None — requested ordinal does not exist</x:t>
  </x:si>
  <x:si>
    <x:t xml:space="preserve">Invalid ordinal / no-movement diagnostic</x:t>
  </x:si>
  <x:si>
    <x:t xml:space="preserve">NOOP-INV01</x:t>
  </x:si>
  <x:si>
    <x:t xml:space="preserve">Request ordinal 4 in an n=3 scene</x:t>
  </x:si>
  <x:si>
    <x:t xml:space="preserve">6 — Invalid-ordinal no-movement pairs</x:t>
  </x:si>
  <x:si>
    <x:t xml:space="preserve">There is no valid referent. Success requires abstaining: do not grasp, displace, or place any object. Report this separately because training contains no explicit no-operation examples.</x:t>
  </x:si>
  <x:si>
    <x:t xml:space="preserve">Keep the exact scene unchanged; switch only the impossible ordinal prompt.</x:t>
  </x:si>
  <x:si>
    <x:t xml:space="preserve">L1: yellow pen, L2: green highlighter, L3: blue tape ball</x:t>
  </x:si>
  <x:si>
    <x:t xml:space="preserve">NOOP-INV02</x:t>
  </x:si>
  <x:si>
    <x:t xml:space="preserve">L1: blue tape ball, L2: airplane toy with propellers, L3: yellow pen</x:t>
  </x:si>
  <x:si>
    <x:t xml:space="preserve">NOOP-INV03</x:t>
  </x:si>
  <x:si>
    <x:t xml:space="preserve">L1: green highlighter, L2: yellow pen, L3: airplane toy with propellers</x:t>
  </x:si>
  <x:si>
    <x:t xml:space="preserve">NOOP-INV04</x:t>
  </x:si>
  <x:si>
    <x:t xml:space="preserve">picked the airplane toy; hesitated before moving the airplane toy to the bowl</x:t>
  </x:si>
  <x:si>
    <x:t xml:space="preserve">NOOP-INV05</x:t>
  </x:si>
  <x:si>
    <x:t xml:space="preserve">picked the blue tape ball</x:t>
  </x:si>
  <x:si>
    <x:t xml:space="preserve">NOOP-INV06</x:t>
  </x:si>
  <x:si>
    <x:t xml:space="preserve">Request ordinal 3 in an n=2 scene</x:t>
  </x:si>
  <x:si>
    <x:t xml:space="preserve">NOOP-INV07</x:t>
  </x:si>
  <x:si>
    <x:t xml:space="preserve">L1: blue tape ball, L2: green highlighter</x:t>
  </x:si>
  <x:si>
    <x:t xml:space="preserve">NOOP-INV08</x:t>
  </x:si>
  <x:si>
    <x:t xml:space="preserve">tried to pick the green highlighter but couldn't</x:t>
  </x:si>
  <x:si>
    <x:t xml:space="preserve">NOOP-INV09</x:t>
  </x:si>
  <x:si>
    <x:t xml:space="preserve">NOOP-INV10</x:t>
  </x:si>
  <x:si>
    <x:t xml:space="preserve">tried to pick airplane toy; then picked the green highlighter</x:t>
  </x:si>
  <x:si>
    <x:t xml:space="preserve">moved the green pen in front of the pink marker, but didn't let go of it; success reasoning</x:t>
  </x:si>
  <x:si>
    <x:t xml:space="preserve">GR00T vision-only Results</x:t>
  </x:si>
  <x:si>
    <x:t xml:space="preserve">went to the green pen 2 times before grabbing it. Did end up moving it to the back of the pink pen, but didn't let go. Successful reasoning</x:t>
  </x:si>
  <x:si>
    <x:t xml:space="preserve">moved pink marker more towards the back of the red block</x:t>
  </x:si>
  <x:si>
    <x:t xml:space="preserve">put the green pen on top of the blue block, then didn't let go of the green pen</x:t>
  </x:si>
  <x:si>
    <x:t xml:space="preserve">Place the red block to the left of the blue block.</x:t>
  </x:si>
  <x:si>
    <x:t xml:space="preserve">red block, blue block, green pen, pink marker</x:t>
  </x:si>
  <x:si>
    <x:t xml:space="preserve">red block → 2–8 cm edge gap to the left of blue block; centroid direction within ±45°.</x:t>
  </x:si>
  <x:si>
    <x:t xml:space="preserve">RP-ID-CF04</x:t>
  </x:si>
  <x:si>
    <x:t xml:space="preserve">279</x:t>
  </x:si>
  <x:si>
    <x:t xml:space="preserve">Exact explicitly trained ordered relation-object cell from training episode 279. The four adjacent prompts share one initially unsatisfied scene.</x:t>
  </x:si>
  <x:si>
    <x:t xml:space="preserve">Place the red block to the right of the blue block.</x:t>
  </x:si>
  <x:si>
    <x:t xml:space="preserve">red block → 2–8 cm edge gap to the right of blue block; centroid direction within ±45°.</x:t>
  </x:si>
  <x:si>
    <x:t xml:space="preserve">couldn't grasp the red block</x:t>
  </x:si>
  <x:si>
    <x:t xml:space="preserve">292</x:t>
  </x:si>
  <x:si>
    <x:t xml:space="preserve">Exact explicitly trained ordered relation-object cell from training episode 292. The four adjacent prompts share one initially unsatisfied scene.</x:t>
  </x:si>
  <x:si>
    <x:t xml:space="preserve">Place the blue block to the left of the red block.</x:t>
  </x:si>
  <x:si>
    <x:t xml:space="preserve">blue block → 2–8 cm edge gap to the left of red block; centroid direction within ±45°.</x:t>
  </x:si>
  <x:si>
    <x:t xml:space="preserve">succeeded reasoning; moved the blue block to the left of the red block but couldn't let go of the blue block</x:t>
  </x:si>
  <x:si>
    <x:t xml:space="preserve">379</x:t>
  </x:si>
  <x:si>
    <x:t xml:space="preserve">Exact explicitly trained ordered relation-object cell from training episode 379. The four adjacent prompts share one initially unsatisfied scene.</x:t>
  </x:si>
  <x:si>
    <x:t xml:space="preserve">Place the blue block to the right of the red block.</x:t>
  </x:si>
  <x:si>
    <x:t xml:space="preserve">blue block → 2–8 cm edge gap to the right of red block; centroid direction within ±45°.</x:t>
  </x:si>
  <x:si>
    <x:t xml:space="preserve">392</x:t>
  </x:si>
  <x:si>
    <x:t xml:space="preserve">Exact explicitly trained ordered relation-object cell from training episode 392. The four adjacent prompts share one initially unsatisfied scene.</x:t>
  </x:si>
  <x:si>
    <x:t xml:space="preserve">Place the green pen to the left of the pink marker.</x:t>
  </x:si>
  <x:si>
    <x:t xml:space="preserve">green pen, pink marker, red block, blue block</x:t>
  </x:si>
  <x:si>
    <x:t xml:space="preserve">green pen → 2–8 cm edge gap to the left of pink marker; centroid direction within ±45°.</x:t>
  </x:si>
  <x:si>
    <x:t xml:space="preserve">RP-ID-CF05</x:t>
  </x:si>
  <x:si>
    <x:t xml:space="preserve">Four-prompt trained-cell mixed-axis counterfactual with all four target identities</x:t>
  </x:si>
  <x:si>
    <x:t xml:space="preserve">229</x:t>
  </x:si>
  <x:si>
    <x:t xml:space="preserve">Exact explicitly trained ordered relation-object cell from training episode 229. The four adjacent prompts share one initially unsatisfied scene.</x:t>
  </x:si>
  <x:si>
    <x:t xml:space="preserve">Place the pink marker to the right of the green pen.</x:t>
  </x:si>
  <x:si>
    <x:t xml:space="preserve">pink marker → 2–8 cm edge gap to the right of green pen; centroid direction within ±45°.</x:t>
  </x:si>
  <x:si>
    <x:t xml:space="preserve">342</x:t>
  </x:si>
  <x:si>
    <x:t xml:space="preserve">Exact explicitly trained ordered relation-object cell from training episode 342. The four adjacent prompts share one initially unsatisfied scene.</x:t>
  </x:si>
  <x:si>
    <x:t xml:space="preserve">Move the red block to the front of the blue block.</x:t>
  </x:si>
  <x:si>
    <x:t xml:space="preserve">red block → 2–8 cm edge gap in front of blue block; centroid direction within ±45°.</x:t>
  </x:si>
  <x:si>
    <x:t xml:space="preserve">254</x:t>
  </x:si>
  <x:si>
    <x:t xml:space="preserve">Exact explicitly trained ordered relation-object cell from training episode 254. The four adjacent prompts share one initially unsatisfied scene.</x:t>
  </x:si>
  <x:si>
    <x:t xml:space="preserve">Place the blue block behind the red block.</x:t>
  </x:si>
  <x:si>
    <x:t xml:space="preserve">blue block → 2–8 cm edge gap behind red block; centroid direction within ±45°.</x:t>
  </x:si>
  <x:si>
    <x:t xml:space="preserve">367</x:t>
  </x:si>
  <x:si>
    <x:t xml:space="preserve">Exact explicitly trained ordered relation-object cell from training episode 367. The four adjacent prompts share one initially unsatisfied scene.</x:t>
  </x:si>
  <x:si>
    <x:t xml:space="preserve">Place the green pen in front of the red block.</x:t>
  </x:si>
  <x:si>
    <x:t xml:space="preserve">green pen, red block, pink marker</x:t>
  </x:si>
  <x:si>
    <x:t xml:space="preserve">green pen → 2–8 cm edge gap in front of red block; centroid direction within ±45°.</x:t>
  </x:si>
  <x:si>
    <x:t xml:space="preserve">succeeded reasoning; moved green pen to the front of the red block but didn't let go</x:t>
  </x:si>
  <x:si>
    <x:t xml:space="preserve">RP-CT-CF01</x:t>
  </x:si>
  <x:si>
    <x:t xml:space="preserve">Four-way held-out counterfactual: relation polarity × target/reference role</x:t>
  </x:si>
  <x:si>
    <x:t xml:space="preserve">201</x:t>
  </x:si>
  <x:si>
    <x:t xml:space="preserve">Build the listed neutral-axis scene and save the first frame.</x:t>
  </x:si>
  <x:si>
    <x:t xml:space="preserve">The directional word × ordered green-pen/red-block role is held out. Source episode 201 supplies the same target manipulation under a trained near/next-to/beside prompt. The orthogonal start prevents an inverse-start shortcut.</x:t>
  </x:si>
  <x:si>
    <x:t xml:space="preserve">Place the green pen behind the red block.</x:t>
  </x:si>
  <x:si>
    <x:t xml:space="preserve">green pen → 2–8 cm edge gap behind red block; centroid direction within ±45°.</x:t>
  </x:si>
  <x:si>
    <x:t xml:space="preserve">213</x:t>
  </x:si>
  <x:si>
    <x:t xml:space="preserve">Reset both core objects to their marked poses; preserve distractors, camera, and robot start; change only the instruction.</x:t>
  </x:si>
  <x:si>
    <x:t xml:space="preserve">The directional word × ordered green-pen/red-block role is held out. Source episode 213 supplies the same target manipulation under a trained near/next-to/beside prompt. The orthogonal start prevents an inverse-start shortcut.</x:t>
  </x:si>
  <x:si>
    <x:t xml:space="preserve">Place the red block in front of the green pen.</x:t>
  </x:si>
  <x:si>
    <x:t xml:space="preserve">red block → 2–8 cm edge gap in front of green pen; centroid direction within ±45°.</x:t>
  </x:si>
  <x:si>
    <x:t xml:space="preserve">259</x:t>
  </x:si>
  <x:si>
    <x:t xml:space="preserve">The directional word × ordered green-pen/red-block role is held out. Source episode 259 supplies the same target manipulation under a trained near/next-to/beside prompt. The orthogonal start prevents an inverse-start shortcut.</x:t>
  </x:si>
  <x:si>
    <x:t xml:space="preserve">Place the red block behind the green pen.</x:t>
  </x:si>
  <x:si>
    <x:t xml:space="preserve">red block → 2–8 cm edge gap behind green pen; centroid direction within ±45°.</x:t>
  </x:si>
  <x:si>
    <x:t xml:space="preserve">272</x:t>
  </x:si>
  <x:si>
    <x:t xml:space="preserve">The directional word × ordered green-pen/red-block role is held out. Source episode 272 supplies the same target manipulation under a trained near/next-to/beside prompt. The orthogonal start prevents an inverse-start shortcut.</x:t>
  </x:si>
  <x:si>
    <x:t xml:space="preserve">green pen, red block, blue block, pink marker</x:t>
  </x:si>
  <x:si>
    <x:t xml:space="preserve">RP-CT-CF02</x:t>
  </x:si>
  <x:si>
    <x:t xml:space="preserve">202</x:t>
  </x:si>
  <x:si>
    <x:t xml:space="preserve">The directional word × ordered green-pen/red-block role is held out. Source episode 202 supplies the same target manipulation under a trained near/next-to/beside prompt. The orthogonal start prevents an inverse-start shortcut.</x:t>
  </x:si>
  <x:si>
    <x:t xml:space="preserve">214</x:t>
  </x:si>
  <x:si>
    <x:t xml:space="preserve">The directional word × ordered green-pen/red-block role is held out. Source episode 214 supplies the same target manipulation under a trained near/next-to/beside prompt. The orthogonal start prevents an inverse-start shortcut.</x:t>
  </x:si>
  <x:si>
    <x:t xml:space="preserve">260</x:t>
  </x:si>
  <x:si>
    <x:t xml:space="preserve">The directional word × ordered green-pen/red-block role is held out. Source episode 260 supplies the same target manipulation under a trained near/next-to/beside prompt. The orthogonal start prevents an inverse-start shortcut.</x:t>
  </x:si>
  <x:si>
    <x:t xml:space="preserve">more to the right of the pink marker but also back of green pen. I'll count it</x:t>
  </x:si>
  <x:si>
    <x:t xml:space="preserve">273</x:t>
  </x:si>
  <x:si>
    <x:t xml:space="preserve">The directional word × ordered green-pen/red-block role is held out. Source episode 273 supplies the same target manipulation under a trained near/next-to/beside prompt. The orthogonal start prevents an inverse-start shortcut.</x:t>
  </x:si>
  <x:si>
    <x:t xml:space="preserve">RP-CT-CF03</x:t>
  </x:si>
  <x:si>
    <x:t xml:space="preserve">203</x:t>
  </x:si>
  <x:si>
    <x:t xml:space="preserve">The directional word × ordered green-pen/red-block role is held out. Source episode 203 supplies the same target manipulation under a trained near/next-to/beside prompt. The orthogonal start prevents an inverse-start shortcut.</x:t>
  </x:si>
  <x:si>
    <x:t xml:space="preserve">picked the pen funny and dropped it to the right of the red block; did go back to pick it up, but timed out</x:t>
  </x:si>
  <x:si>
    <x:t xml:space="preserve">215</x:t>
  </x:si>
  <x:si>
    <x:t xml:space="preserve">The directional word × ordered green-pen/red-block role is held out. Source episode 215 supplies the same target manipulation under a trained near/next-to/beside prompt. The orthogonal start prevents an inverse-start shortcut.</x:t>
  </x:si>
  <x:si>
    <x:t xml:space="preserve">261</x:t>
  </x:si>
  <x:si>
    <x:t xml:space="preserve">The directional word × ordered green-pen/red-block role is held out. Source episode 261 supplies the same target manipulation under a trained near/next-to/beside prompt. The orthogonal start prevents an inverse-start shortcut.</x:t>
  </x:si>
  <x:si>
    <x:t xml:space="preserve">274</x:t>
  </x:si>
  <x:si>
    <x:t xml:space="preserve">The directional word × ordered green-pen/red-block role is held out. Source episode 274 supplies the same target manipulation under a trained near/next-to/beside prompt. The orthogonal start prevents an inverse-start shortcut.</x:t>
  </x:si>
  <x:si>
    <x:t xml:space="preserve">Place the green pen to the left of the red block.</x:t>
  </x:si>
  <x:si>
    <x:t xml:space="preserve">green pen → 2–8 cm edge gap to the left of red block; centroid direction within ±45°.</x:t>
  </x:si>
  <x:si>
    <x:t xml:space="preserve">moved towards the red block but was at the back and never moved to the left; didn't let go of object and timed out</x:t>
  </x:si>
  <x:si>
    <x:t xml:space="preserve">RP-CT-CF04</x:t>
  </x:si>
  <x:si>
    <x:t xml:space="preserve">227</x:t>
  </x:si>
  <x:si>
    <x:t xml:space="preserve">The directional word × ordered green-pen/red-block role is held out. Source episode 227 supplies the same target manipulation under a trained near/next-to/beside prompt. The orthogonal start prevents an inverse-start shortcut.</x:t>
  </x:si>
  <x:si>
    <x:t xml:space="preserve">Place the green pen to the right of the red block.</x:t>
  </x:si>
  <x:si>
    <x:t xml:space="preserve">green pen → 2–8 cm edge gap to the right of red block; centroid direction within ±45°.</x:t>
  </x:si>
  <x:si>
    <x:t xml:space="preserve">239</x:t>
  </x:si>
  <x:si>
    <x:t xml:space="preserve">The directional word × ordered green-pen/red-block role is held out. Source episode 239 supplies the same target manipulation under a trained near/next-to/beside prompt. The orthogonal start prevents an inverse-start shortcut.</x:t>
  </x:si>
  <x:si>
    <x:t xml:space="preserve">Place the red block to the left of the green pen.</x:t>
  </x:si>
  <x:si>
    <x:t xml:space="preserve">red block → 2–8 cm edge gap to the left of green pen; centroid direction within ±45°.</x:t>
  </x:si>
  <x:si>
    <x:t xml:space="preserve">didn't fully go home, but I'll count it. Struggled on the release</x:t>
  </x:si>
  <x:si>
    <x:t xml:space="preserve">285</x:t>
  </x:si>
  <x:si>
    <x:t xml:space="preserve">The directional word × ordered green-pen/red-block role is held out. Source episode 285 supplies the same target manipulation under a trained near/next-to/beside prompt. The orthogonal start prevents an inverse-start shortcut.</x:t>
  </x:si>
  <x:si>
    <x:t xml:space="preserve">Place the red block to the right of the green pen.</x:t>
  </x:si>
  <x:si>
    <x:t xml:space="preserve">red block → 2–8 cm edge gap to the right of green pen; centroid direction within ±45°.</x:t>
  </x:si>
  <x:si>
    <x:t xml:space="preserve">298</x:t>
  </x:si>
  <x:si>
    <x:t xml:space="preserve">The directional word × ordered green-pen/red-block role is held out. Source episode 298 supplies the same target manipulation under a trained near/next-to/beside prompt. The orthogonal start prevents an inverse-start shortcut.</x:t>
  </x:si>
  <x:si>
    <x:t xml:space="preserve">RP-CT-CF05</x:t>
  </x:si>
  <x:si>
    <x:t xml:space="preserve">226</x:t>
  </x:si>
  <x:si>
    <x:t xml:space="preserve">The directional word × ordered green-pen/red-block role is held out. Source episode 226 supplies the same target manipulation under a trained near/next-to/beside prompt. The orthogonal start prevents an inverse-start shortcut.</x:t>
  </x:si>
  <x:si>
    <x:t xml:space="preserve">238</x:t>
  </x:si>
  <x:si>
    <x:t xml:space="preserve">The directional word × ordered green-pen/red-block role is held out. Source episode 238 supplies the same target manipulation under a trained near/next-to/beside prompt. The orthogonal start prevents an inverse-start shortcut.</x:t>
  </x:si>
  <x:si>
    <x:t xml:space="preserve">284</x:t>
  </x:si>
  <x:si>
    <x:t xml:space="preserve">The directional word × ordered green-pen/red-block role is held out. Source episode 284 supplies the same target manipulation under a trained near/next-to/beside prompt. The orthogonal start prevents an inverse-start shortcut.</x:t>
  </x:si>
  <x:si>
    <x:t xml:space="preserve">297</x:t>
  </x:si>
  <x:si>
    <x:t xml:space="preserve">The directional word × ordered green-pen/red-block role is held out. Source episode 297 supplies the same target manipulation under a trained near/next-to/beside prompt. The orthogonal start prevents an inverse-start shortcut.</x:t>
  </x:si>
  <x:si>
    <x:t xml:space="preserve">RP-CT-CF06</x:t>
  </x:si>
  <x:si>
    <x:t xml:space="preserve">241</x:t>
  </x:si>
  <x:si>
    <x:t xml:space="preserve">The directional word × ordered green-pen/red-block role is held out. Source episode 241 supplies the same target manipulation under a trained near/next-to/beside prompt. The orthogonal start prevents an inverse-start shortcut.</x:t>
  </x:si>
  <x:si>
    <x:t xml:space="preserve">RP-CT-N01</x:t>
  </x:si>
  <x:si>
    <x:t xml:space="preserve">Neutral-axis independent compositional-transfer scene</x:t>
  </x:si>
  <x:si>
    <x:t xml:space="preserve">Independent held-out-composition scene. Source episode 201 supplies target recognition/manipulation under the trained prompt “Place the green pen next to the red block.”. The orthogonal start removes the opposite-side shortcut.</x:t>
  </x:si>
  <x:si>
    <x:t xml:space="preserve">Place the green pen next to the red block.</x:t>
  </x:si>
  <x:si>
    <x:t xml:space="preserve">green pen → 2–8 cm edge gap near red block; no directional sector required.</x:t>
  </x:si>
  <x:si>
    <x:t xml:space="preserve">leaning on the block; leaning on the right side</x:t>
  </x:si>
  <x:si>
    <x:t xml:space="preserve">Exact-scene masked manipulation control</x:t>
  </x:si>
  <x:si>
    <x:t xml:space="preserve">Reset P1 to its marked pose; preserve the exact scene and use the trained control instruction.</x:t>
  </x:si>
  <x:si>
    <x:t xml:space="preserve">Exact-scene control using the final training prompt from episode 201. The target, reference, distractors, camera, and robot start match the paired transfer row.</x:t>
  </x:si>
  <x:si>
    <x:t xml:space="preserve">Position the green pen on the robot-facing side of the red block.</x:t>
  </x:si>
  <x:si>
    <x:t xml:space="preserve">Transfer paraphrase of concept/compositional transfer</x:t>
  </x:si>
  <x:si>
    <x:t xml:space="preserve">Reset P1 to its marked pose; preserve the exact scene and change only the wording of the transfer instruction.</x:t>
  </x:si>
  <x:si>
    <x:t xml:space="preserve">Exact-scene paraphrase of the canonical compositional-transfer instruction.</x:t>
  </x:si>
  <x:si>
    <x:t xml:space="preserve">Set the green pen down close to the red block.</x:t>
  </x:si>
  <x:si>
    <x:t xml:space="preserve">Reset P1 to its marked pose; preserve the exact scene and change only the wording of the matched-control instruction.</x:t>
  </x:si>
  <x:si>
    <x:t xml:space="preserve">Exact-scene paraphrase of the training-supported control from episode 201.</x:t>
  </x:si>
  <x:si>
    <x:t xml:space="preserve">RP-CT-N02</x:t>
  </x:si>
  <x:si>
    <x:t xml:space="preserve">Independent held-out-composition scene. Source episode 202 supplies target recognition/manipulation under the trained prompt “Put the green pen beside the red block.”. The orthogonal start removes the opposite-side shortcut.</x:t>
  </x:si>
  <x:si>
    <x:t xml:space="preserve">Put the green pen beside the red block.</x:t>
  </x:si>
  <x:si>
    <x:t xml:space="preserve">placed behind</x:t>
  </x:si>
  <x:si>
    <x:t xml:space="preserve">Exact-scene control using the final training prompt from episode 202. The target, reference, distractors, camera, and robot start match the paired transfer row.</x:t>
  </x:si>
  <x:si>
    <x:t xml:space="preserve">placed to the left; technically robot facing in this set up so maybe it is a success...</x:t>
  </x:si>
  <x:si>
    <x:t xml:space="preserve">didn't let go of the pen; had it on top of the red block</x:t>
  </x:si>
  <x:si>
    <x:t xml:space="preserve">Exact-scene paraphrase of the training-supported control from episode 202.</x:t>
  </x:si>
  <x:si>
    <x:t xml:space="preserve">red block, green pen, pink marker</x:t>
  </x:si>
  <x:si>
    <x:t xml:space="preserve">struggled to release the block</x:t>
  </x:si>
  <x:si>
    <x:t xml:space="preserve">RP-CT-N03</x:t>
  </x:si>
  <x:si>
    <x:t xml:space="preserve">Independent held-out-composition scene. Source episode 259 supplies target recognition/manipulation under the trained prompt “Put the red block beside the green pen.”. The orthogonal start removes the opposite-side shortcut.</x:t>
  </x:si>
  <x:si>
    <x:t xml:space="preserve">Put the red block beside the green pen.</x:t>
  </x:si>
  <x:si>
    <x:t xml:space="preserve">red block → 2–8 cm edge gap near green pen; no directional sector required.</x:t>
  </x:si>
  <x:si>
    <x:t xml:space="preserve">placed behind/left since knocked the pen</x:t>
  </x:si>
  <x:si>
    <x:t xml:space="preserve">Exact-scene control using the final training prompt from episode 259. The target, reference, distractors, camera, and robot start match the paired transfer row.</x:t>
  </x:si>
  <x:si>
    <x:t xml:space="preserve">Position the red block on the robot-facing side of the green pen.</x:t>
  </x:si>
  <x:si>
    <x:t xml:space="preserve">Set the red block down close to the green pen.</x:t>
  </x:si>
  <x:si>
    <x:t xml:space="preserve">Exact-scene paraphrase of the training-supported control from episode 259.</x:t>
  </x:si>
  <x:si>
    <x:t xml:space="preserve">grasped green pen funny and was recovering, but ran out of time</x:t>
  </x:si>
  <x:si>
    <x:t xml:space="preserve">RP-CT-N04</x:t>
  </x:si>
  <x:si>
    <x:t xml:space="preserve">216</x:t>
  </x:si>
  <x:si>
    <x:t xml:space="preserve">Independent held-out-composition scene. Source episode 216 supplies target recognition/manipulation under the trained prompt “Place the green pen next to the red block.”. The orthogonal start removes the opposite-side shortcut.</x:t>
  </x:si>
  <x:si>
    <x:t xml:space="preserve">put pen on the block but didn't let go until end of episode. didn't fully go home but I'll count it; put pen on the left side, leaning on the block</x:t>
  </x:si>
  <x:si>
    <x:t xml:space="preserve">Exact-scene control using the final training prompt from episode 216. The target, reference, distractors, camera, and robot start match the paired transfer row.</x:t>
  </x:si>
  <x:si>
    <x:t xml:space="preserve">Position the green pen on the far side of the red block, away from the robot.</x:t>
  </x:si>
  <x:si>
    <x:t xml:space="preserve">also put pen on the block and pushed the block; didn't let go of the pen</x:t>
  </x:si>
  <x:si>
    <x:t xml:space="preserve">also put pen on the block and pushed the block; let go of the pen and fell in front of the block</x:t>
  </x:si>
  <x:si>
    <x:t xml:space="preserve">Exact-scene paraphrase of the training-supported control from episode 216.</x:t>
  </x:si>
  <x:si>
    <x:t xml:space="preserve">couldn't even pick up the red block</x:t>
  </x:si>
  <x:si>
    <x:t xml:space="preserve">RP-CT-N05</x:t>
  </x:si>
  <x:si>
    <x:t xml:space="preserve">Independent held-out-composition scene. Source episode 272 supplies target recognition/manipulation under the trained prompt “Move the red block near the green pen.”. The orthogonal start removes the opposite-side shortcut.</x:t>
  </x:si>
  <x:si>
    <x:t xml:space="preserve">Move the red block near the green pen.</x:t>
  </x:si>
  <x:si>
    <x:t xml:space="preserve">succeeded reasoning; couldn't let go of the red block</x:t>
  </x:si>
  <x:si>
    <x:t xml:space="preserve">Exact-scene control using the final training prompt from episode 272. The target, reference, distractors, camera, and robot start match the paired transfer row.</x:t>
  </x:si>
  <x:si>
    <x:t xml:space="preserve">Position the red block on the far side of the green pen, away from the robot.</x:t>
  </x:si>
  <x:si>
    <x:t xml:space="preserve">overgripped and block sputtered close to green pen, but robot didn't return home</x:t>
  </x:si>
  <x:si>
    <x:t xml:space="preserve">Exact-scene paraphrase of the training-supported control from episode 272.</x:t>
  </x:si>
  <x:si>
    <x:t xml:space="preserve">red block, green pen, blue block, pink marker</x:t>
  </x:si>
  <x:si>
    <x:t xml:space="preserve">kept pinching the block when it was on the table; didn't return home; succeeded reasoning</x:t>
  </x:si>
  <x:si>
    <x:t xml:space="preserve">RP-CT-N06</x:t>
  </x:si>
  <x:si>
    <x:t xml:space="preserve">Independent held-out-composition scene. Source episode 273 supplies target recognition/manipulation under the trained prompt “Place the red block next to the green pen.”. The orthogonal start removes the opposite-side shortcut.</x:t>
  </x:si>
  <x:si>
    <x:t xml:space="preserve">Place the red block next to the green pen.</x:t>
  </x:si>
  <x:si>
    <x:t xml:space="preserve">placed in front of pen</x:t>
  </x:si>
  <x:si>
    <x:t xml:space="preserve">Exact-scene control using the final training prompt from episode 273. The target, reference, distractors, camera, and robot start match the paired transfer row.</x:t>
  </x:si>
  <x:si>
    <x:t xml:space="preserve">put in front of pen</x:t>
  </x:si>
  <x:si>
    <x:t xml:space="preserve">Exact-scene paraphrase of the training-supported control from episode 273.</x:t>
  </x:si>
  <x:si>
    <x:t xml:space="preserve">RP-CT-N07</x:t>
  </x:si>
  <x:si>
    <x:t xml:space="preserve">228</x:t>
  </x:si>
  <x:si>
    <x:t xml:space="preserve">Independent held-out-composition scene. Source episode 228 supplies target recognition/manipulation under the trained prompt “Place the green pen next to the red block.”. The orthogonal start removes the opposite-side shortcut.</x:t>
  </x:si>
  <x:si>
    <x:t xml:space="preserve">Exact-scene control using the final training prompt from episode 228. The target, reference, distractors, camera, and robot start match the paired transfer row.</x:t>
  </x:si>
  <x:si>
    <x:t xml:space="preserve">Position the green pen on the robot's left-hand side of the red block.</x:t>
  </x:si>
  <x:si>
    <x:t xml:space="preserve">placed in front</x:t>
  </x:si>
  <x:si>
    <x:t xml:space="preserve">Exact-scene paraphrase of the training-supported control from episode 228.</x:t>
  </x:si>
  <x:si>
    <x:t xml:space="preserve">RP-CT-N08</x:t>
  </x:si>
  <x:si>
    <x:t xml:space="preserve">Independent held-out-composition scene. Source episode 285 supplies target recognition/manipulation under the trained prompt “Place the red block next to the green pen.”. The orthogonal start removes the opposite-side shortcut.</x:t>
  </x:si>
  <x:si>
    <x:t xml:space="preserve">placed on left</x:t>
  </x:si>
  <x:si>
    <x:t xml:space="preserve">Exact-scene control using the final training prompt from episode 285. The target, reference, distractors, camera, and robot start match the paired transfer row.</x:t>
  </x:si>
  <x:si>
    <x:t xml:space="preserve">Position the red block on the robot's left-hand side of the green pen.</x:t>
  </x:si>
  <x:si>
    <x:t xml:space="preserve">placed left</x:t>
  </x:si>
  <x:si>
    <x:t xml:space="preserve">Exact-scene paraphrase of the training-supported control from episode 285.</x:t>
  </x:si>
  <x:si>
    <x:t xml:space="preserve">RP-CT-N09</x:t>
  </x:si>
  <x:si>
    <x:t xml:space="preserve">240</x:t>
  </x:si>
  <x:si>
    <x:t xml:space="preserve">Independent held-out-composition scene. Source episode 240 supplies target recognition/manipulation under the trained prompt “Place the green pen next to the red block.”. The orthogonal start removes the opposite-side shortcut.</x:t>
  </x:si>
  <x:si>
    <x:t xml:space="preserve">Exact-scene control using the final training prompt from episode 240. The target, reference, distractors, camera, and robot start match the paired transfer row.</x:t>
  </x:si>
  <x:si>
    <x:t xml:space="preserve">Position the green pen on the robot's right-hand side of the red block.</x:t>
  </x:si>
  <x:si>
    <x:t xml:space="preserve">pushed the red block with pen in gripper. green pen ended up on the right of the red block</x:t>
  </x:si>
  <x:si>
    <x:t xml:space="preserve">Exact-scene paraphrase of the training-supported control from episode 240.</x:t>
  </x:si>
  <x:si>
    <x:t xml:space="preserve">took a long timme to go home after putting the block to the right of the pen</x:t>
  </x:si>
  <x:si>
    <x:t xml:space="preserve">RP-CT-N10</x:t>
  </x:si>
  <x:si>
    <x:t xml:space="preserve">Independent held-out-composition scene. Source episode 298 supplies target recognition/manipulation under the trained prompt “Put the red block beside the green pen.”. The orthogonal start removes the opposite-side shortcut.</x:t>
  </x:si>
  <x:si>
    <x:t xml:space="preserve">Exact-scene control using the final training prompt from episode 298. The target, reference, distractors, camera, and robot start match the paired transfer row.</x:t>
  </x:si>
  <x:si>
    <x:t xml:space="preserve">Position the red block on the robot's right-hand side of the green pen.</x:t>
  </x:si>
  <x:si>
    <x:t xml:space="preserve">placed on the left</x:t>
  </x:si>
  <x:si>
    <x:t xml:space="preserve">Exact-scene paraphrase of the training-supported control from episode 298.</x:t>
  </x:si>
  <x:si>
    <x:t xml:space="preserve">green pen, red block, pink marker, blue block</x:t>
  </x:si>
  <x:si>
    <x:t xml:space="preserve">placed more toward the left</x:t>
  </x:si>
  <x:si>
    <x:t xml:space="preserve">RP-CT-N11</x:t>
  </x:si>
  <x:si>
    <x:t xml:space="preserve">placed to the right</x:t>
  </x:si>
  <x:si>
    <x:t xml:space="preserve">red block, green pen, blue block</x:t>
  </x:si>
  <x:si>
    <x:t xml:space="preserve">succeeded reasoning; put the red block in front of the green pen, but didn't return to home position</x:t>
  </x:si>
  <x:si>
    <x:t xml:space="preserve">RP-CT-N12</x:t>
  </x:si>
  <x:si>
    <x:t xml:space="preserve">Independent held-out-composition scene. Source episode 261 supplies target recognition/manipulation under the trained prompt “Place the red block next to the green pen.”. The orthogonal start removes the opposite-side shortcut.</x:t>
  </x:si>
  <x:si>
    <x:t xml:space="preserve">did place the red block in front of the green pen</x:t>
  </x:si>
  <x:si>
    <x:t xml:space="preserve">Exact-scene control using the final training prompt from episode 261. The target, reference, distractors, camera, and robot start match the paired transfer row.</x:t>
  </x:si>
  <x:si>
    <x:t xml:space="preserve">placed behind the pink marker and then didn't return to home position</x:t>
  </x:si>
  <x:si>
    <x:t xml:space="preserve">RP-CT-N13</x:t>
  </x:si>
  <x:si>
    <x:t xml:space="preserve">Independent held-out-composition scene. Source episode 213 supplies target recognition/manipulation under the trained prompt “Place the green pen next to the red block.”. The orthogonal start removes the opposite-side shortcut.</x:t>
  </x:si>
  <x:si>
    <x:t xml:space="preserve">placed in front of the red block</x:t>
  </x:si>
  <x:si>
    <x:t xml:space="preserve">Exact-scene control using the final training prompt from episode 213. The target, reference, distractors, camera, and robot start match the paired transfer row.</x:t>
  </x:si>
  <x:si>
    <x:t xml:space="preserve">succeeded in reasoning and struggled to go home</x:t>
  </x:si>
  <x:si>
    <x:t xml:space="preserve">RP-CT-N14</x:t>
  </x:si>
  <x:si>
    <x:t xml:space="preserve">succeeded reasoning; and moved the pen to the left, but couldn't release it</x:t>
  </x:si>
  <x:si>
    <x:t xml:space="preserve">RP-CT-N15</x:t>
  </x:si>
  <x:si>
    <x:t xml:space="preserve">Independent held-out-composition scene. Source episode 227 supplies target recognition/manipulation under the trained prompt “Move the green pen near the red block.”. The orthogonal start removes the opposite-side shortcut.</x:t>
  </x:si>
  <x:si>
    <x:t xml:space="preserve">Move the green pen near the red block.</x:t>
  </x:si>
  <x:si>
    <x:t xml:space="preserve">placed green pen behind the red block</x:t>
  </x:si>
  <x:si>
    <x:t xml:space="preserve">Exact-scene control using the final training prompt from episode 227. The target, reference, distractors, camera, and robot start match the paired transfer row.</x:t>
  </x:si>
  <x:si>
    <x:t xml:space="preserve">closer to the right of the pink marker; started to go to red block after returning home, but didn't actually move the red block</x:t>
  </x:si>
  <x:si>
    <x:t xml:space="preserve">RP-CT-N16</x:t>
  </x:si>
  <x:si>
    <x:t xml:space="preserve">286</x:t>
  </x:si>
  <x:si>
    <x:t xml:space="preserve">Independent held-out-composition scene. Source episode 286 supplies target recognition/manipulation under the trained prompt “Put the red block beside the green pen.”. The orthogonal start removes the opposite-side shortcut.</x:t>
  </x:si>
  <x:si>
    <x:t xml:space="preserve">Exact-scene control using the final training prompt from episode 286. The target, reference, distractors, camera, and robot start match the paired transfer row.</x:t>
  </x:si>
  <x:si>
    <x:t xml:space="preserve">red block, green pen, pink marker, blue block</x:t>
  </x:si>
  <x:si>
    <x:t xml:space="preserve">RP-CT-N17</x:t>
  </x:si>
  <x:si>
    <x:t xml:space="preserve">also placed on the left; struggled to release again</x:t>
  </x:si>
  <x:si>
    <x:t xml:space="preserve">green pen, red block, blue block</x:t>
  </x:si>
  <x:si>
    <x:t xml:space="preserve">RP-CT-N18</x:t>
  </x:si>
  <x:si>
    <x:t xml:space="preserve">Independent held-out-composition scene. Source episode 238 supplies target recognition/manipulation under the trained prompt “Put the green pen beside the red block.”. The orthogonal start removes the opposite-side shortcut.</x:t>
  </x:si>
  <x:si>
    <x:t xml:space="preserve">Exact-scene control using the final training prompt from episode 238. The target, reference, distractors, camera, and robot start match the paired transfer row.</x:t>
  </x:si>
  <x:si>
    <x:t xml:space="preserve">brought the green pen to the red block then held it for a while and dropped it in front/left of the red block</x:t>
  </x:si>
  <x:si>
    <x:t xml:space="preserve">RP-CT-N19</x:t>
  </x:si>
  <x:si>
    <x:t xml:space="preserve">Independent held-out-composition scene. Source episode 239 supplies target recognition/manipulation under the trained prompt “Move the green pen near the red block.”. The orthogonal start removes the opposite-side shortcut.</x:t>
  </x:si>
  <x:si>
    <x:t xml:space="preserve">moved the pink marker to the left of the red block, then went and got the green pen. Did end up putting the green pen near the red block, but timed out before releasing it and returning home</x:t>
  </x:si>
  <x:si>
    <x:t xml:space="preserve">Exact-scene control using the final training prompt from episode 239. The target, reference, distractors, camera, and robot start match the paired transfer row.</x:t>
  </x:si>
  <x:si>
    <x:t xml:space="preserve">RP-CT-N20</x:t>
  </x:si>
  <x:si>
    <x:t xml:space="preserve">299</x:t>
  </x:si>
  <x:si>
    <x:t xml:space="preserve">Independent held-out-composition scene. Source episode 299 supplies target recognition/manipulation under the trained prompt “Move the red block near the green pen.”. The orthogonal start removes the opposite-side shortcut.</x:t>
  </x:si>
  <x:si>
    <x:t xml:space="preserve">succeeded reasoning and moved it near the green block but didn't release it</x:t>
  </x:si>
  <x:si>
    <x:t xml:space="preserve">Exact-scene control using the final training prompt from episode 299. The target, reference, distractors, camera, and robot start match the paired transfer row.</x:t>
  </x:si>
  <x:si>
    <x:t xml:space="preserve">hesitates to go back home</x:t>
  </x:si>
  <x:si>
    <x:t xml:space="preserve">RP-CT-N21</x:t>
  </x:si>
  <x:si>
    <x:t xml:space="preserve">Independent held-out-composition scene. Source episode 203 supplies target recognition/manipulation under the trained prompt “Move the green pen near the red block.”. The orthogonal start removes the opposite-side shortcut.</x:t>
  </x:si>
  <x:si>
    <x:t xml:space="preserve">RP-CT-N22</x:t>
  </x:si>
  <x:si>
    <x:t xml:space="preserve">Independent held-out-composition scene. Source episode 260 supplies target recognition/manipulation under the trained prompt “Move the red block near the green pen.”. The orthogonal start removes the opposite-side shortcut.</x:t>
  </x:si>
  <x:si>
    <x:t xml:space="preserve">RP-CT-N23</x:t>
  </x:si>
  <x:si>
    <x:t xml:space="preserve">Independent held-out-composition scene. Source episode 214 supplies target recognition/manipulation under the trained prompt “Put the green pen beside the red block.”. The orthogonal start removes the opposite-side shortcut.</x:t>
  </x:si>
  <x:si>
    <x:t xml:space="preserve">RP-CT-N24</x:t>
  </x:si>
  <x:si>
    <x:t xml:space="preserve">Independent held-out-composition scene. Source episode 274 supplies target recognition/manipulation under the trained prompt “Put the red block beside the green pen.”. The orthogonal start removes the opposite-side shortcut.</x:t>
  </x:si>
  <x:si>
    <x:t xml:space="preserve">RP-CT-N25</x:t>
  </x:si>
  <x:si>
    <x:t xml:space="preserve">Independent held-out-composition scene. Source episode 226 supplies target recognition/manipulation under the trained prompt “Put the green pen beside the red block.”. The orthogonal start removes the opposite-side shortcut.</x:t>
  </x:si>
  <x:si>
    <x:t xml:space="preserve">block leaning on the pen, but I'll count it</x:t>
  </x:si>
  <x:si>
    <x:t xml:space="preserve">RP-CT-N26</x:t>
  </x:si>
  <x:si>
    <x:t xml:space="preserve">Place the juggling ball in front of the pink marker.</x:t>
  </x:si>
  <x:si>
    <x:t xml:space="preserve">juggling ball, pink marker, green pen</x:t>
  </x:si>
  <x:si>
    <x:t xml:space="preserve">juggling ball → 2–8 cm edge gap in front of pink marker; centroid direction within ±45°.</x:t>
  </x:si>
  <x:si>
    <x:t xml:space="preserve">Cross-task-object directional reasoning</x:t>
  </x:si>
  <x:si>
    <x:t xml:space="preserve">RP-XT-CF01</x:t>
  </x:si>
  <x:si>
    <x:t xml:space="preserve">Four-way cross-task counterfactual: front/behind polarity × juggling-ball target/reference role</x:t>
  </x:si>
  <x:si>
    <x:t xml:space="preserve">1100 (juggling-ball exposure); 204 (front relation)</x:t>
  </x:si>
  <x:si>
    <x:t xml:space="preserve">The juggling ball is globally familiar but absent from Relational Placement training. This exact-scene family crosses direction with its target role and contains no direct-name control.</x:t>
  </x:si>
  <x:si>
    <x:t xml:space="preserve">Target</x:t>
  </x:si>
  <x:si>
    <x:t xml:space="preserve">Place the juggling ball behind the pink marker.</x:t>
  </x:si>
  <x:si>
    <x:t xml:space="preserve">juggling ball → 2–8 cm edge gap behind pink marker; centroid direction within ±45°.</x:t>
  </x:si>
  <x:si>
    <x:t xml:space="preserve">struggled to let go of the juggling ball</x:t>
  </x:si>
  <x:si>
    <x:t xml:space="preserve">1100 (juggling-ball exposure); 217 (behind relation)</x:t>
  </x:si>
  <x:si>
    <x:t xml:space="preserve">Reset every manipulated core object to its marked pose; preserve the exact scene and change only the instruction.</x:t>
  </x:si>
  <x:si>
    <x:t xml:space="preserve">Place the pink marker in front of the juggling ball.</x:t>
  </x:si>
  <x:si>
    <x:t xml:space="preserve">pink marker → 2–8 cm edge gap in front of juggling ball; centroid direction within ±45°.</x:t>
  </x:si>
  <x:si>
    <x:t xml:space="preserve">started to take the pink marker to bowl, but then was sort of drifting back and forth with it in the gripper; didn't end up setting it down anywhere</x:t>
  </x:si>
  <x:si>
    <x:t xml:space="preserve">1100 (juggling-ball exposure); 305 (front relation with pink marker as target)</x:t>
  </x:si>
  <x:si>
    <x:t xml:space="preserve">The juggling ball is globally familiar but absent from Relational Placement training. This exact-scene family crosses direction with its reference role and contains no direct-name control.</x:t>
  </x:si>
  <x:si>
    <x:t xml:space="preserve">Reference</x:t>
  </x:si>
  <x:si>
    <x:t xml:space="preserve">Place the pink marker behind the juggling ball.</x:t>
  </x:si>
  <x:si>
    <x:t xml:space="preserve">pink marker → 2–8 cm edge gap behind juggling ball; centroid direction within ±45°.</x:t>
  </x:si>
  <x:si>
    <x:t xml:space="preserve">went to the pink marker 3 times and gripped it 2 times but let go.</x:t>
  </x:si>
  <x:si>
    <x:t xml:space="preserve">1100 (juggling-ball exposure); 317 (behind relation with pink marker as target)</x:t>
  </x:si>
  <x:si>
    <x:t xml:space="preserve">Place the juggling ball in front of the blue block.</x:t>
  </x:si>
  <x:si>
    <x:t xml:space="preserve">juggling ball, blue block, red block, pink marker</x:t>
  </x:si>
  <x:si>
    <x:t xml:space="preserve">juggling ball → 2–8 cm edge gap in front of blue block; centroid direction within ±45°.</x:t>
  </x:si>
  <x:si>
    <x:t xml:space="preserve">RP-XT-CF02</x:t>
  </x:si>
  <x:si>
    <x:t xml:space="preserve">1101 (juggling-ball exposure); 208 (front relation)</x:t>
  </x:si>
  <x:si>
    <x:t xml:space="preserve">Place the juggling ball behind the blue block.</x:t>
  </x:si>
  <x:si>
    <x:t xml:space="preserve">juggling ball → 2–8 cm edge gap behind blue block; centroid direction within ±45°.</x:t>
  </x:si>
  <x:si>
    <x:t xml:space="preserve">1101 (juggling-ball exposure); 221 (behind relation)</x:t>
  </x:si>
  <x:si>
    <x:t xml:space="preserve">Place the blue block in front of the juggling ball.</x:t>
  </x:si>
  <x:si>
    <x:t xml:space="preserve">blue block → 2–8 cm edge gap in front of juggling ball; centroid direction within ±45°.</x:t>
  </x:si>
  <x:si>
    <x:t xml:space="preserve">1101 (juggling-ball exposure); 350 (front relation with blue block as target)</x:t>
  </x:si>
  <x:si>
    <x:t xml:space="preserve">Place the blue block behind the juggling ball.</x:t>
  </x:si>
  <x:si>
    <x:t xml:space="preserve">blue block → 2–8 cm edge gap behind juggling ball; centroid direction within ±45°.</x:t>
  </x:si>
  <x:si>
    <x:t xml:space="preserve">kept gripping and releasing the blue block</x:t>
  </x:si>
  <x:si>
    <x:t xml:space="preserve">1101 (juggling-ball exposure); 362 (behind relation with blue block as target)</x:t>
  </x:si>
  <x:si>
    <x:t xml:space="preserve">Place the juggling ball to the left of the green pen.</x:t>
  </x:si>
  <x:si>
    <x:t xml:space="preserve">juggling ball, green pen, blue block</x:t>
  </x:si>
  <x:si>
    <x:t xml:space="preserve">juggling ball → 2–8 cm edge gap to the left of green pen; centroid direction within ±45°.</x:t>
  </x:si>
  <x:si>
    <x:t xml:space="preserve">RP-XT-CF03</x:t>
  </x:si>
  <x:si>
    <x:t xml:space="preserve">Four-way cross-task counterfactual: left/right polarity × juggling-ball target/reference role</x:t>
  </x:si>
  <x:si>
    <x:t xml:space="preserve">1102 (juggling-ball exposure); 229 (left relation)</x:t>
  </x:si>
  <x:si>
    <x:t xml:space="preserve">Place the juggling ball to the right of the green pen.</x:t>
  </x:si>
  <x:si>
    <x:t xml:space="preserve">juggling ball → 2–8 cm edge gap to the right of green pen; centroid direction within ±45°.</x:t>
  </x:si>
  <x:si>
    <x:t xml:space="preserve">1102 (juggling-ball exposure); 243 (right relation)</x:t>
  </x:si>
  <x:si>
    <x:t xml:space="preserve">Place the green pen to the left of the juggling ball.</x:t>
  </x:si>
  <x:si>
    <x:t xml:space="preserve">green pen → 2–8 cm edge gap to the left of juggling ball; centroid direction within ±45°.</x:t>
  </x:si>
  <x:si>
    <x:t xml:space="preserve">front left but I'll count it</x:t>
  </x:si>
  <x:si>
    <x:t xml:space="preserve">1102 (juggling-ball exposure); 229 (left relation with green pen as target)</x:t>
  </x:si>
  <x:si>
    <x:t xml:space="preserve">Place the green pen to the right of the juggling ball.</x:t>
  </x:si>
  <x:si>
    <x:t xml:space="preserve">green pen → 2–8 cm edge gap to the right of juggling ball; centroid direction within ±45°.</x:t>
  </x:si>
  <x:si>
    <x:t xml:space="preserve">1102 (juggling-ball exposure); 243 (right relation with green pen as target)</x:t>
  </x:si>
  <x:si>
    <x:t xml:space="preserve">Place the juggling ball to the left of the red block.</x:t>
  </x:si>
  <x:si>
    <x:t xml:space="preserve">juggling ball, red block, pink marker, blue block</x:t>
  </x:si>
  <x:si>
    <x:t xml:space="preserve">juggling ball → 2–8 cm edge gap to the left of red block; centroid direction within ±45°.</x:t>
  </x:si>
  <x:si>
    <x:t xml:space="preserve">RP-XT-CF04</x:t>
  </x:si>
  <x:si>
    <x:t xml:space="preserve">1103 (juggling-ball exposure); 275 (left relation)</x:t>
  </x:si>
  <x:si>
    <x:t xml:space="preserve">Place the juggling ball to the right of the red block.</x:t>
  </x:si>
  <x:si>
    <x:t xml:space="preserve">juggling ball → 2–8 cm edge gap to the right of red block; centroid direction within ±45°.</x:t>
  </x:si>
  <x:si>
    <x:t xml:space="preserve">picked the pink marker and was waving it back and forth</x:t>
  </x:si>
  <x:si>
    <x:t xml:space="preserve">1103 (juggling-ball exposure); 287 (right relation)</x:t>
  </x:si>
  <x:si>
    <x:t xml:space="preserve">Place the red block to the left of the juggling ball.</x:t>
  </x:si>
  <x:si>
    <x:t xml:space="preserve">red block → 2–8 cm edge gap to the left of juggling ball; centroid direction within ±45°.</x:t>
  </x:si>
  <x:si>
    <x:t xml:space="preserve">grasped the red block but didn't move it</x:t>
  </x:si>
  <x:si>
    <x:t xml:space="preserve">1103 (juggling-ball exposure); 275 (left relation with red block as target)</x:t>
  </x:si>
  <x:si>
    <x:t xml:space="preserve">Place the red block to the right of the juggling ball.</x:t>
  </x:si>
  <x:si>
    <x:t xml:space="preserve">red block → 2–8 cm edge gap to the right of juggling ball; centroid direction within ±45°.</x:t>
  </x:si>
  <x:si>
    <x:t xml:space="preserve">placed red block to the left of juggling ball</x:t>
  </x:si>
  <x:si>
    <x:t xml:space="preserve">1103 (juggling-ball exposure); 287 (right relation with red block as target)</x:t>
  </x:si>
  <x:si>
    <x:t xml:space="preserve">Place the juggling ball in front of the red block.</x:t>
  </x:si>
  <x:si>
    <x:t xml:space="preserve">juggling ball, red block, green pen, blue block</x:t>
  </x:si>
  <x:si>
    <x:t xml:space="preserve">juggling ball → 2–8 cm edge gap in front of red block; centroid direction within ±45°.</x:t>
  </x:si>
  <x:si>
    <x:t xml:space="preserve">RP-XT-CF05</x:t>
  </x:si>
  <x:si>
    <x:t xml:space="preserve">Four-prompt mixed-axis cross-task counterfactual with two juggling-ball targets and two references</x:t>
  </x:si>
  <x:si>
    <x:t xml:space="preserve">1104 (juggling-ball exposure); 254 (front relation)</x:t>
  </x:si>
  <x:si>
    <x:t xml:space="preserve">Place the red block behind the juggling ball.</x:t>
  </x:si>
  <x:si>
    <x:t xml:space="preserve">red block → 2–8 cm edge gap behind juggling ball; centroid direction within ±45°.</x:t>
  </x:si>
  <x:si>
    <x:t xml:space="preserve">moved a bit at the start of the episode and then returned back home</x:t>
  </x:si>
  <x:si>
    <x:t xml:space="preserve">1104 (juggling-ball exposure); 270 (behind relation with red block as target)</x:t>
  </x:si>
  <x:si>
    <x:t xml:space="preserve">1104 (juggling-ball exposure); 229 (left relation)</x:t>
  </x:si>
  <x:si>
    <x:t xml:space="preserve">placed to the right and went home, but then went back towards juggling ball;  I think it counts</x:t>
  </x:si>
  <x:si>
    <x:t xml:space="preserve">1104 (juggling-ball exposure); 243 (right relation with green pen as target)</x:t>
  </x:si>
  <x:si>
    <x:t xml:space="preserve">green pen, pink marker, blue block</x:t>
  </x:si>
  <x:si>
    <x:t xml:space="preserve">NO MOVEMENT — requested relation is already satisfied at the start: green pen → 2–8 cm edge gap to the left of pink marker; centroid direction within ±45°.</x:t>
  </x:si>
  <x:si>
    <x:t xml:space="preserve">RP-AG01</x:t>
  </x:si>
  <x:si>
    <x:t xml:space="preserve">In-distribution satisfied-state action-gating diagnostic</x:t>
  </x:si>
  <x:si>
    <x:t xml:space="preserve">232</x:t>
  </x:si>
  <x:si>
    <x:t xml:space="preserve">Build the listed already-satisfied scene and save the first frame.</x:t>
  </x:si>
  <x:si>
    <x:t xml:space="preserve">Uses the ordinary explicitly trained prompt from episode 232. Its prompt-matched movement-required counterpart is in the same four-row family.</x:t>
  </x:si>
  <x:si>
    <x:t xml:space="preserve">NO MOVEMENT — requested relation is already satisfied at the start: pink marker → 2–8 cm edge gap to the right of green pen; centroid direction within ±45°.</x:t>
  </x:si>
  <x:si>
    <x:t xml:space="preserve">345</x:t>
  </x:si>
  <x:si>
    <x:t xml:space="preserve">Preserve the exact scene; change only the reciprocal target/reference instruction.</x:t>
  </x:si>
  <x:si>
    <x:t xml:space="preserve">Uses the reciprocal explicitly trained prompt from episode 345. Both rows in this state pair are simultaneously satisfied.</x:t>
  </x:si>
  <x:si>
    <x:t xml:space="preserve">Violated-relation correction control</x:t>
  </x:si>
  <x:si>
    <x:t xml:space="preserve">Matched opposite-sector movement-required control</x:t>
  </x:si>
  <x:si>
    <x:t xml:space="preserve">Move only P1 to the listed opposite-sector violated 5 cm position; preserve P2, every distractor, and the camera/robot setup.</x:t>
  </x:si>
  <x:si>
    <x:t xml:space="preserve">Uses the ordinary explicitly trained prompt from episode 232. Its prompt-matched no-movement counterpart is in the same four-row family.</x:t>
  </x:si>
  <x:si>
    <x:t xml:space="preserve">Uses the reciprocal explicitly trained prompt from episode 345. Both rows in this state pair are simultaneously violated.</x:t>
  </x:si>
  <x:si>
    <x:t xml:space="preserve">Place the green pen to the right of the pink marker.</x:t>
  </x:si>
  <x:si>
    <x:t xml:space="preserve">green pen → 2–8 cm edge gap to the right of pink marker; centroid direction within ±45°.</x:t>
  </x:si>
  <x:si>
    <x:t xml:space="preserve">RP-AG02</x:t>
  </x:si>
  <x:si>
    <x:t xml:space="preserve">244</x:t>
  </x:si>
  <x:si>
    <x:t xml:space="preserve">Build the listed opposite-sector violated scene and save the first frame.</x:t>
  </x:si>
  <x:si>
    <x:t xml:space="preserve">Uses the ordinary explicitly trained prompt from episode 244. Its prompt-matched no-movement counterpart is in the same four-row family.</x:t>
  </x:si>
  <x:si>
    <x:t xml:space="preserve">Place the pink marker to the left of the green pen.</x:t>
  </x:si>
  <x:si>
    <x:t xml:space="preserve">pink marker → 2–8 cm edge gap to the left of green pen; centroid direction within ±45°.</x:t>
  </x:si>
  <x:si>
    <x:t xml:space="preserve">331</x:t>
  </x:si>
  <x:si>
    <x:t xml:space="preserve">Uses the reciprocal explicitly trained prompt from episode 331. Both rows in this state pair are simultaneously violated.</x:t>
  </x:si>
  <x:si>
    <x:t xml:space="preserve">NO MOVEMENT — requested relation is already satisfied at the start: green pen → 2–8 cm edge gap to the right of pink marker; centroid direction within ±45°.</x:t>
  </x:si>
  <x:si>
    <x:t xml:space="preserve">Move only P1 to the listed already-satisfied 5 cm position; preserve P2, every distractor, and the camera/robot setup.</x:t>
  </x:si>
  <x:si>
    <x:t xml:space="preserve">Uses the ordinary explicitly trained prompt from episode 244. Its prompt-matched movement-required counterpart is in the same four-row family.</x:t>
  </x:si>
  <x:si>
    <x:t xml:space="preserve">NO MOVEMENT — requested relation is already satisfied at the start: pink marker → 2–8 cm edge gap to the left of green pen; centroid direction within ±45°.</x:t>
  </x:si>
  <x:si>
    <x:t xml:space="preserve">Uses the reciprocal explicitly trained prompt from episode 331. Both rows in this state pair are simultaneously satisfied.</x:t>
  </x:si>
  <x:si>
    <x:t xml:space="preserve">Place the green pen to the left of the blue block.</x:t>
  </x:si>
  <x:si>
    <x:t xml:space="preserve">green pen, blue block, pink marker</x:t>
  </x:si>
  <x:si>
    <x:t xml:space="preserve">NO MOVEMENT — requested relation is already satisfied at the start: green pen → 2–8 cm edge gap to the left of blue block; centroid direction within ±45°.</x:t>
  </x:si>
  <x:si>
    <x:t xml:space="preserve">RP-AG03</x:t>
  </x:si>
  <x:si>
    <x:t xml:space="preserve">236</x:t>
  </x:si>
  <x:si>
    <x:t xml:space="preserve">Uses the ordinary explicitly trained prompt from episode 236. Its prompt-matched movement-required counterpart is in the same four-row family.</x:t>
  </x:si>
  <x:si>
    <x:t xml:space="preserve">Place the blue block to the right of the green pen.</x:t>
  </x:si>
  <x:si>
    <x:t xml:space="preserve">NO MOVEMENT — requested relation is already satisfied at the start: blue block → 2–8 cm edge gap to the right of green pen; centroid direction within ±45°.</x:t>
  </x:si>
  <x:si>
    <x:t xml:space="preserve">moved to blue block 3 times and then returned home; didn't touch the block</x:t>
  </x:si>
  <x:si>
    <x:t xml:space="preserve">390</x:t>
  </x:si>
  <x:si>
    <x:t xml:space="preserve">Uses the reciprocal explicitly trained prompt from episode 390. Both rows in this state pair are simultaneously satisfied.</x:t>
  </x:si>
  <x:si>
    <x:t xml:space="preserve">green pen → 2–8 cm edge gap to the left of blue block; centroid direction within ±45°.</x:t>
  </x:si>
  <x:si>
    <x:t xml:space="preserve">Uses the ordinary explicitly trained prompt from episode 236. Its prompt-matched no-movement counterpart is in the same four-row family.</x:t>
  </x:si>
  <x:si>
    <x:t xml:space="preserve">blue block → 2–8 cm edge gap to the right of green pen; centroid direction within ±45°.</x:t>
  </x:si>
  <x:si>
    <x:t xml:space="preserve">Uses the reciprocal explicitly trained prompt from episode 390. Both rows in this state pair are simultaneously violated.</x:t>
  </x:si>
  <x:si>
    <x:t xml:space="preserve">red block, pink marker, green pen, blue block</x:t>
  </x:si>
  <x:si>
    <x:t xml:space="preserve">RP-AG04</x:t>
  </x:si>
  <x:si>
    <x:t xml:space="preserve">289</x:t>
  </x:si>
  <x:si>
    <x:t xml:space="preserve">Uses the ordinary explicitly trained prompt from episode 289. Its prompt-matched no-movement counterpart is in the same four-row family.</x:t>
  </x:si>
  <x:si>
    <x:t xml:space="preserve">335</x:t>
  </x:si>
  <x:si>
    <x:t xml:space="preserve">Uses the reciprocal explicitly trained prompt from episode 335. Both rows in this state pair are simultaneously violated.</x:t>
  </x:si>
  <x:si>
    <x:t xml:space="preserve">NO MOVEMENT — requested relation is already satisfied at the start: red block → 2–8 cm edge gap to the right of pink marker; centroid direction within ±45°.</x:t>
  </x:si>
  <x:si>
    <x:t xml:space="preserve">Uses the ordinary explicitly trained prompt from episode 289. Its prompt-matched movement-required counterpart is in the same four-row family.</x:t>
  </x:si>
  <x:si>
    <x:t xml:space="preserve">NO MOVEMENT — requested relation is already satisfied at the start: pink marker → 2–8 cm edge gap to the left of red block; centroid direction within ±45°.</x:t>
  </x:si>
  <x:si>
    <x:t xml:space="preserve">Uses the reciprocal explicitly trained prompt from episode 335. Both rows in this state pair are simultaneously satisfied.</x:t>
  </x:si>
  <x:si>
    <x:t xml:space="preserve">red block, blue block, pink marker</x:t>
  </x:si>
  <x:si>
    <x:t xml:space="preserve">NO MOVEMENT — requested relation is already satisfied at the start: red block → 2–8 cm edge gap to the left of blue block; centroid direction within ±45°.</x:t>
  </x:si>
  <x:si>
    <x:t xml:space="preserve">RP-AG05</x:t>
  </x:si>
  <x:si>
    <x:t xml:space="preserve">282</x:t>
  </x:si>
  <x:si>
    <x:t xml:space="preserve">Uses the ordinary explicitly trained prompt from episode 282. Its prompt-matched movement-required counterpart is in the same four-row family.</x:t>
  </x:si>
  <x:si>
    <x:t xml:space="preserve">NO MOVEMENT — requested relation is already satisfied at the start: blue block → 2–8 cm edge gap to the right of red block; centroid direction within ±45°.</x:t>
  </x:si>
  <x:si>
    <x:t xml:space="preserve">395</x:t>
  </x:si>
  <x:si>
    <x:t xml:space="preserve">Uses the reciprocal explicitly trained prompt from episode 395. Both rows in this state pair are simultaneously satisfied.</x:t>
  </x:si>
  <x:si>
    <x:t xml:space="preserve">Uses the ordinary explicitly trained prompt from episode 282. Its prompt-matched no-movement counterpart is in the same four-row family.</x:t>
  </x:si>
  <x:si>
    <x:t xml:space="preserve">moved to the blue block 7 times, but didn't grab it</x:t>
  </x:si>
  <x:si>
    <x:t xml:space="preserve">Uses the reciprocal explicitly trained prompt from episode 395. Both rows in this state pair are simultaneously violated.</x:t>
  </x:si>
  <x:si>
    <x:t xml:space="preserve">Put the green pen on the table in front of the pink marker.</x:t>
  </x:si>
  <x:si>
    <x:t xml:space="preserve">moved to the green pen 1 time but didn't grab it</x:t>
  </x:si>
  <x:si>
    <x:t xml:space="preserve">RP-AG06</x:t>
  </x:si>
  <x:si>
    <x:t xml:space="preserve">206</x:t>
  </x:si>
  <x:si>
    <x:t xml:space="preserve">Uses the ordinary explicitly trained prompt from episode 206. Its prompt-matched no-movement counterpart is in the same four-row family.</x:t>
  </x:si>
  <x:si>
    <x:t xml:space="preserve">319</x:t>
  </x:si>
  <x:si>
    <x:t xml:space="preserve">Uses the reciprocal explicitly trained prompt from episode 319. Both rows in this state pair are simultaneously violated.</x:t>
  </x:si>
  <x:si>
    <x:t xml:space="preserve">NO MOVEMENT — requested relation is already satisfied at the start: green pen → 2–8 cm edge gap in front of pink marker; centroid direction within ±45°.</x:t>
  </x:si>
  <x:si>
    <x:t xml:space="preserve">Uses the ordinary explicitly trained prompt from episode 206. Its prompt-matched movement-required counterpart is in the same four-row family.</x:t>
  </x:si>
  <x:si>
    <x:t xml:space="preserve">NO MOVEMENT — requested relation is already satisfied at the start: pink marker → 2–8 cm edge gap behind green pen; centroid direction within ±45°.</x:t>
  </x:si>
  <x:si>
    <x:t xml:space="preserve">Uses the reciprocal explicitly trained prompt from episode 319. Both rows in this state pair are simultaneously satisfied.</x:t>
  </x:si>
  <x:si>
    <x:t xml:space="preserve">Put the green pen on the table behind the blue block.</x:t>
  </x:si>
  <x:si>
    <x:t xml:space="preserve">NO MOVEMENT — requested relation is already satisfied at the start: green pen → 2–8 cm edge gap behind blue block; centroid direction within ±45°.</x:t>
  </x:si>
  <x:si>
    <x:t xml:space="preserve">RP-AG07</x:t>
  </x:si>
  <x:si>
    <x:t xml:space="preserve">224</x:t>
  </x:si>
  <x:si>
    <x:t xml:space="preserve">Uses the ordinary explicitly trained prompt from episode 224. Its prompt-matched movement-required counterpart is in the same four-row family.</x:t>
  </x:si>
  <x:si>
    <x:t xml:space="preserve">Move the blue block to the front of the green pen.</x:t>
  </x:si>
  <x:si>
    <x:t xml:space="preserve">NO MOVEMENT — requested relation is already satisfied at the start: blue block → 2–8 cm edge gap in front of green pen; centroid direction within ±45°.</x:t>
  </x:si>
  <x:si>
    <x:t xml:space="preserve">353</x:t>
  </x:si>
  <x:si>
    <x:t xml:space="preserve">Uses the reciprocal explicitly trained prompt from episode 353. Both rows in this state pair are simultaneously satisfied.</x:t>
  </x:si>
  <x:si>
    <x:t xml:space="preserve">Uses the ordinary explicitly trained prompt from episode 224. Its prompt-matched no-movement counterpart is in the same four-row family.</x:t>
  </x:si>
  <x:si>
    <x:t xml:space="preserve">Uses the reciprocal explicitly trained prompt from episode 353. Both rows in this state pair are simultaneously violated.</x:t>
  </x:si>
  <x:si>
    <x:t xml:space="preserve">Move the red block to the front of the pink marker.</x:t>
  </x:si>
  <x:si>
    <x:t xml:space="preserve">red block → 2–8 cm edge gap in front of pink marker; centroid direction within ±45°.</x:t>
  </x:si>
  <x:si>
    <x:t xml:space="preserve">RP-AG08</x:t>
  </x:si>
  <x:si>
    <x:t xml:space="preserve">252</x:t>
  </x:si>
  <x:si>
    <x:t xml:space="preserve">Uses the ordinary explicitly trained prompt from episode 252. Its prompt-matched no-movement counterpart is in the same four-row family.</x:t>
  </x:si>
  <x:si>
    <x:t xml:space="preserve">Put the pink marker on the table behind the red block.</x:t>
  </x:si>
  <x:si>
    <x:t xml:space="preserve">pink marker → 2–8 cm edge gap behind red block; centroid direction within ±45°.</x:t>
  </x:si>
  <x:si>
    <x:t xml:space="preserve">323</x:t>
  </x:si>
  <x:si>
    <x:t xml:space="preserve">Uses the reciprocal explicitly trained prompt from episode 323. Both rows in this state pair are simultaneously violated.</x:t>
  </x:si>
  <x:si>
    <x:t xml:space="preserve">NO MOVEMENT — requested relation is already satisfied at the start: red block → 2–8 cm edge gap in front of pink marker; centroid direction within ±45°.</x:t>
  </x:si>
  <x:si>
    <x:t xml:space="preserve">Uses the ordinary explicitly trained prompt from episode 252. Its prompt-matched movement-required counterpart is in the same four-row family.</x:t>
  </x:si>
  <x:si>
    <x:t xml:space="preserve">NO MOVEMENT — requested relation is already satisfied at the start: pink marker → 2–8 cm edge gap behind red block; centroid direction within ±45°.</x:t>
  </x:si>
  <x:si>
    <x:t xml:space="preserve">Uses the reciprocal explicitly trained prompt from episode 323. Both rows in this state pair are simultaneously satisfied.</x:t>
  </x:si>
  <x:si>
    <x:t xml:space="preserve">Put the red block on the table behind the blue block.</x:t>
  </x:si>
  <x:si>
    <x:t xml:space="preserve">NO MOVEMENT — requested relation is already satisfied at the start: red block → 2–8 cm edge gap behind blue block; centroid direction within ±45°.</x:t>
  </x:si>
  <x:si>
    <x:t xml:space="preserve">RP-AG09</x:t>
  </x:si>
  <x:si>
    <x:t xml:space="preserve">270</x:t>
  </x:si>
  <x:si>
    <x:t xml:space="preserve">Uses the ordinary explicitly trained prompt from episode 270. Its prompt-matched movement-required counterpart is in the same four-row family.</x:t>
  </x:si>
  <x:si>
    <x:t xml:space="preserve">Move the blue block to the front of the red block.</x:t>
  </x:si>
  <x:si>
    <x:t xml:space="preserve">NO MOVEMENT — requested relation is already satisfied at the start: blue block → 2–8 cm edge gap in front of red block; centroid direction within ±45°.</x:t>
  </x:si>
  <x:si>
    <x:t xml:space="preserve">357</x:t>
  </x:si>
  <x:si>
    <x:t xml:space="preserve">Uses the reciprocal explicitly trained prompt from episode 357. Both rows in this state pair are simultaneously satisfied.</x:t>
  </x:si>
  <x:si>
    <x:t xml:space="preserve">red block → 2–8 cm edge gap behind blue block; centroid direction within ±45°.</x:t>
  </x:si>
  <x:si>
    <x:t xml:space="preserve">Uses the ordinary explicitly trained prompt from episode 270. Its prompt-matched no-movement counterpart is in the same four-row family.</x:t>
  </x:si>
  <x:si>
    <x:t xml:space="preserve">blue block → 2–8 cm edge gap in front of red block; centroid direction within ±45°.</x:t>
  </x:si>
  <x:si>
    <x:t xml:space="preserve">Uses the reciprocal explicitly trained prompt from episode 357. Both rows in this state pair are simultaneously violated.</x:t>
  </x:si>
  <x:si>
    <x:t xml:space="preserve">Place the red block in front of the blue block.</x:t>
  </x:si>
  <x:si>
    <x:t xml:space="preserve">went to the red block 3 times but didn't pick it up</x:t>
  </x:si>
  <x:si>
    <x:t xml:space="preserve">RP-AG10</x:t>
  </x:si>
  <x:si>
    <x:t xml:space="preserve">256</x:t>
  </x:si>
  <x:si>
    <x:t xml:space="preserve">Uses the ordinary explicitly trained prompt from episode 256. Its prompt-matched no-movement counterpart is in the same four-row family.</x:t>
  </x:si>
  <x:si>
    <x:t xml:space="preserve">Put the blue block on the table behind the red block.</x:t>
  </x:si>
  <x:si>
    <x:t xml:space="preserve">369</x:t>
  </x:si>
  <x:si>
    <x:t xml:space="preserve">Uses the reciprocal explicitly trained prompt from episode 369. Both rows in this state pair are simultaneously violated.</x:t>
  </x:si>
  <x:si>
    <x:t xml:space="preserve">NO MOVEMENT — requested relation is already satisfied at the start: red block → 2–8 cm edge gap in front of blue block; centroid direction within ±45°.</x:t>
  </x:si>
  <x:si>
    <x:t xml:space="preserve">Uses the ordinary explicitly trained prompt from episode 256. Its prompt-matched movement-required counterpart is in the same four-row family.</x:t>
  </x:si>
  <x:si>
    <x:t xml:space="preserve">NO MOVEMENT — requested relation is already satisfied at the start: blue block → 2–8 cm edge gap behind red block; centroid direction within ±45°.</x:t>
  </x:si>
  <x:si>
    <x:t xml:space="preserve">Uses the reciprocal explicitly trained prompt from episode 369. Both rows in this state pair are simultaneously satisfied.</x:t>
  </x:si>
  <x:si>
    <x:t xml:space="preserve">picked pepsi can</x:t>
  </x:si>
  <x:si>
    <x:t xml:space="preserve">got pepsi can which was in between the yellow pen and airplane toy; also closest to the yellow pen</x:t>
  </x:si>
  <x:si>
    <x:t xml:space="preserve">succeeded reasoning but overgripped the pencil sharpener and it slipped out the gripper. the robot then drifted to the right edge of workspace where it jittered until end of 60 seconds</x:t>
  </x:si>
  <x:si>
    <x:t xml:space="preserve">picked the green pen</x:t>
  </x:si>
  <x:si>
    <x:t xml:space="preserve">Put the airplane toy closest to the green pencil sharpener in the bowl.</x:t>
  </x:si>
  <x:si>
    <x:t xml:space="preserve">airplane toy with propellers; airplane toy without propellers; green pencil sharpener; red pencil sharpener</x:t>
  </x:si>
  <x:si>
    <x:t xml:space="preserve">RD-ID11</x:t>
  </x:si>
  <x:si>
    <x:t xml:space="preserve">564</x:t>
  </x:si>
  <x:si>
    <x:t xml:space="preserve">airplane toy</x:t>
  </x:si>
  <x:si>
    <x:t xml:space="preserve">Put the airplane toy closest to the green pen in the bowl.</x:t>
  </x:si>
  <x:si>
    <x:t xml:space="preserve">airplane toy with propellers; airplane toy without propellers; green pen</x:t>
  </x:si>
  <x:si>
    <x:t xml:space="preserve">RD-ID12</x:t>
  </x:si>
  <x:si>
    <x:t xml:space="preserve">550</x:t>
  </x:si>
  <x:si>
    <x:t xml:space="preserve">Move the airplane toy lying between the crushed Coke can and the green pencil sharpener into the bowl.</x:t>
  </x:si>
  <x:si>
    <x:t xml:space="preserve">airplane toy with propellers; airplane toy without propellers; crushed Coke can; green pencil sharpener; red pencil sharpener</x:t>
  </x:si>
  <x:si>
    <x:t xml:space="preserve">RD-ID13</x:t>
  </x:si>
  <x:si>
    <x:t xml:space="preserve">587</x:t>
  </x:si>
  <x:si>
    <x:t xml:space="preserve">Put the airplane toy between the crushed Coke can and the green pen in the bowl.</x:t>
  </x:si>
  <x:si>
    <x:t xml:space="preserve">airplane toy with propellers; airplane toy without propellers; crushed Coke can; green pen</x:t>
  </x:si>
  <x:si>
    <x:t xml:space="preserve">airplane toy without propellers</x:t>
  </x:si>
  <x:si>
    <x:t xml:space="preserve">RD-ID14</x:t>
  </x:si>
  <x:si>
    <x:t xml:space="preserve">586</x:t>
  </x:si>
  <x:si>
    <x:t xml:space="preserve">Pick up the airplane toy positioned between the yellow pen and the crushed Coke can, then place it in the bowl.</x:t>
  </x:si>
  <x:si>
    <x:t xml:space="preserve">airplane toy with propellers; airplane toy without propellers; yellow pen; crushed Coke can; crushed Pepsi can</x:t>
  </x:si>
  <x:si>
    <x:t xml:space="preserve">picked up the yellow pen</x:t>
  </x:si>
  <x:si>
    <x:t xml:space="preserve">RD-ID15</x:t>
  </x:si>
  <x:si>
    <x:t xml:space="preserve">589</x:t>
  </x:si>
  <x:si>
    <x:t xml:space="preserve">Put the pen closest to the crushed Coke can in the bowl.</x:t>
  </x:si>
  <x:si>
    <x:t xml:space="preserve">green pen; yellow pen; crushed Coke can; crushed Pepsi can</x:t>
  </x:si>
  <x:si>
    <x:t xml:space="preserve">got yellow pen closest to pepse can or furthest from coke can</x:t>
  </x:si>
  <x:si>
    <x:t xml:space="preserve">RD-ID16</x:t>
  </x:si>
  <x:si>
    <x:t xml:space="preserve">514</x:t>
  </x:si>
  <x:si>
    <x:t xml:space="preserve">pen</x:t>
  </x:si>
  <x:si>
    <x:t xml:space="preserve">Put the pen closest to the red pencil sharpener in the bowl.</x:t>
  </x:si>
  <x:si>
    <x:t xml:space="preserve">green pen; yellow pen; red pencil sharpener; airplane toy without propellers</x:t>
  </x:si>
  <x:si>
    <x:t xml:space="preserve">RD-ID17</x:t>
  </x:si>
  <x:si>
    <x:t xml:space="preserve">501</x:t>
  </x:si>
  <x:si>
    <x:t xml:space="preserve">Pick up the pen furthest from the crushed Coke can and place it in the bowl.</x:t>
  </x:si>
  <x:si>
    <x:t xml:space="preserve">green pen; yellow pen; crushed Coke can</x:t>
  </x:si>
  <x:si>
    <x:t xml:space="preserve">RD-ID18</x:t>
  </x:si>
  <x:si>
    <x:t xml:space="preserve">515</x:t>
  </x:si>
  <x:si>
    <x:t xml:space="preserve">Pick up the pen furthest from the crushed Pepsi can and place it in the bowl.</x:t>
  </x:si>
  <x:si>
    <x:t xml:space="preserve">green pen; yellow pen; crushed Pepsi can; green pencil sharpener</x:t>
  </x:si>
  <x:si>
    <x:t xml:space="preserve">RD-ID19</x:t>
  </x:si>
  <x:si>
    <x:t xml:space="preserve">516</x:t>
  </x:si>
  <x:si>
    <x:t xml:space="preserve">Pick up the pen furthest from the airplane toy with propellers and place it in the bowl.</x:t>
  </x:si>
  <x:si>
    <x:t xml:space="preserve">green pen; yellow pen; airplane toy with propellers</x:t>
  </x:si>
  <x:si>
    <x:t xml:space="preserve">RD-ID20</x:t>
  </x:si>
  <x:si>
    <x:t xml:space="preserve">517</x:t>
  </x:si>
  <x:si>
    <x:t xml:space="preserve">Pick up the airplane toy furthest from the green pen and place it in the bowl.</x:t>
  </x:si>
  <x:si>
    <x:t xml:space="preserve">reasoning success. went for the correct airplane toy, dropped it and during recovery went for the other one</x:t>
  </x:si>
  <x:si>
    <x:t xml:space="preserve">RD-CT01</x:t>
  </x:si>
  <x:si>
    <x:t xml:space="preserve">Primary held-out relation × candidate-category composition — Pick up</x:t>
  </x:si>
  <x:si>
    <x:t xml:space="preserve">566</x:t>
  </x:si>
  <x:si>
    <x:t xml:space="preserve">Masked source trajectory: the target identity and physical manipulation are trained under a direct-name prompt, while this relation × candidate-category composition is intentionally absent.</x:t>
  </x:si>
  <x:si>
    <x:t xml:space="preserve">Place the listed objects. Arrange Expected Target as the unique answer to the prompt; keep the bowl empty and save a reference image.</x:t>
  </x:si>
  <x:si>
    <x:t xml:space="preserve">Both candidates are present. The held-out relation is the only information that identifies the target.</x:t>
  </x:si>
  <x:si>
    <x:t xml:space="preserve">went for the correct airplane toy, dropped it and recovered</x:t>
  </x:si>
  <x:si>
    <x:t xml:space="preserve">Exact-scene direct-identity manipulation control</x:t>
  </x:si>
  <x:si>
    <x:t xml:space="preserve">Exact masked-cell training prompt for the same target identity. The evaluation scene and physical endpoint are identical to the paired transfer row.</x:t>
  </x:si>
  <x:si>
    <x:t xml:space="preserve">Reset the moved object exactly; preserve the scene; change only the instruction.</x:t>
  </x:si>
  <x:si>
    <x:t xml:space="preserve">Controls recognition and manipulation of the same target without requiring referential reasoning.</x:t>
  </x:si>
  <x:si>
    <x:t xml:space="preserve">direct name</x:t>
  </x:si>
  <x:si>
    <x:t xml:space="preserve">Choose the airplane toy farthest from the green pen and put it in the bowl.</x:t>
  </x:si>
  <x:si>
    <x:t xml:space="preserve">reasoning success. got the correct toy, but over gripped it and dropped it. never recovered</x:t>
  </x:si>
  <x:si>
    <x:t xml:space="preserve">Exact canonical transfer scene and masked trajectory reference; only the instruction wording changes. This remains a separate language diagnostic.</x:t>
  </x:si>
  <x:si>
    <x:t xml:space="preserve">Reset the moved object exactly; preserve the scene; change only the wording.</x:t>
  </x:si>
  <x:si>
    <x:t xml:space="preserve">One of 10 exact-scene paraphrases of canonical transfer trials.</x:t>
  </x:si>
  <x:si>
    <x:t xml:space="preserve">Take the airplane toy with propellers and set it in the bowl.</x:t>
  </x:si>
  <x:si>
    <x:t xml:space="preserve">dropped and recovered</x:t>
  </x:si>
  <x:si>
    <x:t xml:space="preserve">Matched-control direct-name prompt paraphrase</x:t>
  </x:si>
  <x:si>
    <x:t xml:space="preserve">Exact matched-control scene and target; only the direct-name instruction wording changes.</x:t>
  </x:si>
  <x:si>
    <x:t xml:space="preserve">One of 10 exact-scene paraphrases of matched manipulation controls.</x:t>
  </x:si>
  <x:si>
    <x:t xml:space="preserve">direct-name paraphrase</x:t>
  </x:si>
  <x:si>
    <x:t xml:space="preserve">Pick up the crushed soda can closest to the green pen and place it in the bowl.</x:t>
  </x:si>
  <x:si>
    <x:t xml:space="preserve">RD-CT02</x:t>
  </x:si>
  <x:si>
    <x:t xml:space="preserve">400</x:t>
  </x:si>
  <x:si>
    <x:t xml:space="preserve">Put the crushed Coke can in the bowl.</x:t>
  </x:si>
  <x:si>
    <x:t xml:space="preserve">Choose the crushed soda can nearest to the green pen and put it in the bowl.</x:t>
  </x:si>
  <x:si>
    <x:t xml:space="preserve">Take the crushed Coke can and set it in the bowl.</x:t>
  </x:si>
  <x:si>
    <x:t xml:space="preserve">Pick up the pencil sharpener between the green pen and the crushed Coke can and place it in the bowl.</x:t>
  </x:si>
  <x:si>
    <x:t xml:space="preserve">green pencil sharpener; red pencil sharpener; green pen; crushed Coke can</x:t>
  </x:si>
  <x:si>
    <x:t xml:space="preserve">succeeded reasoning; went for the green pencil sharpener couldn't grasp then in recovery picked the green pen</x:t>
  </x:si>
  <x:si>
    <x:t xml:space="preserve">RD-CT03</x:t>
  </x:si>
  <x:si>
    <x:t xml:space="preserve">482</x:t>
  </x:si>
  <x:si>
    <x:t xml:space="preserve">Pick up the green pencil sharpener and place it in the bowl.</x:t>
  </x:si>
  <x:si>
    <x:t xml:space="preserve">went to the green pencil sharpener, but couldn't grasp it slowly drifed to the right edge of workspace with it</x:t>
  </x:si>
  <x:si>
    <x:t xml:space="preserve">Choose the pencil sharpener located in the middle of the green pen and the crushed Coke can, then put it in the bowl.</x:t>
  </x:si>
  <x:si>
    <x:t xml:space="preserve">Take the green pencil sharpener and set it in the bowl.</x:t>
  </x:si>
  <x:si>
    <x:t xml:space="preserve">went to the green pencil sharpener, but couldn't grasp it; ended up drifting to the right of the workspace</x:t>
  </x:si>
  <x:si>
    <x:t xml:space="preserve">Put the airplane toy furthest from the crushed Coke can in the bowl.</x:t>
  </x:si>
  <x:si>
    <x:t xml:space="preserve">RD-CT04</x:t>
  </x:si>
  <x:si>
    <x:t xml:space="preserve">Primary held-out relation × candidate-category composition — Put</x:t>
  </x:si>
  <x:si>
    <x:t xml:space="preserve">568</x:t>
  </x:si>
  <x:si>
    <x:t xml:space="preserve">Place the airplane toy with the greatest distance from the crushed Coke can in the bowl.</x:t>
  </x:si>
  <x:si>
    <x:t xml:space="preserve">picked green pen</x:t>
  </x:si>
  <x:si>
    <x:t xml:space="preserve">Transfer the airplane toy with propellers into the bowl.</x:t>
  </x:si>
  <x:si>
    <x:t xml:space="preserve">picked the non-propellor plane; dropped it and then went for the propellor plane and put it in the bowl; failed reasoning</x:t>
  </x:si>
  <x:si>
    <x:t xml:space="preserve">Put the crushed soda can closest to the airplane toy with propellers in the bowl.</x:t>
  </x:si>
  <x:si>
    <x:t xml:space="preserve">RD-CT05</x:t>
  </x:si>
  <x:si>
    <x:t xml:space="preserve">402</x:t>
  </x:si>
  <x:si>
    <x:t xml:space="preserve">Move the crushed Coke can into the bowl.</x:t>
  </x:si>
  <x:si>
    <x:t xml:space="preserve">picked the pepsi can</x:t>
  </x:si>
  <x:si>
    <x:t xml:space="preserve">Place the crushed soda can with the shortest distance to the airplane toy with propellers in the bowl.</x:t>
  </x:si>
  <x:si>
    <x:t xml:space="preserve">picked the pepsi can; had long pause at start of episode too</x:t>
  </x:si>
  <x:si>
    <x:t xml:space="preserve">Transfer the crushed Coke can into the bowl.</x:t>
  </x:si>
  <x:si>
    <x:t xml:space="preserve">Put the pencil sharpener between the airplane toy with propellers and the yellow pen in the bowl.</x:t>
  </x:si>
  <x:si>
    <x:t xml:space="preserve">green pencil sharpener; red pencil sharpener; airplane toy with propellers; yellow pen; airplane toy without propellers</x:t>
  </x:si>
  <x:si>
    <x:t xml:space="preserve">RD-CT06</x:t>
  </x:si>
  <x:si>
    <x:t xml:space="preserve">483</x:t>
  </x:si>
  <x:si>
    <x:t xml:space="preserve">Place the pencil sharpener sitting between the airplane toy with propellers and the yellow pen in the bowl.</x:t>
  </x:si>
  <x:si>
    <x:t xml:space="preserve">succeeded reasoning' went to the green pencil sharpener, but then moved and couldn't recover</x:t>
  </x:si>
  <x:si>
    <x:t xml:space="preserve">Transfer the green pencil sharpener into the bowl.</x:t>
  </x:si>
  <x:si>
    <x:t xml:space="preserve">Move the airplane toy furthest from the green pencil sharpener into the bowl.</x:t>
  </x:si>
  <x:si>
    <x:t xml:space="preserve">airplane toy with propellers; airplane toy without propellers; green pencil sharpener</x:t>
  </x:si>
  <x:si>
    <x:t xml:space="preserve">picked the closest one</x:t>
  </x:si>
  <x:si>
    <x:t xml:space="preserve">RD-CT07</x:t>
  </x:si>
  <x:si>
    <x:t xml:space="preserve">Primary held-out relation × candidate-category composition — Move</x:t>
  </x:si>
  <x:si>
    <x:t xml:space="preserve">565</x:t>
  </x:si>
  <x:si>
    <x:t xml:space="preserve">Pick up the airplane toy without propellers and place it in the bowl.</x:t>
  </x:si>
  <x:si>
    <x:t xml:space="preserve">picked the propellor plane</x:t>
  </x:si>
  <x:si>
    <x:t xml:space="preserve">Move whichever airplane toy is most distant from the green pencil sharpener into the bowl.</x:t>
  </x:si>
  <x:si>
    <x:t xml:space="preserve">had a bunch of recoveries</x:t>
  </x:si>
  <x:si>
    <x:t xml:space="preserve">Set the airplane toy without propellers inside the bowl.</x:t>
  </x:si>
  <x:si>
    <x:t xml:space="preserve">succeeded reasoning, but gripped so hard that the toy got knocked off of the table; robot drifted to the right edge of the workspace</x:t>
  </x:si>
  <x:si>
    <x:t xml:space="preserve">Move the crushed soda can closest to the green pencil sharpener into the bowl.</x:t>
  </x:si>
  <x:si>
    <x:t xml:space="preserve">crushed Coke can; crushed Pepsi can; green pencil sharpener</x:t>
  </x:si>
  <x:si>
    <x:t xml:space="preserve">RD-CT08</x:t>
  </x:si>
  <x:si>
    <x:t xml:space="preserve">401</x:t>
  </x:si>
  <x:si>
    <x:t xml:space="preserve">Pick up the crushed Pepsi can and place it in the bowl.</x:t>
  </x:si>
  <x:si>
    <x:t xml:space="preserve">Move whichever crushed soda can is nearer to the green pencil sharpener into the bowl.</x:t>
  </x:si>
  <x:si>
    <x:t xml:space="preserve">Set the crushed Pepsi can inside the bowl.</x:t>
  </x:si>
  <x:si>
    <x:t xml:space="preserve">Move the pencil sharpener between the crushed Pepsi can and the airplane toy without propellers into the bowl.</x:t>
  </x:si>
  <x:si>
    <x:t xml:space="preserve">green pencil sharpener; red pencil sharpener; crushed Pepsi can; airplane toy without propellers</x:t>
  </x:si>
  <x:si>
    <x:t xml:space="preserve">RD-CT09</x:t>
  </x:si>
  <x:si>
    <x:t xml:space="preserve">480</x:t>
  </x:si>
  <x:si>
    <x:t xml:space="preserve">Move the red pencil sharpener into the bowl.</x:t>
  </x:si>
  <x:si>
    <x:t xml:space="preserve">Move the pencil sharpener that lies on the segment joining the crushed Pepsi can and the airplane toy without propellers into the bowl.</x:t>
  </x:si>
  <x:si>
    <x:t xml:space="preserve">Set the red pencil sharpener inside the bowl.</x:t>
  </x:si>
  <x:si>
    <x:t xml:space="preserve">Pick up the airplane toy furthest from the yellow pen and place it in the bowl.</x:t>
  </x:si>
  <x:si>
    <x:t xml:space="preserve">airplane toy with propellers; airplane toy without propellers; yellow pen; green pen</x:t>
  </x:si>
  <x:si>
    <x:t xml:space="preserve">RD-CT10</x:t>
  </x:si>
  <x:si>
    <x:t xml:space="preserve">567</x:t>
  </x:si>
  <x:si>
    <x:t xml:space="preserve">Put the airplane toy without propellers in the bowl.</x:t>
  </x:si>
  <x:si>
    <x:t xml:space="preserve">succeeded reasoning; knocked the toy right under the robot and couldn't get it. robot drifted off to the right edge</x:t>
  </x:si>
  <x:si>
    <x:t xml:space="preserve">Choose the airplane toy farthest from the yellow pen and put it in the bowl.</x:t>
  </x:si>
  <x:si>
    <x:t xml:space="preserve">succeeded reasoning but couldn't grasp it; knocked out of range</x:t>
  </x:si>
  <x:si>
    <x:t xml:space="preserve">Take the airplane toy without propellers and set it in the bowl.</x:t>
  </x:si>
  <x:si>
    <x:t xml:space="preserve">Pick up the crushed soda can closest to the yellow pen and place it in the bowl.</x:t>
  </x:si>
  <x:si>
    <x:t xml:space="preserve">crushed Coke can; crushed Pepsi can; yellow pen; red pencil sharpener</x:t>
  </x:si>
  <x:si>
    <x:t xml:space="preserve">succeeded reasoning, but pinched the pepsi can so that it got knocked out of range</x:t>
  </x:si>
  <x:si>
    <x:t xml:space="preserve">RD-CT11</x:t>
  </x:si>
  <x:si>
    <x:t xml:space="preserve">403</x:t>
  </x:si>
  <x:si>
    <x:t xml:space="preserve">Put the crushed Pepsi can in the bowl.</x:t>
  </x:si>
  <x:si>
    <x:t xml:space="preserve">picked the coke can</x:t>
  </x:si>
  <x:si>
    <x:t xml:space="preserve">green pencil sharpener; red pencil sharpener; green pen; crushed Coke can; yellow pen</x:t>
  </x:si>
  <x:si>
    <x:t xml:space="preserve">RD-CT12</x:t>
  </x:si>
  <x:si>
    <x:t xml:space="preserve">481</x:t>
  </x:si>
  <x:si>
    <x:t xml:space="preserve">Put the red pencil sharpener in the bowl.</x:t>
  </x:si>
  <x:si>
    <x:t xml:space="preserve">Put the airplane toy furthest from the crushed Pepsi can in the bowl.</x:t>
  </x:si>
  <x:si>
    <x:t xml:space="preserve">airplane toy with propellers; airplane toy without propellers; crushed Pepsi can</x:t>
  </x:si>
  <x:si>
    <x:t xml:space="preserve">RD-CT13</x:t>
  </x:si>
  <x:si>
    <x:t xml:space="preserve">570</x:t>
  </x:si>
  <x:si>
    <x:t xml:space="preserve">succeeded reasoning, but dropped the airplane toy not inside the bowl and couldn't recover</x:t>
  </x:si>
  <x:si>
    <x:t xml:space="preserve">Put the crushed soda can closest to the airplane toy without propellers in the bowl.</x:t>
  </x:si>
  <x:si>
    <x:t xml:space="preserve">crushed Coke can; crushed Pepsi can; airplane toy without propellers</x:t>
  </x:si>
  <x:si>
    <x:t xml:space="preserve">started going for the coke can but diverted to the pepsi can</x:t>
  </x:si>
  <x:si>
    <x:t xml:space="preserve">RD-CT14</x:t>
  </x:si>
  <x:si>
    <x:t xml:space="preserve">404</x:t>
  </x:si>
  <x:si>
    <x:t xml:space="preserve">Pick up the crushed Coke can and place it in the bowl.</x:t>
  </x:si>
  <x:si>
    <x:t xml:space="preserve">succeeded reasoning, but pinched the coke can and it flung out of the workspace; didn't move much from where the coke can was</x:t>
  </x:si>
  <x:si>
    <x:t xml:space="preserve">green pencil sharpener; red pencil sharpener; airplane toy with propellers; yellow pen</x:t>
  </x:si>
  <x:si>
    <x:t xml:space="preserve">RD-CT15</x:t>
  </x:si>
  <x:si>
    <x:t xml:space="preserve">485</x:t>
  </x:si>
  <x:si>
    <x:t xml:space="preserve">Move the airplane toy furthest from the red pencil sharpener into the bowl.</x:t>
  </x:si>
  <x:si>
    <x:t xml:space="preserve">airplane toy with propellers; airplane toy without propellers; red pencil sharpener; crushed Coke can</x:t>
  </x:si>
  <x:si>
    <x:t xml:space="preserve">picked on closest to red pencil sharpener but dropped it. during recovery pick the correct one. failed reasoning</x:t>
  </x:si>
  <x:si>
    <x:t xml:space="preserve">RD-CT16</x:t>
  </x:si>
  <x:si>
    <x:t xml:space="preserve">572</x:t>
  </x:si>
  <x:si>
    <x:t xml:space="preserve">Move the crushed soda can closest to the red pencil sharpener into the bowl.</x:t>
  </x:si>
  <x:si>
    <x:t xml:space="preserve">crushed Coke can; crushed Pepsi can; red pencil sharpener; yellow pen</x:t>
  </x:si>
  <x:si>
    <x:t xml:space="preserve">RD-CT17</x:t>
  </x:si>
  <x:si>
    <x:t xml:space="preserve">406</x:t>
  </x:si>
  <x:si>
    <x:t xml:space="preserve">green pencil sharpener; red pencil sharpener; crushed Pepsi can; airplane toy without propellers; airplane toy with propellers</x:t>
  </x:si>
  <x:si>
    <x:t xml:space="preserve">went for the red pencil sharpener; struggled to grasp, but got it to bowl</x:t>
  </x:si>
  <x:si>
    <x:t xml:space="preserve">RD-CT18</x:t>
  </x:si>
  <x:si>
    <x:t xml:space="preserve">487</x:t>
  </x:si>
  <x:si>
    <x:t xml:space="preserve">Put the green pencil sharpener in the bowl.</x:t>
  </x:si>
  <x:si>
    <x:t xml:space="preserve">succeeded reasoning; knocked the furthest one under the robot from over gripping and during recover got the other airplane toy</x:t>
  </x:si>
  <x:si>
    <x:t xml:space="preserve">RD-CT19</x:t>
  </x:si>
  <x:si>
    <x:t xml:space="preserve">569</x:t>
  </x:si>
  <x:si>
    <x:t xml:space="preserve">RD-CT20</x:t>
  </x:si>
  <x:si>
    <x:t xml:space="preserve">405</x:t>
  </x:si>
  <x:si>
    <x:t xml:space="preserve">Move the crushed Pepsi can into the bowl.</x:t>
  </x:si>
  <x:si>
    <x:t xml:space="preserve">succeeded reasoning, but pinched the pepsi can just out of reach</x:t>
  </x:si>
  <x:si>
    <x:t xml:space="preserve">succeeded reasoning. went for the red pencil sharpener, but couldn't grasp, drifted to the right edge of workspace. did pick the green pen, but dropped it, then went to coke can</x:t>
  </x:si>
  <x:si>
    <x:t xml:space="preserve">RD-CT21</x:t>
  </x:si>
  <x:si>
    <x:t xml:space="preserve">484</x:t>
  </x:si>
  <x:si>
    <x:t xml:space="preserve">airplane toy with propellers; airplane toy without propellers; crushed Coke can; green pencil sharpener</x:t>
  </x:si>
  <x:si>
    <x:t xml:space="preserve">RD-CT22</x:t>
  </x:si>
  <x:si>
    <x:t xml:space="preserve">571</x:t>
  </x:si>
  <x:si>
    <x:t xml:space="preserve">crushed Coke can; crushed Pepsi can; airplane toy with propellers; yellow pen</x:t>
  </x:si>
  <x:si>
    <x:t xml:space="preserve">RD-CT23</x:t>
  </x:si>
  <x:si>
    <x:t xml:space="preserve">407</x:t>
  </x:si>
  <x:si>
    <x:t xml:space="preserve">green pencil sharpener; red pencil sharpener; airplane toy with propellers; yellow pen; crushed Pepsi can</x:t>
  </x:si>
  <x:si>
    <x:t xml:space="preserve">RD-CT24</x:t>
  </x:si>
  <x:si>
    <x:t xml:space="preserve">486</x:t>
  </x:si>
  <x:si>
    <x:t xml:space="preserve">picked closest</x:t>
  </x:si>
  <x:si>
    <x:t xml:space="preserve">RD-CT25</x:t>
  </x:si>
  <x:si>
    <x:t xml:space="preserve">574</x:t>
  </x:si>
  <x:si>
    <x:t xml:space="preserve">RD-CT26</x:t>
  </x:si>
  <x:si>
    <x:t xml:space="preserve">408</x:t>
  </x:si>
  <x:si>
    <x:t xml:space="preserve">overgrip</x:t>
  </x:si>
  <x:si>
    <x:t xml:space="preserve">RD-CT27</x:t>
  </x:si>
  <x:si>
    <x:t xml:space="preserve">489</x:t>
  </x:si>
  <x:si>
    <x:t xml:space="preserve">airplane toy with propellers; airplane toy without propellers; yellow pen; green pencil sharpener</x:t>
  </x:si>
  <x:si>
    <x:t xml:space="preserve">RD-CT28</x:t>
  </x:si>
  <x:si>
    <x:t xml:space="preserve">576</x:t>
  </x:si>
  <x:si>
    <x:t xml:space="preserve">crushed Coke can; crushed Pepsi can; yellow pen; airplane toy without propellers</x:t>
  </x:si>
  <x:si>
    <x:t xml:space="preserve">RD-CT29</x:t>
  </x:si>
  <x:si>
    <x:t xml:space="preserve">410</x:t>
  </x:si>
  <x:si>
    <x:t xml:space="preserve">green pencil sharpener; red pencil sharpener; green pen; crushed Coke can; airplane toy without propellers</x:t>
  </x:si>
  <x:si>
    <x:t xml:space="preserve">succeeded reasoning; tried to get the green pencil sharpener; couldn't and then grabbed the green pen</x:t>
  </x:si>
  <x:si>
    <x:t xml:space="preserve">RD-CT30</x:t>
  </x:si>
  <x:si>
    <x:t xml:space="preserve">490</x:t>
  </x:si>
  <x:si>
    <x:t xml:space="preserve">succeeded reasoning; picked the furthest one, then  dropped it. Tried picking it up again, but couldn't</x:t>
  </x:si>
  <x:si>
    <x:t xml:space="preserve">RD-CT31</x:t>
  </x:si>
  <x:si>
    <x:t xml:space="preserve">573</x:t>
  </x:si>
  <x:si>
    <x:t xml:space="preserve">picked the furthest</x:t>
  </x:si>
  <x:si>
    <x:t xml:space="preserve">RD-CT32</x:t>
  </x:si>
  <x:si>
    <x:t xml:space="preserve">409</x:t>
  </x:si>
  <x:si>
    <x:t xml:space="preserve">RD-CT33</x:t>
  </x:si>
  <x:si>
    <x:t xml:space="preserve">488</x:t>
  </x:si>
  <x:si>
    <x:t xml:space="preserve">airplane toy with propellers; airplane toy without propellers; red pencil sharpener; green pen</x:t>
  </x:si>
  <x:si>
    <x:t xml:space="preserve">RD-CT34</x:t>
  </x:si>
  <x:si>
    <x:t xml:space="preserve">575</x:t>
  </x:si>
  <x:si>
    <x:t xml:space="preserve">crushed Coke can; crushed Pepsi can; red pencil sharpener; green pencil sharpener</x:t>
  </x:si>
  <x:si>
    <x:t xml:space="preserve">RD-CT35</x:t>
  </x:si>
  <x:si>
    <x:t xml:space="preserve">411</x:t>
  </x:si>
  <x:si>
    <x:t xml:space="preserve">green pencil sharpener; red pencil sharpener; crushed Pepsi can; airplane toy without propellers; green pen</x:t>
  </x:si>
  <x:si>
    <x:t xml:space="preserve">picked airplane toy without propellors</x:t>
  </x:si>
  <x:si>
    <x:t xml:space="preserve">RD-CT36</x:t>
  </x:si>
  <x:si>
    <x:t xml:space="preserve">491</x:t>
  </x:si>
  <x:si>
    <x:t xml:space="preserve">RD-CT37</x:t>
  </x:si>
  <x:si>
    <x:t xml:space="preserve">578</x:t>
  </x:si>
  <x:si>
    <x:t xml:space="preserve">RD-CT38</x:t>
  </x:si>
  <x:si>
    <x:t xml:space="preserve">412</x:t>
  </x:si>
  <x:si>
    <x:t xml:space="preserve">RD-CT39</x:t>
  </x:si>
  <x:si>
    <x:t xml:space="preserve">492</x:t>
  </x:si>
  <x:si>
    <x:t xml:space="preserve">airplane toy with propellers; airplane toy without propellers; crushed Coke can; yellow pen</x:t>
  </x:si>
  <x:si>
    <x:t xml:space="preserve">RD-CT40</x:t>
  </x:si>
  <x:si>
    <x:t xml:space="preserve">crushed Coke can; crushed Pepsi can; airplane toy with propellers; red pencil sharpener</x:t>
  </x:si>
  <x:si>
    <x:t xml:space="preserve">picked furthest soda can; pepsi can</x:t>
  </x:si>
  <x:si>
    <x:t xml:space="preserve">RD-CT41</x:t>
  </x:si>
  <x:si>
    <x:t xml:space="preserve">414</x:t>
  </x:si>
  <x:si>
    <x:t xml:space="preserve">picked red sharpener</x:t>
  </x:si>
  <x:si>
    <x:t xml:space="preserve">RD-CT42</x:t>
  </x:si>
  <x:si>
    <x:t xml:space="preserve">495</x:t>
  </x:si>
  <x:si>
    <x:t xml:space="preserve">RD-CT43</x:t>
  </x:si>
  <x:si>
    <x:t xml:space="preserve">577</x:t>
  </x:si>
  <x:si>
    <x:t xml:space="preserve">RD-CT44</x:t>
  </x:si>
  <x:si>
    <x:t xml:space="preserve">413</x:t>
  </x:si>
  <x:si>
    <x:t xml:space="preserve">RD-CT45</x:t>
  </x:si>
  <x:si>
    <x:t xml:space="preserve">493</x:t>
  </x:si>
  <x:si>
    <x:t xml:space="preserve">airplane toy with propellers; airplane toy without propellers; yellow pen; crushed Coke can</x:t>
  </x:si>
  <x:si>
    <x:t xml:space="preserve">succeeded reasoning, but couldn't grasp the furthest airplane toy</x:t>
  </x:si>
  <x:si>
    <x:t xml:space="preserve">RD-CT46</x:t>
  </x:si>
  <x:si>
    <x:t xml:space="preserve">579</x:t>
  </x:si>
  <x:si>
    <x:t xml:space="preserve">crushed Coke can; crushed Pepsi can; yellow pen; green pen</x:t>
  </x:si>
  <x:si>
    <x:t xml:space="preserve">picked coke can; furthest</x:t>
  </x:si>
  <x:si>
    <x:t xml:space="preserve">RD-CT47</x:t>
  </x:si>
  <x:si>
    <x:t xml:space="preserve">RD-CT48</x:t>
  </x:si>
  <x:si>
    <x:t xml:space="preserve">494</x:t>
  </x:si>
  <x:si>
    <x:t xml:space="preserve">airplane toy with propellers; airplane toy without propellers; crushed Pepsi can; green pen</x:t>
  </x:si>
  <x:si>
    <x:t xml:space="preserve">RD-CT49</x:t>
  </x:si>
  <x:si>
    <x:t xml:space="preserve">crushed Coke can; crushed Pepsi can; airplane toy without propellers; green pencil sharpener</x:t>
  </x:si>
  <x:si>
    <x:t xml:space="preserve">RD-CT50</x:t>
  </x:si>
  <x:si>
    <x:t xml:space="preserve">Pick up the block closest to the crushed Coke can and place it in the bowl.</x:t>
  </x:si>
  <x:si>
    <x:t xml:space="preserve">green block; blue block; crushed Coke can</x:t>
  </x:si>
  <x:si>
    <x:t xml:space="preserve">Cross-task block reasoning</x:t>
  </x:si>
  <x:si>
    <x:t xml:space="preserve">RD-BLOCK01</x:t>
  </x:si>
  <x:si>
    <x:t xml:space="preserve">Cross-task block candidate pair — closest</x:t>
  </x:si>
  <x:si>
    <x:t xml:space="preserve">500; 1075; 350</x:t>
  </x:si>
  <x:si>
    <x:t xml:space="preserve">Relation grounding is explicit in Referential Disambiguation, and both block identities are manipulated elsewhere in fine-tuning; block × referential-relation is absent.</x:t>
  </x:si>
  <x:si>
    <x:t xml:space="preserve">Place the listed objects. Arrange the expected block as the unique closest target; keep the bowl empty.</x:t>
  </x:si>
  <x:si>
    <x:t xml:space="preserve">Reasoning-only cross-task diagnostic; no direct-name block control is included.</x:t>
  </x:si>
  <x:si>
    <x:t xml:space="preserve">block</x:t>
  </x:si>
  <x:si>
    <x:t xml:space="preserve">Put the block furthest from the crushed Coke can in the bowl.</x:t>
  </x:si>
  <x:si>
    <x:t xml:space="preserve">succeeded reasonind and went to the blue block but failed grasping</x:t>
  </x:si>
  <x:si>
    <x:t xml:space="preserve">Cross-task block candidate pair — furthest</x:t>
  </x:si>
  <x:si>
    <x:t xml:space="preserve">515; 1075; 350</x:t>
  </x:si>
  <x:si>
    <x:t xml:space="preserve">Reset the moved block exactly; preserve the scene; change only the relation prompt.</x:t>
  </x:si>
  <x:si>
    <x:t xml:space="preserve">Exact-scene closest/furthest counterfactual; the correct block switches.</x:t>
  </x:si>
  <x:si>
    <x:t xml:space="preserve">Put the block closest to the green pencil sharpener in the bowl.</x:t>
  </x:si>
  <x:si>
    <x:t xml:space="preserve">green block; blue block; green pencil sharpener; airplane toy without propellers</x:t>
  </x:si>
  <x:si>
    <x:t xml:space="preserve">succeeded reasonind and went to the blue block but failed grasping; during recovery tried to grab the green pencil sharpener, but failed</x:t>
  </x:si>
  <x:si>
    <x:t xml:space="preserve">RD-BLOCK02</x:t>
  </x:si>
  <x:si>
    <x:t xml:space="preserve">Move the block furthest from the green pencil sharpener into the bowl.</x:t>
  </x:si>
  <x:si>
    <x:t xml:space="preserve">picked the green pencil sharpener</x:t>
  </x:si>
  <x:si>
    <x:t xml:space="preserve">Move the block closest to the green pen into the bowl.</x:t>
  </x:si>
  <x:si>
    <x:t xml:space="preserve">green block; blue block; green pen</x:t>
  </x:si>
  <x:si>
    <x:t xml:space="preserve">RD-BLOCK03</x:t>
  </x:si>
  <x:si>
    <x:t xml:space="preserve">Pick up the block furthest from the green pen and place it in the bowl.</x:t>
  </x:si>
  <x:si>
    <x:t xml:space="preserve">Pick up the block closest to the airplane toy with propellers and place it in the bowl.</x:t>
  </x:si>
  <x:si>
    <x:t xml:space="preserve">green block; blue block; airplane toy with propellers; crushed Pepsi can</x:t>
  </x:si>
  <x:si>
    <x:t xml:space="preserve">RD-BLOCK04</x:t>
  </x:si>
  <x:si>
    <x:t xml:space="preserve">Put the block furthest from the airplane toy with propellers in the bowl.</x:t>
  </x:si>
  <x:si>
    <x:t xml:space="preserve">Put the block closest to the crushed Coke can in the bowl.</x:t>
  </x:si>
  <x:si>
    <x:t xml:space="preserve">RD-BLOCK05</x:t>
  </x:si>
  <x:si>
    <x:t xml:space="preserve">Move the block furthest from the crushed Coke can into the bowl.</x:t>
  </x:si>
  <x:si>
    <x:t xml:space="preserve">Move the block closest to the green pencil sharpener into the bowl.</x:t>
  </x:si>
  <x:si>
    <x:t xml:space="preserve">green block; blue block; green pencil sharpener; green pen</x:t>
  </x:si>
  <x:si>
    <x:t xml:space="preserve">RD-BLOCK06</x:t>
  </x:si>
  <x:si>
    <x:t xml:space="preserve">Pick up the block furthest from the green pencil sharpener and place it in the bowl.</x:t>
  </x:si>
  <x:si>
    <x:t xml:space="preserve">picked blue block again</x:t>
  </x:si>
  <x:si>
    <x:t xml:space="preserve">Pick up the block closest to the green pen and place it in the bowl.</x:t>
  </x:si>
  <x:si>
    <x:t xml:space="preserve">green block; blue block; green pen; yellow pen</x:t>
  </x:si>
  <x:si>
    <x:t xml:space="preserve">picked blue block</x:t>
  </x:si>
  <x:si>
    <x:t xml:space="preserve">RD-BLOCK07</x:t>
  </x:si>
  <x:si>
    <x:t xml:space="preserve">Put the block furthest from the green pen in the bowl.</x:t>
  </x:si>
  <x:si>
    <x:t xml:space="preserve">Pick up the block between the green pen and the crushed Coke can and place it in the bowl.</x:t>
  </x:si>
  <x:si>
    <x:t xml:space="preserve">green block; blue block; green pen; crushed Coke can</x:t>
  </x:si>
  <x:si>
    <x:t xml:space="preserve">succeeded reasoning; tried picking green block but couldn't and drifted to the right</x:t>
  </x:si>
  <x:si>
    <x:t xml:space="preserve">RD-BLOCK-B01A</x:t>
  </x:si>
  <x:si>
    <x:t xml:space="preserve">Cross-task block candidate pair — between</x:t>
  </x:si>
  <x:si>
    <x:t xml:space="preserve">530; 1075; 350</x:t>
  </x:si>
  <x:si>
    <x:t xml:space="preserve">Between is explicit in Referential Disambiguation, and both block identities are manipulated elsewhere in fine-tuning; block × between is absent.</x:t>
  </x:si>
  <x:si>
    <x:t xml:space="preserve">Place the listed objects. Put Expected Target between the two named references and the other block outside that segment.</x:t>
  </x:si>
  <x:si>
    <x:t xml:space="preserve">Adjacent between counterfactual scenes alternate which block occupies the midpoint.</x:t>
  </x:si>
  <x:si>
    <x:t xml:space="preserve">Put the block between the yellow pen and the crushed Pepsi can in the bowl.</x:t>
  </x:si>
  <x:si>
    <x:t xml:space="preserve">green block; blue block; yellow pen; crushed Pepsi can; red pencil sharpener</x:t>
  </x:si>
  <x:si>
    <x:t xml:space="preserve">RD-BLOCK-B01B</x:t>
  </x:si>
  <x:si>
    <x:t xml:space="preserve">Move the block between the green pencil sharpener and the airplane toy with propellers into the bowl.</x:t>
  </x:si>
  <x:si>
    <x:t xml:space="preserve">green block; blue block; green pencil sharpener; airplane toy with propellers; green pen</x:t>
  </x:si>
  <x:si>
    <x:t xml:space="preserve">RD-BLOCK-B02A</x:t>
  </x:si>
  <x:si>
    <x:t xml:space="preserve">Pick up the block between the red pencil sharpener and the airplane toy without propellers and place it in the bowl.</x:t>
  </x:si>
  <x:si>
    <x:t xml:space="preserve">green block; blue block; red pencil sharpener; airplane toy without propellers</x:t>
  </x:si>
  <x:si>
    <x:t xml:space="preserve">picked the red sharpener</x:t>
  </x:si>
  <x:si>
    <x:t xml:space="preserve">RD-BLOCK-B02B</x:t>
  </x:si>
  <x:si>
    <x:t xml:space="preserve">Put the block between the green pen and the airplane toy without propellers in the bowl.</x:t>
  </x:si>
  <x:si>
    <x:t xml:space="preserve">green block; blue block; green pen; airplane toy without propellers</x:t>
  </x:si>
  <x:si>
    <x:t xml:space="preserve">RD-BLOCK-B03A</x:t>
  </x:si>
  <x:si>
    <x:t xml:space="preserve">Move the block between the yellow pen and the airplane toy with propellers into the bowl.</x:t>
  </x:si>
  <x:si>
    <x:t xml:space="preserve">green block; blue block; yellow pen; airplane toy with propellers; crushed Coke can</x:t>
  </x:si>
  <x:si>
    <x:t xml:space="preserve">RD-BLOCK-B03B</x:t>
  </x:si>
  <x:si>
    <x:t xml:space="preserve">Pick up the crushed soda can between the green pen and the airplane toy with propellers and place it in the bowl.</x:t>
  </x:si>
  <x:si>
    <x:t xml:space="preserve">green pen; airplane toy with propellers; yellow pen; airplane toy without propellers</x:t>
  </x:si>
  <x:si>
    <x:t xml:space="preserve">NO-OP; neither crushed Coke can nor crushed Pepsi can is present</x:t>
  </x:si>
  <x:si>
    <x:t xml:space="preserve">tried to pick propellor plane like a soda can; didn't actually pick it</x:t>
  </x:si>
  <x:si>
    <x:t xml:space="preserve">No valid candidate category / no movement</x:t>
  </x:si>
  <x:si>
    <x:t xml:space="preserve">RD-NOVALID01</x:t>
  </x:si>
  <x:si>
    <x:t xml:space="preserve">Queried candidate pair absent; bowl remains empty</x:t>
  </x:si>
  <x:si>
    <x:t xml:space="preserve">The relation × candidate-category prompt cell is explicitly trained. The evaluation scene deliberately removes both candidate identities; the abstention outcome is not demonstrated in training.</x:t>
  </x:si>
  <x:si>
    <x:t xml:space="preserve">Place only the listed objects; neither queried candidate identity may be present. Keep the bowl empty.</x:t>
  </x:si>
  <x:si>
    <x:t xml:space="preserve">The instruction uses normal active-trial wording. Success requires no grasp or object displacement.</x:t>
  </x:si>
  <x:si>
    <x:t xml:space="preserve">Pick up the pencil sharpener closest to the crushed Coke can and place it in the bowl.</x:t>
  </x:si>
  <x:si>
    <x:t xml:space="preserve">crushed Coke can; green pen; yellow pen</x:t>
  </x:si>
  <x:si>
    <x:t xml:space="preserve">NO-OP; neither green pencil sharpener nor red pencil sharpener is present</x:t>
  </x:si>
  <x:si>
    <x:t xml:space="preserve">picked the green pen which was pen closest to the coke can</x:t>
  </x:si>
  <x:si>
    <x:t xml:space="preserve">RD-NOVALID02</x:t>
  </x:si>
  <x:si>
    <x:t xml:space="preserve">green pencil sharpener; red pencil sharpener; green pen; yellow pen</x:t>
  </x:si>
  <x:si>
    <x:t xml:space="preserve">NO-OP; neither airplane toy with propellers nor airplane toy without propellers is present</x:t>
  </x:si>
  <x:si>
    <x:t xml:space="preserve">picked the green pen, which was closest pen to the green sharpener</x:t>
  </x:si>
  <x:si>
    <x:t xml:space="preserve">RD-NOVALID03</x:t>
  </x:si>
  <x:si>
    <x:t xml:space="preserve">crushed Pepsi can; airplane toy with propellers; airplane toy without propellers</x:t>
  </x:si>
  <x:si>
    <x:t xml:space="preserve">NO-OP; neither green pen nor yellow pen is present</x:t>
  </x:si>
  <x:si>
    <x:t xml:space="preserve">picked airplane toy furthest</x:t>
  </x:si>
  <x:si>
    <x:t xml:space="preserve">RD-NOVALID04</x:t>
  </x:si>
  <x:si>
    <x:t xml:space="preserve">Put the crushed soda can furthest from the airplane toy without propellers in the bowl.</x:t>
  </x:si>
  <x:si>
    <x:t xml:space="preserve">airplane toy without propellers; airplane toy with propellers; green pencil sharpener; red pencil sharpener</x:t>
  </x:si>
  <x:si>
    <x:t xml:space="preserve">picked the airplane toy without propellors</x:t>
  </x:si>
  <x:si>
    <x:t xml:space="preserve">RD-NOVALID05</x:t>
  </x:si>
  <x:si>
    <x:t xml:space="preserve">Move the pencil sharpener furthest from the airplane toy without propellers into the bowl.</x:t>
  </x:si>
  <x:si>
    <x:t xml:space="preserve">airplane toy without propellers; crushed Coke can; crushed Pepsi can</x:t>
  </x:si>
  <x:si>
    <x:t xml:space="preserve">picked non propellor plane</x:t>
  </x:si>
  <x:si>
    <x:t xml:space="preserve">RD-NOVALID06</x:t>
  </x:si>
  <x:si>
    <x:t xml:space="preserve">Put the airplane toy between the green pen and the crushed Coke can in the bowl.</x:t>
  </x:si>
  <x:si>
    <x:t xml:space="preserve">green pen; crushed Coke can; crushed Pepsi can; green pencil sharpener; red pencil sharpener</x:t>
  </x:si>
  <x:si>
    <x:t xml:space="preserve">RD-NOVALID07</x:t>
  </x:si>
  <x:si>
    <x:t xml:space="preserve">580</x:t>
  </x:si>
  <x:si>
    <x:t xml:space="preserve">Move the pen closest to the green pencil sharpener into the bowl.</x:t>
  </x:si>
  <x:si>
    <x:t xml:space="preserve">green pencil sharpener; red pencil sharpener; airplane toy with propellers</x:t>
  </x:si>
  <x:si>
    <x:t xml:space="preserve">RD-NOVALID08</x:t>
  </x:si>
  <x:si>
    <x:t xml:space="preserve">500</x:t>
  </x:si>
  <x:si>
    <x:t xml:space="preserve">Move the crushed soda can between the airplane toy without propellers and the red pencil sharpener into the bowl.</x:t>
  </x:si>
  <x:si>
    <x:t xml:space="preserve">airplane toy without propellers; red pencil sharpener; yellow pen; airplane toy with propellers</x:t>
  </x:si>
  <x:si>
    <x:t xml:space="preserve">RD-NOVALID09</x:t>
  </x:si>
  <x:si>
    <x:t xml:space="preserve">Pick up the pencil sharpener closest to the yellow pen and place it in the bowl.</x:t>
  </x:si>
  <x:si>
    <x:t xml:space="preserve">yellow pen; airplane toy without propellers; crushed Coke can; crushed Pepsi can</x:t>
  </x:si>
  <x:si>
    <x:t xml:space="preserve">RD-NOVALID10</x:t>
  </x:si>
  <x:si>
    <x:t xml:space="preserve">Pick up the airplane toy between the green pencil sharpener and the yellow pen and place it in the bowl.</x:t>
  </x:si>
  <x:si>
    <x:t xml:space="preserve">green pencil sharpener; yellow pen; crushed Coke can; crushed Pepsi can; red pencil sharpener</x:t>
  </x:si>
  <x:si>
    <x:t xml:space="preserve">RD-NOVALID11</x:t>
  </x:si>
  <x:si>
    <x:t xml:space="preserve">581</x:t>
  </x:si>
  <x:si>
    <x:t xml:space="preserve">Pick up the pen furthest from the airplane toy without propellers and place it in the bowl.</x:t>
  </x:si>
  <x:si>
    <x:t xml:space="preserve">airplane toy without propellers; crushed Pepsi can; green pencil sharpener; red pencil sharpener</x:t>
  </x:si>
  <x:si>
    <x:t xml:space="preserve">picked red pencil sharpener; closest sharpener to airplane toy</x:t>
  </x:si>
  <x:si>
    <x:t xml:space="preserve">RD-NOVALID12</x:t>
  </x:si>
  <x:si>
    <x:t xml:space="preserve">Put the crushed soda can furthest from the green pen in the bowl.</x:t>
  </x:si>
  <x:si>
    <x:t xml:space="preserve">tried to picked the airplane toy, but dropped it</x:t>
  </x:si>
  <x:si>
    <x:t xml:space="preserve">RD-NOVALID13</x:t>
  </x:si>
  <x:si>
    <x:t xml:space="preserve">Put the pencil sharpener closest to the crushed Coke can in the bowl.</x:t>
  </x:si>
  <x:si>
    <x:t xml:space="preserve">crushed Coke can; airplane toy with propellers; airplane toy without propellers</x:t>
  </x:si>
  <x:si>
    <x:t xml:space="preserve">picked airplane toy closest to coke can</x:t>
  </x:si>
  <x:si>
    <x:t xml:space="preserve">RD-NOVALID14</x:t>
  </x:si>
  <x:si>
    <x:t xml:space="preserve">Move the airplane toy closest to the green pencil sharpener into the bowl.</x:t>
  </x:si>
  <x:si>
    <x:t xml:space="preserve">green pencil sharpener; yellow pen; crushed Coke can; crushed Pepsi can</x:t>
  </x:si>
  <x:si>
    <x:t xml:space="preserve">picked green pencil sharpener</x:t>
  </x:si>
  <x:si>
    <x:t xml:space="preserve">RD-NOVALID15</x:t>
  </x:si>
  <x:si>
    <x:t xml:space="preserve">551</x:t>
  </x:si>
  <x:si>
    <x:t xml:space="preserve">Move the pen furthest from the crushed Pepsi can into the bowl.</x:t>
  </x:si>
  <x:si>
    <x:t xml:space="preserve">crushed Pepsi can; crushed Coke can; green pencil sharpener; red pencil sharpener</x:t>
  </x:si>
  <x:si>
    <x:t xml:space="preserve">picked the red pencil sharpener that was furthest from the crushed pepsi can</x:t>
  </x:si>
  <x:si>
    <x:t xml:space="preserve">RD-NOVALID16</x:t>
  </x:si>
  <x:si>
    <x:t xml:space="preserve">Put the crushed soda can between the green pencil sharpener and the yellow pen in the bowl.</x:t>
  </x:si>
  <x:si>
    <x:t xml:space="preserve">green pencil sharpener; yellow pen; airplane toy with propellers; airplane toy without propellers</x:t>
  </x:si>
  <x:si>
    <x:t xml:space="preserve">RD-NOVALID17</x:t>
  </x:si>
  <x:si>
    <x:t xml:space="preserve">Pick up the pencil sharpener furthest from the airplane toy without propellers and place it in the bowl.</x:t>
  </x:si>
  <x:si>
    <x:t xml:space="preserve">airplane toy without propellers; green pen; yellow pen; airplane toy with propellers</x:t>
  </x:si>
  <x:si>
    <x:t xml:space="preserve">picked the green pen; closest pen to the non-propellor plane</x:t>
  </x:si>
  <x:si>
    <x:t xml:space="preserve">RD-NOVALID18</x:t>
  </x:si>
  <x:si>
    <x:t xml:space="preserve">Move the airplane toy between the green pen and the crushed Coke can into the bowl.</x:t>
  </x:si>
  <x:si>
    <x:t xml:space="preserve">picked the green pencil sharpener; sharpener between the green pen and crushed pepsi can</x:t>
  </x:si>
  <x:si>
    <x:t xml:space="preserve">RD-NOVALID19</x:t>
  </x:si>
  <x:si>
    <x:t xml:space="preserve">582</x:t>
  </x:si>
  <x:si>
    <x:t xml:space="preserve">Pick up the pen closest to the green pencil sharpener and place it in the bowl.</x:t>
  </x:si>
  <x:si>
    <x:t xml:space="preserve">green pencil sharpener; airplane toy without propellers; crushed Coke can; crushed Pepsi can</x:t>
  </x:si>
  <x:si>
    <x:t xml:space="preserve">tried to pick the airplane toy but couldn't; closest object to the green pen</x:t>
  </x:si>
  <x:si>
    <x:t xml:space="preserve">RD-NOVALID20</x:t>
  </x:si>
  <x:si>
    <x:t xml:space="preserve">successfully went to the pepsi can but didn't close gripper around it. Success on reasoning, failure on grasping</x:t>
  </x:si>
  <x:si>
    <x:t xml:space="preserve">over gripped it that is squeezed the block out of the gripper into the bowl instead of dropping it in the bowl</x:t>
  </x:si>
  <x:si>
    <x:t xml:space="preserve">succeeded resoning in going to the pepsi can, but once it had its grippers around it, it couldn't grasp it</x:t>
  </x:si>
  <x:si>
    <x:t xml:space="preserve">successful reasoning, but had a bad grip and it got pushed out of range</x:t>
  </x:si>
  <x:si>
    <x:t xml:space="preserve">Bowl: empty. Table, robot-left→robot-right: P1 green block; P2 red pencil sharpener. Adjacent centers 8 cm apart; row centered on the workspace; all objects fully visible and grasp paths clear.</x:t>
  </x:si>
  <x:si>
    <x:t xml:space="preserve">SZ-CT-LG01</x:t>
  </x:si>
  <x:si>
    <x:t xml:space="preserve">1080</x:t>
  </x:si>
  <x:si>
    <x:t xml:space="preserve">Build the listed two-object scene and save a first-frame filename.</x:t>
  </x:si>
  <x:si>
    <x:t xml:space="preserve">Primary missing cell. Training episode 1080 contains the same target trajectory but masks the size word with a direct identity prompt.</x:t>
  </x:si>
  <x:si>
    <x:t xml:space="preserve">Held-out largest × green block — Move</x:t>
  </x:si>
  <x:si>
    <x:t xml:space="preserve">Put the green block in the bowl.</x:t>
  </x:si>
  <x:si>
    <x:t xml:space="preserve">Direct</x:t>
  </x:si>
  <x:si>
    <x:t xml:space="preserve">1075</x:t>
  </x:si>
  <x:si>
    <x:t xml:space="preserve">Reset the target to its original pose; change only the prompt.</x:t>
  </x:si>
  <x:si>
    <x:t xml:space="preserve">Exact-scene control using a direct prompt supported by training episode 1075.</x:t>
  </x:si>
  <x:si>
    <x:t xml:space="preserve">Same-scene direct target control</x:t>
  </x:si>
  <x:si>
    <x:t xml:space="preserve">Choose the biggest item and move it into the bowl.</x:t>
  </x:si>
  <x:si>
    <x:t xml:space="preserve">Reset the target; preserve the exact scene and paraphrase only the transfer prompt.</x:t>
  </x:si>
  <x:si>
    <x:t xml:space="preserve">Exact-scene paraphrase of the primary transfer instruction.</x:t>
  </x:si>
  <x:si>
    <x:t xml:space="preserve">Transfer the green block from the table into the bowl.</x:t>
  </x:si>
  <x:si>
    <x:t xml:space="preserve">Reset the target; preserve the exact scene and paraphrase only the matched-control prompt.</x:t>
  </x:si>
  <x:si>
    <x:t xml:space="preserve">Matched-control direct prompt paraphrase</x:t>
  </x:si>
  <x:si>
    <x:t xml:space="preserve">Bowl: empty. Table, robot-left→robot-right: P1 crushed Pepsi can; P2 juggling ball. Adjacent centers 12 cm apart; row shifted 4 cm toward robot-right; all objects fully visible and grasp paths clear.</x:t>
  </x:si>
  <x:si>
    <x:t xml:space="preserve">went for the juggling ball, then drifted off to the right edge of the workspace</x:t>
  </x:si>
  <x:si>
    <x:t xml:space="preserve">SZ-CT-SJ01</x:t>
  </x:si>
  <x:si>
    <x:t xml:space="preserve">1105</x:t>
  </x:si>
  <x:si>
    <x:t xml:space="preserve">Primary missing cell. Training episode 1105 contains the same target trajectory but masks the size word with a direct identity prompt.</x:t>
  </x:si>
  <x:si>
    <x:t xml:space="preserve">Held-out smallest × juggling ball — Pick up</x:t>
  </x:si>
  <x:si>
    <x:t xml:space="preserve">Put the juggling ball in the bowl.</x:t>
  </x:si>
  <x:si>
    <x:t xml:space="preserve">1100</x:t>
  </x:si>
  <x:si>
    <x:t xml:space="preserve">Exact-scene control using a direct prompt supported by training episode 1100.</x:t>
  </x:si>
  <x:si>
    <x:t xml:space="preserve">Choose the tiniest item and move it into the bowl.</x:t>
  </x:si>
  <x:si>
    <x:t xml:space="preserve">Transfer the juggling ball from the table into the bowl.</x:t>
  </x:si>
  <x:si>
    <x:t xml:space="preserve">Bowl: empty. Table, robot-left→robot-right: P1 red pencil sharpener; P2 green block. Adjacent centers 12 cm apart; row shifted 4 cm toward robot-left; all objects fully visible and grasp paths clear.</x:t>
  </x:si>
  <x:si>
    <x:t xml:space="preserve">SZ-CT-LG02</x:t>
  </x:si>
  <x:si>
    <x:t xml:space="preserve">1081</x:t>
  </x:si>
  <x:si>
    <x:t xml:space="preserve">Primary missing cell. Training episode 1081 contains the same target trajectory but masks the size word with a direct identity prompt.</x:t>
  </x:si>
  <x:si>
    <x:t xml:space="preserve">Held-out largest × green block — Pick up</x:t>
  </x:si>
  <x:si>
    <x:t xml:space="preserve">Move the green block into the bowl.</x:t>
  </x:si>
  <x:si>
    <x:t xml:space="preserve">1076</x:t>
  </x:si>
  <x:si>
    <x:t xml:space="preserve">Exact-scene control using a direct prompt supported by training episode 1076.</x:t>
  </x:si>
  <x:si>
    <x:t xml:space="preserve">Place whichever object is greatest in size inside the bowl.</x:t>
  </x:si>
  <x:si>
    <x:t xml:space="preserve">Lift the green block and set it inside the bowl.</x:t>
  </x:si>
  <x:si>
    <x:t xml:space="preserve">Bowl: empty. Table, robot-left→robot-right: P1 juggling ball; P2 crushed Pepsi can. Adjacent centers 16 cm apart; row shifted 4 cm toward the robot; all objects fully visible and grasp paths clear.</x:t>
  </x:si>
  <x:si>
    <x:t xml:space="preserve">SZ-CT-SJ02</x:t>
  </x:si>
  <x:si>
    <x:t xml:space="preserve">1106</x:t>
  </x:si>
  <x:si>
    <x:t xml:space="preserve">Primary missing cell. Training episode 1106 contains the same target trajectory but masks the size word with a direct identity prompt.</x:t>
  </x:si>
  <x:si>
    <x:t xml:space="preserve">Held-out smallest × juggling ball — Put</x:t>
  </x:si>
  <x:si>
    <x:t xml:space="preserve">Move the juggling ball into the bowl.</x:t>
  </x:si>
  <x:si>
    <x:t xml:space="preserve">1101</x:t>
  </x:si>
  <x:si>
    <x:t xml:space="preserve">Exact-scene control using a direct prompt supported by training episode 1101.</x:t>
  </x:si>
  <x:si>
    <x:t xml:space="preserve">Place whichever object is least in size inside the bowl.</x:t>
  </x:si>
  <x:si>
    <x:t xml:space="preserve">Lift the juggling ball and set it inside the bowl.</x:t>
  </x:si>
  <x:si>
    <x:t xml:space="preserve">Bowl: empty. Table, robot-left→robot-right: P1 green block; P2 red pencil sharpener. Adjacent centers 16 cm apart; row shifted 4 cm toward robot-right; all objects fully visible and grasp paths clear.</x:t>
  </x:si>
  <x:si>
    <x:t xml:space="preserve">SZ-CT-LG03</x:t>
  </x:si>
  <x:si>
    <x:t xml:space="preserve">1082</x:t>
  </x:si>
  <x:si>
    <x:t xml:space="preserve">Primary missing cell. Training episode 1082 contains the same target trajectory but masks the size word with a direct identity prompt.</x:t>
  </x:si>
  <x:si>
    <x:t xml:space="preserve">Held-out largest × green block — Put</x:t>
  </x:si>
  <x:si>
    <x:t xml:space="preserve">Pick up the green block and place it in the bowl.</x:t>
  </x:si>
  <x:si>
    <x:t xml:space="preserve">1077</x:t>
  </x:si>
  <x:si>
    <x:t xml:space="preserve">Exact-scene control using a direct prompt supported by training episode 1077.</x:t>
  </x:si>
  <x:si>
    <x:t xml:space="preserve">Select the bigger object and put it into the bowl.</x:t>
  </x:si>
  <x:si>
    <x:t xml:space="preserve">Move the green block off the table and into the bowl.</x:t>
  </x:si>
  <x:si>
    <x:t xml:space="preserve">knocked the green block, but did get it</x:t>
  </x:si>
  <x:si>
    <x:t xml:space="preserve">Bowl: empty. Table, robot-left→robot-right: P1 crushed Pepsi can; P2 juggling ball. Adjacent centers 8 cm apart; row shifted 4 cm away from the robot; all objects fully visible and grasp paths clear.</x:t>
  </x:si>
  <x:si>
    <x:t xml:space="preserve">SZ-CT-SJ03</x:t>
  </x:si>
  <x:si>
    <x:t xml:space="preserve">1107</x:t>
  </x:si>
  <x:si>
    <x:t xml:space="preserve">Primary missing cell. Training episode 1107 contains the same target trajectory but masks the size word with a direct identity prompt.</x:t>
  </x:si>
  <x:si>
    <x:t xml:space="preserve">Held-out smallest × juggling ball — Move</x:t>
  </x:si>
  <x:si>
    <x:t xml:space="preserve">Pick up the juggling ball and place it in the bowl.</x:t>
  </x:si>
  <x:si>
    <x:t xml:space="preserve">1102</x:t>
  </x:si>
  <x:si>
    <x:t xml:space="preserve">Exact-scene control using a direct prompt supported by training episode 1102.</x:t>
  </x:si>
  <x:si>
    <x:t xml:space="preserve">Select the smaller object and put it into the bowl.</x:t>
  </x:si>
  <x:si>
    <x:t xml:space="preserve">went to pepsi can, had wrong gripping strategy, knocked it over and never recovered</x:t>
  </x:si>
  <x:si>
    <x:t xml:space="preserve">Move the juggling ball off the table and into the bowl.</x:t>
  </x:si>
  <x:si>
    <x:t xml:space="preserve">Bowl: empty. Table, robot-left→robot-right: P1 red pencil sharpener; P2 green block. Adjacent centers 8 cm apart; row shifted 4 cm toward the robot; all objects fully visible and grasp paths clear.</x:t>
  </x:si>
  <x:si>
    <x:t xml:space="preserve">SZ-CT-LG04</x:t>
  </x:si>
  <x:si>
    <x:t xml:space="preserve">1083</x:t>
  </x:si>
  <x:si>
    <x:t xml:space="preserve">Primary missing cell. Training episode 1083 contains the same target trajectory but masks the size word with a direct identity prompt.</x:t>
  </x:si>
  <x:si>
    <x:t xml:space="preserve">1078</x:t>
  </x:si>
  <x:si>
    <x:t xml:space="preserve">Exact-scene control using a direct prompt supported by training episode 1078.</x:t>
  </x:si>
  <x:si>
    <x:t xml:space="preserve">Find the greatest-sized item and move it to the bowl.</x:t>
  </x:si>
  <x:si>
    <x:t xml:space="preserve">Place the table's green block inside the bowl.</x:t>
  </x:si>
  <x:si>
    <x:t xml:space="preserve">Bowl: empty. Table, robot-left→robot-right: P1 juggling ball; P2 crushed Pepsi can. Adjacent centers 12 cm apart; row centered on the workspace; all objects fully visible and grasp paths clear.</x:t>
  </x:si>
  <x:si>
    <x:t xml:space="preserve">SZ-CT-SJ04</x:t>
  </x:si>
  <x:si>
    <x:t xml:space="preserve">1108</x:t>
  </x:si>
  <x:si>
    <x:t xml:space="preserve">Primary missing cell. Training episode 1108 contains the same target trajectory but masks the size word with a direct identity prompt.</x:t>
  </x:si>
  <x:si>
    <x:t xml:space="preserve">1103</x:t>
  </x:si>
  <x:si>
    <x:t xml:space="preserve">Exact-scene control using a direct prompt supported by training episode 1103.</x:t>
  </x:si>
  <x:si>
    <x:t xml:space="preserve">Find the least-sized item and move it to the bowl.</x:t>
  </x:si>
  <x:si>
    <x:t xml:space="preserve">went between the soda can and juggling ball, then couldn't grab the juggling ball; kind of drifted towards it but still failed</x:t>
  </x:si>
  <x:si>
    <x:t xml:space="preserve">Place the table's juggling ball inside the bowl.</x:t>
  </x:si>
  <x:si>
    <x:t xml:space="preserve">Bowl: empty. Table, robot-left→robot-right: P1 green block; P2 red pencil sharpener. Adjacent centers 12 cm apart; row shifted 4 cm away from the robot; all objects fully visible and grasp paths clear.</x:t>
  </x:si>
  <x:si>
    <x:t xml:space="preserve">went towards the green block, but then drifted off to the right edge of workspace and didn't recover</x:t>
  </x:si>
  <x:si>
    <x:t xml:space="preserve">SZ-CT-LG05</x:t>
  </x:si>
  <x:si>
    <x:t xml:space="preserve">1084</x:t>
  </x:si>
  <x:si>
    <x:t xml:space="preserve">Primary missing cell. Training episode 1084 contains the same target trajectory but masks the size word with a direct identity prompt.</x:t>
  </x:si>
  <x:si>
    <x:t xml:space="preserve">1079</x:t>
  </x:si>
  <x:si>
    <x:t xml:space="preserve">Exact-scene control using a direct prompt supported by training episode 1079.</x:t>
  </x:si>
  <x:si>
    <x:t xml:space="preserve">Move whichever item is larger into the bowl.</x:t>
  </x:si>
  <x:si>
    <x:t xml:space="preserve">Take the green block from the table and put it in the bowl.</x:t>
  </x:si>
  <x:si>
    <x:t xml:space="preserve">Bowl: empty. Table, robot-left→robot-right: P1 crushed Pepsi can; P2 juggling ball. Adjacent centers 16 cm apart; row shifted 4 cm toward robot-left; all objects fully visible and grasp paths clear.</x:t>
  </x:si>
  <x:si>
    <x:t xml:space="preserve">SZ-CT-SJ05</x:t>
  </x:si>
  <x:si>
    <x:t xml:space="preserve">1109</x:t>
  </x:si>
  <x:si>
    <x:t xml:space="preserve">Primary missing cell. Training episode 1109 contains the same target trajectory but masks the size word with a direct identity prompt.</x:t>
  </x:si>
  <x:si>
    <x:t xml:space="preserve">1104</x:t>
  </x:si>
  <x:si>
    <x:t xml:space="preserve">Exact-scene control using a direct prompt supported by training episode 1104.</x:t>
  </x:si>
  <x:si>
    <x:t xml:space="preserve">Move whichever item is smaller into the bowl.</x:t>
  </x:si>
  <x:si>
    <x:t xml:space="preserve">Take the juggling ball from the table and put it in the bowl.</x:t>
  </x:si>
  <x:si>
    <x:t xml:space="preserve">Bowl: empty. Table, robot-left→robot-right: P1 red pencil sharpener; P2 green block. Adjacent centers 16 cm apart; row centered on the workspace; all objects fully visible and grasp paths clear.</x:t>
  </x:si>
  <x:si>
    <x:t xml:space="preserve">picked in between the two items, knocked green block, then went for red pencil sharpener. Dropped it and tried picking it, but was out of range</x:t>
  </x:si>
  <x:si>
    <x:t xml:space="preserve">SZ-CT-LG06</x:t>
  </x:si>
  <x:si>
    <x:t xml:space="preserve">1085</x:t>
  </x:si>
  <x:si>
    <x:t xml:space="preserve">Primary missing cell. Training episode 1085 contains the same target trajectory but masks the size word with a direct identity prompt.</x:t>
  </x:si>
  <x:si>
    <x:t xml:space="preserve">Bowl: empty. Table, robot-left→robot-right: P1 juggling ball; P2 crushed Pepsi can. Adjacent centers 8 cm apart; row shifted 4 cm toward robot-right; all objects fully visible and grasp paths clear.</x:t>
  </x:si>
  <x:si>
    <x:t xml:space="preserve">SZ-CT-SJ06</x:t>
  </x:si>
  <x:si>
    <x:t xml:space="preserve">1110</x:t>
  </x:si>
  <x:si>
    <x:t xml:space="preserve">Primary missing cell. Training episode 1110 contains the same target trajectory but masks the size word with a direct identity prompt.</x:t>
  </x:si>
  <x:si>
    <x:t xml:space="preserve">Bowl: empty. Table, robot-left→robot-right: P1 green block; P2 red pencil sharpener. Adjacent centers 8 cm apart; row shifted 4 cm toward robot-left; all objects fully visible and grasp paths clear.</x:t>
  </x:si>
  <x:si>
    <x:t xml:space="preserve">went for red pencil sharpener, but couldn't grasp it, difted off to the right edge of the workspace</x:t>
  </x:si>
  <x:si>
    <x:t xml:space="preserve">SZ-CT-LG07</x:t>
  </x:si>
  <x:si>
    <x:t xml:space="preserve">1086</x:t>
  </x:si>
  <x:si>
    <x:t xml:space="preserve">Primary missing cell. Training episode 1086 contains the same target trajectory but masks the size word with a direct identity prompt.</x:t>
  </x:si>
  <x:si>
    <x:t xml:space="preserve">Bowl: empty. Table, robot-left→robot-right: P1 crushed Pepsi can; P2 juggling ball. Adjacent centers 12 cm apart; row shifted 4 cm toward the robot; all objects fully visible and grasp paths clear.</x:t>
  </x:si>
  <x:si>
    <x:t xml:space="preserve">SZ-CT-SJ07</x:t>
  </x:si>
  <x:si>
    <x:t xml:space="preserve">1111</x:t>
  </x:si>
  <x:si>
    <x:t xml:space="preserve">Primary missing cell. Training episode 1111 contains the same target trajectory but masks the size word with a direct identity prompt.</x:t>
  </x:si>
  <x:si>
    <x:t xml:space="preserve">Bowl: empty. Table, robot-left→robot-right: P1 red pencil sharpener; P2 green block. Adjacent centers 12 cm apart; row shifted 4 cm toward robot-right; all objects fully visible and grasp paths clear.</x:t>
  </x:si>
  <x:si>
    <x:t xml:space="preserve">successfull reasoning; failed grasping and knocked the block out of range.</x:t>
  </x:si>
  <x:si>
    <x:t xml:space="preserve">SZ-CT-LG08</x:t>
  </x:si>
  <x:si>
    <x:t xml:space="preserve">1087</x:t>
  </x:si>
  <x:si>
    <x:t xml:space="preserve">Primary missing cell. Training episode 1087 contains the same target trajectory but masks the size word with a direct identity prompt.</x:t>
  </x:si>
  <x:si>
    <x:t xml:space="preserve">Bowl: empty. Table, robot-left→robot-right: P1 juggling ball; P2 crushed Pepsi can. Adjacent centers 16 cm apart; row shifted 4 cm away from the robot; all objects fully visible and grasp paths clear.</x:t>
  </x:si>
  <x:si>
    <x:t xml:space="preserve">went to pepsi can with wrong gripping strategy; froze up once it got there; slowly drifted to the right edge of the workspace</x:t>
  </x:si>
  <x:si>
    <x:t xml:space="preserve">SZ-CT-SJ08</x:t>
  </x:si>
  <x:si>
    <x:t xml:space="preserve">1112</x:t>
  </x:si>
  <x:si>
    <x:t xml:space="preserve">Primary missing cell. Training episode 1112 contains the same target trajectory but masks the size word with a direct identity prompt.</x:t>
  </x:si>
  <x:si>
    <x:t xml:space="preserve">Bowl: empty. Table, robot-left→robot-right: P1 green block; P2 red pencil sharpener. Adjacent centers 16 cm apart; row shifted 4 cm toward the robot; all objects fully visible and grasp paths clear.</x:t>
  </x:si>
  <x:si>
    <x:t xml:space="preserve">SZ-CT-LG09</x:t>
  </x:si>
  <x:si>
    <x:t xml:space="preserve">1088</x:t>
  </x:si>
  <x:si>
    <x:t xml:space="preserve">Primary missing cell. Training episode 1088 contains the same target trajectory but masks the size word with a direct identity prompt.</x:t>
  </x:si>
  <x:si>
    <x:t xml:space="preserve">Bowl: empty. Table, robot-left→robot-right: P1 crushed Pepsi can; P2 juggling ball. Adjacent centers 8 cm apart; row centered on the workspace; all objects fully visible and grasp paths clear.</x:t>
  </x:si>
  <x:si>
    <x:t xml:space="preserve">SZ-CT-SJ09</x:t>
  </x:si>
  <x:si>
    <x:t xml:space="preserve">1113</x:t>
  </x:si>
  <x:si>
    <x:t xml:space="preserve">Primary missing cell. Training episode 1113 contains the same target trajectory but masks the size word with a direct identity prompt.</x:t>
  </x:si>
  <x:si>
    <x:t xml:space="preserve">Bowl: empty. Table, robot-left→robot-right: P1 red pencil sharpener; P2 green block. Adjacent centers 8 cm apart; row shifted 4 cm away from the robot; all objects fully visible and grasp paths clear.</x:t>
  </x:si>
  <x:si>
    <x:t xml:space="preserve">succeeded reasoning, but overgripped it that the block flung out; drifted to the right edge of the workspace</x:t>
  </x:si>
  <x:si>
    <x:t xml:space="preserve">SZ-CT-LG10</x:t>
  </x:si>
  <x:si>
    <x:t xml:space="preserve">1089</x:t>
  </x:si>
  <x:si>
    <x:t xml:space="preserve">Primary missing cell. Training episode 1089 contains the same target trajectory but masks the size word with a direct identity prompt.</x:t>
  </x:si>
  <x:si>
    <x:t xml:space="preserve">gripped it, but didn't move once it was grouped. Also was overgripping a ton</x:t>
  </x:si>
  <x:si>
    <x:t xml:space="preserve">Bowl: empty. Table, robot-left→robot-right: P1 juggling ball; P2 crushed Pepsi can. Adjacent centers 12 cm apart; row shifted 4 cm toward robot-left; all objects fully visible and grasp paths clear.</x:t>
  </x:si>
  <x:si>
    <x:t xml:space="preserve">went to pepsi can with wrong gripping strategy; couldn't pick it up</x:t>
  </x:si>
  <x:si>
    <x:t xml:space="preserve">SZ-CT-SJ10</x:t>
  </x:si>
  <x:si>
    <x:t xml:space="preserve">1114</x:t>
  </x:si>
  <x:si>
    <x:t xml:space="preserve">Primary missing cell. Training episode 1114 contains the same target trajectory but masks the size word with a direct identity prompt.</x:t>
  </x:si>
  <x:si>
    <x:t xml:space="preserve">Bowl: empty. Table, robot-left→robot-right: P1 green block; P2 red pencil sharpener. Adjacent centers 12 cm apart; row centered on the workspace; all objects fully visible and grasp paths clear.</x:t>
  </x:si>
  <x:si>
    <x:t xml:space="preserve">SZ-CT-LG11</x:t>
  </x:si>
  <x:si>
    <x:t xml:space="preserve">1090</x:t>
  </x:si>
  <x:si>
    <x:t xml:space="preserve">Primary missing cell. Training episode 1090 contains the same target trajectory but masks the size word with a direct identity prompt.</x:t>
  </x:si>
  <x:si>
    <x:t xml:space="preserve">Bowl: empty. Table, robot-left→robot-right: P1 crushed Pepsi can; P2 juggling ball. Adjacent centers 16 cm apart; row shifted 4 cm toward robot-right; all objects fully visible and grasp paths clear.</x:t>
  </x:si>
  <x:si>
    <x:t xml:space="preserve">SZ-CT-SJ11</x:t>
  </x:si>
  <x:si>
    <x:t xml:space="preserve">1115</x:t>
  </x:si>
  <x:si>
    <x:t xml:space="preserve">Primary missing cell. Training episode 1115 contains the same target trajectory but masks the size word with a direct identity prompt.</x:t>
  </x:si>
  <x:si>
    <x:t xml:space="preserve">Bowl: empty. Table, robot-left→robot-right: P1 red pencil sharpener; P2 green block. Adjacent centers 16 cm apart; row shifted 4 cm toward robot-left; all objects fully visible and grasp paths clear.</x:t>
  </x:si>
  <x:si>
    <x:t xml:space="preserve">succeeded reasoning; but overgripping the block and knocked it out of the workspace; then went for the red pencil sharpener, which was technically correct since it wsa the only object in the environment</x:t>
  </x:si>
  <x:si>
    <x:t xml:space="preserve">SZ-CT-LG12</x:t>
  </x:si>
  <x:si>
    <x:t xml:space="preserve">1091</x:t>
  </x:si>
  <x:si>
    <x:t xml:space="preserve">Primary missing cell. Training episode 1091 contains the same target trajectory but masks the size word with a direct identity prompt.</x:t>
  </x:si>
  <x:si>
    <x:t xml:space="preserve">Bowl: empty. Table, robot-left→robot-right: P1 juggling ball; P2 crushed Pepsi can. Adjacent centers 8 cm apart; row shifted 4 cm toward the robot; all objects fully visible and grasp paths clear.</x:t>
  </x:si>
  <x:si>
    <x:t xml:space="preserve">SZ-CT-SJ12</x:t>
  </x:si>
  <x:si>
    <x:t xml:space="preserve">1116</x:t>
  </x:si>
  <x:si>
    <x:t xml:space="preserve">Primary missing cell. Training episode 1116 contains the same target trajectory but masks the size word with a direct identity prompt.</x:t>
  </x:si>
  <x:si>
    <x:t xml:space="preserve">Bowl: empty. Table, robot-left→robot-right: P1 green block; P2 red pencil sharpener. Adjacent centers 8 cm apart; row shifted 4 cm toward robot-right; all objects fully visible and grasp paths clear.</x:t>
  </x:si>
  <x:si>
    <x:t xml:space="preserve">SZ-CT-LG13</x:t>
  </x:si>
  <x:si>
    <x:t xml:space="preserve">1092</x:t>
  </x:si>
  <x:si>
    <x:t xml:space="preserve">Primary missing cell. Training episode 1092 contains the same target trajectory but masks the size word with a direct identity prompt.</x:t>
  </x:si>
  <x:si>
    <x:t xml:space="preserve">Bowl: empty. Table, robot-left→robot-right: P1 crushed Pepsi can; P2 juggling ball. Adjacent centers 12 cm apart; row shifted 4 cm away from the robot; all objects fully visible and grasp paths clear.</x:t>
  </x:si>
  <x:si>
    <x:t xml:space="preserve">successful reasoning; went for the juggling ball, but didn't grab it; ended up drifting off to the right edge of the workspace</x:t>
  </x:si>
  <x:si>
    <x:t xml:space="preserve">SZ-CT-SJ13</x:t>
  </x:si>
  <x:si>
    <x:t xml:space="preserve">1117</x:t>
  </x:si>
  <x:si>
    <x:t xml:space="preserve">Primary missing cell. Training episode 1117 contains the same target trajectory but masks the size word with a direct identity prompt.</x:t>
  </x:si>
  <x:si>
    <x:t xml:space="preserve">Bowl: empty. Table, robot-left→robot-right: P1 red pencil sharpener; P2 green block. Adjacent centers 12 cm apart; row shifted 4 cm toward the robot; all objects fully visible and grasp paths clear.</x:t>
  </x:si>
  <x:si>
    <x:t xml:space="preserve">drifted to the right of the workspace again</x:t>
  </x:si>
  <x:si>
    <x:t xml:space="preserve">SZ-CT-LG14</x:t>
  </x:si>
  <x:si>
    <x:t xml:space="preserve">1093</x:t>
  </x:si>
  <x:si>
    <x:t xml:space="preserve">Primary missing cell. Training episode 1093 contains the same target trajectory but masks the size word with a direct identity prompt.</x:t>
  </x:si>
  <x:si>
    <x:t xml:space="preserve">Bowl: empty. Table, robot-left→robot-right: P1 juggling ball; P2 crushed Pepsi can. Adjacent centers 16 cm apart; row centered on the workspace; all objects fully visible and grasp paths clear.</x:t>
  </x:si>
  <x:si>
    <x:t xml:space="preserve">went for the pepsi can with wrong gripping strategy then drifted off to the right edge of the workspace</x:t>
  </x:si>
  <x:si>
    <x:t xml:space="preserve">SZ-CT-SJ14</x:t>
  </x:si>
  <x:si>
    <x:t xml:space="preserve">1118</x:t>
  </x:si>
  <x:si>
    <x:t xml:space="preserve">Primary missing cell. Training episode 1118 contains the same target trajectory but masks the size word with a direct identity prompt.</x:t>
  </x:si>
  <x:si>
    <x:t xml:space="preserve">Bowl: empty. Table, robot-left→robot-right: P1 green block; P2 red pencil sharpener. Adjacent centers 16 cm apart; row shifted 4 cm away from the robot; all objects fully visible and grasp paths clear.</x:t>
  </x:si>
  <x:si>
    <x:t xml:space="preserve">SZ-CT-LG15</x:t>
  </x:si>
  <x:si>
    <x:t xml:space="preserve">1094</x:t>
  </x:si>
  <x:si>
    <x:t xml:space="preserve">Primary missing cell. Training episode 1094 contains the same target trajectory but masks the size word with a direct identity prompt.</x:t>
  </x:si>
  <x:si>
    <x:t xml:space="preserve">Bowl: empty. Table, robot-left→robot-right: P1 crushed Pepsi can; P2 juggling ball. Adjacent centers 8 cm apart; row shifted 4 cm toward robot-left; all objects fully visible and grasp paths clear.</x:t>
  </x:si>
  <x:si>
    <x:t xml:space="preserve">SZ-CT-SJ15</x:t>
  </x:si>
  <x:si>
    <x:t xml:space="preserve">1119</x:t>
  </x:si>
  <x:si>
    <x:t xml:space="preserve">Primary missing cell. Training episode 1119 contains the same target trajectory but masks the size word with a direct identity prompt.</x:t>
  </x:si>
  <x:si>
    <x:t xml:space="preserve">Bowl: empty. Table, robot-left→robot-right: P1 red pencil sharpener; P2 green block. Adjacent centers 8 cm apart; row centered on the workspace; all objects fully visible and grasp paths clear.</x:t>
  </x:si>
  <x:si>
    <x:t xml:space="preserve">picked red pencil sharpener</x:t>
  </x:si>
  <x:si>
    <x:t xml:space="preserve">SZ-CT-LG16</x:t>
  </x:si>
  <x:si>
    <x:t xml:space="preserve">1095</x:t>
  </x:si>
  <x:si>
    <x:t xml:space="preserve">Primary missing cell. Training episode 1095 contains the same target trajectory but masks the size word with a direct identity prompt.</x:t>
  </x:si>
  <x:si>
    <x:t xml:space="preserve">Bowl: empty. Table, robot-left→robot-right: P1 juggling ball; P2 crushed Pepsi can. Adjacent centers 12 cm apart; row shifted 4 cm toward robot-right; all objects fully visible and grasp paths clear.</x:t>
  </x:si>
  <x:si>
    <x:t xml:space="preserve">SZ-CT-SJ16</x:t>
  </x:si>
  <x:si>
    <x:t xml:space="preserve">1120</x:t>
  </x:si>
  <x:si>
    <x:t xml:space="preserve">Primary missing cell. Training episode 1120 contains the same target trajectory but masks the size word with a direct identity prompt.</x:t>
  </x:si>
  <x:si>
    <x:t xml:space="preserve">Bowl: empty. Table, robot-left→robot-right: P1 green block; P2 red pencil sharpener. Adjacent centers 12 cm apart; row shifted 4 cm toward robot-left; all objects fully visible and grasp paths clear.</x:t>
  </x:si>
  <x:si>
    <x:t xml:space="preserve">succeeded reasoning, but knocked the green block out of range and couldn't get it; started to drift to the right edge of the workspace</x:t>
  </x:si>
  <x:si>
    <x:t xml:space="preserve">SZ-CT-LG17</x:t>
  </x:si>
  <x:si>
    <x:t xml:space="preserve">1096</x:t>
  </x:si>
  <x:si>
    <x:t xml:space="preserve">Primary missing cell. Training episode 1096 contains the same target trajectory but masks the size word with a direct identity prompt.</x:t>
  </x:si>
  <x:si>
    <x:t xml:space="preserve">Bowl: empty. Table, robot-left→robot-right: P1 crushed Pepsi can; P2 juggling ball. Adjacent centers 16 cm apart; row shifted 4 cm toward the robot; all objects fully visible and grasp paths clear.</x:t>
  </x:si>
  <x:si>
    <x:t xml:space="preserve">SZ-CT-SJ17</x:t>
  </x:si>
  <x:si>
    <x:t xml:space="preserve">1121</x:t>
  </x:si>
  <x:si>
    <x:t xml:space="preserve">Primary missing cell. Training episode 1121 contains the same target trajectory but masks the size word with a direct identity prompt.</x:t>
  </x:si>
  <x:si>
    <x:t xml:space="preserve">Bowl: empty. Table, robot-left→robot-right: P1 red pencil sharpener; P2 green block. Adjacent centers 16 cm apart; row shifted 4 cm toward robot-right; all objects fully visible and grasp paths clear.</x:t>
  </x:si>
  <x:si>
    <x:t xml:space="preserve">SZ-CT-LG18</x:t>
  </x:si>
  <x:si>
    <x:t xml:space="preserve">1097</x:t>
  </x:si>
  <x:si>
    <x:t xml:space="preserve">Primary missing cell. Training episode 1097 contains the same target trajectory but masks the size word with a direct identity prompt.</x:t>
  </x:si>
  <x:si>
    <x:t xml:space="preserve">Bowl: empty. Table, robot-left→robot-right: P1 juggling ball; P2 crushed Pepsi can. Adjacent centers 8 cm apart; row shifted 4 cm away from the robot; all objects fully visible and grasp paths clear.</x:t>
  </x:si>
  <x:si>
    <x:t xml:space="preserve">succeeded reasoning; went to the juggling ball, but couldn't grasp it; kept drifting to the right</x:t>
  </x:si>
  <x:si>
    <x:t xml:space="preserve">SZ-CT-SJ18</x:t>
  </x:si>
  <x:si>
    <x:t xml:space="preserve">1122</x:t>
  </x:si>
  <x:si>
    <x:t xml:space="preserve">Primary missing cell. Training episode 1122 contains the same target trajectory but masks the size word with a direct identity prompt.</x:t>
  </x:si>
  <x:si>
    <x:t xml:space="preserve">Bowl: empty. Table, robot-left→robot-right: P1 green block; P2 red pencil sharpener. Adjacent centers 8 cm apart; row shifted 4 cm toward the robot; all objects fully visible and grasp paths clear.</x:t>
  </x:si>
  <x:si>
    <x:t xml:space="preserve">succeeded readoning but overgripped the green block; knocked it off the workspace, then went for pencil sharpener and knocked it out of the workspace as well from overgripping</x:t>
  </x:si>
  <x:si>
    <x:t xml:space="preserve">SZ-CT-LG19</x:t>
  </x:si>
  <x:si>
    <x:t xml:space="preserve">1098</x:t>
  </x:si>
  <x:si>
    <x:t xml:space="preserve">Primary missing cell. Training episode 1098 contains the same target trajectory but masks the size word with a direct identity prompt.</x:t>
  </x:si>
  <x:si>
    <x:t xml:space="preserve">Bowl: empty. Table, robot-left→robot-right: P1 crushed Pepsi can; P2 juggling ball. Adjacent centers 12 cm apart; row centered on the workspace; all objects fully visible and grasp paths clear.</x:t>
  </x:si>
  <x:si>
    <x:t xml:space="preserve">went to the pepsi can with the wrong gripping strategy; drifted to the right edge of the workspace</x:t>
  </x:si>
  <x:si>
    <x:t xml:space="preserve">SZ-CT-SJ19</x:t>
  </x:si>
  <x:si>
    <x:t xml:space="preserve">1123</x:t>
  </x:si>
  <x:si>
    <x:t xml:space="preserve">Primary missing cell. Training episode 1123 contains the same target trajectory but masks the size word with a direct identity prompt.</x:t>
  </x:si>
  <x:si>
    <x:t xml:space="preserve">Bowl: empty. Table, robot-left→robot-right: P1 red pencil sharpener; P2 green block. Adjacent centers 12 cm apart; row shifted 4 cm away from the robot; all objects fully visible and grasp paths clear.</x:t>
  </x:si>
  <x:si>
    <x:t xml:space="preserve">tried to pick the red pencil sharpener; keeps overgripping</x:t>
  </x:si>
  <x:si>
    <x:t xml:space="preserve">SZ-CT-LG20</x:t>
  </x:si>
  <x:si>
    <x:t xml:space="preserve">1099</x:t>
  </x:si>
  <x:si>
    <x:t xml:space="preserve">Primary missing cell. Training episode 1099 contains the same target trajectory but masks the size word with a direct identity prompt.</x:t>
  </x:si>
  <x:si>
    <x:t xml:space="preserve">Bowl: empty. Table, robot-left→robot-right: P1 juggling ball; P2 crushed Pepsi can. Adjacent centers 16 cm apart; row shifted 4 cm toward robot-left; all objects fully visible and grasp paths clear.</x:t>
  </x:si>
  <x:si>
    <x:t xml:space="preserve">SZ-CT-SJ20</x:t>
  </x:si>
  <x:si>
    <x:t xml:space="preserve">1124</x:t>
  </x:si>
  <x:si>
    <x:t xml:space="preserve">Primary missing cell. Training episode 1124 contains the same target trajectory but masks the size word with a direct identity prompt.</x:t>
  </x:si>
  <x:si>
    <x:t xml:space="preserve">Bowl: empty. Table, robot-left→robot-right: P1 green block; P2 red pencil sharpener. Adjacent centers 16 cm apart; row centered on the workspace; all objects fully visible and grasp paths clear.</x:t>
  </x:si>
  <x:si>
    <x:t xml:space="preserve">SZ-CT-LG21</x:t>
  </x:si>
  <x:si>
    <x:t xml:space="preserve">Bowl: empty. Table, robot-left→robot-right: P1 crushed Pepsi can; P2 juggling ball. Adjacent centers 8 cm apart; row shifted 4 cm toward robot-right; all objects fully visible and grasp paths clear.</x:t>
  </x:si>
  <x:si>
    <x:t xml:space="preserve">went for the pepsi can with the wrong gripping strategy</x:t>
  </x:si>
  <x:si>
    <x:t xml:space="preserve">SZ-CT-SJ21</x:t>
  </x:si>
  <x:si>
    <x:t xml:space="preserve">Bowl: empty. Table, robot-left→robot-right: P1 red pencil sharpener; P2 green block. Adjacent centers 8 cm apart; row shifted 4 cm toward robot-left; all objects fully visible and grasp paths clear.</x:t>
  </x:si>
  <x:si>
    <x:t xml:space="preserve">SZ-CT-LG22</x:t>
  </x:si>
  <x:si>
    <x:t xml:space="preserve">Bowl: empty. Table, robot-left→robot-right: P1 juggling ball; P2 crushed Pepsi can. Adjacent centers 12 cm apart; row shifted 4 cm toward the robot; all objects fully visible and grasp paths clear.</x:t>
  </x:si>
  <x:si>
    <x:t xml:space="preserve">went to the pepsi can with wrong gripping strategy</x:t>
  </x:si>
  <x:si>
    <x:t xml:space="preserve">SZ-CT-SJ22</x:t>
  </x:si>
  <x:si>
    <x:t xml:space="preserve">Bowl: empty. Table, robot-left→robot-right: P1 green block; P2 red pencil sharpener. Adjacent centers 12 cm apart; row shifted 4 cm toward robot-right; all objects fully visible and grasp paths clear.</x:t>
  </x:si>
  <x:si>
    <x:t xml:space="preserve">SZ-CT-LG23</x:t>
  </x:si>
  <x:si>
    <x:t xml:space="preserve">Bowl: empty. Table, robot-left→robot-right: P1 crushed Pepsi can; P2 juggling ball. Adjacent centers 16 cm apart; row shifted 4 cm away from the robot; all objects fully visible and grasp paths clear.</x:t>
  </x:si>
  <x:si>
    <x:t xml:space="preserve">SZ-CT-SJ23</x:t>
  </x:si>
  <x:si>
    <x:t xml:space="preserve">Bowl: empty. Table, robot-left→robot-right: P1 red pencil sharpener; P2 green block. Adjacent centers 16 cm apart; row shifted 4 cm toward the robot; all objects fully visible and grasp paths clear.</x:t>
  </x:si>
  <x:si>
    <x:t xml:space="preserve">SZ-CT-LG24</x:t>
  </x:si>
  <x:si>
    <x:t xml:space="preserve">Bowl: empty. Table, robot-left→robot-right: P1 juggling ball; P2 crushed Pepsi can. Adjacent centers 8 cm apart; row centered on the workspace; all objects fully visible and grasp paths clear.</x:t>
  </x:si>
  <x:si>
    <x:t xml:space="preserve">SZ-CT-SJ24</x:t>
  </x:si>
  <x:si>
    <x:t xml:space="preserve">Bowl: empty. Table, robot-left→robot-right: P1 green block; P2 red pencil sharpener. Adjacent centers 8 cm apart; row shifted 4 cm away from the robot; all objects fully visible and grasp paths clear.</x:t>
  </x:si>
  <x:si>
    <x:t xml:space="preserve">SZ-CT-LG25</x:t>
  </x:si>
  <x:si>
    <x:t xml:space="preserve">Bowl: empty. Table, robot-left→robot-right: P1 crushed Pepsi can; P2 juggling ball. Adjacent centers 12 cm apart; row shifted 4 cm toward robot-left; all objects fully visible and grasp paths clear.</x:t>
  </x:si>
  <x:si>
    <x:t xml:space="preserve">went for the pepsi can with wrong gripping strategy; drifted to the right edge of the workspace</x:t>
  </x:si>
  <x:si>
    <x:t xml:space="preserve">SZ-CT-SJ25</x:t>
  </x:si>
  <x:si>
    <x:t xml:space="preserve">Bowl: empty. Table, robot-left→robot-right: P1 airplane toy with propellers; P2 red pencil sharpener. Adjacent centers 8 cm apart; row centered on the workspace; all objects fully visible and grasp paths clear.</x:t>
  </x:si>
  <x:si>
    <x:t xml:space="preserve">MOVE airplane toy with propellers to bowl</x:t>
  </x:si>
  <x:si>
    <x:t xml:space="preserve">picked the red pencil sharpener</x:t>
  </x:si>
  <x:si>
    <x:t xml:space="preserve">Cross-task airplane reasoning</x:t>
  </x:si>
  <x:si>
    <x:t xml:space="preserve">SZ-XA01</x:t>
  </x:si>
  <x:si>
    <x:t xml:space="preserve">airplane exposure 550</x:t>
  </x:si>
  <x:si>
    <x:t xml:space="preserve">Build the listed airplane scene and save a first-frame filename.</x:t>
  </x:si>
  <x:si>
    <x:t xml:space="preserve">The airplane is larger than the red pencil sharpener. It is known globally but never received size language in training.</x:t>
  </x:si>
  <x:si>
    <x:t xml:space="preserve">Airplane is largest</x:t>
  </x:si>
  <x:si>
    <x:t xml:space="preserve">Cross-task airplane counterfactual</x:t>
  </x:si>
  <x:si>
    <x:t xml:space="preserve">1005; airplane exposure 550</x:t>
  </x:si>
  <x:si>
    <x:t xml:space="preserve">Reset the airplane; preserve the exact scene and reverse only the size comparison.</x:t>
  </x:si>
  <x:si>
    <x:t xml:space="preserve">Reasoning-only counterfactual grounded by trained cell smallest × red pencil sharpener; an always-pick-airplane shortcut must fail.</x:t>
  </x:si>
  <x:si>
    <x:t xml:space="preserve">Exact-scene opposite-comparison reasoning control</x:t>
  </x:si>
  <x:si>
    <x:t xml:space="preserve">Bowl: empty. Table, robot-left→robot-right: P1 airplane toy with propellers; P2 green block; P3 crushed Pepsi can. Adjacent centers 12 cm apart; row shifted 4 cm toward robot-right; all objects fully visible and grasp paths clear.</x:t>
  </x:si>
  <x:si>
    <x:t xml:space="preserve">SZ-XA02</x:t>
  </x:si>
  <x:si>
    <x:t xml:space="preserve">airplane exposure 552</x:t>
  </x:si>
  <x:si>
    <x:t xml:space="preserve">The airplane is smaller than every listed table comparator. Green-block scenes also include a trained larger endpoint so the counterfactual does not test largest×green.</x:t>
  </x:si>
  <x:si>
    <x:t xml:space="preserve">Airplane is smallest</x:t>
  </x:si>
  <x:si>
    <x:t xml:space="preserve">successful reasoning, but didn't grip the soda can</x:t>
  </x:si>
  <x:si>
    <x:t xml:space="preserve">1155; airplane exposure 552</x:t>
  </x:si>
  <x:si>
    <x:t xml:space="preserve">Reasoning-only counterfactual grounded by trained cell largest × crushed Pepsi can; an always-pick-airplane shortcut must fail.</x:t>
  </x:si>
  <x:si>
    <x:t xml:space="preserve">Bowl: empty. Table, robot-left→robot-right: P1 red pencil sharpener; P2 airplane toy with propellers. Adjacent centers 12 cm apart; row shifted 4 cm toward robot-left; all objects fully visible and grasp paths clear.</x:t>
  </x:si>
  <x:si>
    <x:t xml:space="preserve">SZ-XA03</x:t>
  </x:si>
  <x:si>
    <x:t xml:space="preserve">airplane exposure 554</x:t>
  </x:si>
  <x:si>
    <x:t xml:space="preserve">picked the airplane toy; dropped it then tried to pick the red pencil sharpener when it was knocked out of range.</x:t>
  </x:si>
  <x:si>
    <x:t xml:space="preserve">1006; airplane exposure 554</x:t>
  </x:si>
  <x:si>
    <x:t xml:space="preserve">Bowl: empty. Table, robot-left→robot-right: P1 juggling ball; P2 green block; P3 airplane toy with propellers. Adjacent centers 16 cm apart; row shifted 4 cm toward the robot; all objects fully visible and grasp paths clear.</x:t>
  </x:si>
  <x:si>
    <x:t xml:space="preserve">picked the green block</x:t>
  </x:si>
  <x:si>
    <x:t xml:space="preserve">SZ-XA04</x:t>
  </x:si>
  <x:si>
    <x:t xml:space="preserve">airplane exposure 556</x:t>
  </x:si>
  <x:si>
    <x:t xml:space="preserve">1126; airplane exposure 556</x:t>
  </x:si>
  <x:si>
    <x:t xml:space="preserve">Reasoning-only counterfactual grounded by trained cell largest × juggling ball; an always-pick-airplane shortcut must fail.</x:t>
  </x:si>
  <x:si>
    <x:t xml:space="preserve">Bowl: empty. Table, robot-left→robot-right: P1 airplane toy with propellers; P2 red pencil sharpener. Adjacent centers 16 cm apart; row shifted 4 cm toward robot-right; all objects fully visible and grasp paths clear.</x:t>
  </x:si>
  <x:si>
    <x:t xml:space="preserve">picked the airplane toy, dropped it, then during recovery tried to get the red pencil sharpener but couldn't</x:t>
  </x:si>
  <x:si>
    <x:t xml:space="preserve">SZ-XA05</x:t>
  </x:si>
  <x:si>
    <x:t xml:space="preserve">airplane exposure 558</x:t>
  </x:si>
  <x:si>
    <x:t xml:space="preserve">1007; airplane exposure 558</x:t>
  </x:si>
  <x:si>
    <x:t xml:space="preserve">Bowl: empty. Table, robot-left→robot-right: P1 green block; P2 crushed Pepsi can; P3 airplane toy with propellers. Adjacent centers 8 cm apart; row shifted 4 cm away from the robot; all objects fully visible and grasp paths clear.</x:t>
  </x:si>
  <x:si>
    <x:t xml:space="preserve">picked the green block; grips it so hard!</x:t>
  </x:si>
  <x:si>
    <x:t xml:space="preserve">SZ-XA06</x:t>
  </x:si>
  <x:si>
    <x:t xml:space="preserve">airplane exposure 560</x:t>
  </x:si>
  <x:si>
    <x:t xml:space="preserve">1157; airplane exposure 560</x:t>
  </x:si>
  <x:si>
    <x:t xml:space="preserve">Center</x:t>
  </x:si>
  <x:si>
    <x:t xml:space="preserve">Bowl: empty. Table, robot-left→robot-right: P1 red pencil sharpener; P2 airplane toy with propellers. Adjacent centers 8 cm apart; row shifted 4 cm toward the robot; all objects fully visible and grasp paths clear.</x:t>
  </x:si>
  <x:si>
    <x:t xml:space="preserve">SZ-XA07</x:t>
  </x:si>
  <x:si>
    <x:t xml:space="preserve">airplane exposure 562</x:t>
  </x:si>
  <x:si>
    <x:t xml:space="preserve">Picked the airplane toy again</x:t>
  </x:si>
  <x:si>
    <x:t xml:space="preserve">1008; airplane exposure 562</x:t>
  </x:si>
  <x:si>
    <x:t xml:space="preserve">Bowl: empty. Table, robot-left→robot-right: P1 airplane toy with propellers; P2 green block; P3 juggling ball. Adjacent centers 12 cm apart; row centered on the workspace; all objects fully visible and grasp paths clear.</x:t>
  </x:si>
  <x:si>
    <x:t xml:space="preserve">SZ-XA08</x:t>
  </x:si>
  <x:si>
    <x:t xml:space="preserve">airplane exposure 564</x:t>
  </x:si>
  <x:si>
    <x:t xml:space="preserve">1128; airplane exposure 564</x:t>
  </x:si>
  <x:si>
    <x:t xml:space="preserve">Bowl: empty. Table, robot-left→robot-right: P1 airplane toy with propellers; P2 red pencil sharpener. Adjacent centers 12 cm apart; row shifted 4 cm away from the robot; all objects fully visible and grasp paths clear.</x:t>
  </x:si>
  <x:si>
    <x:t xml:space="preserve">SZ-XA09</x:t>
  </x:si>
  <x:si>
    <x:t xml:space="preserve">airplane exposure 566</x:t>
  </x:si>
  <x:si>
    <x:t xml:space="preserve">1009; airplane exposure 566</x:t>
  </x:si>
  <x:si>
    <x:t xml:space="preserve">Bowl: empty. Table, robot-left→robot-right: P1 crushed Pepsi can; P2 juggling ball; P3 airplane toy with propellers. Adjacent centers 16 cm apart; row shifted 4 cm toward robot-left; all objects fully visible and grasp paths clear.</x:t>
  </x:si>
  <x:si>
    <x:t xml:space="preserve">SZ-XA10</x:t>
  </x:si>
  <x:si>
    <x:t xml:space="preserve">airplane exposure 568</x:t>
  </x:si>
  <x:si>
    <x:t xml:space="preserve">1159; airplane exposure 568</x:t>
  </x:si>
  <x:si>
    <x:t xml:space="preserve">went for the closed white cup and then ended up knocking it off the table.</x:t>
  </x:si>
  <x:si>
    <x:t xml:space="preserve">GR00T Results</x:t>
  </x:si>
  <x:si>
    <x:t xml:space="preserve">picked closed white cup; looked like it was going for the clsoed striped cup, but switched up trajectory at the end</x:t>
  </x:si>
  <x:si>
    <x:t xml:space="preserve">picked the closed brown cup</x:t>
  </x:si>
  <x:si>
    <x:t xml:space="preserve">picked open glass spice container</x:t>
  </x:si>
  <x:si>
    <x:t xml:space="preserve">went for the open open, then tried grasping thin air way on the right of the worksapce.</x:t>
  </x:si>
  <x:si>
    <x:t xml:space="preserve">picked upright container</x:t>
  </x:si>
  <x:si>
    <x:t xml:space="preserve">picked the glass spice container</x:t>
  </x:si>
  <x:si>
    <x:t xml:space="preserve">picked the upside down cup</x:t>
  </x:si>
  <x:si>
    <x:t xml:space="preserve">picked the upside down striped cup</x:t>
  </x:si>
  <x:si>
    <x:t xml:space="preserve">picked the upside down brown cup</x:t>
  </x:si>
  <x:si>
    <x:t xml:space="preserve">grabbed the open white cup</x:t>
  </x:si>
  <x:si>
    <x:t xml:space="preserve">picked the closed glass spice container, dropped it out of the workspace, then went for the open one, but couldn't pick it.</x:t>
  </x:si>
  <x:si>
    <x:t xml:space="preserve">picked blue pen and put it in the bowl, then immediately proceded to remove the pen</x:t>
  </x:si>
  <x:si>
    <x:t xml:space="preserve">GR00T</x:t>
  </x:si>
  <x:si>
    <x:t xml:space="preserve">picked the green pencil sharpener, dropped it, and tried to pick it up but couldn't</x:t>
  </x:si>
  <x:si>
    <x:t xml:space="preserve">removed the airplane toy, but did try to pick it up again, but did end up returning home</x:t>
  </x:si>
  <x:si>
    <x:t xml:space="preserve">picked the airplane toy and put it in the bowl</x:t>
  </x:si>
  <x:si>
    <x:t xml:space="preserve">picked the blue pen</x:t>
  </x:si>
  <x:si>
    <x:t xml:space="preserve">went to bowl but failed to remove anything</x:t>
  </x:si>
  <x:si>
    <x:t xml:space="preserve">put the blue pen in the bowl. Took a while before returning home</x:t>
  </x:si>
  <x:si>
    <x:t xml:space="preserve">went to bowl but didn't remove anything</x:t>
  </x:si>
  <x:si>
    <x:t xml:space="preserve">went to yellow block, but then went back home</x:t>
  </x:si>
  <x:si>
    <x:t xml:space="preserve">picked the pencil sharpener</x:t>
  </x:si>
  <x:si>
    <x:t xml:space="preserve">picked the yellow block; hesitated to leave the bowl, though</x:t>
  </x:si>
  <x:si>
    <x:t xml:space="preserve">gripped the blue pen, but ran out of time before it removed it from the bowl</x:t>
  </x:si>
  <x:si>
    <x:t xml:space="preserve">took green pencil sharpener to the bowl, before dropping, moved, and set it down in the workspace.</x:t>
  </x:si>
  <x:si>
    <x:t xml:space="preserve">put yellow block in the bowl, then removed it</x:t>
  </x:si>
  <x:si>
    <x:t xml:space="preserve">went to the yellow block then returned home</x:t>
  </x:si>
  <x:si>
    <x:t xml:space="preserve">picked out the green pencil sharpener</x:t>
  </x:si>
  <x:si>
    <x:t xml:space="preserve">picked airplane toy; almost didn't let it go</x:t>
  </x:si>
  <x:si>
    <x:t xml:space="preserve">tried to pick airplane toy, knocked it around a bit and then picked tape ball</x:t>
  </x:si>
  <x:si>
    <x:t xml:space="preserve">picked airplane toy.</x:t>
  </x:si>
  <x:si>
    <x:t xml:space="preserve">tried grabbing thin air in spot to the right of the airplane toy</x:t>
  </x:si>
  <x:si>
    <x:t xml:space="preserve">tried to pick the yellow pen, but couldn't</x:t>
  </x:si>
  <x:si>
    <x:t xml:space="preserve">moved towards the red block, then went back to home position</x:t>
  </x:si>
  <x:si>
    <x:t xml:space="preserve">moved the red block to the back of the pink marker, then picked it up again and put to the right of the blue block. Then put it in the bowl.</x:t>
  </x:si>
  <x:si>
    <x:t xml:space="preserve">moved red block to the front of the pink marker</x:t>
  </x:si>
  <x:si>
    <x:t xml:space="preserve">slowly turned to pink marker but didn't move</x:t>
  </x:si>
  <x:si>
    <x:t xml:space="preserve">moved the pink marker to the front of the green pen, but didn't release the pink marker</x:t>
  </x:si>
  <x:si>
    <x:t xml:space="preserve">picked pink marker, then rotated it 90 degrees</x:t>
  </x:si>
  <x:si>
    <x:t xml:space="preserve">went for the blue block, failed to grasp it, then went to the side of the table, and was grasping around thin air</x:t>
  </x:si>
  <x:si>
    <x:t xml:space="preserve">placed blue block to the right of the green pen</x:t>
  </x:si>
  <x:si>
    <x:t xml:space="preserve">picked pink marker and placed to the left/front of the blue block.</x:t>
  </x:si>
  <x:si>
    <x:t xml:space="preserve">placed blue block to the right of the pink marker, but didn't move back home</x:t>
  </x:si>
  <x:si>
    <x:t xml:space="preserve">picked up the blue block, and moved it further back a little bit</x:t>
  </x:si>
  <x:si>
    <x:t xml:space="preserve">got the pink marker and placed it to the right of the red block, but didn't release the block. marker was also more to the left of the blue block than to the right of the red block</x:t>
  </x:si>
  <x:si>
    <x:t xml:space="preserve">picked the green pen and moved to the top of the red block, but never released it.</x:t>
  </x:si>
  <x:si>
    <x:t xml:space="preserve">moved green pen to the back of the red block; also didn't release it</x:t>
  </x:si>
  <x:si>
    <x:t xml:space="preserve">went to the green pen, but didn't get it. went home afterwards</x:t>
  </x:si>
  <x:si>
    <x:t xml:space="preserve">placed pink marker to the right of the blue block</x:t>
  </x:si>
  <x:si>
    <x:t xml:space="preserve">placed pink marker right front of the blue block. kind of behind green pen since moved it a little bit</x:t>
  </x:si>
  <x:si>
    <x:t xml:space="preserve">put the pink marker to the right of the green pen</x:t>
  </x:si>
  <x:si>
    <x:t xml:space="preserve">placed the pink marker to the front right of the blue block</x:t>
  </x:si>
  <x:si>
    <x:t xml:space="preserve">picked coke can</x:t>
  </x:si>
  <x:si>
    <x:t xml:space="preserve">tried to pick the crushed coke can, but knocked it over.</x:t>
  </x:si>
  <x:si>
    <x:t xml:space="preserve">went for the pepsi can, but couldn't grasp it</x:t>
  </x:si>
  <x:si>
    <x:t xml:space="preserve">successfully grasped the red pencil sharpener, but then dropped it. After, went for green pen, but couldn't grasp it.</x:t>
  </x:si>
  <x:si>
    <x:t xml:space="preserve">picked airplane toy between the pepsi can and yellow pen. Dropped it before placing it in the bowl, and couldn't recover</x:t>
  </x:si>
  <x:si>
    <x:t xml:space="preserve">went to the yellow pen, but couldn't grasp it</x:t>
  </x:si>
  <x:si>
    <x:t xml:space="preserve">picked green pen, which was closest</x:t>
  </x:si>
  <x:si>
    <x:t xml:space="preserve">picked juggling ball</x:t>
  </x:si>
  <x:si>
    <x:t xml:space="preserve">the model really pinches the heck out of the objects</x:t>
  </x:si>
  <x:si>
    <x:t xml:space="preserve">successful reasoning. Went to the pepsi can but never grasped it</x:t>
  </x:si>
  <x:si>
    <x:t xml:space="preserve">went for the pepsi can again, but didn't grasp it</x:t>
  </x:si>
  <x:si>
    <x:t xml:space="preserve">went for the green block, but couldn't pick it up</x:t>
  </x:si>
  <x:si>
    <x:t xml:space="preserve">picked juggling ball, but picked it like the pepsi can</x:t>
  </x:si>
  <x:si>
    <x:t xml:space="preserve">robot didn't move</x:t>
  </x:si>
  <x:si>
    <x:t xml:space="preserve">picked green block</x:t>
  </x:si>
  <x:si>
    <x:t xml:space="preserve">initially went for the green block, then went for the juggling ball</x:t>
  </x:si>
  <x:si>
    <x:t xml:space="preserve">MolmoAct2 Results</x:t>
  </x:si>
  <x:si>
    <x:t xml:space="preserve">put upside down striped cup in bowl</x:t>
  </x:si>
  <x:si>
    <x:t xml:space="preserve">moved between the two cups, started going for upside down cup, knocked it over, then in recovery, went for the upside down cup.</x:t>
  </x:si>
  <x:si>
    <x:t xml:space="preserve">grabbed closed cup</x:t>
  </x:si>
  <x:si>
    <x:t xml:space="preserve">went in between the two brown cups then got the closed one.</x:t>
  </x:si>
  <x:si>
    <x:t xml:space="preserve">placed the upside down container</x:t>
  </x:si>
  <x:si>
    <x:t xml:space="preserve">tried to place the closed glass container in the bowl, knocked it over, then knocked everything else over lol.  failed reasoning and grasping</x:t>
  </x:si>
  <x:si>
    <x:t xml:space="preserve">picked upside down one</x:t>
  </x:si>
  <x:si>
    <x:t xml:space="preserve">placed upside down jar in bowl</x:t>
  </x:si>
  <x:si>
    <x:t xml:space="preserve">picked upside down container, then dropped it out of range. went for the upright cup, then pushed it out of range and couldn't get it.</x:t>
  </x:si>
  <x:si>
    <x:t xml:space="preserve">grabbed the closed striped cup</x:t>
  </x:si>
  <x:si>
    <x:t xml:space="preserve">reasoning failure. picked the upside down container, dropped it, then in recovery, got the upright one.</x:t>
  </x:si>
  <x:si>
    <x:t xml:space="preserve">moved between to the two cups, then recovered and got the open one</x:t>
  </x:si>
  <x:si>
    <x:t xml:space="preserve">placed closed black cup</x:t>
  </x:si>
  <x:si>
    <x:t xml:space="preserve">placed upright black cup</x:t>
  </x:si>
  <x:si>
    <x:t xml:space="preserve">placed the closed cup</x:t>
  </x:si>
  <x:si>
    <x:t xml:space="preserve">knocked over cup furthest from bowl and couldn't recover</x:t>
  </x:si>
  <x:si>
    <x:t xml:space="preserve">picked cup closest to the bowl; initially went for further one then changed direction</x:t>
  </x:si>
  <x:si>
    <x:t xml:space="preserve">picked container furthest from bowl</x:t>
  </x:si>
  <x:si>
    <x:t xml:space="preserve">picked pencil sharpener</x:t>
  </x:si>
  <x:si>
    <x:t xml:space="preserve">did not move</x:t>
  </x:si>
  <x:si>
    <x:t xml:space="preserve">picked yellow block</x:t>
  </x:si>
  <x:si>
    <x:t xml:space="preserve">picked blue pen out of bowl then put it back in the bowl</x:t>
  </x:si>
  <x:si>
    <x:t xml:space="preserve">Failed to grasp the airplane toy out of the bowl. Successful reasoning.</x:t>
  </x:si>
  <x:si>
    <x:t xml:space="preserve">Moved towards bowl near the end of the episode, then the 75 seconds was up.</x:t>
  </x:si>
  <x:si>
    <x:t xml:space="preserve">it did remove the toy, but it did knock out the blue pen too.</x:t>
  </x:si>
  <x:si>
    <x:t xml:space="preserve">picked up the green pencil sharpener, started taking it to the bowl, then put it back down on the table in a different location.</x:t>
  </x:si>
  <x:si>
    <x:t xml:space="preserve">idk. It first removed the yellow block, but then it removed the pen. So technically it did get it.</x:t>
  </x:si>
  <x:si>
    <x:t xml:space="preserve">went for the bowl, didn't pick anything up, then went back to home position.</x:t>
  </x:si>
  <x:si>
    <x:t xml:space="preserve">got the yellow block out, then went back to try and get blue pen, but couldn't before timing out.</x:t>
  </x:si>
  <x:si>
    <x:t xml:space="preserve">took the yellow block out of the bowl, then put it back in.</x:t>
  </x:si>
  <x:si>
    <x:t xml:space="preserve">took the yellow block out of the bowl.</x:t>
  </x:si>
  <x:si>
    <x:t xml:space="preserve">tried to remove the green highlighter, but couldn't grasp it. Success for reasoning failure for grasping</x:t>
  </x:si>
  <x:si>
    <x:t xml:space="preserve">successful reasoning. went for yellow block but could not grasp it</x:t>
  </x:si>
  <x:si>
    <x:t xml:space="preserve">went to bowl, grabbed the blue pen, put it down, kept fiddling around to try and get green pencil sharpener, but couldn't get it</x:t>
  </x:si>
  <x:si>
    <x:t xml:space="preserve">went to bowl 2 times, but didn't remove anything</x:t>
  </x:si>
  <x:si>
    <x:t xml:space="preserve">flicked block away, but still able to get it</x:t>
  </x:si>
  <x:si>
    <x:t xml:space="preserve">went to bowl, looked confused, then went for green pencil sharpener, picked it up and then was just moving it around in the gripper without letting it go. moved to the right side of the workspace, away from the bowl.</x:t>
  </x:si>
  <x:si>
    <x:t xml:space="preserve">started to move to highlighter at the end of the episode. successful reasoning, but didn't manage to actually remove the highlighter</x:t>
  </x:si>
  <x:si>
    <x:t xml:space="preserve">went for the green highlighter twice, then went home each time. thrid time grabbed it but episode time ran out.</x:t>
  </x:si>
  <x:si>
    <x:t xml:space="preserve">moved the green pencil sharpener from the bowl first, then went back for the blue pen. Got the blue pen, but didn't set it down since time ran out.</x:t>
  </x:si>
  <x:si>
    <x:t xml:space="preserve">picked the green pencil sharpener, and went home. Paused for a long while, then got the blue pen and didn't finish. Basically same rollout as 136</x:t>
  </x:si>
  <x:si>
    <x:t xml:space="preserve">went to bowl and started figeting around. didn't take anything out though</x:t>
  </x:si>
  <x:si>
    <x:t xml:space="preserve">went to the bowl, then went home 4 times. Didn't touch block.</x:t>
  </x:si>
  <x:si>
    <x:t xml:space="preserve">grabbed airplane toy</x:t>
  </x:si>
  <x:si>
    <x:t xml:space="preserve">MolmoAct2 Results2</x:t>
  </x:si>
  <x:si>
    <x:t xml:space="preserve">Picked airplane toy.</x:t>
  </x:si>
  <x:si>
    <x:t xml:space="preserve">Picked blue tape ball.</x:t>
  </x:si>
  <x:si>
    <x:t xml:space="preserve">Picked green highlighter.</x:t>
  </x:si>
  <x:si>
    <x:t xml:space="preserve">Went for airplane toy, failed to grab it and got the blue tape ball instead.</x:t>
  </x:si>
  <x:si>
    <x:t xml:space="preserve">Picked airplane toy</x:t>
  </x:si>
  <x:si>
    <x:t xml:space="preserve">Picked green highlighter</x:t>
  </x:si>
  <x:si>
    <x:t xml:space="preserve">Picked blue tape ball</x:t>
  </x:si>
  <x:si>
    <x:t xml:space="preserve">Failed at grasping, but went for blue tape. success for reasoning. Knocked the blue tape ball out of the robot's range.</x:t>
  </x:si>
  <x:si>
    <x:t xml:space="preserve">Picked the green highlighter.</x:t>
  </x:si>
  <x:si>
    <x:t xml:space="preserve">Picked yellow pen</x:t>
  </x:si>
  <x:si>
    <x:t xml:space="preserve">Wrist rotates 90 degrees so can't grasp correctly. fidgited around and ultimlately got yellow pen, but then timed out.</x:t>
  </x:si>
  <x:si>
    <x:t xml:space="preserve">Grabbed airplane toy</x:t>
  </x:si>
  <x:si>
    <x:t xml:space="preserve">Went for green highlighter, but rotated wrist too much. Grasping failure. Went for correct object.</x:t>
  </x:si>
  <x:si>
    <x:t xml:space="preserve">Went for yellow pen and then couldn't grab it. Did weird wrist roll again.</x:t>
  </x:si>
  <x:si>
    <x:t xml:space="preserve">Grabbed green highlighter and did weird wrist roll</x:t>
  </x:si>
  <x:si>
    <x:t xml:space="preserve">Doing weird wrist roll again. Went for yellow pen, but couldn't pick it up.</x:t>
  </x:si>
  <x:si>
    <x:t xml:space="preserve">Got it great</x:t>
  </x:si>
  <x:si>
    <x:t xml:space="preserve">Got yellow pen</x:t>
  </x:si>
  <x:si>
    <x:t xml:space="preserve">Went for the blue tape ball, knocked it out of the way, and then during recovery, got the airplane toy. Reasoning succeeed, but screwed up during recovery</x:t>
  </x:si>
  <x:si>
    <x:t xml:space="preserve">Wrist rotated 90 degrees off. Clearly went for yellow pen, but couldn't get it. Reasoning success.</x:t>
  </x:si>
  <x:si>
    <x:t xml:space="preserve">tried to grab green highlighter, grabbed it from end, dropped it, and could not recovery. Failed reasoning ans grasping.</x:t>
  </x:si>
  <x:si>
    <x:t xml:space="preserve">tried to pick airplane toy dropped it, and immediately picked up the blue tap ball, which was closest object to it.</x:t>
  </x:si>
  <x:si>
    <x:t xml:space="preserve">bumped blue tape ball and during recovery, picked airplane toy</x:t>
  </x:si>
  <x:si>
    <x:t xml:space="preserve">Did weird wrist roll thing again, but picked the green highlighter and not the yellow pen.</x:t>
  </x:si>
  <x:si>
    <x:t xml:space="preserve">picked up airplane toy</x:t>
  </x:si>
  <x:si>
    <x:t xml:space="preserve">picked airplane toy, dropped it, and during recovery picked up the blue tape ball</x:t>
  </x:si>
  <x:si>
    <x:t xml:space="preserve">did like left front, but mostly left.</x:t>
  </x:si>
  <x:si>
    <x:t xml:space="preserve">looked like it was going for front, but knocked the pen and dropped it such that it landed in the back.</x:t>
  </x:si>
  <x:si>
    <x:t xml:space="preserve">dropped the blue block to a position out of range. Went home and stayed still.</x:t>
  </x:si>
  <x:si>
    <x:t xml:space="preserve">placed on top and rolled to the right side</x:t>
  </x:si>
  <x:si>
    <x:t xml:space="preserve">put the block on the pen and pen spun around but block ended up in right position.</x:t>
  </x:si>
  <x:si>
    <x:t xml:space="preserve">tried to pick the pink pen, but couldn't and it got thrown to the right of the red block. Technically ended up correct, but lowkey questionable if this should count</x:t>
  </x:si>
  <x:si>
    <x:t xml:space="preserve">knocked blue block when it was placed red block down. Caused it to move, but ended up in right place.</x:t>
  </x:si>
  <x:si>
    <x:t xml:space="preserve">seemed like it couldn't decided whether to put on the left or the right. Ultimately put it on the left.</x:t>
  </x:si>
  <x:si>
    <x:t xml:space="preserve">behind and to the right. kind of iffy, but I'll count it</x:t>
  </x:si>
  <x:si>
    <x:t xml:space="preserve">placed more to the left and behind. mostly left so fail</x:t>
  </x:si>
  <x:si>
    <x:t xml:space="preserve">right and in front, but I think it counts</x:t>
  </x:si>
  <x:si>
    <x:t xml:space="preserve">had it in the correct spot originally but then kept grasping and releasing the block. The block eventually flung way back out of reach and robot couldn't recover. technically behind, but really far behind.</x:t>
  </x:si>
  <x:si>
    <x:t xml:space="preserve">placed to the right. Also did the back and forth left right thing.</x:t>
  </x:si>
  <x:si>
    <x:t xml:space="preserve">failed to grasp the green pen and during recovery grabbed the blue block. started going back and forth and couldn't recover by putting the block down.</x:t>
  </x:si>
  <x:si>
    <x:t xml:space="preserve">placed in front again.</x:t>
  </x:si>
  <x:si>
    <x:t xml:space="preserve">did move the pen to the right of the block, but it couldn't let go of the block before time ran out. Kind of a success on reasoning?</x:t>
  </x:si>
  <x:si>
    <x:t xml:space="preserve">placed to the right of the pen</x:t>
  </x:si>
  <x:si>
    <x:t xml:space="preserve">rotated the pen and block ended up behind</x:t>
  </x:si>
  <x:si>
    <x:t xml:space="preserve">more like bottom left, but mostly bottom</x:t>
  </x:si>
  <x:si>
    <x:t xml:space="preserve">pushed block and ended up placing it on the bottom</x:t>
  </x:si>
  <x:si>
    <x:t xml:space="preserve">placed behind and to the left</x:t>
  </x:si>
  <x:si>
    <x:t xml:space="preserve">placed behind instead of in front</x:t>
  </x:si>
  <x:si>
    <x:t xml:space="preserve">placed behind and left</x:t>
  </x:si>
  <x:si>
    <x:t xml:space="preserve">Got it behind, but wouldn't let go. I think succeeded reasoning, but just couldn't let go</x:t>
  </x:si>
  <x:si>
    <x:t xml:space="preserve">placed to the left of the block</x:t>
  </x:si>
  <x:si>
    <x:t xml:space="preserve">went back and forth front and behind before ending behind.</x:t>
  </x:si>
  <x:si>
    <x:t xml:space="preserve">placed on the bottom, but majority of the pen's body was on the left side.</x:t>
  </x:si>
  <x:si>
    <x:t xml:space="preserve">placed on bottom</x:t>
  </x:si>
  <x:si>
    <x:t xml:space="preserve">placed in front of because it moved it around a bunch</x:t>
  </x:si>
  <x:si>
    <x:t xml:space="preserve">placed to the left</x:t>
  </x:si>
  <x:si>
    <x:t xml:space="preserve">couldn't grasp the red block, knocked it around out of range, then picked up the blue block and put it beside the green pen</x:t>
  </x:si>
  <x:si>
    <x:t xml:space="preserve">placed to left</x:t>
  </x:si>
  <x:si>
    <x:t xml:space="preserve">super long pause before movement</x:t>
  </x:si>
  <x:si>
    <x:t xml:space="preserve">tried to put it on the left, knocked block, and wouldn't let got of pen</x:t>
  </x:si>
  <x:si>
    <x:t xml:space="preserve">grasping failure. knocked block out and couldn't recover</x:t>
  </x:si>
  <x:si>
    <x:t xml:space="preserve">placed on top and slid to the right</x:t>
  </x:si>
  <x:si>
    <x:t xml:space="preserve">placed on top and slid to the left</x:t>
  </x:si>
  <x:si>
    <x:t xml:space="preserve">placed on the top</x:t>
  </x:si>
  <x:si>
    <x:t xml:space="preserve">gripper was 90 degrees off until knocked pen correctly. kind of dropped pen but landed to the right of the red block.</x:t>
  </x:si>
  <x:si>
    <x:t xml:space="preserve">failed to grasp the green pen</x:t>
  </x:si>
  <x:si>
    <x:t xml:space="preserve">placed in front. Also had trouble grasping the pen</x:t>
  </x:si>
  <x:si>
    <x:t xml:space="preserve">placed to left. Seemed to be hesitant upon release</x:t>
  </x:si>
  <x:si>
    <x:t xml:space="preserve">it was behind, but it dropped where the marker rolled out of range to be close enough for a success</x:t>
  </x:si>
  <x:si>
    <x:t xml:space="preserve">placed to the left. placed directly on top, then moved the block.</x:t>
  </x:si>
  <x:si>
    <x:t xml:space="preserve">didn't release the block. Was jittering around near the left of the juggling ball</x:t>
  </x:si>
  <x:si>
    <x:t xml:space="preserve">dropped blue block and kind of went out of range. Seemed like it was trying to place the blue block by the red block.</x:t>
  </x:si>
  <x:si>
    <x:t xml:space="preserve">placed right</x:t>
  </x:si>
  <x:si>
    <x:t xml:space="preserve">placed to the left of the blue block. went back for a it a few times, but kept leaving it in basically the same spot</x:t>
  </x:si>
  <x:si>
    <x:t xml:space="preserve">placed in front. started to put it on the left, hesitated, then put in front</x:t>
  </x:si>
  <x:si>
    <x:t xml:space="preserve">placed on front left</x:t>
  </x:si>
  <x:si>
    <x:t xml:space="preserve">placed on top of the juggling ball</x:t>
  </x:si>
  <x:si>
    <x:t xml:space="preserve">placed on left back</x:t>
  </x:si>
  <x:si>
    <x:t xml:space="preserve">placed on top of juggling ball</x:t>
  </x:si>
  <x:si>
    <x:t xml:space="preserve">didn't move. green pen was pretty close to the left of the juggling ball</x:t>
  </x:si>
  <x:si>
    <x:t xml:space="preserve">moved it, but kept it on the left. Maybe should count as success?</x:t>
  </x:si>
  <x:si>
    <x:t xml:space="preserve">moved towards pen, then went home 3 times. grabbed it the last time, but didn't move it</x:t>
  </x:si>
  <x:si>
    <x:t xml:space="preserve">went for green pen 1 times, didn't move it</x:t>
  </x:si>
  <x:si>
    <x:t xml:space="preserve">went for pink pen 3 times, didn't move it</x:t>
  </x:si>
  <x:si>
    <x:t xml:space="preserve">moved to green pen 5 times but didn't change its location. Did nudge it around a little bit.</x:t>
  </x:si>
  <x:si>
    <x:t xml:space="preserve">went to the pen 1 time and moved it a bit</x:t>
  </x:si>
  <x:si>
    <x:t xml:space="preserve">went to the pen 5 times, but didn't move it</x:t>
  </x:si>
  <x:si>
    <x:t xml:space="preserve">moved around the home position</x:t>
  </x:si>
  <x:si>
    <x:t xml:space="preserve">went to blue block 5 times, but didn't move it</x:t>
  </x:si>
  <x:si>
    <x:t xml:space="preserve">went for red block 1 time, but didn't move it.</x:t>
  </x:si>
  <x:si>
    <x:t xml:space="preserve">went for blue block 4 times, but didn't move it.</x:t>
  </x:si>
  <x:si>
    <x:t xml:space="preserve">moved to the blue block 5 times, then finally fixed it. After the fix, went back to the blue block, but time ran out before it came back.</x:t>
  </x:si>
  <x:si>
    <x:t xml:space="preserve">Successfully went for the green pencil sharpener. Knocked the coke can completely though and moved the sharpener. Couldn't recover and pick up the pencil sharpener. Reasoning was good though!</x:t>
  </x:si>
  <x:si>
    <x:t xml:space="preserve">went for the red pencil sharpener. Arranged it in between the yellow pen and airplane toy. Failed reasoning.</x:t>
  </x:si>
  <x:si>
    <x:t xml:space="preserve">Went for the one closest to the red pencil sharpener. Failed reasoning</x:t>
  </x:si>
  <x:si>
    <x:t xml:space="preserve">Dropped and successfully recovered</x:t>
  </x:si>
  <x:si>
    <x:t xml:space="preserve">Picked the other airplane toy</x:t>
  </x:si>
  <x:si>
    <x:t xml:space="preserve">Wrist is rotated 90 degrees off for the picking up part. Reasoning was good, but grasping failed.</x:t>
  </x:si>
  <x:si>
    <x:t xml:space="preserve">Lowkey went for the green pen first, then jittered its way to the yellow pen.</x:t>
  </x:si>
  <x:si>
    <x:t xml:space="preserve">Still had weird picking strategy</x:t>
  </x:si>
  <x:si>
    <x:t xml:space="preserve">Failed to grasp but went for the green sharpener, which was correct.</x:t>
  </x:si>
  <x:si>
    <x:t xml:space="preserve">Went for wrong sharpener; ngl the two airplane toys are very hard to distinguish</x:t>
  </x:si>
  <x:si>
    <x:t xml:space="preserve">Dropped it but picked it back up again.</x:t>
  </x:si>
  <x:si>
    <x:t xml:space="preserve">Grabbed the coke can</x:t>
  </x:si>
  <x:si>
    <x:t xml:space="preserve">Went for it, didn't grab it, went home, went back, and got it!</x:t>
  </x:si>
  <x:si>
    <x:t xml:space="preserve">good recovery example</x:t>
  </x:si>
  <x:si>
    <x:t xml:space="preserve">Picked the airplane toy closest</x:t>
  </x:si>
  <x:si>
    <x:t xml:space="preserve">Picked non-propellor plane. Dropped it and picked it up.</x:t>
  </x:si>
  <x:si>
    <x:t xml:space="preserve">failed grasping, but went for the green pencil sharpener</x:t>
  </x:si>
  <x:si>
    <x:t xml:space="preserve">Weird back and forth motion before getting the plan</x:t>
  </x:si>
  <x:si>
    <x:t xml:space="preserve">picked green pencil sharpener. reasoning failure</x:t>
  </x:si>
  <x:si>
    <x:t xml:space="preserve">picked closest airplane toy. reasoning failure</x:t>
  </x:si>
  <x:si>
    <x:t xml:space="preserve">picked up the coke can and put it down on the table.  Picked correctly, but didn't move to bowl, Knowcked it off the table, and then went for the pepsi can, but knocked it out of range</x:t>
  </x:si>
  <x:si>
    <x:t xml:space="preserve">didn't even move. just jittered around the home position.</x:t>
  </x:si>
  <x:si>
    <x:t xml:space="preserve">Picked pepsi can. Failed at reasoning</x:t>
  </x:si>
  <x:si>
    <x:t xml:space="preserve">Picked green pen</x:t>
  </x:si>
  <x:si>
    <x:t xml:space="preserve">picked the green pen. Dropped it and put in in the bowl</x:t>
  </x:si>
  <x:si>
    <x:t xml:space="preserve">dropped it and it bounced into the bowl. Steph Curry warm up shot type action right here</x:t>
  </x:si>
  <x:si>
    <x:t xml:space="preserve">placed gripper on top of pencil sharpener and strguggled to close. reasoning succeeded, but grasping failed.</x:t>
  </x:si>
  <x:si>
    <x:t xml:space="preserve">Went for the coke can, knocked it out of range, and could not recover. failed reasoning</x:t>
  </x:si>
  <x:si>
    <x:t xml:space="preserve">picked up airplane toy, failed reasoning</x:t>
  </x:si>
  <x:si>
    <x:t xml:space="preserve">picked closest airplane toy. failed reasoning</x:t>
  </x:si>
  <x:si>
    <x:t xml:space="preserve">picked blue block; reasoning failure</x:t>
  </x:si>
  <x:si>
    <x:t xml:space="preserve">picked the blue block smh</x:t>
  </x:si>
  <x:si>
    <x:t xml:space="preserve">tried picking the green pencil sharpener and couldn't. Started trying to pick up the blue blue block and couldn't. Failed reasoning and grasping</x:t>
  </x:si>
  <x:si>
    <x:t xml:space="preserve">picked the blue block. blue block was closer to robot arm. Most mis-picks seemed to go for block closer to the arm</x:t>
  </x:si>
  <x:si>
    <x:t xml:space="preserve">use same block location as previsou episode, just moved objects and did go for the blue block which was further from robot, so many no the case. Hard to say</x:t>
  </x:si>
  <x:si>
    <x:t xml:space="preserve">picked the airplane toy with propelors</x:t>
  </x:si>
  <x:si>
    <x:t xml:space="preserve">picked airplane toy furtherest from pepsi can (airplane toy without propellors)</x:t>
  </x:si>
  <x:si>
    <x:t xml:space="preserve">picked airplane toy with propellors.</x:t>
  </x:si>
  <x:si>
    <x:t xml:space="preserve">picked the green pencil sharpener, which was situated between the pepsi can and green pen. the red pencil sharpener was between the green pen and coke can</x:t>
  </x:si>
  <x:si>
    <x:t xml:space="preserve">tried to pick airplane toy with propellors, which was closest object to the green pencil sharpener. Dropped it and it went out of range. Picked up the green pencil sharpener</x:t>
  </x:si>
  <x:si>
    <x:t xml:space="preserve">moved towards the red pencil sharpener, did not pick it up, then moved back to home position.</x:t>
  </x:si>
  <x:si>
    <x:t xml:space="preserve">picked up the airplane toy without propellors, which wasn't even the closest object to the yellow pen. the closest object was the coke can.</x:t>
  </x:si>
  <x:si>
    <x:t xml:space="preserve">picked up the green pencil sharpener</x:t>
  </x:si>
  <x:si>
    <x:t xml:space="preserve">picked up green pencil sharpener, which was furthest from the airplane toy without propellers</x:t>
  </x:si>
  <x:si>
    <x:t xml:space="preserve">moved towards the pepsi can with wrong gripping strategy; the pepsi can was closest to the green pencil sharpener. couldn't get can so got the green pencil sharpener instead.</x:t>
  </x:si>
  <x:si>
    <x:t xml:space="preserve">moved towards the red pencil sharpener, which was further from the pepsi can than the green one, but didn't pick it up and instead went back to the home position.</x:t>
  </x:si>
  <x:si>
    <x:t xml:space="preserve">airplane toy without propellors was between the green pencil sharpener and yellow pen. still did not move.</x:t>
  </x:si>
  <x:si>
    <x:t xml:space="preserve">tried picking airplane toy without propellos, knocked it out of range, and kept trying, but couldn't get it.</x:t>
  </x:si>
  <x:si>
    <x:t xml:space="preserve">went for pepsi can, but knocked it out of range and could not recover. Arranged it so red pencil sharpener was between the green pen and coke can and green sharpener was between the pepsi can and green pen.</x:t>
  </x:si>
  <x:si>
    <x:t xml:space="preserve">picked the juggling ball</x:t>
  </x:si>
  <x:si>
    <x:t xml:space="preserve">had a long hesitation before movement</x:t>
  </x:si>
  <x:si>
    <x:t xml:space="preserve">took a very long pause and then went for the red pencil sharpener. Didn't finish rollout since time ran out.</x:t>
  </x:si>
  <x:si>
    <x:t xml:space="preserve">picked it up like the soda can</x:t>
  </x:si>
  <x:si>
    <x:t xml:space="preserve">went for the pepsi can, but tried to grab it like the juggling ball. Couldn't recover.</x:t>
  </x:si>
  <x:si>
    <x:t xml:space="preserve">barely got the ball in 60 seconds. was trying to get is for like 45 seconds before grabbing it</x:t>
  </x:si>
  <x:si>
    <x:t xml:space="preserve">went for pepsi can with juggling ball grasping strategy. could not pick up/recover</x:t>
  </x:si>
  <x:si>
    <x:t xml:space="preserve">initially went for the pepsi can, but switched to go for the juggling ball</x:t>
  </x:si>
  <x:si>
    <x:t xml:space="preserve">picked red pencil sharpener. paused for a long time at the beginning but picked it at just the last minute.</x:t>
  </x:si>
  <x:si>
    <x:t xml:space="preserve">picked it like soda can</x:t>
  </x:si>
  <x:si>
    <x:t xml:space="preserve">went for pepsi can, knocked it out of range, and kept trying to pick it up until 60 seconds elapsed</x:t>
  </x:si>
  <x:si>
    <x:t xml:space="preserve">went for red pencil sharpener</x:t>
  </x:si>
  <x:si>
    <x:t xml:space="preserve">Succeeded on readoning, but failed to grasp the pepsi can, and knocked it out of frame. Upon recovery, picked the green block, which is technically the next largest item, however, the grene block was also close to the pepsi can</x:t>
  </x:si>
  <x:si>
    <x:t xml:space="preserve">started to pick the airplane toy like the soda can, then recovered</x:t>
  </x:si>
  <x:si>
    <x:t xml:space="preserve">initially tried to pick airplane toy like soda can, recorded to pick normally, knocked it a bit, and by the time it finally grabbed it, time ran out. Successful reasoning, but timed out.</x:t>
  </x:si>
  <x:si>
    <x:t xml:space="preserve">picked airplane toy, but grabbed it normally</x:t>
  </x:si>
  <x:si>
    <x:t xml:space="preserve">picked airplane toy again</x:t>
  </x:si>
  <x:si>
    <x:t xml:space="preserve">pi0.5 Results</x:t>
  </x:si>
  <x:si>
    <x:t xml:space="preserve">Pick up the upright cup</x:t>
  </x:si>
  <x:si>
    <x:t xml:space="preserve">Placed the upside down one in the bowl</x:t>
  </x:si>
  <x:si>
    <x:t xml:space="preserve">went for open cup</x:t>
  </x:si>
  <x:si>
    <x:t xml:space="preserve">successfully went for the glass container, but messed up grasp and then started going all over the place. During recovery started to go for bronw cup</x:t>
  </x:si>
  <x:si>
    <x:t xml:space="preserve">picked the upside down one</x:t>
  </x:si>
  <x:si>
    <x:t xml:space="preserve">picked the upright white cup</x:t>
  </x:si>
  <x:si>
    <x:t xml:space="preserve">picked the closed cup</x:t>
  </x:si>
  <x:si>
    <x:t xml:space="preserve">picked the yellow white striped cup</x:t>
  </x:si>
  <x:si>
    <x:t xml:space="preserve">picked the open white cup</x:t>
  </x:si>
  <x:si>
    <x:t xml:space="preserve">picked the upside-down glass spice container</x:t>
  </x:si>
  <x:si>
    <x:t xml:space="preserve">placed the open cup</x:t>
  </x:si>
  <x:si>
    <x:t xml:space="preserve">placed the upright cup in the bowl</x:t>
  </x:si>
  <x:si>
    <x:t xml:space="preserve">squeeze so hard that the lid popped off</x:t>
  </x:si>
  <x:si>
    <x:t xml:space="preserve">went for upside down jar</x:t>
  </x:si>
  <x:si>
    <x:t xml:space="preserve">went for upright white cup</x:t>
  </x:si>
  <x:si>
    <x:t xml:space="preserve">picked upen brown cup</x:t>
  </x:si>
  <x:si>
    <x:t xml:space="preserve">picked upside down jar</x:t>
  </x:si>
  <x:si>
    <x:t xml:space="preserve">picked the closed yellow-white striped cup</x:t>
  </x:si>
  <x:si>
    <x:t xml:space="preserve">placed the upside down cup right in front of the robot</x:t>
  </x:si>
  <x:si>
    <x:t xml:space="preserve">also placed target in front of the robot</x:t>
  </x:si>
  <x:si>
    <x:t xml:space="preserve">picked upright whtie cup</x:t>
  </x:si>
  <x:si>
    <x:t xml:space="preserve">placed the open brown cup</x:t>
  </x:si>
  <x:si>
    <x:t xml:space="preserve">picked the upside down glass jar</x:t>
  </x:si>
  <x:si>
    <x:t xml:space="preserve">picked open black cup</x:t>
  </x:si>
  <x:si>
    <x:t xml:space="preserve">the two black cups were placed next to each other, the robot went in the middle initially, then went for the closed black cup. Knocked it out of range and did not recover</x:t>
  </x:si>
  <x:si>
    <x:t xml:space="preserve">went for the upside down cup</x:t>
  </x:si>
  <x:si>
    <x:t xml:space="preserve">went for closed black cup</x:t>
  </x:si>
  <x:si>
    <x:t xml:space="preserve">both black cups placed equidistant from robot</x:t>
  </x:si>
  <x:si>
    <x:t xml:space="preserve">picked upside down black cup</x:t>
  </x:si>
  <x:si>
    <x:t xml:space="preserve">picked the white cup closest to the bowl</x:t>
  </x:si>
  <x:si>
    <x:t xml:space="preserve">placed the yellow white striped cup futhest from the bowl in the bowl</x:t>
  </x:si>
  <x:si>
    <x:t xml:space="preserve">glass spice containers place equidistant from robot. picked the one closer to the bowl.</x:t>
  </x:si>
  <x:si>
    <x:t xml:space="preserve">picked the white cup further from the robot</x:t>
  </x:si>
  <x:si>
    <x:t xml:space="preserve">picked striped cup closest to the bowl</x:t>
  </x:si>
  <x:si>
    <x:t xml:space="preserve">picked brown cup closest to the robot</x:t>
  </x:si>
  <x:si>
    <x:t xml:space="preserve">picked the container further from bowl</x:t>
  </x:si>
  <x:si>
    <x:t xml:space="preserve">went for white cup closest to bowl</x:t>
  </x:si>
  <x:si>
    <x:t xml:space="preserve">went for striped cup further from bowl</x:t>
  </x:si>
  <x:si>
    <x:t xml:space="preserve">went for brown cup closer to bowl</x:t>
  </x:si>
  <x:si>
    <x:t xml:space="preserve">put arm in the middle of the two spice containers since they were placed adjacently. knocked the target out of distributition. Also knocked the brown cup on the floor.</x:t>
  </x:si>
  <x:si>
    <x:t xml:space="preserve">picked white cup closest to bowl</x:t>
  </x:si>
  <x:si>
    <x:t xml:space="preserve">picked one furthest from the bowl</x:t>
  </x:si>
  <x:si>
    <x:t xml:space="preserve">picked white cup furthest from bowl</x:t>
  </x:si>
  <x:si>
    <x:t xml:space="preserve">picked striped cup closest to bowl</x:t>
  </x:si>
  <x:si>
    <x:t xml:space="preserve">placed the two brown cups adjacent to each other. robot went into the middle like it couldn't decide. pushed the one on the right pretty far back, but still got it. Dropped it and couldn't recover</x:t>
  </x:si>
  <x:si>
    <x:t xml:space="preserve">picked jar closest to bowl</x:t>
  </x:si>
  <x:si>
    <x:t xml:space="preserve">tried to pick out yellow block, missed, then went back and got the green pencil sharpener</x:t>
  </x:si>
  <x:si>
    <x:t xml:space="preserve">went to bowl and was trying to remove yellow block, but couldn't</x:t>
  </x:si>
  <x:si>
    <x:t xml:space="preserve">picked blue pen</x:t>
  </x:si>
  <x:si>
    <x:t xml:space="preserve">tried grabbing the airplane toy but couldn't</x:t>
  </x:si>
  <x:si>
    <x:t xml:space="preserve">picked out blue pen</x:t>
  </x:si>
  <x:si>
    <x:t xml:space="preserve">went to bowl, but couldn't successfully remove the blue pen</x:t>
  </x:si>
  <x:si>
    <x:t xml:space="preserve">went to bowl at end of episode, ran out of time before could grab anything</x:t>
  </x:si>
  <x:si>
    <x:t xml:space="preserve">went for the green pencil sharpener at the end of the episode. Didn't have time to put it in the bowl.</x:t>
  </x:si>
  <x:si>
    <x:t xml:space="preserve">went to bowl, but didn't take anything; went back home</x:t>
  </x:si>
  <x:si>
    <x:t xml:space="preserve">went to bowl and tried to grab something, but couldn't</x:t>
  </x:si>
  <x:si>
    <x:t xml:space="preserve">moved to the bowl at the end of the rollout, but didn't have enough time to pick it up. strange that is paused for so lond before movement.</x:t>
  </x:si>
  <x:si>
    <x:t xml:space="preserve">looked like it was trying to grasp the yellow block but couldn't and ended up picking blue pen.</x:t>
  </x:si>
  <x:si>
    <x:t xml:space="preserve">didn't go to home position fully, but basically did</x:t>
  </x:si>
  <x:si>
    <x:t xml:space="preserve">went to the bowl, but couldn't pick anything up</x:t>
  </x:si>
  <x:si>
    <x:t xml:space="preserve">picked both the yellow block and green pencil sharpener simultaneously, but it did technically get the yellow block</x:t>
  </x:si>
  <x:si>
    <x:t xml:space="preserve">removed the blue pen</x:t>
  </x:si>
  <x:si>
    <x:t xml:space="preserve">went for block at the very end of the episode, but didn;t have time to take it out of the bowl</x:t>
  </x:si>
  <x:si>
    <x:t xml:space="preserve">went for green highlighter, so reasoning succeeded, but couldn't grasp it. stuck trying to grab it but couldn't</x:t>
  </x:si>
  <x:si>
    <x:t xml:space="preserve">tried to pick yellow pen, but couldn't, and then ended up picked up the airplane toy</x:t>
  </x:si>
  <x:si>
    <x:t xml:space="preserve">originally went for green highlighter, missed, and then during recovery, got the airplane toy</x:t>
  </x:si>
  <x:si>
    <x:t xml:space="preserve">failed reasoning; picked the airplane toy at first, dropped it, and then during recovery got the green highlighter</x:t>
  </x:si>
  <x:si>
    <x:t xml:space="preserve">succeeded reasoning; tried to get the airplane toy, dropped it, and couldn't recover</x:t>
  </x:si>
  <x:si>
    <x:t xml:space="preserve">went for the airplane toy again;  basically did the same thing as the previous episode</x:t>
  </x:si>
  <x:si>
    <x:t xml:space="preserve">picked airplane toy, dropped it not in the bowl, then went for the yellow pen</x:t>
  </x:si>
  <x:si>
    <x:t xml:space="preserve">tried to pick airplane toy, but couldn't</x:t>
  </x:si>
  <x:si>
    <x:t xml:space="preserve">picked the airplane toy; dropped it and got it!</x:t>
  </x:si>
  <x:si>
    <x:t xml:space="preserve">did move to the front, but didn't let go of the green pen. successful reasoning</x:t>
  </x:si>
  <x:si>
    <x:t xml:space="preserve">put in front of the green pen</x:t>
  </x:si>
  <x:si>
    <x:t xml:space="preserve">front left, but I think it counts</x:t>
  </x:si>
  <x:si>
    <x:t xml:space="preserve">left back</x:t>
  </x:si>
  <x:si>
    <x:t xml:space="preserve">right back</x:t>
  </x:si>
  <x:si>
    <x:t xml:space="preserve">dropped on top, then rolled over to the front right, but mostly front</x:t>
  </x:si>
  <x:si>
    <x:t xml:space="preserve">placed back</x:t>
  </x:si>
  <x:si>
    <x:t xml:space="preserve">placed on top and slid right</x:t>
  </x:si>
  <x:si>
    <x:t xml:space="preserve">behind and right</x:t>
  </x:si>
  <x:si>
    <x:t xml:space="preserve">placed in front but pushed the pen forwards</x:t>
  </x:si>
  <x:si>
    <x:t xml:space="preserve">placed behind red block</x:t>
  </x:si>
  <x:si>
    <x:t xml:space="preserve">placed to the right of pink pen and front of red block</x:t>
  </x:si>
  <x:si>
    <x:t xml:space="preserve">rotated the green pen so the red block is in front of the green pen</x:t>
  </x:si>
  <x:si>
    <x:t xml:space="preserve">placed to the left again</x:t>
  </x:si>
  <x:si>
    <x:t xml:space="preserve">top left but I'll count it</x:t>
  </x:si>
  <x:si>
    <x:t xml:space="preserve">put on the right side of the pen, and it rotated such that it ended on the right of the pen.</x:t>
  </x:si>
  <x:si>
    <x:t xml:space="preserve">super good rollout</x:t>
  </x:si>
  <x:si>
    <x:t xml:space="preserve">placed left. put on top but slid to the left</x:t>
  </x:si>
  <x:si>
    <x:t xml:space="preserve">struggled with grasping pen, but got it</x:t>
  </x:si>
  <x:si>
    <x:t xml:space="preserve">placed smack on top</x:t>
  </x:si>
  <x:si>
    <x:t xml:space="preserve">placed to the right; leaning on the block though</x:t>
  </x:si>
  <x:si>
    <x:t xml:space="preserve">placed in the back; leaning on the pen towards the back</x:t>
  </x:si>
  <x:si>
    <x:t xml:space="preserve">put on left</x:t>
  </x:si>
  <x:si>
    <x:t xml:space="preserve">pushed the block with the pen and plen ended up in front of the block</x:t>
  </x:si>
  <x:si>
    <x:t xml:space="preserve">failed to grasp the red block</x:t>
  </x:si>
  <x:si>
    <x:t xml:space="preserve">placed to right</x:t>
  </x:si>
  <x:si>
    <x:t xml:space="preserve">placed in back</x:t>
  </x:si>
  <x:si>
    <x:t xml:space="preserve">placed on right</x:t>
  </x:si>
  <x:si>
    <x:t xml:space="preserve">placed front left</x:t>
  </x:si>
  <x:si>
    <x:t xml:space="preserve">placed red block in front</x:t>
  </x:si>
  <x:si>
    <x:t xml:space="preserve">placed right; leaning on pen</x:t>
  </x:si>
  <x:si>
    <x:t xml:space="preserve">placed right back</x:t>
  </x:si>
  <x:si>
    <x:t xml:space="preserve">placed behind; leaning on green pen</x:t>
  </x:si>
  <x:si>
    <x:t xml:space="preserve">placed to the right of the red blcok</x:t>
  </x:si>
  <x:si>
    <x:t xml:space="preserve">leaning on the pen</x:t>
  </x:si>
  <x:si>
    <x:t xml:space="preserve">behind and to the right</x:t>
  </x:si>
  <x:si>
    <x:t xml:space="preserve">placed on the left; hesitation before movement</x:t>
  </x:si>
  <x:si>
    <x:t xml:space="preserve">hesitation before movement. placed in back, but it rolled off the ball to the right.</x:t>
  </x:si>
  <x:si>
    <x:t xml:space="preserve">plcaed left</x:t>
  </x:si>
  <x:si>
    <x:t xml:space="preserve">front right, but I'll count it</x:t>
  </x:si>
  <x:si>
    <x:t xml:space="preserve">placed to the front</x:t>
  </x:si>
  <x:si>
    <x:t xml:space="preserve">placed ball right on top of the block</x:t>
  </x:si>
  <x:si>
    <x:t xml:space="preserve">put on top and rolled to the right</x:t>
  </x:si>
  <x:si>
    <x:t xml:space="preserve">placed to the back</x:t>
  </x:si>
  <x:si>
    <x:t xml:space="preserve">placed on top and rolled to the back</x:t>
  </x:si>
  <x:si>
    <x:t xml:space="preserve">placed on top of pen and rolled to the right</x:t>
  </x:si>
  <x:si>
    <x:t xml:space="preserve">went for the pink marker, but didn't grab it</x:t>
  </x:si>
  <x:si>
    <x:t xml:space="preserve">went for the green pen twice, but didn't move it.</x:t>
  </x:si>
  <x:si>
    <x:t xml:space="preserve">moved the green pen to the front of the blue block</x:t>
  </x:si>
  <x:si>
    <x:t xml:space="preserve">went to the blue block 5 times, and pushed it around a little bit. Still stayed on the right.</x:t>
  </x:si>
  <x:si>
    <x:t xml:space="preserve">went for pink marker twice but didn't move it</x:t>
  </x:si>
  <x:si>
    <x:t xml:space="preserve">very interesting rollout. Put it in front once, but no that close. went home and then back to put it closer</x:t>
  </x:si>
  <x:si>
    <x:t xml:space="preserve">moved to the pink marker 2 times</x:t>
  </x:si>
  <x:si>
    <x:t xml:space="preserve">picked one closest</x:t>
  </x:si>
  <x:si>
    <x:t xml:space="preserve">picked aiplanetoy between the pencil sharpeners</x:t>
  </x:si>
  <x:si>
    <x:t xml:space="preserve">reasoning failure. went for the plane toy not between, dropped it, and during recovery, went for the correct one and got. failure for reasoning though.</x:t>
  </x:si>
  <x:si>
    <x:t xml:space="preserve">picked pen closest</x:t>
  </x:si>
  <x:si>
    <x:t xml:space="preserve">picked airplane without propellors</x:t>
  </x:si>
  <x:si>
    <x:t xml:space="preserve">went for closest one and couldn't grasp it. failed reasoning and grasping</x:t>
  </x:si>
  <x:si>
    <x:t xml:space="preserve">picked non-propellor plane</x:t>
  </x:si>
  <x:si>
    <x:t xml:space="preserve">picked soda can furthest from green pen</x:t>
  </x:si>
  <x:si>
    <x:t xml:space="preserve">picked the crushed pepsi can</x:t>
  </x:si>
  <x:si>
    <x:t xml:space="preserve">picked pepsi can; furthest from ariplane toy</x:t>
  </x:si>
  <x:si>
    <x:t xml:space="preserve">went for the coke can, but couldn't grasp it. Reasoning succeeded</x:t>
  </x:si>
  <x:si>
    <x:t xml:space="preserve">failed reasoning. went for pepsi can, knocked it out of range, then got the coke can.</x:t>
  </x:si>
  <x:si>
    <x:t xml:space="preserve">picked the sharpener between the yellow pen and airplane toy without propellors</x:t>
  </x:si>
  <x:si>
    <x:t xml:space="preserve">picked the airplane toy closest</x:t>
  </x:si>
  <x:si>
    <x:t xml:space="preserve">successful reasoning, but failed grasping.</x:t>
  </x:si>
  <x:si>
    <x:t xml:space="preserve">picked the can furthest from the yellow pen</x:t>
  </x:si>
  <x:si>
    <x:t xml:space="preserve">successful reasoning, but knocked can over and couldn't recover</x:t>
  </x:si>
  <x:si>
    <x:t xml:space="preserve">went for the coke can, but couldn't grasp it. successfully went for coke can, but then started to go for the airplane toy</x:t>
  </x:si>
  <x:si>
    <x:t xml:space="preserve">succeeded reasoning, but failed grasping</x:t>
  </x:si>
  <x:si>
    <x:t xml:space="preserve">picked the coke can; furthest</x:t>
  </x:si>
  <x:si>
    <x:t xml:space="preserve">failed reasoning; first went for the yellow pen and picked it, but dropped it. Then during recovery got the red pencil sharpener.</x:t>
  </x:si>
  <x:si>
    <x:t xml:space="preserve">picked airplane toy closest</x:t>
  </x:si>
  <x:si>
    <x:t xml:space="preserve">went for crushed coke can, knocked it over, then picked and placed yellow pen in the bowl during recovery.</x:t>
  </x:si>
  <x:si>
    <x:t xml:space="preserve">picked closest airplane toy</x:t>
  </x:si>
  <x:si>
    <x:t xml:space="preserve">picked soda can furthest from airplane toy</x:t>
  </x:si>
  <x:si>
    <x:t xml:space="preserve">picked the one closest</x:t>
  </x:si>
  <x:si>
    <x:t xml:space="preserve">went for pepsi can, knocked it over, and tried again, but couldn't get it.</x:t>
  </x:si>
  <x:si>
    <x:t xml:space="preserve">just started grasping nothing in the workspace</x:t>
  </x:si>
  <x:si>
    <x:t xml:space="preserve">picked furthest soda can</x:t>
  </x:si>
  <x:si>
    <x:t xml:space="preserve">picked the coke can; furthest from yellow pen, closest to green pen.</x:t>
  </x:si>
  <x:si>
    <x:t xml:space="preserve">picked furthest from airplane toy/closest to green pencil sharpener</x:t>
  </x:si>
  <x:si>
    <x:t xml:space="preserve">picked up the coke can</x:t>
  </x:si>
  <x:si>
    <x:t xml:space="preserve">tried picking the crushed coke can, but failed to grasp it. During recovery, got the green block, which was right next to the coke can.</x:t>
  </x:si>
  <x:si>
    <x:t xml:space="preserve">tried to pick the green block, got it and dropped it. Then during recovery picked up the green pencil sharpener</x:t>
  </x:si>
  <x:si>
    <x:t xml:space="preserve">picked green block between the yellow pen and coke can</x:t>
  </x:si>
  <x:si>
    <x:t xml:space="preserve">picked the airplane toy closest to the green pen</x:t>
  </x:si>
  <x:si>
    <x:t xml:space="preserve">tried picking up thge airplane toy with propellors and then dropped it and then picked up the red pencil sharpener in the bowl during recovery</x:t>
  </x:si>
  <x:si>
    <x:t xml:space="preserve">tried picking the coke can, knocked it over, and couldn't recover</x:t>
  </x:si>
  <x:si>
    <x:t xml:space="preserve">went for pepsi can, couldn't pick it</x:t>
  </x:si>
  <x:si>
    <x:t xml:space="preserve">tried to pick airplane toy without propellors, dropped it, then went for propellor airplane toy. Could get it either.</x:t>
  </x:si>
  <x:si>
    <x:t xml:space="preserve">picked the yellow pen. Furthest from propellor airplane</x:t>
  </x:si>
  <x:si>
    <x:t xml:space="preserve">tried to pick the coke can but couldn't</x:t>
  </x:si>
  <x:si>
    <x:t xml:space="preserve">Failed grasping the can and during recovery, went for juggling ball. Grasping failure.</x:t>
  </x:si>
  <x:si>
    <x:t xml:space="preserve">Picked largest object.</x:t>
  </x:si>
  <x:si>
    <x:t xml:space="preserve">Picked the soda can</x:t>
  </x:si>
  <x:si>
    <x:t xml:space="preserve">Picked the pencil sharpener</x:t>
  </x:si>
  <x:si>
    <x:t xml:space="preserve">Used the gripping strategy for the pepsi can, but got the ball.</x:t>
  </x:si>
  <x:si>
    <x:t xml:space="preserve">Picked pencil sharpener</x:t>
  </x:si>
  <x:si>
    <x:t xml:space="preserve">grabbed soda can</x:t>
  </x:si>
  <x:si>
    <x:t xml:space="preserve">Picked soda can</x:t>
  </x:si>
  <x:si>
    <x:t xml:space="preserve">Placed the soda can</x:t>
  </x:si>
  <x:si>
    <x:t xml:space="preserve">Grabbed red pencil sharpener. pencil sharpener was placed in front of the robot.</x:t>
  </x:si>
  <x:si>
    <x:t xml:space="preserve">Grabbed soda can. can was placed in front of the robot</x:t>
  </x:si>
  <x:si>
    <x:t xml:space="preserve">Had a good recovery</x:t>
  </x:si>
  <x:si>
    <x:t xml:space="preserve">Grabbed soda can</x:t>
  </x:si>
  <x:si>
    <x:t xml:space="preserve">Grabbed pencil sharpener. I think the model may have learned to detect smaller visual pixel area from the middle camera. the block was oriented so it would look smaller</x:t>
  </x:si>
  <x:si>
    <x:t xml:space="preserve">Went for red pencil sharpener. Positioned closer to the camera than green block and green block oriented with the top of the block facing the camera.</x:t>
  </x:si>
  <x:si>
    <x:t xml:space="preserve">grabbed soda can. soda can near front of robot.</x:t>
  </x:si>
  <x:si>
    <x:t xml:space="preserve">Picked soda can; I think the middle camera would have more pixels for the soda can than the juggling ball, so maybe hypothesis is incorrect</x:t>
  </x:si>
  <x:si>
    <x:t xml:space="preserve">Grabbed red pencil sharpener; was placed in front of the robot.</x:t>
  </x:si>
  <x:si>
    <x:t xml:space="preserve">red pencil sharpener. pixels on middle camera prob would have green block bigger. Maybe the green block was too far at edge of the robots reaching range.</x:t>
  </x:si>
  <x:si>
    <x:t xml:space="preserve">Weird behavoir. trying to pick up object that isn't there. Didn't even grasp anything.</x:t>
  </x:si>
  <x:si>
    <x:t xml:space="preserve">red pencil sharpener. pixels on middle camera prob would have green block bigger. green block definitely in range this time.</x:t>
  </x:si>
  <x:si>
    <x:t xml:space="preserve">Went for soda can and then knocked it over and could not recover</x:t>
  </x:si>
  <x:si>
    <x:t xml:space="preserve">Grabbed red pencil sharpener.</x:t>
  </x:si>
  <x:si>
    <x:t xml:space="preserve">grabbed red pencil sharpener</x:t>
  </x:si>
  <x:si>
    <x:t xml:space="preserve">Tried to pick can, knocked it out of range and during recovery, went for juggling ball</x:t>
  </x:si>
  <x:si>
    <x:t xml:space="preserve">Picked red sharpener</x:t>
  </x:si>
  <x:si>
    <x:t xml:space="preserve">Started doing grasping strategy for pepsi can and was jittering around before eventually finding the green block and getting it.</x:t>
  </x:si>
  <x:si>
    <x:t xml:space="preserve">Tried to get the soda can, dropped it, and then during recovery, started going for ball, but didn't get it and went back trying to get pepsi can.</x:t>
  </x:si>
  <x:si>
    <x:t xml:space="preserve">Grabbed the ball with the soda can gripping strategy.</x:t>
  </x:si>
  <x:si>
    <x:t xml:space="preserve">Picked up green block</x:t>
  </x:si>
  <x:si>
    <x:t xml:space="preserve">Failed grasping. Picked the block, it went up on its side, then it flew out of the range of the robot. Reasoning succeeded</x:t>
  </x:si>
  <x:si>
    <x:t xml:space="preserve">Grabbed the green block</x:t>
  </x:si>
  <x:si>
    <x:t xml:space="preserve">picked glass jar</x:t>
  </x:si>
  <x:si>
    <x:t xml:space="preserve">GR00T action only 1 epoch Resul</x:t>
  </x:si>
  <x:si>
    <x:t xml:space="preserve">picked the upright brown cup</x:t>
  </x:si>
  <x:si>
    <x:t xml:space="preserve">didn't even grab anything. just was reaching around where there wasn't a cup</x:t>
  </x:si>
  <x:si>
    <x:t xml:space="preserve">picked the glass spice jar, but dropped it on the table and not the bowl. couldn't recover</x:t>
  </x:si>
  <x:si>
    <x:t xml:space="preserve">picked the open glass container</x:t>
  </x:si>
  <x:si>
    <x:t xml:space="preserve">didn't move for the start of the episde. when movement happened, it did go for the glass container, but it didn't end up have enough time to grasp it and put it in the bowl.</x:t>
  </x:si>
  <x:si>
    <x:t xml:space="preserve">Segment</x:t>
  </x:si>
  <x:si>
    <x:t xml:space="preserve">Model Sheet</x:t>
  </x:si>
  <x:si>
    <x:t xml:space="preserve">Success Rate</x:t>
  </x:si>
  <x:si>
    <x:t xml:space="preserve">Wilson Center</x:t>
  </x:si>
  <x:si>
    <x:t xml:space="preserve">Wilson Half-width</x:t>
  </x:si>
  <x:si>
    <x:t xml:space="preserve">Parameter</x:t>
  </x:si>
  <x:si>
    <x:t xml:space="preserve">Value</x:t>
  </x:si>
  <x:si>
    <x:t xml:space="preserve">All tasks</x:t>
  </x:si>
  <x:si>
    <x:t xml:space="preserve">In-distribution condition</x:t>
  </x:si>
  <x:si>
    <x:t xml:space="preserve">Concept-transfer condition</x:t>
  </x:si>
  <x:si>
    <x:t xml:space="preserve">Wilson z</x:t>
  </x:si>
  <x:si>
    <x:t xml:space="preserve">State</x:t>
  </x:si>
  <x:si>
    <x:t xml:space="preserve">Ordinal</x:t>
  </x:si>
  <x:si>
    <x:t xml:space="preserve">Relational</x:t>
  </x:si>
  <x:si>
    <x:t xml:space="preserve">Referential</x:t>
  </x:si>
  <x:si>
    <x:t xml:space="preserve">Size</x:t>
  </x:si>
  <x:si>
    <x:t xml:space="preserve">TASK-LEVEL SUCCESS CHARTS</x:t>
  </x:si>
  <x:si>
    <x:t xml:space="preserve">Native charts show binary success rates. Formula-backed rows below each chart provide Wilson 95% lower/upper bounds and the asymmetric lower/upper error magnitudes for final graphic design.</x:t>
  </x:si>
  <x:si>
    <x:t xml:space="preserve">IN-DISTRIBUTION</x:t>
  </x:si>
  <x:si>
    <x:t xml:space="preserve">Metric</x:t>
  </x:si>
  <x:si>
    <x:t xml:space="preserve">CI lower</x:t>
  </x:si>
  <x:si>
    <x:t xml:space="preserve">CI upper</x:t>
  </x:si>
  <x:si>
    <x:t xml:space="preserve">Lower error</x:t>
  </x:si>
  <x:si>
    <x:t xml:space="preserve">Upper error</x:t>
  </x:si>
  <x:si>
    <x:t xml:space="preserve">COMPOSITIONAL TRANSFER</x:t>
  </x:si>
</x:sst>
</file>

<file path=xl/styles.xml><?xml version="1.0" encoding="utf-8"?>
<x:styleSheet xmlns:x="http://schemas.openxmlformats.org/spreadsheetml/2006/main">
  <x:numFmts count="3">
    <x:numFmt numFmtId="164" formatCode="0.0"/>
    <x:numFmt numFmtId="165" formatCode="0.0%"/>
    <x:numFmt numFmtId="200" formatCode="0"/>
  </x:numFmts>
  <x:fonts count="27">
    <x:font>
      <x:sz val="11"/>
      <x:name val="Carlito"/>
    </x:font>
    <x:font>
      <x:b/>
      <x:sz val="10"/>
      <x:color rgb="FFFFFFFF"/>
      <x:name val="Carlito"/>
    </x:font>
    <x:font>
      <x:sz val="9"/>
      <x:color rgb="FF26323D"/>
      <x:name val="Carlito"/>
    </x:font>
    <x:font>
      <x:b/>
      <x:sz val="11"/>
      <x:color rgb="FFFFFFFF"/>
      <x:name val="Carlito"/>
    </x:font>
    <x:font>
      <x:b/>
      <x:sz val="18"/>
      <x:color rgb="FFFFFFFF"/>
      <x:name val="Carlito"/>
    </x:font>
    <x:font>
      <x:i/>
      <x:sz val="11"/>
      <x:color rgb="FF26323D"/>
      <x:name val="Carlito"/>
    </x:font>
    <x:font>
      <x:b/>
      <x:sz val="9"/>
      <x:color rgb="FFFFFFFF"/>
      <x:name val="Carlito"/>
    </x:font>
    <x:font>
      <x:sz val="8"/>
      <x:color rgb="FF26323D"/>
      <x:name val="Carlito"/>
    </x:font>
    <x:font>
      <x:i/>
      <x:sz val="9"/>
      <x:color rgb="FF26323D"/>
      <x:name val="Carlito"/>
    </x:font>
    <x:font>
      <x:b/>
      <x:sz val="17"/>
      <x:color rgb="FFFFFFFF"/>
      <x:name val="Carlito"/>
    </x:font>
    <x:font>
      <x:sz val="10"/>
      <x:color rgb="FF26323D"/>
      <x:name val="Carlito"/>
    </x:font>
    <x:font>
      <x:b/>
      <x:sz val="10"/>
      <x:color rgb="FF173B5E"/>
      <x:name val="Carlito"/>
    </x:font>
    <x:font>
      <x:b/>
      <x:sz val="10"/>
      <x:color rgb="FF7A4B00"/>
      <x:name val="Carlito"/>
    </x:font>
    <x:font>
      <x:b/>
      <x:sz val="18"/>
      <x:color rgb="FFFFFFFF"/>
      <x:name val="Aptos Display"/>
    </x:font>
    <x:font>
      <x:i/>
      <x:sz val="10"/>
      <x:color rgb="FF405563"/>
      <x:name val="Aptos"/>
    </x:font>
    <x:font>
      <x:b/>
      <x:sz val="11"/>
      <x:color rgb="FF173F5F"/>
      <x:name val="Aptos"/>
    </x:font>
    <x:font>
      <x:sz val="8"/>
      <x:color rgb="FF243746"/>
      <x:name val="Aptos"/>
    </x:font>
    <x:font>
      <x:b/>
      <x:sz val="8"/>
      <x:color rgb="FFFFFFFF"/>
      <x:name val="Aptos"/>
    </x:font>
    <x:font>
      <x:b/>
      <x:sz val="8"/>
      <x:color rgb="FF173F5F"/>
      <x:name val="Aptos"/>
    </x:font>
    <x:font>
      <x:b/>
      <x:sz val="11"/>
      <x:color rgb="FF123F5A"/>
      <x:name val="Arial"/>
    </x:font>
    <x:font>
      <x:sz val="9"/>
      <x:color rgb="FF000000"/>
      <x:name val="Arial"/>
    </x:font>
    <x:font>
      <x:b/>
      <x:sz val="20"/>
      <x:color rgb="FF17365D"/>
      <x:name val="Arial"/>
    </x:font>
    <x:font>
      <x:i/>
      <x:sz val="10"/>
      <x:color rgb="FF666666"/>
      <x:name val="Arial"/>
    </x:font>
    <x:font>
      <x:b/>
      <x:sz val="11"/>
      <x:color rgb="FF17365D"/>
      <x:name val="Carlito"/>
    </x:font>
    <x:font>
      <x:b/>
      <x:sz val="10"/>
      <x:color rgb="FFFFFFFF"/>
      <x:name val="Arial"/>
    </x:font>
    <x:font>
      <x:sz val="10"/>
      <x:color rgb="FF1F2937"/>
      <x:name val="Arial"/>
    </x:font>
    <x:font>
      <x:b/>
      <x:sz val="10"/>
      <x:color rgb="FF17365D"/>
      <x:name val="Arial"/>
    </x:font>
  </x:fonts>
  <x:fills count="20">
    <x:fill>
      <x:patternFill patternType="none"/>
    </x:fill>
    <x:fill>
      <x:patternFill patternType="gray125"/>
    </x:fill>
    <x:fill>
      <x:patternFill patternType="solid">
        <x:fgColor rgb="FF245D83"/>
      </x:patternFill>
    </x:fill>
    <x:fill>
      <x:patternFill patternType="solid">
        <x:fgColor rgb="FF173B5E"/>
      </x:patternFill>
    </x:fill>
    <x:fill>
      <x:patternFill patternType="solid">
        <x:fgColor rgb="FFEAF3F8"/>
      </x:patternFill>
    </x:fill>
    <x:fill>
      <x:patternFill patternType="solid">
        <x:fgColor rgb="FF6B7280"/>
      </x:patternFill>
    </x:fill>
    <x:fill>
      <x:patternFill patternType="solid">
        <x:fgColor rgb="FF2563EB"/>
      </x:patternFill>
    </x:fill>
    <x:fill>
      <x:patternFill patternType="solid">
        <x:fgColor rgb="FF7C3AED"/>
      </x:patternFill>
    </x:fill>
    <x:fill>
      <x:patternFill patternType="solid">
        <x:fgColor rgb="FFD97706"/>
      </x:patternFill>
    </x:fill>
    <x:fill>
      <x:patternFill patternType="solid">
        <x:fgColor rgb="FF059669"/>
      </x:patternFill>
    </x:fill>
    <x:fill>
      <x:patternFill patternType="solid">
        <x:fgColor rgb="FFFFFFFF"/>
      </x:patternFill>
    </x:fill>
    <x:fill>
      <x:patternFill patternType="solid">
        <x:fgColor rgb="FFFFF4CE"/>
      </x:patternFill>
    </x:fill>
    <x:fill>
      <x:patternFill patternType="solid">
        <x:fgColor rgb="FF173F5F"/>
      </x:patternFill>
    </x:fill>
    <x:fill>
      <x:patternFill patternType="solid">
        <x:fgColor rgb="FFEAF3F8"/>
      </x:patternFill>
    </x:fill>
    <x:fill>
      <x:patternFill patternType="solid">
        <x:fgColor rgb="FFD9EAF2"/>
      </x:patternFill>
    </x:fill>
    <x:fill>
      <x:patternFill patternType="solid">
        <x:fgColor rgb="FF245F80"/>
      </x:patternFill>
    </x:fill>
    <x:fill>
      <x:patternFill patternType="solid">
        <x:fgColor rgb="FFDCEAF2"/>
      </x:patternFill>
    </x:fill>
    <x:fill>
      <x:patternFill patternType="solid">
        <x:fgColor rgb="FFFFFFFF"/>
      </x:patternFill>
    </x:fill>
    <x:fill>
      <x:patternFill patternType="solid">
        <x:fgColor rgb="FFD9EAF7"/>
      </x:patternFill>
    </x:fill>
    <x:fill>
      <x:patternFill patternType="solid">
        <x:fgColor rgb="FF17365D"/>
      </x:patternFill>
    </x:fill>
  </x:fills>
  <x:borders count="12">
    <x:border/>
    <x:border>
      <x:left style="thin">
        <x:color rgb="FFB8CBD9"/>
      </x:left>
      <x:right style="thin">
        <x:color rgb="FFB8CBD9"/>
      </x:right>
      <x:top style="thin">
        <x:color rgb="FFB8CBD9"/>
      </x:top>
      <x:bottom style="thin">
        <x:color rgb="FFB8CBD9"/>
      </x:bottom>
    </x:border>
    <x:border>
      <x:left style="thin">
        <x:color rgb="FFC9D8E4"/>
      </x:left>
      <x:right style="thin">
        <x:color rgb="FFC9D8E4"/>
      </x:right>
      <x:top style="thin">
        <x:color rgb="FFC9D8E4"/>
      </x:top>
      <x:bottom style="thin">
        <x:color rgb="FFC9D8E4"/>
      </x:bottom>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173B5E"/>
      </x:left>
      <x:top style="thin">
        <x:color rgb="FF173B5E"/>
      </x:top>
      <x:bottom style="thin">
        <x:color rgb="FF173B5E"/>
      </x:bottom>
    </x:border>
    <x:border>
      <x:top style="thin">
        <x:color rgb="FF173B5E"/>
      </x:top>
      <x:bottom style="thin">
        <x:color rgb="FF173B5E"/>
      </x:bottom>
    </x:border>
    <x:border>
      <x:right style="thin">
        <x:color rgb="FF173B5E"/>
      </x:right>
      <x:top style="thin">
        <x:color rgb="FF173B5E"/>
      </x:top>
      <x:bottom style="thin">
        <x:color rgb="FF173B5E"/>
      </x:bottom>
    </x:border>
    <x:border>
      <x:left style="thin">
        <x:color rgb="FFC7D8E5"/>
      </x:left>
      <x:right style="thin">
        <x:color rgb="FFC7D8E5"/>
      </x:right>
      <x:top style="thin">
        <x:color rgb="FFC7D8E5"/>
      </x:top>
      <x:bottom style="thin">
        <x:color rgb="FFC7D8E5"/>
      </x:bottom>
    </x:border>
    <x:border>
      <x:bottom style="thin">
        <x:color rgb="FFB8D4E3"/>
      </x:bottom>
    </x:border>
    <x:border>
      <x:left style="thin">
        <x:color rgb="FFB8C7D9"/>
      </x:left>
      <x:right style="thin">
        <x:color rgb="FFB8C7D9"/>
      </x:right>
      <x:top style="thin">
        <x:color rgb="FFB8C7D9"/>
      </x:top>
      <x:bottom style="thin">
        <x:color rgb="FFB8C7D9"/>
      </x:bottom>
    </x:border>
  </x:borders>
  <x:cellStyleXfs count="1">
    <x:xf numFmtId="0" fontId="0" fillId="0" borderId="0"/>
  </x:cellStyleXfs>
  <x:cellXfs count="82">
    <x:xf numFmtId="0" fontId="0" fillId="0" borderId="0" xfId="0"/>
    <x:xf numFmtId="0" fontId="1" fillId="2" borderId="1" xfId="0" applyFont="1" applyFill="1" applyBorder="1" applyAlignment="1">
      <x:alignment horizontal="center" vertical="center" wrapText="1"/>
    </x:xf>
    <x:xf numFmtId="0" fontId="2" fillId="0" borderId="0" xfId="0" applyFont="1" applyAlignment="1">
      <x:alignment vertical="top" wrapText="1"/>
    </x:xf>
    <x:xf numFmtId="1" fontId="2" fillId="0" borderId="0" xfId="0" applyNumberFormat="1" applyFont="1" applyAlignment="1">
      <x:alignment vertical="top" wrapText="1"/>
    </x:xf>
    <x:xf numFmtId="164" fontId="2" fillId="0" borderId="0" xfId="0" applyNumberFormat="1" applyFont="1" applyAlignment="1">
      <x:alignment vertical="top" wrapText="1"/>
    </x:xf>
    <x:xf numFmtId="0" fontId="1" fillId="2" borderId="1" xfId="0" applyFont="1" applyFill="1" applyBorder="1" applyAlignment="1">
      <x:alignment horizontal="center" vertical="top" wrapText="1"/>
    </x:xf>
    <x:xf numFmtId="0" fontId="0" fillId="0" borderId="0" xfId="0" applyAlignment="1">
      <x:alignment vertical="top" wrapText="1"/>
    </x:xf>
    <x:xf numFmtId="1" fontId="0" fillId="0" borderId="0" xfId="0" applyNumberFormat="1" applyAlignment="1">
      <x:alignment vertical="top" wrapText="1"/>
    </x:xf>
    <x:xf numFmtId="165" fontId="0" fillId="0" borderId="0" xfId="0" applyNumberFormat="1" applyAlignment="1">
      <x:alignment vertical="top" wrapText="1"/>
    </x:xf>
    <x:xf numFmtId="0" fontId="0" fillId="0" borderId="2" xfId="0" applyBorder="1"/>
    <x:xf numFmtId="0" fontId="3" fillId="2" borderId="2" xfId="0" applyFont="1" applyFill="1" applyBorder="1"/>
    <x:xf numFmtId="165" fontId="0" fillId="0" borderId="2" xfId="0" applyNumberFormat="1" applyBorder="1"/>
    <x:xf numFmtId="0" fontId="2" fillId="0" borderId="2" xfId="0" applyFont="1" applyBorder="1"/>
    <x:xf numFmtId="1" fontId="2" fillId="0" borderId="2" xfId="0" applyNumberFormat="1" applyFont="1" applyBorder="1"/>
    <x:xf numFmtId="165" fontId="2" fillId="0" borderId="2" xfId="0" applyNumberFormat="1" applyFont="1" applyBorder="1"/>
    <x:xf numFmtId="0" fontId="7" fillId="0" borderId="2" xfId="0" applyFont="1" applyBorder="1" applyAlignment="1">
      <x:alignment vertical="center" wrapText="1"/>
    </x:xf>
    <x:xf numFmtId="0" fontId="7" fillId="0" borderId="2" xfId="0" applyFont="1" applyBorder="1" applyAlignment="1">
      <x:alignment horizontal="center" vertical="center" wrapText="1"/>
    </x:xf>
    <x:xf numFmtId="0" fontId="0" fillId="10" borderId="0" xfId="0" applyFill="1"/>
    <x:xf numFmtId="0" fontId="10" fillId="10" borderId="2" xfId="0" applyFont="1" applyFill="1" applyBorder="1" applyAlignment="1">
      <x:alignment vertical="top" wrapText="1"/>
    </x:xf>
    <x:xf numFmtId="0" fontId="11" fillId="4" borderId="2" xfId="0" applyFont="1" applyFill="1" applyBorder="1" applyAlignment="1">
      <x:alignment vertical="top" wrapText="1"/>
    </x:xf>
    <x:xf numFmtId="0" fontId="10" fillId="10" borderId="2" xfId="0" applyFont="1" applyFill="1" applyBorder="1" applyAlignment="1">
      <x:alignment vertical="center" wrapText="1"/>
    </x:xf>
    <x:xf numFmtId="1" fontId="10" fillId="10" borderId="2" xfId="0" applyNumberFormat="1" applyFont="1" applyFill="1" applyBorder="1" applyAlignment="1">
      <x:alignment vertical="center" wrapText="1"/>
    </x:xf>
    <x:xf numFmtId="0" fontId="12" fillId="11" borderId="2" xfId="0" applyFont="1" applyFill="1" applyBorder="1" applyAlignment="1">
      <x:alignment vertical="top" wrapText="1"/>
    </x:xf>
    <x:xf numFmtId="0" fontId="17" fillId="15" borderId="9" xfId="0" applyFont="1" applyFill="1" applyBorder="1" applyAlignment="1">
      <x:alignment horizontal="center" vertical="center" wrapText="1"/>
    </x:xf>
    <x:xf numFmtId="0" fontId="18" fillId="13" borderId="9" xfId="0" applyFont="1" applyFill="1" applyBorder="1" applyAlignment="1">
      <x:alignment vertical="center"/>
    </x:xf>
    <x:xf numFmtId="165" fontId="16" fillId="0" borderId="9" xfId="0" applyNumberFormat="1" applyFont="1" applyBorder="1" applyAlignment="1">
      <x:alignment horizontal="center" vertical="center"/>
    </x:xf>
    <x:xf numFmtId="1" fontId="16" fillId="0" borderId="9" xfId="0" applyNumberFormat="1" applyFont="1" applyBorder="1" applyAlignment="1">
      <x:alignment horizontal="center" vertical="center"/>
    </x:xf>
    <x:xf numFmtId="0" fontId="19" fillId="16" borderId="10" xfId="0" applyFont="1" applyFill="1" applyBorder="1" applyAlignment="1">
      <x:alignment horizontal="left"/>
    </x:xf>
    <x:xf numFmtId="0" fontId="20" fillId="17" borderId="0" xfId="0" applyFont="1" applyFill="1" applyAlignment="1">
      <x:alignment horizontal="left"/>
    </x:xf>
    <x:xf numFmtId="0" fontId="13" fillId="12" borderId="0" xfId="0" applyFont="1" applyFill="1" applyAlignment="1">
      <x:alignment horizontal="left" vertical="center"/>
    </x:xf>
    <x:xf numFmtId="0" fontId="14" fillId="13" borderId="0" xfId="0" applyFont="1" applyFill="1" applyAlignment="1">
      <x:alignment vertical="center" wrapText="1"/>
    </x:xf>
    <x:xf numFmtId="0" fontId="15" fillId="14" borderId="0" xfId="0" applyFont="1" applyFill="1" applyAlignment="1">
      <x:alignment horizontal="left" vertical="center"/>
    </x:xf>
    <x:xf numFmtId="0" fontId="8" fillId="4" borderId="0" xfId="0" applyFont="1" applyFill="1" applyAlignment="1">
      <x:alignment vertical="center"/>
    </x:xf>
    <x:xf numFmtId="0" fontId="4" fillId="3" borderId="0" xfId="0" applyFont="1" applyFill="1" applyAlignment="1">
      <x:alignment horizontal="left" vertical="center"/>
    </x:xf>
    <x:xf numFmtId="0" fontId="5" fillId="4" borderId="0" xfId="0" applyFont="1" applyFill="1" applyAlignment="1">
      <x:alignment vertical="center"/>
    </x:xf>
    <x:xf numFmtId="0" fontId="6" fillId="5" borderId="3" xfId="0" applyFont="1" applyFill="1" applyBorder="1" applyAlignment="1">
      <x:alignment horizontal="center" vertical="center"/>
    </x:xf>
    <x:xf numFmtId="0" fontId="6" fillId="5" borderId="4" xfId="0" applyFont="1" applyFill="1" applyBorder="1" applyAlignment="1">
      <x:alignment horizontal="center" vertical="center"/>
    </x:xf>
    <x:xf numFmtId="0" fontId="6" fillId="5" borderId="5" xfId="0" applyFont="1" applyFill="1" applyBorder="1" applyAlignment="1">
      <x:alignment horizontal="center" vertical="center"/>
    </x:xf>
    <x:xf numFmtId="0" fontId="6" fillId="6" borderId="3" xfId="0" applyFont="1" applyFill="1" applyBorder="1" applyAlignment="1">
      <x:alignment horizontal="center" vertical="center"/>
    </x:xf>
    <x:xf numFmtId="0" fontId="6" fillId="6" borderId="4" xfId="0" applyFont="1" applyFill="1" applyBorder="1" applyAlignment="1">
      <x:alignment horizontal="center" vertical="center"/>
    </x:xf>
    <x:xf numFmtId="0" fontId="6" fillId="6" borderId="5" xfId="0" applyFont="1" applyFill="1" applyBorder="1" applyAlignment="1">
      <x:alignment horizontal="center" vertical="center"/>
    </x:xf>
    <x:xf numFmtId="0" fontId="6" fillId="7" borderId="3" xfId="0" applyFont="1" applyFill="1" applyBorder="1" applyAlignment="1">
      <x:alignment horizontal="center" vertical="center"/>
    </x:xf>
    <x:xf numFmtId="0" fontId="6" fillId="7" borderId="4" xfId="0" applyFont="1" applyFill="1" applyBorder="1" applyAlignment="1">
      <x:alignment horizontal="center" vertical="center"/>
    </x:xf>
    <x:xf numFmtId="0" fontId="6" fillId="7" borderId="5" xfId="0" applyFont="1" applyFill="1" applyBorder="1" applyAlignment="1">
      <x:alignment horizontal="center" vertical="center"/>
    </x:xf>
    <x:xf numFmtId="0" fontId="6" fillId="8" borderId="3" xfId="0" applyFont="1" applyFill="1" applyBorder="1" applyAlignment="1">
      <x:alignment horizontal="center" vertical="center"/>
    </x:xf>
    <x:xf numFmtId="0" fontId="6" fillId="8" borderId="4" xfId="0" applyFont="1" applyFill="1" applyBorder="1" applyAlignment="1">
      <x:alignment horizontal="center" vertical="center"/>
    </x:xf>
    <x:xf numFmtId="0" fontId="6" fillId="8" borderId="5" xfId="0" applyFont="1" applyFill="1" applyBorder="1" applyAlignment="1">
      <x:alignment horizontal="center" vertical="center"/>
    </x:xf>
    <x:xf numFmtId="0" fontId="6" fillId="9" borderId="3" xfId="0" applyFont="1" applyFill="1" applyBorder="1" applyAlignment="1">
      <x:alignment horizontal="center" vertical="center"/>
    </x:xf>
    <x:xf numFmtId="0" fontId="6" fillId="9" borderId="4" xfId="0" applyFont="1" applyFill="1" applyBorder="1" applyAlignment="1">
      <x:alignment horizontal="center" vertical="center"/>
    </x:xf>
    <x:xf numFmtId="0" fontId="6" fillId="9" borderId="5" xfId="0" applyFont="1" applyFill="1" applyBorder="1" applyAlignment="1">
      <x:alignment horizontal="center" vertical="center"/>
    </x:xf>
    <x:xf numFmtId="0" fontId="9" fillId="3" borderId="0" xfId="0" applyFont="1" applyFill="1" applyAlignment="1">
      <x:alignment vertical="center"/>
    </x:xf>
    <x:xf numFmtId="0" fontId="3" fillId="3" borderId="6" xfId="0" applyFont="1" applyFill="1" applyBorder="1" applyAlignment="1">
      <x:alignment vertical="center"/>
    </x:xf>
    <x:xf numFmtId="0" fontId="3" fillId="3" borderId="7" xfId="0" applyFont="1" applyFill="1" applyBorder="1" applyAlignment="1">
      <x:alignment vertical="center"/>
    </x:xf>
    <x:xf numFmtId="0" fontId="3" fillId="3" borderId="8" xfId="0" applyFont="1" applyFill="1" applyBorder="1" applyAlignment="1">
      <x:alignment vertical="center"/>
    </x:xf>
    <x:xf numFmtId="0" fontId="0" fillId="0" borderId="0" xfId="0"/>
    <x:xf numFmtId="1" fontId="0" fillId="0" borderId="0" xfId="0" applyNumberFormat="1"/>
    <x:xf numFmtId="165" fontId="0" fillId="0" borderId="0" xfId="0" applyNumberFormat="1"/>
    <x:xf numFmtId="164" fontId="0" fillId="0" borderId="0" xfId="0" applyNumberFormat="1" applyFont="1" applyFill="1" applyBorder="1"/>
    <x:xf numFmtId="0" fontId="21" fillId="0" borderId="0" xfId="0" applyNumberFormat="1" applyFont="1" applyFill="1" applyBorder="1"/>
    <x:xf numFmtId="0" fontId="0" fillId="0" borderId="0" xfId="0" applyNumberFormat="1" applyFont="1" applyFill="1" applyBorder="1" applyAlignment="1">
      <x:alignment wrapText="1"/>
    </x:xf>
    <x:xf numFmtId="0" fontId="22" fillId="0" borderId="0" xfId="0" applyNumberFormat="1" applyFont="1" applyFill="1" applyBorder="1" applyAlignment="1">
      <x:alignment wrapText="1"/>
    </x:xf>
    <x:xf numFmtId="0" fontId="0" fillId="0" borderId="11" xfId="0" applyNumberFormat="1" applyFont="1" applyFill="1" applyBorder="1"/>
    <x:xf numFmtId="0" fontId="0" fillId="18" borderId="11" xfId="0" applyNumberFormat="1" applyFont="1" applyFill="1" applyBorder="1"/>
    <x:xf numFmtId="0" fontId="23" fillId="18" borderId="11" xfId="0" applyNumberFormat="1" applyFont="1" applyFill="1" applyBorder="1"/>
    <x:xf numFmtId="0" fontId="0" fillId="18" borderId="0" xfId="0" applyNumberFormat="1" applyFont="1" applyFill="1" applyBorder="1"/>
    <x:xf numFmtId="0" fontId="23" fillId="18" borderId="0" xfId="0" applyNumberFormat="1" applyFont="1" applyFill="1" applyBorder="1"/>
    <x:xf numFmtId="0" fontId="23" fillId="18" borderId="0" xfId="0" applyNumberFormat="1" applyFont="1" applyFill="1" applyBorder="1" applyAlignment="1">
      <x:alignment wrapText="1"/>
    </x:xf>
    <x:xf numFmtId="0" fontId="23" fillId="18" borderId="11" xfId="0" applyNumberFormat="1" applyFont="1" applyFill="1" applyBorder="1" applyAlignment="1">
      <x:alignment wrapText="1"/>
    </x:xf>
    <x:xf numFmtId="0" fontId="0" fillId="0" borderId="11" xfId="0" applyNumberFormat="1" applyFont="1" applyFill="1" applyBorder="1" applyAlignment="1">
      <x:alignment wrapText="1"/>
    </x:xf>
    <x:xf numFmtId="0" fontId="0" fillId="19" borderId="0" xfId="0" applyNumberFormat="1" applyFont="1" applyFill="1" applyBorder="1"/>
    <x:xf numFmtId="0" fontId="24" fillId="19" borderId="0" xfId="0" applyNumberFormat="1" applyFont="1" applyFill="1" applyBorder="1"/>
    <x:xf numFmtId="0" fontId="24" fillId="19" borderId="0" xfId="0" applyNumberFormat="1" applyFont="1" applyFill="1" applyBorder="1" applyAlignment="1">
      <x:alignment wrapText="1"/>
    </x:xf>
    <x:xf numFmtId="0" fontId="24" fillId="19" borderId="0" xfId="0" applyNumberFormat="1" applyFont="1" applyFill="1" applyBorder="1" applyAlignment="1">
      <x:alignment vertical="center" wrapText="1"/>
    </x:xf>
    <x:xf numFmtId="0" fontId="24" fillId="19" borderId="11" xfId="0" applyNumberFormat="1" applyFont="1" applyFill="1" applyBorder="1" applyAlignment="1">
      <x:alignment vertical="center" wrapText="1"/>
    </x:xf>
    <x:xf numFmtId="0" fontId="25" fillId="0" borderId="0" xfId="0" applyNumberFormat="1" applyFont="1" applyFill="1" applyBorder="1"/>
    <x:xf numFmtId="0" fontId="25" fillId="0" borderId="11" xfId="0" applyNumberFormat="1" applyFont="1" applyFill="1" applyBorder="1"/>
    <x:xf numFmtId="0" fontId="25" fillId="0" borderId="11" xfId="0" applyNumberFormat="1" applyFont="1" applyFill="1" applyBorder="1" applyAlignment="1">
      <x:alignment vertical="center"/>
    </x:xf>
    <x:xf numFmtId="0" fontId="25" fillId="18" borderId="11" xfId="0" applyNumberFormat="1" applyFont="1" applyFill="1" applyBorder="1" applyAlignment="1">
      <x:alignment vertical="center"/>
    </x:xf>
    <x:xf numFmtId="0" fontId="26" fillId="18" borderId="11" xfId="0" applyNumberFormat="1" applyFont="1" applyFill="1" applyBorder="1" applyAlignment="1">
      <x:alignment vertical="center"/>
    </x:xf>
    <x:xf numFmtId="165" fontId="25" fillId="0" borderId="11" xfId="0" applyNumberFormat="1" applyFont="1" applyFill="1" applyBorder="1" applyAlignment="1">
      <x:alignment vertical="center"/>
    </x:xf>
    <x:xf numFmtId="200" fontId="25" fillId="0" borderId="11" xfId="0" applyNumberFormat="1" applyFont="1" applyFill="1" applyBorder="1" applyAlignment="1">
      <x:alignment vertical="center"/>
    </x:xf>
    <x:xf numFmtId="0" fontId="21" fillId="0" borderId="0" xfId="0" applyNumberFormat="1" applyFont="1" applyFill="1" applyBorder="1" applyAlignment="1">
      <x:alignment wrapText="1"/>
    </x:xf>
  </x:cellXfs>
  <x:cellStyles count="1">
    <x:cellStyle name="Normal" xfId="0"/>
  </x:cellStyles>
  <x:dxfs count="14">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ill>
        <x:patternFill patternType="solid">
          <x:bgColor rgb="FFE2F0D9"/>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dac526a0ab4818" /><Relationship Type="http://schemas.openxmlformats.org/officeDocument/2006/relationships/theme" Target="/xl/theme/theme1.xml" Id="R39bdc3ea17434b6b" /><Relationship Type="http://schemas.openxmlformats.org/officeDocument/2006/relationships/sharedStrings" Target="/xl/sharedStrings.xml" Id="Rcf63acbb0af6429a" /><Relationship Type="http://schemas.openxmlformats.org/officeDocument/2006/relationships/pivotCacheDefinition" Target="/pivotCache/pivotCacheDefinition1.xml" Id="R121eac34c1a046bb" /><Relationship Type="http://schemas.openxmlformats.org/officeDocument/2006/relationships/pivotCacheDefinition" Target="/pivotCache/pivotCacheDefinition2.xml" Id="R27f66ead60a54e68" /><Relationship Type="http://schemas.openxmlformats.org/officeDocument/2006/relationships/pivotCacheDefinition" Target="/pivotCache/pivotCacheDefinition3.xml" Id="R23827859e3a341a5" /><Relationship Type="http://schemas.openxmlformats.org/officeDocument/2006/relationships/worksheet" Target="/xl/worksheets/sheet1.xml" Id="R9afb7f42f4a04ede" /><Relationship Type="http://schemas.openxmlformats.org/officeDocument/2006/relationships/worksheet" Target="/xl/worksheets/sheet2.xml" Id="R42e6a5038e754fe6" /><Relationship Type="http://schemas.openxmlformats.org/officeDocument/2006/relationships/worksheet" Target="/xl/worksheets/sheet3.xml" Id="Rec292c92982e4da2" /><Relationship Type="http://schemas.openxmlformats.org/officeDocument/2006/relationships/worksheet" Target="/xl/worksheets/sheet4.xml" Id="Rc8183fa1b5c64532" /><Relationship Type="http://schemas.openxmlformats.org/officeDocument/2006/relationships/worksheet" Target="/xl/worksheets/sheet5.xml" Id="R2eaa3d97ee7d4a73" /><Relationship Type="http://schemas.openxmlformats.org/officeDocument/2006/relationships/worksheet" Target="/xl/worksheets/sheet6.xml" Id="R5a39c36972a94c07" /><Relationship Type="http://schemas.openxmlformats.org/officeDocument/2006/relationships/worksheet" Target="/xl/worksheets/sheet7.xml" Id="R144808c5efe74e90" /><Relationship Type="http://schemas.openxmlformats.org/officeDocument/2006/relationships/worksheet" Target="/xl/worksheets/sheet8.xml" Id="Rbd86cdf6cfa54542" /><Relationship Type="http://schemas.openxmlformats.org/officeDocument/2006/relationships/worksheet" Target="/xl/worksheets/sheet9.xml" Id="R4320b20407e84510" /><Relationship Type="http://schemas.openxmlformats.org/officeDocument/2006/relationships/worksheet" Target="/xl/worksheets/sheet10.xml" Id="Ra35b513b2e8944d7" /><Relationship Type="http://schemas.openxmlformats.org/officeDocument/2006/relationships/worksheet" Target="/xl/worksheets/sheet11.xml" Id="R9d25751095dc4b8f" /><Relationship Type="http://schemas.openxmlformats.org/officeDocument/2006/relationships/worksheet" Target="/xl/worksheets/sheet12.xml" Id="Rf08c11c140bc48c5" /></Relationships>
</file>

<file path=xl/drawings/_rels/drawing1.xml.rels>&#65279;<?xml version="1.0" encoding="utf-8"?><Relationships xmlns="http://schemas.openxmlformats.org/package/2006/relationships"><Relationship Type="http://schemas.openxmlformats.org/officeDocument/2006/relationships/chart" Target="/xl/drawings/charts/chart1.xml" Id="R5ffd32a231494054" /><Relationship Type="http://schemas.openxmlformats.org/officeDocument/2006/relationships/chart" Target="/xl/drawings/charts/chart2.xml" Id="R9c6bc31ba55647c2" /><Relationship Type="http://schemas.openxmlformats.org/officeDocument/2006/relationships/chart" Target="/xl/drawings/charts/chart3.xml" Id="R98e47b3101404a4c" /><Relationship Type="http://schemas.openxmlformats.org/officeDocument/2006/relationships/chart" Target="/xl/drawings/charts/chart4.xml" Id="R65ea623df210416d" /></Relationships>
</file>

<file path=xl/drawings/_rels/drawing2.xml.rels>&#65279;<?xml version="1.0" encoding="utf-8"?><Relationships xmlns="http://schemas.openxmlformats.org/package/2006/relationships"><Relationship Type="http://schemas.openxmlformats.org/officeDocument/2006/relationships/chart" Target="/xl/drawings/charts/chart5.xml" Id="R661db3cc2ac04152" /><Relationship Type="http://schemas.openxmlformats.org/officeDocument/2006/relationships/chart" Target="/xl/drawings/charts/chart6.xml" Id="Rdb9ab6449d804009" /><Relationship Type="http://schemas.openxmlformats.org/officeDocument/2006/relationships/chart" Target="/xl/drawings/charts/chart7.xml" Id="R853c2d39851d46d1" /><Relationship Type="http://schemas.openxmlformats.org/officeDocument/2006/relationships/chart" Target="/xl/drawings/charts/chart8.xml" Id="R5c9d297c33d5411f" /><Relationship Type="http://schemas.openxmlformats.org/officeDocument/2006/relationships/chart" Target="/xl/drawings/charts/chart9.xml" Id="Rdd66077c3fe84466" /><Relationship Type="http://schemas.openxmlformats.org/officeDocument/2006/relationships/chart" Target="/xl/drawings/charts/chart10.xml" Id="R94a5e47a5b2c4193" /><Relationship Type="http://schemas.openxmlformats.org/officeDocument/2006/relationships/chart" Target="/xl/drawings/charts/chart11.xml" Id="Rfce82478d87d4c97" /><Relationship Type="http://schemas.openxmlformats.org/officeDocument/2006/relationships/chart" Target="/xl/drawings/charts/chart12.xml" Id="R5d0153578676425b" /><Relationship Type="http://schemas.openxmlformats.org/officeDocument/2006/relationships/chart" Target="/xl/drawings/charts/chart13.xml" Id="R65bef079f2f64f9b" /><Relationship Type="http://schemas.openxmlformats.org/officeDocument/2006/relationships/chart" Target="/xl/drawings/charts/chart14.xml" Id="R7eda710c9fc449ca" /><Relationship Type="http://schemas.openxmlformats.org/officeDocument/2006/relationships/chart" Target="/xl/drawings/charts/chart15.xml" Id="Re432444d5a9c41cd" /><Relationship Type="http://schemas.openxmlformats.org/officeDocument/2006/relationships/chart" Target="/xl/drawings/charts/chart16.xml" Id="R0639113203e34bba" /></Relationships>
</file>

<file path=xl/drawings/_rels/drawing3.xml.rels>&#65279;<?xml version="1.0" encoding="utf-8"?><Relationships xmlns="http://schemas.openxmlformats.org/package/2006/relationships"><Relationship Type="http://schemas.openxmlformats.org/officeDocument/2006/relationships/chart" Target="/xl/drawings/charts/chart17.xml" Id="Rd04194cb194d4c6f"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900"/>
              <a:t>In-distribution success across all tasks</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manualLayout>
          <c:xMode val="edge"/>
          <c:yMode val="edge"/>
          <c:x val="0.09090891195418684"/>
          <c:y val="0.14"/>
          <c:w val="0.8181818181818182"/>
          <c:h val="0.6"/>
        </c:manualLayout>
      </c:layout>
      <c:barChart>
        <c:barDir val="col"/>
        <c:grouping val="clustered"/>
        <c:varyColors val="0"/>
        <c:ser>
          <c:idx val="0"/>
          <c:order val="0"/>
          <c:tx>
            <c:v>VLA-0</c:v>
          </c:tx>
          <c:spPr>
            <a:solidFill xmlns:a="http://schemas.openxmlformats.org/drawingml/2006/main">
              <a:srgbClr val="6B7280"/>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Data'!$Q$2:$Q$2</c:f>
              <c:strCache>
                <c:ptCount val="1"/>
                <c:pt idx="0">
                  <c:v>All tasks</c:v>
                </c:pt>
              </c:strCache>
            </c:strRef>
          </c:cat>
          <c:val>
            <c:numRef>
              <c:f>'Analysis Data'!$R$2:$R$2</c:f>
              <c:numCache>
                <c:formatCode>0.0%</c:formatCode>
                <c:ptCount val="1"/>
                <c:pt idx="0">
                  <c:v>0</c:v>
                </c:pt>
              </c:numCache>
            </c:numRef>
          </c:val>
        </c:ser>
        <c:ser>
          <c:idx val="1"/>
          <c:order val="1"/>
          <c:tx>
            <c:v>GR00T Frozen LLM</c:v>
          </c:tx>
          <c:spPr>
            <a:solidFill xmlns:a="http://schemas.openxmlformats.org/drawingml/2006/main">
              <a:srgbClr val="2563EB"/>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Data'!$Q$2:$Q$2</c:f>
              <c:strCache>
                <c:ptCount val="1"/>
                <c:pt idx="0">
                  <c:v>All tasks</c:v>
                </c:pt>
              </c:strCache>
            </c:strRef>
          </c:cat>
          <c:val>
            <c:numRef>
              <c:f>'Analysis Data'!$S$2:$S$2</c:f>
              <c:numCache>
                <c:formatCode>0.0%</c:formatCode>
                <c:ptCount val="1"/>
                <c:pt idx="0">
                  <c:v>0.675</c:v>
                </c:pt>
              </c:numCache>
            </c:numRef>
          </c:val>
        </c:ser>
        <c:ser>
          <c:idx val="2"/>
          <c:order val="2"/>
          <c:tx>
            <c:v>GR00T Full Fine-Tune</c:v>
          </c:tx>
          <c:spPr>
            <a:solidFill xmlns:a="http://schemas.openxmlformats.org/drawingml/2006/main">
              <a:srgbClr val="7C3AED"/>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Data'!$Q$2:$Q$2</c:f>
              <c:strCache>
                <c:ptCount val="1"/>
                <c:pt idx="0">
                  <c:v>All tasks</c:v>
                </c:pt>
              </c:strCache>
            </c:strRef>
          </c:cat>
          <c:val>
            <c:numRef>
              <c:f>'Analysis Data'!$T$2:$T$2</c:f>
              <c:numCache>
                <c:formatCode>0.0%</c:formatCode>
                <c:ptCount val="1"/>
                <c:pt idx="0">
                  <c:v>0.21008403361344538</c:v>
                </c:pt>
              </c:numCache>
            </c:numRef>
          </c:val>
        </c:ser>
        <c:ser>
          <c:idx val="3"/>
          <c:order val="3"/>
          <c:tx>
            <c:v>MolmoAct2</c:v>
          </c:tx>
          <c:spPr>
            <a:solidFill xmlns:a="http://schemas.openxmlformats.org/drawingml/2006/main">
              <a:srgbClr val="D97706"/>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Data'!$Q$2:$Q$2</c:f>
              <c:strCache>
                <c:ptCount val="1"/>
                <c:pt idx="0">
                  <c:v>All tasks</c:v>
                </c:pt>
              </c:strCache>
            </c:strRef>
          </c:cat>
          <c:val>
            <c:numRef>
              <c:f>'Analysis Data'!$U$2:$U$2</c:f>
              <c:numCache>
                <c:formatCode>0.0%</c:formatCode>
                <c:ptCount val="1"/>
                <c:pt idx="0">
                  <c:v>0.725</c:v>
                </c:pt>
              </c:numCache>
            </c:numRef>
          </c:val>
        </c:ser>
        <c:ser>
          <c:idx val="4"/>
          <c:order val="4"/>
          <c:tx>
            <c:v>Pi0.5</c:v>
          </c:tx>
          <c:spPr>
            <a:solidFill xmlns:a="http://schemas.openxmlformats.org/drawingml/2006/main">
              <a:srgbClr val="059669"/>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Data'!$Q$2:$Q$2</c:f>
              <c:strCache>
                <c:ptCount val="1"/>
                <c:pt idx="0">
                  <c:v>All tasks</c:v>
                </c:pt>
              </c:strCache>
            </c:strRef>
          </c:cat>
          <c:val>
            <c:numRef>
              <c:f>'Analysis Data'!$V$2:$V$2</c:f>
              <c:numCache>
                <c:formatCode>0.0%</c:formatCode>
                <c:ptCount val="1"/>
                <c:pt idx="0">
                  <c:v>0.6833333333333333</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Offset val="10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900"/>
              <a:t>Concept transfer success across all tasks</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manualLayout>
          <c:xMode val="edge"/>
          <c:yMode val="edge"/>
          <c:x val="0.09090891195418774"/>
          <c:y val="0.14"/>
          <c:w val="0.8181818181818182"/>
          <c:h val="0.6"/>
        </c:manualLayout>
      </c:layout>
      <c:barChart>
        <c:barDir val="col"/>
        <c:grouping val="clustered"/>
        <c:varyColors val="0"/>
        <c:ser>
          <c:idx val="0"/>
          <c:order val="0"/>
          <c:tx>
            <c:v>GR00T Frozen LLM</c:v>
          </c:tx>
          <c:spPr>
            <a:solidFill xmlns:a="http://schemas.openxmlformats.org/drawingml/2006/main">
              <a:srgbClr val="2563EB"/>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Data'!$Q$6:$Q$6</c:f>
              <c:strCache>
                <c:ptCount val="1"/>
                <c:pt idx="0">
                  <c:v>All tasks</c:v>
                </c:pt>
              </c:strCache>
            </c:strRef>
          </c:cat>
          <c:val>
            <c:numRef>
              <c:f>'Analysis Data'!$R$6:$R$6</c:f>
              <c:numCache>
                <c:formatCode>0.0%</c:formatCode>
                <c:ptCount val="1"/>
                <c:pt idx="0">
                  <c:v>0.44333333333333336</c:v>
                </c:pt>
              </c:numCache>
            </c:numRef>
          </c:val>
        </c:ser>
        <c:ser>
          <c:idx val="1"/>
          <c:order val="1"/>
          <c:tx>
            <c:v>MolmoAct2</c:v>
          </c:tx>
          <c:spPr>
            <a:solidFill xmlns:a="http://schemas.openxmlformats.org/drawingml/2006/main">
              <a:srgbClr val="D97706"/>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Data'!$Q$6:$Q$6</c:f>
              <c:strCache>
                <c:ptCount val="1"/>
                <c:pt idx="0">
                  <c:v>All tasks</c:v>
                </c:pt>
              </c:strCache>
            </c:strRef>
          </c:cat>
          <c:val>
            <c:numRef>
              <c:f>'Analysis Data'!$S$6:$S$6</c:f>
              <c:numCache>
                <c:formatCode>0.0%</c:formatCode>
                <c:ptCount val="1"/>
                <c:pt idx="0">
                  <c:v>0.52</c:v>
                </c:pt>
              </c:numCache>
            </c:numRef>
          </c:val>
        </c:ser>
        <c:ser>
          <c:idx val="2"/>
          <c:order val="2"/>
          <c:tx>
            <c:v>Pi0.5</c:v>
          </c:tx>
          <c:spPr>
            <a:solidFill xmlns:a="http://schemas.openxmlformats.org/drawingml/2006/main">
              <a:srgbClr val="059669"/>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Data'!$Q$6:$Q$6</c:f>
              <c:strCache>
                <c:ptCount val="1"/>
                <c:pt idx="0">
                  <c:v>All tasks</c:v>
                </c:pt>
              </c:strCache>
            </c:strRef>
          </c:cat>
          <c:val>
            <c:numRef>
              <c:f>'Analysis Data'!$T$6:$T$6</c:f>
              <c:numCache>
                <c:formatCode>0.0%</c:formatCode>
                <c:ptCount val="1"/>
                <c:pt idx="0">
                  <c:v>0.4066666666666667</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Offset val="10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900"/>
              <a:t>In-distribution success by task</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manualLayout>
          <c:xMode val="edge"/>
          <c:yMode val="edge"/>
          <c:x val="0.09090909090909091"/>
          <c:y val="0.14"/>
          <c:w val="0.8181818181818182"/>
          <c:h val="0.6"/>
        </c:manualLayout>
      </c:layout>
      <c:barChart>
        <c:barDir val="col"/>
        <c:grouping val="clustered"/>
        <c:varyColors val="0"/>
        <c:ser>
          <c:idx val="0"/>
          <c:order val="0"/>
          <c:tx>
            <c:v>VLA-0</c:v>
          </c:tx>
          <c:spPr>
            <a:solidFill xmlns:a="http://schemas.openxmlformats.org/drawingml/2006/main">
              <a:srgbClr val="6B7280"/>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Data'!$Q$10:$Q$15</c:f>
              <c:strCache>
                <c:ptCount val="6"/>
                <c:pt idx="0">
                  <c:v>State</c:v>
                </c:pt>
                <c:pt idx="1">
                  <c:v>Counting</c:v>
                </c:pt>
                <c:pt idx="2">
                  <c:v>Ordinal</c:v>
                </c:pt>
                <c:pt idx="3">
                  <c:v>Relational</c:v>
                </c:pt>
                <c:pt idx="4">
                  <c:v>Referential</c:v>
                </c:pt>
                <c:pt idx="5">
                  <c:v>Size</c:v>
                </c:pt>
              </c:strCache>
            </c:strRef>
          </c:cat>
          <c:val>
            <c:numRef>
              <c:f>'Analysis Data'!$R$10:$R$15</c:f>
              <c:numCache>
                <c:formatCode>0.0%</c:formatCode>
                <c:ptCount val="6"/>
                <c:pt idx="0">
                  <c:v>0</c:v>
                </c:pt>
                <c:pt idx="1">
                  <c:v>0</c:v>
                </c:pt>
                <c:pt idx="2">
                  <c:v>0</c:v>
                </c:pt>
                <c:pt idx="3">
                  <c:v>0</c:v>
                </c:pt>
                <c:pt idx="4">
                  <c:v>0</c:v>
                </c:pt>
                <c:pt idx="5">
                  <c:v>0</c:v>
                </c:pt>
              </c:numCache>
            </c:numRef>
          </c:val>
        </c:ser>
        <c:ser>
          <c:idx val="1"/>
          <c:order val="1"/>
          <c:tx>
            <c:v>GR00T Frozen LLM</c:v>
          </c:tx>
          <c:spPr>
            <a:solidFill xmlns:a="http://schemas.openxmlformats.org/drawingml/2006/main">
              <a:srgbClr val="2563EB"/>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Data'!$Q$10:$Q$15</c:f>
              <c:strCache>
                <c:ptCount val="6"/>
                <c:pt idx="0">
                  <c:v>State</c:v>
                </c:pt>
                <c:pt idx="1">
                  <c:v>Counting</c:v>
                </c:pt>
                <c:pt idx="2">
                  <c:v>Ordinal</c:v>
                </c:pt>
                <c:pt idx="3">
                  <c:v>Relational</c:v>
                </c:pt>
                <c:pt idx="4">
                  <c:v>Referential</c:v>
                </c:pt>
                <c:pt idx="5">
                  <c:v>Size</c:v>
                </c:pt>
              </c:strCache>
            </c:strRef>
          </c:cat>
          <c:val>
            <c:numRef>
              <c:f>'Analysis Data'!$S$10:$S$15</c:f>
              <c:numCache>
                <c:formatCode>0.0%</c:formatCode>
                <c:ptCount val="6"/>
                <c:pt idx="0">
                  <c:v>0.85</c:v>
                </c:pt>
                <c:pt idx="1">
                  <c:v>0.6</c:v>
                </c:pt>
                <c:pt idx="2">
                  <c:v>0.45</c:v>
                </c:pt>
                <c:pt idx="3">
                  <c:v>0.7</c:v>
                </c:pt>
                <c:pt idx="4">
                  <c:v>0.6</c:v>
                </c:pt>
                <c:pt idx="5">
                  <c:v>0.85</c:v>
                </c:pt>
              </c:numCache>
            </c:numRef>
          </c:val>
        </c:ser>
        <c:ser>
          <c:idx val="2"/>
          <c:order val="2"/>
          <c:tx>
            <c:v>GR00T Full Fine-Tune</c:v>
          </c:tx>
          <c:spPr>
            <a:solidFill xmlns:a="http://schemas.openxmlformats.org/drawingml/2006/main">
              <a:srgbClr val="7C3AED"/>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Data'!$Q$10:$Q$15</c:f>
              <c:strCache>
                <c:ptCount val="6"/>
                <c:pt idx="0">
                  <c:v>State</c:v>
                </c:pt>
                <c:pt idx="1">
                  <c:v>Counting</c:v>
                </c:pt>
                <c:pt idx="2">
                  <c:v>Ordinal</c:v>
                </c:pt>
                <c:pt idx="3">
                  <c:v>Relational</c:v>
                </c:pt>
                <c:pt idx="4">
                  <c:v>Referential</c:v>
                </c:pt>
                <c:pt idx="5">
                  <c:v>Size</c:v>
                </c:pt>
              </c:strCache>
            </c:strRef>
          </c:cat>
          <c:val>
            <c:numRef>
              <c:f>'Analysis Data'!$T$10:$T$15</c:f>
              <c:numCache>
                <c:formatCode>0.0%</c:formatCode>
                <c:ptCount val="6"/>
                <c:pt idx="0">
                  <c:v>0.2</c:v>
                </c:pt>
                <c:pt idx="1">
                  <c:v>0.3684210526315789</c:v>
                </c:pt>
                <c:pt idx="2">
                  <c:v>0.15</c:v>
                </c:pt>
                <c:pt idx="3">
                  <c:v>0</c:v>
                </c:pt>
                <c:pt idx="4">
                  <c:v>0.2</c:v>
                </c:pt>
                <c:pt idx="5">
                  <c:v>0.35</c:v>
                </c:pt>
              </c:numCache>
            </c:numRef>
          </c:val>
        </c:ser>
        <c:ser>
          <c:idx val="3"/>
          <c:order val="3"/>
          <c:tx>
            <c:v>MolmoAct2</c:v>
          </c:tx>
          <c:spPr>
            <a:solidFill xmlns:a="http://schemas.openxmlformats.org/drawingml/2006/main">
              <a:srgbClr val="D97706"/>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Data'!$Q$10:$Q$15</c:f>
              <c:strCache>
                <c:ptCount val="6"/>
                <c:pt idx="0">
                  <c:v>State</c:v>
                </c:pt>
                <c:pt idx="1">
                  <c:v>Counting</c:v>
                </c:pt>
                <c:pt idx="2">
                  <c:v>Ordinal</c:v>
                </c:pt>
                <c:pt idx="3">
                  <c:v>Relational</c:v>
                </c:pt>
                <c:pt idx="4">
                  <c:v>Referential</c:v>
                </c:pt>
                <c:pt idx="5">
                  <c:v>Size</c:v>
                </c:pt>
              </c:strCache>
            </c:strRef>
          </c:cat>
          <c:val>
            <c:numRef>
              <c:f>'Analysis Data'!$U$10:$U$15</c:f>
              <c:numCache>
                <c:formatCode>0.0%</c:formatCode>
                <c:ptCount val="6"/>
                <c:pt idx="0">
                  <c:v>0.9</c:v>
                </c:pt>
                <c:pt idx="1">
                  <c:v>0.6</c:v>
                </c:pt>
                <c:pt idx="2">
                  <c:v>0.5</c:v>
                </c:pt>
                <c:pt idx="3">
                  <c:v>0.8</c:v>
                </c:pt>
                <c:pt idx="4">
                  <c:v>0.75</c:v>
                </c:pt>
                <c:pt idx="5">
                  <c:v>0.8</c:v>
                </c:pt>
              </c:numCache>
            </c:numRef>
          </c:val>
        </c:ser>
        <c:ser>
          <c:idx val="4"/>
          <c:order val="4"/>
          <c:tx>
            <c:v>Pi0.5</c:v>
          </c:tx>
          <c:spPr>
            <a:solidFill xmlns:a="http://schemas.openxmlformats.org/drawingml/2006/main">
              <a:srgbClr val="059669"/>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Data'!$Q$10:$Q$15</c:f>
              <c:strCache>
                <c:ptCount val="6"/>
                <c:pt idx="0">
                  <c:v>State</c:v>
                </c:pt>
                <c:pt idx="1">
                  <c:v>Counting</c:v>
                </c:pt>
                <c:pt idx="2">
                  <c:v>Ordinal</c:v>
                </c:pt>
                <c:pt idx="3">
                  <c:v>Relational</c:v>
                </c:pt>
                <c:pt idx="4">
                  <c:v>Referential</c:v>
                </c:pt>
                <c:pt idx="5">
                  <c:v>Size</c:v>
                </c:pt>
              </c:strCache>
            </c:strRef>
          </c:cat>
          <c:val>
            <c:numRef>
              <c:f>'Analysis Data'!$V$10:$V$15</c:f>
              <c:numCache>
                <c:formatCode>0.0%</c:formatCode>
                <c:ptCount val="6"/>
                <c:pt idx="0">
                  <c:v>0.8</c:v>
                </c:pt>
                <c:pt idx="1">
                  <c:v>0.55</c:v>
                </c:pt>
                <c:pt idx="2">
                  <c:v>0.35</c:v>
                </c:pt>
                <c:pt idx="3">
                  <c:v>0.65</c:v>
                </c:pt>
                <c:pt idx="4">
                  <c:v>0.8</c:v>
                </c:pt>
                <c:pt idx="5">
                  <c:v>0.95</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Offset val="10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900"/>
              <a:t>Concept transfer success by task</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manualLayout>
          <c:xMode val="edge"/>
          <c:yMode val="edge"/>
          <c:x val="0.09090891195418684"/>
          <c:y val="0.14"/>
          <c:w val="0.8181818181818182"/>
          <c:h val="0.6"/>
        </c:manualLayout>
      </c:layout>
      <c:barChart>
        <c:barDir val="col"/>
        <c:grouping val="clustered"/>
        <c:varyColors val="0"/>
        <c:ser>
          <c:idx val="0"/>
          <c:order val="0"/>
          <c:tx>
            <c:v>GR00T Frozen LLM</c:v>
          </c:tx>
          <c:spPr>
            <a:solidFill xmlns:a="http://schemas.openxmlformats.org/drawingml/2006/main">
              <a:srgbClr val="2563EB"/>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Data'!$Q$19:$Q$24</c:f>
              <c:strCache>
                <c:ptCount val="6"/>
                <c:pt idx="0">
                  <c:v>State</c:v>
                </c:pt>
                <c:pt idx="1">
                  <c:v>Counting</c:v>
                </c:pt>
                <c:pt idx="2">
                  <c:v>Ordinal</c:v>
                </c:pt>
                <c:pt idx="3">
                  <c:v>Relational</c:v>
                </c:pt>
                <c:pt idx="4">
                  <c:v>Referential</c:v>
                </c:pt>
                <c:pt idx="5">
                  <c:v>Size</c:v>
                </c:pt>
              </c:strCache>
            </c:strRef>
          </c:cat>
          <c:val>
            <c:numRef>
              <c:f>'Analysis Data'!$R$19:$R$24</c:f>
              <c:numCache>
                <c:formatCode>0.0%</c:formatCode>
                <c:ptCount val="6"/>
                <c:pt idx="0">
                  <c:v>0.34</c:v>
                </c:pt>
                <c:pt idx="1">
                  <c:v>0</c:v>
                </c:pt>
                <c:pt idx="2">
                  <c:v>0.42</c:v>
                </c:pt>
                <c:pt idx="3">
                  <c:v>0.78</c:v>
                </c:pt>
                <c:pt idx="4">
                  <c:v>0.54</c:v>
                </c:pt>
                <c:pt idx="5">
                  <c:v>0.58</c:v>
                </c:pt>
              </c:numCache>
            </c:numRef>
          </c:val>
        </c:ser>
        <c:ser>
          <c:idx val="1"/>
          <c:order val="1"/>
          <c:tx>
            <c:v>MolmoAct2</c:v>
          </c:tx>
          <c:spPr>
            <a:solidFill xmlns:a="http://schemas.openxmlformats.org/drawingml/2006/main">
              <a:srgbClr val="D97706"/>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Data'!$Q$19:$Q$24</c:f>
              <c:strCache>
                <c:ptCount val="6"/>
                <c:pt idx="0">
                  <c:v>State</c:v>
                </c:pt>
                <c:pt idx="1">
                  <c:v>Counting</c:v>
                </c:pt>
                <c:pt idx="2">
                  <c:v>Ordinal</c:v>
                </c:pt>
                <c:pt idx="3">
                  <c:v>Relational</c:v>
                </c:pt>
                <c:pt idx="4">
                  <c:v>Referential</c:v>
                </c:pt>
                <c:pt idx="5">
                  <c:v>Size</c:v>
                </c:pt>
              </c:strCache>
            </c:strRef>
          </c:cat>
          <c:val>
            <c:numRef>
              <c:f>'Analysis Data'!$S$19:$S$24</c:f>
              <c:numCache>
                <c:formatCode>0.0%</c:formatCode>
                <c:ptCount val="6"/>
                <c:pt idx="0">
                  <c:v>0.76</c:v>
                </c:pt>
                <c:pt idx="1">
                  <c:v>0</c:v>
                </c:pt>
                <c:pt idx="2">
                  <c:v>0.54</c:v>
                </c:pt>
                <c:pt idx="3">
                  <c:v>0.5</c:v>
                </c:pt>
                <c:pt idx="4">
                  <c:v>0.68</c:v>
                </c:pt>
                <c:pt idx="5">
                  <c:v>0.64</c:v>
                </c:pt>
              </c:numCache>
            </c:numRef>
          </c:val>
        </c:ser>
        <c:ser>
          <c:idx val="2"/>
          <c:order val="2"/>
          <c:tx>
            <c:v>Pi0.5</c:v>
          </c:tx>
          <c:spPr>
            <a:solidFill xmlns:a="http://schemas.openxmlformats.org/drawingml/2006/main">
              <a:srgbClr val="059669"/>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spPr>
              <a:noFill xmlns:a="http://schemas.openxmlformats.org/drawingml/2006/main"/>
              <a:ln xmlns:a="http://schemas.openxmlformats.org/drawingml/2006/main">
                <a:noFill/>
              </a:ln>
            </c:spPr>
            <c:showLegendKey val="1"/>
            <c:showVal val="1"/>
            <c:showCatName val="1"/>
            <c:showSerName val="1"/>
            <c:showPercent val="1"/>
            <c:showBubbleSize val="1"/>
            <c:showLeaderLines val="0"/>
          </c:dLbls>
          <c:cat>
            <c:strRef>
              <c:f>'Analysis Data'!$Q$19:$Q$24</c:f>
              <c:strCache>
                <c:ptCount val="6"/>
                <c:pt idx="0">
                  <c:v>State</c:v>
                </c:pt>
                <c:pt idx="1">
                  <c:v>Counting</c:v>
                </c:pt>
                <c:pt idx="2">
                  <c:v>Ordinal</c:v>
                </c:pt>
                <c:pt idx="3">
                  <c:v>Relational</c:v>
                </c:pt>
                <c:pt idx="4">
                  <c:v>Referential</c:v>
                </c:pt>
                <c:pt idx="5">
                  <c:v>Size</c:v>
                </c:pt>
              </c:strCache>
            </c:strRef>
          </c:cat>
          <c:val>
            <c:numRef>
              <c:f>'Analysis Data'!$T$19:$T$24</c:f>
              <c:numCache>
                <c:formatCode>0.0%</c:formatCode>
                <c:ptCount val="6"/>
                <c:pt idx="0">
                  <c:v>0.36</c:v>
                </c:pt>
                <c:pt idx="1">
                  <c:v>0</c:v>
                </c:pt>
                <c:pt idx="2">
                  <c:v>0.46</c:v>
                </c:pt>
                <c:pt idx="3">
                  <c:v>0.72</c:v>
                </c:pt>
                <c:pt idx="4">
                  <c:v>0.36</c:v>
                </c:pt>
                <c:pt idx="5">
                  <c:v>0.54</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Offset val="10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Counting</a:t>
            </a:r>
          </a:p>
        </c:rich>
      </c:tx>
      <c:overlay val="0"/>
    </c:title>
    <c:autoTitleDeleted val="0"/>
    <c:plotArea>
      <c:layout>
        <c:manualLayout>
          <c:xMode val="edge"/>
          <c:yMode val="edge"/>
          <c:x val="0.08778620998812409"/>
          <c:y val="0.22929936305732485"/>
          <c:w val="0.8244275800237518"/>
          <c:h val="0.5732484076433121"/>
        </c:manualLayout>
      </c:layout>
      <c:barChart>
        <c:barDir val="col"/>
        <c:grouping val="clustered"/>
        <c:varyColors val="0"/>
        <c:ser>
          <c:idx val="0"/>
          <c:order val="0"/>
          <c:tx>
            <c:v>VLA-0</c:v>
          </c:tx>
          <c:spPr>
            <a:solidFill xmlns:a="http://schemas.openxmlformats.org/drawingml/2006/main">
              <a:srgbClr val="747C8B"/>
            </a:solidFill>
            <a:ln xmlns:a="http://schemas.openxmlformats.org/drawingml/2006/main" w="25400">
              <a:noFill/>
            </a:ln>
          </c:spPr>
          <c:cat>
            <c:strRef>
              <c:f>'Task Charts'!$A$19</c:f>
              <c:strCache>
                <c:ptCount val="1"/>
                <c:pt idx="0">
                  <c:v>Rate</c:v>
                </c:pt>
              </c:strCache>
            </c:strRef>
          </c:cat>
          <c:val>
            <c:numRef>
              <c:f>'Task Charts'!$B$19</c:f>
              <c:numCache>
                <c:formatCode>0.0%</c:formatCode>
                <c:ptCount val="1"/>
                <c:pt idx="0">
                  <c:v>0</c:v>
                </c:pt>
              </c:numCache>
            </c:numRef>
          </c:val>
        </c:ser>
        <c:ser>
          <c:idx val="1"/>
          <c:order val="1"/>
          <c:tx>
            <c:v>GR00T Frozen LLM</c:v>
          </c:tx>
          <c:spPr>
            <a:solidFill xmlns:a="http://schemas.openxmlformats.org/drawingml/2006/main">
              <a:srgbClr val="2563EB"/>
            </a:solidFill>
            <a:ln xmlns:a="http://schemas.openxmlformats.org/drawingml/2006/main" w="25400">
              <a:noFill/>
            </a:ln>
          </c:spPr>
          <c:cat>
            <c:strRef>
              <c:f>'Task Charts'!$A$19</c:f>
              <c:strCache>
                <c:ptCount val="1"/>
                <c:pt idx="0">
                  <c:v>Rate</c:v>
                </c:pt>
              </c:strCache>
            </c:strRef>
          </c:cat>
          <c:val>
            <c:numRef>
              <c:f>'Task Charts'!$C$19</c:f>
              <c:numCache>
                <c:formatCode>0.0%</c:formatCode>
                <c:ptCount val="1"/>
                <c:pt idx="0">
                  <c:v>0.6</c:v>
                </c:pt>
              </c:numCache>
            </c:numRef>
          </c:val>
        </c:ser>
        <c:ser>
          <c:idx val="2"/>
          <c:order val="2"/>
          <c:tx>
            <c:v>GR00T Full Fine-Tune</c:v>
          </c:tx>
          <c:spPr>
            <a:solidFill xmlns:a="http://schemas.openxmlformats.org/drawingml/2006/main">
              <a:srgbClr val="7C3AED"/>
            </a:solidFill>
            <a:ln xmlns:a="http://schemas.openxmlformats.org/drawingml/2006/main" w="25400">
              <a:noFill/>
            </a:ln>
          </c:spPr>
          <c:cat>
            <c:strRef>
              <c:f>'Task Charts'!$A$19</c:f>
              <c:strCache>
                <c:ptCount val="1"/>
                <c:pt idx="0">
                  <c:v>Rate</c:v>
                </c:pt>
              </c:strCache>
            </c:strRef>
          </c:cat>
          <c:val>
            <c:numRef>
              <c:f>'Task Charts'!$D$19</c:f>
              <c:numCache>
                <c:formatCode>0.0%</c:formatCode>
                <c:ptCount val="1"/>
                <c:pt idx="0">
                  <c:v>0.3684210526315789</c:v>
                </c:pt>
              </c:numCache>
            </c:numRef>
          </c:val>
        </c:ser>
        <c:ser>
          <c:idx val="3"/>
          <c:order val="3"/>
          <c:tx>
            <c:v>MolmoAct2</c:v>
          </c:tx>
          <c:spPr>
            <a:solidFill xmlns:a="http://schemas.openxmlformats.org/drawingml/2006/main">
              <a:srgbClr val="E47700"/>
            </a:solidFill>
            <a:ln xmlns:a="http://schemas.openxmlformats.org/drawingml/2006/main" w="25400">
              <a:noFill/>
            </a:ln>
          </c:spPr>
          <c:cat>
            <c:strRef>
              <c:f>'Task Charts'!$A$19</c:f>
              <c:strCache>
                <c:ptCount val="1"/>
                <c:pt idx="0">
                  <c:v>Rate</c:v>
                </c:pt>
              </c:strCache>
            </c:strRef>
          </c:cat>
          <c:val>
            <c:numRef>
              <c:f>'Task Charts'!$E$19</c:f>
              <c:numCache>
                <c:formatCode>0.0%</c:formatCode>
                <c:ptCount val="1"/>
                <c:pt idx="0">
                  <c:v>0.6</c:v>
                </c:pt>
              </c:numCache>
            </c:numRef>
          </c:val>
        </c:ser>
        <c:ser>
          <c:idx val="4"/>
          <c:order val="4"/>
          <c:tx>
            <c:v>Pi0.5</c:v>
          </c:tx>
          <c:spPr>
            <a:solidFill xmlns:a="http://schemas.openxmlformats.org/drawingml/2006/main">
              <a:srgbClr val="07966F"/>
            </a:solidFill>
            <a:ln xmlns:a="http://schemas.openxmlformats.org/drawingml/2006/main" w="25400">
              <a:noFill/>
            </a:ln>
          </c:spPr>
          <c:cat>
            <c:strRef>
              <c:f>'Task Charts'!$A$19</c:f>
              <c:strCache>
                <c:ptCount val="1"/>
                <c:pt idx="0">
                  <c:v>Rate</c:v>
                </c:pt>
              </c:strCache>
            </c:strRef>
          </c:cat>
          <c:val>
            <c:numRef>
              <c:f>'Task Charts'!$F$19</c:f>
              <c:numCache>
                <c:formatCode>0.0%</c:formatCode>
                <c:ptCount val="1"/>
                <c:pt idx="0">
                  <c:v>0.55</c:v>
                </c:pt>
              </c:numCache>
            </c:numRef>
          </c:val>
        </c:ser>
        <c:dLbls>
          <c:showLegendKey val="0"/>
          <c:showVal val="0"/>
          <c:showCatName val="0"/>
          <c:showSerName val="0"/>
          <c:showPercent val="0"/>
          <c:showBubbleSize val="0"/>
        </c:dLbls>
        <c:gapWidth val="40"/>
        <c:overlap val="-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one"/>
        <c:spPr>
          <a:ln xmlns:a="http://schemas.openxmlformats.org/drawingml/2006/main" w="12700">
            <a:solidFill>
              <a:srgbClr val="000000"/>
            </a:solidFill>
            <a:prstDash val="solid"/>
          </a:ln>
        </c:spPr>
        <c:crossAx val="48672768"/>
        <c:crosses val="autoZero"/>
        <c:lblOffset val="100"/>
      </c:catAx>
      <c:valAx>
        <c:axId val="48672768"/>
        <c:scaling>
          <c:orientation val="minMax"/>
          <c:max val="1"/>
          <c:min val="0"/>
        </c:scaling>
        <c:delete val="0"/>
        <c:axPos val="l"/>
        <c:numFmt formatCode="0.0" sourceLinked="0"/>
        <c:majorTickMark val="out"/>
        <c:minorTickMark val="none"/>
        <c:tickLblPos val="nextTo"/>
        <c:spPr>
          <a:ln xmlns:a="http://schemas.openxmlformats.org/drawingml/2006/main" w="12700">
            <a:solidFill>
              <a:srgbClr val="000000"/>
            </a:solidFill>
            <a:prstDash val="solid"/>
          </a:ln>
        </c:spPr>
        <c:txPr>
          <a:bodyPr xmlns:a="http://schemas.openxmlformats.org/drawingml/2006/main" anchorCtr="1"/>
          <a:lstStyle xmlns:a="http://schemas.openxmlformats.org/drawingml/2006/main"/>
          <a:p xmlns:a="http://schemas.openxmlformats.org/drawingml/2006/main">
            <a:pPr>
              <a:defRPr sz="800">
                <a:solidFill>
                  <a:srgbClr val="000000"/>
                </a:solidFill>
                <a:latin typeface="Arial"/>
                <a:ea typeface="Arial"/>
                <a:cs typeface="Arial"/>
              </a:defRPr>
            </a:pPr>
          </a:p>
        </c:txPr>
        <c:crossAx val="48650112"/>
        <c:crosses val="autoZero"/>
        <c:crossBetween val="between"/>
        <c:majorUnit val="0.2"/>
      </c:valAx>
      <c:spPr>
        <a:solidFill xmlns:a="http://schemas.openxmlformats.org/drawingml/2006/main">
          <a:srgbClr val="FFFFFF"/>
        </a:solidFill>
        <a:ln xmlns:a="http://schemas.openxmlformats.org/drawingml/2006/main" w="12700">
          <a:solidFill>
            <a:srgbClr val="000000"/>
          </a:solidFill>
          <a:prstDash val="solid"/>
        </a:ln>
      </c:spPr>
    </c:plotArea>
    <c:plotVisOnly val="1"/>
  </c:chart>
  <c:spPr>
    <a:solidFill xmlns:a="http://schemas.openxmlformats.org/drawingml/2006/main">
      <a:srgbClr val="FFFFFF"/>
    </a:solidFill>
    <a:ln xmlns:a="http://schemas.openxmlformats.org/drawingml/2006/main" w="25400">
      <a:noFill/>
    </a:ln>
  </c:spPr>
</c:chartSpace>
</file>

<file path=xl/drawings/charts/chart6.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Ordinal Reference
Ordering</a:t>
            </a:r>
          </a:p>
        </c:rich>
      </c:tx>
      <c:overlay val="0"/>
    </c:title>
    <c:autoTitleDeleted val="0"/>
    <c:plotArea>
      <c:layout>
        <c:manualLayout>
          <c:xMode val="edge"/>
          <c:yMode val="edge"/>
          <c:x val="0.0884143552944005"/>
          <c:y val="0.22929936305732485"/>
          <c:w val="0.8231709293189287"/>
          <c:h val="0.5732484076433121"/>
        </c:manualLayout>
      </c:layout>
      <c:barChart>
        <c:barDir val="col"/>
        <c:grouping val="clustered"/>
        <c:varyColors val="0"/>
        <c:ser>
          <c:idx val="0"/>
          <c:order val="0"/>
          <c:tx>
            <c:v>VLA-0</c:v>
          </c:tx>
          <c:spPr>
            <a:solidFill xmlns:a="http://schemas.openxmlformats.org/drawingml/2006/main">
              <a:srgbClr val="747C8B"/>
            </a:solidFill>
            <a:ln xmlns:a="http://schemas.openxmlformats.org/drawingml/2006/main" w="25400">
              <a:noFill/>
            </a:ln>
          </c:spPr>
          <c:cat>
            <c:strRef>
              <c:f>'Task Charts'!$J$19</c:f>
              <c:strCache>
                <c:ptCount val="1"/>
                <c:pt idx="0">
                  <c:v>Rate</c:v>
                </c:pt>
              </c:strCache>
            </c:strRef>
          </c:cat>
          <c:val>
            <c:numRef>
              <c:f>'Task Charts'!$K$19</c:f>
              <c:numCache>
                <c:formatCode>0.0%</c:formatCode>
                <c:ptCount val="1"/>
                <c:pt idx="0">
                  <c:v>0</c:v>
                </c:pt>
              </c:numCache>
            </c:numRef>
          </c:val>
        </c:ser>
        <c:ser>
          <c:idx val="1"/>
          <c:order val="1"/>
          <c:tx>
            <c:v>GR00T Frozen LLM</c:v>
          </c:tx>
          <c:spPr>
            <a:solidFill xmlns:a="http://schemas.openxmlformats.org/drawingml/2006/main">
              <a:srgbClr val="2563EB"/>
            </a:solidFill>
            <a:ln xmlns:a="http://schemas.openxmlformats.org/drawingml/2006/main" w="25400">
              <a:noFill/>
            </a:ln>
          </c:spPr>
          <c:cat>
            <c:strRef>
              <c:f>'Task Charts'!$J$19</c:f>
              <c:strCache>
                <c:ptCount val="1"/>
                <c:pt idx="0">
                  <c:v>Rate</c:v>
                </c:pt>
              </c:strCache>
            </c:strRef>
          </c:cat>
          <c:val>
            <c:numRef>
              <c:f>'Task Charts'!$L$19</c:f>
              <c:numCache>
                <c:formatCode>0.0%</c:formatCode>
                <c:ptCount val="1"/>
                <c:pt idx="0">
                  <c:v>0.45</c:v>
                </c:pt>
              </c:numCache>
            </c:numRef>
          </c:val>
        </c:ser>
        <c:ser>
          <c:idx val="2"/>
          <c:order val="2"/>
          <c:tx>
            <c:v>GR00T Full Fine-Tune</c:v>
          </c:tx>
          <c:spPr>
            <a:solidFill xmlns:a="http://schemas.openxmlformats.org/drawingml/2006/main">
              <a:srgbClr val="7C3AED"/>
            </a:solidFill>
            <a:ln xmlns:a="http://schemas.openxmlformats.org/drawingml/2006/main" w="25400">
              <a:noFill/>
            </a:ln>
          </c:spPr>
          <c:cat>
            <c:strRef>
              <c:f>'Task Charts'!$J$19</c:f>
              <c:strCache>
                <c:ptCount val="1"/>
                <c:pt idx="0">
                  <c:v>Rate</c:v>
                </c:pt>
              </c:strCache>
            </c:strRef>
          </c:cat>
          <c:val>
            <c:numRef>
              <c:f>'Task Charts'!$M$19</c:f>
              <c:numCache>
                <c:formatCode>0.0%</c:formatCode>
                <c:ptCount val="1"/>
                <c:pt idx="0">
                  <c:v>0.15</c:v>
                </c:pt>
              </c:numCache>
            </c:numRef>
          </c:val>
        </c:ser>
        <c:ser>
          <c:idx val="3"/>
          <c:order val="3"/>
          <c:tx>
            <c:v>MolmoAct2</c:v>
          </c:tx>
          <c:spPr>
            <a:solidFill xmlns:a="http://schemas.openxmlformats.org/drawingml/2006/main">
              <a:srgbClr val="E47700"/>
            </a:solidFill>
            <a:ln xmlns:a="http://schemas.openxmlformats.org/drawingml/2006/main" w="25400">
              <a:noFill/>
            </a:ln>
          </c:spPr>
          <c:cat>
            <c:strRef>
              <c:f>'Task Charts'!$J$19</c:f>
              <c:strCache>
                <c:ptCount val="1"/>
                <c:pt idx="0">
                  <c:v>Rate</c:v>
                </c:pt>
              </c:strCache>
            </c:strRef>
          </c:cat>
          <c:val>
            <c:numRef>
              <c:f>'Task Charts'!$N$19</c:f>
              <c:numCache>
                <c:formatCode>0.0%</c:formatCode>
                <c:ptCount val="1"/>
                <c:pt idx="0">
                  <c:v>0.5</c:v>
                </c:pt>
              </c:numCache>
            </c:numRef>
          </c:val>
        </c:ser>
        <c:ser>
          <c:idx val="4"/>
          <c:order val="4"/>
          <c:tx>
            <c:v>Pi0.5</c:v>
          </c:tx>
          <c:spPr>
            <a:solidFill xmlns:a="http://schemas.openxmlformats.org/drawingml/2006/main">
              <a:srgbClr val="07966F"/>
            </a:solidFill>
            <a:ln xmlns:a="http://schemas.openxmlformats.org/drawingml/2006/main" w="25400">
              <a:noFill/>
            </a:ln>
          </c:spPr>
          <c:cat>
            <c:strRef>
              <c:f>'Task Charts'!$J$19</c:f>
              <c:strCache>
                <c:ptCount val="1"/>
                <c:pt idx="0">
                  <c:v>Rate</c:v>
                </c:pt>
              </c:strCache>
            </c:strRef>
          </c:cat>
          <c:val>
            <c:numRef>
              <c:f>'Task Charts'!$O$19</c:f>
              <c:numCache>
                <c:formatCode>0.0%</c:formatCode>
                <c:ptCount val="1"/>
                <c:pt idx="0">
                  <c:v>0.35</c:v>
                </c:pt>
              </c:numCache>
            </c:numRef>
          </c:val>
        </c:ser>
        <c:dLbls>
          <c:showLegendKey val="0"/>
          <c:showVal val="0"/>
          <c:showCatName val="0"/>
          <c:showSerName val="0"/>
          <c:showPercent val="0"/>
          <c:showBubbleSize val="0"/>
        </c:dLbls>
        <c:gapWidth val="40"/>
        <c:overlap val="-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one"/>
        <c:spPr>
          <a:ln xmlns:a="http://schemas.openxmlformats.org/drawingml/2006/main" w="12700">
            <a:solidFill>
              <a:srgbClr val="000000"/>
            </a:solidFill>
            <a:prstDash val="solid"/>
          </a:ln>
        </c:spPr>
        <c:crossAx val="48672768"/>
        <c:crosses val="autoZero"/>
        <c:lblOffset val="100"/>
      </c:catAx>
      <c:valAx>
        <c:axId val="48672768"/>
        <c:scaling>
          <c:orientation val="minMax"/>
          <c:max val="1"/>
          <c:min val="0"/>
        </c:scaling>
        <c:delete val="0"/>
        <c:axPos val="l"/>
        <c:numFmt formatCode="0.0" sourceLinked="0"/>
        <c:majorTickMark val="out"/>
        <c:minorTickMark val="none"/>
        <c:tickLblPos val="nextTo"/>
        <c:spPr>
          <a:ln xmlns:a="http://schemas.openxmlformats.org/drawingml/2006/main" w="12700">
            <a:solidFill>
              <a:srgbClr val="000000"/>
            </a:solidFill>
            <a:prstDash val="solid"/>
          </a:ln>
        </c:spPr>
        <c:txPr>
          <a:bodyPr xmlns:a="http://schemas.openxmlformats.org/drawingml/2006/main" anchorCtr="1"/>
          <a:lstStyle xmlns:a="http://schemas.openxmlformats.org/drawingml/2006/main"/>
          <a:p xmlns:a="http://schemas.openxmlformats.org/drawingml/2006/main">
            <a:pPr>
              <a:defRPr sz="800">
                <a:solidFill>
                  <a:srgbClr val="000000"/>
                </a:solidFill>
                <a:latin typeface="Arial"/>
                <a:ea typeface="Arial"/>
                <a:cs typeface="Arial"/>
              </a:defRPr>
            </a:pPr>
          </a:p>
        </c:txPr>
        <c:crossAx val="48650112"/>
        <c:crosses val="autoZero"/>
        <c:crossBetween val="between"/>
        <c:majorUnit val="0.2"/>
      </c:valAx>
      <c:spPr>
        <a:ln xmlns:a="http://schemas.openxmlformats.org/drawingml/2006/main" w="12700">
          <a:solidFill>
            <a:srgbClr val="000000"/>
          </a:solidFill>
          <a:prstDash val="solid"/>
        </a:ln>
      </c:spPr>
    </c:plotArea>
    <c:plotVisOnly val="1"/>
  </c:chart>
  <c:spPr>
    <a:solidFill xmlns:a="http://schemas.openxmlformats.org/drawingml/2006/main">
      <a:srgbClr val="FFFFFF"/>
    </a:solidFill>
    <a:ln xmlns:a="http://schemas.openxmlformats.org/drawingml/2006/main" w="25400">
      <a:noFill/>
    </a:ln>
  </c:spPr>
</c:chartSpace>
</file>

<file path=xl/drawings/charts/chart7.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Relational Placement</a:t>
            </a:r>
          </a:p>
        </c:rich>
      </c:tx>
      <c:overlay val="0"/>
    </c:title>
    <c:autoTitleDeleted val="0"/>
    <c:plotArea>
      <c:layout>
        <c:manualLayout>
          <c:xMode val="edge"/>
          <c:yMode val="edge"/>
          <c:x val="0.08778635864967022"/>
          <c:y val="0.22929936305732485"/>
          <c:w val="0.8244272827006593"/>
          <c:h val="0.5732484076433121"/>
        </c:manualLayout>
      </c:layout>
      <c:barChart>
        <c:barDir val="col"/>
        <c:grouping val="clustered"/>
        <c:varyColors val="0"/>
        <c:ser>
          <c:idx val="0"/>
          <c:order val="0"/>
          <c:tx>
            <c:v>VLA-0</c:v>
          </c:tx>
          <c:spPr>
            <a:solidFill xmlns:a="http://schemas.openxmlformats.org/drawingml/2006/main">
              <a:srgbClr val="747C8B"/>
            </a:solidFill>
            <a:ln xmlns:a="http://schemas.openxmlformats.org/drawingml/2006/main" w="25400">
              <a:noFill/>
            </a:ln>
          </c:spPr>
          <c:cat>
            <c:strRef>
              <c:f>'Task Charts'!$S$19</c:f>
              <c:strCache>
                <c:ptCount val="1"/>
                <c:pt idx="0">
                  <c:v>Rate</c:v>
                </c:pt>
              </c:strCache>
            </c:strRef>
          </c:cat>
          <c:val>
            <c:numRef>
              <c:f>'Task Charts'!$T$19</c:f>
              <c:numCache>
                <c:formatCode>0.0%</c:formatCode>
                <c:ptCount val="1"/>
                <c:pt idx="0">
                  <c:v>0</c:v>
                </c:pt>
              </c:numCache>
            </c:numRef>
          </c:val>
        </c:ser>
        <c:ser>
          <c:idx val="1"/>
          <c:order val="1"/>
          <c:tx>
            <c:v>GR00T Frozen LLM</c:v>
          </c:tx>
          <c:spPr>
            <a:solidFill xmlns:a="http://schemas.openxmlformats.org/drawingml/2006/main">
              <a:srgbClr val="2563EB"/>
            </a:solidFill>
            <a:ln xmlns:a="http://schemas.openxmlformats.org/drawingml/2006/main" w="25400">
              <a:noFill/>
            </a:ln>
          </c:spPr>
          <c:cat>
            <c:strRef>
              <c:f>'Task Charts'!$S$19</c:f>
              <c:strCache>
                <c:ptCount val="1"/>
                <c:pt idx="0">
                  <c:v>Rate</c:v>
                </c:pt>
              </c:strCache>
            </c:strRef>
          </c:cat>
          <c:val>
            <c:numRef>
              <c:f>'Task Charts'!$U$19</c:f>
              <c:numCache>
                <c:formatCode>0.0%</c:formatCode>
                <c:ptCount val="1"/>
                <c:pt idx="0">
                  <c:v>0.7</c:v>
                </c:pt>
              </c:numCache>
            </c:numRef>
          </c:val>
        </c:ser>
        <c:ser>
          <c:idx val="2"/>
          <c:order val="2"/>
          <c:tx>
            <c:v>GR00T Full Fine-Tune</c:v>
          </c:tx>
          <c:spPr>
            <a:solidFill xmlns:a="http://schemas.openxmlformats.org/drawingml/2006/main">
              <a:srgbClr val="7C3AED"/>
            </a:solidFill>
            <a:ln xmlns:a="http://schemas.openxmlformats.org/drawingml/2006/main" w="25400">
              <a:noFill/>
            </a:ln>
          </c:spPr>
          <c:cat>
            <c:strRef>
              <c:f>'Task Charts'!$S$19</c:f>
              <c:strCache>
                <c:ptCount val="1"/>
                <c:pt idx="0">
                  <c:v>Rate</c:v>
                </c:pt>
              </c:strCache>
            </c:strRef>
          </c:cat>
          <c:val>
            <c:numRef>
              <c:f>'Task Charts'!$V$19</c:f>
              <c:numCache>
                <c:formatCode>0.0%</c:formatCode>
                <c:ptCount val="1"/>
                <c:pt idx="0">
                  <c:v>0</c:v>
                </c:pt>
              </c:numCache>
            </c:numRef>
          </c:val>
        </c:ser>
        <c:ser>
          <c:idx val="3"/>
          <c:order val="3"/>
          <c:tx>
            <c:v>MolmoAct2</c:v>
          </c:tx>
          <c:spPr>
            <a:solidFill xmlns:a="http://schemas.openxmlformats.org/drawingml/2006/main">
              <a:srgbClr val="E47700"/>
            </a:solidFill>
            <a:ln xmlns:a="http://schemas.openxmlformats.org/drawingml/2006/main" w="25400">
              <a:noFill/>
            </a:ln>
          </c:spPr>
          <c:cat>
            <c:strRef>
              <c:f>'Task Charts'!$S$19</c:f>
              <c:strCache>
                <c:ptCount val="1"/>
                <c:pt idx="0">
                  <c:v>Rate</c:v>
                </c:pt>
              </c:strCache>
            </c:strRef>
          </c:cat>
          <c:val>
            <c:numRef>
              <c:f>'Task Charts'!$W$19</c:f>
              <c:numCache>
                <c:formatCode>0.0%</c:formatCode>
                <c:ptCount val="1"/>
                <c:pt idx="0">
                  <c:v>0.8</c:v>
                </c:pt>
              </c:numCache>
            </c:numRef>
          </c:val>
        </c:ser>
        <c:ser>
          <c:idx val="4"/>
          <c:order val="4"/>
          <c:tx>
            <c:v>Pi0.5</c:v>
          </c:tx>
          <c:spPr>
            <a:solidFill xmlns:a="http://schemas.openxmlformats.org/drawingml/2006/main">
              <a:srgbClr val="07966F"/>
            </a:solidFill>
            <a:ln xmlns:a="http://schemas.openxmlformats.org/drawingml/2006/main" w="25400">
              <a:noFill/>
            </a:ln>
          </c:spPr>
          <c:cat>
            <c:strRef>
              <c:f>'Task Charts'!$S$19</c:f>
              <c:strCache>
                <c:ptCount val="1"/>
                <c:pt idx="0">
                  <c:v>Rate</c:v>
                </c:pt>
              </c:strCache>
            </c:strRef>
          </c:cat>
          <c:val>
            <c:numRef>
              <c:f>'Task Charts'!$X$19</c:f>
              <c:numCache>
                <c:formatCode>0.0%</c:formatCode>
                <c:ptCount val="1"/>
                <c:pt idx="0">
                  <c:v>0.65</c:v>
                </c:pt>
              </c:numCache>
            </c:numRef>
          </c:val>
        </c:ser>
        <c:dLbls>
          <c:showLegendKey val="0"/>
          <c:showVal val="0"/>
          <c:showCatName val="0"/>
          <c:showSerName val="0"/>
          <c:showPercent val="0"/>
          <c:showBubbleSize val="0"/>
        </c:dLbls>
        <c:gapWidth val="40"/>
        <c:overlap val="-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one"/>
        <c:spPr>
          <a:ln xmlns:a="http://schemas.openxmlformats.org/drawingml/2006/main" w="12700">
            <a:solidFill>
              <a:srgbClr val="000000"/>
            </a:solidFill>
            <a:prstDash val="solid"/>
          </a:ln>
        </c:spPr>
        <c:crossAx val="48672768"/>
        <c:crosses val="autoZero"/>
        <c:lblOffset val="100"/>
      </c:catAx>
      <c:valAx>
        <c:axId val="48672768"/>
        <c:scaling>
          <c:orientation val="minMax"/>
          <c:max val="1"/>
          <c:min val="0"/>
        </c:scaling>
        <c:delete val="0"/>
        <c:axPos val="l"/>
        <c:numFmt formatCode="0.0" sourceLinked="0"/>
        <c:majorTickMark val="out"/>
        <c:minorTickMark val="none"/>
        <c:tickLblPos val="nextTo"/>
        <c:spPr>
          <a:ln xmlns:a="http://schemas.openxmlformats.org/drawingml/2006/main" w="12700">
            <a:solidFill>
              <a:srgbClr val="000000"/>
            </a:solidFill>
            <a:prstDash val="solid"/>
          </a:ln>
        </c:spPr>
        <c:txPr>
          <a:bodyPr xmlns:a="http://schemas.openxmlformats.org/drawingml/2006/main" anchorCtr="1"/>
          <a:lstStyle xmlns:a="http://schemas.openxmlformats.org/drawingml/2006/main"/>
          <a:p xmlns:a="http://schemas.openxmlformats.org/drawingml/2006/main">
            <a:pPr>
              <a:defRPr sz="800">
                <a:solidFill>
                  <a:srgbClr val="000000"/>
                </a:solidFill>
                <a:latin typeface="Arial"/>
                <a:ea typeface="Arial"/>
                <a:cs typeface="Arial"/>
              </a:defRPr>
            </a:pPr>
          </a:p>
        </c:txPr>
        <c:crossAx val="48650112"/>
        <c:crosses val="autoZero"/>
        <c:crossBetween val="between"/>
        <c:majorUnit val="0.2"/>
      </c:valAx>
      <c:spPr>
        <a:solidFill xmlns:a="http://schemas.openxmlformats.org/drawingml/2006/main">
          <a:srgbClr val="FFFFFF"/>
        </a:solidFill>
        <a:ln xmlns:a="http://schemas.openxmlformats.org/drawingml/2006/main" w="12700">
          <a:solidFill>
            <a:srgbClr val="000000"/>
          </a:solidFill>
          <a:prstDash val="solid"/>
        </a:ln>
      </c:spPr>
    </c:plotArea>
    <c:plotVisOnly val="1"/>
  </c:chart>
  <c:spPr>
    <a:solidFill xmlns:a="http://schemas.openxmlformats.org/drawingml/2006/main">
      <a:srgbClr val="FFFFFF"/>
    </a:solidFill>
    <a:ln xmlns:a="http://schemas.openxmlformats.org/drawingml/2006/main" w="25400">
      <a:noFill/>
    </a:ln>
  </c:spPr>
</c:chartSpace>
</file>

<file path=xl/drawings/charts/chart8.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State Recognition</a:t>
            </a:r>
          </a:p>
        </c:rich>
      </c:tx>
      <c:overlay val="0"/>
    </c:title>
    <c:autoTitleDeleted val="0"/>
    <c:plotArea>
      <c:layout>
        <c:manualLayout>
          <c:xMode val="edge"/>
          <c:yMode val="edge"/>
          <c:x val="0.08778602966713174"/>
          <c:y val="0.22929936305732485"/>
          <c:w val="0.8244275800237518"/>
          <c:h val="0.5732484076433121"/>
        </c:manualLayout>
      </c:layout>
      <c:barChart>
        <c:barDir val="col"/>
        <c:grouping val="clustered"/>
        <c:varyColors val="0"/>
        <c:ser>
          <c:idx val="0"/>
          <c:order val="0"/>
          <c:tx>
            <c:v>VLA-0</c:v>
          </c:tx>
          <c:spPr>
            <a:solidFill xmlns:a="http://schemas.openxmlformats.org/drawingml/2006/main">
              <a:srgbClr val="747C8B"/>
            </a:solidFill>
            <a:ln xmlns:a="http://schemas.openxmlformats.org/drawingml/2006/main" w="25400">
              <a:noFill/>
            </a:ln>
          </c:spPr>
          <c:cat>
            <c:strRef>
              <c:f>'Task Charts'!$A$43</c:f>
              <c:strCache>
                <c:ptCount val="1"/>
                <c:pt idx="0">
                  <c:v>Rate</c:v>
                </c:pt>
              </c:strCache>
            </c:strRef>
          </c:cat>
          <c:val>
            <c:numRef>
              <c:f>'Task Charts'!$B$43</c:f>
              <c:numCache>
                <c:formatCode>0.0%</c:formatCode>
                <c:ptCount val="1"/>
                <c:pt idx="0">
                  <c:v>0</c:v>
                </c:pt>
              </c:numCache>
            </c:numRef>
          </c:val>
        </c:ser>
        <c:ser>
          <c:idx val="1"/>
          <c:order val="1"/>
          <c:tx>
            <c:v>GR00T Frozen LLM</c:v>
          </c:tx>
          <c:spPr>
            <a:solidFill xmlns:a="http://schemas.openxmlformats.org/drawingml/2006/main">
              <a:srgbClr val="2563EB"/>
            </a:solidFill>
            <a:ln xmlns:a="http://schemas.openxmlformats.org/drawingml/2006/main" w="25400">
              <a:noFill/>
            </a:ln>
          </c:spPr>
          <c:cat>
            <c:strRef>
              <c:f>'Task Charts'!$A$43</c:f>
              <c:strCache>
                <c:ptCount val="1"/>
                <c:pt idx="0">
                  <c:v>Rate</c:v>
                </c:pt>
              </c:strCache>
            </c:strRef>
          </c:cat>
          <c:val>
            <c:numRef>
              <c:f>'Task Charts'!$C$43</c:f>
              <c:numCache>
                <c:formatCode>0.0%</c:formatCode>
                <c:ptCount val="1"/>
                <c:pt idx="0">
                  <c:v>0.85</c:v>
                </c:pt>
              </c:numCache>
            </c:numRef>
          </c:val>
        </c:ser>
        <c:ser>
          <c:idx val="2"/>
          <c:order val="2"/>
          <c:tx>
            <c:v>GR00T Full Fine-Tune</c:v>
          </c:tx>
          <c:spPr>
            <a:solidFill xmlns:a="http://schemas.openxmlformats.org/drawingml/2006/main">
              <a:srgbClr val="7C3AED"/>
            </a:solidFill>
            <a:ln xmlns:a="http://schemas.openxmlformats.org/drawingml/2006/main" w="25400">
              <a:noFill/>
            </a:ln>
          </c:spPr>
          <c:cat>
            <c:strRef>
              <c:f>'Task Charts'!$A$43</c:f>
              <c:strCache>
                <c:ptCount val="1"/>
                <c:pt idx="0">
                  <c:v>Rate</c:v>
                </c:pt>
              </c:strCache>
            </c:strRef>
          </c:cat>
          <c:val>
            <c:numRef>
              <c:f>'Task Charts'!$D$43</c:f>
              <c:numCache>
                <c:formatCode>0.0%</c:formatCode>
                <c:ptCount val="1"/>
                <c:pt idx="0">
                  <c:v>0.2</c:v>
                </c:pt>
              </c:numCache>
            </c:numRef>
          </c:val>
        </c:ser>
        <c:ser>
          <c:idx val="3"/>
          <c:order val="3"/>
          <c:tx>
            <c:v>MolmoAct2</c:v>
          </c:tx>
          <c:spPr>
            <a:solidFill xmlns:a="http://schemas.openxmlformats.org/drawingml/2006/main">
              <a:srgbClr val="E47700"/>
            </a:solidFill>
            <a:ln xmlns:a="http://schemas.openxmlformats.org/drawingml/2006/main" w="25400">
              <a:noFill/>
            </a:ln>
          </c:spPr>
          <c:cat>
            <c:strRef>
              <c:f>'Task Charts'!$A$43</c:f>
              <c:strCache>
                <c:ptCount val="1"/>
                <c:pt idx="0">
                  <c:v>Rate</c:v>
                </c:pt>
              </c:strCache>
            </c:strRef>
          </c:cat>
          <c:val>
            <c:numRef>
              <c:f>'Task Charts'!$E$43</c:f>
              <c:numCache>
                <c:formatCode>0.0%</c:formatCode>
                <c:ptCount val="1"/>
                <c:pt idx="0">
                  <c:v>0.9</c:v>
                </c:pt>
              </c:numCache>
            </c:numRef>
          </c:val>
        </c:ser>
        <c:ser>
          <c:idx val="4"/>
          <c:order val="4"/>
          <c:tx>
            <c:v>Pi0.5</c:v>
          </c:tx>
          <c:spPr>
            <a:solidFill xmlns:a="http://schemas.openxmlformats.org/drawingml/2006/main">
              <a:srgbClr val="07966F"/>
            </a:solidFill>
            <a:ln xmlns:a="http://schemas.openxmlformats.org/drawingml/2006/main" w="25400">
              <a:noFill/>
            </a:ln>
          </c:spPr>
          <c:cat>
            <c:strRef>
              <c:f>'Task Charts'!$A$43</c:f>
              <c:strCache>
                <c:ptCount val="1"/>
                <c:pt idx="0">
                  <c:v>Rate</c:v>
                </c:pt>
              </c:strCache>
            </c:strRef>
          </c:cat>
          <c:val>
            <c:numRef>
              <c:f>'Task Charts'!$F$43</c:f>
              <c:numCache>
                <c:formatCode>0.0%</c:formatCode>
                <c:ptCount val="1"/>
                <c:pt idx="0">
                  <c:v>0.8</c:v>
                </c:pt>
              </c:numCache>
            </c:numRef>
          </c:val>
        </c:ser>
        <c:dLbls>
          <c:showLegendKey val="0"/>
          <c:showVal val="0"/>
          <c:showCatName val="0"/>
          <c:showSerName val="0"/>
          <c:showPercent val="0"/>
          <c:showBubbleSize val="0"/>
        </c:dLbls>
        <c:gapWidth val="40"/>
        <c:overlap val="-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one"/>
        <c:spPr>
          <a:ln xmlns:a="http://schemas.openxmlformats.org/drawingml/2006/main" w="12700">
            <a:solidFill>
              <a:srgbClr val="000000"/>
            </a:solidFill>
            <a:prstDash val="solid"/>
          </a:ln>
        </c:spPr>
        <c:crossAx val="48672768"/>
        <c:crosses val="autoZero"/>
        <c:lblOffset val="100"/>
      </c:catAx>
      <c:valAx>
        <c:axId val="48672768"/>
        <c:scaling>
          <c:orientation val="minMax"/>
          <c:max val="1"/>
          <c:min val="0"/>
        </c:scaling>
        <c:delete val="0"/>
        <c:axPos val="l"/>
        <c:numFmt formatCode="0.0" sourceLinked="0"/>
        <c:majorTickMark val="out"/>
        <c:minorTickMark val="none"/>
        <c:tickLblPos val="nextTo"/>
        <c:spPr>
          <a:ln xmlns:a="http://schemas.openxmlformats.org/drawingml/2006/main" w="12700">
            <a:solidFill>
              <a:srgbClr val="000000"/>
            </a:solidFill>
            <a:prstDash val="solid"/>
          </a:ln>
        </c:spPr>
        <c:txPr>
          <a:bodyPr xmlns:a="http://schemas.openxmlformats.org/drawingml/2006/main" anchorCtr="1"/>
          <a:lstStyle xmlns:a="http://schemas.openxmlformats.org/drawingml/2006/main"/>
          <a:p xmlns:a="http://schemas.openxmlformats.org/drawingml/2006/main">
            <a:pPr>
              <a:defRPr sz="800">
                <a:solidFill>
                  <a:srgbClr val="000000"/>
                </a:solidFill>
                <a:latin typeface="Arial"/>
                <a:ea typeface="Arial"/>
                <a:cs typeface="Arial"/>
              </a:defRPr>
            </a:pPr>
          </a:p>
        </c:txPr>
        <c:crossAx val="48650112"/>
        <c:crosses val="autoZero"/>
        <c:crossBetween val="between"/>
        <c:majorUnit val="0.2"/>
      </c:valAx>
      <c:spPr>
        <a:solidFill xmlns:a="http://schemas.openxmlformats.org/drawingml/2006/main">
          <a:srgbClr val="FFFFFF"/>
        </a:solidFill>
        <a:ln xmlns:a="http://schemas.openxmlformats.org/drawingml/2006/main" w="12700">
          <a:solidFill>
            <a:srgbClr val="000000"/>
          </a:solidFill>
          <a:prstDash val="solid"/>
        </a:ln>
      </c:spPr>
    </c:plotArea>
    <c:plotVisOnly val="1"/>
  </c:chart>
  <c:spPr>
    <a:solidFill xmlns:a="http://schemas.openxmlformats.org/drawingml/2006/main">
      <a:srgbClr val="FFFFFF"/>
    </a:solidFill>
    <a:ln xmlns:a="http://schemas.openxmlformats.org/drawingml/2006/main" w="25400">
      <a:noFill/>
    </a:ln>
  </c:spPr>
</c:chartSpace>
</file>

<file path=xl/drawings/charts/chart9.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Size Recognition</a:t>
            </a:r>
          </a:p>
        </c:rich>
      </c:tx>
      <c:overlay val="0"/>
    </c:title>
    <c:autoTitleDeleted val="0"/>
    <c:plotArea>
      <c:layout>
        <c:manualLayout>
          <c:xMode val="edge"/>
          <c:yMode val="edge"/>
          <c:x val="0.09337326787938316"/>
          <c:y val="0.22929936305732485"/>
          <c:w val="0.8132531084874666"/>
          <c:h val="0.5732484076433121"/>
        </c:manualLayout>
      </c:layout>
      <c:barChart>
        <c:barDir val="col"/>
        <c:grouping val="clustered"/>
        <c:varyColors val="0"/>
        <c:ser>
          <c:idx val="0"/>
          <c:order val="0"/>
          <c:tx>
            <c:v>VLA-0</c:v>
          </c:tx>
          <c:spPr>
            <a:solidFill xmlns:a="http://schemas.openxmlformats.org/drawingml/2006/main">
              <a:srgbClr val="747C8B"/>
            </a:solidFill>
            <a:ln xmlns:a="http://schemas.openxmlformats.org/drawingml/2006/main" w="25400">
              <a:noFill/>
            </a:ln>
          </c:spPr>
          <c:cat>
            <c:strRef>
              <c:f>'Task Charts'!$J$43</c:f>
              <c:strCache>
                <c:ptCount val="1"/>
                <c:pt idx="0">
                  <c:v>Rate</c:v>
                </c:pt>
              </c:strCache>
            </c:strRef>
          </c:cat>
          <c:val>
            <c:numRef>
              <c:f>'Task Charts'!$K$43</c:f>
              <c:numCache>
                <c:formatCode>0.0%</c:formatCode>
                <c:ptCount val="1"/>
                <c:pt idx="0">
                  <c:v>0</c:v>
                </c:pt>
              </c:numCache>
            </c:numRef>
          </c:val>
        </c:ser>
        <c:ser>
          <c:idx val="1"/>
          <c:order val="1"/>
          <c:tx>
            <c:v>GR00T Frozen LLM</c:v>
          </c:tx>
          <c:spPr>
            <a:solidFill xmlns:a="http://schemas.openxmlformats.org/drawingml/2006/main">
              <a:srgbClr val="2563EB"/>
            </a:solidFill>
            <a:ln xmlns:a="http://schemas.openxmlformats.org/drawingml/2006/main" w="25400">
              <a:noFill/>
            </a:ln>
          </c:spPr>
          <c:cat>
            <c:strRef>
              <c:f>'Task Charts'!$J$43</c:f>
              <c:strCache>
                <c:ptCount val="1"/>
                <c:pt idx="0">
                  <c:v>Rate</c:v>
                </c:pt>
              </c:strCache>
            </c:strRef>
          </c:cat>
          <c:val>
            <c:numRef>
              <c:f>'Task Charts'!$L$43</c:f>
              <c:numCache>
                <c:formatCode>0.0%</c:formatCode>
                <c:ptCount val="1"/>
                <c:pt idx="0">
                  <c:v>0.85</c:v>
                </c:pt>
              </c:numCache>
            </c:numRef>
          </c:val>
        </c:ser>
        <c:ser>
          <c:idx val="2"/>
          <c:order val="2"/>
          <c:tx>
            <c:v>GR00T Full Fine-Tune</c:v>
          </c:tx>
          <c:spPr>
            <a:solidFill xmlns:a="http://schemas.openxmlformats.org/drawingml/2006/main">
              <a:srgbClr val="7C3AED"/>
            </a:solidFill>
            <a:ln xmlns:a="http://schemas.openxmlformats.org/drawingml/2006/main" w="25400">
              <a:noFill/>
            </a:ln>
          </c:spPr>
          <c:cat>
            <c:strRef>
              <c:f>'Task Charts'!$J$43</c:f>
              <c:strCache>
                <c:ptCount val="1"/>
                <c:pt idx="0">
                  <c:v>Rate</c:v>
                </c:pt>
              </c:strCache>
            </c:strRef>
          </c:cat>
          <c:val>
            <c:numRef>
              <c:f>'Task Charts'!$M$43</c:f>
              <c:numCache>
                <c:formatCode>0.0%</c:formatCode>
                <c:ptCount val="1"/>
                <c:pt idx="0">
                  <c:v>0.35</c:v>
                </c:pt>
              </c:numCache>
            </c:numRef>
          </c:val>
        </c:ser>
        <c:ser>
          <c:idx val="3"/>
          <c:order val="3"/>
          <c:tx>
            <c:v>MolmoAct2</c:v>
          </c:tx>
          <c:spPr>
            <a:solidFill xmlns:a="http://schemas.openxmlformats.org/drawingml/2006/main">
              <a:srgbClr val="E47700"/>
            </a:solidFill>
            <a:ln xmlns:a="http://schemas.openxmlformats.org/drawingml/2006/main" w="25400">
              <a:noFill/>
            </a:ln>
          </c:spPr>
          <c:cat>
            <c:strRef>
              <c:f>'Task Charts'!$J$43</c:f>
              <c:strCache>
                <c:ptCount val="1"/>
                <c:pt idx="0">
                  <c:v>Rate</c:v>
                </c:pt>
              </c:strCache>
            </c:strRef>
          </c:cat>
          <c:val>
            <c:numRef>
              <c:f>'Task Charts'!$N$43</c:f>
              <c:numCache>
                <c:formatCode>0.0%</c:formatCode>
                <c:ptCount val="1"/>
                <c:pt idx="0">
                  <c:v>0.8</c:v>
                </c:pt>
              </c:numCache>
            </c:numRef>
          </c:val>
        </c:ser>
        <c:ser>
          <c:idx val="4"/>
          <c:order val="4"/>
          <c:tx>
            <c:v>Pi0.5</c:v>
          </c:tx>
          <c:spPr>
            <a:solidFill xmlns:a="http://schemas.openxmlformats.org/drawingml/2006/main">
              <a:srgbClr val="07966F"/>
            </a:solidFill>
            <a:ln xmlns:a="http://schemas.openxmlformats.org/drawingml/2006/main" w="25400">
              <a:noFill/>
            </a:ln>
          </c:spPr>
          <c:cat>
            <c:strRef>
              <c:f>'Task Charts'!$J$43</c:f>
              <c:strCache>
                <c:ptCount val="1"/>
                <c:pt idx="0">
                  <c:v>Rate</c:v>
                </c:pt>
              </c:strCache>
            </c:strRef>
          </c:cat>
          <c:val>
            <c:numRef>
              <c:f>'Task Charts'!$O$43</c:f>
              <c:numCache>
                <c:formatCode>0.0%</c:formatCode>
                <c:ptCount val="1"/>
                <c:pt idx="0">
                  <c:v>0.95</c:v>
                </c:pt>
              </c:numCache>
            </c:numRef>
          </c:val>
        </c:ser>
        <c:dLbls>
          <c:showLegendKey val="0"/>
          <c:showVal val="0"/>
          <c:showCatName val="0"/>
          <c:showSerName val="0"/>
          <c:showPercent val="0"/>
          <c:showBubbleSize val="0"/>
        </c:dLbls>
        <c:gapWidth val="40"/>
        <c:overlap val="-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one"/>
        <c:spPr>
          <a:ln xmlns:a="http://schemas.openxmlformats.org/drawingml/2006/main" w="12700">
            <a:solidFill>
              <a:srgbClr val="000000"/>
            </a:solidFill>
            <a:prstDash val="solid"/>
          </a:ln>
        </c:spPr>
        <c:crossAx val="48672768"/>
        <c:crosses val="autoZero"/>
        <c:lblOffset val="100"/>
      </c:catAx>
      <c:valAx>
        <c:axId val="48672768"/>
        <c:scaling>
          <c:orientation val="minMax"/>
          <c:max val="1"/>
          <c:min val="0"/>
        </c:scaling>
        <c:delete val="0"/>
        <c:axPos val="l"/>
        <c:numFmt formatCode="0.0" sourceLinked="0"/>
        <c:majorTickMark val="out"/>
        <c:minorTickMark val="none"/>
        <c:tickLblPos val="nextTo"/>
        <c:spPr>
          <a:ln xmlns:a="http://schemas.openxmlformats.org/drawingml/2006/main" w="12700">
            <a:solidFill>
              <a:srgbClr val="000000"/>
            </a:solidFill>
            <a:prstDash val="solid"/>
          </a:ln>
        </c:spPr>
        <c:txPr>
          <a:bodyPr xmlns:a="http://schemas.openxmlformats.org/drawingml/2006/main" anchorCtr="1"/>
          <a:lstStyle xmlns:a="http://schemas.openxmlformats.org/drawingml/2006/main"/>
          <a:p xmlns:a="http://schemas.openxmlformats.org/drawingml/2006/main">
            <a:pPr>
              <a:defRPr sz="800">
                <a:solidFill>
                  <a:srgbClr val="000000"/>
                </a:solidFill>
                <a:latin typeface="Arial"/>
                <a:ea typeface="Arial"/>
                <a:cs typeface="Arial"/>
              </a:defRPr>
            </a:pPr>
          </a:p>
        </c:txPr>
        <c:crossAx val="48650112"/>
        <c:crosses val="autoZero"/>
        <c:crossBetween val="between"/>
        <c:majorUnit val="0.2"/>
      </c:valAx>
      <c:spPr>
        <a:solidFill xmlns:a="http://schemas.openxmlformats.org/drawingml/2006/main">
          <a:srgbClr val="FFFFFF"/>
        </a:solidFill>
        <a:ln xmlns:a="http://schemas.openxmlformats.org/drawingml/2006/main" w="12700">
          <a:solidFill>
            <a:srgbClr val="000000"/>
          </a:solidFill>
          <a:prstDash val="solid"/>
        </a:ln>
      </c:spPr>
    </c:plotArea>
    <c:plotVisOnly val="1"/>
  </c:chart>
  <c:spPr>
    <a:solidFill xmlns:a="http://schemas.openxmlformats.org/drawingml/2006/main">
      <a:srgbClr val="FFFFFF"/>
    </a:solidFill>
    <a:ln xmlns:a="http://schemas.openxmlformats.org/drawingml/2006/main" w="25400">
      <a:noFill/>
    </a:ln>
  </c:spPr>
</c:chartSpace>
</file>

<file path=xl/drawings/charts/chart10.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Referential
Disambiguation</a:t>
            </a:r>
          </a:p>
        </c:rich>
      </c:tx>
      <c:overlay val="0"/>
    </c:title>
    <c:autoTitleDeleted val="0"/>
    <c:plotArea>
      <c:layout>
        <c:manualLayout>
          <c:xMode val="edge"/>
          <c:yMode val="edge"/>
          <c:x val="0.09337326787938456"/>
          <c:y val="0.22929936305732485"/>
          <c:w val="0.8132531084874666"/>
          <c:h val="0.5732484076433121"/>
        </c:manualLayout>
      </c:layout>
      <c:barChart>
        <c:barDir val="col"/>
        <c:grouping val="clustered"/>
        <c:varyColors val="0"/>
        <c:ser>
          <c:idx val="0"/>
          <c:order val="0"/>
          <c:tx>
            <c:v>VLA-0</c:v>
          </c:tx>
          <c:spPr>
            <a:solidFill xmlns:a="http://schemas.openxmlformats.org/drawingml/2006/main">
              <a:srgbClr val="747C8B"/>
            </a:solidFill>
            <a:ln xmlns:a="http://schemas.openxmlformats.org/drawingml/2006/main" w="25400">
              <a:noFill/>
            </a:ln>
          </c:spPr>
          <c:cat>
            <c:strRef>
              <c:f>'Task Charts'!$S$43</c:f>
              <c:strCache>
                <c:ptCount val="1"/>
                <c:pt idx="0">
                  <c:v>Rate</c:v>
                </c:pt>
              </c:strCache>
            </c:strRef>
          </c:cat>
          <c:val>
            <c:numRef>
              <c:f>'Task Charts'!$T$43</c:f>
              <c:numCache>
                <c:formatCode>0.0%</c:formatCode>
                <c:ptCount val="1"/>
                <c:pt idx="0">
                  <c:v>0</c:v>
                </c:pt>
              </c:numCache>
            </c:numRef>
          </c:val>
        </c:ser>
        <c:ser>
          <c:idx val="1"/>
          <c:order val="1"/>
          <c:tx>
            <c:v>GR00T Frozen LLM</c:v>
          </c:tx>
          <c:spPr>
            <a:solidFill xmlns:a="http://schemas.openxmlformats.org/drawingml/2006/main">
              <a:srgbClr val="2563EB"/>
            </a:solidFill>
            <a:ln xmlns:a="http://schemas.openxmlformats.org/drawingml/2006/main" w="25400">
              <a:noFill/>
            </a:ln>
          </c:spPr>
          <c:cat>
            <c:strRef>
              <c:f>'Task Charts'!$S$43</c:f>
              <c:strCache>
                <c:ptCount val="1"/>
                <c:pt idx="0">
                  <c:v>Rate</c:v>
                </c:pt>
              </c:strCache>
            </c:strRef>
          </c:cat>
          <c:val>
            <c:numRef>
              <c:f>'Task Charts'!$U$43</c:f>
              <c:numCache>
                <c:formatCode>0.0%</c:formatCode>
                <c:ptCount val="1"/>
                <c:pt idx="0">
                  <c:v>0.6</c:v>
                </c:pt>
              </c:numCache>
            </c:numRef>
          </c:val>
        </c:ser>
        <c:ser>
          <c:idx val="2"/>
          <c:order val="2"/>
          <c:tx>
            <c:v>GR00T Full Fine-Tune</c:v>
          </c:tx>
          <c:spPr>
            <a:solidFill xmlns:a="http://schemas.openxmlformats.org/drawingml/2006/main">
              <a:srgbClr val="7C3AED"/>
            </a:solidFill>
            <a:ln xmlns:a="http://schemas.openxmlformats.org/drawingml/2006/main" w="25400">
              <a:noFill/>
            </a:ln>
          </c:spPr>
          <c:cat>
            <c:strRef>
              <c:f>'Task Charts'!$S$43</c:f>
              <c:strCache>
                <c:ptCount val="1"/>
                <c:pt idx="0">
                  <c:v>Rate</c:v>
                </c:pt>
              </c:strCache>
            </c:strRef>
          </c:cat>
          <c:val>
            <c:numRef>
              <c:f>'Task Charts'!$V$43</c:f>
              <c:numCache>
                <c:formatCode>0.0%</c:formatCode>
                <c:ptCount val="1"/>
                <c:pt idx="0">
                  <c:v>0.2</c:v>
                </c:pt>
              </c:numCache>
            </c:numRef>
          </c:val>
        </c:ser>
        <c:ser>
          <c:idx val="3"/>
          <c:order val="3"/>
          <c:tx>
            <c:v>MolmoAct2</c:v>
          </c:tx>
          <c:spPr>
            <a:solidFill xmlns:a="http://schemas.openxmlformats.org/drawingml/2006/main">
              <a:srgbClr val="E47700"/>
            </a:solidFill>
            <a:ln xmlns:a="http://schemas.openxmlformats.org/drawingml/2006/main" w="25400">
              <a:noFill/>
            </a:ln>
          </c:spPr>
          <c:cat>
            <c:strRef>
              <c:f>'Task Charts'!$S$43</c:f>
              <c:strCache>
                <c:ptCount val="1"/>
                <c:pt idx="0">
                  <c:v>Rate</c:v>
                </c:pt>
              </c:strCache>
            </c:strRef>
          </c:cat>
          <c:val>
            <c:numRef>
              <c:f>'Task Charts'!$W$43</c:f>
              <c:numCache>
                <c:formatCode>0.0%</c:formatCode>
                <c:ptCount val="1"/>
                <c:pt idx="0">
                  <c:v>0.75</c:v>
                </c:pt>
              </c:numCache>
            </c:numRef>
          </c:val>
        </c:ser>
        <c:ser>
          <c:idx val="4"/>
          <c:order val="4"/>
          <c:tx>
            <c:v>Pi0.5</c:v>
          </c:tx>
          <c:spPr>
            <a:solidFill xmlns:a="http://schemas.openxmlformats.org/drawingml/2006/main">
              <a:srgbClr val="07966F"/>
            </a:solidFill>
            <a:ln xmlns:a="http://schemas.openxmlformats.org/drawingml/2006/main" w="25400">
              <a:noFill/>
            </a:ln>
          </c:spPr>
          <c:cat>
            <c:strRef>
              <c:f>'Task Charts'!$S$43</c:f>
              <c:strCache>
                <c:ptCount val="1"/>
                <c:pt idx="0">
                  <c:v>Rate</c:v>
                </c:pt>
              </c:strCache>
            </c:strRef>
          </c:cat>
          <c:val>
            <c:numRef>
              <c:f>'Task Charts'!$X$43</c:f>
              <c:numCache>
                <c:formatCode>0.0%</c:formatCode>
                <c:ptCount val="1"/>
                <c:pt idx="0">
                  <c:v>0.8</c:v>
                </c:pt>
              </c:numCache>
            </c:numRef>
          </c:val>
        </c:ser>
        <c:dLbls>
          <c:showLegendKey val="0"/>
          <c:showVal val="0"/>
          <c:showCatName val="0"/>
          <c:showSerName val="0"/>
          <c:showPercent val="0"/>
          <c:showBubbleSize val="0"/>
        </c:dLbls>
        <c:gapWidth val="40"/>
        <c:overlap val="-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one"/>
        <c:spPr>
          <a:ln xmlns:a="http://schemas.openxmlformats.org/drawingml/2006/main" w="12700">
            <a:solidFill>
              <a:srgbClr val="000000"/>
            </a:solidFill>
            <a:prstDash val="solid"/>
          </a:ln>
        </c:spPr>
        <c:crossAx val="48672768"/>
        <c:crosses val="autoZero"/>
        <c:lblOffset val="100"/>
      </c:catAx>
      <c:valAx>
        <c:axId val="48672768"/>
        <c:scaling>
          <c:orientation val="minMax"/>
          <c:max val="1"/>
          <c:min val="0"/>
        </c:scaling>
        <c:delete val="0"/>
        <c:axPos val="l"/>
        <c:numFmt formatCode="0.0" sourceLinked="0"/>
        <c:majorTickMark val="out"/>
        <c:minorTickMark val="none"/>
        <c:tickLblPos val="nextTo"/>
        <c:spPr>
          <a:ln xmlns:a="http://schemas.openxmlformats.org/drawingml/2006/main" w="12700">
            <a:solidFill>
              <a:srgbClr val="000000"/>
            </a:solidFill>
            <a:prstDash val="solid"/>
          </a:ln>
        </c:spPr>
        <c:txPr>
          <a:bodyPr xmlns:a="http://schemas.openxmlformats.org/drawingml/2006/main" anchorCtr="1"/>
          <a:lstStyle xmlns:a="http://schemas.openxmlformats.org/drawingml/2006/main"/>
          <a:p xmlns:a="http://schemas.openxmlformats.org/drawingml/2006/main">
            <a:pPr>
              <a:defRPr sz="800">
                <a:solidFill>
                  <a:srgbClr val="000000"/>
                </a:solidFill>
                <a:latin typeface="Arial"/>
                <a:ea typeface="Arial"/>
                <a:cs typeface="Arial"/>
              </a:defRPr>
            </a:pPr>
          </a:p>
        </c:txPr>
        <c:crossAx val="48650112"/>
        <c:crosses val="autoZero"/>
        <c:crossBetween val="between"/>
        <c:majorUnit val="0.2"/>
      </c:valAx>
      <c:spPr>
        <a:solidFill xmlns:a="http://schemas.openxmlformats.org/drawingml/2006/main">
          <a:srgbClr val="FFFFFF"/>
        </a:solidFill>
        <a:ln xmlns:a="http://schemas.openxmlformats.org/drawingml/2006/main" w="12700">
          <a:solidFill>
            <a:srgbClr val="000000"/>
          </a:solidFill>
          <a:prstDash val="solid"/>
        </a:ln>
      </c:spPr>
    </c:plotArea>
    <c:plotVisOnly val="1"/>
  </c:chart>
  <c:spPr>
    <a:solidFill xmlns:a="http://schemas.openxmlformats.org/drawingml/2006/main">
      <a:srgbClr val="FFFFFF"/>
    </a:solidFill>
    <a:ln xmlns:a="http://schemas.openxmlformats.org/drawingml/2006/main" w="25400">
      <a:noFill/>
    </a:ln>
  </c:spPr>
</c:chartSpace>
</file>

<file path=xl/drawings/charts/chart1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Counting</a:t>
            </a:r>
          </a:p>
        </c:rich>
      </c:tx>
      <c:overlay val="0"/>
    </c:title>
    <c:autoTitleDeleted val="0"/>
    <c:plotArea>
      <c:layout>
        <c:manualLayout>
          <c:xMode val="edge"/>
          <c:yMode val="edge"/>
          <c:x val="0.08778620998812409"/>
          <c:y val="0.22929936305732485"/>
          <c:w val="0.8244275800237518"/>
          <c:h val="0.5732484076433121"/>
        </c:manualLayout>
      </c:layout>
      <c:barChart>
        <c:barDir val="col"/>
        <c:grouping val="clustered"/>
        <c:varyColors val="0"/>
        <c:ser>
          <c:idx val="0"/>
          <c:order val="0"/>
          <c:tx>
            <c:v>GR00T Frozen LLM</c:v>
          </c:tx>
          <c:spPr>
            <a:solidFill xmlns:a="http://schemas.openxmlformats.org/drawingml/2006/main">
              <a:srgbClr val="2563EB"/>
            </a:solidFill>
            <a:ln xmlns:a="http://schemas.openxmlformats.org/drawingml/2006/main" w="25400">
              <a:noFill/>
            </a:ln>
          </c:spPr>
          <c:cat>
            <c:strRef>
              <c:f>'Task Charts'!$A$68</c:f>
              <c:strCache>
                <c:ptCount val="1"/>
                <c:pt idx="0">
                  <c:v>Rate</c:v>
                </c:pt>
              </c:strCache>
            </c:strRef>
          </c:cat>
          <c:val>
            <c:numRef>
              <c:f>'Task Charts'!$B$68</c:f>
              <c:numCache>
                <c:formatCode>0.0%</c:formatCode>
                <c:ptCount val="1"/>
                <c:pt idx="0">
                  <c:v>0</c:v>
                </c:pt>
              </c:numCache>
            </c:numRef>
          </c:val>
        </c:ser>
        <c:ser>
          <c:idx val="1"/>
          <c:order val="1"/>
          <c:tx>
            <c:v>MolmoAct2</c:v>
          </c:tx>
          <c:spPr>
            <a:solidFill xmlns:a="http://schemas.openxmlformats.org/drawingml/2006/main">
              <a:srgbClr val="E47700"/>
            </a:solidFill>
            <a:ln xmlns:a="http://schemas.openxmlformats.org/drawingml/2006/main" w="25400">
              <a:noFill/>
            </a:ln>
          </c:spPr>
          <c:cat>
            <c:strRef>
              <c:f>'Task Charts'!$A$68</c:f>
              <c:strCache>
                <c:ptCount val="1"/>
                <c:pt idx="0">
                  <c:v>Rate</c:v>
                </c:pt>
              </c:strCache>
            </c:strRef>
          </c:cat>
          <c:val>
            <c:numRef>
              <c:f>'Task Charts'!$C$68</c:f>
              <c:numCache>
                <c:formatCode>0.0%</c:formatCode>
                <c:ptCount val="1"/>
                <c:pt idx="0">
                  <c:v>0</c:v>
                </c:pt>
              </c:numCache>
            </c:numRef>
          </c:val>
        </c:ser>
        <c:ser>
          <c:idx val="2"/>
          <c:order val="2"/>
          <c:tx>
            <c:v>Pi0.5</c:v>
          </c:tx>
          <c:spPr>
            <a:solidFill xmlns:a="http://schemas.openxmlformats.org/drawingml/2006/main">
              <a:srgbClr val="07966F"/>
            </a:solidFill>
            <a:ln xmlns:a="http://schemas.openxmlformats.org/drawingml/2006/main" w="25400">
              <a:noFill/>
            </a:ln>
          </c:spPr>
          <c:cat>
            <c:strRef>
              <c:f>'Task Charts'!$A$68</c:f>
              <c:strCache>
                <c:ptCount val="1"/>
                <c:pt idx="0">
                  <c:v>Rate</c:v>
                </c:pt>
              </c:strCache>
            </c:strRef>
          </c:cat>
          <c:val>
            <c:numRef>
              <c:f>'Task Charts'!$D$68</c:f>
              <c:numCache>
                <c:formatCode>0.0%</c:formatCode>
                <c:ptCount val="1"/>
                <c:pt idx="0">
                  <c:v>0</c:v>
                </c:pt>
              </c:numCache>
            </c:numRef>
          </c:val>
        </c:ser>
        <c:dLbls>
          <c:showLegendKey val="0"/>
          <c:showVal val="0"/>
          <c:showCatName val="0"/>
          <c:showSerName val="0"/>
          <c:showPercent val="0"/>
          <c:showBubbleSize val="0"/>
        </c:dLbls>
        <c:gapWidth val="40"/>
        <c:overlap val="-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one"/>
        <c:spPr>
          <a:ln xmlns:a="http://schemas.openxmlformats.org/drawingml/2006/main" w="12700">
            <a:solidFill>
              <a:srgbClr val="000000"/>
            </a:solidFill>
            <a:prstDash val="solid"/>
          </a:ln>
        </c:spPr>
        <c:crossAx val="48672768"/>
        <c:crosses val="autoZero"/>
        <c:lblOffset val="100"/>
      </c:catAx>
      <c:valAx>
        <c:axId val="48672768"/>
        <c:scaling>
          <c:orientation val="minMax"/>
          <c:max val="1"/>
          <c:min val="0"/>
        </c:scaling>
        <c:delete val="0"/>
        <c:axPos val="l"/>
        <c:numFmt formatCode="0.0" sourceLinked="0"/>
        <c:majorTickMark val="out"/>
        <c:minorTickMark val="none"/>
        <c:tickLblPos val="nextTo"/>
        <c:spPr>
          <a:ln xmlns:a="http://schemas.openxmlformats.org/drawingml/2006/main" w="12700">
            <a:solidFill>
              <a:srgbClr val="000000"/>
            </a:solidFill>
            <a:prstDash val="solid"/>
          </a:ln>
        </c:spPr>
        <c:txPr>
          <a:bodyPr xmlns:a="http://schemas.openxmlformats.org/drawingml/2006/main" anchorCtr="1"/>
          <a:lstStyle xmlns:a="http://schemas.openxmlformats.org/drawingml/2006/main"/>
          <a:p xmlns:a="http://schemas.openxmlformats.org/drawingml/2006/main">
            <a:pPr>
              <a:defRPr sz="800">
                <a:solidFill>
                  <a:srgbClr val="000000"/>
                </a:solidFill>
                <a:latin typeface="Arial"/>
                <a:ea typeface="Arial"/>
                <a:cs typeface="Arial"/>
              </a:defRPr>
            </a:pPr>
          </a:p>
        </c:txPr>
        <c:crossAx val="48650112"/>
        <c:crosses val="autoZero"/>
        <c:crossBetween val="between"/>
        <c:majorUnit val="0.2"/>
      </c:valAx>
      <c:spPr>
        <a:solidFill xmlns:a="http://schemas.openxmlformats.org/drawingml/2006/main">
          <a:srgbClr val="FFFFFF"/>
        </a:solidFill>
        <a:ln xmlns:a="http://schemas.openxmlformats.org/drawingml/2006/main" w="12700">
          <a:solidFill>
            <a:srgbClr val="000000"/>
          </a:solidFill>
          <a:prstDash val="solid"/>
        </a:ln>
      </c:spPr>
    </c:plotArea>
    <c:plotVisOnly val="1"/>
  </c:chart>
  <c:spPr>
    <a:solidFill xmlns:a="http://schemas.openxmlformats.org/drawingml/2006/main">
      <a:srgbClr val="FFFFFF"/>
    </a:solidFill>
    <a:ln xmlns:a="http://schemas.openxmlformats.org/drawingml/2006/main" w="25400">
      <a:noFill/>
    </a:ln>
  </c:spPr>
</c:chartSpace>
</file>

<file path=xl/drawings/charts/chart1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Ordinal Reference
Ordering</a:t>
            </a:r>
          </a:p>
        </c:rich>
      </c:tx>
      <c:overlay val="0"/>
    </c:title>
    <c:autoTitleDeleted val="0"/>
    <c:plotArea>
      <c:layout>
        <c:manualLayout>
          <c:xMode val="edge"/>
          <c:yMode val="edge"/>
          <c:x val="0.0884143552944005"/>
          <c:y val="0.22929936305732485"/>
          <c:w val="0.8231709293189287"/>
          <c:h val="0.5732484076433121"/>
        </c:manualLayout>
      </c:layout>
      <c:barChart>
        <c:barDir val="col"/>
        <c:grouping val="clustered"/>
        <c:varyColors val="0"/>
        <c:ser>
          <c:idx val="0"/>
          <c:order val="0"/>
          <c:tx>
            <c:v>GR00T Frozen LLM</c:v>
          </c:tx>
          <c:spPr>
            <a:solidFill xmlns:a="http://schemas.openxmlformats.org/drawingml/2006/main">
              <a:srgbClr val="2563EB"/>
            </a:solidFill>
            <a:ln xmlns:a="http://schemas.openxmlformats.org/drawingml/2006/main" w="25400">
              <a:noFill/>
            </a:ln>
          </c:spPr>
          <c:cat>
            <c:strRef>
              <c:f>'Task Charts'!$J$68</c:f>
              <c:strCache>
                <c:ptCount val="1"/>
                <c:pt idx="0">
                  <c:v>Rate</c:v>
                </c:pt>
              </c:strCache>
            </c:strRef>
          </c:cat>
          <c:val>
            <c:numRef>
              <c:f>'Task Charts'!$K$68</c:f>
              <c:numCache>
                <c:formatCode>0.0%</c:formatCode>
                <c:ptCount val="1"/>
                <c:pt idx="0">
                  <c:v>0.42</c:v>
                </c:pt>
              </c:numCache>
            </c:numRef>
          </c:val>
        </c:ser>
        <c:ser>
          <c:idx val="1"/>
          <c:order val="1"/>
          <c:tx>
            <c:v>MolmoAct2</c:v>
          </c:tx>
          <c:spPr>
            <a:solidFill xmlns:a="http://schemas.openxmlformats.org/drawingml/2006/main">
              <a:srgbClr val="E47700"/>
            </a:solidFill>
            <a:ln xmlns:a="http://schemas.openxmlformats.org/drawingml/2006/main" w="25400">
              <a:noFill/>
            </a:ln>
          </c:spPr>
          <c:cat>
            <c:strRef>
              <c:f>'Task Charts'!$J$68</c:f>
              <c:strCache>
                <c:ptCount val="1"/>
                <c:pt idx="0">
                  <c:v>Rate</c:v>
                </c:pt>
              </c:strCache>
            </c:strRef>
          </c:cat>
          <c:val>
            <c:numRef>
              <c:f>'Task Charts'!$L$68</c:f>
              <c:numCache>
                <c:formatCode>0.0%</c:formatCode>
                <c:ptCount val="1"/>
                <c:pt idx="0">
                  <c:v>0.54</c:v>
                </c:pt>
              </c:numCache>
            </c:numRef>
          </c:val>
        </c:ser>
        <c:ser>
          <c:idx val="2"/>
          <c:order val="2"/>
          <c:tx>
            <c:v>Pi0.5</c:v>
          </c:tx>
          <c:spPr>
            <a:solidFill xmlns:a="http://schemas.openxmlformats.org/drawingml/2006/main">
              <a:srgbClr val="07966F"/>
            </a:solidFill>
            <a:ln xmlns:a="http://schemas.openxmlformats.org/drawingml/2006/main" w="25400">
              <a:noFill/>
            </a:ln>
          </c:spPr>
          <c:cat>
            <c:strRef>
              <c:f>'Task Charts'!$J$68</c:f>
              <c:strCache>
                <c:ptCount val="1"/>
                <c:pt idx="0">
                  <c:v>Rate</c:v>
                </c:pt>
              </c:strCache>
            </c:strRef>
          </c:cat>
          <c:val>
            <c:numRef>
              <c:f>'Task Charts'!$M$68</c:f>
              <c:numCache>
                <c:formatCode>0.0%</c:formatCode>
                <c:ptCount val="1"/>
                <c:pt idx="0">
                  <c:v>0.46</c:v>
                </c:pt>
              </c:numCache>
            </c:numRef>
          </c:val>
        </c:ser>
        <c:dLbls>
          <c:showLegendKey val="0"/>
          <c:showVal val="0"/>
          <c:showCatName val="0"/>
          <c:showSerName val="0"/>
          <c:showPercent val="0"/>
          <c:showBubbleSize val="0"/>
        </c:dLbls>
        <c:gapWidth val="40"/>
        <c:overlap val="-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one"/>
        <c:spPr>
          <a:ln xmlns:a="http://schemas.openxmlformats.org/drawingml/2006/main" w="12700">
            <a:solidFill>
              <a:srgbClr val="000000"/>
            </a:solidFill>
            <a:prstDash val="solid"/>
          </a:ln>
        </c:spPr>
        <c:crossAx val="48672768"/>
        <c:crosses val="autoZero"/>
        <c:lblOffset val="100"/>
      </c:catAx>
      <c:valAx>
        <c:axId val="48672768"/>
        <c:scaling>
          <c:orientation val="minMax"/>
          <c:max val="1"/>
          <c:min val="0"/>
        </c:scaling>
        <c:delete val="0"/>
        <c:axPos val="l"/>
        <c:numFmt formatCode="0.0" sourceLinked="0"/>
        <c:majorTickMark val="out"/>
        <c:minorTickMark val="none"/>
        <c:tickLblPos val="nextTo"/>
        <c:spPr>
          <a:ln xmlns:a="http://schemas.openxmlformats.org/drawingml/2006/main" w="12700">
            <a:solidFill>
              <a:srgbClr val="000000"/>
            </a:solidFill>
            <a:prstDash val="solid"/>
          </a:ln>
        </c:spPr>
        <c:txPr>
          <a:bodyPr xmlns:a="http://schemas.openxmlformats.org/drawingml/2006/main" anchorCtr="1"/>
          <a:lstStyle xmlns:a="http://schemas.openxmlformats.org/drawingml/2006/main"/>
          <a:p xmlns:a="http://schemas.openxmlformats.org/drawingml/2006/main">
            <a:pPr>
              <a:defRPr sz="800">
                <a:solidFill>
                  <a:srgbClr val="000000"/>
                </a:solidFill>
                <a:latin typeface="Arial"/>
                <a:ea typeface="Arial"/>
                <a:cs typeface="Arial"/>
              </a:defRPr>
            </a:pPr>
          </a:p>
        </c:txPr>
        <c:crossAx val="48650112"/>
        <c:crosses val="autoZero"/>
        <c:crossBetween val="between"/>
        <c:majorUnit val="0.2"/>
      </c:valAx>
      <c:spPr>
        <a:solidFill xmlns:a="http://schemas.openxmlformats.org/drawingml/2006/main">
          <a:srgbClr val="FFFFFF"/>
        </a:solidFill>
        <a:ln xmlns:a="http://schemas.openxmlformats.org/drawingml/2006/main" w="12700">
          <a:solidFill>
            <a:srgbClr val="000000"/>
          </a:solidFill>
          <a:prstDash val="solid"/>
        </a:ln>
      </c:spPr>
    </c:plotArea>
    <c:plotVisOnly val="1"/>
  </c:chart>
  <c:spPr>
    <a:solidFill xmlns:a="http://schemas.openxmlformats.org/drawingml/2006/main">
      <a:srgbClr val="FFFFFF"/>
    </a:solidFill>
    <a:ln xmlns:a="http://schemas.openxmlformats.org/drawingml/2006/main" w="25400">
      <a:noFill/>
    </a:ln>
  </c:spPr>
</c:chartSpace>
</file>

<file path=xl/drawings/charts/chart13.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Relational Placement</a:t>
            </a:r>
          </a:p>
        </c:rich>
      </c:tx>
      <c:overlay val="0"/>
    </c:title>
    <c:autoTitleDeleted val="0"/>
    <c:plotArea>
      <c:layout>
        <c:manualLayout>
          <c:xMode val="edge"/>
          <c:yMode val="edge"/>
          <c:x val="0.08778635864967022"/>
          <c:y val="0.22929936305732485"/>
          <c:w val="0.8244272827006593"/>
          <c:h val="0.5732484076433121"/>
        </c:manualLayout>
      </c:layout>
      <c:barChart>
        <c:barDir val="col"/>
        <c:grouping val="clustered"/>
        <c:varyColors val="0"/>
        <c:ser>
          <c:idx val="0"/>
          <c:order val="0"/>
          <c:tx>
            <c:v>GR00T Frozen LLM</c:v>
          </c:tx>
          <c:spPr>
            <a:solidFill xmlns:a="http://schemas.openxmlformats.org/drawingml/2006/main">
              <a:srgbClr val="2563EB"/>
            </a:solidFill>
            <a:ln xmlns:a="http://schemas.openxmlformats.org/drawingml/2006/main" w="25400">
              <a:noFill/>
            </a:ln>
          </c:spPr>
          <c:cat>
            <c:strRef>
              <c:f>'Task Charts'!$S$68</c:f>
              <c:strCache>
                <c:ptCount val="1"/>
                <c:pt idx="0">
                  <c:v>Rate</c:v>
                </c:pt>
              </c:strCache>
            </c:strRef>
          </c:cat>
          <c:val>
            <c:numRef>
              <c:f>'Task Charts'!$T$68</c:f>
              <c:numCache>
                <c:formatCode>0.0%</c:formatCode>
                <c:ptCount val="1"/>
                <c:pt idx="0">
                  <c:v>0.78</c:v>
                </c:pt>
              </c:numCache>
            </c:numRef>
          </c:val>
        </c:ser>
        <c:ser>
          <c:idx val="1"/>
          <c:order val="1"/>
          <c:tx>
            <c:v>MolmoAct2</c:v>
          </c:tx>
          <c:spPr>
            <a:solidFill xmlns:a="http://schemas.openxmlformats.org/drawingml/2006/main">
              <a:srgbClr val="E47700"/>
            </a:solidFill>
            <a:ln xmlns:a="http://schemas.openxmlformats.org/drawingml/2006/main" w="25400">
              <a:noFill/>
            </a:ln>
          </c:spPr>
          <c:cat>
            <c:strRef>
              <c:f>'Task Charts'!$S$68</c:f>
              <c:strCache>
                <c:ptCount val="1"/>
                <c:pt idx="0">
                  <c:v>Rate</c:v>
                </c:pt>
              </c:strCache>
            </c:strRef>
          </c:cat>
          <c:val>
            <c:numRef>
              <c:f>'Task Charts'!$U$68</c:f>
              <c:numCache>
                <c:formatCode>0.0%</c:formatCode>
                <c:ptCount val="1"/>
                <c:pt idx="0">
                  <c:v>0.5</c:v>
                </c:pt>
              </c:numCache>
            </c:numRef>
          </c:val>
        </c:ser>
        <c:ser>
          <c:idx val="2"/>
          <c:order val="2"/>
          <c:tx>
            <c:v>Pi0.5</c:v>
          </c:tx>
          <c:spPr>
            <a:solidFill xmlns:a="http://schemas.openxmlformats.org/drawingml/2006/main">
              <a:srgbClr val="07966F"/>
            </a:solidFill>
            <a:ln xmlns:a="http://schemas.openxmlformats.org/drawingml/2006/main" w="25400">
              <a:noFill/>
            </a:ln>
          </c:spPr>
          <c:cat>
            <c:strRef>
              <c:f>'Task Charts'!$S$68</c:f>
              <c:strCache>
                <c:ptCount val="1"/>
                <c:pt idx="0">
                  <c:v>Rate</c:v>
                </c:pt>
              </c:strCache>
            </c:strRef>
          </c:cat>
          <c:val>
            <c:numRef>
              <c:f>'Task Charts'!$V$68</c:f>
              <c:numCache>
                <c:formatCode>0.0%</c:formatCode>
                <c:ptCount val="1"/>
                <c:pt idx="0">
                  <c:v>0.72</c:v>
                </c:pt>
              </c:numCache>
            </c:numRef>
          </c:val>
        </c:ser>
        <c:dLbls>
          <c:showLegendKey val="0"/>
          <c:showVal val="0"/>
          <c:showCatName val="0"/>
          <c:showSerName val="0"/>
          <c:showPercent val="0"/>
          <c:showBubbleSize val="0"/>
        </c:dLbls>
        <c:gapWidth val="40"/>
        <c:overlap val="-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one"/>
        <c:spPr>
          <a:ln xmlns:a="http://schemas.openxmlformats.org/drawingml/2006/main" w="12700">
            <a:solidFill>
              <a:srgbClr val="000000"/>
            </a:solidFill>
            <a:prstDash val="solid"/>
          </a:ln>
        </c:spPr>
        <c:crossAx val="48672768"/>
        <c:crosses val="autoZero"/>
        <c:lblOffset val="100"/>
      </c:catAx>
      <c:valAx>
        <c:axId val="48672768"/>
        <c:scaling>
          <c:orientation val="minMax"/>
          <c:max val="1"/>
          <c:min val="0"/>
        </c:scaling>
        <c:delete val="0"/>
        <c:axPos val="l"/>
        <c:numFmt formatCode="0.0" sourceLinked="0"/>
        <c:majorTickMark val="out"/>
        <c:minorTickMark val="none"/>
        <c:tickLblPos val="nextTo"/>
        <c:spPr>
          <a:ln xmlns:a="http://schemas.openxmlformats.org/drawingml/2006/main" w="12700">
            <a:solidFill>
              <a:srgbClr val="000000"/>
            </a:solidFill>
            <a:prstDash val="solid"/>
          </a:ln>
        </c:spPr>
        <c:txPr>
          <a:bodyPr xmlns:a="http://schemas.openxmlformats.org/drawingml/2006/main" anchorCtr="1"/>
          <a:lstStyle xmlns:a="http://schemas.openxmlformats.org/drawingml/2006/main"/>
          <a:p xmlns:a="http://schemas.openxmlformats.org/drawingml/2006/main">
            <a:pPr>
              <a:defRPr sz="800">
                <a:solidFill>
                  <a:srgbClr val="000000"/>
                </a:solidFill>
                <a:latin typeface="Arial"/>
                <a:ea typeface="Arial"/>
                <a:cs typeface="Arial"/>
              </a:defRPr>
            </a:pPr>
          </a:p>
        </c:txPr>
        <c:crossAx val="48650112"/>
        <c:crosses val="autoZero"/>
        <c:crossBetween val="between"/>
        <c:majorUnit val="0.2"/>
      </c:valAx>
      <c:spPr>
        <a:solidFill xmlns:a="http://schemas.openxmlformats.org/drawingml/2006/main">
          <a:srgbClr val="FFFFFF"/>
        </a:solidFill>
        <a:ln xmlns:a="http://schemas.openxmlformats.org/drawingml/2006/main" w="12700">
          <a:solidFill>
            <a:srgbClr val="000000"/>
          </a:solidFill>
          <a:prstDash val="solid"/>
        </a:ln>
      </c:spPr>
    </c:plotArea>
    <c:plotVisOnly val="1"/>
  </c:chart>
  <c:spPr>
    <a:solidFill xmlns:a="http://schemas.openxmlformats.org/drawingml/2006/main">
      <a:srgbClr val="FFFFFF"/>
    </a:solidFill>
    <a:ln xmlns:a="http://schemas.openxmlformats.org/drawingml/2006/main" w="25400">
      <a:noFill/>
    </a:ln>
  </c:spPr>
</c:chartSpace>
</file>

<file path=xl/drawings/charts/chart14.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State Recognition</a:t>
            </a:r>
          </a:p>
        </c:rich>
      </c:tx>
      <c:overlay val="0"/>
    </c:title>
    <c:autoTitleDeleted val="0"/>
    <c:plotArea>
      <c:layout>
        <c:manualLayout>
          <c:xMode val="edge"/>
          <c:yMode val="edge"/>
          <c:x val="0.08778602966713174"/>
          <c:y val="0.22929936305732485"/>
          <c:w val="0.8244275800237518"/>
          <c:h val="0.5732484076433121"/>
        </c:manualLayout>
      </c:layout>
      <c:barChart>
        <c:barDir val="col"/>
        <c:grouping val="clustered"/>
        <c:varyColors val="0"/>
        <c:ser>
          <c:idx val="0"/>
          <c:order val="0"/>
          <c:tx>
            <c:v>GR00T Frozen LLM</c:v>
          </c:tx>
          <c:spPr>
            <a:solidFill xmlns:a="http://schemas.openxmlformats.org/drawingml/2006/main">
              <a:srgbClr val="2563EB"/>
            </a:solidFill>
            <a:ln xmlns:a="http://schemas.openxmlformats.org/drawingml/2006/main" w="25400">
              <a:noFill/>
            </a:ln>
          </c:spPr>
          <c:cat>
            <c:strRef>
              <c:f>'Task Charts'!$A$92</c:f>
              <c:strCache>
                <c:ptCount val="1"/>
                <c:pt idx="0">
                  <c:v>Rate</c:v>
                </c:pt>
              </c:strCache>
            </c:strRef>
          </c:cat>
          <c:val>
            <c:numRef>
              <c:f>'Task Charts'!$B$92</c:f>
              <c:numCache>
                <c:formatCode>0.0%</c:formatCode>
                <c:ptCount val="1"/>
                <c:pt idx="0">
                  <c:v>0.34</c:v>
                </c:pt>
              </c:numCache>
            </c:numRef>
          </c:val>
        </c:ser>
        <c:ser>
          <c:idx val="1"/>
          <c:order val="1"/>
          <c:tx>
            <c:v>MolmoAct2</c:v>
          </c:tx>
          <c:spPr>
            <a:solidFill xmlns:a="http://schemas.openxmlformats.org/drawingml/2006/main">
              <a:srgbClr val="E47700"/>
            </a:solidFill>
            <a:ln xmlns:a="http://schemas.openxmlformats.org/drawingml/2006/main" w="25400">
              <a:noFill/>
            </a:ln>
          </c:spPr>
          <c:cat>
            <c:strRef>
              <c:f>'Task Charts'!$A$92</c:f>
              <c:strCache>
                <c:ptCount val="1"/>
                <c:pt idx="0">
                  <c:v>Rate</c:v>
                </c:pt>
              </c:strCache>
            </c:strRef>
          </c:cat>
          <c:val>
            <c:numRef>
              <c:f>'Task Charts'!$C$92</c:f>
              <c:numCache>
                <c:formatCode>0.0%</c:formatCode>
                <c:ptCount val="1"/>
                <c:pt idx="0">
                  <c:v>0.76</c:v>
                </c:pt>
              </c:numCache>
            </c:numRef>
          </c:val>
        </c:ser>
        <c:ser>
          <c:idx val="2"/>
          <c:order val="2"/>
          <c:tx>
            <c:v>Pi0.5</c:v>
          </c:tx>
          <c:spPr>
            <a:solidFill xmlns:a="http://schemas.openxmlformats.org/drawingml/2006/main">
              <a:srgbClr val="07966F"/>
            </a:solidFill>
            <a:ln xmlns:a="http://schemas.openxmlformats.org/drawingml/2006/main" w="25400">
              <a:noFill/>
            </a:ln>
          </c:spPr>
          <c:cat>
            <c:strRef>
              <c:f>'Task Charts'!$A$92</c:f>
              <c:strCache>
                <c:ptCount val="1"/>
                <c:pt idx="0">
                  <c:v>Rate</c:v>
                </c:pt>
              </c:strCache>
            </c:strRef>
          </c:cat>
          <c:val>
            <c:numRef>
              <c:f>'Task Charts'!$D$92</c:f>
              <c:numCache>
                <c:formatCode>0.0%</c:formatCode>
                <c:ptCount val="1"/>
                <c:pt idx="0">
                  <c:v>0.36</c:v>
                </c:pt>
              </c:numCache>
            </c:numRef>
          </c:val>
        </c:ser>
        <c:dLbls>
          <c:showLegendKey val="0"/>
          <c:showVal val="0"/>
          <c:showCatName val="0"/>
          <c:showSerName val="0"/>
          <c:showPercent val="0"/>
          <c:showBubbleSize val="0"/>
        </c:dLbls>
        <c:gapWidth val="40"/>
        <c:overlap val="-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one"/>
        <c:spPr>
          <a:ln xmlns:a="http://schemas.openxmlformats.org/drawingml/2006/main" w="12700">
            <a:solidFill>
              <a:srgbClr val="000000"/>
            </a:solidFill>
            <a:prstDash val="solid"/>
          </a:ln>
        </c:spPr>
        <c:crossAx val="48672768"/>
        <c:crosses val="autoZero"/>
        <c:lblOffset val="100"/>
      </c:catAx>
      <c:valAx>
        <c:axId val="48672768"/>
        <c:scaling>
          <c:orientation val="minMax"/>
          <c:max val="1"/>
          <c:min val="0"/>
        </c:scaling>
        <c:delete val="0"/>
        <c:axPos val="l"/>
        <c:numFmt formatCode="0.0" sourceLinked="0"/>
        <c:majorTickMark val="out"/>
        <c:minorTickMark val="none"/>
        <c:tickLblPos val="nextTo"/>
        <c:spPr>
          <a:ln xmlns:a="http://schemas.openxmlformats.org/drawingml/2006/main" w="12700">
            <a:solidFill>
              <a:srgbClr val="000000"/>
            </a:solidFill>
            <a:prstDash val="solid"/>
          </a:ln>
        </c:spPr>
        <c:txPr>
          <a:bodyPr xmlns:a="http://schemas.openxmlformats.org/drawingml/2006/main" anchorCtr="1"/>
          <a:lstStyle xmlns:a="http://schemas.openxmlformats.org/drawingml/2006/main"/>
          <a:p xmlns:a="http://schemas.openxmlformats.org/drawingml/2006/main">
            <a:pPr>
              <a:defRPr sz="800">
                <a:solidFill>
                  <a:srgbClr val="000000"/>
                </a:solidFill>
                <a:latin typeface="Arial"/>
                <a:ea typeface="Arial"/>
                <a:cs typeface="Arial"/>
              </a:defRPr>
            </a:pPr>
          </a:p>
        </c:txPr>
        <c:crossAx val="48650112"/>
        <c:crosses val="autoZero"/>
        <c:crossBetween val="between"/>
        <c:majorUnit val="0.2"/>
      </c:valAx>
      <c:spPr>
        <a:solidFill xmlns:a="http://schemas.openxmlformats.org/drawingml/2006/main">
          <a:srgbClr val="FFFFFF"/>
        </a:solidFill>
        <a:ln xmlns:a="http://schemas.openxmlformats.org/drawingml/2006/main" w="12700">
          <a:solidFill>
            <a:srgbClr val="000000"/>
          </a:solidFill>
          <a:prstDash val="solid"/>
        </a:ln>
      </c:spPr>
    </c:plotArea>
    <c:plotVisOnly val="1"/>
  </c:chart>
  <c:spPr>
    <a:solidFill xmlns:a="http://schemas.openxmlformats.org/drawingml/2006/main">
      <a:srgbClr val="FFFFFF"/>
    </a:solidFill>
    <a:ln xmlns:a="http://schemas.openxmlformats.org/drawingml/2006/main" w="25400">
      <a:noFill/>
    </a:ln>
  </c:spPr>
</c:chartSpace>
</file>

<file path=xl/drawings/charts/chart15.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Size Recognition</a:t>
            </a:r>
          </a:p>
        </c:rich>
      </c:tx>
      <c:overlay val="0"/>
    </c:title>
    <c:autoTitleDeleted val="0"/>
    <c:plotArea>
      <c:layout>
        <c:manualLayout>
          <c:xMode val="edge"/>
          <c:yMode val="edge"/>
          <c:x val="0.09337326787938316"/>
          <c:y val="0.22929936305732485"/>
          <c:w val="0.8132531084874666"/>
          <c:h val="0.5732484076433121"/>
        </c:manualLayout>
      </c:layout>
      <c:barChart>
        <c:barDir val="col"/>
        <c:grouping val="clustered"/>
        <c:varyColors val="0"/>
        <c:ser>
          <c:idx val="0"/>
          <c:order val="0"/>
          <c:tx>
            <c:v>GR00T Frozen LLM</c:v>
          </c:tx>
          <c:spPr>
            <a:solidFill xmlns:a="http://schemas.openxmlformats.org/drawingml/2006/main">
              <a:srgbClr val="2563EB"/>
            </a:solidFill>
            <a:ln xmlns:a="http://schemas.openxmlformats.org/drawingml/2006/main" w="25400">
              <a:noFill/>
            </a:ln>
          </c:spPr>
          <c:cat>
            <c:strRef>
              <c:f>'Task Charts'!$J$92</c:f>
              <c:strCache>
                <c:ptCount val="1"/>
                <c:pt idx="0">
                  <c:v>Rate</c:v>
                </c:pt>
              </c:strCache>
            </c:strRef>
          </c:cat>
          <c:val>
            <c:numRef>
              <c:f>'Task Charts'!$K$92</c:f>
              <c:numCache>
                <c:formatCode>0.0%</c:formatCode>
                <c:ptCount val="1"/>
                <c:pt idx="0">
                  <c:v>0.58</c:v>
                </c:pt>
              </c:numCache>
            </c:numRef>
          </c:val>
        </c:ser>
        <c:ser>
          <c:idx val="1"/>
          <c:order val="1"/>
          <c:tx>
            <c:v>MolmoAct2</c:v>
          </c:tx>
          <c:spPr>
            <a:solidFill xmlns:a="http://schemas.openxmlformats.org/drawingml/2006/main">
              <a:srgbClr val="E47700"/>
            </a:solidFill>
            <a:ln xmlns:a="http://schemas.openxmlformats.org/drawingml/2006/main" w="25400">
              <a:noFill/>
            </a:ln>
          </c:spPr>
          <c:cat>
            <c:strRef>
              <c:f>'Task Charts'!$J$92</c:f>
              <c:strCache>
                <c:ptCount val="1"/>
                <c:pt idx="0">
                  <c:v>Rate</c:v>
                </c:pt>
              </c:strCache>
            </c:strRef>
          </c:cat>
          <c:val>
            <c:numRef>
              <c:f>'Task Charts'!$L$92</c:f>
              <c:numCache>
                <c:formatCode>0.0%</c:formatCode>
                <c:ptCount val="1"/>
                <c:pt idx="0">
                  <c:v>0.64</c:v>
                </c:pt>
              </c:numCache>
            </c:numRef>
          </c:val>
        </c:ser>
        <c:ser>
          <c:idx val="2"/>
          <c:order val="2"/>
          <c:tx>
            <c:v>Pi0.5</c:v>
          </c:tx>
          <c:spPr>
            <a:solidFill xmlns:a="http://schemas.openxmlformats.org/drawingml/2006/main">
              <a:srgbClr val="07966F"/>
            </a:solidFill>
            <a:ln xmlns:a="http://schemas.openxmlformats.org/drawingml/2006/main" w="25400">
              <a:noFill/>
            </a:ln>
          </c:spPr>
          <c:cat>
            <c:strRef>
              <c:f>'Task Charts'!$J$92</c:f>
              <c:strCache>
                <c:ptCount val="1"/>
                <c:pt idx="0">
                  <c:v>Rate</c:v>
                </c:pt>
              </c:strCache>
            </c:strRef>
          </c:cat>
          <c:val>
            <c:numRef>
              <c:f>'Task Charts'!$M$92</c:f>
              <c:numCache>
                <c:formatCode>0.0%</c:formatCode>
                <c:ptCount val="1"/>
                <c:pt idx="0">
                  <c:v>0.54</c:v>
                </c:pt>
              </c:numCache>
            </c:numRef>
          </c:val>
        </c:ser>
        <c:dLbls>
          <c:showLegendKey val="0"/>
          <c:showVal val="0"/>
          <c:showCatName val="0"/>
          <c:showSerName val="0"/>
          <c:showPercent val="0"/>
          <c:showBubbleSize val="0"/>
        </c:dLbls>
        <c:gapWidth val="40"/>
        <c:overlap val="-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one"/>
        <c:spPr>
          <a:ln xmlns:a="http://schemas.openxmlformats.org/drawingml/2006/main" w="12700">
            <a:solidFill>
              <a:srgbClr val="000000"/>
            </a:solidFill>
            <a:prstDash val="solid"/>
          </a:ln>
        </c:spPr>
        <c:crossAx val="48672768"/>
        <c:crosses val="autoZero"/>
        <c:lblOffset val="100"/>
      </c:catAx>
      <c:valAx>
        <c:axId val="48672768"/>
        <c:scaling>
          <c:orientation val="minMax"/>
          <c:max val="1"/>
          <c:min val="0"/>
        </c:scaling>
        <c:delete val="0"/>
        <c:axPos val="l"/>
        <c:numFmt formatCode="0.0" sourceLinked="0"/>
        <c:majorTickMark val="out"/>
        <c:minorTickMark val="none"/>
        <c:tickLblPos val="nextTo"/>
        <c:spPr>
          <a:ln xmlns:a="http://schemas.openxmlformats.org/drawingml/2006/main" w="12700">
            <a:solidFill>
              <a:srgbClr val="000000"/>
            </a:solidFill>
            <a:prstDash val="solid"/>
          </a:ln>
        </c:spPr>
        <c:txPr>
          <a:bodyPr xmlns:a="http://schemas.openxmlformats.org/drawingml/2006/main" anchorCtr="1"/>
          <a:lstStyle xmlns:a="http://schemas.openxmlformats.org/drawingml/2006/main"/>
          <a:p xmlns:a="http://schemas.openxmlformats.org/drawingml/2006/main">
            <a:pPr>
              <a:defRPr sz="800">
                <a:solidFill>
                  <a:srgbClr val="000000"/>
                </a:solidFill>
                <a:latin typeface="Arial"/>
                <a:ea typeface="Arial"/>
                <a:cs typeface="Arial"/>
              </a:defRPr>
            </a:pPr>
          </a:p>
        </c:txPr>
        <c:crossAx val="48650112"/>
        <c:crosses val="autoZero"/>
        <c:crossBetween val="between"/>
        <c:majorUnit val="0.2"/>
      </c:valAx>
      <c:spPr>
        <a:solidFill xmlns:a="http://schemas.openxmlformats.org/drawingml/2006/main">
          <a:srgbClr val="FFFFFF"/>
        </a:solidFill>
        <a:ln xmlns:a="http://schemas.openxmlformats.org/drawingml/2006/main" w="12700">
          <a:solidFill>
            <a:srgbClr val="000000"/>
          </a:solidFill>
          <a:prstDash val="solid"/>
        </a:ln>
      </c:spPr>
    </c:plotArea>
    <c:plotVisOnly val="1"/>
  </c:chart>
  <c:spPr>
    <a:solidFill xmlns:a="http://schemas.openxmlformats.org/drawingml/2006/main">
      <a:srgbClr val="FFFFFF"/>
    </a:solidFill>
    <a:ln xmlns:a="http://schemas.openxmlformats.org/drawingml/2006/main" w="25400">
      <a:noFill/>
    </a:ln>
  </c:spPr>
</c:chartSpace>
</file>

<file path=xl/drawings/charts/chart16.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Referential
Disambiguation</a:t>
            </a:r>
          </a:p>
        </c:rich>
      </c:tx>
      <c:overlay val="0"/>
    </c:title>
    <c:autoTitleDeleted val="0"/>
    <c:plotArea>
      <c:layout>
        <c:manualLayout>
          <c:xMode val="edge"/>
          <c:yMode val="edge"/>
          <c:x val="0.09337326787938456"/>
          <c:y val="0.22929936305732485"/>
          <c:w val="0.8132531084874666"/>
          <c:h val="0.5732484076433121"/>
        </c:manualLayout>
      </c:layout>
      <c:barChart>
        <c:barDir val="col"/>
        <c:grouping val="clustered"/>
        <c:varyColors val="0"/>
        <c:ser>
          <c:idx val="0"/>
          <c:order val="0"/>
          <c:tx>
            <c:v>GR00T Frozen LLM</c:v>
          </c:tx>
          <c:spPr>
            <a:solidFill xmlns:a="http://schemas.openxmlformats.org/drawingml/2006/main">
              <a:srgbClr val="2563EB"/>
            </a:solidFill>
            <a:ln xmlns:a="http://schemas.openxmlformats.org/drawingml/2006/main" w="25400">
              <a:noFill/>
            </a:ln>
          </c:spPr>
          <c:cat>
            <c:strRef>
              <c:f>'Task Charts'!$S$92</c:f>
              <c:strCache>
                <c:ptCount val="1"/>
                <c:pt idx="0">
                  <c:v>Rate</c:v>
                </c:pt>
              </c:strCache>
            </c:strRef>
          </c:cat>
          <c:val>
            <c:numRef>
              <c:f>'Task Charts'!$T$92</c:f>
              <c:numCache>
                <c:formatCode>0.0%</c:formatCode>
                <c:ptCount val="1"/>
                <c:pt idx="0">
                  <c:v>0.54</c:v>
                </c:pt>
              </c:numCache>
            </c:numRef>
          </c:val>
        </c:ser>
        <c:ser>
          <c:idx val="1"/>
          <c:order val="1"/>
          <c:tx>
            <c:v>MolmoAct2</c:v>
          </c:tx>
          <c:spPr>
            <a:solidFill xmlns:a="http://schemas.openxmlformats.org/drawingml/2006/main">
              <a:srgbClr val="E47700"/>
            </a:solidFill>
            <a:ln xmlns:a="http://schemas.openxmlformats.org/drawingml/2006/main" w="25400">
              <a:noFill/>
            </a:ln>
          </c:spPr>
          <c:cat>
            <c:strRef>
              <c:f>'Task Charts'!$S$92</c:f>
              <c:strCache>
                <c:ptCount val="1"/>
                <c:pt idx="0">
                  <c:v>Rate</c:v>
                </c:pt>
              </c:strCache>
            </c:strRef>
          </c:cat>
          <c:val>
            <c:numRef>
              <c:f>'Task Charts'!$U$92</c:f>
              <c:numCache>
                <c:formatCode>0.0%</c:formatCode>
                <c:ptCount val="1"/>
                <c:pt idx="0">
                  <c:v>0.68</c:v>
                </c:pt>
              </c:numCache>
            </c:numRef>
          </c:val>
        </c:ser>
        <c:ser>
          <c:idx val="2"/>
          <c:order val="2"/>
          <c:tx>
            <c:v>Pi0.5</c:v>
          </c:tx>
          <c:spPr>
            <a:solidFill xmlns:a="http://schemas.openxmlformats.org/drawingml/2006/main">
              <a:srgbClr val="07966F"/>
            </a:solidFill>
            <a:ln xmlns:a="http://schemas.openxmlformats.org/drawingml/2006/main" w="25400">
              <a:noFill/>
            </a:ln>
          </c:spPr>
          <c:cat>
            <c:strRef>
              <c:f>'Task Charts'!$S$92</c:f>
              <c:strCache>
                <c:ptCount val="1"/>
                <c:pt idx="0">
                  <c:v>Rate</c:v>
                </c:pt>
              </c:strCache>
            </c:strRef>
          </c:cat>
          <c:val>
            <c:numRef>
              <c:f>'Task Charts'!$V$92</c:f>
              <c:numCache>
                <c:formatCode>0.0%</c:formatCode>
                <c:ptCount val="1"/>
                <c:pt idx="0">
                  <c:v>0.36</c:v>
                </c:pt>
              </c:numCache>
            </c:numRef>
          </c:val>
        </c:ser>
        <c:dLbls>
          <c:showLegendKey val="0"/>
          <c:showVal val="0"/>
          <c:showCatName val="0"/>
          <c:showSerName val="0"/>
          <c:showPercent val="0"/>
          <c:showBubbleSize val="0"/>
        </c:dLbls>
        <c:gapWidth val="40"/>
        <c:overlap val="-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one"/>
        <c:spPr>
          <a:ln xmlns:a="http://schemas.openxmlformats.org/drawingml/2006/main" w="12700">
            <a:solidFill>
              <a:srgbClr val="000000"/>
            </a:solidFill>
            <a:prstDash val="solid"/>
          </a:ln>
        </c:spPr>
        <c:crossAx val="48672768"/>
        <c:crosses val="autoZero"/>
        <c:lblOffset val="100"/>
      </c:catAx>
      <c:valAx>
        <c:axId val="48672768"/>
        <c:scaling>
          <c:orientation val="minMax"/>
          <c:max val="1"/>
          <c:min val="0"/>
        </c:scaling>
        <c:delete val="0"/>
        <c:axPos val="l"/>
        <c:numFmt formatCode="0.0" sourceLinked="0"/>
        <c:majorTickMark val="out"/>
        <c:minorTickMark val="none"/>
        <c:tickLblPos val="nextTo"/>
        <c:spPr>
          <a:ln xmlns:a="http://schemas.openxmlformats.org/drawingml/2006/main" w="12700">
            <a:solidFill>
              <a:srgbClr val="000000"/>
            </a:solidFill>
            <a:prstDash val="solid"/>
          </a:ln>
        </c:spPr>
        <c:txPr>
          <a:bodyPr xmlns:a="http://schemas.openxmlformats.org/drawingml/2006/main" anchorCtr="1"/>
          <a:lstStyle xmlns:a="http://schemas.openxmlformats.org/drawingml/2006/main"/>
          <a:p xmlns:a="http://schemas.openxmlformats.org/drawingml/2006/main">
            <a:pPr>
              <a:defRPr sz="800">
                <a:solidFill>
                  <a:srgbClr val="000000"/>
                </a:solidFill>
                <a:latin typeface="Arial"/>
                <a:ea typeface="Arial"/>
                <a:cs typeface="Arial"/>
              </a:defRPr>
            </a:pPr>
          </a:p>
        </c:txPr>
        <c:crossAx val="48650112"/>
        <c:crosses val="autoZero"/>
        <c:crossBetween val="between"/>
        <c:majorUnit val="0.2"/>
      </c:valAx>
      <c:spPr>
        <a:solidFill xmlns:a="http://schemas.openxmlformats.org/drawingml/2006/main">
          <a:srgbClr val="FFFFFF"/>
        </a:solidFill>
        <a:ln xmlns:a="http://schemas.openxmlformats.org/drawingml/2006/main" w="12700">
          <a:solidFill>
            <a:srgbClr val="000000"/>
          </a:solidFill>
          <a:prstDash val="solid"/>
        </a:ln>
      </c:spPr>
    </c:plotArea>
    <c:plotVisOnly val="1"/>
  </c:chart>
  <c:spPr>
    <a:solidFill xmlns:a="http://schemas.openxmlformats.org/drawingml/2006/main">
      <a:srgbClr val="FFFFFF"/>
    </a:solidFill>
    <a:ln xmlns:a="http://schemas.openxmlformats.org/drawingml/2006/main" w="25400">
      <a:noFill/>
    </a:ln>
  </c:spPr>
</c:chartSpace>
</file>

<file path=xl/drawings/charts/chart17.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600" b="1">
                <a:solidFill>
                  <a:srgbClr val="17365D"/>
                </a:solidFill>
                <a:latin typeface="Carlito"/>
                <a:ea typeface="Carlito"/>
                <a:cs typeface="Carlito"/>
              </a:rPr>
              <a:t>Overall Success Rate by Evaluation Condition</a:t>
            </a:r>
          </a:p>
        </c:rich>
      </c:tx>
      <c:overlay val="0"/>
      <c:txPr>
        <a:bodyPr xmlns:a="http://schemas.openxmlformats.org/drawingml/2006/main" anchorCtr="1"/>
        <a:lstStyle xmlns:a="http://schemas.openxmlformats.org/drawingml/2006/main"/>
        <a:p xmlns:a="http://schemas.openxmlformats.org/drawingml/2006/main">
          <a:pPr>
            <a:defRPr sz="1600" b="1">
              <a:solidFill>
                <a:srgbClr val="17365D"/>
              </a:solidFill>
              <a:latin typeface="Carlito"/>
              <a:ea typeface="Carlito"/>
              <a:cs typeface="Carlito"/>
            </a:defRPr>
          </a:pPr>
        </a:p>
      </c:txPr>
    </c:title>
    <c:autoTitleDeleted val="0"/>
    <c:plotArea>
      <c:barChart>
        <c:barDir val="col"/>
        <c:grouping val="clustered"/>
        <c:varyColors val="0"/>
        <c:ser>
          <c:idx val="0"/>
          <c:order val="0"/>
          <c:tx>
            <c:v>GR00T Frozen LLM</c:v>
          </c:tx>
          <c:spPr>
            <a:solidFill xmlns:a="http://schemas.openxmlformats.org/drawingml/2006/main">
              <a:srgbClr val="2563EB"/>
            </a:solidFill>
            <a:ln xmlns:a="http://schemas.openxmlformats.org/drawingml/2006/main">
              <a:solidFill>
                <a:srgbClr val="2563EB"/>
              </a:solidFill>
              <a:prstDash val="solid"/>
            </a:ln>
          </c:spPr>
          <c:cat>
            <c:strRef>
              <c:f>'GR00T Vision'!$AO$14:$AO$16</c:f>
              <c:strCache>
                <c:ptCount val="3"/>
                <c:pt idx="0">
                  <c:v>Concept/compositional transfer</c:v>
                </c:pt>
                <c:pt idx="1">
                  <c:v>In-distribution concept baseline</c:v>
                </c:pt>
                <c:pt idx="2">
                  <c:v>Matched manipulation control</c:v>
                </c:pt>
              </c:strCache>
            </c:strRef>
          </c:cat>
          <c:val>
            <c:numRef>
              <c:f>'GR00T Vision'!$AQ$14:$AQ$16</c:f>
              <c:numCache>
                <c:formatCode>0.0%</c:formatCode>
                <c:ptCount val="3"/>
                <c:pt idx="0">
                  <c:v>0.44333333333333336</c:v>
                </c:pt>
                <c:pt idx="1">
                  <c:v>0.675</c:v>
                </c:pt>
                <c:pt idx="2">
                  <c:v>0.8166666666666667</c:v>
                </c:pt>
              </c:numCache>
            </c:numRef>
          </c:val>
        </c:ser>
        <c:ser>
          <c:idx val="1"/>
          <c:order val="1"/>
          <c:tx>
            <c:v>MolmoAct2</c:v>
          </c:tx>
          <c:spPr>
            <a:solidFill xmlns:a="http://schemas.openxmlformats.org/drawingml/2006/main">
              <a:srgbClr val="EA7C00"/>
            </a:solidFill>
            <a:ln xmlns:a="http://schemas.openxmlformats.org/drawingml/2006/main">
              <a:solidFill>
                <a:srgbClr val="EA7C00"/>
              </a:solidFill>
              <a:prstDash val="solid"/>
            </a:ln>
          </c:spPr>
          <c:cat>
            <c:strRef>
              <c:f>'GR00T Vision'!$AO$14:$AO$16</c:f>
              <c:strCache>
                <c:ptCount val="3"/>
                <c:pt idx="0">
                  <c:v>Concept/compositional transfer</c:v>
                </c:pt>
                <c:pt idx="1">
                  <c:v>In-distribution concept baseline</c:v>
                </c:pt>
                <c:pt idx="2">
                  <c:v>Matched manipulation control</c:v>
                </c:pt>
              </c:strCache>
            </c:strRef>
          </c:cat>
          <c:val>
            <c:numRef>
              <c:f>MolmoAct2!$AQ$3:$AQ$5</c:f>
              <c:numCache>
                <c:formatCode>0.0%</c:formatCode>
                <c:ptCount val="3"/>
                <c:pt idx="0">
                  <c:v>0.52</c:v>
                </c:pt>
                <c:pt idx="1">
                  <c:v>0.725</c:v>
                </c:pt>
                <c:pt idx="2">
                  <c:v>0.8916666666666667</c:v>
                </c:pt>
              </c:numCache>
            </c:numRef>
          </c:val>
        </c:ser>
        <c:ser>
          <c:idx val="2"/>
          <c:order val="2"/>
          <c:tx>
            <c:v>Pi0.5</c:v>
          </c:tx>
          <c:spPr>
            <a:solidFill xmlns:a="http://schemas.openxmlformats.org/drawingml/2006/main">
              <a:srgbClr val="059669"/>
            </a:solidFill>
            <a:ln xmlns:a="http://schemas.openxmlformats.org/drawingml/2006/main">
              <a:solidFill>
                <a:srgbClr val="059669"/>
              </a:solidFill>
              <a:prstDash val="solid"/>
            </a:ln>
          </c:spPr>
          <c:cat>
            <c:strRef>
              <c:f>'GR00T Vision'!$AO$14:$AO$16</c:f>
              <c:strCache>
                <c:ptCount val="3"/>
                <c:pt idx="0">
                  <c:v>Concept/compositional transfer</c:v>
                </c:pt>
                <c:pt idx="1">
                  <c:v>In-distribution concept baseline</c:v>
                </c:pt>
                <c:pt idx="2">
                  <c:v>Matched manipulation control</c:v>
                </c:pt>
              </c:strCache>
            </c:strRef>
          </c:cat>
          <c:val>
            <c:numRef>
              <c:f>'Pi0.5'!$AQ$3:$AQ$5</c:f>
              <c:numCache>
                <c:formatCode>0.0%</c:formatCode>
                <c:ptCount val="3"/>
                <c:pt idx="0">
                  <c:v>0.4066666666666667</c:v>
                </c:pt>
                <c:pt idx="1">
                  <c:v>0.6833333333333333</c:v>
                </c:pt>
                <c:pt idx="2">
                  <c:v>0.8333333333333334</c:v>
                </c:pt>
              </c:numCache>
            </c:numRef>
          </c:val>
        </c:ser>
        <c:dLbls>
          <c:showLegendKey val="0"/>
          <c:showVal val="0"/>
          <c:showCatName val="0"/>
          <c:showSerName val="0"/>
          <c:showPercent val="0"/>
          <c:showBubbleSize val="0"/>
        </c:dLbls>
        <c:gapWidth val="40"/>
        <c:overlap val="-20"/>
        <c:axId val="901964928"/>
        <c:axId val="330519408"/>
      </c:barChart>
      <c:catAx>
        <c:axId val="901964928"/>
        <c:scaling>
          <c:orientation val="minMax"/>
        </c:scaling>
        <c:delete val="0"/>
        <c:axPos val="b"/>
        <c:numFmt formatCode="General"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1000">
                <a:solidFill>
                  <a:srgbClr val="222222"/>
                </a:solidFill>
                <a:latin typeface="Carlito"/>
                <a:ea typeface="Carlito"/>
                <a:cs typeface="Carlito"/>
              </a:defRPr>
            </a:pPr>
          </a:p>
        </c:txPr>
        <c:crossAx val="330519408"/>
        <c:crosses val="autoZero"/>
        <c:lblOffset val="100"/>
      </c:catAx>
      <c:valAx>
        <c:axId val="330519408"/>
        <c:scaling>
          <c:orientation val="minMax"/>
        </c:scaling>
        <c:delete val="0"/>
        <c:axPos val="l"/>
        <c:majorGridlines>
          <c:spPr>
            <a:ln xmlns:a="http://schemas.openxmlformats.org/drawingml/2006/main" w="12700">
              <a:solidFill>
                <a:srgbClr val="D9E2F3"/>
              </a:solidFill>
              <a:prstDash val="solid"/>
            </a:ln>
          </c:spPr>
        </c:majorGridlines>
        <c:numFmt formatCode="0.0%"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solidFill>
                  <a:srgbClr val="4F4F4F"/>
                </a:solidFill>
                <a:latin typeface="Carlito"/>
                <a:ea typeface="Carlito"/>
                <a:cs typeface="Carlito"/>
              </a:defRPr>
            </a:pPr>
          </a:p>
        </c:txPr>
        <c:crossAx val="901964928"/>
        <c:crosses val="autoZero"/>
        <c:crossBetween val="between"/>
        <c:majorUnit val="0.2"/>
      </c:valAx>
      <c:spPr>
        <a:solidFill xmlns:a="http://schemas.openxmlformats.org/drawingml/2006/main">
          <a:srgbClr val="FFFFFF"/>
        </a:solidFill>
      </c:spPr>
    </c:plotArea>
    <c:legend>
      <c:legendPos val="t"/>
      <c:overlay val="0"/>
      <c:txPr>
        <a:bodyPr xmlns:a="http://schemas.openxmlformats.org/drawingml/2006/main" anchorCtr="1"/>
        <a:lstStyle xmlns:a="http://schemas.openxmlformats.org/drawingml/2006/main"/>
        <a:p xmlns:a="http://schemas.openxmlformats.org/drawingml/2006/main">
          <a:pPr>
            <a:defRPr sz="1000">
              <a:solidFill>
                <a:srgbClr val="222222"/>
              </a:solidFill>
              <a:latin typeface="Carlito"/>
              <a:ea typeface="Carlito"/>
              <a:cs typeface="Carlito"/>
            </a:defRPr>
          </a:pPr>
        </a:p>
      </c:txPr>
    </c:legend>
    <c:plotVisOnly val="1"/>
  </c:chart>
  <c:spPr>
    <a:solidFill xmlns:a="http://schemas.openxmlformats.org/drawingml/2006/main">
      <a:srgbClr val="FFFFFF"/>
    </a:solidFill>
    <a:ln xmlns:a="http://schemas.openxmlformats.org/drawingml/2006/main">
      <a:solidFill>
        <a:srgbClr val="FFFFFF"/>
      </a:solidFill>
      <a:prstDash val="solid"/>
    </a:ln>
  </c:spPr>
</c:chartSpace>
</file>

<file path=xl/drawings/drawing1.xml><?xml version="1.0" encoding="utf-8"?>
<xdr:wsDr xmlns:xdr="http://schemas.openxmlformats.org/drawingml/2006/spreadsheetDrawing">
  <xdr:twoCellAnchor>
    <xdr:from>
      <xdr:col>3</xdr:col>
      <xdr:colOff>698500</xdr:colOff>
      <xdr:row>5</xdr:row>
      <xdr:rowOff>101599</xdr:rowOff>
    </xdr:from>
    <xdr:to>
      <xdr:col>6</xdr:col>
      <xdr:colOff>749300</xdr:colOff>
      <xdr:row>24</xdr:row>
      <xdr:rowOff>25399</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ffd32a231494054"/>
        </a:graphicData>
      </a:graphic>
    </xdr:graphicFrame>
    <xdr:clientData/>
  </xdr:twoCellAnchor>
  <xdr:twoCellAnchor>
    <xdr:from>
      <xdr:col>7</xdr:col>
      <xdr:colOff>419100</xdr:colOff>
      <xdr:row>6</xdr:row>
      <xdr:rowOff>139699</xdr:rowOff>
    </xdr:from>
    <xdr:to>
      <xdr:col>10</xdr:col>
      <xdr:colOff>469900</xdr:colOff>
      <xdr:row>24</xdr:row>
      <xdr:rowOff>241299</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c6bc31ba55647c2"/>
        </a:graphicData>
      </a:graphic>
    </xdr:graphicFrame>
    <xdr:clientData/>
  </xdr:twoCellAnchor>
  <xdr:twoCellAnchor>
    <xdr:from>
      <xdr:col>0</xdr:col>
      <xdr:colOff>0</xdr:colOff>
      <xdr:row>29</xdr:row>
      <xdr:rowOff>0</xdr:rowOff>
    </xdr:from>
    <xdr:to>
      <xdr:col>2</xdr:col>
      <xdr:colOff>279400</xdr:colOff>
      <xdr:row>42</xdr:row>
      <xdr:rowOff>177800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e47b3101404a4c"/>
        </a:graphicData>
      </a:graphic>
    </xdr:graphicFrame>
    <xdr:clientData/>
  </xdr:twoCellAnchor>
  <xdr:twoCellAnchor>
    <xdr:from>
      <xdr:col>11</xdr:col>
      <xdr:colOff>0</xdr:colOff>
      <xdr:row>29</xdr:row>
      <xdr:rowOff>0</xdr:rowOff>
    </xdr:from>
    <xdr:to>
      <xdr:col>13</xdr:col>
      <xdr:colOff>279400</xdr:colOff>
      <xdr:row>42</xdr:row>
      <xdr:rowOff>177800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ea623df210416d"/>
        </a:graphicData>
      </a:graphic>
    </xdr:graphicFrame>
    <xdr:clientData/>
  </xdr:twoCellAnchor>
</xdr:wsDr>
</file>

<file path=xl/drawings/drawing2.xml><?xml version="1.0" encoding="utf-8"?>
<xdr:wsDr xmlns:xdr="http://schemas.openxmlformats.org/drawingml/2006/spreadsheetDrawing">
  <xdr:twoCellAnchor>
    <xdr:from>
      <xdr:col>0</xdr:col>
      <xdr:colOff>143942</xdr:colOff>
      <xdr:row>145</xdr:row>
      <xdr:rowOff>16938</xdr:rowOff>
    </xdr:from>
    <xdr:to>
      <xdr:col>5</xdr:col>
      <xdr:colOff>461442</xdr:colOff>
      <xdr:row>166</xdr:row>
      <xdr:rowOff>93138</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1db3cc2ac04152"/>
        </a:graphicData>
      </a:graphic>
    </xdr:graphicFrame>
    <xdr:clientData/>
  </xdr:twoCellAnchor>
  <xdr:twoCellAnchor>
    <xdr:from>
      <xdr:col>5</xdr:col>
      <xdr:colOff>282055</xdr:colOff>
      <xdr:row>145</xdr:row>
      <xdr:rowOff>16938</xdr:rowOff>
    </xdr:from>
    <xdr:to>
      <xdr:col>11</xdr:col>
      <xdr:colOff>434455</xdr:colOff>
      <xdr:row>166</xdr:row>
      <xdr:rowOff>93138</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b9ab6449d804009"/>
        </a:graphicData>
      </a:graphic>
    </xdr:graphicFrame>
    <xdr:clientData/>
  </xdr:twoCellAnchor>
  <xdr:twoCellAnchor>
    <xdr:from>
      <xdr:col>11</xdr:col>
      <xdr:colOff>253847</xdr:colOff>
      <xdr:row>145</xdr:row>
      <xdr:rowOff>16938</xdr:rowOff>
    </xdr:from>
    <xdr:to>
      <xdr:col>17</xdr:col>
      <xdr:colOff>80322</xdr:colOff>
      <xdr:row>166</xdr:row>
      <xdr:rowOff>93138</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53c2d39851d46d1"/>
        </a:graphicData>
      </a:graphic>
    </xdr:graphicFrame>
    <xdr:clientData/>
  </xdr:twoCellAnchor>
  <xdr:twoCellAnchor>
    <xdr:from>
      <xdr:col>16</xdr:col>
      <xdr:colOff>380840</xdr:colOff>
      <xdr:row>145</xdr:row>
      <xdr:rowOff>16938</xdr:rowOff>
    </xdr:from>
    <xdr:to>
      <xdr:col>23</xdr:col>
      <xdr:colOff>36130</xdr:colOff>
      <xdr:row>166</xdr:row>
      <xdr:rowOff>93138</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9d297c33d5411f"/>
        </a:graphicData>
      </a:graphic>
    </xdr:graphicFrame>
    <xdr:clientData/>
  </xdr:twoCellAnchor>
  <xdr:twoCellAnchor>
    <xdr:from>
      <xdr:col>22</xdr:col>
      <xdr:colOff>301496</xdr:colOff>
      <xdr:row>145</xdr:row>
      <xdr:rowOff>16938</xdr:rowOff>
    </xdr:from>
    <xdr:to>
      <xdr:col>27</xdr:col>
      <xdr:colOff>476853</xdr:colOff>
      <xdr:row>166</xdr:row>
      <xdr:rowOff>93138</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d66077c3fe84466"/>
        </a:graphicData>
      </a:graphic>
    </xdr:graphicFrame>
    <xdr:clientData/>
  </xdr:twoCellAnchor>
  <xdr:twoCellAnchor>
    <xdr:from>
      <xdr:col>27</xdr:col>
      <xdr:colOff>225458</xdr:colOff>
      <xdr:row>145</xdr:row>
      <xdr:rowOff>16938</xdr:rowOff>
    </xdr:from>
    <xdr:to>
      <xdr:col>31</xdr:col>
      <xdr:colOff>327058</xdr:colOff>
      <xdr:row>166</xdr:row>
      <xdr:rowOff>93138</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a5e47a5b2c4193"/>
        </a:graphicData>
      </a:graphic>
    </xdr:graphicFrame>
    <xdr:clientData/>
  </xdr:twoCellAnchor>
  <xdr:twoCellAnchor>
    <xdr:from>
      <xdr:col>0</xdr:col>
      <xdr:colOff>160875</xdr:colOff>
      <xdr:row>165</xdr:row>
      <xdr:rowOff>160871</xdr:rowOff>
    </xdr:from>
    <xdr:to>
      <xdr:col>5</xdr:col>
      <xdr:colOff>478375</xdr:colOff>
      <xdr:row>187</xdr:row>
      <xdr:rowOff>50804</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ce82478d87d4c97"/>
        </a:graphicData>
      </a:graphic>
    </xdr:graphicFrame>
    <xdr:clientData/>
  </xdr:twoCellAnchor>
  <xdr:twoCellAnchor>
    <xdr:from>
      <xdr:col>5</xdr:col>
      <xdr:colOff>298989</xdr:colOff>
      <xdr:row>165</xdr:row>
      <xdr:rowOff>160871</xdr:rowOff>
    </xdr:from>
    <xdr:to>
      <xdr:col>11</xdr:col>
      <xdr:colOff>451389</xdr:colOff>
      <xdr:row>187</xdr:row>
      <xdr:rowOff>50804</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0153578676425b"/>
        </a:graphicData>
      </a:graphic>
    </xdr:graphicFrame>
    <xdr:clientData/>
  </xdr:twoCellAnchor>
  <xdr:twoCellAnchor>
    <xdr:from>
      <xdr:col>11</xdr:col>
      <xdr:colOff>270780</xdr:colOff>
      <xdr:row>165</xdr:row>
      <xdr:rowOff>160871</xdr:rowOff>
    </xdr:from>
    <xdr:to>
      <xdr:col>17</xdr:col>
      <xdr:colOff>97255</xdr:colOff>
      <xdr:row>187</xdr:row>
      <xdr:rowOff>50804</xdr:rowOff>
    </xdr:to>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bef079f2f64f9b"/>
        </a:graphicData>
      </a:graphic>
    </xdr:graphicFrame>
    <xdr:clientData/>
  </xdr:twoCellAnchor>
  <xdr:twoCellAnchor>
    <xdr:from>
      <xdr:col>16</xdr:col>
      <xdr:colOff>397773</xdr:colOff>
      <xdr:row>165</xdr:row>
      <xdr:rowOff>160871</xdr:rowOff>
    </xdr:from>
    <xdr:to>
      <xdr:col>23</xdr:col>
      <xdr:colOff>53609</xdr:colOff>
      <xdr:row>187</xdr:row>
      <xdr:rowOff>50804</xdr:rowOff>
    </xdr:to>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da710c9fc449ca"/>
        </a:graphicData>
      </a:graphic>
    </xdr:graphicFrame>
    <xdr:clientData/>
  </xdr:twoCellAnchor>
  <xdr:twoCellAnchor>
    <xdr:from>
      <xdr:col>22</xdr:col>
      <xdr:colOff>318429</xdr:colOff>
      <xdr:row>165</xdr:row>
      <xdr:rowOff>160871</xdr:rowOff>
    </xdr:from>
    <xdr:to>
      <xdr:col>27</xdr:col>
      <xdr:colOff>493786</xdr:colOff>
      <xdr:row>187</xdr:row>
      <xdr:rowOff>50804</xdr:rowOff>
    </xdr:to>
    <xdr:graphicFrame macro="">
      <xdr:nvGraphicFramePr>
        <xdr:cNvPr id="1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32444d5a9c41cd"/>
        </a:graphicData>
      </a:graphic>
    </xdr:graphicFrame>
    <xdr:clientData/>
  </xdr:twoCellAnchor>
  <xdr:twoCellAnchor>
    <xdr:from>
      <xdr:col>27</xdr:col>
      <xdr:colOff>242391</xdr:colOff>
      <xdr:row>165</xdr:row>
      <xdr:rowOff>160871</xdr:rowOff>
    </xdr:from>
    <xdr:to>
      <xdr:col>31</xdr:col>
      <xdr:colOff>343991</xdr:colOff>
      <xdr:row>187</xdr:row>
      <xdr:rowOff>50804</xdr:rowOff>
    </xdr:to>
    <xdr:graphicFrame macro="">
      <xdr:nvGraphicFramePr>
        <xdr:cNvPr id="1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39113203e34bba"/>
        </a:graphicData>
      </a:graphic>
    </xdr:graphicFrame>
    <xdr:clientData/>
  </xdr:twoCellAnchor>
  <xdr:twoCellAnchor editAs="oneCell">
    <xdr:from>
      <xdr:col>0</xdr:col>
      <xdr:colOff>0</xdr:colOff>
      <xdr:row>100</xdr:row>
      <xdr:rowOff>4233</xdr:rowOff>
    </xdr:from>
    <xdr:to>
      <xdr:col>33</xdr:col>
      <xdr:colOff>520700</xdr:colOff>
      <xdr:row>101</xdr:row>
      <xdr:rowOff>46567</xdr:rowOff>
    </xdr:to>
    <xdr:sp>
      <xdr:nvSpPr>
        <xdr:cNvPr id="13" name="SGR_ID_HEADER"/>
        <xdr:cNvSpPr>
          <a:spLocks xmlns:a="http://schemas.openxmlformats.org/drawingml/2006/main" noGrp="1"/>
        </xdr:cNvSpPr>
      </xdr:nvSpPr>
      <xdr:spPr>
        <a:xfrm xmlns:a="http://schemas.openxmlformats.org/drawingml/2006/main">
          <a:off x="0" y="18986500"/>
          <a:ext cx="17386300" cy="228600"/>
        </a:xfrm>
        <a:prstGeom xmlns:a="http://schemas.openxmlformats.org/drawingml/2006/main" prst="rect">
          <a:avLst/>
        </a:prstGeom>
        <a:solidFill xmlns:a="http://schemas.openxmlformats.org/drawingml/2006/main">
          <a:srgbClr val="DCEAF2"/>
        </a:solidFill>
        <a:ln xmlns:a="http://schemas.openxmlformats.org/drawingml/2006/main">
          <a:noFill/>
        </a:ln>
      </xdr:spPr>
      <xdr:txBody>
        <a:bodyPr xmlns:a="http://schemas.openxmlformats.org/drawingml/2006/main" vert="horz" wrap="square" lIns="50800" tIns="0" rIns="50800" bIns="0" anchor="ctr">
          <a:spAutoFit/>
        </a:bodyPr>
        <a:lstStyle xmlns:a="http://schemas.openxmlformats.org/drawingml/2006/main"/>
        <a:p xmlns:a="http://schemas.openxmlformats.org/drawingml/2006/main">
          <a:pPr algn="l">
            <a:buNone/>
          </a:pPr>
          <a:r>
            <a:rPr sz="1100" b="1" i="0" u="none" cap="none" spc="0">
              <a:ln>
                <a:noFill/>
              </a:ln>
              <a:solidFill>
                <a:srgbClr val="123F5A"/>
              </a:solidFill>
              <a:latin typeface="Arial"/>
              <a:ea typeface="Arial"/>
              <a:cs typeface="Arial"/>
            </a:rPr>
            <a:t>IN-DISTRIBUTION</a:t>
          </a:r>
          <a:endParaRPr/>
        </a:p>
      </xdr:txBody>
    </xdr:sp>
    <xdr:clientData/>
  </xdr:twoCellAnchor>
  <xdr:twoCellAnchor editAs="oneCell">
    <xdr:from>
      <xdr:col>0</xdr:col>
      <xdr:colOff>0</xdr:colOff>
      <xdr:row>119</xdr:row>
      <xdr:rowOff>46567</xdr:rowOff>
    </xdr:from>
    <xdr:to>
      <xdr:col>33</xdr:col>
      <xdr:colOff>520700</xdr:colOff>
      <xdr:row>120</xdr:row>
      <xdr:rowOff>88900</xdr:rowOff>
    </xdr:to>
    <xdr:sp>
      <xdr:nvSpPr>
        <xdr:cNvPr id="14" name="SGR_TRANSFER_HEADER"/>
        <xdr:cNvSpPr>
          <a:spLocks xmlns:a="http://schemas.openxmlformats.org/drawingml/2006/main" noGrp="1"/>
        </xdr:cNvSpPr>
      </xdr:nvSpPr>
      <xdr:spPr>
        <a:xfrm xmlns:a="http://schemas.openxmlformats.org/drawingml/2006/main">
          <a:off x="0" y="22567900"/>
          <a:ext cx="17386300" cy="228600"/>
        </a:xfrm>
        <a:prstGeom xmlns:a="http://schemas.openxmlformats.org/drawingml/2006/main" prst="rect">
          <a:avLst/>
        </a:prstGeom>
        <a:solidFill xmlns:a="http://schemas.openxmlformats.org/drawingml/2006/main">
          <a:srgbClr val="DCEAF2"/>
        </a:solidFill>
        <a:ln xmlns:a="http://schemas.openxmlformats.org/drawingml/2006/main">
          <a:noFill/>
        </a:ln>
      </xdr:spPr>
      <xdr:txBody>
        <a:bodyPr xmlns:a="http://schemas.openxmlformats.org/drawingml/2006/main" vert="horz" wrap="square" lIns="50800" tIns="0" rIns="50800" bIns="0" anchor="ctr">
          <a:spAutoFit/>
        </a:bodyPr>
        <a:lstStyle xmlns:a="http://schemas.openxmlformats.org/drawingml/2006/main"/>
        <a:p xmlns:a="http://schemas.openxmlformats.org/drawingml/2006/main">
          <a:pPr algn="l">
            <a:buNone/>
          </a:pPr>
          <a:r>
            <a:rPr sz="1100" b="1" i="0" u="none" cap="none" spc="0">
              <a:ln>
                <a:noFill/>
              </a:ln>
              <a:solidFill>
                <a:srgbClr val="123F5A"/>
              </a:solidFill>
              <a:latin typeface="Arial"/>
              <a:ea typeface="Arial"/>
              <a:cs typeface="Arial"/>
            </a:rPr>
            <a:t>COMPOSITIONAL TRANSFER</a:t>
          </a:r>
          <a:endParaRPr/>
        </a:p>
      </xdr:txBody>
    </xdr:sp>
    <xdr:clientData/>
  </xdr:twoCellAnchor>
  <xdr:twoCellAnchor editAs="oneCell">
    <xdr:from>
      <xdr:col>0</xdr:col>
      <xdr:colOff>0</xdr:colOff>
      <xdr:row>137</xdr:row>
      <xdr:rowOff>71967</xdr:rowOff>
    </xdr:from>
    <xdr:to>
      <xdr:col>33</xdr:col>
      <xdr:colOff>520700</xdr:colOff>
      <xdr:row>139</xdr:row>
      <xdr:rowOff>4233</xdr:rowOff>
    </xdr:to>
    <xdr:sp>
      <xdr:nvSpPr>
        <xdr:cNvPr id="15" name="SGR_SHARED_LEGEND"/>
        <xdr:cNvSpPr>
          <a:spLocks xmlns:a="http://schemas.openxmlformats.org/drawingml/2006/main" noGrp="1"/>
        </xdr:cNvSpPr>
      </xdr:nvSpPr>
      <xdr:spPr>
        <a:xfrm xmlns:a="http://schemas.openxmlformats.org/drawingml/2006/main">
          <a:off x="0" y="25946100"/>
          <a:ext cx="17386300" cy="304800"/>
        </a:xfrm>
        <a:prstGeom xmlns:a="http://schemas.openxmlformats.org/drawingml/2006/main" prst="rect">
          <a:avLst/>
        </a:prstGeom>
        <a:solidFill xmlns:a="http://schemas.openxmlformats.org/drawingml/2006/main">
          <a:srgbClr val="FFFFFF"/>
        </a:solidFill>
        <a:ln xmlns:a="http://schemas.openxmlformats.org/drawingml/2006/main" w="12700">
          <a:solidFill>
            <a:srgbClr val="000000"/>
          </a:solidFill>
        </a:ln>
      </xdr:spPr>
      <xdr:txBody>
        <a:bodyPr xmlns:a="http://schemas.openxmlformats.org/drawingml/2006/main" vert="horz" wrap="square" lIns="50800" tIns="0" rIns="50800" bIns="0" anchor="ctr">
          <a:spAutoFit/>
        </a:bodyPr>
        <a:lstStyle xmlns:a="http://schemas.openxmlformats.org/drawingml/2006/main"/>
        <a:p xmlns:a="http://schemas.openxmlformats.org/drawingml/2006/main">
          <a:pPr algn="ctr">
            <a:buNone/>
          </a:pPr>
          <a:r>
            <a:rPr sz="1200" b="0" i="0" u="none" cap="none" spc="0">
              <a:ln>
                <a:noFill/>
              </a:ln>
              <a:solidFill>
                <a:srgbClr val="747C8B"/>
              </a:solidFill>
              <a:latin typeface="Arial"/>
              <a:ea typeface="Arial"/>
              <a:cs typeface="Arial"/>
            </a:rPr>
            <a:t>■</a:t>
          </a:r>
          <a:r>
            <a:rPr sz="900" b="0" i="0" u="none" cap="none" spc="0">
              <a:ln>
                <a:noFill/>
              </a:ln>
              <a:solidFill>
                <a:srgbClr val="000000"/>
              </a:solidFill>
              <a:latin typeface="Arial"/>
              <a:ea typeface="Arial"/>
              <a:cs typeface="Arial"/>
            </a:rPr>
            <a:t> VLA-0     </a:t>
          </a:r>
          <a:r>
            <a:rPr sz="1200" b="0" i="0" u="none" cap="none" spc="0">
              <a:ln>
                <a:noFill/>
              </a:ln>
              <a:solidFill>
                <a:srgbClr val="2563EB"/>
              </a:solidFill>
              <a:latin typeface="Arial"/>
              <a:ea typeface="Arial"/>
              <a:cs typeface="Arial"/>
            </a:rPr>
            <a:t>■</a:t>
          </a:r>
          <a:r>
            <a:rPr sz="900" b="0" i="0" u="none" cap="none" spc="0">
              <a:ln>
                <a:noFill/>
              </a:ln>
              <a:solidFill>
                <a:srgbClr val="000000"/>
              </a:solidFill>
              <a:latin typeface="Arial"/>
              <a:ea typeface="Arial"/>
              <a:cs typeface="Arial"/>
            </a:rPr>
            <a:t> GR00T-N1.7 Vision     </a:t>
          </a:r>
          <a:r>
            <a:rPr sz="1200" b="0" i="0" u="none" cap="none" spc="0">
              <a:ln>
                <a:noFill/>
              </a:ln>
              <a:solidFill>
                <a:srgbClr val="7C3AED"/>
              </a:solidFill>
              <a:latin typeface="Arial"/>
              <a:ea typeface="Arial"/>
              <a:cs typeface="Arial"/>
            </a:rPr>
            <a:t>■</a:t>
          </a:r>
          <a:r>
            <a:rPr sz="900" b="0" i="0" u="none" cap="none" spc="0">
              <a:ln>
                <a:noFill/>
              </a:ln>
              <a:solidFill>
                <a:srgbClr val="000000"/>
              </a:solidFill>
              <a:latin typeface="Arial"/>
              <a:ea typeface="Arial"/>
              <a:cs typeface="Arial"/>
            </a:rPr>
            <a:t> GR00T-N1.7 Full FT     </a:t>
          </a:r>
          <a:r>
            <a:rPr sz="1200" b="0" i="0" u="none" cap="none" spc="0">
              <a:ln>
                <a:noFill/>
              </a:ln>
              <a:solidFill>
                <a:srgbClr val="E47700"/>
              </a:solidFill>
              <a:latin typeface="Arial"/>
              <a:ea typeface="Arial"/>
              <a:cs typeface="Arial"/>
            </a:rPr>
            <a:t>■</a:t>
          </a:r>
          <a:r>
            <a:rPr sz="900" b="0" i="0" u="none" cap="none" spc="0">
              <a:ln>
                <a:noFill/>
              </a:ln>
              <a:solidFill>
                <a:srgbClr val="000000"/>
              </a:solidFill>
              <a:latin typeface="Arial"/>
              <a:ea typeface="Arial"/>
              <a:cs typeface="Arial"/>
            </a:rPr>
            <a:t> MolmoAct2     </a:t>
          </a:r>
          <a:r>
            <a:rPr sz="1200" b="0" i="0" u="none" cap="none" spc="0">
              <a:ln>
                <a:noFill/>
              </a:ln>
              <a:solidFill>
                <a:srgbClr val="07966F"/>
              </a:solidFill>
              <a:latin typeface="Arial"/>
              <a:ea typeface="Arial"/>
              <a:cs typeface="Arial"/>
            </a:rPr>
            <a:t>■</a:t>
          </a:r>
          <a:r>
            <a:rPr sz="900" b="0" i="0" u="none" cap="none" spc="0">
              <a:ln>
                <a:noFill/>
              </a:ln>
              <a:solidFill>
                <a:srgbClr val="000000"/>
              </a:solidFill>
              <a:latin typeface="Arial"/>
              <a:ea typeface="Arial"/>
              <a:cs typeface="Arial"/>
            </a:rPr>
            <a:t> Pi0.5</a:t>
          </a:r>
          <a:endParaRPr/>
        </a:p>
      </xdr:txBody>
    </xdr:sp>
    <xdr:clientData/>
  </xdr:twoCellAnchor>
</xdr:wsDr>
</file>

<file path=xl/drawings/drawing3.xml><?xml version="1.0" encoding="utf-8"?>
<xdr:wsDr xmlns:xdr="http://schemas.openxmlformats.org/drawingml/2006/spreadsheetDrawing">
  <xdr:twoCellAnchor>
    <xdr:from>
      <xdr:col>0</xdr:col>
      <xdr:colOff>0</xdr:colOff>
      <xdr:row>0</xdr:row>
      <xdr:rowOff>0</xdr:rowOff>
    </xdr:from>
    <xdr:to>
      <xdr:col>17</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04194cb194d4c6f"/>
        </a:graphicData>
      </a:graphic>
    </xdr:graphicFrame>
    <xdr:clientData/>
  </xdr:twoCellAnchor>
  <xdr:twoCellAnchor editAs="oneCell">
    <xdr:from>
      <xdr:col>3</xdr:col>
      <xdr:colOff>63500</xdr:colOff>
      <xdr:row>7</xdr:row>
      <xdr:rowOff>25400</xdr:rowOff>
    </xdr:from>
    <xdr:to>
      <xdr:col>3</xdr:col>
      <xdr:colOff>63500</xdr:colOff>
      <xdr:row>10</xdr:row>
      <xdr:rowOff>127000</xdr:rowOff>
    </xdr:to>
    <xdr:sp>
      <xdr:nvSpPr>
        <xdr:cNvPr id="2" name="Overall_CI_Test"/>
        <xdr:cNvSpPr>
          <a:spLocks xmlns:a="http://schemas.openxmlformats.org/drawingml/2006/main" noGrp="1"/>
        </xdr:cNvSpPr>
      </xdr:nvSpPr>
      <xdr:spPr>
        <a:xfrm xmlns:a="http://schemas.openxmlformats.org/drawingml/2006/main">
          <a:off x="2540000" y="1270000"/>
          <a:ext cx="0" cy="635000"/>
        </a:xfrm>
        <a:prstGeom xmlns:a="http://schemas.openxmlformats.org/drawingml/2006/main" prst="straightConnector1">
          <a:avLst/>
        </a:prstGeom>
        <a:noFill xmlns:a="http://schemas.openxmlformats.org/drawingml/2006/main"/>
        <a:ln xmlns:a="http://schemas.openxmlformats.org/drawingml/2006/main" w="12700">
          <a:solidFill>
            <a:srgbClr val="333333"/>
          </a:solidFill>
          <a:prstDash val="solid"/>
        </a:ln>
      </xdr:spPr>
      <x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xdr:style>
    </xdr:sp>
    <xdr:clientData/>
  </xdr:twoCellAnchor>
</xdr:wsDr>
</file>

<file path=xl/pivotTables/_rels/pivotTable.xml.rels>&#65279;<?xml version="1.0" encoding="utf-8"?><Relationships xmlns="http://schemas.openxmlformats.org/package/2006/relationships"><Relationship Type="http://schemas.openxmlformats.org/officeDocument/2006/relationships/pivotCacheDefinition" Target="/pivotCache/pivotCacheDefinition1.xml" Id="R0cb7b3ec73c44937" /></Relationships>
</file>

<file path=xl/pivotTables/_rels/pivotTable2.xml.rels>&#65279;<?xml version="1.0" encoding="utf-8"?><Relationships xmlns="http://schemas.openxmlformats.org/package/2006/relationships"><Relationship Type="http://schemas.openxmlformats.org/officeDocument/2006/relationships/pivotCacheDefinition" Target="/pivotCache/pivotCacheDefinition1.xml" Id="Rbe54649317eb49f5" /></Relationships>
</file>

<file path=xl/pivotTables/_rels/pivotTable3.xml.rels>&#65279;<?xml version="1.0" encoding="utf-8"?><Relationships xmlns="http://schemas.openxmlformats.org/package/2006/relationships"><Relationship Type="http://schemas.openxmlformats.org/officeDocument/2006/relationships/pivotCacheDefinition" Target="/pivotCache/pivotCacheDefinition2.xml" Id="Rcd81ac3d8147459a" /></Relationships>
</file>

<file path=xl/pivotTables/_rels/pivotTable4.xml.rels>&#65279;<?xml version="1.0" encoding="utf-8"?><Relationships xmlns="http://schemas.openxmlformats.org/package/2006/relationships"><Relationship Type="http://schemas.openxmlformats.org/officeDocument/2006/relationships/pivotCacheDefinition" Target="/pivotCache/pivotCacheDefinition3.xml" Id="R71efbffaebe44e53" /></Relationships>
</file>

<file path=xl/pivotTables/pivotTable.xml><?xml version="1.0" encoding="utf-8"?>
<x:pivotTableDefinition xmlns:x="http://schemas.openxmlformats.org/spreadsheetml/2006/main" name="GR00T_Overall_Pivot"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x:location ref="AO3:AQ5" firstHeaderRow="1" firstDataRow="2" firstDataCol="1" rowPageCount="1" colPageCount="1"/>
  <x:pivotFields count="8">
    <x:pivotField axis="axisValues" dataField="1" compact="0" outline="0" showAll="0">
      <x:items count="3">
        <x:item x="1"/>
        <x:item x="0"/>
        <x:item t="default"/>
      </x:items>
    </x:pivotField>
    <x:pivotField dataField="0" compact="0" outline="0" showAll="0"/>
    <x:pivotField dataField="0" compact="0" numFmtId="1" outline="0" showAll="0"/>
    <x:pivotField dataField="0" compact="0" outline="0" showAll="0"/>
    <x:pivotField dataField="0" compact="0" outline="0" showAll="0"/>
    <x:pivotField dataField="0" compact="0" outline="0" showAll="0"/>
    <x:pivotField dataField="0" compact="0" outline="0" showAll="0"/>
    <x:pivotField axis="axisPage" dataField="0" compact="0" outline="0" showAll="0">
      <x:items count="18">
        <x:item x="1"/>
        <x:item x="16"/>
        <x:item x="15"/>
        <x:item x="13"/>
        <x:item x="7"/>
        <x:item x="9"/>
        <x:item x="8"/>
        <x:item x="11"/>
        <x:item x="6"/>
        <x:item x="0"/>
        <x:item x="10"/>
        <x:item x="3"/>
        <x:item x="2"/>
        <x:item x="14"/>
        <x:item x="5"/>
        <x:item x="4"/>
        <x:item x="12"/>
        <x:item t="default"/>
      </x:items>
    </x:pivotField>
  </x:pivotFields>
  <x:rowItems count="1">
    <x:i>
      <x:x v="0"/>
    </x:i>
  </x:rowItems>
  <x:colFields count="1">
    <x:field x="0"/>
  </x:colFields>
  <x:colItems count="2">
    <x:i>
      <x:x v="0"/>
    </x:i>
    <x:i>
      <x:x v="1"/>
    </x:i>
  </x:colItems>
  <x:pageFields count="1">
    <x:pageField fld="7" hier="-1"/>
  </x:pageFields>
  <x:dataFields count="1">
    <x:dataField name="Trials" fld="0" subtotal="count" baseField="0" baseItem="0" numFmtId="1"/>
  </x:dataFields>
  <x:pivotTableStyleInfo name="PivotStyleLight16" showRowHeaders="1" showColHeaders="1" showRowStripes="0" showColStripes="0" showLastColumn="1"/>
  <x:extLst xmlns:x="http://schemas.openxmlformats.org/spreadsheetml/2006/main">
    <x:ext xmlns:x14="http://schemas.microsoft.com/office/spreadsheetml/2009/9/main" uri="{962EF5D1-5CA2-4c93-8EF4-DBF5C05439D2}">
      <x14:pivotTableDefinition xmlns:xm="http://schemas.microsoft.com/office/excel/2006/main" hideValuesRow="1"/>
    </x:ext>
    <x:ext xmlns:xpdl="http://schemas.microsoft.com/office/spreadsheetml/2016/pivotdefaultlayout" uri="{747A6164-185A-40DC-8AA5-F01512510D54}">
      <xpdl:pivotTableDefinition16/>
    </x:ext>
  </x:extLst>
</x:pivotTableDefinition>
</file>

<file path=xl/pivotTables/pivotTable2.xml><?xml version="1.0" encoding="utf-8"?>
<x:pivotTableDefinition xmlns:x="http://schemas.openxmlformats.org/spreadsheetml/2006/main" name="GR00T_Overall_Pivot2"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x:location ref="AO12:AQ16" firstHeaderRow="1" firstDataRow="2" firstDataCol="1"/>
  <x:pivotFields count="8">
    <x:pivotField axis="axisValues" dataField="1" compact="0" outline="0" showAll="0">
      <x:items count="3">
        <x:item x="1"/>
        <x:item x="0"/>
        <x:item t="default"/>
      </x:items>
    </x:pivotField>
    <x:pivotField dataField="0" compact="0" outline="0" showAll="0"/>
    <x:pivotField dataField="0" compact="0" numFmtId="1" outline="0" showAll="0"/>
    <x:pivotField dataField="0" compact="0" outline="0" showAll="0"/>
    <x:pivotField dataField="0" compact="0" outline="0" showAll="0"/>
    <x:pivotField dataField="0" compact="0" outline="0" showAll="0"/>
    <x:pivotField dataField="0" compact="0" outline="0" showAll="0"/>
    <x:pivotField axis="axisRow" dataField="0" compact="0" outline="0" showAll="0">
      <x:items count="18">
        <x:item x="1"/>
        <x:item h="1" x="16"/>
        <x:item h="1" x="15"/>
        <x:item h="1" x="13"/>
        <x:item h="1" x="7"/>
        <x:item h="1" x="9"/>
        <x:item h="1" x="8"/>
        <x:item h="1" x="11"/>
        <x:item h="1" x="6"/>
        <x:item x="0"/>
        <x:item h="1" x="10"/>
        <x:item h="1" x="3"/>
        <x:item x="2"/>
        <x:item h="1" x="14"/>
        <x:item h="1" x="5"/>
        <x:item h="1" x="4"/>
        <x:item h="1" x="12"/>
        <x:item t="default"/>
      </x:items>
    </x:pivotField>
  </x:pivotFields>
  <x:rowFields count="1">
    <x:field x="7"/>
  </x:rowFields>
  <x:rowItems count="3">
    <x:i>
      <x:x v="0"/>
    </x:i>
    <x:i>
      <x:x v="1"/>
    </x:i>
    <x:i>
      <x:x v="2"/>
    </x:i>
  </x:rowItems>
  <x:colFields count="1">
    <x:field x="0"/>
  </x:colFields>
  <x:colItems count="2">
    <x:i>
      <x:x v="0"/>
    </x:i>
    <x:i>
      <x:x v="1"/>
    </x:i>
  </x:colItems>
  <x:dataFields count="1">
    <x:dataField name="Trials" fld="0" subtotal="count" showDataAs="percentOfRow" baseField="0" baseItem="0" numFmtId="165"/>
  </x:dataFields>
  <x:pivotTableStyleInfo name="PivotStyleLight16" showRowHeaders="1" showColHeaders="1" showRowStripes="0" showColStripes="0" showLastColumn="1"/>
  <x:extLst xmlns:x="http://schemas.openxmlformats.org/spreadsheetml/2006/main">
    <x:ext xmlns:x14="http://schemas.microsoft.com/office/spreadsheetml/2009/9/main" uri="{962EF5D1-5CA2-4c93-8EF4-DBF5C05439D2}">
      <x14:pivotTableDefinition xmlns:xm="http://schemas.microsoft.com/office/excel/2006/main" hideValuesRow="1"/>
    </x:ext>
    <x:ext xmlns:xpdl="http://schemas.microsoft.com/office/spreadsheetml/2016/pivotdefaultlayout" uri="{747A6164-185A-40DC-8AA5-F01512510D54}">
      <xpdl:pivotTableDefinition16/>
    </x:ext>
  </x:extLst>
</x:pivotTableDefinition>
</file>

<file path=xl/pivotTables/pivotTable3.xml><?xml version="1.0" encoding="utf-8"?>
<x:pivotTableDefinition xmlns:x="http://schemas.openxmlformats.org/spreadsheetml/2006/main" name="Molmo_Overall_Pivot"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x:location ref="AO1:AQ5" firstHeaderRow="1" firstDataRow="2" firstDataCol="1"/>
  <x:pivotFields count="8">
    <x:pivotField axis="axisValues" dataField="1" compact="0" outline="0" showAll="0">
      <x:items count="3">
        <x:item x="1"/>
        <x:item x="0"/>
        <x:item t="default"/>
      </x:items>
    </x:pivotField>
    <x:pivotField dataField="0" compact="0" outline="0" showAll="0"/>
    <x:pivotField dataField="0" compact="0" numFmtId="1" outline="0" showAll="0"/>
    <x:pivotField dataField="0" compact="0" outline="0" showAll="0"/>
    <x:pivotField dataField="0" compact="0" outline="0" showAll="0"/>
    <x:pivotField dataField="0" compact="0" outline="0" showAll="0"/>
    <x:pivotField dataField="0" compact="0" outline="0" showAll="0"/>
    <x:pivotField axis="axisRow" dataField="0" compact="0" outline="0" showAll="0">
      <x:items count="18">
        <x:item x="1"/>
        <x:item h="1" x="16"/>
        <x:item h="1" x="15"/>
        <x:item h="1" x="13"/>
        <x:item h="1" x="7"/>
        <x:item h="1" x="9"/>
        <x:item h="1" x="8"/>
        <x:item h="1" x="11"/>
        <x:item h="1" x="6"/>
        <x:item x="0"/>
        <x:item h="1" x="10"/>
        <x:item h="1" x="3"/>
        <x:item x="2"/>
        <x:item h="1" x="14"/>
        <x:item h="1" x="5"/>
        <x:item h="1" x="4"/>
        <x:item h="1" x="12"/>
        <x:item t="default"/>
      </x:items>
    </x:pivotField>
  </x:pivotFields>
  <x:rowFields count="1">
    <x:field x="7"/>
  </x:rowFields>
  <x:rowItems count="3">
    <x:i>
      <x:x v="0"/>
    </x:i>
    <x:i>
      <x:x v="1"/>
    </x:i>
    <x:i>
      <x:x v="2"/>
    </x:i>
  </x:rowItems>
  <x:colFields count="1">
    <x:field x="0"/>
  </x:colFields>
  <x:colItems count="2">
    <x:i>
      <x:x v="0"/>
    </x:i>
    <x:i>
      <x:x v="1"/>
    </x:i>
  </x:colItems>
  <x:dataFields count="1">
    <x:dataField name="Trials" fld="0" subtotal="count" showDataAs="percentOfRow" baseField="0" baseItem="0" numFmtId="165"/>
  </x:dataFields>
  <x:pivotTableStyleInfo name="PivotStyleLight16" showRowHeaders="1" showColHeaders="1" showRowStripes="0" showColStripes="0" showLastColumn="1"/>
  <x:extLst xmlns:x="http://schemas.openxmlformats.org/spreadsheetml/2006/main">
    <x:ext xmlns:x14="http://schemas.microsoft.com/office/spreadsheetml/2009/9/main" uri="{962EF5D1-5CA2-4c93-8EF4-DBF5C05439D2}">
      <x14:pivotTableDefinition xmlns:xm="http://schemas.microsoft.com/office/excel/2006/main" hideValuesRow="1"/>
    </x:ext>
    <x:ext xmlns:xpdl="http://schemas.microsoft.com/office/spreadsheetml/2016/pivotdefaultlayout" uri="{747A6164-185A-40DC-8AA5-F01512510D54}">
      <xpdl:pivotTableDefinition16/>
    </x:ext>
  </x:extLst>
</x:pivotTableDefinition>
</file>

<file path=xl/pivotTables/pivotTable4.xml><?xml version="1.0" encoding="utf-8"?>
<x:pivotTableDefinition xmlns:x="http://schemas.openxmlformats.org/spreadsheetml/2006/main" name="Pi_Overall_Pivot" cacheId="5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x:location ref="AO1:AQ5" firstHeaderRow="1" firstDataRow="2" firstDataCol="1"/>
  <x:pivotFields count="8">
    <x:pivotField axis="axisValues" dataField="1" compact="0" outline="0" showAll="0">
      <x:items count="3">
        <x:item x="1"/>
        <x:item x="0"/>
        <x:item t="default"/>
      </x:items>
    </x:pivotField>
    <x:pivotField dataField="0" compact="0" outline="0" showAll="0"/>
    <x:pivotField dataField="0" compact="0" numFmtId="1" outline="0" showAll="0"/>
    <x:pivotField dataField="0" compact="0" outline="0" showAll="0"/>
    <x:pivotField dataField="0" compact="0" outline="0" showAll="0"/>
    <x:pivotField dataField="0" compact="0" outline="0" showAll="0"/>
    <x:pivotField dataField="0" compact="0" outline="0" showAll="0"/>
    <x:pivotField axis="axisRow" dataField="0" compact="0" outline="0" showAll="0">
      <x:items count="18">
        <x:item x="1"/>
        <x:item h="1" x="16"/>
        <x:item h="1" x="15"/>
        <x:item h="1" x="13"/>
        <x:item h="1" x="7"/>
        <x:item h="1" x="9"/>
        <x:item h="1" x="8"/>
        <x:item h="1" x="11"/>
        <x:item h="1" x="6"/>
        <x:item x="0"/>
        <x:item h="1" x="10"/>
        <x:item h="1" x="3"/>
        <x:item x="2"/>
        <x:item h="1" x="14"/>
        <x:item h="1" x="5"/>
        <x:item h="1" x="4"/>
        <x:item h="1" x="12"/>
        <x:item t="default"/>
      </x:items>
    </x:pivotField>
  </x:pivotFields>
  <x:rowFields count="1">
    <x:field x="7"/>
  </x:rowFields>
  <x:rowItems count="3">
    <x:i>
      <x:x v="0"/>
    </x:i>
    <x:i>
      <x:x v="1"/>
    </x:i>
    <x:i>
      <x:x v="2"/>
    </x:i>
  </x:rowItems>
  <x:colFields count="1">
    <x:field x="0"/>
  </x:colFields>
  <x:colItems count="2">
    <x:i>
      <x:x v="0"/>
    </x:i>
    <x:i>
      <x:x v="1"/>
    </x:i>
  </x:colItems>
  <x:dataFields count="1">
    <x:dataField name="Trials" fld="0" subtotal="count" showDataAs="percentOfRow" baseField="0" baseItem="0" numFmtId="165"/>
  </x:dataFields>
  <x:pivotTableStyleInfo name="PivotStyleLight16" showRowHeaders="1" showColHeaders="1" showRowStripes="0" showColStripes="0" showLastColumn="1"/>
  <x:extLst xmlns:x="http://schemas.openxmlformats.org/spreadsheetml/2006/main">
    <x:ext xmlns:x14="http://schemas.microsoft.com/office/spreadsheetml/2009/9/main" uri="{962EF5D1-5CA2-4c93-8EF4-DBF5C05439D2}">
      <x14:pivotTableDefinition xmlns:xm="http://schemas.microsoft.com/office/excel/2006/main" hideValuesRow="1"/>
    </x:ext>
    <x:ext xmlns:xpdl="http://schemas.microsoft.com/office/spreadsheetml/2016/pivotdefaultlayout" uri="{747A6164-185A-40DC-8AA5-F01512510D54}">
      <xpdl:pivotTableDefinition16/>
    </x:ext>
  </x:extLst>
</x:pivotTableDefinition>
</file>

<file path=xl/tables/table1.xml><?xml version="1.0" encoding="utf-8"?>
<x:table xmlns:x="http://schemas.openxmlformats.org/spreadsheetml/2006/main" id="1" name="VLA0Evaluations" displayName="VLA0Evaluations" ref="A1:AN73"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2.xml><?xml version="1.0" encoding="utf-8"?>
<x:table xmlns:x="http://schemas.openxmlformats.org/spreadsheetml/2006/main" id="2" name="GR00TVisionEvaluations" displayName="GR00TVisionEvaluations" ref="A1:AN901"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3.xml><?xml version="1.0" encoding="utf-8"?>
<x:table xmlns:x="http://schemas.openxmlformats.org/spreadsheetml/2006/main" id="3" name="GR00TFullEvaluations" displayName="GR00TFullEvaluations" ref="A1:AN121"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4.xml><?xml version="1.0" encoding="utf-8"?>
<x:table xmlns:x="http://schemas.openxmlformats.org/spreadsheetml/2006/main" id="4" name="MolmoAct2Evaluations" displayName="MolmoAct2Evaluations" ref="A1:AN901"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5.xml><?xml version="1.0" encoding="utf-8"?>
<x:table xmlns:x="http://schemas.openxmlformats.org/spreadsheetml/2006/main" id="5" name="Pi05Evaluations" displayName="Pi05Evaluations" ref="A1:AN901"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6.xml><?xml version="1.0" encoding="utf-8"?>
<x:table xmlns:x="http://schemas.openxmlformats.org/spreadsheetml/2006/main" id="6" name="GR00TActionOnlyEvaluations" displayName="GR00TActionOnlyEvaluations" ref="A1:AN21"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7.xml><?xml version="1.0" encoding="utf-8"?>
<x:table xmlns:x="http://schemas.openxmlformats.org/spreadsheetml/2006/main" id="7" name="ResultsAnalysisTable" displayName="ResultsAnalysisTable" ref="A1:M57" totalsRowShown="0">
  <x:tableColumns count="13">
    <x:tableColumn id="1" name="Segment"/>
    <x:tableColumn id="2" name="Task"/>
    <x:tableColumn id="3" name="Model"/>
    <x:tableColumn id="4" name="Model Sheet"/>
    <x:tableColumn id="5" name="Success"/>
    <x:tableColumn id="6" name="Failure"/>
    <x:tableColumn id="7" name="Scored"/>
    <x:tableColumn id="8" name="Success Rate"/>
    <x:tableColumn id="9" name="Wilson Center"/>
    <x:tableColumn id="10" name="Wilson Half-width"/>
    <x:tableColumn id="11" name="CI Lower"/>
    <x:tableColumn id="12" name="CI Upper"/>
    <x:tableColumn id="13" name="Wilson 95% C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0d4b4d4fe9c48fc" /></Relationships>
</file>

<file path=xl/worksheets/_rels/sheet3.xml.rels>&#65279;<?xml version="1.0" encoding="utf-8"?><Relationships xmlns="http://schemas.openxmlformats.org/package/2006/relationships"><Relationship Type="http://schemas.openxmlformats.org/officeDocument/2006/relationships/table" Target="/xl/tables/table1.xml" Id="R7c06ceca33ca4e9a" /></Relationships>
</file>

<file path=xl/worksheets/_rels/sheet4.xml.rels>&#65279;<?xml version="1.0" encoding="utf-8"?><Relationships xmlns="http://schemas.openxmlformats.org/package/2006/relationships"><Relationship Type="http://schemas.openxmlformats.org/officeDocument/2006/relationships/table" Target="/xl/tables/table2.xml" Id="Re4856a569cb64658" /><Relationship Type="http://schemas.openxmlformats.org/officeDocument/2006/relationships/pivotTable" Target="/xl/pivotTables/pivotTable.xml" Id="R22f2f8b35b03406e" /><Relationship Type="http://schemas.openxmlformats.org/officeDocument/2006/relationships/pivotTable" Target="/xl/pivotTables/pivotTable2.xml" Id="Re8fdf78efe024c9d" /></Relationships>
</file>

<file path=xl/worksheets/_rels/sheet5.xml.rels>&#65279;<?xml version="1.0" encoding="utf-8"?><Relationships xmlns="http://schemas.openxmlformats.org/package/2006/relationships"><Relationship Type="http://schemas.openxmlformats.org/officeDocument/2006/relationships/table" Target="/xl/tables/table3.xml" Id="R3a790c14007444cc" /></Relationships>
</file>

<file path=xl/worksheets/_rels/sheet6.xml.rels>&#65279;<?xml version="1.0" encoding="utf-8"?><Relationships xmlns="http://schemas.openxmlformats.org/package/2006/relationships"><Relationship Type="http://schemas.openxmlformats.org/officeDocument/2006/relationships/table" Target="/xl/tables/table4.xml" Id="R6f94d97ec0644621" /><Relationship Type="http://schemas.openxmlformats.org/officeDocument/2006/relationships/pivotTable" Target="/xl/pivotTables/pivotTable3.xml" Id="R9103f7be88654225" /></Relationships>
</file>

<file path=xl/worksheets/_rels/sheet7.xml.rels>&#65279;<?xml version="1.0" encoding="utf-8"?><Relationships xmlns="http://schemas.openxmlformats.org/package/2006/relationships"><Relationship Type="http://schemas.openxmlformats.org/officeDocument/2006/relationships/table" Target="/xl/tables/table5.xml" Id="Rbec9d7e9a4fe4289" /><Relationship Type="http://schemas.openxmlformats.org/officeDocument/2006/relationships/pivotTable" Target="/xl/pivotTables/pivotTable4.xml" Id="R6770498f64214641" /></Relationships>
</file>

<file path=xl/worksheets/_rels/sheet8.xml.rels>&#65279;<?xml version="1.0" encoding="utf-8"?><Relationships xmlns="http://schemas.openxmlformats.org/package/2006/relationships"><Relationship Type="http://schemas.openxmlformats.org/officeDocument/2006/relationships/table" Target="/xl/tables/table6.xml" Id="R8df3f6f4c22f408e" /></Relationships>
</file>

<file path=xl/worksheets/_rels/sheet9.xml.rels>&#65279;<?xml version="1.0" encoding="utf-8"?><Relationships xmlns="http://schemas.openxmlformats.org/package/2006/relationships"><Relationship Type="http://schemas.openxmlformats.org/officeDocument/2006/relationships/table" Target="/xl/tables/table7.xml" Id="Rff4b1472113147a9" /></Relationships>
</file>

<file path=xl/worksheets/_rels/sheet10.xml.rels>&#65279;<?xml version="1.0" encoding="utf-8"?><Relationships xmlns="http://schemas.openxmlformats.org/package/2006/relationships"><Relationship Type="http://schemas.openxmlformats.org/officeDocument/2006/relationships/drawing" Target="/xl/drawings/drawing2.xml" Id="Rbe2117fa3d264db0" /></Relationships>
</file>

<file path=xl/worksheets/_rels/sheet11.xml.rels>&#65279;<?xml version="1.0" encoding="utf-8"?><Relationships xmlns="http://schemas.openxmlformats.org/package/2006/relationships"><Relationship Type="http://schemas.openxmlformats.org/officeDocument/2006/relationships/drawing" Target="/xl/drawings/drawing3.xml" Id="R2a91b3e787584f9a"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21" customWidth="1"/>
    <x:col min="2" max="11" width="12" customWidth="1"/>
    <x:col min="12" max="12" width="21" customWidth="1"/>
    <x:col min="13" max="21" width="12" customWidth="1"/>
  </x:cols>
  <x:sheetData>
    <x:row r="1" ht="36" customHeight="1">
      <x:c r="A1" s="33" t="s">
        <x:v>0</x:v>
      </x:c>
      <x:c r="B1" s="33"/>
      <x:c r="C1" s="33"/>
      <x:c r="D1" s="33"/>
      <x:c r="E1" s="33"/>
      <x:c r="F1" s="33"/>
      <x:c r="G1" s="33"/>
      <x:c r="H1" s="33"/>
      <x:c r="I1" s="33"/>
      <x:c r="J1" s="33"/>
      <x:c r="K1" s="33"/>
      <x:c r="L1" s="33"/>
      <x:c r="M1" s="33"/>
      <x:c r="N1" s="33"/>
      <x:c r="O1" s="33"/>
      <x:c r="P1" s="33"/>
      <x:c r="Q1" s="33"/>
      <x:c r="R1" s="33"/>
      <x:c r="S1" s="33"/>
      <x:c r="T1" s="33"/>
      <x:c r="U1" s="33"/>
    </x:row>
    <x:row r="2" ht="24" customHeight="1">
      <x:c r="A2" s="34" t="s">
        <x:v>1</x:v>
      </x:c>
      <x:c r="B2" s="34"/>
      <x:c r="C2" s="34"/>
      <x:c r="D2" s="34"/>
      <x:c r="E2" s="34"/>
      <x:c r="F2" s="34"/>
      <x:c r="G2" s="34"/>
      <x:c r="H2" s="34"/>
      <x:c r="I2" s="34"/>
      <x:c r="J2" s="34"/>
      <x:c r="K2" s="34"/>
      <x:c r="L2" s="34"/>
      <x:c r="M2" s="34"/>
      <x:c r="N2" s="34"/>
      <x:c r="O2" s="34"/>
      <x:c r="P2" s="34"/>
      <x:c r="Q2" s="34"/>
      <x:c r="R2" s="34"/>
      <x:c r="S2" s="34"/>
      <x:c r="T2" s="34"/>
      <x:c r="U2" s="34"/>
    </x:row>
    <x:row r="4" ht="28" customHeight="1">
      <x:c r="A4" s="35" t="s">
        <x:v>2</x:v>
      </x:c>
      <x:c r="B4" s="36"/>
      <x:c r="C4" s="36"/>
      <x:c r="D4" s="37"/>
      <x:c r="E4" s="38" t="str">
        <x:v>GR00T Frozen LLM</x:v>
      </x:c>
      <x:c r="F4" s="39"/>
      <x:c r="G4" s="39"/>
      <x:c r="H4" s="40"/>
      <x:c r="I4" s="41" t="str">
        <x:v>GR00T Full Fine-Tune</x:v>
      </x:c>
      <x:c r="J4" s="42"/>
      <x:c r="K4" s="42"/>
      <x:c r="L4" s="43"/>
      <x:c r="M4" s="44" t="s">
        <x:v>3</x:v>
      </x:c>
      <x:c r="N4" s="45"/>
      <x:c r="O4" s="45"/>
      <x:c r="P4" s="46"/>
      <x:c r="Q4" s="47" t="s">
        <x:v>4</x:v>
      </x:c>
      <x:c r="R4" s="48"/>
      <x:c r="S4" s="48"/>
      <x:c r="T4" s="48"/>
      <x:c r="U4" s="49"/>
    </x:row>
    <x:row r="20" ht="22" customHeight="1">
      <x:c r="A20" s="1" t="s">
        <x:v>5</x:v>
      </x:c>
      <x:c r="B20" s="1" t="s">
        <x:v>6</x:v>
      </x:c>
      <x:c r="C20" s="1" t="s">
        <x:v>7</x:v>
      </x:c>
      <x:c r="D20" s="1" t="s">
        <x:v>8</x:v>
      </x:c>
      <x:c r="E20" s="1" t="s">
        <x:v>9</x:v>
      </x:c>
      <x:c r="F20" s="1" t="s">
        <x:v>10</x:v>
      </x:c>
      <x:c r="G20" s="1" t="s">
        <x:v>11</x:v>
      </x:c>
      <x:c r="L20" s="1" t="s">
        <x:v>5</x:v>
      </x:c>
      <x:c r="M20" s="1" t="s">
        <x:v>6</x:v>
      </x:c>
      <x:c r="N20" s="1" t="s">
        <x:v>7</x:v>
      </x:c>
      <x:c r="O20" s="1" t="s">
        <x:v>8</x:v>
      </x:c>
      <x:c r="P20" s="1" t="s">
        <x:v>9</x:v>
      </x:c>
      <x:c r="Q20" s="1" t="s">
        <x:v>10</x:v>
      </x:c>
      <x:c r="R20" s="1" t="s">
        <x:v>11</x:v>
      </x:c>
    </x:row>
    <x:row r="21" ht="22" customHeight="1">
      <x:c r="A21" s="12" t="s">
        <x:v>2</x:v>
      </x:c>
      <x:c r="B21" s="13" t="n">
        <x:f>'Analysis Data'!E2</x:f>
        <x:v>0</x:v>
      </x:c>
      <x:c r="C21" s="13" t="n">
        <x:f>'Analysis Data'!G2</x:f>
        <x:v>72</x:v>
      </x:c>
      <x:c r="D21" s="14" t="n">
        <x:f>'Analysis Data'!H2</x:f>
        <x:v>0</x:v>
      </x:c>
      <x:c r="E21" s="14" t="n">
        <x:f>'Analysis Data'!K2</x:f>
        <x:v>0</x:v>
      </x:c>
      <x:c r="F21" s="14" t="n">
        <x:f>'Analysis Data'!L2</x:f>
        <x:v>0.05065293981139638</x:v>
      </x:c>
      <x:c r="G21" s="12" t="str">
        <x:f>'Analysis Data'!M2</x:f>
        <x:v>0.0% – 5.1%</x:v>
      </x:c>
      <x:c r="L21" s="12" t="str">
        <x:v>GR00T Frozen LLM</x:v>
      </x:c>
      <x:c r="M21" s="13" t="n">
        <x:f>'Analysis Data'!E7</x:f>
        <x:v>133</x:v>
      </x:c>
      <x:c r="N21" s="13" t="n">
        <x:f>'Analysis Data'!G7</x:f>
        <x:v>300</x:v>
      </x:c>
      <x:c r="O21" s="14" t="n">
        <x:f>'Analysis Data'!H7</x:f>
        <x:v>0.44333333333333336</x:v>
      </x:c>
      <x:c r="P21" s="14" t="n">
        <x:f>'Analysis Data'!K7</x:f>
        <x:v>0.388185929862749</x:v>
      </x:c>
      <x:c r="Q21" s="14" t="n">
        <x:f>'Analysis Data'!L7</x:f>
        <x:v>0.4999136588703277</x:v>
      </x:c>
      <x:c r="R21" s="12" t="str">
        <x:f>'Analysis Data'!M7</x:f>
        <x:v>38.8% – 50.0%</x:v>
      </x:c>
    </x:row>
    <x:row r="22" ht="22" customHeight="1">
      <x:c r="A22" s="12" t="str">
        <x:v>GR00T Frozen LLM</x:v>
      </x:c>
      <x:c r="B22" s="13" t="n">
        <x:f>'Analysis Data'!E3</x:f>
        <x:v>81</x:v>
      </x:c>
      <x:c r="C22" s="13" t="n">
        <x:f>'Analysis Data'!G3</x:f>
        <x:v>120</x:v>
      </x:c>
      <x:c r="D22" s="14" t="n">
        <x:f>'Analysis Data'!H3</x:f>
        <x:v>0.675</x:v>
      </x:c>
      <x:c r="E22" s="14" t="n">
        <x:f>'Analysis Data'!K3</x:f>
        <x:v>0.5869001692187791</x:v>
      </x:c>
      <x:c r="F22" s="14" t="n">
        <x:f>'Analysis Data'!L3</x:f>
        <x:v>0.7522427359116458</x:v>
      </x:c>
      <x:c r="G22" s="12" t="str">
        <x:f>'Analysis Data'!M3</x:f>
        <x:v>58.7% – 75.2%</x:v>
      </x:c>
      <x:c r="L22" s="12" t="s">
        <x:v>3</x:v>
      </x:c>
      <x:c r="M22" s="13" t="n">
        <x:f>'Analysis Data'!E8</x:f>
        <x:v>156</x:v>
      </x:c>
      <x:c r="N22" s="13" t="n">
        <x:f>'Analysis Data'!G8</x:f>
        <x:v>300</x:v>
      </x:c>
      <x:c r="O22" s="14" t="n">
        <x:f>'Analysis Data'!H8</x:f>
        <x:v>0.52</x:v>
      </x:c>
      <x:c r="P22" s="14" t="n">
        <x:f>'Analysis Data'!K8</x:f>
        <x:v>0.46357005360167935</x:v>
      </x:c>
      <x:c r="Q22" s="14" t="n">
        <x:f>'Analysis Data'!L8</x:f>
        <x:v>0.5759242091984114</x:v>
      </x:c>
      <x:c r="R22" s="12" t="str">
        <x:f>'Analysis Data'!M8</x:f>
        <x:v>46.4% – 57.6%</x:v>
      </x:c>
    </x:row>
    <x:row r="23" ht="22" customHeight="1">
      <x:c r="A23" s="12" t="str">
        <x:v>GR00T Full Fine-Tune</x:v>
      </x:c>
      <x:c r="B23" s="13" t="n">
        <x:f>'Analysis Data'!E4</x:f>
        <x:v>25</x:v>
      </x:c>
      <x:c r="C23" s="13" t="n">
        <x:f>'Analysis Data'!G4</x:f>
        <x:v>120</x:v>
      </x:c>
      <x:c r="D23" s="14" t="n">
        <x:f>'Analysis Data'!H4</x:f>
        <x:v>0.20833333333333334</x:v>
      </x:c>
      <x:c r="E23" s="14" t="n">
        <x:f>'Analysis Data'!K4</x:f>
        <x:v>0.14528341433799086</x:v>
      </x:c>
      <x:c r="F23" s="14" t="n">
        <x:f>'Analysis Data'!L4</x:f>
        <x:v>0.28947841044463474</x:v>
      </x:c>
      <x:c r="G23" s="12" t="str">
        <x:f>'Analysis Data'!M4</x:f>
        <x:v>14.5% – 28.9%</x:v>
      </x:c>
      <x:c r="L23" s="12" t="s">
        <x:v>4</x:v>
      </x:c>
      <x:c r="M23" s="13" t="n">
        <x:f>'Analysis Data'!E9</x:f>
        <x:v>122</x:v>
      </x:c>
      <x:c r="N23" s="13" t="n">
        <x:f>'Analysis Data'!G9</x:f>
        <x:v>300</x:v>
      </x:c>
      <x:c r="O23" s="14" t="n">
        <x:f>'Analysis Data'!H9</x:f>
        <x:v>0.4066666666666667</x:v>
      </x:c>
      <x:c r="P23" s="14" t="n">
        <x:f>'Analysis Data'!K9</x:f>
        <x:v>0.3526007999029206</x:v>
      </x:c>
      <x:c r="Q23" s="14" t="n">
        <x:f>'Analysis Data'!L9</x:f>
        <x:v>0.4630926403633234</x:v>
      </x:c>
      <x:c r="R23" s="12" t="str">
        <x:f>'Analysis Data'!M9</x:f>
        <x:v>35.3% – 46.3%</x:v>
      </x:c>
    </x:row>
    <x:row r="24" ht="22" customHeight="1">
      <x:c r="A24" s="12" t="s">
        <x:v>3</x:v>
      </x:c>
      <x:c r="B24" s="13" t="n">
        <x:f>'Analysis Data'!E5</x:f>
        <x:v>87</x:v>
      </x:c>
      <x:c r="C24" s="13" t="n">
        <x:f>'Analysis Data'!G5</x:f>
        <x:v>120</x:v>
      </x:c>
      <x:c r="D24" s="14" t="n">
        <x:f>'Analysis Data'!H5</x:f>
        <x:v>0.725</x:v>
      </x:c>
      <x:c r="E24" s="14" t="n">
        <x:f>'Analysis Data'!K5</x:f>
        <x:v>0.6390686764395932</x:v>
      </x:c>
      <x:c r="F24" s="14" t="n">
        <x:f>'Analysis Data'!L5</x:f>
        <x:v>0.7969722015852385</x:v>
      </x:c>
      <x:c r="G24" s="12" t="str">
        <x:f>'Analysis Data'!M5</x:f>
        <x:v>63.9% – 79.7%</x:v>
      </x:c>
    </x:row>
    <x:row r="25" ht="22" customHeight="1">
      <x:c r="A25" s="12" t="s">
        <x:v>4</x:v>
      </x:c>
      <x:c r="B25" s="13" t="n">
        <x:f>'Analysis Data'!E6</x:f>
        <x:v>82</x:v>
      </x:c>
      <x:c r="C25" s="13" t="n">
        <x:f>'Analysis Data'!G6</x:f>
        <x:v>120</x:v>
      </x:c>
      <x:c r="D25" s="14" t="n">
        <x:f>'Analysis Data'!H6</x:f>
        <x:v>0.6833333333333333</x:v>
      </x:c>
      <x:c r="E25" s="14" t="n">
        <x:f>'Analysis Data'!K6</x:f>
        <x:v>0.595519646541652</x:v>
      </x:c>
      <x:c r="F25" s="14" t="n">
        <x:f>'Analysis Data'!L6</x:f>
        <x:v>0.7597729207378406</x:v>
      </x:c>
      <x:c r="G25" s="12" t="str">
        <x:f>'Analysis Data'!M6</x:f>
        <x:v>59.6% – 76.0%</x:v>
      </x:c>
    </x:row>
    <x:row r="26" ht="22" customHeight="1"/>
    <x:row r="27" ht="22" customHeight="1"/>
    <x:row r="28" ht="22" customHeight="1"/>
    <x:row r="29" ht="22" customHeight="1"/>
    <x:row r="30" ht="22" customHeight="1"/>
    <x:row r="31" ht="22" customHeight="1"/>
    <x:row r="32" ht="22" customHeight="1"/>
    <x:row r="33" ht="22" customHeight="1"/>
    <x:row r="34" ht="22" customHeight="1"/>
    <x:row r="35" ht="22" customHeight="1"/>
    <x:row r="36" ht="22" customHeight="1"/>
    <x:row r="37" ht="22" customHeight="1"/>
    <x:row r="38" ht="22" customHeight="1"/>
    <x:row r="39" ht="22" customHeight="1"/>
    <x:row r="40" ht="22" customHeight="1"/>
    <x:row r="41" ht="22" customHeight="1"/>
    <x:row r="42" ht="22" customHeight="1"/>
    <x:row r="43" ht="22" customHeight="1"/>
    <x:row r="44" ht="22" customHeight="1"/>
    <x:row r="45" ht="22" customHeight="1"/>
    <x:row r="46" ht="22" customHeight="1"/>
    <x:row r="47" ht="22" customHeight="1"/>
    <x:row r="48" ht="22" customHeight="1"/>
    <x:row r="49" ht="22" customHeight="1"/>
    <x:row r="50" ht="22" customHeight="1">
      <x:c r="A50" s="1" t="s">
        <x:v>12</x:v>
      </x:c>
      <x:c r="B50" s="1" t="s">
        <x:v>2</x:v>
      </x:c>
      <x:c r="C50" s="1" t="str">
        <x:v>GR00T Frozen LLM</x:v>
      </x:c>
      <x:c r="D50" s="1" t="str">
        <x:v>GR00T Full Fine-Tune</x:v>
      </x:c>
      <x:c r="E50" s="1" t="s">
        <x:v>3</x:v>
      </x:c>
      <x:c r="F50" s="1" t="s">
        <x:v>4</x:v>
      </x:c>
      <x:c r="L50" s="1" t="s">
        <x:v>12</x:v>
      </x:c>
      <x:c r="M50" s="1" t="str">
        <x:v>GR00T Frozen LLM</x:v>
      </x:c>
      <x:c r="N50" s="1" t="s">
        <x:v>3</x:v>
      </x:c>
      <x:c r="O50" s="1" t="s">
        <x:v>4</x:v>
      </x:c>
    </x:row>
    <x:row r="51" ht="22" customHeight="1">
      <x:c r="A51" s="15" t="s">
        <x:v>13</x:v>
      </x:c>
      <x:c r="B51" s="16" t="str">
        <x:f>TEXT('Analysis Data'!H10,"0.0%")&amp;" ["&amp;'Analysis Data'!M10&amp;"]"</x:f>
        <x:v>0.0% [0.0% – 27.8%]</x:v>
      </x:c>
      <x:c r="C51" s="16" t="str">
        <x:f>TEXT('Analysis Data'!H11,"0.0%")&amp;" ["&amp;'Analysis Data'!M11&amp;"]"</x:f>
        <x:v>85.0% [64.0% – 94.8%]</x:v>
      </x:c>
      <x:c r="D51" s="16" t="str">
        <x:f>TEXT('Analysis Data'!H12,"0.0%")&amp;" ["&amp;'Analysis Data'!M12&amp;"]"</x:f>
        <x:v>20.0% [8.1% – 41.6%]</x:v>
      </x:c>
      <x:c r="E51" s="16" t="str">
        <x:f>TEXT('Analysis Data'!H13,"0.0%")&amp;" ["&amp;'Analysis Data'!M13&amp;"]"</x:f>
        <x:v>90.0% [69.9% – 97.2%]</x:v>
      </x:c>
      <x:c r="F51" s="16" t="str">
        <x:f>TEXT('Analysis Data'!H14,"0.0%")&amp;" ["&amp;'Analysis Data'!M14&amp;"]"</x:f>
        <x:v>80.0% [58.4% – 91.9%]</x:v>
      </x:c>
      <x:c r="L51" s="15" t="s">
        <x:v>13</x:v>
      </x:c>
      <x:c r="M51" s="16" t="str">
        <x:f>TEXT('Analysis Data'!H40,"0.0%")&amp;" ["&amp;'Analysis Data'!M40&amp;"]"</x:f>
        <x:v>34.0% [22.4% – 47.8%]</x:v>
      </x:c>
      <x:c r="N51" s="16" t="str">
        <x:f>TEXT('Analysis Data'!H41,"0.0%")&amp;" ["&amp;'Analysis Data'!M41&amp;"]"</x:f>
        <x:v>76.0% [62.6% – 85.7%]</x:v>
      </x:c>
      <x:c r="O51" s="16" t="str">
        <x:f>TEXT('Analysis Data'!H42,"0.0%")&amp;" ["&amp;'Analysis Data'!M42&amp;"]"</x:f>
        <x:v>36.0% [24.1% – 49.9%]</x:v>
      </x:c>
    </x:row>
    <x:row r="52" ht="22" customHeight="1">
      <x:c r="A52" s="15" t="s">
        <x:v>14</x:v>
      </x:c>
      <x:c r="B52" s="16" t="str">
        <x:f>TEXT('Analysis Data'!H15,"0.0%")&amp;" ["&amp;'Analysis Data'!M15&amp;"]"</x:f>
        <x:v>0.0% [0.0% – 27.8%]</x:v>
      </x:c>
      <x:c r="C52" s="16" t="str">
        <x:f>TEXT('Analysis Data'!H16,"0.0%")&amp;" ["&amp;'Analysis Data'!M16&amp;"]"</x:f>
        <x:v>60.0% [38.7% – 78.1%]</x:v>
      </x:c>
      <x:c r="D52" s="16" t="str">
        <x:f>TEXT('Analysis Data'!H17,"0.0%")&amp;" ["&amp;'Analysis Data'!M17&amp;"]"</x:f>
        <x:v>35.0% [18.1% – 56.7%]</x:v>
      </x:c>
      <x:c r="E52" s="16" t="str">
        <x:f>TEXT('Analysis Data'!H18,"0.0%")&amp;" ["&amp;'Analysis Data'!M18&amp;"]"</x:f>
        <x:v>60.0% [38.7% – 78.1%]</x:v>
      </x:c>
      <x:c r="F52" s="16" t="str">
        <x:f>TEXT('Analysis Data'!H19,"0.0%")&amp;" ["&amp;'Analysis Data'!M19&amp;"]"</x:f>
        <x:v>55.0% [34.2% – 74.2%]</x:v>
      </x:c>
      <x:c r="L52" s="15" t="s">
        <x:v>14</x:v>
      </x:c>
      <x:c r="M52" s="16" t="str">
        <x:f>TEXT('Analysis Data'!H43,"0.0%")&amp;" ["&amp;'Analysis Data'!M43&amp;"]"</x:f>
        <x:v>0.0% [0.0% – 7.1%]</x:v>
      </x:c>
      <x:c r="N52" s="16" t="str">
        <x:f>TEXT('Analysis Data'!H44,"0.0%")&amp;" ["&amp;'Analysis Data'!M44&amp;"]"</x:f>
        <x:v>0.0% [0.0% – 7.1%]</x:v>
      </x:c>
      <x:c r="O52" s="16" t="str">
        <x:f>TEXT('Analysis Data'!H45,"0.0%")&amp;" ["&amp;'Analysis Data'!M45&amp;"]"</x:f>
        <x:v>0.0% [0.0% – 7.1%]</x:v>
      </x:c>
    </x:row>
    <x:row r="53" ht="22" customHeight="1">
      <x:c r="A53" s="15" t="s">
        <x:v>15</x:v>
      </x:c>
      <x:c r="B53" s="16" t="str">
        <x:f>TEXT('Analysis Data'!H20,"0.0%")&amp;" ["&amp;'Analysis Data'!M20&amp;"]"</x:f>
        <x:v>0.0% [0.0% – 27.8%]</x:v>
      </x:c>
      <x:c r="C53" s="16" t="str">
        <x:f>TEXT('Analysis Data'!H21,"0.0%")&amp;" ["&amp;'Analysis Data'!M21&amp;"]"</x:f>
        <x:v>45.0% [25.8% – 65.8%]</x:v>
      </x:c>
      <x:c r="D53" s="16" t="str">
        <x:f>TEXT('Analysis Data'!H22,"0.0%")&amp;" ["&amp;'Analysis Data'!M22&amp;"]"</x:f>
        <x:v>15.0% [5.2% – 36.0%]</x:v>
      </x:c>
      <x:c r="E53" s="16" t="str">
        <x:f>TEXT('Analysis Data'!H23,"0.0%")&amp;" ["&amp;'Analysis Data'!M23&amp;"]"</x:f>
        <x:v>50.0% [29.9% – 70.1%]</x:v>
      </x:c>
      <x:c r="F53" s="16" t="str">
        <x:f>TEXT('Analysis Data'!H24,"0.0%")&amp;" ["&amp;'Analysis Data'!M24&amp;"]"</x:f>
        <x:v>35.0% [18.1% – 56.7%]</x:v>
      </x:c>
      <x:c r="L53" s="15" t="s">
        <x:v>15</x:v>
      </x:c>
      <x:c r="M53" s="16" t="str">
        <x:f>TEXT('Analysis Data'!H46,"0.0%")&amp;" ["&amp;'Analysis Data'!M46&amp;"]"</x:f>
        <x:v>42.0% [29.4% – 55.8%]</x:v>
      </x:c>
      <x:c r="N53" s="16" t="str">
        <x:f>TEXT('Analysis Data'!H47,"0.0%")&amp;" ["&amp;'Analysis Data'!M47&amp;"]"</x:f>
        <x:v>54.0% [40.4% – 67.0%]</x:v>
      </x:c>
      <x:c r="O53" s="16" t="str">
        <x:f>TEXT('Analysis Data'!H48,"0.0%")&amp;" ["&amp;'Analysis Data'!M48&amp;"]"</x:f>
        <x:v>46.0% [33.0% – 59.6%]</x:v>
      </x:c>
    </x:row>
    <x:row r="54" ht="22" customHeight="1">
      <x:c r="A54" s="15" t="s">
        <x:v>16</x:v>
      </x:c>
      <x:c r="B54" s="16" t="str">
        <x:f>TEXT('Analysis Data'!H25,"0.0%")&amp;" ["&amp;'Analysis Data'!M25&amp;"]"</x:f>
        <x:v>0.0% [0.0% – 24.3%]</x:v>
      </x:c>
      <x:c r="C54" s="16" t="str">
        <x:f>TEXT('Analysis Data'!H26,"0.0%")&amp;" ["&amp;'Analysis Data'!M26&amp;"]"</x:f>
        <x:v>70.0% [48.1% – 85.5%]</x:v>
      </x:c>
      <x:c r="D54" s="16" t="str">
        <x:f>TEXT('Analysis Data'!H27,"0.0%")&amp;" ["&amp;'Analysis Data'!M27&amp;"]"</x:f>
        <x:v>0.0% [0.0% – 16.1%]</x:v>
      </x:c>
      <x:c r="E54" s="16" t="str">
        <x:f>TEXT('Analysis Data'!H28,"0.0%")&amp;" ["&amp;'Analysis Data'!M28&amp;"]"</x:f>
        <x:v>80.0% [58.4% – 91.9%]</x:v>
      </x:c>
      <x:c r="F54" s="16" t="str">
        <x:f>TEXT('Analysis Data'!H29,"0.0%")&amp;" ["&amp;'Analysis Data'!M29&amp;"]"</x:f>
        <x:v>65.0% [43.3% – 81.9%]</x:v>
      </x:c>
      <x:c r="L54" s="15" t="s">
        <x:v>16</x:v>
      </x:c>
      <x:c r="M54" s="16" t="str">
        <x:f>TEXT('Analysis Data'!H49,"0.0%")&amp;" ["&amp;'Analysis Data'!M49&amp;"]"</x:f>
        <x:v>78.0% [64.8% – 87.2%]</x:v>
      </x:c>
      <x:c r="N54" s="16" t="str">
        <x:f>TEXT('Analysis Data'!H50,"0.0%")&amp;" ["&amp;'Analysis Data'!M50&amp;"]"</x:f>
        <x:v>50.0% [36.6% – 63.4%]</x:v>
      </x:c>
      <x:c r="O54" s="16" t="str">
        <x:f>TEXT('Analysis Data'!H51,"0.0%")&amp;" ["&amp;'Analysis Data'!M51&amp;"]"</x:f>
        <x:v>72.0% [58.3% – 82.5%]</x:v>
      </x:c>
    </x:row>
    <x:row r="55" ht="22" customHeight="1">
      <x:c r="A55" s="15" t="s">
        <x:v>17</x:v>
      </x:c>
      <x:c r="B55" s="16" t="str">
        <x:f>TEXT('Analysis Data'!H30,"0.0%")&amp;" ["&amp;'Analysis Data'!M30&amp;"]"</x:f>
        <x:v>0.0% [0.0% – 27.8%]</x:v>
      </x:c>
      <x:c r="C55" s="16" t="str">
        <x:f>TEXT('Analysis Data'!H31,"0.0%")&amp;" ["&amp;'Analysis Data'!M31&amp;"]"</x:f>
        <x:v>60.0% [38.7% – 78.1%]</x:v>
      </x:c>
      <x:c r="D55" s="16" t="str">
        <x:f>TEXT('Analysis Data'!H32,"0.0%")&amp;" ["&amp;'Analysis Data'!M32&amp;"]"</x:f>
        <x:v>20.0% [8.1% – 41.6%]</x:v>
      </x:c>
      <x:c r="E55" s="16" t="str">
        <x:f>TEXT('Analysis Data'!H33,"0.0%")&amp;" ["&amp;'Analysis Data'!M33&amp;"]"</x:f>
        <x:v>75.0% [53.1% – 88.8%]</x:v>
      </x:c>
      <x:c r="F55" s="16" t="str">
        <x:f>TEXT('Analysis Data'!H34,"0.0%")&amp;" ["&amp;'Analysis Data'!M34&amp;"]"</x:f>
        <x:v>80.0% [58.4% – 91.9%]</x:v>
      </x:c>
      <x:c r="L55" s="15" t="s">
        <x:v>17</x:v>
      </x:c>
      <x:c r="M55" s="16" t="str">
        <x:f>TEXT('Analysis Data'!H52,"0.0%")&amp;" ["&amp;'Analysis Data'!M52&amp;"]"</x:f>
        <x:v>54.0% [40.4% – 67.0%]</x:v>
      </x:c>
      <x:c r="N55" s="16" t="str">
        <x:f>TEXT('Analysis Data'!H53,"0.0%")&amp;" ["&amp;'Analysis Data'!M53&amp;"]"</x:f>
        <x:v>68.0% [54.2% – 79.2%]</x:v>
      </x:c>
      <x:c r="O55" s="16" t="str">
        <x:f>TEXT('Analysis Data'!H54,"0.0%")&amp;" ["&amp;'Analysis Data'!M54&amp;"]"</x:f>
        <x:v>36.0% [24.1% – 49.9%]</x:v>
      </x:c>
    </x:row>
    <x:row r="56" ht="22" customHeight="1">
      <x:c r="A56" s="15" t="s">
        <x:v>18</x:v>
      </x:c>
      <x:c r="B56" s="16" t="str">
        <x:f>TEXT('Analysis Data'!H35,"0.0%")&amp;" ["&amp;'Analysis Data'!M35&amp;"]"</x:f>
        <x:v>0.0% [0.0% – 16.1%]</x:v>
      </x:c>
      <x:c r="C56" s="16" t="str">
        <x:f>TEXT('Analysis Data'!H36,"0.0%")&amp;" ["&amp;'Analysis Data'!M36&amp;"]"</x:f>
        <x:v>85.0% [64.0% – 94.8%]</x:v>
      </x:c>
      <x:c r="D56" s="16" t="str">
        <x:f>TEXT('Analysis Data'!H37,"0.0%")&amp;" ["&amp;'Analysis Data'!M37&amp;"]"</x:f>
        <x:v>35.0% [18.1% – 56.7%]</x:v>
      </x:c>
      <x:c r="E56" s="16" t="str">
        <x:f>TEXT('Analysis Data'!H38,"0.0%")&amp;" ["&amp;'Analysis Data'!M38&amp;"]"</x:f>
        <x:v>80.0% [58.4% – 91.9%]</x:v>
      </x:c>
      <x:c r="F56" s="16" t="str">
        <x:f>TEXT('Analysis Data'!H39,"0.0%")&amp;" ["&amp;'Analysis Data'!M39&amp;"]"</x:f>
        <x:v>95.0% [76.4% – 99.1%]</x:v>
      </x:c>
      <x:c r="L56" s="15" t="s">
        <x:v>18</x:v>
      </x:c>
      <x:c r="M56" s="16" t="str">
        <x:f>TEXT('Analysis Data'!H55,"0.0%")&amp;" ["&amp;'Analysis Data'!M55&amp;"]"</x:f>
        <x:v>58.0% [44.2% – 70.6%]</x:v>
      </x:c>
      <x:c r="N56" s="16" t="str">
        <x:f>TEXT('Analysis Data'!H56,"0.0%")&amp;" ["&amp;'Analysis Data'!M56&amp;"]"</x:f>
        <x:v>64.0% [50.1% – 75.9%]</x:v>
      </x:c>
      <x:c r="O56" s="16" t="str">
        <x:f>TEXT('Analysis Data'!H57,"0.0%")&amp;" ["&amp;'Analysis Data'!M57&amp;"]"</x:f>
        <x:v>54.0% [40.4% – 67.0%]</x:v>
      </x:c>
    </x:row>
    <x:row r="57" ht="24" customHeight="1">
      <x:c r="A57" s="32" t="s">
        <x:v>19</x:v>
      </x:c>
      <x:c r="B57" s="32"/>
      <x:c r="C57" s="32"/>
      <x:c r="D57" s="32"/>
      <x:c r="E57" s="32"/>
      <x:c r="F57" s="32"/>
      <x:c r="G57" s="32"/>
      <x:c r="H57" s="32"/>
      <x:c r="I57" s="32"/>
      <x:c r="J57" s="32"/>
      <x:c r="K57" s="32"/>
      <x:c r="L57" s="32"/>
      <x:c r="M57" s="32"/>
      <x:c r="N57" s="32"/>
      <x:c r="O57" s="32"/>
      <x:c r="P57" s="32"/>
      <x:c r="Q57" s="32"/>
      <x:c r="R57" s="32"/>
      <x:c r="S57" s="32"/>
      <x:c r="T57" s="32"/>
      <x:c r="U57" s="32"/>
    </x:row>
  </x:sheetData>
  <x:mergeCells>
    <x:mergeCell ref="A57:U57"/>
    <x:mergeCell ref="A1:U1"/>
    <x:mergeCell ref="A2:U2"/>
    <x:mergeCell ref="A4:D4"/>
    <x:mergeCell ref="E4:H4"/>
    <x:mergeCell ref="I4:L4"/>
    <x:mergeCell ref="M4:P4"/>
    <x:mergeCell ref="Q4:U4"/>
  </x:mergeCells>
  <x:pageMargins left="0.7" right="0.7" top="0.75" bottom="0.75" header="0.3" footer="0.3"/>
  <x:drawing xmlns:r="http://schemas.openxmlformats.org/officeDocument/2006/relationships" r:id="R10d4b4d4fe9c48fc"/>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28" customWidth="1"/>
    <x:col min="2" max="2" width="100" customWidth="1"/>
    <x:col min="3" max="4" width="18" customWidth="1"/>
    <x:col min="5" max="8" width="8" customWidth="1"/>
  </x:cols>
  <x:sheetData>
    <x:row r="1" ht="34" customHeight="1">
      <x:c r="A1" s="50" t="s">
        <x:v>20</x:v>
      </x:c>
      <x:c r="B1" s="50"/>
      <x:c r="C1" s="50"/>
      <x:c r="D1" s="50"/>
      <x:c r="E1" s="50"/>
      <x:c r="F1" s="50"/>
      <x:c r="G1" s="50"/>
      <x:c r="H1" s="50"/>
    </x:row>
    <x:row r="2">
      <x:c r="A2" s="17"/>
      <x:c r="B2" s="17"/>
      <x:c r="C2" s="17"/>
      <x:c r="D2" s="17"/>
      <x:c r="E2" s="17"/>
      <x:c r="F2" s="17"/>
      <x:c r="G2" s="17"/>
      <x:c r="H2" s="17"/>
    </x:row>
    <x:row r="3" ht="15">
      <x:c r="A3" s="51" t="s">
        <x:v>21</x:v>
      </x:c>
      <x:c r="B3" s="52"/>
      <x:c r="C3" s="52"/>
      <x:c r="D3" s="52"/>
      <x:c r="E3" s="52"/>
      <x:c r="F3" s="52"/>
      <x:c r="G3" s="52"/>
      <x:c r="H3" s="53"/>
    </x:row>
    <x:row r="4" ht="42" customHeight="1">
      <x:c r="A4" s="19" t="s">
        <x:v>22</x:v>
      </x:c>
      <x:c r="B4" s="18" t="s">
        <x:v>23</x:v>
      </x:c>
      <x:c r="C4" s="17"/>
      <x:c r="D4" s="17"/>
      <x:c r="E4" s="17"/>
      <x:c r="F4" s="17"/>
      <x:c r="G4" s="17"/>
      <x:c r="H4" s="17"/>
    </x:row>
    <x:row r="5" ht="42" customHeight="1">
      <x:c r="A5" s="19" t="s">
        <x:v>18</x:v>
      </x:c>
      <x:c r="B5" s="18" t="s">
        <x:v>24</x:v>
      </x:c>
      <x:c r="C5" s="17"/>
      <x:c r="D5" s="17"/>
      <x:c r="E5" s="17"/>
      <x:c r="F5" s="17"/>
      <x:c r="G5" s="17"/>
      <x:c r="H5" s="17"/>
    </x:row>
    <x:row r="6" ht="42" customHeight="1">
      <x:c r="A6" s="19" t="s">
        <x:v>25</x:v>
      </x:c>
      <x:c r="B6" s="18" t="s">
        <x:v>26</x:v>
      </x:c>
      <x:c r="C6" s="17"/>
      <x:c r="D6" s="17"/>
      <x:c r="E6" s="17"/>
      <x:c r="F6" s="17"/>
      <x:c r="G6" s="17"/>
      <x:c r="H6" s="17"/>
    </x:row>
    <x:row r="7" ht="42" customHeight="1">
      <x:c r="A7" s="19" t="s">
        <x:v>27</x:v>
      </x:c>
      <x:c r="B7" s="18" t="str">
        <x:v>Human demonstrations</x:v>
      </x:c>
      <x:c r="C7" s="17" t="n">
        <x:v>1200</x:v>
      </x:c>
      <x:c r="D7" s="17"/>
      <x:c r="E7" s="17"/>
      <x:c r="F7" s="17"/>
      <x:c r="G7" s="17"/>
      <x:c r="H7" s="17"/>
    </x:row>
    <x:row r="8" ht="42" customHeight="1">
      <x:c r="A8" s="19" t="s">
        <x:v>28</x:v>
      </x:c>
      <x:c r="B8" s="18" t="str">
        <x:v>Evaluation rollouts</x:v>
      </x:c>
      <x:c r="C8" s="17" t="n">
        <x:v>2892</x:v>
      </x:c>
      <x:c r="D8" s="17"/>
      <x:c r="E8" s="17"/>
      <x:c r="F8" s="17"/>
      <x:c r="G8" s="17"/>
      <x:c r="H8" s="17"/>
    </x:row>
    <x:row r="9" ht="42" customHeight="1">
      <x:c r="A9" s="19" t="s">
        <x:v>29</x:v>
      </x:c>
      <x:c r="B9" s="18" t="str">
        <x:v>Total episodes</x:v>
      </x:c>
      <x:c r="C9" s="17" t="n">
        <x:v>4092</x:v>
      </x:c>
      <x:c r="D9" s="17"/>
      <x:c r="E9" s="17"/>
      <x:c r="F9" s="17"/>
      <x:c r="G9" s="17"/>
      <x:c r="H9" s="17"/>
    </x:row>
    <x:row r="10">
      <x:c r="A10" s="17"/>
      <x:c r="B10" s="17"/>
      <x:c r="C10" s="17"/>
      <x:c r="D10" s="17"/>
      <x:c r="E10" s="17"/>
      <x:c r="F10" s="17"/>
      <x:c r="G10" s="17"/>
      <x:c r="H10" s="17"/>
    </x:row>
    <x:row r="11" ht="15">
      <x:c r="A11" s="51" t="s">
        <x:v>30</x:v>
      </x:c>
      <x:c r="B11" s="52"/>
      <x:c r="C11" s="52"/>
      <x:c r="D11" s="52"/>
      <x:c r="E11" s="52"/>
      <x:c r="F11" s="52"/>
      <x:c r="G11" s="52"/>
      <x:c r="H11" s="53"/>
    </x:row>
    <x:row r="12">
      <x:c r="A12" s="1" t="s">
        <x:v>5</x:v>
      </x:c>
      <x:c r="B12" s="1" t="s">
        <x:v>31</x:v>
      </x:c>
      <x:c r="C12" s="1" t="s">
        <x:v>32</x:v>
      </x:c>
      <x:c r="D12" s="1" t="s">
        <x:v>33</x:v>
      </x:c>
      <x:c r="E12" s="17"/>
      <x:c r="F12" s="17"/>
      <x:c r="G12" s="17"/>
      <x:c r="H12" s="17"/>
    </x:row>
    <x:row r="13" ht="24" customHeight="1">
      <x:c r="A13" s="20" t="s">
        <x:v>2</x:v>
      </x:c>
      <x:c r="B13" s="20" t="s">
        <x:v>2</x:v>
      </x:c>
      <x:c r="C13" s="21" t="n">
        <x:f>COUNTA('VLA-0'!$A$2:$A$73)</x:f>
        <x:v>72</x:v>
      </x:c>
      <x:c r="D13" s="21">
        <x:v>6</x:v>
      </x:c>
      <x:c r="E13" s="17"/>
      <x:c r="F13" s="17"/>
      <x:c r="G13" s="17"/>
      <x:c r="H13" s="17"/>
    </x:row>
    <x:row r="14" ht="24" customHeight="1">
      <x:c r="A14" s="20" t="str">
        <x:v>GR00T Frozen LLM</x:v>
      </x:c>
      <x:c r="B14" s="20" t="str">
        <x:v>GR00T Vision</x:v>
      </x:c>
      <x:c r="C14" s="21" t="n">
        <x:f>COUNTA('GR00T Vision'!$A$2:$A$901)</x:f>
        <x:v>900</x:v>
      </x:c>
      <x:c r="D14" s="21">
        <x:v>6</x:v>
      </x:c>
      <x:c r="E14" s="17"/>
      <x:c r="F14" s="17"/>
      <x:c r="G14" s="17"/>
      <x:c r="H14" s="17"/>
    </x:row>
    <x:row r="15" ht="24" customHeight="1">
      <x:c r="A15" s="20" t="str">
        <x:v>GR00T Full Fine-Tune</x:v>
      </x:c>
      <x:c r="B15" s="20" t="s">
        <x:v>34</x:v>
      </x:c>
      <x:c r="C15" s="21" t="n">
        <x:f>COUNTA('GR00T Full'!$A$2:$A$121)</x:f>
        <x:v>120</x:v>
      </x:c>
      <x:c r="D15" s="21">
        <x:v>6</x:v>
      </x:c>
      <x:c r="E15" s="17"/>
      <x:c r="F15" s="17"/>
      <x:c r="G15" s="17"/>
      <x:c r="H15" s="17"/>
    </x:row>
    <x:row r="16" ht="24" customHeight="1">
      <x:c r="A16" s="20" t="s">
        <x:v>3</x:v>
      </x:c>
      <x:c r="B16" s="20" t="s">
        <x:v>3</x:v>
      </x:c>
      <x:c r="C16" s="21" t="n">
        <x:f>COUNTA(MolmoAct2!$A$2:$A$901)</x:f>
        <x:v>900</x:v>
      </x:c>
      <x:c r="D16" s="21">
        <x:v>6</x:v>
      </x:c>
      <x:c r="E16" s="17"/>
      <x:c r="F16" s="17"/>
      <x:c r="G16" s="17"/>
      <x:c r="H16" s="17"/>
    </x:row>
    <x:row r="17" ht="24" customHeight="1">
      <x:c r="A17" s="20" t="s">
        <x:v>4</x:v>
      </x:c>
      <x:c r="B17" s="20" t="s">
        <x:v>4</x:v>
      </x:c>
      <x:c r="C17" s="21" t="n">
        <x:f>COUNTA('Pi0.5'!$A$2:$A$901)</x:f>
        <x:v>900</x:v>
      </x:c>
      <x:c r="D17" s="21">
        <x:v>6</x:v>
      </x:c>
      <x:c r="E17" s="17"/>
      <x:c r="F17" s="17"/>
      <x:c r="G17" s="17"/>
      <x:c r="H17" s="17"/>
    </x:row>
    <x:row r="18" ht="24" customHeight="1">
      <x:c r="A18" s="20" t="s">
        <x:v>35</x:v>
      </x:c>
      <x:c r="B18" s="20" t="s">
        <x:v>36</x:v>
      </x:c>
      <x:c r="C18" s="21" t="n">
        <x:f>COUNTA('GR00T Action-Only'!$A$2:$A$21)</x:f>
        <x:v>20</x:v>
      </x:c>
      <x:c r="D18" s="21">
        <x:v>1</x:v>
      </x:c>
      <x:c r="E18" s="17"/>
      <x:c r="F18" s="17"/>
      <x:c r="G18" s="17"/>
      <x:c r="H18" s="17"/>
    </x:row>
    <x:row r="19">
      <x:c r="A19" s="17"/>
      <x:c r="B19" s="17"/>
      <x:c r="C19" s="17"/>
      <x:c r="D19" s="17"/>
      <x:c r="E19" s="17"/>
      <x:c r="F19" s="17"/>
      <x:c r="G19" s="17"/>
      <x:c r="H19" s="17"/>
    </x:row>
    <x:row r="20" ht="15">
      <x:c r="A20" s="51" t="s">
        <x:v>37</x:v>
      </x:c>
      <x:c r="B20" s="52"/>
      <x:c r="C20" s="52"/>
      <x:c r="D20" s="52"/>
      <x:c r="E20" s="52"/>
      <x:c r="F20" s="52"/>
      <x:c r="G20" s="52"/>
      <x:c r="H20" s="53"/>
    </x:row>
    <x:row r="21" ht="42" customHeight="1">
      <x:c r="A21" s="19" t="s">
        <x:v>38</x:v>
      </x:c>
      <x:c r="B21" s="18" t="s">
        <x:v>39</x:v>
      </x:c>
      <x:c r="C21" s="17"/>
      <x:c r="D21" s="17"/>
      <x:c r="E21" s="17"/>
      <x:c r="F21" s="17"/>
      <x:c r="G21" s="17"/>
      <x:c r="H21" s="17"/>
    </x:row>
    <x:row r="22" ht="42" customHeight="1">
      <x:c r="A22" s="19" t="s">
        <x:v>40</x:v>
      </x:c>
      <x:c r="B22" s="18" t="s">
        <x:v>41</x:v>
      </x:c>
      <x:c r="C22" s="17"/>
      <x:c r="D22" s="17"/>
      <x:c r="E22" s="17"/>
      <x:c r="F22" s="17"/>
      <x:c r="G22" s="17"/>
      <x:c r="H22" s="17"/>
    </x:row>
    <x:row r="23" ht="42" customHeight="1">
      <x:c r="A23" s="19" t="s">
        <x:v>42</x:v>
      </x:c>
      <x:c r="B23" s="18" t="s">
        <x:v>43</x:v>
      </x:c>
      <x:c r="C23" s="17"/>
      <x:c r="D23" s="17"/>
      <x:c r="E23" s="17"/>
      <x:c r="F23" s="17"/>
      <x:c r="G23" s="17"/>
      <x:c r="H23" s="17"/>
    </x:row>
    <x:row r="24" ht="42" customHeight="1">
      <x:c r="A24" s="19" t="s">
        <x:v>44</x:v>
      </x:c>
      <x:c r="B24" s="18" t="s">
        <x:v>45</x:v>
      </x:c>
      <x:c r="C24" s="17"/>
      <x:c r="D24" s="17"/>
      <x:c r="E24" s="17"/>
      <x:c r="F24" s="17"/>
      <x:c r="G24" s="17"/>
      <x:c r="H24" s="17"/>
    </x:row>
    <x:row r="25">
      <x:c r="A25" s="17"/>
      <x:c r="B25" s="17"/>
      <x:c r="C25" s="17"/>
      <x:c r="D25" s="17"/>
      <x:c r="E25" s="17"/>
      <x:c r="F25" s="17"/>
      <x:c r="G25" s="17"/>
      <x:c r="H25" s="17"/>
    </x:row>
    <x:row r="26" ht="15">
      <x:c r="A26" s="51" t="s">
        <x:v>46</x:v>
      </x:c>
      <x:c r="B26" s="52"/>
      <x:c r="C26" s="52"/>
      <x:c r="D26" s="52"/>
      <x:c r="E26" s="52"/>
      <x:c r="F26" s="52"/>
      <x:c r="G26" s="52"/>
      <x:c r="H26" s="53"/>
    </x:row>
    <x:row r="27" ht="42" customHeight="1">
      <x:c r="A27" s="22" t="s">
        <x:v>47</x:v>
      </x:c>
      <x:c r="B27" s="18" t="s">
        <x:v>48</x:v>
      </x:c>
      <x:c r="C27" s="17"/>
      <x:c r="D27" s="17"/>
      <x:c r="E27" s="17"/>
      <x:c r="F27" s="17"/>
      <x:c r="G27" s="17"/>
      <x:c r="H27" s="17"/>
    </x:row>
    <x:row r="28" ht="42" customHeight="1">
      <x:c r="A28" s="22" t="s">
        <x:v>49</x:v>
      </x:c>
      <x:c r="B28" s="18" t="s">
        <x:v>50</x:v>
      </x:c>
      <x:c r="C28" s="17"/>
      <x:c r="D28" s="17"/>
      <x:c r="E28" s="17"/>
      <x:c r="F28" s="17"/>
      <x:c r="G28" s="17"/>
      <x:c r="H28" s="17"/>
    </x:row>
    <x:row r="29" ht="42" customHeight="1">
      <x:c r="A29" s="22" t="s">
        <x:v>51</x:v>
      </x:c>
      <x:c r="B29" s="18" t="s">
        <x:v>52</x:v>
      </x:c>
      <x:c r="C29" s="17"/>
      <x:c r="D29" s="17"/>
      <x:c r="E29" s="17"/>
      <x:c r="F29" s="17"/>
      <x:c r="G29" s="17"/>
      <x:c r="H29" s="17"/>
    </x:row>
    <x:row r="30">
      <x:c r="A30" s="67" t="str">
        <x:v>Reference-linked scene families</x:v>
      </x:c>
      <x:c r="B30" s="68" t="str">
        <x:v>Reference Episode points to the root episode whose nominal scene setup is reused. See Counterfactuals for the distinction between all matched-scene families and explicit primary counterfactual families.</x:v>
      </x:c>
      <x:c r="C30" s="68"/>
      <x:c r="D30" s="68"/>
    </x:row>
    <x:row r="31">
      <x:c r="A31" s="67" t="str">
        <x:v>GR00T Full Fine-Tune correction</x:v>
      </x:c>
      <x:c r="B31" s="68" t="str">
        <x:v>Counting episode 5 was added as a failure, bringing this baseline to 120 scored evaluations and the evaluation set to 2,892 rollouts.</x:v>
      </x:c>
      <x:c r="C31" s="68"/>
      <x:c r="D31" s="68"/>
    </x:row>
  </x:sheetData>
  <x:mergeCells>
    <x:mergeCell ref="A1:H1"/>
    <x:mergeCell ref="A3:H3"/>
    <x:mergeCell ref="A11:H11"/>
    <x:mergeCell ref="A20:H20"/>
    <x:mergeCell ref="A26:H2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1" width="12" customWidth="1"/>
    <x:col min="2" max="2" width="27" customWidth="1"/>
    <x:col min="3" max="3" width="9" customWidth="1"/>
    <x:col min="4" max="4" width="44" customWidth="1"/>
    <x:col min="5" max="5" width="54" customWidth="1"/>
    <x:col min="6" max="7" width="34" customWidth="1"/>
    <x:col min="8" max="8" width="38" customWidth="1"/>
    <x:col min="9" max="9" width="20" customWidth="1"/>
    <x:col min="10" max="10" width="34" customWidth="1"/>
    <x:col min="11" max="11" width="16" customWidth="1"/>
    <x:col min="12" max="12" width="20" customWidth="1"/>
    <x:col min="13" max="13" width="42" customWidth="1"/>
    <x:col min="14" max="14" width="16" customWidth="1"/>
    <x:col min="15" max="15" width="38" customWidth="1"/>
    <x:col min="16" max="16" width="44" customWidth="1"/>
    <x:col min="17" max="17" width="24" customWidth="1"/>
    <x:col min="18" max="18" width="13" customWidth="1"/>
    <x:col min="19" max="19" width="15" customWidth="1"/>
    <x:col min="20" max="21" width="14" customWidth="1"/>
    <x:col min="22" max="22" width="18" customWidth="1"/>
    <x:col min="23" max="23" width="20" customWidth="1"/>
    <x:col min="24" max="24" width="15" customWidth="1"/>
    <x:col min="25" max="25" width="12" customWidth="1"/>
    <x:col min="26" max="26" width="18" customWidth="1"/>
    <x:col min="27" max="27" width="14" customWidth="1"/>
    <x:col min="28" max="28" width="18" customWidth="1"/>
    <x:col min="29" max="29" width="16" customWidth="1"/>
    <x:col min="30" max="31" width="20" customWidth="1"/>
    <x:col min="32" max="32" width="18" customWidth="1"/>
    <x:col min="33" max="33" width="20" customWidth="1"/>
    <x:col min="34" max="34" width="14" customWidth="1"/>
    <x:col min="35" max="35" width="15" customWidth="1"/>
    <x:col min="36" max="36" width="28" customWidth="1"/>
    <x:col min="37" max="37" width="32" customWidth="1"/>
    <x:col min="38" max="38" width="28" customWidth="1"/>
    <x:col min="39" max="39" width="16" customWidth="1"/>
    <x:col min="40" max="40" width="15" customWidth="1"/>
  </x:cols>
  <x:sheetData>
    <x:row r="1" ht="36" customHeight="1">
      <x:c r="A1" s="1" t="s">
        <x:v>53</x:v>
      </x:c>
      <x:c r="B1" s="1" t="s">
        <x:v>12</x:v>
      </x:c>
      <x:c r="C1" s="1" t="s">
        <x:v>54</x:v>
      </x:c>
      <x:c r="D1" s="1" t="s">
        <x:v>55</x:v>
      </x:c>
      <x:c r="E1" s="1" t="s">
        <x:v>27</x:v>
      </x:c>
      <x:c r="F1" s="1" t="s">
        <x:v>56</x:v>
      </x:c>
      <x:c r="G1" s="1" t="s">
        <x:v>57</x:v>
      </x:c>
      <x:c r="H1" s="1" t="s">
        <x:v>58</x:v>
      </x:c>
      <x:c r="I1" s="1" t="s">
        <x:v>59</x:v>
      </x:c>
      <x:c r="J1" s="1" t="s">
        <x:v>60</x:v>
      </x:c>
      <x:c r="K1" s="1" t="s">
        <x:v>61</x:v>
      </x:c>
      <x:c r="L1" s="1" t="s">
        <x:v>62</x:v>
      </x:c>
      <x:c r="M1" s="1" t="s">
        <x:v>63</x:v>
      </x:c>
      <x:c r="N1" s="1" t="s">
        <x:v>64</x:v>
      </x:c>
      <x:c r="O1" s="1" t="s">
        <x:v>65</x:v>
      </x:c>
      <x:c r="P1" s="1" t="s">
        <x:v>66</x:v>
      </x:c>
      <x:c r="Q1" s="1" t="s">
        <x:v>67</x:v>
      </x:c>
      <x:c r="R1" s="1" t="s">
        <x:v>68</x:v>
      </x:c>
      <x:c r="S1" s="1" t="s">
        <x:v>69</x:v>
      </x:c>
      <x:c r="T1" s="1" t="s">
        <x:v>70</x:v>
      </x:c>
      <x:c r="U1" s="1" t="s">
        <x:v>71</x:v>
      </x:c>
      <x:c r="V1" s="1" t="s">
        <x:v>72</x:v>
      </x:c>
      <x:c r="W1" s="1" t="s">
        <x:v>73</x:v>
      </x:c>
      <x:c r="X1" s="1" t="s">
        <x:v>74</x:v>
      </x:c>
      <x:c r="Y1" s="1" t="s">
        <x:v>75</x:v>
      </x:c>
      <x:c r="Z1" s="1" t="s">
        <x:v>76</x:v>
      </x:c>
      <x:c r="AA1" s="1" t="s">
        <x:v>77</x:v>
      </x:c>
      <x:c r="AB1" s="1" t="s">
        <x:v>78</x:v>
      </x:c>
      <x:c r="AC1" s="1" t="s">
        <x:v>79</x:v>
      </x:c>
      <x:c r="AD1" s="1" t="s">
        <x:v>80</x:v>
      </x:c>
      <x:c r="AE1" s="1" t="s">
        <x:v>81</x:v>
      </x:c>
      <x:c r="AF1" s="1" t="s">
        <x:v>82</x:v>
      </x:c>
      <x:c r="AG1" s="1" t="s">
        <x:v>83</x:v>
      </x:c>
      <x:c r="AH1" s="1" t="s">
        <x:v>84</x:v>
      </x:c>
      <x:c r="AI1" s="1" t="s">
        <x:v>85</x:v>
      </x:c>
      <x:c r="AJ1" s="1" t="s">
        <x:v>86</x:v>
      </x:c>
      <x:c r="AK1" s="1" t="s">
        <x:v>87</x:v>
      </x:c>
      <x:c r="AL1" s="1" t="s">
        <x:v>88</x:v>
      </x:c>
      <x:c r="AM1" s="1" t="s">
        <x:v>89</x:v>
      </x:c>
      <x:c r="AN1" s="1" t="s">
        <x:v>90</x:v>
      </x:c>
    </x:row>
    <x:row r="2" ht="65">
      <x:c r="A2" s="2" t="s">
        <x:v>91</x:v>
      </x:c>
      <x:c r="B2" s="2" t="s">
        <x:v>13</x:v>
      </x:c>
      <x:c r="C2" s="3">
        <x:v>0</x:v>
      </x:c>
      <x:c r="D2" s="2" t="s">
        <x:v>92</x:v>
      </x:c>
      <x:c r="E2" s="2" t="s">
        <x:v>93</x:v>
      </x:c>
      <x:c r="F2" s="2" t="s">
        <x:v>94</x:v>
      </x:c>
      <x:c r="G2" s="2" t="s">
        <x:v>95</x:v>
      </x:c>
      <x:c r="H2" s="2" t="s">
        <x:v>96</x:v>
      </x:c>
      <x:c r="I2" s="2" t="s">
        <x:v>97</x:v>
      </x:c>
      <x:c r="J2" s="2" t="s">
        <x:v>98</x:v>
      </x:c>
      <x:c r="K2" s="2"/>
      <x:c r="L2" s="2" t="s">
        <x:v>99</x:v>
      </x:c>
      <x:c r="M2" s="2" t="s">
        <x:v>100</x:v>
      </x:c>
      <x:c r="N2" s="2">
        <x:v>1</x:v>
      </x:c>
      <x:c r="O2" s="2" t="s">
        <x:v>101</x:v>
      </x:c>
      <x:c r="P2" s="2" t="s">
        <x:v>102</x:v>
      </x:c>
      <x:c r="Q2" s="2"/>
      <x:c r="R2" s="3">
        <x:v>4</x:v>
      </x:c>
      <x:c r="S2" s="3">
        <x:v>1</x:v>
      </x:c>
      <x:c r="T2" s="2" t="s">
        <x:v>103</x:v>
      </x:c>
      <x:c r="U2" s="2" t="s">
        <x:v>104</x:v>
      </x:c>
      <x:c r="V2" s="2" t="s">
        <x:v>105</x:v>
      </x:c>
      <x:c r="W2" s="2"/>
      <x:c r="X2" s="3"/>
      <x:c r="Y2" s="3"/>
      <x:c r="Z2" s="2"/>
      <x:c r="AA2" s="2"/>
      <x:c r="AB2" s="2"/>
      <x:c r="AC2" s="2"/>
      <x:c r="AD2" s="2"/>
      <x:c r="AE2" s="2"/>
      <x:c r="AF2" s="2"/>
      <x:c r="AG2" s="2"/>
      <x:c r="AH2" s="2"/>
      <x:c r="AI2" s="4"/>
      <x:c r="AJ2" s="2"/>
      <x:c r="AK2" s="2" t="s">
        <x:v>106</x:v>
      </x:c>
      <x:c r="AL2" s="2" t="s">
        <x:v>107</x:v>
      </x:c>
      <x:c r="AM2" s="2">
        <x:v>2</x:v>
      </x:c>
      <x:c r="AN2" s="2">
        <x:v>2</x:v>
      </x:c>
    </x:row>
    <x:row r="3" ht="39">
      <x:c r="A3" s="2" t="s">
        <x:v>91</x:v>
      </x:c>
      <x:c r="B3" s="2" t="s">
        <x:v>13</x:v>
      </x:c>
      <x:c r="C3" s="3">
        <x:v>1</x:v>
      </x:c>
      <x:c r="D3" s="2" t="s">
        <x:v>108</x:v>
      </x:c>
      <x:c r="E3" s="2" t="s">
        <x:v>109</x:v>
      </x:c>
      <x:c r="F3" s="2" t="s">
        <x:v>94</x:v>
      </x:c>
      <x:c r="G3" s="2" t="s">
        <x:v>110</x:v>
      </x:c>
      <x:c r="H3" s="2" t="s">
        <x:v>96</x:v>
      </x:c>
      <x:c r="I3" s="2" t="s">
        <x:v>111</x:v>
      </x:c>
      <x:c r="J3" s="2" t="s">
        <x:v>98</x:v>
      </x:c>
      <x:c r="K3" s="2"/>
      <x:c r="L3" s="2" t="s">
        <x:v>112</x:v>
      </x:c>
      <x:c r="M3" s="2" t="s">
        <x:v>113</x:v>
      </x:c>
      <x:c r="N3" s="2">
        <x:v>1</x:v>
      </x:c>
      <x:c r="O3" s="2" t="s">
        <x:v>101</x:v>
      </x:c>
      <x:c r="P3" s="2" t="s">
        <x:v>114</x:v>
      </x:c>
      <x:c r="Q3" s="2"/>
      <x:c r="R3" s="3">
        <x:v>2</x:v>
      </x:c>
      <x:c r="S3" s="3">
        <x:v>1</x:v>
      </x:c>
      <x:c r="T3" s="2" t="s">
        <x:v>103</x:v>
      </x:c>
      <x:c r="U3" s="2" t="s">
        <x:v>115</x:v>
      </x:c>
      <x:c r="V3" s="2" t="s">
        <x:v>105</x:v>
      </x:c>
      <x:c r="W3" s="2"/>
      <x:c r="X3" s="3"/>
      <x:c r="Y3" s="3"/>
      <x:c r="Z3" s="2"/>
      <x:c r="AA3" s="2"/>
      <x:c r="AB3" s="2"/>
      <x:c r="AC3" s="2"/>
      <x:c r="AD3" s="2"/>
      <x:c r="AE3" s="2"/>
      <x:c r="AF3" s="2"/>
      <x:c r="AG3" s="2"/>
      <x:c r="AH3" s="2"/>
      <x:c r="AI3" s="4"/>
      <x:c r="AJ3" s="2"/>
      <x:c r="AK3" s="2" t="s">
        <x:v>106</x:v>
      </x:c>
      <x:c r="AL3" s="2" t="s">
        <x:v>107</x:v>
      </x:c>
      <x:c r="AM3" s="2">
        <x:v>3</x:v>
      </x:c>
      <x:c r="AN3" s="2">
        <x:v>3</x:v>
      </x:c>
    </x:row>
    <x:row r="4" ht="65">
      <x:c r="A4" s="2" t="s">
        <x:v>91</x:v>
      </x:c>
      <x:c r="B4" s="2" t="s">
        <x:v>13</x:v>
      </x:c>
      <x:c r="C4" s="3">
        <x:v>2</x:v>
      </x:c>
      <x:c r="D4" s="2" t="s">
        <x:v>116</x:v>
      </x:c>
      <x:c r="E4" s="2" t="s">
        <x:v>117</x:v>
      </x:c>
      <x:c r="F4" s="2" t="s">
        <x:v>118</x:v>
      </x:c>
      <x:c r="G4" s="2" t="s">
        <x:v>119</x:v>
      </x:c>
      <x:c r="H4" s="2" t="s">
        <x:v>96</x:v>
      </x:c>
      <x:c r="I4" s="2" t="s">
        <x:v>120</x:v>
      </x:c>
      <x:c r="J4" s="2" t="s">
        <x:v>98</x:v>
      </x:c>
      <x:c r="K4" s="2"/>
      <x:c r="L4" s="2" t="s">
        <x:v>121</x:v>
      </x:c>
      <x:c r="M4" s="2" t="s">
        <x:v>100</x:v>
      </x:c>
      <x:c r="N4" s="2">
        <x:v>1</x:v>
      </x:c>
      <x:c r="O4" s="2" t="s">
        <x:v>101</x:v>
      </x:c>
      <x:c r="P4" s="2" t="s">
        <x:v>102</x:v>
      </x:c>
      <x:c r="Q4" s="2"/>
      <x:c r="R4" s="3">
        <x:v>3</x:v>
      </x:c>
      <x:c r="S4" s="3">
        <x:v>1</x:v>
      </x:c>
      <x:c r="T4" s="2" t="s">
        <x:v>103</x:v>
      </x:c>
      <x:c r="U4" s="2" t="s">
        <x:v>122</x:v>
      </x:c>
      <x:c r="V4" s="2" t="s">
        <x:v>123</x:v>
      </x:c>
      <x:c r="W4" s="2"/>
      <x:c r="X4" s="3"/>
      <x:c r="Y4" s="3"/>
      <x:c r="Z4" s="2"/>
      <x:c r="AA4" s="2"/>
      <x:c r="AB4" s="2"/>
      <x:c r="AC4" s="2"/>
      <x:c r="AD4" s="2"/>
      <x:c r="AE4" s="2"/>
      <x:c r="AF4" s="2"/>
      <x:c r="AG4" s="2"/>
      <x:c r="AH4" s="2"/>
      <x:c r="AI4" s="4"/>
      <x:c r="AJ4" s="2"/>
      <x:c r="AK4" s="2" t="s">
        <x:v>106</x:v>
      </x:c>
      <x:c r="AL4" s="2" t="s">
        <x:v>107</x:v>
      </x:c>
      <x:c r="AM4" s="2">
        <x:v>4</x:v>
      </x:c>
      <x:c r="AN4" s="2">
        <x:v>4</x:v>
      </x:c>
    </x:row>
    <x:row r="5" ht="39">
      <x:c r="A5" s="2" t="s">
        <x:v>91</x:v>
      </x:c>
      <x:c r="B5" s="2" t="s">
        <x:v>13</x:v>
      </x:c>
      <x:c r="C5" s="3">
        <x:v>3</x:v>
      </x:c>
      <x:c r="D5" s="2" t="s">
        <x:v>124</x:v>
      </x:c>
      <x:c r="E5" s="2" t="s">
        <x:v>125</x:v>
      </x:c>
      <x:c r="F5" s="2" t="s">
        <x:v>118</x:v>
      </x:c>
      <x:c r="G5" s="2" t="s">
        <x:v>126</x:v>
      </x:c>
      <x:c r="H5" s="2" t="s">
        <x:v>96</x:v>
      </x:c>
      <x:c r="I5" s="2" t="s">
        <x:v>127</x:v>
      </x:c>
      <x:c r="J5" s="2" t="s">
        <x:v>98</x:v>
      </x:c>
      <x:c r="K5" s="2"/>
      <x:c r="L5" s="2" t="s">
        <x:v>128</x:v>
      </x:c>
      <x:c r="M5" s="2" t="s">
        <x:v>113</x:v>
      </x:c>
      <x:c r="N5" s="2">
        <x:v>1</x:v>
      </x:c>
      <x:c r="O5" s="2" t="s">
        <x:v>101</x:v>
      </x:c>
      <x:c r="P5" s="2" t="s">
        <x:v>114</x:v>
      </x:c>
      <x:c r="Q5" s="2"/>
      <x:c r="R5" s="3">
        <x:v>4</x:v>
      </x:c>
      <x:c r="S5" s="3">
        <x:v>1</x:v>
      </x:c>
      <x:c r="T5" s="2" t="s">
        <x:v>103</x:v>
      </x:c>
      <x:c r="U5" s="2" t="s">
        <x:v>129</x:v>
      </x:c>
      <x:c r="V5" s="2" t="s">
        <x:v>123</x:v>
      </x:c>
      <x:c r="W5" s="2"/>
      <x:c r="X5" s="3"/>
      <x:c r="Y5" s="3"/>
      <x:c r="Z5" s="2"/>
      <x:c r="AA5" s="2"/>
      <x:c r="AB5" s="2"/>
      <x:c r="AC5" s="2"/>
      <x:c r="AD5" s="2"/>
      <x:c r="AE5" s="2"/>
      <x:c r="AF5" s="2"/>
      <x:c r="AG5" s="2"/>
      <x:c r="AH5" s="2"/>
      <x:c r="AI5" s="4"/>
      <x:c r="AJ5" s="2"/>
      <x:c r="AK5" s="2" t="s">
        <x:v>106</x:v>
      </x:c>
      <x:c r="AL5" s="2" t="s">
        <x:v>107</x:v>
      </x:c>
      <x:c r="AM5" s="2">
        <x:v>5</x:v>
      </x:c>
      <x:c r="AN5" s="2">
        <x:v>5</x:v>
      </x:c>
    </x:row>
    <x:row r="6" ht="65">
      <x:c r="A6" s="2" t="s">
        <x:v>91</x:v>
      </x:c>
      <x:c r="B6" s="2" t="s">
        <x:v>13</x:v>
      </x:c>
      <x:c r="C6" s="3">
        <x:v>4</x:v>
      </x:c>
      <x:c r="D6" s="2" t="s">
        <x:v>130</x:v>
      </x:c>
      <x:c r="E6" s="2" t="s">
        <x:v>131</x:v>
      </x:c>
      <x:c r="F6" s="2" t="s">
        <x:v>132</x:v>
      </x:c>
      <x:c r="G6" s="2" t="s">
        <x:v>133</x:v>
      </x:c>
      <x:c r="H6" s="2" t="s">
        <x:v>96</x:v>
      </x:c>
      <x:c r="I6" s="2" t="s">
        <x:v>134</x:v>
      </x:c>
      <x:c r="J6" s="2" t="s">
        <x:v>98</x:v>
      </x:c>
      <x:c r="K6" s="2"/>
      <x:c r="L6" s="2" t="s">
        <x:v>135</x:v>
      </x:c>
      <x:c r="M6" s="2" t="s">
        <x:v>100</x:v>
      </x:c>
      <x:c r="N6" s="2">
        <x:v>1</x:v>
      </x:c>
      <x:c r="O6" s="2" t="s">
        <x:v>101</x:v>
      </x:c>
      <x:c r="P6" s="2" t="s">
        <x:v>102</x:v>
      </x:c>
      <x:c r="Q6" s="2"/>
      <x:c r="R6" s="3">
        <x:v>3</x:v>
      </x:c>
      <x:c r="S6" s="3">
        <x:v>1</x:v>
      </x:c>
      <x:c r="T6" s="2" t="s">
        <x:v>103</x:v>
      </x:c>
      <x:c r="U6" s="2" t="s">
        <x:v>104</x:v>
      </x:c>
      <x:c r="V6" s="2" t="s">
        <x:v>136</x:v>
      </x:c>
      <x:c r="W6" s="2"/>
      <x:c r="X6" s="3"/>
      <x:c r="Y6" s="3"/>
      <x:c r="Z6" s="2"/>
      <x:c r="AA6" s="2"/>
      <x:c r="AB6" s="2"/>
      <x:c r="AC6" s="2"/>
      <x:c r="AD6" s="2"/>
      <x:c r="AE6" s="2"/>
      <x:c r="AF6" s="2"/>
      <x:c r="AG6" s="2"/>
      <x:c r="AH6" s="2"/>
      <x:c r="AI6" s="4"/>
      <x:c r="AJ6" s="2"/>
      <x:c r="AK6" s="2" t="s">
        <x:v>106</x:v>
      </x:c>
      <x:c r="AL6" s="2" t="s">
        <x:v>107</x:v>
      </x:c>
      <x:c r="AM6" s="2">
        <x:v>6</x:v>
      </x:c>
      <x:c r="AN6" s="2">
        <x:v>6</x:v>
      </x:c>
    </x:row>
    <x:row r="7" ht="39">
      <x:c r="A7" s="2" t="s">
        <x:v>91</x:v>
      </x:c>
      <x:c r="B7" s="2" t="s">
        <x:v>13</x:v>
      </x:c>
      <x:c r="C7" s="3">
        <x:v>5</x:v>
      </x:c>
      <x:c r="D7" s="2" t="s">
        <x:v>137</x:v>
      </x:c>
      <x:c r="E7" s="2" t="s">
        <x:v>138</x:v>
      </x:c>
      <x:c r="F7" s="2" t="s">
        <x:v>139</x:v>
      </x:c>
      <x:c r="G7" s="2"/>
      <x:c r="H7" s="2" t="s">
        <x:v>96</x:v>
      </x:c>
      <x:c r="I7" s="2" t="s">
        <x:v>140</x:v>
      </x:c>
      <x:c r="J7" s="2" t="s">
        <x:v>98</x:v>
      </x:c>
      <x:c r="K7" s="2"/>
      <x:c r="L7" s="2" t="s">
        <x:v>141</x:v>
      </x:c>
      <x:c r="M7" s="2" t="s">
        <x:v>113</x:v>
      </x:c>
      <x:c r="N7" s="2">
        <x:v>1</x:v>
      </x:c>
      <x:c r="O7" s="2" t="s">
        <x:v>101</x:v>
      </x:c>
      <x:c r="P7" s="2" t="s">
        <x:v>114</x:v>
      </x:c>
      <x:c r="Q7" s="2"/>
      <x:c r="R7" s="3">
        <x:v>2</x:v>
      </x:c>
      <x:c r="S7" s="3">
        <x:v>1</x:v>
      </x:c>
      <x:c r="T7" s="2" t="s">
        <x:v>103</x:v>
      </x:c>
      <x:c r="U7" s="2" t="s">
        <x:v>129</x:v>
      </x:c>
      <x:c r="V7" s="2" t="s">
        <x:v>136</x:v>
      </x:c>
      <x:c r="W7" s="2"/>
      <x:c r="X7" s="3"/>
      <x:c r="Y7" s="3"/>
      <x:c r="Z7" s="2"/>
      <x:c r="AA7" s="2"/>
      <x:c r="AB7" s="2"/>
      <x:c r="AC7" s="2"/>
      <x:c r="AD7" s="2"/>
      <x:c r="AE7" s="2"/>
      <x:c r="AF7" s="2"/>
      <x:c r="AG7" s="2"/>
      <x:c r="AH7" s="2"/>
      <x:c r="AI7" s="4"/>
      <x:c r="AJ7" s="2"/>
      <x:c r="AK7" s="2" t="s">
        <x:v>106</x:v>
      </x:c>
      <x:c r="AL7" s="2" t="s">
        <x:v>107</x:v>
      </x:c>
      <x:c r="AM7" s="2">
        <x:v>7</x:v>
      </x:c>
      <x:c r="AN7" s="2">
        <x:v>7</x:v>
      </x:c>
    </x:row>
    <x:row r="8" ht="39">
      <x:c r="A8" s="2" t="s">
        <x:v>91</x:v>
      </x:c>
      <x:c r="B8" s="2" t="s">
        <x:v>13</x:v>
      </x:c>
      <x:c r="C8" s="3">
        <x:v>6</x:v>
      </x:c>
      <x:c r="D8" s="2" t="s">
        <x:v>142</x:v>
      </x:c>
      <x:c r="E8" s="2" t="s">
        <x:v>143</x:v>
      </x:c>
      <x:c r="F8" s="2" t="s">
        <x:v>132</x:v>
      </x:c>
      <x:c r="G8" s="2" t="s">
        <x:v>144</x:v>
      </x:c>
      <x:c r="H8" s="2" t="s">
        <x:v>96</x:v>
      </x:c>
      <x:c r="I8" s="2" t="s">
        <x:v>145</x:v>
      </x:c>
      <x:c r="J8" s="2" t="s">
        <x:v>98</x:v>
      </x:c>
      <x:c r="K8" s="2"/>
      <x:c r="L8" s="2" t="s">
        <x:v>146</x:v>
      </x:c>
      <x:c r="M8" s="2" t="s">
        <x:v>113</x:v>
      </x:c>
      <x:c r="N8" s="2">
        <x:v>1</x:v>
      </x:c>
      <x:c r="O8" s="2" t="s">
        <x:v>101</x:v>
      </x:c>
      <x:c r="P8" s="2" t="s">
        <x:v>147</x:v>
      </x:c>
      <x:c r="Q8" s="2"/>
      <x:c r="R8" s="3">
        <x:v>2</x:v>
      </x:c>
      <x:c r="S8" s="3">
        <x:v>1</x:v>
      </x:c>
      <x:c r="T8" s="2" t="s">
        <x:v>103</x:v>
      </x:c>
      <x:c r="U8" s="2" t="s">
        <x:v>115</x:v>
      </x:c>
      <x:c r="V8" s="2" t="s">
        <x:v>136</x:v>
      </x:c>
      <x:c r="W8" s="2"/>
      <x:c r="X8" s="3"/>
      <x:c r="Y8" s="3"/>
      <x:c r="Z8" s="2"/>
      <x:c r="AA8" s="2"/>
      <x:c r="AB8" s="2"/>
      <x:c r="AC8" s="2"/>
      <x:c r="AD8" s="2"/>
      <x:c r="AE8" s="2"/>
      <x:c r="AF8" s="2"/>
      <x:c r="AG8" s="2"/>
      <x:c r="AH8" s="2"/>
      <x:c r="AI8" s="4"/>
      <x:c r="AJ8" s="2"/>
      <x:c r="AK8" s="2" t="s">
        <x:v>106</x:v>
      </x:c>
      <x:c r="AL8" s="2" t="s">
        <x:v>107</x:v>
      </x:c>
      <x:c r="AM8" s="2">
        <x:v>8</x:v>
      </x:c>
      <x:c r="AN8" s="2">
        <x:v>8</x:v>
      </x:c>
    </x:row>
    <x:row r="9" ht="65">
      <x:c r="A9" s="2" t="s">
        <x:v>91</x:v>
      </x:c>
      <x:c r="B9" s="2" t="s">
        <x:v>13</x:v>
      </x:c>
      <x:c r="C9" s="3">
        <x:v>7</x:v>
      </x:c>
      <x:c r="D9" s="2" t="s">
        <x:v>148</x:v>
      </x:c>
      <x:c r="E9" s="2" t="s">
        <x:v>149</x:v>
      </x:c>
      <x:c r="F9" s="2" t="s">
        <x:v>150</x:v>
      </x:c>
      <x:c r="G9" s="2" t="s">
        <x:v>151</x:v>
      </x:c>
      <x:c r="H9" s="2" t="s">
        <x:v>96</x:v>
      </x:c>
      <x:c r="I9" s="2" t="s">
        <x:v>152</x:v>
      </x:c>
      <x:c r="J9" s="2" t="s">
        <x:v>98</x:v>
      </x:c>
      <x:c r="K9" s="2"/>
      <x:c r="L9" s="2" t="s">
        <x:v>153</x:v>
      </x:c>
      <x:c r="M9" s="2" t="s">
        <x:v>100</x:v>
      </x:c>
      <x:c r="N9" s="2">
        <x:v>1</x:v>
      </x:c>
      <x:c r="O9" s="2" t="s">
        <x:v>101</x:v>
      </x:c>
      <x:c r="P9" s="2" t="s">
        <x:v>102</x:v>
      </x:c>
      <x:c r="Q9" s="2"/>
      <x:c r="R9" s="3">
        <x:v>3</x:v>
      </x:c>
      <x:c r="S9" s="3">
        <x:v>1</x:v>
      </x:c>
      <x:c r="T9" s="2" t="s">
        <x:v>103</x:v>
      </x:c>
      <x:c r="U9" s="2" t="s">
        <x:v>122</x:v>
      </x:c>
      <x:c r="V9" s="2" t="s">
        <x:v>154</x:v>
      </x:c>
      <x:c r="W9" s="2"/>
      <x:c r="X9" s="3"/>
      <x:c r="Y9" s="3"/>
      <x:c r="Z9" s="2"/>
      <x:c r="AA9" s="2"/>
      <x:c r="AB9" s="2"/>
      <x:c r="AC9" s="2"/>
      <x:c r="AD9" s="2"/>
      <x:c r="AE9" s="2"/>
      <x:c r="AF9" s="2"/>
      <x:c r="AG9" s="2"/>
      <x:c r="AH9" s="2"/>
      <x:c r="AI9" s="4"/>
      <x:c r="AJ9" s="2"/>
      <x:c r="AK9" s="2" t="s">
        <x:v>106</x:v>
      </x:c>
      <x:c r="AL9" s="2" t="s">
        <x:v>107</x:v>
      </x:c>
      <x:c r="AM9" s="2">
        <x:v>9</x:v>
      </x:c>
      <x:c r="AN9" s="2">
        <x:v>9</x:v>
      </x:c>
    </x:row>
    <x:row r="10" ht="65">
      <x:c r="A10" s="2" t="s">
        <x:v>91</x:v>
      </x:c>
      <x:c r="B10" s="2" t="s">
        <x:v>13</x:v>
      </x:c>
      <x:c r="C10" s="3">
        <x:v>8</x:v>
      </x:c>
      <x:c r="D10" s="2" t="s">
        <x:v>155</x:v>
      </x:c>
      <x:c r="E10" s="2" t="s">
        <x:v>156</x:v>
      </x:c>
      <x:c r="F10" s="2" t="s">
        <x:v>157</x:v>
      </x:c>
      <x:c r="G10" s="2" t="s">
        <x:v>158</x:v>
      </x:c>
      <x:c r="H10" s="2" t="s">
        <x:v>96</x:v>
      </x:c>
      <x:c r="I10" s="2" t="s">
        <x:v>159</x:v>
      </x:c>
      <x:c r="J10" s="2" t="s">
        <x:v>98</x:v>
      </x:c>
      <x:c r="K10" s="2"/>
      <x:c r="L10" s="2" t="s">
        <x:v>160</x:v>
      </x:c>
      <x:c r="M10" s="2" t="s">
        <x:v>100</x:v>
      </x:c>
      <x:c r="N10" s="2">
        <x:v>1</x:v>
      </x:c>
      <x:c r="O10" s="2" t="s">
        <x:v>101</x:v>
      </x:c>
      <x:c r="P10" s="2" t="s">
        <x:v>102</x:v>
      </x:c>
      <x:c r="Q10" s="2"/>
      <x:c r="R10" s="3">
        <x:v>3</x:v>
      </x:c>
      <x:c r="S10" s="3">
        <x:v>1</x:v>
      </x:c>
      <x:c r="T10" s="2" t="s">
        <x:v>103</x:v>
      </x:c>
      <x:c r="U10" s="2" t="s">
        <x:v>104</x:v>
      </x:c>
      <x:c r="V10" s="2" t="s">
        <x:v>154</x:v>
      </x:c>
      <x:c r="W10" s="2"/>
      <x:c r="X10" s="3"/>
      <x:c r="Y10" s="3"/>
      <x:c r="Z10" s="2"/>
      <x:c r="AA10" s="2"/>
      <x:c r="AB10" s="2"/>
      <x:c r="AC10" s="2"/>
      <x:c r="AD10" s="2"/>
      <x:c r="AE10" s="2"/>
      <x:c r="AF10" s="2"/>
      <x:c r="AG10" s="2"/>
      <x:c r="AH10" s="2"/>
      <x:c r="AI10" s="4"/>
      <x:c r="AJ10" s="2"/>
      <x:c r="AK10" s="2" t="s">
        <x:v>106</x:v>
      </x:c>
      <x:c r="AL10" s="2" t="s">
        <x:v>107</x:v>
      </x:c>
      <x:c r="AM10" s="2">
        <x:v>10</x:v>
      </x:c>
      <x:c r="AN10" s="2">
        <x:v>10</x:v>
      </x:c>
    </x:row>
    <x:row r="11" ht="39">
      <x:c r="A11" s="2" t="s">
        <x:v>91</x:v>
      </x:c>
      <x:c r="B11" s="2" t="s">
        <x:v>13</x:v>
      </x:c>
      <x:c r="C11" s="3">
        <x:v>9</x:v>
      </x:c>
      <x:c r="D11" s="2" t="s">
        <x:v>161</x:v>
      </x:c>
      <x:c r="E11" s="2" t="s">
        <x:v>162</x:v>
      </x:c>
      <x:c r="F11" s="2" t="s">
        <x:v>157</x:v>
      </x:c>
      <x:c r="G11" s="2" t="s">
        <x:v>163</x:v>
      </x:c>
      <x:c r="H11" s="2" t="s">
        <x:v>96</x:v>
      </x:c>
      <x:c r="I11" s="2" t="s">
        <x:v>164</x:v>
      </x:c>
      <x:c r="J11" s="2" t="s">
        <x:v>98</x:v>
      </x:c>
      <x:c r="K11" s="2"/>
      <x:c r="L11" s="2" t="s">
        <x:v>165</x:v>
      </x:c>
      <x:c r="M11" s="2" t="s">
        <x:v>113</x:v>
      </x:c>
      <x:c r="N11" s="2">
        <x:v>1</x:v>
      </x:c>
      <x:c r="O11" s="2" t="s">
        <x:v>101</x:v>
      </x:c>
      <x:c r="P11" s="2" t="s">
        <x:v>147</x:v>
      </x:c>
      <x:c r="Q11" s="2"/>
      <x:c r="R11" s="3">
        <x:v>2</x:v>
      </x:c>
      <x:c r="S11" s="3">
        <x:v>1</x:v>
      </x:c>
      <x:c r="T11" s="2" t="s">
        <x:v>103</x:v>
      </x:c>
      <x:c r="U11" s="2" t="s">
        <x:v>129</x:v>
      </x:c>
      <x:c r="V11" s="2" t="s">
        <x:v>154</x:v>
      </x:c>
      <x:c r="W11" s="2"/>
      <x:c r="X11" s="3"/>
      <x:c r="Y11" s="3"/>
      <x:c r="Z11" s="2"/>
      <x:c r="AA11" s="2"/>
      <x:c r="AB11" s="2"/>
      <x:c r="AC11" s="2"/>
      <x:c r="AD11" s="2"/>
      <x:c r="AE11" s="2"/>
      <x:c r="AF11" s="2"/>
      <x:c r="AG11" s="2"/>
      <x:c r="AH11" s="2"/>
      <x:c r="AI11" s="4"/>
      <x:c r="AJ11" s="2"/>
      <x:c r="AK11" s="2" t="s">
        <x:v>106</x:v>
      </x:c>
      <x:c r="AL11" s="2" t="s">
        <x:v>107</x:v>
      </x:c>
      <x:c r="AM11" s="2">
        <x:v>11</x:v>
      </x:c>
      <x:c r="AN11" s="2">
        <x:v>11</x:v>
      </x:c>
    </x:row>
    <x:row r="12" ht="26">
      <x:c r="A12" s="2" t="s">
        <x:v>91</x:v>
      </x:c>
      <x:c r="B12" s="2" t="s">
        <x:v>14</x:v>
      </x:c>
      <x:c r="C12" s="3">
        <x:v>0</x:v>
      </x:c>
      <x:c r="D12" s="2" t="s">
        <x:v>166</x:v>
      </x:c>
      <x:c r="E12" s="2" t="s">
        <x:v>167</x:v>
      </x:c>
      <x:c r="F12" s="2" t="s">
        <x:v>168</x:v>
      </x:c>
      <x:c r="G12" s="2" t="s">
        <x:v>158</x:v>
      </x:c>
      <x:c r="H12" s="2" t="s">
        <x:v>96</x:v>
      </x:c>
      <x:c r="I12" s="2" t="s">
        <x:v>169</x:v>
      </x:c>
      <x:c r="J12" s="2" t="s">
        <x:v>170</x:v>
      </x:c>
      <x:c r="K12" s="2"/>
      <x:c r="L12" s="2" t="s">
        <x:v>171</x:v>
      </x:c>
      <x:c r="M12" s="2" t="s">
        <x:v>172</x:v>
      </x:c>
      <x:c r="N12" s="2">
        <x:v>1</x:v>
      </x:c>
      <x:c r="O12" s="2" t="s">
        <x:v>173</x:v>
      </x:c>
      <x:c r="P12" s="2" t="s">
        <x:v>174</x:v>
      </x:c>
      <x:c r="Q12" s="2"/>
      <x:c r="R12" s="3"/>
      <x:c r="S12" s="3"/>
      <x:c r="T12" s="2"/>
      <x:c r="U12" s="2"/>
      <x:c r="V12" s="2"/>
      <x:c r="W12" s="2" t="s">
        <x:v>169</x:v>
      </x:c>
      <x:c r="X12" s="3">
        <x:v>0</x:v>
      </x:c>
      <x:c r="Y12" s="3">
        <x:v>1</x:v>
      </x:c>
      <x:c r="Z12" s="2" t="s">
        <x:v>175</x:v>
      </x:c>
      <x:c r="AA12" s="2"/>
      <x:c r="AB12" s="2"/>
      <x:c r="AC12" s="2"/>
      <x:c r="AD12" s="2"/>
      <x:c r="AE12" s="2"/>
      <x:c r="AF12" s="2"/>
      <x:c r="AG12" s="2"/>
      <x:c r="AH12" s="2"/>
      <x:c r="AI12" s="4"/>
      <x:c r="AJ12" s="2"/>
      <x:c r="AK12" s="2" t="s">
        <x:v>176</x:v>
      </x:c>
      <x:c r="AL12" s="2" t="s">
        <x:v>107</x:v>
      </x:c>
      <x:c r="AM12" s="2">
        <x:v>2</x:v>
      </x:c>
      <x:c r="AN12" s="2">
        <x:v>2</x:v>
      </x:c>
    </x:row>
    <x:row r="13" ht="26">
      <x:c r="A13" s="2" t="s">
        <x:v>91</x:v>
      </x:c>
      <x:c r="B13" s="2" t="s">
        <x:v>14</x:v>
      </x:c>
      <x:c r="C13" s="3">
        <x:v>1</x:v>
      </x:c>
      <x:c r="D13" s="2" t="s">
        <x:v>177</x:v>
      </x:c>
      <x:c r="E13" s="2" t="s">
        <x:v>178</x:v>
      </x:c>
      <x:c r="F13" s="2" t="s">
        <x:v>179</x:v>
      </x:c>
      <x:c r="G13" s="2" t="s">
        <x:v>180</x:v>
      </x:c>
      <x:c r="H13" s="2" t="s">
        <x:v>96</x:v>
      </x:c>
      <x:c r="I13" s="2" t="s">
        <x:v>169</x:v>
      </x:c>
      <x:c r="J13" s="2" t="s">
        <x:v>181</x:v>
      </x:c>
      <x:c r="K13" s="2"/>
      <x:c r="L13" s="2" t="s">
        <x:v>182</x:v>
      </x:c>
      <x:c r="M13" s="2" t="s">
        <x:v>172</x:v>
      </x:c>
      <x:c r="N13" s="2">
        <x:v>1</x:v>
      </x:c>
      <x:c r="O13" s="2" t="s">
        <x:v>183</x:v>
      </x:c>
      <x:c r="P13" s="2" t="s">
        <x:v>174</x:v>
      </x:c>
      <x:c r="Q13" s="2"/>
      <x:c r="R13" s="3"/>
      <x:c r="S13" s="3"/>
      <x:c r="T13" s="2"/>
      <x:c r="U13" s="2"/>
      <x:c r="V13" s="2"/>
      <x:c r="W13" s="2" t="s">
        <x:v>169</x:v>
      </x:c>
      <x:c r="X13" s="3">
        <x:v>1</x:v>
      </x:c>
      <x:c r="Y13" s="3">
        <x:v>2</x:v>
      </x:c>
      <x:c r="Z13" s="2" t="s">
        <x:v>175</x:v>
      </x:c>
      <x:c r="AA13" s="2"/>
      <x:c r="AB13" s="2"/>
      <x:c r="AC13" s="2"/>
      <x:c r="AD13" s="2"/>
      <x:c r="AE13" s="2"/>
      <x:c r="AF13" s="2"/>
      <x:c r="AG13" s="2"/>
      <x:c r="AH13" s="2"/>
      <x:c r="AI13" s="4"/>
      <x:c r="AJ13" s="2"/>
      <x:c r="AK13" s="2" t="s">
        <x:v>176</x:v>
      </x:c>
      <x:c r="AL13" s="2" t="s">
        <x:v>107</x:v>
      </x:c>
      <x:c r="AM13" s="2">
        <x:v>3</x:v>
      </x:c>
      <x:c r="AN13" s="2">
        <x:v>3</x:v>
      </x:c>
    </x:row>
    <x:row r="14" ht="26">
      <x:c r="A14" s="2" t="s">
        <x:v>91</x:v>
      </x:c>
      <x:c r="B14" s="2" t="s">
        <x:v>14</x:v>
      </x:c>
      <x:c r="C14" s="3">
        <x:v>2</x:v>
      </x:c>
      <x:c r="D14" s="2" t="s">
        <x:v>184</x:v>
      </x:c>
      <x:c r="E14" s="2" t="s">
        <x:v>185</x:v>
      </x:c>
      <x:c r="F14" s="2" t="s">
        <x:v>186</x:v>
      </x:c>
      <x:c r="G14" s="2" t="s">
        <x:v>187</x:v>
      </x:c>
      <x:c r="H14" s="2" t="s">
        <x:v>96</x:v>
      </x:c>
      <x:c r="I14" s="2" t="s">
        <x:v>169</x:v>
      </x:c>
      <x:c r="J14" s="2" t="s">
        <x:v>188</x:v>
      </x:c>
      <x:c r="K14" s="2"/>
      <x:c r="L14" s="2" t="s">
        <x:v>189</x:v>
      </x:c>
      <x:c r="M14" s="2" t="s">
        <x:v>172</x:v>
      </x:c>
      <x:c r="N14" s="2">
        <x:v>1</x:v>
      </x:c>
      <x:c r="O14" s="2" t="s">
        <x:v>190</x:v>
      </x:c>
      <x:c r="P14" s="2" t="s">
        <x:v>174</x:v>
      </x:c>
      <x:c r="Q14" s="2"/>
      <x:c r="R14" s="3"/>
      <x:c r="S14" s="3"/>
      <x:c r="T14" s="2"/>
      <x:c r="U14" s="2"/>
      <x:c r="V14" s="2"/>
      <x:c r="W14" s="2" t="s">
        <x:v>169</x:v>
      </x:c>
      <x:c r="X14" s="3">
        <x:v>4</x:v>
      </x:c>
      <x:c r="Y14" s="3">
        <x:v>3</x:v>
      </x:c>
      <x:c r="Z14" s="2" t="s">
        <x:v>191</x:v>
      </x:c>
      <x:c r="AA14" s="2"/>
      <x:c r="AB14" s="2"/>
      <x:c r="AC14" s="2"/>
      <x:c r="AD14" s="2"/>
      <x:c r="AE14" s="2"/>
      <x:c r="AF14" s="2"/>
      <x:c r="AG14" s="2"/>
      <x:c r="AH14" s="2"/>
      <x:c r="AI14" s="4"/>
      <x:c r="AJ14" s="2"/>
      <x:c r="AK14" s="2" t="s">
        <x:v>176</x:v>
      </x:c>
      <x:c r="AL14" s="2" t="s">
        <x:v>107</x:v>
      </x:c>
      <x:c r="AM14" s="2">
        <x:v>4</x:v>
      </x:c>
      <x:c r="AN14" s="2">
        <x:v>4</x:v>
      </x:c>
    </x:row>
    <x:row r="15" ht="26">
      <x:c r="A15" s="2" t="s">
        <x:v>91</x:v>
      </x:c>
      <x:c r="B15" s="2" t="s">
        <x:v>14</x:v>
      </x:c>
      <x:c r="C15" s="3">
        <x:v>3</x:v>
      </x:c>
      <x:c r="D15" s="2" t="s">
        <x:v>192</x:v>
      </x:c>
      <x:c r="E15" s="2" t="s">
        <x:v>193</x:v>
      </x:c>
      <x:c r="F15" s="2" t="s">
        <x:v>194</x:v>
      </x:c>
      <x:c r="G15" s="2" t="s">
        <x:v>158</x:v>
      </x:c>
      <x:c r="H15" s="2" t="s">
        <x:v>96</x:v>
      </x:c>
      <x:c r="I15" s="2" t="s">
        <x:v>169</x:v>
      </x:c>
      <x:c r="J15" s="2" t="s">
        <x:v>195</x:v>
      </x:c>
      <x:c r="K15" s="2"/>
      <x:c r="L15" s="2" t="s">
        <x:v>196</x:v>
      </x:c>
      <x:c r="M15" s="2" t="s">
        <x:v>172</x:v>
      </x:c>
      <x:c r="N15" s="2">
        <x:v>1</x:v>
      </x:c>
      <x:c r="O15" s="2" t="s">
        <x:v>197</x:v>
      </x:c>
      <x:c r="P15" s="2" t="s">
        <x:v>174</x:v>
      </x:c>
      <x:c r="Q15" s="2"/>
      <x:c r="R15" s="3"/>
      <x:c r="S15" s="3"/>
      <x:c r="T15" s="2"/>
      <x:c r="U15" s="2"/>
      <x:c r="V15" s="2"/>
      <x:c r="W15" s="2" t="s">
        <x:v>169</x:v>
      </x:c>
      <x:c r="X15" s="3">
        <x:v>1</x:v>
      </x:c>
      <x:c r="Y15" s="3">
        <x:v>0</x:v>
      </x:c>
      <x:c r="Z15" s="2" t="s">
        <x:v>191</x:v>
      </x:c>
      <x:c r="AA15" s="2"/>
      <x:c r="AB15" s="2"/>
      <x:c r="AC15" s="2"/>
      <x:c r="AD15" s="2"/>
      <x:c r="AE15" s="2"/>
      <x:c r="AF15" s="2"/>
      <x:c r="AG15" s="2"/>
      <x:c r="AH15" s="2"/>
      <x:c r="AI15" s="4"/>
      <x:c r="AJ15" s="2"/>
      <x:c r="AK15" s="2" t="s">
        <x:v>176</x:v>
      </x:c>
      <x:c r="AL15" s="2" t="s">
        <x:v>107</x:v>
      </x:c>
      <x:c r="AM15" s="2">
        <x:v>5</x:v>
      </x:c>
      <x:c r="AN15" s="2">
        <x:v>5</x:v>
      </x:c>
    </x:row>
    <x:row r="16" ht="26">
      <x:c r="A16" s="2" t="s">
        <x:v>91</x:v>
      </x:c>
      <x:c r="B16" s="2" t="s">
        <x:v>14</x:v>
      </x:c>
      <x:c r="C16" s="3">
        <x:v>4</x:v>
      </x:c>
      <x:c r="D16" s="2" t="s">
        <x:v>166</x:v>
      </x:c>
      <x:c r="E16" s="2" t="s">
        <x:v>198</x:v>
      </x:c>
      <x:c r="F16" s="2" t="s">
        <x:v>168</x:v>
      </x:c>
      <x:c r="G16" s="2" t="s">
        <x:v>199</x:v>
      </x:c>
      <x:c r="H16" s="2" t="s">
        <x:v>96</x:v>
      </x:c>
      <x:c r="I16" s="2" t="s">
        <x:v>200</x:v>
      </x:c>
      <x:c r="J16" s="2" t="s">
        <x:v>170</x:v>
      </x:c>
      <x:c r="K16" s="2"/>
      <x:c r="L16" s="2" t="s">
        <x:v>201</x:v>
      </x:c>
      <x:c r="M16" s="2" t="s">
        <x:v>172</x:v>
      </x:c>
      <x:c r="N16" s="2">
        <x:v>1</x:v>
      </x:c>
      <x:c r="O16" s="2" t="s">
        <x:v>202</x:v>
      </x:c>
      <x:c r="P16" s="2" t="s">
        <x:v>174</x:v>
      </x:c>
      <x:c r="Q16" s="2"/>
      <x:c r="R16" s="3"/>
      <x:c r="S16" s="3"/>
      <x:c r="T16" s="2"/>
      <x:c r="U16" s="2"/>
      <x:c r="V16" s="2"/>
      <x:c r="W16" s="2" t="s">
        <x:v>200</x:v>
      </x:c>
      <x:c r="X16" s="3">
        <x:v>0</x:v>
      </x:c>
      <x:c r="Y16" s="3">
        <x:v>1</x:v>
      </x:c>
      <x:c r="Z16" s="2" t="s">
        <x:v>175</x:v>
      </x:c>
      <x:c r="AA16" s="2"/>
      <x:c r="AB16" s="2"/>
      <x:c r="AC16" s="2"/>
      <x:c r="AD16" s="2"/>
      <x:c r="AE16" s="2"/>
      <x:c r="AF16" s="2"/>
      <x:c r="AG16" s="2"/>
      <x:c r="AH16" s="2"/>
      <x:c r="AI16" s="4"/>
      <x:c r="AJ16" s="2"/>
      <x:c r="AK16" s="2" t="s">
        <x:v>176</x:v>
      </x:c>
      <x:c r="AL16" s="2" t="s">
        <x:v>107</x:v>
      </x:c>
      <x:c r="AM16" s="2">
        <x:v>6</x:v>
      </x:c>
      <x:c r="AN16" s="2">
        <x:v>6</x:v>
      </x:c>
    </x:row>
    <x:row r="17" ht="26">
      <x:c r="A17" s="2" t="s">
        <x:v>91</x:v>
      </x:c>
      <x:c r="B17" s="2" t="s">
        <x:v>14</x:v>
      </x:c>
      <x:c r="C17" s="3">
        <x:v>5</x:v>
      </x:c>
      <x:c r="D17" s="2" t="s">
        <x:v>177</x:v>
      </x:c>
      <x:c r="E17" s="2" t="s">
        <x:v>203</x:v>
      </x:c>
      <x:c r="F17" s="2" t="s">
        <x:v>179</x:v>
      </x:c>
      <x:c r="G17" s="2" t="s">
        <x:v>204</x:v>
      </x:c>
      <x:c r="H17" s="2" t="s">
        <x:v>96</x:v>
      </x:c>
      <x:c r="I17" s="2" t="s">
        <x:v>200</x:v>
      </x:c>
      <x:c r="J17" s="2" t="s">
        <x:v>181</x:v>
      </x:c>
      <x:c r="K17" s="2"/>
      <x:c r="L17" s="2" t="s">
        <x:v>205</x:v>
      </x:c>
      <x:c r="M17" s="2" t="s">
        <x:v>172</x:v>
      </x:c>
      <x:c r="N17" s="2">
        <x:v>1</x:v>
      </x:c>
      <x:c r="O17" s="2" t="s">
        <x:v>206</x:v>
      </x:c>
      <x:c r="P17" s="2" t="s">
        <x:v>174</x:v>
      </x:c>
      <x:c r="Q17" s="2"/>
      <x:c r="R17" s="3"/>
      <x:c r="S17" s="3"/>
      <x:c r="T17" s="2"/>
      <x:c r="U17" s="2"/>
      <x:c r="V17" s="2"/>
      <x:c r="W17" s="2" t="s">
        <x:v>200</x:v>
      </x:c>
      <x:c r="X17" s="3">
        <x:v>1</x:v>
      </x:c>
      <x:c r="Y17" s="3">
        <x:v>2</x:v>
      </x:c>
      <x:c r="Z17" s="2" t="s">
        <x:v>175</x:v>
      </x:c>
      <x:c r="AA17" s="2"/>
      <x:c r="AB17" s="2"/>
      <x:c r="AC17" s="2"/>
      <x:c r="AD17" s="2"/>
      <x:c r="AE17" s="2"/>
      <x:c r="AF17" s="2"/>
      <x:c r="AG17" s="2"/>
      <x:c r="AH17" s="2"/>
      <x:c r="AI17" s="4"/>
      <x:c r="AJ17" s="2"/>
      <x:c r="AK17" s="2" t="s">
        <x:v>176</x:v>
      </x:c>
      <x:c r="AL17" s="2" t="s">
        <x:v>107</x:v>
      </x:c>
      <x:c r="AM17" s="2">
        <x:v>7</x:v>
      </x:c>
      <x:c r="AN17" s="2">
        <x:v>7</x:v>
      </x:c>
    </x:row>
    <x:row r="18" ht="26">
      <x:c r="A18" s="2" t="s">
        <x:v>91</x:v>
      </x:c>
      <x:c r="B18" s="2" t="s">
        <x:v>14</x:v>
      </x:c>
      <x:c r="C18" s="3">
        <x:v>6</x:v>
      </x:c>
      <x:c r="D18" s="2" t="s">
        <x:v>184</x:v>
      </x:c>
      <x:c r="E18" s="2" t="s">
        <x:v>207</x:v>
      </x:c>
      <x:c r="F18" s="2" t="s">
        <x:v>186</x:v>
      </x:c>
      <x:c r="G18" s="2" t="s">
        <x:v>208</x:v>
      </x:c>
      <x:c r="H18" s="2" t="s">
        <x:v>96</x:v>
      </x:c>
      <x:c r="I18" s="2" t="s">
        <x:v>200</x:v>
      </x:c>
      <x:c r="J18" s="2" t="s">
        <x:v>188</x:v>
      </x:c>
      <x:c r="K18" s="2"/>
      <x:c r="L18" s="2" t="s">
        <x:v>209</x:v>
      </x:c>
      <x:c r="M18" s="2" t="s">
        <x:v>172</x:v>
      </x:c>
      <x:c r="N18" s="2">
        <x:v>1</x:v>
      </x:c>
      <x:c r="O18" s="2" t="s">
        <x:v>210</x:v>
      </x:c>
      <x:c r="P18" s="2" t="s">
        <x:v>174</x:v>
      </x:c>
      <x:c r="Q18" s="2"/>
      <x:c r="R18" s="3"/>
      <x:c r="S18" s="3"/>
      <x:c r="T18" s="2"/>
      <x:c r="U18" s="2"/>
      <x:c r="V18" s="2"/>
      <x:c r="W18" s="2" t="s">
        <x:v>200</x:v>
      </x:c>
      <x:c r="X18" s="3">
        <x:v>4</x:v>
      </x:c>
      <x:c r="Y18" s="3">
        <x:v>3</x:v>
      </x:c>
      <x:c r="Z18" s="2" t="s">
        <x:v>191</x:v>
      </x:c>
      <x:c r="AA18" s="2"/>
      <x:c r="AB18" s="2"/>
      <x:c r="AC18" s="2"/>
      <x:c r="AD18" s="2"/>
      <x:c r="AE18" s="2"/>
      <x:c r="AF18" s="2"/>
      <x:c r="AG18" s="2"/>
      <x:c r="AH18" s="2"/>
      <x:c r="AI18" s="4"/>
      <x:c r="AJ18" s="2"/>
      <x:c r="AK18" s="2" t="s">
        <x:v>176</x:v>
      </x:c>
      <x:c r="AL18" s="2" t="s">
        <x:v>107</x:v>
      </x:c>
      <x:c r="AM18" s="2">
        <x:v>8</x:v>
      </x:c>
      <x:c r="AN18" s="2">
        <x:v>8</x:v>
      </x:c>
    </x:row>
    <x:row r="19" ht="26">
      <x:c r="A19" s="2" t="s">
        <x:v>91</x:v>
      </x:c>
      <x:c r="B19" s="2" t="s">
        <x:v>14</x:v>
      </x:c>
      <x:c r="C19" s="3">
        <x:v>7</x:v>
      </x:c>
      <x:c r="D19" s="2" t="s">
        <x:v>192</x:v>
      </x:c>
      <x:c r="E19" s="2" t="s">
        <x:v>211</x:v>
      </x:c>
      <x:c r="F19" s="2" t="s">
        <x:v>194</x:v>
      </x:c>
      <x:c r="G19" s="2" t="s">
        <x:v>158</x:v>
      </x:c>
      <x:c r="H19" s="2" t="s">
        <x:v>96</x:v>
      </x:c>
      <x:c r="I19" s="2" t="s">
        <x:v>200</x:v>
      </x:c>
      <x:c r="J19" s="2" t="s">
        <x:v>195</x:v>
      </x:c>
      <x:c r="K19" s="2"/>
      <x:c r="L19" s="2" t="s">
        <x:v>212</x:v>
      </x:c>
      <x:c r="M19" s="2" t="s">
        <x:v>172</x:v>
      </x:c>
      <x:c r="N19" s="2">
        <x:v>1</x:v>
      </x:c>
      <x:c r="O19" s="2" t="s">
        <x:v>213</x:v>
      </x:c>
      <x:c r="P19" s="2" t="s">
        <x:v>174</x:v>
      </x:c>
      <x:c r="Q19" s="2"/>
      <x:c r="R19" s="3"/>
      <x:c r="S19" s="3"/>
      <x:c r="T19" s="2"/>
      <x:c r="U19" s="2"/>
      <x:c r="V19" s="2"/>
      <x:c r="W19" s="2" t="s">
        <x:v>200</x:v>
      </x:c>
      <x:c r="X19" s="3">
        <x:v>1</x:v>
      </x:c>
      <x:c r="Y19" s="3">
        <x:v>0</x:v>
      </x:c>
      <x:c r="Z19" s="2" t="s">
        <x:v>191</x:v>
      </x:c>
      <x:c r="AA19" s="2"/>
      <x:c r="AB19" s="2"/>
      <x:c r="AC19" s="2"/>
      <x:c r="AD19" s="2"/>
      <x:c r="AE19" s="2"/>
      <x:c r="AF19" s="2"/>
      <x:c r="AG19" s="2"/>
      <x:c r="AH19" s="2"/>
      <x:c r="AI19" s="4"/>
      <x:c r="AJ19" s="2"/>
      <x:c r="AK19" s="2" t="s">
        <x:v>176</x:v>
      </x:c>
      <x:c r="AL19" s="2" t="s">
        <x:v>107</x:v>
      </x:c>
      <x:c r="AM19" s="2">
        <x:v>9</x:v>
      </x:c>
      <x:c r="AN19" s="2">
        <x:v>9</x:v>
      </x:c>
    </x:row>
    <x:row r="20" ht="26">
      <x:c r="A20" s="2" t="s">
        <x:v>91</x:v>
      </x:c>
      <x:c r="B20" s="2" t="s">
        <x:v>14</x:v>
      </x:c>
      <x:c r="C20" s="3">
        <x:v>8</x:v>
      </x:c>
      <x:c r="D20" s="2" t="s">
        <x:v>166</x:v>
      </x:c>
      <x:c r="E20" s="2" t="s">
        <x:v>214</x:v>
      </x:c>
      <x:c r="F20" s="2" t="s">
        <x:v>168</x:v>
      </x:c>
      <x:c r="G20" s="2" t="s">
        <x:v>215</x:v>
      </x:c>
      <x:c r="H20" s="2" t="s">
        <x:v>96</x:v>
      </x:c>
      <x:c r="I20" s="2" t="s">
        <x:v>216</x:v>
      </x:c>
      <x:c r="J20" s="2" t="s">
        <x:v>170</x:v>
      </x:c>
      <x:c r="K20" s="2"/>
      <x:c r="L20" s="2" t="s">
        <x:v>217</x:v>
      </x:c>
      <x:c r="M20" s="2" t="s">
        <x:v>172</x:v>
      </x:c>
      <x:c r="N20" s="2">
        <x:v>1</x:v>
      </x:c>
      <x:c r="O20" s="2" t="s">
        <x:v>218</x:v>
      </x:c>
      <x:c r="P20" s="2" t="s">
        <x:v>174</x:v>
      </x:c>
      <x:c r="Q20" s="2"/>
      <x:c r="R20" s="3"/>
      <x:c r="S20" s="3"/>
      <x:c r="T20" s="2"/>
      <x:c r="U20" s="2"/>
      <x:c r="V20" s="2"/>
      <x:c r="W20" s="2" t="s">
        <x:v>216</x:v>
      </x:c>
      <x:c r="X20" s="3">
        <x:v>0</x:v>
      </x:c>
      <x:c r="Y20" s="3">
        <x:v>1</x:v>
      </x:c>
      <x:c r="Z20" s="2" t="s">
        <x:v>175</x:v>
      </x:c>
      <x:c r="AA20" s="2"/>
      <x:c r="AB20" s="2"/>
      <x:c r="AC20" s="2"/>
      <x:c r="AD20" s="2"/>
      <x:c r="AE20" s="2"/>
      <x:c r="AF20" s="2"/>
      <x:c r="AG20" s="2"/>
      <x:c r="AH20" s="2"/>
      <x:c r="AI20" s="4"/>
      <x:c r="AJ20" s="2"/>
      <x:c r="AK20" s="2" t="s">
        <x:v>176</x:v>
      </x:c>
      <x:c r="AL20" s="2" t="s">
        <x:v>107</x:v>
      </x:c>
      <x:c r="AM20" s="2">
        <x:v>10</x:v>
      </x:c>
      <x:c r="AN20" s="2">
        <x:v>10</x:v>
      </x:c>
    </x:row>
    <x:row r="21" ht="26">
      <x:c r="A21" s="2" t="s">
        <x:v>91</x:v>
      </x:c>
      <x:c r="B21" s="2" t="s">
        <x:v>14</x:v>
      </x:c>
      <x:c r="C21" s="3">
        <x:v>9</x:v>
      </x:c>
      <x:c r="D21" s="2" t="s">
        <x:v>177</x:v>
      </x:c>
      <x:c r="E21" s="2" t="s">
        <x:v>193</x:v>
      </x:c>
      <x:c r="F21" s="2" t="s">
        <x:v>179</x:v>
      </x:c>
      <x:c r="G21" s="2" t="s">
        <x:v>219</x:v>
      </x:c>
      <x:c r="H21" s="2" t="s">
        <x:v>96</x:v>
      </x:c>
      <x:c r="I21" s="2" t="s">
        <x:v>216</x:v>
      </x:c>
      <x:c r="J21" s="2" t="s">
        <x:v>181</x:v>
      </x:c>
      <x:c r="K21" s="2"/>
      <x:c r="L21" s="2" t="s">
        <x:v>220</x:v>
      </x:c>
      <x:c r="M21" s="2" t="s">
        <x:v>172</x:v>
      </x:c>
      <x:c r="N21" s="2">
        <x:v>1</x:v>
      </x:c>
      <x:c r="O21" s="2" t="s">
        <x:v>221</x:v>
      </x:c>
      <x:c r="P21" s="2" t="s">
        <x:v>174</x:v>
      </x:c>
      <x:c r="Q21" s="2"/>
      <x:c r="R21" s="3"/>
      <x:c r="S21" s="3"/>
      <x:c r="T21" s="2"/>
      <x:c r="U21" s="2"/>
      <x:c r="V21" s="2"/>
      <x:c r="W21" s="2" t="s">
        <x:v>216</x:v>
      </x:c>
      <x:c r="X21" s="3">
        <x:v>1</x:v>
      </x:c>
      <x:c r="Y21" s="3">
        <x:v>2</x:v>
      </x:c>
      <x:c r="Z21" s="2" t="s">
        <x:v>175</x:v>
      </x:c>
      <x:c r="AA21" s="2"/>
      <x:c r="AB21" s="2"/>
      <x:c r="AC21" s="2"/>
      <x:c r="AD21" s="2"/>
      <x:c r="AE21" s="2"/>
      <x:c r="AF21" s="2"/>
      <x:c r="AG21" s="2"/>
      <x:c r="AH21" s="2"/>
      <x:c r="AI21" s="4"/>
      <x:c r="AJ21" s="2"/>
      <x:c r="AK21" s="2" t="s">
        <x:v>176</x:v>
      </x:c>
      <x:c r="AL21" s="2" t="s">
        <x:v>107</x:v>
      </x:c>
      <x:c r="AM21" s="2">
        <x:v>11</x:v>
      </x:c>
      <x:c r="AN21" s="2">
        <x:v>11</x:v>
      </x:c>
    </x:row>
    <x:row r="22" ht="39">
      <x:c r="A22" s="2" t="s">
        <x:v>91</x:v>
      </x:c>
      <x:c r="B22" s="2" t="s">
        <x:v>15</x:v>
      </x:c>
      <x:c r="C22" s="3">
        <x:v>0</x:v>
      </x:c>
      <x:c r="D22" s="2" t="s">
        <x:v>222</x:v>
      </x:c>
      <x:c r="E22" s="2" t="s">
        <x:v>223</x:v>
      </x:c>
      <x:c r="F22" s="2" t="s">
        <x:v>224</x:v>
      </x:c>
      <x:c r="G22" s="2" t="s">
        <x:v>225</x:v>
      </x:c>
      <x:c r="H22" s="2" t="s">
        <x:v>96</x:v>
      </x:c>
      <x:c r="I22" s="2" t="s">
        <x:v>226</x:v>
      </x:c>
      <x:c r="J22" s="2" t="s">
        <x:v>227</x:v>
      </x:c>
      <x:c r="K22" s="2"/>
      <x:c r="L22" s="2"/>
      <x:c r="M22" s="2"/>
      <x:c r="N22" s="2" t="s">
        <x:v>228</x:v>
      </x:c>
      <x:c r="O22" s="2" t="s">
        <x:v>229</x:v>
      </x:c>
      <x:c r="P22" s="2" t="s">
        <x:v>230</x:v>
      </x:c>
      <x:c r="Q22" s="2"/>
      <x:c r="R22" s="3">
        <x:v>2</x:v>
      </x:c>
      <x:c r="S22" s="3"/>
      <x:c r="T22" s="2"/>
      <x:c r="U22" s="2"/>
      <x:c r="V22" s="2"/>
      <x:c r="W22" s="2" t="s">
        <x:v>231</x:v>
      </x:c>
      <x:c r="X22" s="3"/>
      <x:c r="Y22" s="3"/>
      <x:c r="Z22" s="2"/>
      <x:c r="AA22" s="2" t="s">
        <x:v>232</x:v>
      </x:c>
      <x:c r="AB22" s="2" t="s">
        <x:v>233</x:v>
      </x:c>
      <x:c r="AC22" s="2"/>
      <x:c r="AD22" s="2"/>
      <x:c r="AE22" s="2"/>
      <x:c r="AF22" s="2"/>
      <x:c r="AG22" s="2"/>
      <x:c r="AH22" s="2"/>
      <x:c r="AI22" s="4"/>
      <x:c r="AJ22" s="2"/>
      <x:c r="AK22" s="2" t="s">
        <x:v>234</x:v>
      </x:c>
      <x:c r="AL22" s="2" t="s">
        <x:v>235</x:v>
      </x:c>
      <x:c r="AM22" s="2">
        <x:v>2</x:v>
      </x:c>
      <x:c r="AN22" s="2">
        <x:v>2</x:v>
      </x:c>
    </x:row>
    <x:row r="23" ht="39">
      <x:c r="A23" s="2" t="s">
        <x:v>91</x:v>
      </x:c>
      <x:c r="B23" s="2" t="s">
        <x:v>15</x:v>
      </x:c>
      <x:c r="C23" s="3">
        <x:v>1</x:v>
      </x:c>
      <x:c r="D23" s="2" t="s">
        <x:v>236</x:v>
      </x:c>
      <x:c r="E23" s="2" t="s">
        <x:v>223</x:v>
      </x:c>
      <x:c r="F23" s="2" t="s">
        <x:v>237</x:v>
      </x:c>
      <x:c r="G23" s="2" t="s">
        <x:v>238</x:v>
      </x:c>
      <x:c r="H23" s="2" t="s">
        <x:v>96</x:v>
      </x:c>
      <x:c r="I23" s="2" t="s">
        <x:v>239</x:v>
      </x:c>
      <x:c r="J23" s="2" t="s">
        <x:v>240</x:v>
      </x:c>
      <x:c r="K23" s="2"/>
      <x:c r="L23" s="2"/>
      <x:c r="M23" s="2"/>
      <x:c r="N23" s="2" t="s">
        <x:v>228</x:v>
      </x:c>
      <x:c r="O23" s="2" t="s">
        <x:v>241</x:v>
      </x:c>
      <x:c r="P23" s="2" t="s">
        <x:v>242</x:v>
      </x:c>
      <x:c r="Q23" s="2"/>
      <x:c r="R23" s="3">
        <x:v>2</x:v>
      </x:c>
      <x:c r="S23" s="3"/>
      <x:c r="T23" s="2"/>
      <x:c r="U23" s="2"/>
      <x:c r="V23" s="2"/>
      <x:c r="W23" s="2" t="s">
        <x:v>231</x:v>
      </x:c>
      <x:c r="X23" s="3"/>
      <x:c r="Y23" s="3"/>
      <x:c r="Z23" s="2"/>
      <x:c r="AA23" s="2" t="s">
        <x:v>243</x:v>
      </x:c>
      <x:c r="AB23" s="2" t="s">
        <x:v>244</x:v>
      </x:c>
      <x:c r="AC23" s="2"/>
      <x:c r="AD23" s="2"/>
      <x:c r="AE23" s="2"/>
      <x:c r="AF23" s="2"/>
      <x:c r="AG23" s="2"/>
      <x:c r="AH23" s="2"/>
      <x:c r="AI23" s="4"/>
      <x:c r="AJ23" s="2"/>
      <x:c r="AK23" s="2" t="s">
        <x:v>234</x:v>
      </x:c>
      <x:c r="AL23" s="2" t="s">
        <x:v>235</x:v>
      </x:c>
      <x:c r="AM23" s="2">
        <x:v>3</x:v>
      </x:c>
      <x:c r="AN23" s="2">
        <x:v>3</x:v>
      </x:c>
    </x:row>
    <x:row r="24" ht="39">
      <x:c r="A24" s="2" t="s">
        <x:v>91</x:v>
      </x:c>
      <x:c r="B24" s="2" t="s">
        <x:v>15</x:v>
      </x:c>
      <x:c r="C24" s="3">
        <x:v>2</x:v>
      </x:c>
      <x:c r="D24" s="2" t="s">
        <x:v>245</x:v>
      </x:c>
      <x:c r="E24" s="2" t="s">
        <x:v>246</x:v>
      </x:c>
      <x:c r="F24" s="2" t="s">
        <x:v>247</x:v>
      </x:c>
      <x:c r="G24" s="2" t="s">
        <x:v>238</x:v>
      </x:c>
      <x:c r="H24" s="2" t="s">
        <x:v>96</x:v>
      </x:c>
      <x:c r="I24" s="2" t="s">
        <x:v>248</x:v>
      </x:c>
      <x:c r="J24" s="2" t="s">
        <x:v>249</x:v>
      </x:c>
      <x:c r="K24" s="2"/>
      <x:c r="L24" s="2"/>
      <x:c r="M24" s="2"/>
      <x:c r="N24" s="2" t="s">
        <x:v>228</x:v>
      </x:c>
      <x:c r="O24" s="2" t="s">
        <x:v>250</x:v>
      </x:c>
      <x:c r="P24" s="2" t="s">
        <x:v>251</x:v>
      </x:c>
      <x:c r="Q24" s="2"/>
      <x:c r="R24" s="3">
        <x:v>2</x:v>
      </x:c>
      <x:c r="S24" s="3"/>
      <x:c r="T24" s="2"/>
      <x:c r="U24" s="2"/>
      <x:c r="V24" s="2"/>
      <x:c r="W24" s="2" t="s">
        <x:v>231</x:v>
      </x:c>
      <x:c r="X24" s="3"/>
      <x:c r="Y24" s="3"/>
      <x:c r="Z24" s="2"/>
      <x:c r="AA24" s="2" t="s">
        <x:v>243</x:v>
      </x:c>
      <x:c r="AB24" s="2" t="s">
        <x:v>244</x:v>
      </x:c>
      <x:c r="AC24" s="2"/>
      <x:c r="AD24" s="2"/>
      <x:c r="AE24" s="2"/>
      <x:c r="AF24" s="2"/>
      <x:c r="AG24" s="2"/>
      <x:c r="AH24" s="2"/>
      <x:c r="AI24" s="4"/>
      <x:c r="AJ24" s="2"/>
      <x:c r="AK24" s="2" t="s">
        <x:v>234</x:v>
      </x:c>
      <x:c r="AL24" s="2" t="s">
        <x:v>235</x:v>
      </x:c>
      <x:c r="AM24" s="2">
        <x:v>4</x:v>
      </x:c>
      <x:c r="AN24" s="2">
        <x:v>4</x:v>
      </x:c>
    </x:row>
    <x:row r="25" ht="39">
      <x:c r="A25" s="2" t="s">
        <x:v>91</x:v>
      </x:c>
      <x:c r="B25" s="2" t="s">
        <x:v>15</x:v>
      </x:c>
      <x:c r="C25" s="3">
        <x:v>3</x:v>
      </x:c>
      <x:c r="D25" s="2" t="s">
        <x:v>252</x:v>
      </x:c>
      <x:c r="E25" s="2" t="s">
        <x:v>253</x:v>
      </x:c>
      <x:c r="F25" s="2" t="s">
        <x:v>254</x:v>
      </x:c>
      <x:c r="G25" s="2" t="s">
        <x:v>255</x:v>
      </x:c>
      <x:c r="H25" s="2" t="s">
        <x:v>96</x:v>
      </x:c>
      <x:c r="I25" s="2" t="s">
        <x:v>256</x:v>
      </x:c>
      <x:c r="J25" s="2" t="s">
        <x:v>257</x:v>
      </x:c>
      <x:c r="K25" s="2"/>
      <x:c r="L25" s="2"/>
      <x:c r="M25" s="2"/>
      <x:c r="N25" s="2" t="s">
        <x:v>228</x:v>
      </x:c>
      <x:c r="O25" s="2" t="s">
        <x:v>258</x:v>
      </x:c>
      <x:c r="P25" s="2" t="s">
        <x:v>259</x:v>
      </x:c>
      <x:c r="Q25" s="2"/>
      <x:c r="R25" s="3">
        <x:v>2</x:v>
      </x:c>
      <x:c r="S25" s="3"/>
      <x:c r="T25" s="2"/>
      <x:c r="U25" s="2"/>
      <x:c r="V25" s="2"/>
      <x:c r="W25" s="2" t="s">
        <x:v>231</x:v>
      </x:c>
      <x:c r="X25" s="3"/>
      <x:c r="Y25" s="3"/>
      <x:c r="Z25" s="2"/>
      <x:c r="AA25" s="2" t="s">
        <x:v>232</x:v>
      </x:c>
      <x:c r="AB25" s="2" t="s">
        <x:v>233</x:v>
      </x:c>
      <x:c r="AC25" s="2"/>
      <x:c r="AD25" s="2"/>
      <x:c r="AE25" s="2"/>
      <x:c r="AF25" s="2"/>
      <x:c r="AG25" s="2"/>
      <x:c r="AH25" s="2"/>
      <x:c r="AI25" s="4"/>
      <x:c r="AJ25" s="2"/>
      <x:c r="AK25" s="2" t="s">
        <x:v>234</x:v>
      </x:c>
      <x:c r="AL25" s="2" t="s">
        <x:v>235</x:v>
      </x:c>
      <x:c r="AM25" s="2">
        <x:v>5</x:v>
      </x:c>
      <x:c r="AN25" s="2">
        <x:v>5</x:v>
      </x:c>
    </x:row>
    <x:row r="26" ht="39">
      <x:c r="A26" s="2" t="s">
        <x:v>91</x:v>
      </x:c>
      <x:c r="B26" s="2" t="s">
        <x:v>15</x:v>
      </x:c>
      <x:c r="C26" s="3">
        <x:v>4</x:v>
      </x:c>
      <x:c r="D26" s="2" t="s">
        <x:v>260</x:v>
      </x:c>
      <x:c r="E26" s="2" t="s">
        <x:v>261</x:v>
      </x:c>
      <x:c r="F26" s="2" t="s">
        <x:v>237</x:v>
      </x:c>
      <x:c r="G26" s="2" t="s">
        <x:v>262</x:v>
      </x:c>
      <x:c r="H26" s="2" t="s">
        <x:v>96</x:v>
      </x:c>
      <x:c r="I26" s="2" t="s">
        <x:v>263</x:v>
      </x:c>
      <x:c r="J26" s="2" t="s">
        <x:v>264</x:v>
      </x:c>
      <x:c r="K26" s="2"/>
      <x:c r="L26" s="2"/>
      <x:c r="M26" s="2"/>
      <x:c r="N26" s="2" t="s">
        <x:v>228</x:v>
      </x:c>
      <x:c r="O26" s="2" t="s">
        <x:v>265</x:v>
      </x:c>
      <x:c r="P26" s="2" t="s">
        <x:v>266</x:v>
      </x:c>
      <x:c r="Q26" s="2"/>
      <x:c r="R26" s="3">
        <x:v>3</x:v>
      </x:c>
      <x:c r="S26" s="3"/>
      <x:c r="T26" s="2"/>
      <x:c r="U26" s="2"/>
      <x:c r="V26" s="2"/>
      <x:c r="W26" s="2" t="s">
        <x:v>231</x:v>
      </x:c>
      <x:c r="X26" s="3"/>
      <x:c r="Y26" s="3"/>
      <x:c r="Z26" s="2"/>
      <x:c r="AA26" s="2" t="s">
        <x:v>232</x:v>
      </x:c>
      <x:c r="AB26" s="2" t="s">
        <x:v>267</x:v>
      </x:c>
      <x:c r="AC26" s="2"/>
      <x:c r="AD26" s="2"/>
      <x:c r="AE26" s="2"/>
      <x:c r="AF26" s="2"/>
      <x:c r="AG26" s="2"/>
      <x:c r="AH26" s="2"/>
      <x:c r="AI26" s="4"/>
      <x:c r="AJ26" s="2"/>
      <x:c r="AK26" s="2" t="s">
        <x:v>234</x:v>
      </x:c>
      <x:c r="AL26" s="2" t="s">
        <x:v>235</x:v>
      </x:c>
      <x:c r="AM26" s="2">
        <x:v>6</x:v>
      </x:c>
      <x:c r="AN26" s="2">
        <x:v>6</x:v>
      </x:c>
    </x:row>
    <x:row r="27" ht="39">
      <x:c r="A27" s="2" t="s">
        <x:v>91</x:v>
      </x:c>
      <x:c r="B27" s="2" t="s">
        <x:v>15</x:v>
      </x:c>
      <x:c r="C27" s="3">
        <x:v>5</x:v>
      </x:c>
      <x:c r="D27" s="2" t="s">
        <x:v>268</x:v>
      </x:c>
      <x:c r="E27" s="2" t="s">
        <x:v>269</x:v>
      </x:c>
      <x:c r="F27" s="2" t="s">
        <x:v>224</x:v>
      </x:c>
      <x:c r="G27" s="2" t="s">
        <x:v>270</x:v>
      </x:c>
      <x:c r="H27" s="2" t="s">
        <x:v>96</x:v>
      </x:c>
      <x:c r="I27" s="2" t="s">
        <x:v>271</x:v>
      </x:c>
      <x:c r="J27" s="2" t="s">
        <x:v>272</x:v>
      </x:c>
      <x:c r="K27" s="2"/>
      <x:c r="L27" s="2"/>
      <x:c r="M27" s="2"/>
      <x:c r="N27" s="2" t="s">
        <x:v>228</x:v>
      </x:c>
      <x:c r="O27" s="2" t="s">
        <x:v>273</x:v>
      </x:c>
      <x:c r="P27" s="2" t="s">
        <x:v>274</x:v>
      </x:c>
      <x:c r="Q27" s="2"/>
      <x:c r="R27" s="3">
        <x:v>3</x:v>
      </x:c>
      <x:c r="S27" s="3"/>
      <x:c r="T27" s="2"/>
      <x:c r="U27" s="2"/>
      <x:c r="V27" s="2"/>
      <x:c r="W27" s="2" t="s">
        <x:v>231</x:v>
      </x:c>
      <x:c r="X27" s="3"/>
      <x:c r="Y27" s="3"/>
      <x:c r="Z27" s="2"/>
      <x:c r="AA27" s="2" t="s">
        <x:v>275</x:v>
      </x:c>
      <x:c r="AB27" s="2" t="s">
        <x:v>276</x:v>
      </x:c>
      <x:c r="AC27" s="2"/>
      <x:c r="AD27" s="2"/>
      <x:c r="AE27" s="2"/>
      <x:c r="AF27" s="2"/>
      <x:c r="AG27" s="2"/>
      <x:c r="AH27" s="2"/>
      <x:c r="AI27" s="4"/>
      <x:c r="AJ27" s="2"/>
      <x:c r="AK27" s="2" t="s">
        <x:v>234</x:v>
      </x:c>
      <x:c r="AL27" s="2" t="s">
        <x:v>235</x:v>
      </x:c>
      <x:c r="AM27" s="2">
        <x:v>7</x:v>
      </x:c>
      <x:c r="AN27" s="2">
        <x:v>7</x:v>
      </x:c>
    </x:row>
    <x:row r="28" ht="39">
      <x:c r="A28" s="2" t="s">
        <x:v>91</x:v>
      </x:c>
      <x:c r="B28" s="2" t="s">
        <x:v>15</x:v>
      </x:c>
      <x:c r="C28" s="3">
        <x:v>6</x:v>
      </x:c>
      <x:c r="D28" s="2" t="s">
        <x:v>277</x:v>
      </x:c>
      <x:c r="E28" s="2" t="s">
        <x:v>278</x:v>
      </x:c>
      <x:c r="F28" s="2" t="s">
        <x:v>254</x:v>
      </x:c>
      <x:c r="G28" s="2" t="s">
        <x:v>279</x:v>
      </x:c>
      <x:c r="H28" s="2" t="s">
        <x:v>96</x:v>
      </x:c>
      <x:c r="I28" s="2" t="s">
        <x:v>280</x:v>
      </x:c>
      <x:c r="J28" s="2" t="s">
        <x:v>281</x:v>
      </x:c>
      <x:c r="K28" s="2"/>
      <x:c r="L28" s="2"/>
      <x:c r="M28" s="2"/>
      <x:c r="N28" s="2" t="s">
        <x:v>228</x:v>
      </x:c>
      <x:c r="O28" s="2" t="s">
        <x:v>282</x:v>
      </x:c>
      <x:c r="P28" s="2" t="s">
        <x:v>283</x:v>
      </x:c>
      <x:c r="Q28" s="2"/>
      <x:c r="R28" s="3">
        <x:v>3</x:v>
      </x:c>
      <x:c r="S28" s="3"/>
      <x:c r="T28" s="2"/>
      <x:c r="U28" s="2"/>
      <x:c r="V28" s="2"/>
      <x:c r="W28" s="2" t="s">
        <x:v>231</x:v>
      </x:c>
      <x:c r="X28" s="3"/>
      <x:c r="Y28" s="3"/>
      <x:c r="Z28" s="2"/>
      <x:c r="AA28" s="2" t="s">
        <x:v>275</x:v>
      </x:c>
      <x:c r="AB28" s="2" t="s">
        <x:v>284</x:v>
      </x:c>
      <x:c r="AC28" s="2"/>
      <x:c r="AD28" s="2"/>
      <x:c r="AE28" s="2"/>
      <x:c r="AF28" s="2"/>
      <x:c r="AG28" s="2"/>
      <x:c r="AH28" s="2"/>
      <x:c r="AI28" s="4"/>
      <x:c r="AJ28" s="2"/>
      <x:c r="AK28" s="2" t="s">
        <x:v>234</x:v>
      </x:c>
      <x:c r="AL28" s="2" t="s">
        <x:v>235</x:v>
      </x:c>
      <x:c r="AM28" s="2">
        <x:v>8</x:v>
      </x:c>
      <x:c r="AN28" s="2">
        <x:v>8</x:v>
      </x:c>
    </x:row>
    <x:row r="29" ht="39">
      <x:c r="A29" s="2" t="s">
        <x:v>91</x:v>
      </x:c>
      <x:c r="B29" s="2" t="s">
        <x:v>15</x:v>
      </x:c>
      <x:c r="C29" s="3">
        <x:v>7</x:v>
      </x:c>
      <x:c r="D29" s="2" t="s">
        <x:v>285</x:v>
      </x:c>
      <x:c r="E29" s="2" t="s">
        <x:v>286</x:v>
      </x:c>
      <x:c r="F29" s="2" t="s">
        <x:v>247</x:v>
      </x:c>
      <x:c r="G29" s="2" t="s">
        <x:v>287</x:v>
      </x:c>
      <x:c r="H29" s="2" t="s">
        <x:v>96</x:v>
      </x:c>
      <x:c r="I29" s="2" t="s">
        <x:v>288</x:v>
      </x:c>
      <x:c r="J29" s="2" t="s">
        <x:v>289</x:v>
      </x:c>
      <x:c r="K29" s="2"/>
      <x:c r="L29" s="2"/>
      <x:c r="M29" s="2"/>
      <x:c r="N29" s="2" t="s">
        <x:v>228</x:v>
      </x:c>
      <x:c r="O29" s="2" t="s">
        <x:v>290</x:v>
      </x:c>
      <x:c r="P29" s="2" t="s">
        <x:v>291</x:v>
      </x:c>
      <x:c r="Q29" s="2"/>
      <x:c r="R29" s="3">
        <x:v>3</x:v>
      </x:c>
      <x:c r="S29" s="3"/>
      <x:c r="T29" s="2"/>
      <x:c r="U29" s="2"/>
      <x:c r="V29" s="2"/>
      <x:c r="W29" s="2" t="s">
        <x:v>231</x:v>
      </x:c>
      <x:c r="X29" s="3"/>
      <x:c r="Y29" s="3"/>
      <x:c r="Z29" s="2"/>
      <x:c r="AA29" s="2" t="s">
        <x:v>232</x:v>
      </x:c>
      <x:c r="AB29" s="2" t="s">
        <x:v>292</x:v>
      </x:c>
      <x:c r="AC29" s="2"/>
      <x:c r="AD29" s="2"/>
      <x:c r="AE29" s="2"/>
      <x:c r="AF29" s="2"/>
      <x:c r="AG29" s="2"/>
      <x:c r="AH29" s="2"/>
      <x:c r="AI29" s="4"/>
      <x:c r="AJ29" s="2"/>
      <x:c r="AK29" s="2" t="s">
        <x:v>234</x:v>
      </x:c>
      <x:c r="AL29" s="2" t="s">
        <x:v>235</x:v>
      </x:c>
      <x:c r="AM29" s="2">
        <x:v>9</x:v>
      </x:c>
      <x:c r="AN29" s="2">
        <x:v>9</x:v>
      </x:c>
    </x:row>
    <x:row r="30" ht="39">
      <x:c r="A30" s="2" t="s">
        <x:v>91</x:v>
      </x:c>
      <x:c r="B30" s="2" t="s">
        <x:v>15</x:v>
      </x:c>
      <x:c r="C30" s="3">
        <x:v>8</x:v>
      </x:c>
      <x:c r="D30" s="2" t="s">
        <x:v>293</x:v>
      </x:c>
      <x:c r="E30" s="2" t="s">
        <x:v>294</x:v>
      </x:c>
      <x:c r="F30" s="2" t="s">
        <x:v>224</x:v>
      </x:c>
      <x:c r="G30" s="2" t="s">
        <x:v>295</x:v>
      </x:c>
      <x:c r="H30" s="2" t="s">
        <x:v>96</x:v>
      </x:c>
      <x:c r="I30" s="2" t="s">
        <x:v>296</x:v>
      </x:c>
      <x:c r="J30" s="2" t="s">
        <x:v>297</x:v>
      </x:c>
      <x:c r="K30" s="2"/>
      <x:c r="L30" s="2"/>
      <x:c r="M30" s="2"/>
      <x:c r="N30" s="2" t="s">
        <x:v>228</x:v>
      </x:c>
      <x:c r="O30" s="2" t="s">
        <x:v>298</x:v>
      </x:c>
      <x:c r="P30" s="2" t="s">
        <x:v>299</x:v>
      </x:c>
      <x:c r="Q30" s="2"/>
      <x:c r="R30" s="3">
        <x:v>4</x:v>
      </x:c>
      <x:c r="S30" s="3"/>
      <x:c r="T30" s="2"/>
      <x:c r="U30" s="2"/>
      <x:c r="V30" s="2"/>
      <x:c r="W30" s="2" t="s">
        <x:v>231</x:v>
      </x:c>
      <x:c r="X30" s="3"/>
      <x:c r="Y30" s="3"/>
      <x:c r="Z30" s="2"/>
      <x:c r="AA30" s="2" t="s">
        <x:v>232</x:v>
      </x:c>
      <x:c r="AB30" s="2" t="s">
        <x:v>300</x:v>
      </x:c>
      <x:c r="AC30" s="2"/>
      <x:c r="AD30" s="2"/>
      <x:c r="AE30" s="2"/>
      <x:c r="AF30" s="2"/>
      <x:c r="AG30" s="2"/>
      <x:c r="AH30" s="2"/>
      <x:c r="AI30" s="4"/>
      <x:c r="AJ30" s="2"/>
      <x:c r="AK30" s="2" t="s">
        <x:v>234</x:v>
      </x:c>
      <x:c r="AL30" s="2" t="s">
        <x:v>235</x:v>
      </x:c>
      <x:c r="AM30" s="2">
        <x:v>10</x:v>
      </x:c>
      <x:c r="AN30" s="2">
        <x:v>10</x:v>
      </x:c>
    </x:row>
    <x:row r="31" ht="39">
      <x:c r="A31" s="2" t="s">
        <x:v>91</x:v>
      </x:c>
      <x:c r="B31" s="2" t="s">
        <x:v>15</x:v>
      </x:c>
      <x:c r="C31" s="3">
        <x:v>9</x:v>
      </x:c>
      <x:c r="D31" s="2" t="s">
        <x:v>236</x:v>
      </x:c>
      <x:c r="E31" s="2" t="s">
        <x:v>301</x:v>
      </x:c>
      <x:c r="F31" s="2" t="s">
        <x:v>237</x:v>
      </x:c>
      <x:c r="G31" s="2" t="s">
        <x:v>302</x:v>
      </x:c>
      <x:c r="H31" s="2" t="s">
        <x:v>96</x:v>
      </x:c>
      <x:c r="I31" s="2" t="s">
        <x:v>303</x:v>
      </x:c>
      <x:c r="J31" s="2" t="s">
        <x:v>304</x:v>
      </x:c>
      <x:c r="K31" s="2"/>
      <x:c r="L31" s="2"/>
      <x:c r="M31" s="2"/>
      <x:c r="N31" s="2" t="s">
        <x:v>228</x:v>
      </x:c>
      <x:c r="O31" s="2" t="s">
        <x:v>305</x:v>
      </x:c>
      <x:c r="P31" s="2" t="s">
        <x:v>306</x:v>
      </x:c>
      <x:c r="Q31" s="2"/>
      <x:c r="R31" s="3">
        <x:v>4</x:v>
      </x:c>
      <x:c r="S31" s="3"/>
      <x:c r="T31" s="2"/>
      <x:c r="U31" s="2"/>
      <x:c r="V31" s="2"/>
      <x:c r="W31" s="2" t="s">
        <x:v>231</x:v>
      </x:c>
      <x:c r="X31" s="3"/>
      <x:c r="Y31" s="3"/>
      <x:c r="Z31" s="2"/>
      <x:c r="AA31" s="2" t="s">
        <x:v>243</x:v>
      </x:c>
      <x:c r="AB31" s="2" t="s">
        <x:v>244</x:v>
      </x:c>
      <x:c r="AC31" s="2"/>
      <x:c r="AD31" s="2"/>
      <x:c r="AE31" s="2"/>
      <x:c r="AF31" s="2"/>
      <x:c r="AG31" s="2"/>
      <x:c r="AH31" s="2"/>
      <x:c r="AI31" s="4"/>
      <x:c r="AJ31" s="2"/>
      <x:c r="AK31" s="2" t="s">
        <x:v>234</x:v>
      </x:c>
      <x:c r="AL31" s="2" t="s">
        <x:v>235</x:v>
      </x:c>
      <x:c r="AM31" s="2">
        <x:v>11</x:v>
      </x:c>
      <x:c r="AN31" s="2">
        <x:v>11</x:v>
      </x:c>
    </x:row>
    <x:row r="32" ht="39">
      <x:c r="A32" s="2" t="s">
        <x:v>91</x:v>
      </x:c>
      <x:c r="B32" s="2" t="s">
        <x:v>16</x:v>
      </x:c>
      <x:c r="C32" s="3">
        <x:v>0</x:v>
      </x:c>
      <x:c r="D32" s="2" t="s">
        <x:v>307</x:v>
      </x:c>
      <x:c r="E32" s="2" t="s">
        <x:v>308</x:v>
      </x:c>
      <x:c r="F32" s="2" t="s">
        <x:v>309</x:v>
      </x:c>
      <x:c r="G32" s="2" t="s">
        <x:v>310</x:v>
      </x:c>
      <x:c r="H32" s="2" t="s">
        <x:v>96</x:v>
      </x:c>
      <x:c r="I32" s="2" t="s">
        <x:v>311</x:v>
      </x:c>
      <x:c r="J32" s="2" t="s">
        <x:v>312</x:v>
      </x:c>
      <x:c r="K32" s="2"/>
      <x:c r="L32" s="2" t="s">
        <x:v>313</x:v>
      </x:c>
      <x:c r="M32" s="2"/>
      <x:c r="N32" s="2"/>
      <x:c r="O32" s="2" t="s">
        <x:v>314</x:v>
      </x:c>
      <x:c r="P32" s="2" t="s">
        <x:v>315</x:v>
      </x:c>
      <x:c r="Q32" s="2"/>
      <x:c r="R32" s="3">
        <x:v>3</x:v>
      </x:c>
      <x:c r="S32" s="3"/>
      <x:c r="T32" s="2"/>
      <x:c r="U32" s="2"/>
      <x:c r="V32" s="2"/>
      <x:c r="W32" s="2"/>
      <x:c r="X32" s="3"/>
      <x:c r="Y32" s="3"/>
      <x:c r="Z32" s="2"/>
      <x:c r="AA32" s="2"/>
      <x:c r="AB32" s="2"/>
      <x:c r="AC32" s="2" t="s">
        <x:v>316</x:v>
      </x:c>
      <x:c r="AD32" s="2" t="s">
        <x:v>317</x:v>
      </x:c>
      <x:c r="AE32" s="2" t="s">
        <x:v>318</x:v>
      </x:c>
      <x:c r="AF32" s="2" t="s">
        <x:v>319</x:v>
      </x:c>
      <x:c r="AG32" s="2"/>
      <x:c r="AH32" s="2"/>
      <x:c r="AI32" s="4"/>
      <x:c r="AJ32" s="2"/>
      <x:c r="AK32" s="2" t="s">
        <x:v>320</x:v>
      </x:c>
      <x:c r="AL32" s="2" t="s">
        <x:v>235</x:v>
      </x:c>
      <x:c r="AM32" s="2">
        <x:v>2</x:v>
      </x:c>
      <x:c r="AN32" s="2">
        <x:v>2</x:v>
      </x:c>
    </x:row>
    <x:row r="33" ht="39">
      <x:c r="A33" s="2" t="s">
        <x:v>91</x:v>
      </x:c>
      <x:c r="B33" s="2" t="s">
        <x:v>16</x:v>
      </x:c>
      <x:c r="C33" s="3">
        <x:v>1</x:v>
      </x:c>
      <x:c r="D33" s="2" t="s">
        <x:v>321</x:v>
      </x:c>
      <x:c r="E33" s="2" t="s">
        <x:v>308</x:v>
      </x:c>
      <x:c r="F33" s="2" t="s">
        <x:v>322</x:v>
      </x:c>
      <x:c r="G33" s="2" t="s">
        <x:v>158</x:v>
      </x:c>
      <x:c r="H33" s="2" t="s">
        <x:v>96</x:v>
      </x:c>
      <x:c r="I33" s="2" t="s">
        <x:v>311</x:v>
      </x:c>
      <x:c r="J33" s="2" t="s">
        <x:v>312</x:v>
      </x:c>
      <x:c r="K33" s="2" t="n">
        <x:v>0</x:v>
      </x:c>
      <x:c r="L33" s="2" t="s">
        <x:v>323</x:v>
      </x:c>
      <x:c r="M33" s="2"/>
      <x:c r="N33" s="2"/>
      <x:c r="O33" s="2" t="s">
        <x:v>324</x:v>
      </x:c>
      <x:c r="P33" s="2" t="s">
        <x:v>325</x:v>
      </x:c>
      <x:c r="Q33" s="2"/>
      <x:c r="R33" s="3">
        <x:v>3</x:v>
      </x:c>
      <x:c r="S33" s="3"/>
      <x:c r="T33" s="2"/>
      <x:c r="U33" s="2"/>
      <x:c r="V33" s="2"/>
      <x:c r="W33" s="2"/>
      <x:c r="X33" s="3"/>
      <x:c r="Y33" s="3"/>
      <x:c r="Z33" s="2"/>
      <x:c r="AA33" s="2"/>
      <x:c r="AB33" s="2"/>
      <x:c r="AC33" s="2" t="s">
        <x:v>326</x:v>
      </x:c>
      <x:c r="AD33" s="2" t="s">
        <x:v>317</x:v>
      </x:c>
      <x:c r="AE33" s="2" t="s">
        <x:v>318</x:v>
      </x:c>
      <x:c r="AF33" s="2" t="s">
        <x:v>319</x:v>
      </x:c>
      <x:c r="AG33" s="2"/>
      <x:c r="AH33" s="2"/>
      <x:c r="AI33" s="4"/>
      <x:c r="AJ33" s="2"/>
      <x:c r="AK33" s="2" t="s">
        <x:v>320</x:v>
      </x:c>
      <x:c r="AL33" s="2" t="s">
        <x:v>235</x:v>
      </x:c>
      <x:c r="AM33" s="2">
        <x:v>3</x:v>
      </x:c>
      <x:c r="AN33" s="2">
        <x:v>3</x:v>
      </x:c>
    </x:row>
    <x:row r="34" ht="39">
      <x:c r="A34" s="2" t="s">
        <x:v>91</x:v>
      </x:c>
      <x:c r="B34" s="2" t="s">
        <x:v>16</x:v>
      </x:c>
      <x:c r="C34" s="3">
        <x:v>2</x:v>
      </x:c>
      <x:c r="D34" s="2" t="s">
        <x:v>327</x:v>
      </x:c>
      <x:c r="E34" s="2" t="s">
        <x:v>308</x:v>
      </x:c>
      <x:c r="F34" s="2" t="s">
        <x:v>328</x:v>
      </x:c>
      <x:c r="G34" s="2" t="s">
        <x:v>329</x:v>
      </x:c>
      <x:c r="H34" s="2" t="s">
        <x:v>96</x:v>
      </x:c>
      <x:c r="I34" s="2" t="s">
        <x:v>311</x:v>
      </x:c>
      <x:c r="J34" s="2" t="s">
        <x:v>312</x:v>
      </x:c>
      <x:c r="K34" s="2" t="n">
        <x:v>0</x:v>
      </x:c>
      <x:c r="L34" s="2" t="s">
        <x:v>330</x:v>
      </x:c>
      <x:c r="M34" s="2"/>
      <x:c r="N34" s="2"/>
      <x:c r="O34" s="2" t="s">
        <x:v>324</x:v>
      </x:c>
      <x:c r="P34" s="2" t="s">
        <x:v>331</x:v>
      </x:c>
      <x:c r="Q34" s="2"/>
      <x:c r="R34" s="3">
        <x:v>3</x:v>
      </x:c>
      <x:c r="S34" s="3"/>
      <x:c r="T34" s="2"/>
      <x:c r="U34" s="2"/>
      <x:c r="V34" s="2"/>
      <x:c r="W34" s="2"/>
      <x:c r="X34" s="3"/>
      <x:c r="Y34" s="3"/>
      <x:c r="Z34" s="2"/>
      <x:c r="AA34" s="2"/>
      <x:c r="AB34" s="2"/>
      <x:c r="AC34" s="2" t="s">
        <x:v>316</x:v>
      </x:c>
      <x:c r="AD34" s="2" t="s">
        <x:v>318</x:v>
      </x:c>
      <x:c r="AE34" s="2" t="s">
        <x:v>317</x:v>
      </x:c>
      <x:c r="AF34" s="2" t="s">
        <x:v>319</x:v>
      </x:c>
      <x:c r="AG34" s="2"/>
      <x:c r="AH34" s="2"/>
      <x:c r="AI34" s="4"/>
      <x:c r="AJ34" s="2"/>
      <x:c r="AK34" s="2" t="s">
        <x:v>320</x:v>
      </x:c>
      <x:c r="AL34" s="2" t="s">
        <x:v>235</x:v>
      </x:c>
      <x:c r="AM34" s="2">
        <x:v>4</x:v>
      </x:c>
      <x:c r="AN34" s="2">
        <x:v>4</x:v>
      </x:c>
    </x:row>
    <x:row r="35" ht="39">
      <x:c r="A35" s="2" t="s">
        <x:v>91</x:v>
      </x:c>
      <x:c r="B35" s="2" t="s">
        <x:v>16</x:v>
      </x:c>
      <x:c r="C35" s="3">
        <x:v>3</x:v>
      </x:c>
      <x:c r="D35" s="2" t="s">
        <x:v>332</x:v>
      </x:c>
      <x:c r="E35" s="2" t="s">
        <x:v>308</x:v>
      </x:c>
      <x:c r="F35" s="2" t="s">
        <x:v>333</x:v>
      </x:c>
      <x:c r="G35" s="2" t="s">
        <x:v>334</x:v>
      </x:c>
      <x:c r="H35" s="2" t="s">
        <x:v>96</x:v>
      </x:c>
      <x:c r="I35" s="2" t="s">
        <x:v>311</x:v>
      </x:c>
      <x:c r="J35" s="2" t="s">
        <x:v>312</x:v>
      </x:c>
      <x:c r="K35" s="2" t="n">
        <x:v>0</x:v>
      </x:c>
      <x:c r="L35" s="2" t="s">
        <x:v>335</x:v>
      </x:c>
      <x:c r="M35" s="2"/>
      <x:c r="N35" s="2"/>
      <x:c r="O35" s="2" t="s">
        <x:v>324</x:v>
      </x:c>
      <x:c r="P35" s="2" t="s">
        <x:v>336</x:v>
      </x:c>
      <x:c r="Q35" s="2"/>
      <x:c r="R35" s="3">
        <x:v>3</x:v>
      </x:c>
      <x:c r="S35" s="3"/>
      <x:c r="T35" s="2"/>
      <x:c r="U35" s="2"/>
      <x:c r="V35" s="2"/>
      <x:c r="W35" s="2"/>
      <x:c r="X35" s="3"/>
      <x:c r="Y35" s="3"/>
      <x:c r="Z35" s="2"/>
      <x:c r="AA35" s="2"/>
      <x:c r="AB35" s="2"/>
      <x:c r="AC35" s="2" t="s">
        <x:v>326</x:v>
      </x:c>
      <x:c r="AD35" s="2" t="s">
        <x:v>318</x:v>
      </x:c>
      <x:c r="AE35" s="2" t="s">
        <x:v>317</x:v>
      </x:c>
      <x:c r="AF35" s="2" t="s">
        <x:v>319</x:v>
      </x:c>
      <x:c r="AG35" s="2"/>
      <x:c r="AH35" s="2"/>
      <x:c r="AI35" s="4"/>
      <x:c r="AJ35" s="2"/>
      <x:c r="AK35" s="2" t="s">
        <x:v>320</x:v>
      </x:c>
      <x:c r="AL35" s="2" t="s">
        <x:v>235</x:v>
      </x:c>
      <x:c r="AM35" s="2">
        <x:v>5</x:v>
      </x:c>
      <x:c r="AN35" s="2">
        <x:v>5</x:v>
      </x:c>
    </x:row>
    <x:row r="36" ht="39">
      <x:c r="A36" s="2" t="s">
        <x:v>91</x:v>
      </x:c>
      <x:c r="B36" s="2" t="s">
        <x:v>16</x:v>
      </x:c>
      <x:c r="C36" s="3">
        <x:v>4</x:v>
      </x:c>
      <x:c r="D36" s="2" t="s">
        <x:v>337</x:v>
      </x:c>
      <x:c r="E36" s="2" t="s">
        <x:v>338</x:v>
      </x:c>
      <x:c r="F36" s="2" t="s">
        <x:v>339</x:v>
      </x:c>
      <x:c r="G36" s="2" t="s">
        <x:v>340</x:v>
      </x:c>
      <x:c r="H36" s="2" t="s">
        <x:v>96</x:v>
      </x:c>
      <x:c r="I36" s="2" t="s">
        <x:v>341</x:v>
      </x:c>
      <x:c r="J36" s="2" t="s">
        <x:v>312</x:v>
      </x:c>
      <x:c r="K36" s="2"/>
      <x:c r="L36" s="2" t="s">
        <x:v>342</x:v>
      </x:c>
      <x:c r="M36" s="2"/>
      <x:c r="N36" s="2"/>
      <x:c r="O36" s="2" t="s">
        <x:v>314</x:v>
      </x:c>
      <x:c r="P36" s="2" t="s">
        <x:v>343</x:v>
      </x:c>
      <x:c r="Q36" s="2"/>
      <x:c r="R36" s="3">
        <x:v>4</x:v>
      </x:c>
      <x:c r="S36" s="3"/>
      <x:c r="T36" s="2"/>
      <x:c r="U36" s="2"/>
      <x:c r="V36" s="2"/>
      <x:c r="W36" s="2"/>
      <x:c r="X36" s="3"/>
      <x:c r="Y36" s="3"/>
      <x:c r="Z36" s="2"/>
      <x:c r="AA36" s="2"/>
      <x:c r="AB36" s="2"/>
      <x:c r="AC36" s="2" t="s">
        <x:v>316</x:v>
      </x:c>
      <x:c r="AD36" s="2" t="s">
        <x:v>317</x:v>
      </x:c>
      <x:c r="AE36" s="2" t="s">
        <x:v>344</x:v>
      </x:c>
      <x:c r="AF36" s="2" t="s">
        <x:v>319</x:v>
      </x:c>
      <x:c r="AG36" s="2"/>
      <x:c r="AH36" s="2"/>
      <x:c r="AI36" s="4"/>
      <x:c r="AJ36" s="2"/>
      <x:c r="AK36" s="2" t="s">
        <x:v>320</x:v>
      </x:c>
      <x:c r="AL36" s="2" t="s">
        <x:v>235</x:v>
      </x:c>
      <x:c r="AM36" s="2">
        <x:v>6</x:v>
      </x:c>
      <x:c r="AN36" s="2">
        <x:v>6</x:v>
      </x:c>
    </x:row>
    <x:row r="37" ht="39">
      <x:c r="A37" s="2" t="s">
        <x:v>91</x:v>
      </x:c>
      <x:c r="B37" s="2" t="s">
        <x:v>16</x:v>
      </x:c>
      <x:c r="C37" s="3">
        <x:v>5</x:v>
      </x:c>
      <x:c r="D37" s="2" t="s">
        <x:v>345</x:v>
      </x:c>
      <x:c r="E37" s="2" t="s">
        <x:v>338</x:v>
      </x:c>
      <x:c r="F37" s="2" t="s">
        <x:v>346</x:v>
      </x:c>
      <x:c r="G37" s="2" t="s">
        <x:v>347</x:v>
      </x:c>
      <x:c r="H37" s="2" t="s">
        <x:v>96</x:v>
      </x:c>
      <x:c r="I37" s="2" t="s">
        <x:v>341</x:v>
      </x:c>
      <x:c r="J37" s="2" t="s">
        <x:v>312</x:v>
      </x:c>
      <x:c r="K37" s="2" t="n">
        <x:v>4</x:v>
      </x:c>
      <x:c r="L37" s="2" t="s">
        <x:v>348</x:v>
      </x:c>
      <x:c r="M37" s="2"/>
      <x:c r="N37" s="2"/>
      <x:c r="O37" s="2" t="s">
        <x:v>324</x:v>
      </x:c>
      <x:c r="P37" s="2" t="s">
        <x:v>349</x:v>
      </x:c>
      <x:c r="Q37" s="2"/>
      <x:c r="R37" s="3">
        <x:v>4</x:v>
      </x:c>
      <x:c r="S37" s="3"/>
      <x:c r="T37" s="2"/>
      <x:c r="U37" s="2"/>
      <x:c r="V37" s="2"/>
      <x:c r="W37" s="2"/>
      <x:c r="X37" s="3"/>
      <x:c r="Y37" s="3"/>
      <x:c r="Z37" s="2"/>
      <x:c r="AA37" s="2"/>
      <x:c r="AB37" s="2"/>
      <x:c r="AC37" s="2" t="s">
        <x:v>326</x:v>
      </x:c>
      <x:c r="AD37" s="2" t="s">
        <x:v>317</x:v>
      </x:c>
      <x:c r="AE37" s="2" t="s">
        <x:v>344</x:v>
      </x:c>
      <x:c r="AF37" s="2" t="s">
        <x:v>319</x:v>
      </x:c>
      <x:c r="AG37" s="2"/>
      <x:c r="AH37" s="2"/>
      <x:c r="AI37" s="4"/>
      <x:c r="AJ37" s="2"/>
      <x:c r="AK37" s="2" t="s">
        <x:v>320</x:v>
      </x:c>
      <x:c r="AL37" s="2" t="s">
        <x:v>235</x:v>
      </x:c>
      <x:c r="AM37" s="2">
        <x:v>7</x:v>
      </x:c>
      <x:c r="AN37" s="2">
        <x:v>7</x:v>
      </x:c>
    </x:row>
    <x:row r="38" ht="39">
      <x:c r="A38" s="2" t="s">
        <x:v>91</x:v>
      </x:c>
      <x:c r="B38" s="2" t="s">
        <x:v>16</x:v>
      </x:c>
      <x:c r="C38" s="3">
        <x:v>6</x:v>
      </x:c>
      <x:c r="D38" s="2" t="s">
        <x:v>350</x:v>
      </x:c>
      <x:c r="E38" s="2" t="s">
        <x:v>338</x:v>
      </x:c>
      <x:c r="F38" s="2" t="s">
        <x:v>351</x:v>
      </x:c>
      <x:c r="G38" s="2" t="s">
        <x:v>352</x:v>
      </x:c>
      <x:c r="H38" s="2" t="s">
        <x:v>96</x:v>
      </x:c>
      <x:c r="I38" s="2" t="s">
        <x:v>341</x:v>
      </x:c>
      <x:c r="J38" s="2" t="s">
        <x:v>312</x:v>
      </x:c>
      <x:c r="K38" s="2" t="n">
        <x:v>4</x:v>
      </x:c>
      <x:c r="L38" s="2" t="s">
        <x:v>353</x:v>
      </x:c>
      <x:c r="M38" s="2"/>
      <x:c r="N38" s="2"/>
      <x:c r="O38" s="2" t="s">
        <x:v>324</x:v>
      </x:c>
      <x:c r="P38" s="2" t="s">
        <x:v>354</x:v>
      </x:c>
      <x:c r="Q38" s="2"/>
      <x:c r="R38" s="3">
        <x:v>4</x:v>
      </x:c>
      <x:c r="S38" s="3"/>
      <x:c r="T38" s="2"/>
      <x:c r="U38" s="2"/>
      <x:c r="V38" s="2"/>
      <x:c r="W38" s="2"/>
      <x:c r="X38" s="3"/>
      <x:c r="Y38" s="3"/>
      <x:c r="Z38" s="2"/>
      <x:c r="AA38" s="2"/>
      <x:c r="AB38" s="2"/>
      <x:c r="AC38" s="2" t="s">
        <x:v>316</x:v>
      </x:c>
      <x:c r="AD38" s="2" t="s">
        <x:v>344</x:v>
      </x:c>
      <x:c r="AE38" s="2" t="s">
        <x:v>317</x:v>
      </x:c>
      <x:c r="AF38" s="2" t="s">
        <x:v>319</x:v>
      </x:c>
      <x:c r="AG38" s="2"/>
      <x:c r="AH38" s="2"/>
      <x:c r="AI38" s="4"/>
      <x:c r="AJ38" s="2"/>
      <x:c r="AK38" s="2" t="s">
        <x:v>320</x:v>
      </x:c>
      <x:c r="AL38" s="2" t="s">
        <x:v>235</x:v>
      </x:c>
      <x:c r="AM38" s="2">
        <x:v>8</x:v>
      </x:c>
      <x:c r="AN38" s="2">
        <x:v>8</x:v>
      </x:c>
    </x:row>
    <x:row r="39" ht="39">
      <x:c r="A39" s="2" t="s">
        <x:v>91</x:v>
      </x:c>
      <x:c r="B39" s="2" t="s">
        <x:v>16</x:v>
      </x:c>
      <x:c r="C39" s="3">
        <x:v>7</x:v>
      </x:c>
      <x:c r="D39" s="2" t="s">
        <x:v>355</x:v>
      </x:c>
      <x:c r="E39" s="2" t="s">
        <x:v>338</x:v>
      </x:c>
      <x:c r="F39" s="2" t="s">
        <x:v>356</x:v>
      </x:c>
      <x:c r="G39" s="2" t="s">
        <x:v>158</x:v>
      </x:c>
      <x:c r="H39" s="2" t="s">
        <x:v>96</x:v>
      </x:c>
      <x:c r="I39" s="2" t="s">
        <x:v>341</x:v>
      </x:c>
      <x:c r="J39" s="2" t="s">
        <x:v>312</x:v>
      </x:c>
      <x:c r="K39" s="2" t="n">
        <x:v>4</x:v>
      </x:c>
      <x:c r="L39" s="2" t="s">
        <x:v>357</x:v>
      </x:c>
      <x:c r="M39" s="2"/>
      <x:c r="N39" s="2"/>
      <x:c r="O39" s="2" t="s">
        <x:v>324</x:v>
      </x:c>
      <x:c r="P39" s="2" t="s">
        <x:v>358</x:v>
      </x:c>
      <x:c r="Q39" s="2"/>
      <x:c r="R39" s="3">
        <x:v>4</x:v>
      </x:c>
      <x:c r="S39" s="3"/>
      <x:c r="T39" s="2"/>
      <x:c r="U39" s="2"/>
      <x:c r="V39" s="2"/>
      <x:c r="W39" s="2"/>
      <x:c r="X39" s="3"/>
      <x:c r="Y39" s="3"/>
      <x:c r="Z39" s="2"/>
      <x:c r="AA39" s="2"/>
      <x:c r="AB39" s="2"/>
      <x:c r="AC39" s="2" t="s">
        <x:v>326</x:v>
      </x:c>
      <x:c r="AD39" s="2" t="s">
        <x:v>344</x:v>
      </x:c>
      <x:c r="AE39" s="2" t="s">
        <x:v>317</x:v>
      </x:c>
      <x:c r="AF39" s="2" t="s">
        <x:v>319</x:v>
      </x:c>
      <x:c r="AG39" s="2"/>
      <x:c r="AH39" s="2"/>
      <x:c r="AI39" s="4"/>
      <x:c r="AJ39" s="2"/>
      <x:c r="AK39" s="2" t="s">
        <x:v>320</x:v>
      </x:c>
      <x:c r="AL39" s="2" t="s">
        <x:v>235</x:v>
      </x:c>
      <x:c r="AM39" s="2">
        <x:v>9</x:v>
      </x:c>
      <x:c r="AN39" s="2">
        <x:v>9</x:v>
      </x:c>
    </x:row>
    <x:row r="40" ht="39">
      <x:c r="A40" s="2" t="s">
        <x:v>91</x:v>
      </x:c>
      <x:c r="B40" s="2" t="s">
        <x:v>16</x:v>
      </x:c>
      <x:c r="C40" s="3">
        <x:v>8</x:v>
      </x:c>
      <x:c r="D40" s="2" t="s">
        <x:v>359</x:v>
      </x:c>
      <x:c r="E40" s="2" t="s">
        <x:v>360</x:v>
      </x:c>
      <x:c r="F40" s="2" t="s">
        <x:v>361</x:v>
      </x:c>
      <x:c r="G40" s="2" t="s">
        <x:v>362</x:v>
      </x:c>
      <x:c r="H40" s="2" t="s">
        <x:v>96</x:v>
      </x:c>
      <x:c r="I40" s="2" t="s">
        <x:v>363</x:v>
      </x:c>
      <x:c r="J40" s="2" t="s">
        <x:v>364</x:v>
      </x:c>
      <x:c r="K40" s="2"/>
      <x:c r="L40" s="2" t="s">
        <x:v>365</x:v>
      </x:c>
      <x:c r="M40" s="2"/>
      <x:c r="N40" s="2"/>
      <x:c r="O40" s="2" t="s">
        <x:v>314</x:v>
      </x:c>
      <x:c r="P40" s="2" t="s">
        <x:v>366</x:v>
      </x:c>
      <x:c r="Q40" s="2"/>
      <x:c r="R40" s="3">
        <x:v>3</x:v>
      </x:c>
      <x:c r="S40" s="3"/>
      <x:c r="T40" s="2"/>
      <x:c r="U40" s="2"/>
      <x:c r="V40" s="2"/>
      <x:c r="W40" s="2"/>
      <x:c r="X40" s="3"/>
      <x:c r="Y40" s="3"/>
      <x:c r="Z40" s="2"/>
      <x:c r="AA40" s="2"/>
      <x:c r="AB40" s="2"/>
      <x:c r="AC40" s="2" t="s">
        <x:v>367</x:v>
      </x:c>
      <x:c r="AD40" s="2" t="s">
        <x:v>368</x:v>
      </x:c>
      <x:c r="AE40" s="2" t="s">
        <x:v>318</x:v>
      </x:c>
      <x:c r="AF40" s="2" t="s">
        <x:v>319</x:v>
      </x:c>
      <x:c r="AG40" s="2"/>
      <x:c r="AH40" s="2"/>
      <x:c r="AI40" s="4"/>
      <x:c r="AJ40" s="2"/>
      <x:c r="AK40" s="2" t="s">
        <x:v>320</x:v>
      </x:c>
      <x:c r="AL40" s="2" t="s">
        <x:v>235</x:v>
      </x:c>
      <x:c r="AM40" s="2">
        <x:v>10</x:v>
      </x:c>
      <x:c r="AN40" s="2">
        <x:v>10</x:v>
      </x:c>
    </x:row>
    <x:row r="41" ht="39">
      <x:c r="A41" s="2" t="s">
        <x:v>91</x:v>
      </x:c>
      <x:c r="B41" s="2" t="s">
        <x:v>16</x:v>
      </x:c>
      <x:c r="C41" s="3">
        <x:v>9</x:v>
      </x:c>
      <x:c r="D41" s="2" t="s">
        <x:v>369</x:v>
      </x:c>
      <x:c r="E41" s="2" t="s">
        <x:v>360</x:v>
      </x:c>
      <x:c r="F41" s="2" t="s">
        <x:v>370</x:v>
      </x:c>
      <x:c r="G41" s="2" t="s">
        <x:v>371</x:v>
      </x:c>
      <x:c r="H41" s="2" t="s">
        <x:v>96</x:v>
      </x:c>
      <x:c r="I41" s="2" t="s">
        <x:v>363</x:v>
      </x:c>
      <x:c r="J41" s="2" t="s">
        <x:v>364</x:v>
      </x:c>
      <x:c r="K41" s="2" t="n">
        <x:v>8</x:v>
      </x:c>
      <x:c r="L41" s="2" t="s">
        <x:v>372</x:v>
      </x:c>
      <x:c r="M41" s="2"/>
      <x:c r="N41" s="2"/>
      <x:c r="O41" s="2" t="s">
        <x:v>324</x:v>
      </x:c>
      <x:c r="P41" s="2" t="s">
        <x:v>373</x:v>
      </x:c>
      <x:c r="Q41" s="2"/>
      <x:c r="R41" s="3">
        <x:v>3</x:v>
      </x:c>
      <x:c r="S41" s="3"/>
      <x:c r="T41" s="2"/>
      <x:c r="U41" s="2"/>
      <x:c r="V41" s="2"/>
      <x:c r="W41" s="2"/>
      <x:c r="X41" s="3"/>
      <x:c r="Y41" s="3"/>
      <x:c r="Z41" s="2"/>
      <x:c r="AA41" s="2"/>
      <x:c r="AB41" s="2"/>
      <x:c r="AC41" s="2" t="s">
        <x:v>374</x:v>
      </x:c>
      <x:c r="AD41" s="2" t="s">
        <x:v>368</x:v>
      </x:c>
      <x:c r="AE41" s="2" t="s">
        <x:v>318</x:v>
      </x:c>
      <x:c r="AF41" s="2" t="s">
        <x:v>319</x:v>
      </x:c>
      <x:c r="AG41" s="2"/>
      <x:c r="AH41" s="2"/>
      <x:c r="AI41" s="4"/>
      <x:c r="AJ41" s="2"/>
      <x:c r="AK41" s="2" t="s">
        <x:v>320</x:v>
      </x:c>
      <x:c r="AL41" s="2" t="s">
        <x:v>235</x:v>
      </x:c>
      <x:c r="AM41" s="2">
        <x:v>11</x:v>
      </x:c>
      <x:c r="AN41" s="2">
        <x:v>11</x:v>
      </x:c>
    </x:row>
    <x:row r="42" ht="39">
      <x:c r="A42" s="2" t="s">
        <x:v>91</x:v>
      </x:c>
      <x:c r="B42" s="2" t="s">
        <x:v>16</x:v>
      </x:c>
      <x:c r="C42" s="3">
        <x:v>10</x:v>
      </x:c>
      <x:c r="D42" s="2" t="s">
        <x:v>375</x:v>
      </x:c>
      <x:c r="E42" s="2" t="s">
        <x:v>360</x:v>
      </x:c>
      <x:c r="F42" s="2" t="s">
        <x:v>376</x:v>
      </x:c>
      <x:c r="G42" s="2" t="s">
        <x:v>377</x:v>
      </x:c>
      <x:c r="H42" s="2" t="s">
        <x:v>96</x:v>
      </x:c>
      <x:c r="I42" s="2" t="s">
        <x:v>363</x:v>
      </x:c>
      <x:c r="J42" s="2" t="s">
        <x:v>364</x:v>
      </x:c>
      <x:c r="K42" s="2" t="n">
        <x:v>8</x:v>
      </x:c>
      <x:c r="L42" s="2" t="s">
        <x:v>378</x:v>
      </x:c>
      <x:c r="M42" s="2"/>
      <x:c r="N42" s="2"/>
      <x:c r="O42" s="2" t="s">
        <x:v>324</x:v>
      </x:c>
      <x:c r="P42" s="2" t="s">
        <x:v>379</x:v>
      </x:c>
      <x:c r="Q42" s="2"/>
      <x:c r="R42" s="3">
        <x:v>3</x:v>
      </x:c>
      <x:c r="S42" s="3"/>
      <x:c r="T42" s="2"/>
      <x:c r="U42" s="2"/>
      <x:c r="V42" s="2"/>
      <x:c r="W42" s="2"/>
      <x:c r="X42" s="3"/>
      <x:c r="Y42" s="3"/>
      <x:c r="Z42" s="2"/>
      <x:c r="AA42" s="2"/>
      <x:c r="AB42" s="2"/>
      <x:c r="AC42" s="2" t="s">
        <x:v>367</x:v>
      </x:c>
      <x:c r="AD42" s="2" t="s">
        <x:v>318</x:v>
      </x:c>
      <x:c r="AE42" s="2" t="s">
        <x:v>368</x:v>
      </x:c>
      <x:c r="AF42" s="2" t="s">
        <x:v>319</x:v>
      </x:c>
      <x:c r="AG42" s="2"/>
      <x:c r="AH42" s="2"/>
      <x:c r="AI42" s="4"/>
      <x:c r="AJ42" s="2"/>
      <x:c r="AK42" s="2" t="s">
        <x:v>320</x:v>
      </x:c>
      <x:c r="AL42" s="2" t="s">
        <x:v>235</x:v>
      </x:c>
      <x:c r="AM42" s="2">
        <x:v>12</x:v>
      </x:c>
      <x:c r="AN42" s="2">
        <x:v>12</x:v>
      </x:c>
    </x:row>
    <x:row r="43" ht="39">
      <x:c r="A43" s="2" t="s">
        <x:v>91</x:v>
      </x:c>
      <x:c r="B43" s="2" t="s">
        <x:v>16</x:v>
      </x:c>
      <x:c r="C43" s="3">
        <x:v>11</x:v>
      </x:c>
      <x:c r="D43" s="2" t="s">
        <x:v>380</x:v>
      </x:c>
      <x:c r="E43" s="2" t="s">
        <x:v>360</x:v>
      </x:c>
      <x:c r="F43" s="2" t="s">
        <x:v>381</x:v>
      </x:c>
      <x:c r="G43" s="2" t="s">
        <x:v>158</x:v>
      </x:c>
      <x:c r="H43" s="2" t="s">
        <x:v>96</x:v>
      </x:c>
      <x:c r="I43" s="2" t="s">
        <x:v>363</x:v>
      </x:c>
      <x:c r="J43" s="2" t="s">
        <x:v>364</x:v>
      </x:c>
      <x:c r="K43" s="2" t="n">
        <x:v>8</x:v>
      </x:c>
      <x:c r="L43" s="2" t="s">
        <x:v>382</x:v>
      </x:c>
      <x:c r="M43" s="2"/>
      <x:c r="N43" s="2"/>
      <x:c r="O43" s="2" t="s">
        <x:v>324</x:v>
      </x:c>
      <x:c r="P43" s="2" t="s">
        <x:v>383</x:v>
      </x:c>
      <x:c r="Q43" s="2"/>
      <x:c r="R43" s="3">
        <x:v>3</x:v>
      </x:c>
      <x:c r="S43" s="3"/>
      <x:c r="T43" s="2"/>
      <x:c r="U43" s="2"/>
      <x:c r="V43" s="2"/>
      <x:c r="W43" s="2"/>
      <x:c r="X43" s="3"/>
      <x:c r="Y43" s="3"/>
      <x:c r="Z43" s="2"/>
      <x:c r="AA43" s="2"/>
      <x:c r="AB43" s="2"/>
      <x:c r="AC43" s="2" t="s">
        <x:v>374</x:v>
      </x:c>
      <x:c r="AD43" s="2" t="s">
        <x:v>318</x:v>
      </x:c>
      <x:c r="AE43" s="2" t="s">
        <x:v>368</x:v>
      </x:c>
      <x:c r="AF43" s="2" t="s">
        <x:v>319</x:v>
      </x:c>
      <x:c r="AG43" s="2"/>
      <x:c r="AH43" s="2"/>
      <x:c r="AI43" s="4"/>
      <x:c r="AJ43" s="2"/>
      <x:c r="AK43" s="2" t="s">
        <x:v>320</x:v>
      </x:c>
      <x:c r="AL43" s="2" t="s">
        <x:v>235</x:v>
      </x:c>
      <x:c r="AM43" s="2">
        <x:v>13</x:v>
      </x:c>
      <x:c r="AN43" s="2">
        <x:v>13</x:v>
      </x:c>
    </x:row>
    <x:row r="44" ht="52">
      <x:c r="A44" s="2" t="s">
        <x:v>91</x:v>
      </x:c>
      <x:c r="B44" s="2" t="s">
        <x:v>17</x:v>
      </x:c>
      <x:c r="C44" s="3">
        <x:v>0</x:v>
      </x:c>
      <x:c r="D44" s="2" t="s">
        <x:v>384</x:v>
      </x:c>
      <x:c r="E44" s="2" t="s">
        <x:v>385</x:v>
      </x:c>
      <x:c r="F44" s="2" t="s">
        <x:v>386</x:v>
      </x:c>
      <x:c r="G44" s="2" t="s">
        <x:v>387</x:v>
      </x:c>
      <x:c r="H44" s="2" t="s">
        <x:v>96</x:v>
      </x:c>
      <x:c r="I44" s="2" t="s">
        <x:v>388</x:v>
      </x:c>
      <x:c r="J44" s="2" t="s">
        <x:v>389</x:v>
      </x:c>
      <x:c r="K44" s="2"/>
      <x:c r="L44" s="2" t="s">
        <x:v>390</x:v>
      </x:c>
      <x:c r="M44" s="2" t="s">
        <x:v>391</x:v>
      </x:c>
      <x:c r="N44" s="2">
        <x:v>1</x:v>
      </x:c>
      <x:c r="O44" s="2" t="s">
        <x:v>392</x:v>
      </x:c>
      <x:c r="P44" s="2" t="s">
        <x:v>393</x:v>
      </x:c>
      <x:c r="Q44" s="2"/>
      <x:c r="R44" s="3">
        <x:v>4</x:v>
      </x:c>
      <x:c r="S44" s="3">
        <x:v>1</x:v>
      </x:c>
      <x:c r="T44" s="2" t="s">
        <x:v>103</x:v>
      </x:c>
      <x:c r="U44" s="2"/>
      <x:c r="V44" s="2"/>
      <x:c r="W44" s="2"/>
      <x:c r="X44" s="3"/>
      <x:c r="Y44" s="3"/>
      <x:c r="Z44" s="2"/>
      <x:c r="AA44" s="2"/>
      <x:c r="AB44" s="2" t="s">
        <x:v>394</x:v>
      </x:c>
      <x:c r="AC44" s="2"/>
      <x:c r="AD44" s="2"/>
      <x:c r="AE44" s="2"/>
      <x:c r="AF44" s="2"/>
      <x:c r="AG44" s="2" t="s">
        <x:v>395</x:v>
      </x:c>
      <x:c r="AH44" s="2"/>
      <x:c r="AI44" s="4"/>
      <x:c r="AJ44" s="2"/>
      <x:c r="AK44" s="2" t="s">
        <x:v>396</x:v>
      </x:c>
      <x:c r="AL44" s="2" t="s">
        <x:v>107</x:v>
      </x:c>
      <x:c r="AM44" s="2">
        <x:v>2</x:v>
      </x:c>
      <x:c r="AN44" s="2">
        <x:v>2</x:v>
      </x:c>
    </x:row>
    <x:row r="45" ht="52">
      <x:c r="A45" s="2" t="s">
        <x:v>91</x:v>
      </x:c>
      <x:c r="B45" s="2" t="s">
        <x:v>17</x:v>
      </x:c>
      <x:c r="C45" s="3">
        <x:v>1</x:v>
      </x:c>
      <x:c r="D45" s="2" t="s">
        <x:v>397</x:v>
      </x:c>
      <x:c r="E45" s="2" t="s">
        <x:v>398</x:v>
      </x:c>
      <x:c r="F45" s="2" t="s">
        <x:v>386</x:v>
      </x:c>
      <x:c r="G45" s="2" t="s">
        <x:v>399</x:v>
      </x:c>
      <x:c r="H45" s="2" t="s">
        <x:v>96</x:v>
      </x:c>
      <x:c r="I45" s="2" t="s">
        <x:v>400</x:v>
      </x:c>
      <x:c r="J45" s="2" t="s">
        <x:v>389</x:v>
      </x:c>
      <x:c r="K45" s="2"/>
      <x:c r="L45" s="2" t="s">
        <x:v>401</x:v>
      </x:c>
      <x:c r="M45" s="2" t="s">
        <x:v>391</x:v>
      </x:c>
      <x:c r="N45" s="2">
        <x:v>1</x:v>
      </x:c>
      <x:c r="O45" s="2" t="s">
        <x:v>402</x:v>
      </x:c>
      <x:c r="P45" s="2" t="s">
        <x:v>393</x:v>
      </x:c>
      <x:c r="Q45" s="2"/>
      <x:c r="R45" s="3">
        <x:v>5</x:v>
      </x:c>
      <x:c r="S45" s="3">
        <x:v>1</x:v>
      </x:c>
      <x:c r="T45" s="2" t="s">
        <x:v>103</x:v>
      </x:c>
      <x:c r="U45" s="2"/>
      <x:c r="V45" s="2"/>
      <x:c r="W45" s="2"/>
      <x:c r="X45" s="3"/>
      <x:c r="Y45" s="3"/>
      <x:c r="Z45" s="2"/>
      <x:c r="AA45" s="2"/>
      <x:c r="AB45" s="2" t="s">
        <x:v>394</x:v>
      </x:c>
      <x:c r="AC45" s="2"/>
      <x:c r="AD45" s="2"/>
      <x:c r="AE45" s="2"/>
      <x:c r="AF45" s="2"/>
      <x:c r="AG45" s="2" t="s">
        <x:v>395</x:v>
      </x:c>
      <x:c r="AH45" s="2"/>
      <x:c r="AI45" s="4"/>
      <x:c r="AJ45" s="2"/>
      <x:c r="AK45" s="2" t="s">
        <x:v>396</x:v>
      </x:c>
      <x:c r="AL45" s="2" t="s">
        <x:v>107</x:v>
      </x:c>
      <x:c r="AM45" s="2">
        <x:v>3</x:v>
      </x:c>
      <x:c r="AN45" s="2">
        <x:v>3</x:v>
      </x:c>
    </x:row>
    <x:row r="46" ht="52">
      <x:c r="A46" s="2" t="s">
        <x:v>91</x:v>
      </x:c>
      <x:c r="B46" s="2" t="s">
        <x:v>17</x:v>
      </x:c>
      <x:c r="C46" s="3">
        <x:v>2</x:v>
      </x:c>
      <x:c r="D46" s="2" t="s">
        <x:v>403</x:v>
      </x:c>
      <x:c r="E46" s="2" t="s">
        <x:v>404</x:v>
      </x:c>
      <x:c r="F46" s="2" t="s">
        <x:v>386</x:v>
      </x:c>
      <x:c r="G46" s="2" t="s">
        <x:v>405</x:v>
      </x:c>
      <x:c r="H46" s="2" t="s">
        <x:v>96</x:v>
      </x:c>
      <x:c r="I46" s="2" t="s">
        <x:v>406</x:v>
      </x:c>
      <x:c r="J46" s="2" t="s">
        <x:v>389</x:v>
      </x:c>
      <x:c r="K46" s="2"/>
      <x:c r="L46" s="2" t="s">
        <x:v>407</x:v>
      </x:c>
      <x:c r="M46" s="2" t="s">
        <x:v>391</x:v>
      </x:c>
      <x:c r="N46" s="2">
        <x:v>1</x:v>
      </x:c>
      <x:c r="O46" s="2" t="s">
        <x:v>392</x:v>
      </x:c>
      <x:c r="P46" s="2" t="s">
        <x:v>393</x:v>
      </x:c>
      <x:c r="Q46" s="2"/>
      <x:c r="R46" s="3">
        <x:v>4</x:v>
      </x:c>
      <x:c r="S46" s="3">
        <x:v>1</x:v>
      </x:c>
      <x:c r="T46" s="2" t="s">
        <x:v>103</x:v>
      </x:c>
      <x:c r="U46" s="2"/>
      <x:c r="V46" s="2"/>
      <x:c r="W46" s="2"/>
      <x:c r="X46" s="3"/>
      <x:c r="Y46" s="3"/>
      <x:c r="Z46" s="2"/>
      <x:c r="AA46" s="2"/>
      <x:c r="AB46" s="2" t="s">
        <x:v>394</x:v>
      </x:c>
      <x:c r="AC46" s="2"/>
      <x:c r="AD46" s="2"/>
      <x:c r="AE46" s="2"/>
      <x:c r="AF46" s="2"/>
      <x:c r="AG46" s="2" t="s">
        <x:v>395</x:v>
      </x:c>
      <x:c r="AH46" s="2"/>
      <x:c r="AI46" s="4"/>
      <x:c r="AJ46" s="2"/>
      <x:c r="AK46" s="2" t="s">
        <x:v>396</x:v>
      </x:c>
      <x:c r="AL46" s="2" t="s">
        <x:v>107</x:v>
      </x:c>
      <x:c r="AM46" s="2">
        <x:v>4</x:v>
      </x:c>
      <x:c r="AN46" s="2">
        <x:v>4</x:v>
      </x:c>
    </x:row>
    <x:row r="47" ht="52">
      <x:c r="A47" s="2" t="s">
        <x:v>91</x:v>
      </x:c>
      <x:c r="B47" s="2" t="s">
        <x:v>17</x:v>
      </x:c>
      <x:c r="C47" s="3">
        <x:v>3</x:v>
      </x:c>
      <x:c r="D47" s="2" t="s">
        <x:v>408</x:v>
      </x:c>
      <x:c r="E47" s="2" t="s">
        <x:v>409</x:v>
      </x:c>
      <x:c r="F47" s="2" t="s">
        <x:v>410</x:v>
      </x:c>
      <x:c r="G47" s="2" t="s">
        <x:v>411</x:v>
      </x:c>
      <x:c r="H47" s="2" t="s">
        <x:v>96</x:v>
      </x:c>
      <x:c r="I47" s="2" t="s">
        <x:v>412</x:v>
      </x:c>
      <x:c r="J47" s="2" t="s">
        <x:v>389</x:v>
      </x:c>
      <x:c r="K47" s="2"/>
      <x:c r="L47" s="2" t="s">
        <x:v>413</x:v>
      </x:c>
      <x:c r="M47" s="2" t="s">
        <x:v>391</x:v>
      </x:c>
      <x:c r="N47" s="2">
        <x:v>1</x:v>
      </x:c>
      <x:c r="O47" s="2" t="s">
        <x:v>414</x:v>
      </x:c>
      <x:c r="P47" s="2" t="s">
        <x:v>393</x:v>
      </x:c>
      <x:c r="Q47" s="2"/>
      <x:c r="R47" s="3">
        <x:v>3</x:v>
      </x:c>
      <x:c r="S47" s="3">
        <x:v>1</x:v>
      </x:c>
      <x:c r="T47" s="2" t="s">
        <x:v>103</x:v>
      </x:c>
      <x:c r="U47" s="2"/>
      <x:c r="V47" s="2"/>
      <x:c r="W47" s="2"/>
      <x:c r="X47" s="3"/>
      <x:c r="Y47" s="3"/>
      <x:c r="Z47" s="2"/>
      <x:c r="AA47" s="2"/>
      <x:c r="AB47" s="2" t="s">
        <x:v>415</x:v>
      </x:c>
      <x:c r="AC47" s="2"/>
      <x:c r="AD47" s="2"/>
      <x:c r="AE47" s="2"/>
      <x:c r="AF47" s="2"/>
      <x:c r="AG47" s="2" t="s">
        <x:v>395</x:v>
      </x:c>
      <x:c r="AH47" s="2"/>
      <x:c r="AI47" s="4"/>
      <x:c r="AJ47" s="2"/>
      <x:c r="AK47" s="2" t="s">
        <x:v>396</x:v>
      </x:c>
      <x:c r="AL47" s="2" t="s">
        <x:v>107</x:v>
      </x:c>
      <x:c r="AM47" s="2">
        <x:v>5</x:v>
      </x:c>
      <x:c r="AN47" s="2">
        <x:v>5</x:v>
      </x:c>
    </x:row>
    <x:row r="48" ht="52">
      <x:c r="A48" s="2" t="s">
        <x:v>91</x:v>
      </x:c>
      <x:c r="B48" s="2" t="s">
        <x:v>17</x:v>
      </x:c>
      <x:c r="C48" s="3">
        <x:v>4</x:v>
      </x:c>
      <x:c r="D48" s="2" t="s">
        <x:v>416</x:v>
      </x:c>
      <x:c r="E48" s="2" t="s">
        <x:v>417</x:v>
      </x:c>
      <x:c r="F48" s="2" t="s">
        <x:v>386</x:v>
      </x:c>
      <x:c r="G48" s="2" t="s">
        <x:v>418</x:v>
      </x:c>
      <x:c r="H48" s="2" t="s">
        <x:v>96</x:v>
      </x:c>
      <x:c r="I48" s="2" t="s">
        <x:v>419</x:v>
      </x:c>
      <x:c r="J48" s="2" t="s">
        <x:v>389</x:v>
      </x:c>
      <x:c r="K48" s="2"/>
      <x:c r="L48" s="2" t="s">
        <x:v>420</x:v>
      </x:c>
      <x:c r="M48" s="2" t="s">
        <x:v>391</x:v>
      </x:c>
      <x:c r="N48" s="2">
        <x:v>1</x:v>
      </x:c>
      <x:c r="O48" s="2" t="s">
        <x:v>392</x:v>
      </x:c>
      <x:c r="P48" s="2" t="s">
        <x:v>393</x:v>
      </x:c>
      <x:c r="Q48" s="2"/>
      <x:c r="R48" s="3">
        <x:v>4</x:v>
      </x:c>
      <x:c r="S48" s="3">
        <x:v>1</x:v>
      </x:c>
      <x:c r="T48" s="2" t="s">
        <x:v>103</x:v>
      </x:c>
      <x:c r="U48" s="2"/>
      <x:c r="V48" s="2"/>
      <x:c r="W48" s="2"/>
      <x:c r="X48" s="3"/>
      <x:c r="Y48" s="3"/>
      <x:c r="Z48" s="2"/>
      <x:c r="AA48" s="2"/>
      <x:c r="AB48" s="2" t="s">
        <x:v>415</x:v>
      </x:c>
      <x:c r="AC48" s="2"/>
      <x:c r="AD48" s="2"/>
      <x:c r="AE48" s="2"/>
      <x:c r="AF48" s="2"/>
      <x:c r="AG48" s="2" t="s">
        <x:v>395</x:v>
      </x:c>
      <x:c r="AH48" s="2"/>
      <x:c r="AI48" s="4"/>
      <x:c r="AJ48" s="2"/>
      <x:c r="AK48" s="2" t="s">
        <x:v>396</x:v>
      </x:c>
      <x:c r="AL48" s="2" t="s">
        <x:v>107</x:v>
      </x:c>
      <x:c r="AM48" s="2">
        <x:v>6</x:v>
      </x:c>
      <x:c r="AN48" s="2">
        <x:v>6</x:v>
      </x:c>
    </x:row>
    <x:row r="49" ht="52">
      <x:c r="A49" s="2" t="s">
        <x:v>91</x:v>
      </x:c>
      <x:c r="B49" s="2" t="s">
        <x:v>17</x:v>
      </x:c>
      <x:c r="C49" s="3">
        <x:v>5</x:v>
      </x:c>
      <x:c r="D49" s="2" t="s">
        <x:v>421</x:v>
      </x:c>
      <x:c r="E49" s="2" t="s">
        <x:v>422</x:v>
      </x:c>
      <x:c r="F49" s="2" t="s">
        <x:v>423</x:v>
      </x:c>
      <x:c r="G49" s="2" t="s">
        <x:v>424</x:v>
      </x:c>
      <x:c r="H49" s="2" t="s">
        <x:v>96</x:v>
      </x:c>
      <x:c r="I49" s="2" t="s">
        <x:v>425</x:v>
      </x:c>
      <x:c r="J49" s="2" t="s">
        <x:v>389</x:v>
      </x:c>
      <x:c r="K49" s="2"/>
      <x:c r="L49" s="2" t="s">
        <x:v>426</x:v>
      </x:c>
      <x:c r="M49" s="2" t="s">
        <x:v>391</x:v>
      </x:c>
      <x:c r="N49" s="2">
        <x:v>1</x:v>
      </x:c>
      <x:c r="O49" s="2" t="s">
        <x:v>414</x:v>
      </x:c>
      <x:c r="P49" s="2" t="s">
        <x:v>393</x:v>
      </x:c>
      <x:c r="Q49" s="2"/>
      <x:c r="R49" s="3">
        <x:v>3</x:v>
      </x:c>
      <x:c r="S49" s="3">
        <x:v>1</x:v>
      </x:c>
      <x:c r="T49" s="2" t="s">
        <x:v>103</x:v>
      </x:c>
      <x:c r="U49" s="2"/>
      <x:c r="V49" s="2"/>
      <x:c r="W49" s="2"/>
      <x:c r="X49" s="3"/>
      <x:c r="Y49" s="3"/>
      <x:c r="Z49" s="2"/>
      <x:c r="AA49" s="2"/>
      <x:c r="AB49" s="2" t="s">
        <x:v>427</x:v>
      </x:c>
      <x:c r="AC49" s="2"/>
      <x:c r="AD49" s="2"/>
      <x:c r="AE49" s="2"/>
      <x:c r="AF49" s="2"/>
      <x:c r="AG49" s="2" t="s">
        <x:v>428</x:v>
      </x:c>
      <x:c r="AH49" s="2"/>
      <x:c r="AI49" s="4"/>
      <x:c r="AJ49" s="2"/>
      <x:c r="AK49" s="2" t="s">
        <x:v>396</x:v>
      </x:c>
      <x:c r="AL49" s="2" t="s">
        <x:v>107</x:v>
      </x:c>
      <x:c r="AM49" s="2">
        <x:v>7</x:v>
      </x:c>
      <x:c r="AN49" s="2">
        <x:v>7</x:v>
      </x:c>
    </x:row>
    <x:row r="50" ht="52">
      <x:c r="A50" s="2" t="s">
        <x:v>91</x:v>
      </x:c>
      <x:c r="B50" s="2" t="s">
        <x:v>17</x:v>
      </x:c>
      <x:c r="C50" s="3">
        <x:v>6</x:v>
      </x:c>
      <x:c r="D50" s="2" t="s">
        <x:v>429</x:v>
      </x:c>
      <x:c r="E50" s="2" t="s">
        <x:v>430</x:v>
      </x:c>
      <x:c r="F50" s="2" t="s">
        <x:v>431</x:v>
      </x:c>
      <x:c r="G50" s="2" t="s">
        <x:v>432</x:v>
      </x:c>
      <x:c r="H50" s="2" t="s">
        <x:v>96</x:v>
      </x:c>
      <x:c r="I50" s="2" t="s">
        <x:v>433</x:v>
      </x:c>
      <x:c r="J50" s="2" t="s">
        <x:v>389</x:v>
      </x:c>
      <x:c r="K50" s="2"/>
      <x:c r="L50" s="2" t="s">
        <x:v>434</x:v>
      </x:c>
      <x:c r="M50" s="2" t="s">
        <x:v>391</x:v>
      </x:c>
      <x:c r="N50" s="2">
        <x:v>1</x:v>
      </x:c>
      <x:c r="O50" s="2" t="s">
        <x:v>392</x:v>
      </x:c>
      <x:c r="P50" s="2" t="s">
        <x:v>393</x:v>
      </x:c>
      <x:c r="Q50" s="2"/>
      <x:c r="R50" s="3">
        <x:v>4</x:v>
      </x:c>
      <x:c r="S50" s="3">
        <x:v>1</x:v>
      </x:c>
      <x:c r="T50" s="2" t="s">
        <x:v>103</x:v>
      </x:c>
      <x:c r="U50" s="2"/>
      <x:c r="V50" s="2"/>
      <x:c r="W50" s="2"/>
      <x:c r="X50" s="3"/>
      <x:c r="Y50" s="3"/>
      <x:c r="Z50" s="2"/>
      <x:c r="AA50" s="2"/>
      <x:c r="AB50" s="2" t="s">
        <x:v>427</x:v>
      </x:c>
      <x:c r="AC50" s="2"/>
      <x:c r="AD50" s="2"/>
      <x:c r="AE50" s="2"/>
      <x:c r="AF50" s="2"/>
      <x:c r="AG50" s="2" t="s">
        <x:v>428</x:v>
      </x:c>
      <x:c r="AH50" s="2"/>
      <x:c r="AI50" s="4"/>
      <x:c r="AJ50" s="2"/>
      <x:c r="AK50" s="2" t="s">
        <x:v>396</x:v>
      </x:c>
      <x:c r="AL50" s="2" t="s">
        <x:v>107</x:v>
      </x:c>
      <x:c r="AM50" s="2">
        <x:v>8</x:v>
      </x:c>
      <x:c r="AN50" s="2">
        <x:v>8</x:v>
      </x:c>
    </x:row>
    <x:row r="51" ht="52">
      <x:c r="A51" s="2" t="s">
        <x:v>91</x:v>
      </x:c>
      <x:c r="B51" s="2" t="s">
        <x:v>17</x:v>
      </x:c>
      <x:c r="C51" s="3">
        <x:v>7</x:v>
      </x:c>
      <x:c r="D51" s="2" t="s">
        <x:v>435</x:v>
      </x:c>
      <x:c r="E51" s="2" t="s">
        <x:v>436</x:v>
      </x:c>
      <x:c r="F51" s="2" t="s">
        <x:v>423</x:v>
      </x:c>
      <x:c r="G51" s="2" t="s">
        <x:v>437</x:v>
      </x:c>
      <x:c r="H51" s="2" t="s">
        <x:v>96</x:v>
      </x:c>
      <x:c r="I51" s="2" t="s">
        <x:v>438</x:v>
      </x:c>
      <x:c r="J51" s="2" t="s">
        <x:v>389</x:v>
      </x:c>
      <x:c r="K51" s="2"/>
      <x:c r="L51" s="2" t="s">
        <x:v>439</x:v>
      </x:c>
      <x:c r="M51" s="2" t="s">
        <x:v>391</x:v>
      </x:c>
      <x:c r="N51" s="2">
        <x:v>1</x:v>
      </x:c>
      <x:c r="O51" s="2" t="s">
        <x:v>414</x:v>
      </x:c>
      <x:c r="P51" s="2" t="s">
        <x:v>393</x:v>
      </x:c>
      <x:c r="Q51" s="2"/>
      <x:c r="R51" s="3">
        <x:v>3</x:v>
      </x:c>
      <x:c r="S51" s="3">
        <x:v>1</x:v>
      </x:c>
      <x:c r="T51" s="2" t="s">
        <x:v>103</x:v>
      </x:c>
      <x:c r="U51" s="2"/>
      <x:c r="V51" s="2"/>
      <x:c r="W51" s="2"/>
      <x:c r="X51" s="3"/>
      <x:c r="Y51" s="3"/>
      <x:c r="Z51" s="2"/>
      <x:c r="AA51" s="2"/>
      <x:c r="AB51" s="2" t="s">
        <x:v>427</x:v>
      </x:c>
      <x:c r="AC51" s="2"/>
      <x:c r="AD51" s="2"/>
      <x:c r="AE51" s="2"/>
      <x:c r="AF51" s="2"/>
      <x:c r="AG51" s="2" t="s">
        <x:v>428</x:v>
      </x:c>
      <x:c r="AH51" s="2"/>
      <x:c r="AI51" s="4"/>
      <x:c r="AJ51" s="2"/>
      <x:c r="AK51" s="2" t="s">
        <x:v>396</x:v>
      </x:c>
      <x:c r="AL51" s="2" t="s">
        <x:v>107</x:v>
      </x:c>
      <x:c r="AM51" s="2">
        <x:v>9</x:v>
      </x:c>
      <x:c r="AN51" s="2">
        <x:v>9</x:v>
      </x:c>
    </x:row>
    <x:row r="52" ht="52">
      <x:c r="A52" s="2" t="s">
        <x:v>91</x:v>
      </x:c>
      <x:c r="B52" s="2" t="s">
        <x:v>17</x:v>
      </x:c>
      <x:c r="C52" s="3">
        <x:v>8</x:v>
      </x:c>
      <x:c r="D52" s="2" t="s">
        <x:v>440</x:v>
      </x:c>
      <x:c r="E52" s="2" t="s">
        <x:v>441</x:v>
      </x:c>
      <x:c r="F52" s="2" t="s">
        <x:v>423</x:v>
      </x:c>
      <x:c r="G52" s="2" t="s">
        <x:v>442</x:v>
      </x:c>
      <x:c r="H52" s="2" t="s">
        <x:v>96</x:v>
      </x:c>
      <x:c r="I52" s="2" t="s">
        <x:v>443</x:v>
      </x:c>
      <x:c r="J52" s="2" t="s">
        <x:v>389</x:v>
      </x:c>
      <x:c r="K52" s="2"/>
      <x:c r="L52" s="2" t="s">
        <x:v>444</x:v>
      </x:c>
      <x:c r="M52" s="2" t="s">
        <x:v>391</x:v>
      </x:c>
      <x:c r="N52" s="2">
        <x:v>1</x:v>
      </x:c>
      <x:c r="O52" s="2" t="s">
        <x:v>392</x:v>
      </x:c>
      <x:c r="P52" s="2" t="s">
        <x:v>393</x:v>
      </x:c>
      <x:c r="Q52" s="2"/>
      <x:c r="R52" s="3">
        <x:v>4</x:v>
      </x:c>
      <x:c r="S52" s="3">
        <x:v>1</x:v>
      </x:c>
      <x:c r="T52" s="2" t="s">
        <x:v>103</x:v>
      </x:c>
      <x:c r="U52" s="2"/>
      <x:c r="V52" s="2"/>
      <x:c r="W52" s="2"/>
      <x:c r="X52" s="3"/>
      <x:c r="Y52" s="3"/>
      <x:c r="Z52" s="2"/>
      <x:c r="AA52" s="2"/>
      <x:c r="AB52" s="2" t="s">
        <x:v>415</x:v>
      </x:c>
      <x:c r="AC52" s="2"/>
      <x:c r="AD52" s="2"/>
      <x:c r="AE52" s="2"/>
      <x:c r="AF52" s="2"/>
      <x:c r="AG52" s="2" t="s">
        <x:v>428</x:v>
      </x:c>
      <x:c r="AH52" s="2"/>
      <x:c r="AI52" s="4"/>
      <x:c r="AJ52" s="2"/>
      <x:c r="AK52" s="2" t="s">
        <x:v>396</x:v>
      </x:c>
      <x:c r="AL52" s="2" t="s">
        <x:v>107</x:v>
      </x:c>
      <x:c r="AM52" s="2">
        <x:v>10</x:v>
      </x:c>
      <x:c r="AN52" s="2">
        <x:v>10</x:v>
      </x:c>
    </x:row>
    <x:row r="53" ht="52">
      <x:c r="A53" s="2" t="s">
        <x:v>91</x:v>
      </x:c>
      <x:c r="B53" s="2" t="s">
        <x:v>17</x:v>
      </x:c>
      <x:c r="C53" s="3">
        <x:v>9</x:v>
      </x:c>
      <x:c r="D53" s="2" t="s">
        <x:v>445</x:v>
      </x:c>
      <x:c r="E53" s="2" t="s">
        <x:v>436</x:v>
      </x:c>
      <x:c r="F53" s="2" t="s">
        <x:v>431</x:v>
      </x:c>
      <x:c r="G53" s="2" t="s">
        <x:v>446</x:v>
      </x:c>
      <x:c r="H53" s="2" t="s">
        <x:v>96</x:v>
      </x:c>
      <x:c r="I53" s="2" t="s">
        <x:v>447</x:v>
      </x:c>
      <x:c r="J53" s="2" t="s">
        <x:v>389</x:v>
      </x:c>
      <x:c r="K53" s="2"/>
      <x:c r="L53" s="2" t="s">
        <x:v>448</x:v>
      </x:c>
      <x:c r="M53" s="2" t="s">
        <x:v>391</x:v>
      </x:c>
      <x:c r="N53" s="2">
        <x:v>1</x:v>
      </x:c>
      <x:c r="O53" s="2" t="s">
        <x:v>414</x:v>
      </x:c>
      <x:c r="P53" s="2" t="s">
        <x:v>393</x:v>
      </x:c>
      <x:c r="Q53" s="2"/>
      <x:c r="R53" s="3">
        <x:v>3</x:v>
      </x:c>
      <x:c r="S53" s="3">
        <x:v>1</x:v>
      </x:c>
      <x:c r="T53" s="2" t="s">
        <x:v>103</x:v>
      </x:c>
      <x:c r="U53" s="2"/>
      <x:c r="V53" s="2"/>
      <x:c r="W53" s="2"/>
      <x:c r="X53" s="3"/>
      <x:c r="Y53" s="3"/>
      <x:c r="Z53" s="2"/>
      <x:c r="AA53" s="2"/>
      <x:c r="AB53" s="2" t="s">
        <x:v>415</x:v>
      </x:c>
      <x:c r="AC53" s="2"/>
      <x:c r="AD53" s="2"/>
      <x:c r="AE53" s="2"/>
      <x:c r="AF53" s="2"/>
      <x:c r="AG53" s="2" t="s">
        <x:v>428</x:v>
      </x:c>
      <x:c r="AH53" s="2"/>
      <x:c r="AI53" s="4"/>
      <x:c r="AJ53" s="2"/>
      <x:c r="AK53" s="2" t="s">
        <x:v>396</x:v>
      </x:c>
      <x:c r="AL53" s="2" t="s">
        <x:v>107</x:v>
      </x:c>
      <x:c r="AM53" s="2">
        <x:v>11</x:v>
      </x:c>
      <x:c r="AN53" s="2">
        <x:v>11</x:v>
      </x:c>
    </x:row>
    <x:row r="54" ht="39">
      <x:c r="A54" s="2" t="s">
        <x:v>91</x:v>
      </x:c>
      <x:c r="B54" s="2" t="s">
        <x:v>18</x:v>
      </x:c>
      <x:c r="C54" s="3">
        <x:v>0</x:v>
      </x:c>
      <x:c r="D54" s="2" t="s">
        <x:v>449</x:v>
      </x:c>
      <x:c r="E54" s="2" t="s">
        <x:v>450</x:v>
      </x:c>
      <x:c r="F54" s="2" t="s">
        <x:v>451</x:v>
      </x:c>
      <x:c r="G54" s="2" t="s">
        <x:v>452</x:v>
      </x:c>
      <x:c r="H54" s="2" t="s">
        <x:v>96</x:v>
      </x:c>
      <x:c r="I54" s="2" t="s">
        <x:v>453</x:v>
      </x:c>
      <x:c r="J54" s="2" t="s">
        <x:v>454</x:v>
      </x:c>
      <x:c r="K54" s="2"/>
      <x:c r="L54" s="2" t="s">
        <x:v>455</x:v>
      </x:c>
      <x:c r="M54" s="2"/>
      <x:c r="N54" s="2"/>
      <x:c r="O54" s="2" t="s">
        <x:v>456</x:v>
      </x:c>
      <x:c r="P54" s="2" t="s">
        <x:v>457</x:v>
      </x:c>
      <x:c r="Q54" s="2"/>
      <x:c r="R54" s="3">
        <x:v>4</x:v>
      </x:c>
      <x:c r="S54" s="3"/>
      <x:c r="T54" s="2"/>
      <x:c r="U54" s="2"/>
      <x:c r="V54" s="2"/>
      <x:c r="W54" s="2"/>
      <x:c r="X54" s="3"/>
      <x:c r="Y54" s="3"/>
      <x:c r="Z54" s="2"/>
      <x:c r="AA54" s="2"/>
      <x:c r="AB54" s="2"/>
      <x:c r="AC54" s="2"/>
      <x:c r="AD54" s="2" t="s">
        <x:v>431</x:v>
      </x:c>
      <x:c r="AE54" s="2"/>
      <x:c r="AF54" s="2"/>
      <x:c r="AG54" s="2"/>
      <x:c r="AH54" s="2" t="s">
        <x:v>458</x:v>
      </x:c>
      <x:c r="AI54" s="4">
        <x:v>8</x:v>
      </x:c>
      <x:c r="AJ54" s="2" t="s">
        <x:v>459</x:v>
      </x:c>
      <x:c r="AK54" s="2" t="s">
        <x:v>460</x:v>
      </x:c>
      <x:c r="AL54" s="2" t="s">
        <x:v>461</x:v>
      </x:c>
      <x:c r="AM54" s="2">
        <x:v>2</x:v>
      </x:c>
      <x:c r="AN54" s="2">
        <x:v>2</x:v>
      </x:c>
    </x:row>
    <x:row r="55" ht="39">
      <x:c r="A55" s="2" t="s">
        <x:v>91</x:v>
      </x:c>
      <x:c r="B55" s="2" t="s">
        <x:v>18</x:v>
      </x:c>
      <x:c r="C55" s="3">
        <x:v>1</x:v>
      </x:c>
      <x:c r="D55" s="2" t="s">
        <x:v>462</x:v>
      </x:c>
      <x:c r="E55" s="2" t="s">
        <x:v>463</x:v>
      </x:c>
      <x:c r="F55" s="2" t="s">
        <x:v>464</x:v>
      </x:c>
      <x:c r="G55" s="2" t="s">
        <x:v>465</x:v>
      </x:c>
      <x:c r="H55" s="2" t="s">
        <x:v>96</x:v>
      </x:c>
      <x:c r="I55" s="2" t="s">
        <x:v>466</x:v>
      </x:c>
      <x:c r="J55" s="2" t="s">
        <x:v>454</x:v>
      </x:c>
      <x:c r="K55" s="2"/>
      <x:c r="L55" s="2" t="s">
        <x:v>467</x:v>
      </x:c>
      <x:c r="M55" s="2"/>
      <x:c r="N55" s="2"/>
      <x:c r="O55" s="2" t="s">
        <x:v>456</x:v>
      </x:c>
      <x:c r="P55" s="2" t="s">
        <x:v>468</x:v>
      </x:c>
      <x:c r="Q55" s="2"/>
      <x:c r="R55" s="3">
        <x:v>3</x:v>
      </x:c>
      <x:c r="S55" s="3"/>
      <x:c r="T55" s="2"/>
      <x:c r="U55" s="2"/>
      <x:c r="V55" s="2"/>
      <x:c r="W55" s="2"/>
      <x:c r="X55" s="3"/>
      <x:c r="Y55" s="3"/>
      <x:c r="Z55" s="2"/>
      <x:c r="AA55" s="2"/>
      <x:c r="AB55" s="2"/>
      <x:c r="AC55" s="2"/>
      <x:c r="AD55" s="2" t="s">
        <x:v>469</x:v>
      </x:c>
      <x:c r="AE55" s="2"/>
      <x:c r="AF55" s="2"/>
      <x:c r="AG55" s="2"/>
      <x:c r="AH55" s="2" t="s">
        <x:v>470</x:v>
      </x:c>
      <x:c r="AI55" s="4">
        <x:v>12</x:v>
      </x:c>
      <x:c r="AJ55" s="2" t="s">
        <x:v>471</x:v>
      </x:c>
      <x:c r="AK55" s="2" t="s">
        <x:v>460</x:v>
      </x:c>
      <x:c r="AL55" s="2" t="s">
        <x:v>461</x:v>
      </x:c>
      <x:c r="AM55" s="2">
        <x:v>3</x:v>
      </x:c>
      <x:c r="AN55" s="2">
        <x:v>3</x:v>
      </x:c>
    </x:row>
    <x:row r="56" ht="39">
      <x:c r="A56" s="2" t="s">
        <x:v>91</x:v>
      </x:c>
      <x:c r="B56" s="2" t="s">
        <x:v>18</x:v>
      </x:c>
      <x:c r="C56" s="3">
        <x:v>2</x:v>
      </x:c>
      <x:c r="D56" s="2" t="s">
        <x:v>472</x:v>
      </x:c>
      <x:c r="E56" s="2" t="s">
        <x:v>473</x:v>
      </x:c>
      <x:c r="F56" s="2" t="s">
        <x:v>474</x:v>
      </x:c>
      <x:c r="G56" s="2" t="s">
        <x:v>475</x:v>
      </x:c>
      <x:c r="H56" s="2" t="s">
        <x:v>96</x:v>
      </x:c>
      <x:c r="I56" s="2" t="s">
        <x:v>476</x:v>
      </x:c>
      <x:c r="J56" s="2" t="s">
        <x:v>477</x:v>
      </x:c>
      <x:c r="K56" s="2"/>
      <x:c r="L56" s="2" t="s">
        <x:v>478</x:v>
      </x:c>
      <x:c r="M56" s="2"/>
      <x:c r="N56" s="2"/>
      <x:c r="O56" s="2" t="s">
        <x:v>456</x:v>
      </x:c>
      <x:c r="P56" s="2" t="s">
        <x:v>479</x:v>
      </x:c>
      <x:c r="Q56" s="2"/>
      <x:c r="R56" s="3">
        <x:v>3</x:v>
      </x:c>
      <x:c r="S56" s="3"/>
      <x:c r="T56" s="2"/>
      <x:c r="U56" s="2"/>
      <x:c r="V56" s="2"/>
      <x:c r="W56" s="2"/>
      <x:c r="X56" s="3"/>
      <x:c r="Y56" s="3"/>
      <x:c r="Z56" s="2"/>
      <x:c r="AA56" s="2"/>
      <x:c r="AB56" s="2"/>
      <x:c r="AC56" s="2"/>
      <x:c r="AD56" s="2" t="s">
        <x:v>480</x:v>
      </x:c>
      <x:c r="AE56" s="2"/>
      <x:c r="AF56" s="2"/>
      <x:c r="AG56" s="2"/>
      <x:c r="AH56" s="2" t="s">
        <x:v>458</x:v>
      </x:c>
      <x:c r="AI56" s="4">
        <x:v>16</x:v>
      </x:c>
      <x:c r="AJ56" s="2" t="s">
        <x:v>481</x:v>
      </x:c>
      <x:c r="AK56" s="2" t="s">
        <x:v>460</x:v>
      </x:c>
      <x:c r="AL56" s="2" t="s">
        <x:v>461</x:v>
      </x:c>
      <x:c r="AM56" s="2">
        <x:v>4</x:v>
      </x:c>
      <x:c r="AN56" s="2">
        <x:v>4</x:v>
      </x:c>
    </x:row>
    <x:row r="57" ht="39">
      <x:c r="A57" s="2" t="s">
        <x:v>91</x:v>
      </x:c>
      <x:c r="B57" s="2" t="s">
        <x:v>18</x:v>
      </x:c>
      <x:c r="C57" s="3">
        <x:v>3</x:v>
      </x:c>
      <x:c r="D57" s="2" t="s">
        <x:v>482</x:v>
      </x:c>
      <x:c r="E57" s="2" t="s">
        <x:v>483</x:v>
      </x:c>
      <x:c r="F57" s="2" t="s">
        <x:v>484</x:v>
      </x:c>
      <x:c r="G57" s="2" t="s">
        <x:v>485</x:v>
      </x:c>
      <x:c r="H57" s="2" t="s">
        <x:v>96</x:v>
      </x:c>
      <x:c r="I57" s="2" t="s">
        <x:v>486</x:v>
      </x:c>
      <x:c r="J57" s="2" t="s">
        <x:v>477</x:v>
      </x:c>
      <x:c r="K57" s="2"/>
      <x:c r="L57" s="2" t="s">
        <x:v>487</x:v>
      </x:c>
      <x:c r="M57" s="2"/>
      <x:c r="N57" s="2"/>
      <x:c r="O57" s="2" t="s">
        <x:v>456</x:v>
      </x:c>
      <x:c r="P57" s="2" t="s">
        <x:v>488</x:v>
      </x:c>
      <x:c r="Q57" s="2"/>
      <x:c r="R57" s="3">
        <x:v>4</x:v>
      </x:c>
      <x:c r="S57" s="3"/>
      <x:c r="T57" s="2"/>
      <x:c r="U57" s="2"/>
      <x:c r="V57" s="2"/>
      <x:c r="W57" s="2"/>
      <x:c r="X57" s="3"/>
      <x:c r="Y57" s="3"/>
      <x:c r="Z57" s="2"/>
      <x:c r="AA57" s="2"/>
      <x:c r="AB57" s="2"/>
      <x:c r="AC57" s="2"/>
      <x:c r="AD57" s="2" t="s">
        <x:v>410</x:v>
      </x:c>
      <x:c r="AE57" s="2"/>
      <x:c r="AF57" s="2"/>
      <x:c r="AG57" s="2"/>
      <x:c r="AH57" s="2" t="s">
        <x:v>470</x:v>
      </x:c>
      <x:c r="AI57" s="4">
        <x:v>8</x:v>
      </x:c>
      <x:c r="AJ57" s="2" t="s">
        <x:v>489</x:v>
      </x:c>
      <x:c r="AK57" s="2" t="s">
        <x:v>460</x:v>
      </x:c>
      <x:c r="AL57" s="2" t="s">
        <x:v>461</x:v>
      </x:c>
      <x:c r="AM57" s="2">
        <x:v>5</x:v>
      </x:c>
      <x:c r="AN57" s="2">
        <x:v>5</x:v>
      </x:c>
    </x:row>
    <x:row r="58" ht="52">
      <x:c r="A58" s="2" t="s">
        <x:v>91</x:v>
      </x:c>
      <x:c r="B58" s="2" t="s">
        <x:v>18</x:v>
      </x:c>
      <x:c r="C58" s="3">
        <x:v>4</x:v>
      </x:c>
      <x:c r="D58" s="2" t="s">
        <x:v>462</x:v>
      </x:c>
      <x:c r="E58" s="2" t="s">
        <x:v>490</x:v>
      </x:c>
      <x:c r="F58" s="2" t="s">
        <x:v>451</x:v>
      </x:c>
      <x:c r="G58" s="2" t="s">
        <x:v>491</x:v>
      </x:c>
      <x:c r="H58" s="2" t="s">
        <x:v>96</x:v>
      </x:c>
      <x:c r="I58" s="2" t="s">
        <x:v>492</x:v>
      </x:c>
      <x:c r="J58" s="2" t="s">
        <x:v>454</x:v>
      </x:c>
      <x:c r="K58" s="2"/>
      <x:c r="L58" s="2" t="s">
        <x:v>493</x:v>
      </x:c>
      <x:c r="M58" s="2"/>
      <x:c r="N58" s="2"/>
      <x:c r="O58" s="2" t="s">
        <x:v>456</x:v>
      </x:c>
      <x:c r="P58" s="2" t="s">
        <x:v>494</x:v>
      </x:c>
      <x:c r="Q58" s="2"/>
      <x:c r="R58" s="3">
        <x:v>4</x:v>
      </x:c>
      <x:c r="S58" s="3"/>
      <x:c r="T58" s="2"/>
      <x:c r="U58" s="2"/>
      <x:c r="V58" s="2"/>
      <x:c r="W58" s="2"/>
      <x:c r="X58" s="3"/>
      <x:c r="Y58" s="3"/>
      <x:c r="Z58" s="2"/>
      <x:c r="AA58" s="2"/>
      <x:c r="AB58" s="2"/>
      <x:c r="AC58" s="2"/>
      <x:c r="AD58" s="2" t="s">
        <x:v>431</x:v>
      </x:c>
      <x:c r="AE58" s="2"/>
      <x:c r="AF58" s="2"/>
      <x:c r="AG58" s="2"/>
      <x:c r="AH58" s="2" t="s">
        <x:v>470</x:v>
      </x:c>
      <x:c r="AI58" s="4">
        <x:v>12</x:v>
      </x:c>
      <x:c r="AJ58" s="2" t="s">
        <x:v>459</x:v>
      </x:c>
      <x:c r="AK58" s="2" t="s">
        <x:v>460</x:v>
      </x:c>
      <x:c r="AL58" s="2" t="s">
        <x:v>461</x:v>
      </x:c>
      <x:c r="AM58" s="2">
        <x:v>6</x:v>
      </x:c>
      <x:c r="AN58" s="2">
        <x:v>6</x:v>
      </x:c>
    </x:row>
    <x:row r="59" ht="39">
      <x:c r="A59" s="2" t="s">
        <x:v>91</x:v>
      </x:c>
      <x:c r="B59" s="2" t="s">
        <x:v>18</x:v>
      </x:c>
      <x:c r="C59" s="3">
        <x:v>5</x:v>
      </x:c>
      <x:c r="D59" s="2" t="s">
        <x:v>462</x:v>
      </x:c>
      <x:c r="E59" s="2" t="s">
        <x:v>495</x:v>
      </x:c>
      <x:c r="F59" s="2" t="s">
        <x:v>464</x:v>
      </x:c>
      <x:c r="G59" s="2" t="s">
        <x:v>496</x:v>
      </x:c>
      <x:c r="H59" s="2" t="s">
        <x:v>96</x:v>
      </x:c>
      <x:c r="I59" s="2" t="s">
        <x:v>497</x:v>
      </x:c>
      <x:c r="J59" s="2" t="s">
        <x:v>454</x:v>
      </x:c>
      <x:c r="K59" s="2"/>
      <x:c r="L59" s="2" t="s">
        <x:v>498</x:v>
      </x:c>
      <x:c r="M59" s="2"/>
      <x:c r="N59" s="2"/>
      <x:c r="O59" s="2" t="s">
        <x:v>456</x:v>
      </x:c>
      <x:c r="P59" s="2" t="s">
        <x:v>499</x:v>
      </x:c>
      <x:c r="Q59" s="2"/>
      <x:c r="R59" s="3">
        <x:v>3</x:v>
      </x:c>
      <x:c r="S59" s="3"/>
      <x:c r="T59" s="2"/>
      <x:c r="U59" s="2"/>
      <x:c r="V59" s="2"/>
      <x:c r="W59" s="2"/>
      <x:c r="X59" s="3"/>
      <x:c r="Y59" s="3"/>
      <x:c r="Z59" s="2"/>
      <x:c r="AA59" s="2"/>
      <x:c r="AB59" s="2"/>
      <x:c r="AC59" s="2"/>
      <x:c r="AD59" s="2" t="s">
        <x:v>469</x:v>
      </x:c>
      <x:c r="AE59" s="2"/>
      <x:c r="AF59" s="2"/>
      <x:c r="AG59" s="2"/>
      <x:c r="AH59" s="2" t="s">
        <x:v>458</x:v>
      </x:c>
      <x:c r="AI59" s="4">
        <x:v>16</x:v>
      </x:c>
      <x:c r="AJ59" s="2" t="s">
        <x:v>471</x:v>
      </x:c>
      <x:c r="AK59" s="2" t="s">
        <x:v>460</x:v>
      </x:c>
      <x:c r="AL59" s="2" t="s">
        <x:v>461</x:v>
      </x:c>
      <x:c r="AM59" s="2">
        <x:v>7</x:v>
      </x:c>
      <x:c r="AN59" s="2">
        <x:v>7</x:v>
      </x:c>
    </x:row>
    <x:row r="60" ht="39">
      <x:c r="A60" s="2" t="s">
        <x:v>91</x:v>
      </x:c>
      <x:c r="B60" s="2" t="s">
        <x:v>18</x:v>
      </x:c>
      <x:c r="C60" s="3">
        <x:v>6</x:v>
      </x:c>
      <x:c r="D60" s="2" t="s">
        <x:v>482</x:v>
      </x:c>
      <x:c r="E60" s="2" t="s">
        <x:v>500</x:v>
      </x:c>
      <x:c r="F60" s="2" t="s">
        <x:v>474</x:v>
      </x:c>
      <x:c r="G60" s="2" t="s">
        <x:v>501</x:v>
      </x:c>
      <x:c r="H60" s="2" t="s">
        <x:v>96</x:v>
      </x:c>
      <x:c r="I60" s="2" t="s">
        <x:v>502</x:v>
      </x:c>
      <x:c r="J60" s="2" t="s">
        <x:v>477</x:v>
      </x:c>
      <x:c r="K60" s="2"/>
      <x:c r="L60" s="2" t="s">
        <x:v>503</x:v>
      </x:c>
      <x:c r="M60" s="2"/>
      <x:c r="N60" s="2"/>
      <x:c r="O60" s="2" t="s">
        <x:v>456</x:v>
      </x:c>
      <x:c r="P60" s="2" t="s">
        <x:v>504</x:v>
      </x:c>
      <x:c r="Q60" s="2"/>
      <x:c r="R60" s="3">
        <x:v>3</x:v>
      </x:c>
      <x:c r="S60" s="3"/>
      <x:c r="T60" s="2"/>
      <x:c r="U60" s="2"/>
      <x:c r="V60" s="2"/>
      <x:c r="W60" s="2"/>
      <x:c r="X60" s="3"/>
      <x:c r="Y60" s="3"/>
      <x:c r="Z60" s="2"/>
      <x:c r="AA60" s="2"/>
      <x:c r="AB60" s="2"/>
      <x:c r="AC60" s="2"/>
      <x:c r="AD60" s="2" t="s">
        <x:v>480</x:v>
      </x:c>
      <x:c r="AE60" s="2"/>
      <x:c r="AF60" s="2"/>
      <x:c r="AG60" s="2"/>
      <x:c r="AH60" s="2" t="s">
        <x:v>470</x:v>
      </x:c>
      <x:c r="AI60" s="4">
        <x:v>8</x:v>
      </x:c>
      <x:c r="AJ60" s="2" t="s">
        <x:v>481</x:v>
      </x:c>
      <x:c r="AK60" s="2" t="s">
        <x:v>460</x:v>
      </x:c>
      <x:c r="AL60" s="2" t="s">
        <x:v>461</x:v>
      </x:c>
      <x:c r="AM60" s="2">
        <x:v>8</x:v>
      </x:c>
      <x:c r="AN60" s="2">
        <x:v>8</x:v>
      </x:c>
    </x:row>
    <x:row r="61" ht="52">
      <x:c r="A61" s="2" t="s">
        <x:v>91</x:v>
      </x:c>
      <x:c r="B61" s="2" t="s">
        <x:v>18</x:v>
      </x:c>
      <x:c r="C61" s="3">
        <x:v>7</x:v>
      </x:c>
      <x:c r="D61" s="2" t="s">
        <x:v>505</x:v>
      </x:c>
      <x:c r="E61" s="2" t="s">
        <x:v>506</x:v>
      </x:c>
      <x:c r="F61" s="2" t="s">
        <x:v>484</x:v>
      </x:c>
      <x:c r="G61" s="2" t="s">
        <x:v>507</x:v>
      </x:c>
      <x:c r="H61" s="2" t="s">
        <x:v>96</x:v>
      </x:c>
      <x:c r="I61" s="2" t="s">
        <x:v>508</x:v>
      </x:c>
      <x:c r="J61" s="2" t="s">
        <x:v>477</x:v>
      </x:c>
      <x:c r="K61" s="2"/>
      <x:c r="L61" s="2" t="s">
        <x:v>509</x:v>
      </x:c>
      <x:c r="M61" s="2"/>
      <x:c r="N61" s="2"/>
      <x:c r="O61" s="2" t="s">
        <x:v>456</x:v>
      </x:c>
      <x:c r="P61" s="2" t="s">
        <x:v>510</x:v>
      </x:c>
      <x:c r="Q61" s="2"/>
      <x:c r="R61" s="3">
        <x:v>4</x:v>
      </x:c>
      <x:c r="S61" s="3"/>
      <x:c r="T61" s="2"/>
      <x:c r="U61" s="2"/>
      <x:c r="V61" s="2"/>
      <x:c r="W61" s="2"/>
      <x:c r="X61" s="3"/>
      <x:c r="Y61" s="3"/>
      <x:c r="Z61" s="2"/>
      <x:c r="AA61" s="2"/>
      <x:c r="AB61" s="2"/>
      <x:c r="AC61" s="2"/>
      <x:c r="AD61" s="2" t="s">
        <x:v>410</x:v>
      </x:c>
      <x:c r="AE61" s="2"/>
      <x:c r="AF61" s="2"/>
      <x:c r="AG61" s="2"/>
      <x:c r="AH61" s="2" t="s">
        <x:v>458</x:v>
      </x:c>
      <x:c r="AI61" s="4">
        <x:v>12</x:v>
      </x:c>
      <x:c r="AJ61" s="2" t="s">
        <x:v>489</x:v>
      </x:c>
      <x:c r="AK61" s="2" t="s">
        <x:v>460</x:v>
      </x:c>
      <x:c r="AL61" s="2" t="s">
        <x:v>461</x:v>
      </x:c>
      <x:c r="AM61" s="2">
        <x:v>9</x:v>
      </x:c>
      <x:c r="AN61" s="2">
        <x:v>9</x:v>
      </x:c>
    </x:row>
    <x:row r="62" ht="52">
      <x:c r="A62" s="2" t="s">
        <x:v>91</x:v>
      </x:c>
      <x:c r="B62" s="2" t="s">
        <x:v>18</x:v>
      </x:c>
      <x:c r="C62" s="3">
        <x:v>8</x:v>
      </x:c>
      <x:c r="D62" s="2" t="s">
        <x:v>449</x:v>
      </x:c>
      <x:c r="E62" s="2" t="s">
        <x:v>511</x:v>
      </x:c>
      <x:c r="F62" s="2" t="s">
        <x:v>451</x:v>
      </x:c>
      <x:c r="G62" s="2" t="s">
        <x:v>512</x:v>
      </x:c>
      <x:c r="H62" s="2" t="s">
        <x:v>96</x:v>
      </x:c>
      <x:c r="I62" s="2" t="s">
        <x:v>513</x:v>
      </x:c>
      <x:c r="J62" s="2" t="s">
        <x:v>454</x:v>
      </x:c>
      <x:c r="K62" s="2"/>
      <x:c r="L62" s="2" t="s">
        <x:v>514</x:v>
      </x:c>
      <x:c r="M62" s="2"/>
      <x:c r="N62" s="2"/>
      <x:c r="O62" s="2" t="s">
        <x:v>456</x:v>
      </x:c>
      <x:c r="P62" s="2" t="s">
        <x:v>515</x:v>
      </x:c>
      <x:c r="Q62" s="2"/>
      <x:c r="R62" s="3">
        <x:v>4</x:v>
      </x:c>
      <x:c r="S62" s="3"/>
      <x:c r="T62" s="2"/>
      <x:c r="U62" s="2"/>
      <x:c r="V62" s="2"/>
      <x:c r="W62" s="2"/>
      <x:c r="X62" s="3"/>
      <x:c r="Y62" s="3"/>
      <x:c r="Z62" s="2"/>
      <x:c r="AA62" s="2"/>
      <x:c r="AB62" s="2"/>
      <x:c r="AC62" s="2"/>
      <x:c r="AD62" s="2" t="s">
        <x:v>431</x:v>
      </x:c>
      <x:c r="AE62" s="2"/>
      <x:c r="AF62" s="2"/>
      <x:c r="AG62" s="2"/>
      <x:c r="AH62" s="2" t="s">
        <x:v>458</x:v>
      </x:c>
      <x:c r="AI62" s="4">
        <x:v>16</x:v>
      </x:c>
      <x:c r="AJ62" s="2" t="s">
        <x:v>459</x:v>
      </x:c>
      <x:c r="AK62" s="2" t="s">
        <x:v>460</x:v>
      </x:c>
      <x:c r="AL62" s="2" t="s">
        <x:v>461</x:v>
      </x:c>
      <x:c r="AM62" s="2">
        <x:v>10</x:v>
      </x:c>
      <x:c r="AN62" s="2">
        <x:v>10</x:v>
      </x:c>
    </x:row>
    <x:row r="63" ht="39">
      <x:c r="A63" s="2" t="s">
        <x:v>91</x:v>
      </x:c>
      <x:c r="B63" s="2" t="s">
        <x:v>18</x:v>
      </x:c>
      <x:c r="C63" s="3">
        <x:v>9</x:v>
      </x:c>
      <x:c r="D63" s="2" t="s">
        <x:v>516</x:v>
      </x:c>
      <x:c r="E63" s="2" t="s">
        <x:v>517</x:v>
      </x:c>
      <x:c r="F63" s="2" t="s">
        <x:v>464</x:v>
      </x:c>
      <x:c r="G63" s="2" t="s">
        <x:v>518</x:v>
      </x:c>
      <x:c r="H63" s="2" t="s">
        <x:v>96</x:v>
      </x:c>
      <x:c r="I63" s="2" t="s">
        <x:v>519</x:v>
      </x:c>
      <x:c r="J63" s="2" t="s">
        <x:v>454</x:v>
      </x:c>
      <x:c r="K63" s="2"/>
      <x:c r="L63" s="2" t="s">
        <x:v>520</x:v>
      </x:c>
      <x:c r="M63" s="2"/>
      <x:c r="N63" s="2"/>
      <x:c r="O63" s="2" t="s">
        <x:v>456</x:v>
      </x:c>
      <x:c r="P63" s="2" t="s">
        <x:v>521</x:v>
      </x:c>
      <x:c r="Q63" s="2"/>
      <x:c r="R63" s="3">
        <x:v>3</x:v>
      </x:c>
      <x:c r="S63" s="3"/>
      <x:c r="T63" s="2"/>
      <x:c r="U63" s="2"/>
      <x:c r="V63" s="2"/>
      <x:c r="W63" s="2"/>
      <x:c r="X63" s="3"/>
      <x:c r="Y63" s="3"/>
      <x:c r="Z63" s="2"/>
      <x:c r="AA63" s="2"/>
      <x:c r="AB63" s="2"/>
      <x:c r="AC63" s="2"/>
      <x:c r="AD63" s="2" t="s">
        <x:v>469</x:v>
      </x:c>
      <x:c r="AE63" s="2"/>
      <x:c r="AF63" s="2"/>
      <x:c r="AG63" s="2"/>
      <x:c r="AH63" s="2" t="s">
        <x:v>470</x:v>
      </x:c>
      <x:c r="AI63" s="4">
        <x:v>8</x:v>
      </x:c>
      <x:c r="AJ63" s="2" t="s">
        <x:v>471</x:v>
      </x:c>
      <x:c r="AK63" s="2" t="s">
        <x:v>460</x:v>
      </x:c>
      <x:c r="AL63" s="2" t="s">
        <x:v>461</x:v>
      </x:c>
      <x:c r="AM63" s="2">
        <x:v>11</x:v>
      </x:c>
      <x:c r="AN63" s="2">
        <x:v>11</x:v>
      </x:c>
    </x:row>
    <x:row r="64" ht="39">
      <x:c r="A64" s="2" t="s">
        <x:v>91</x:v>
      </x:c>
      <x:c r="B64" s="2" t="s">
        <x:v>18</x:v>
      </x:c>
      <x:c r="C64" s="3">
        <x:v>10</x:v>
      </x:c>
      <x:c r="D64" s="2" t="s">
        <x:v>482</x:v>
      </x:c>
      <x:c r="E64" s="2" t="s">
        <x:v>522</x:v>
      </x:c>
      <x:c r="F64" s="2" t="s">
        <x:v>474</x:v>
      </x:c>
      <x:c r="G64" s="2" t="s">
        <x:v>523</x:v>
      </x:c>
      <x:c r="H64" s="2" t="s">
        <x:v>96</x:v>
      </x:c>
      <x:c r="I64" s="2" t="s">
        <x:v>524</x:v>
      </x:c>
      <x:c r="J64" s="2" t="s">
        <x:v>477</x:v>
      </x:c>
      <x:c r="K64" s="2"/>
      <x:c r="L64" s="2" t="s">
        <x:v>525</x:v>
      </x:c>
      <x:c r="M64" s="2"/>
      <x:c r="N64" s="2"/>
      <x:c r="O64" s="2" t="s">
        <x:v>456</x:v>
      </x:c>
      <x:c r="P64" s="2" t="s">
        <x:v>526</x:v>
      </x:c>
      <x:c r="Q64" s="2"/>
      <x:c r="R64" s="3">
        <x:v>3</x:v>
      </x:c>
      <x:c r="S64" s="3"/>
      <x:c r="T64" s="2"/>
      <x:c r="U64" s="2"/>
      <x:c r="V64" s="2"/>
      <x:c r="W64" s="2"/>
      <x:c r="X64" s="3"/>
      <x:c r="Y64" s="3"/>
      <x:c r="Z64" s="2"/>
      <x:c r="AA64" s="2"/>
      <x:c r="AB64" s="2"/>
      <x:c r="AC64" s="2"/>
      <x:c r="AD64" s="2" t="s">
        <x:v>480</x:v>
      </x:c>
      <x:c r="AE64" s="2"/>
      <x:c r="AF64" s="2"/>
      <x:c r="AG64" s="2"/>
      <x:c r="AH64" s="2" t="s">
        <x:v>458</x:v>
      </x:c>
      <x:c r="AI64" s="4">
        <x:v>12</x:v>
      </x:c>
      <x:c r="AJ64" s="2" t="s">
        <x:v>481</x:v>
      </x:c>
      <x:c r="AK64" s="2" t="s">
        <x:v>460</x:v>
      </x:c>
      <x:c r="AL64" s="2" t="s">
        <x:v>461</x:v>
      </x:c>
      <x:c r="AM64" s="2">
        <x:v>12</x:v>
      </x:c>
      <x:c r="AN64" s="2">
        <x:v>12</x:v>
      </x:c>
    </x:row>
    <x:row r="65" ht="39">
      <x:c r="A65" s="2" t="s">
        <x:v>91</x:v>
      </x:c>
      <x:c r="B65" s="2" t="s">
        <x:v>18</x:v>
      </x:c>
      <x:c r="C65" s="3">
        <x:v>11</x:v>
      </x:c>
      <x:c r="D65" s="2" t="s">
        <x:v>472</x:v>
      </x:c>
      <x:c r="E65" s="2" t="s">
        <x:v>527</x:v>
      </x:c>
      <x:c r="F65" s="2" t="s">
        <x:v>484</x:v>
      </x:c>
      <x:c r="G65" s="2" t="s">
        <x:v>528</x:v>
      </x:c>
      <x:c r="H65" s="2" t="s">
        <x:v>96</x:v>
      </x:c>
      <x:c r="I65" s="2" t="s">
        <x:v>529</x:v>
      </x:c>
      <x:c r="J65" s="2" t="s">
        <x:v>477</x:v>
      </x:c>
      <x:c r="K65" s="2"/>
      <x:c r="L65" s="2" t="s">
        <x:v>530</x:v>
      </x:c>
      <x:c r="M65" s="2"/>
      <x:c r="N65" s="2"/>
      <x:c r="O65" s="2" t="s">
        <x:v>456</x:v>
      </x:c>
      <x:c r="P65" s="2" t="s">
        <x:v>531</x:v>
      </x:c>
      <x:c r="Q65" s="2"/>
      <x:c r="R65" s="3">
        <x:v>4</x:v>
      </x:c>
      <x:c r="S65" s="3"/>
      <x:c r="T65" s="2"/>
      <x:c r="U65" s="2"/>
      <x:c r="V65" s="2"/>
      <x:c r="W65" s="2"/>
      <x:c r="X65" s="3"/>
      <x:c r="Y65" s="3"/>
      <x:c r="Z65" s="2"/>
      <x:c r="AA65" s="2"/>
      <x:c r="AB65" s="2"/>
      <x:c r="AC65" s="2"/>
      <x:c r="AD65" s="2" t="s">
        <x:v>410</x:v>
      </x:c>
      <x:c r="AE65" s="2"/>
      <x:c r="AF65" s="2"/>
      <x:c r="AG65" s="2"/>
      <x:c r="AH65" s="2" t="s">
        <x:v>470</x:v>
      </x:c>
      <x:c r="AI65" s="4">
        <x:v>16</x:v>
      </x:c>
      <x:c r="AJ65" s="2" t="s">
        <x:v>489</x:v>
      </x:c>
      <x:c r="AK65" s="2" t="s">
        <x:v>460</x:v>
      </x:c>
      <x:c r="AL65" s="2" t="s">
        <x:v>461</x:v>
      </x:c>
      <x:c r="AM65" s="2">
        <x:v>13</x:v>
      </x:c>
      <x:c r="AN65" s="2">
        <x:v>13</x:v>
      </x:c>
    </x:row>
    <x:row r="66" ht="39">
      <x:c r="A66" s="2" t="s">
        <x:v>91</x:v>
      </x:c>
      <x:c r="B66" s="2" t="s">
        <x:v>18</x:v>
      </x:c>
      <x:c r="C66" s="3">
        <x:v>12</x:v>
      </x:c>
      <x:c r="D66" s="2" t="s">
        <x:v>516</x:v>
      </x:c>
      <x:c r="E66" s="2" t="s">
        <x:v>532</x:v>
      </x:c>
      <x:c r="F66" s="2" t="s">
        <x:v>451</x:v>
      </x:c>
      <x:c r="G66" s="2"/>
      <x:c r="H66" s="2" t="s">
        <x:v>96</x:v>
      </x:c>
      <x:c r="I66" s="2" t="s">
        <x:v>533</x:v>
      </x:c>
      <x:c r="J66" s="2" t="s">
        <x:v>454</x:v>
      </x:c>
      <x:c r="K66" s="2"/>
      <x:c r="L66" s="2" t="s">
        <x:v>534</x:v>
      </x:c>
      <x:c r="M66" s="2"/>
      <x:c r="N66" s="2"/>
      <x:c r="O66" s="2" t="s">
        <x:v>456</x:v>
      </x:c>
      <x:c r="P66" s="2" t="s">
        <x:v>535</x:v>
      </x:c>
      <x:c r="Q66" s="2"/>
      <x:c r="R66" s="3">
        <x:v>4</x:v>
      </x:c>
      <x:c r="S66" s="3"/>
      <x:c r="T66" s="2"/>
      <x:c r="U66" s="2"/>
      <x:c r="V66" s="2"/>
      <x:c r="W66" s="2"/>
      <x:c r="X66" s="3"/>
      <x:c r="Y66" s="3"/>
      <x:c r="Z66" s="2"/>
      <x:c r="AA66" s="2"/>
      <x:c r="AB66" s="2"/>
      <x:c r="AC66" s="2"/>
      <x:c r="AD66" s="2" t="s">
        <x:v>431</x:v>
      </x:c>
      <x:c r="AE66" s="2"/>
      <x:c r="AF66" s="2"/>
      <x:c r="AG66" s="2"/>
      <x:c r="AH66" s="2" t="s">
        <x:v>470</x:v>
      </x:c>
      <x:c r="AI66" s="4">
        <x:v>8</x:v>
      </x:c>
      <x:c r="AJ66" s="2" t="s">
        <x:v>459</x:v>
      </x:c>
      <x:c r="AK66" s="2" t="s">
        <x:v>460</x:v>
      </x:c>
      <x:c r="AL66" s="2" t="s">
        <x:v>461</x:v>
      </x:c>
      <x:c r="AM66" s="2">
        <x:v>14</x:v>
      </x:c>
      <x:c r="AN66" s="2">
        <x:v>14</x:v>
      </x:c>
    </x:row>
    <x:row r="67" ht="39">
      <x:c r="A67" s="2" t="s">
        <x:v>91</x:v>
      </x:c>
      <x:c r="B67" s="2" t="s">
        <x:v>18</x:v>
      </x:c>
      <x:c r="C67" s="3">
        <x:v>13</x:v>
      </x:c>
      <x:c r="D67" s="2" t="s">
        <x:v>516</x:v>
      </x:c>
      <x:c r="E67" s="2" t="s">
        <x:v>536</x:v>
      </x:c>
      <x:c r="F67" s="2" t="s">
        <x:v>464</x:v>
      </x:c>
      <x:c r="G67" s="2" t="s">
        <x:v>537</x:v>
      </x:c>
      <x:c r="H67" s="2" t="s">
        <x:v>96</x:v>
      </x:c>
      <x:c r="I67" s="2" t="s">
        <x:v>538</x:v>
      </x:c>
      <x:c r="J67" s="2" t="s">
        <x:v>454</x:v>
      </x:c>
      <x:c r="K67" s="2"/>
      <x:c r="L67" s="2" t="s">
        <x:v>539</x:v>
      </x:c>
      <x:c r="M67" s="2"/>
      <x:c r="N67" s="2"/>
      <x:c r="O67" s="2" t="s">
        <x:v>456</x:v>
      </x:c>
      <x:c r="P67" s="2" t="s">
        <x:v>540</x:v>
      </x:c>
      <x:c r="Q67" s="2"/>
      <x:c r="R67" s="3">
        <x:v>3</x:v>
      </x:c>
      <x:c r="S67" s="3"/>
      <x:c r="T67" s="2"/>
      <x:c r="U67" s="2"/>
      <x:c r="V67" s="2"/>
      <x:c r="W67" s="2"/>
      <x:c r="X67" s="3"/>
      <x:c r="Y67" s="3"/>
      <x:c r="Z67" s="2"/>
      <x:c r="AA67" s="2"/>
      <x:c r="AB67" s="2"/>
      <x:c r="AC67" s="2"/>
      <x:c r="AD67" s="2" t="s">
        <x:v>469</x:v>
      </x:c>
      <x:c r="AE67" s="2"/>
      <x:c r="AF67" s="2"/>
      <x:c r="AG67" s="2"/>
      <x:c r="AH67" s="2" t="s">
        <x:v>458</x:v>
      </x:c>
      <x:c r="AI67" s="4">
        <x:v>12</x:v>
      </x:c>
      <x:c r="AJ67" s="2" t="s">
        <x:v>471</x:v>
      </x:c>
      <x:c r="AK67" s="2" t="s">
        <x:v>460</x:v>
      </x:c>
      <x:c r="AL67" s="2" t="s">
        <x:v>461</x:v>
      </x:c>
      <x:c r="AM67" s="2">
        <x:v>15</x:v>
      </x:c>
      <x:c r="AN67" s="2">
        <x:v>15</x:v>
      </x:c>
    </x:row>
    <x:row r="68" ht="39">
      <x:c r="A68" s="2" t="s">
        <x:v>91</x:v>
      </x:c>
      <x:c r="B68" s="2" t="s">
        <x:v>18</x:v>
      </x:c>
      <x:c r="C68" s="3">
        <x:v>14</x:v>
      </x:c>
      <x:c r="D68" s="2" t="s">
        <x:v>482</x:v>
      </x:c>
      <x:c r="E68" s="2" t="s">
        <x:v>541</x:v>
      </x:c>
      <x:c r="F68" s="2" t="s">
        <x:v>474</x:v>
      </x:c>
      <x:c r="G68" s="2" t="s">
        <x:v>542</x:v>
      </x:c>
      <x:c r="H68" s="2" t="s">
        <x:v>96</x:v>
      </x:c>
      <x:c r="I68" s="2" t="s">
        <x:v>543</x:v>
      </x:c>
      <x:c r="J68" s="2" t="s">
        <x:v>477</x:v>
      </x:c>
      <x:c r="K68" s="2"/>
      <x:c r="L68" s="2" t="s">
        <x:v>544</x:v>
      </x:c>
      <x:c r="M68" s="2"/>
      <x:c r="N68" s="2"/>
      <x:c r="O68" s="2" t="s">
        <x:v>456</x:v>
      </x:c>
      <x:c r="P68" s="2" t="s">
        <x:v>545</x:v>
      </x:c>
      <x:c r="Q68" s="2"/>
      <x:c r="R68" s="3">
        <x:v>3</x:v>
      </x:c>
      <x:c r="S68" s="3"/>
      <x:c r="T68" s="2"/>
      <x:c r="U68" s="2"/>
      <x:c r="V68" s="2"/>
      <x:c r="W68" s="2"/>
      <x:c r="X68" s="3"/>
      <x:c r="Y68" s="3"/>
      <x:c r="Z68" s="2"/>
      <x:c r="AA68" s="2"/>
      <x:c r="AB68" s="2"/>
      <x:c r="AC68" s="2"/>
      <x:c r="AD68" s="2" t="s">
        <x:v>480</x:v>
      </x:c>
      <x:c r="AE68" s="2"/>
      <x:c r="AF68" s="2"/>
      <x:c r="AG68" s="2"/>
      <x:c r="AH68" s="2" t="s">
        <x:v>470</x:v>
      </x:c>
      <x:c r="AI68" s="4">
        <x:v>16</x:v>
      </x:c>
      <x:c r="AJ68" s="2" t="s">
        <x:v>481</x:v>
      </x:c>
      <x:c r="AK68" s="2" t="s">
        <x:v>460</x:v>
      </x:c>
      <x:c r="AL68" s="2" t="s">
        <x:v>461</x:v>
      </x:c>
      <x:c r="AM68" s="2">
        <x:v>16</x:v>
      </x:c>
      <x:c r="AN68" s="2">
        <x:v>16</x:v>
      </x:c>
    </x:row>
    <x:row r="69" ht="52">
      <x:c r="A69" s="2" t="s">
        <x:v>91</x:v>
      </x:c>
      <x:c r="B69" s="2" t="s">
        <x:v>18</x:v>
      </x:c>
      <x:c r="C69" s="3">
        <x:v>15</x:v>
      </x:c>
      <x:c r="D69" s="2" t="s">
        <x:v>472</x:v>
      </x:c>
      <x:c r="E69" s="2" t="s">
        <x:v>546</x:v>
      </x:c>
      <x:c r="F69" s="2" t="s">
        <x:v>484</x:v>
      </x:c>
      <x:c r="G69" s="2" t="s">
        <x:v>547</x:v>
      </x:c>
      <x:c r="H69" s="2" t="s">
        <x:v>96</x:v>
      </x:c>
      <x:c r="I69" s="2" t="s">
        <x:v>548</x:v>
      </x:c>
      <x:c r="J69" s="2" t="s">
        <x:v>477</x:v>
      </x:c>
      <x:c r="K69" s="2"/>
      <x:c r="L69" s="2" t="s">
        <x:v>549</x:v>
      </x:c>
      <x:c r="M69" s="2"/>
      <x:c r="N69" s="2"/>
      <x:c r="O69" s="2" t="s">
        <x:v>456</x:v>
      </x:c>
      <x:c r="P69" s="2" t="s">
        <x:v>550</x:v>
      </x:c>
      <x:c r="Q69" s="2"/>
      <x:c r="R69" s="3">
        <x:v>4</x:v>
      </x:c>
      <x:c r="S69" s="3"/>
      <x:c r="T69" s="2"/>
      <x:c r="U69" s="2"/>
      <x:c r="V69" s="2"/>
      <x:c r="W69" s="2"/>
      <x:c r="X69" s="3"/>
      <x:c r="Y69" s="3"/>
      <x:c r="Z69" s="2"/>
      <x:c r="AA69" s="2"/>
      <x:c r="AB69" s="2"/>
      <x:c r="AC69" s="2"/>
      <x:c r="AD69" s="2" t="s">
        <x:v>410</x:v>
      </x:c>
      <x:c r="AE69" s="2"/>
      <x:c r="AF69" s="2"/>
      <x:c r="AG69" s="2"/>
      <x:c r="AH69" s="2" t="s">
        <x:v>458</x:v>
      </x:c>
      <x:c r="AI69" s="4">
        <x:v>8</x:v>
      </x:c>
      <x:c r="AJ69" s="2" t="s">
        <x:v>489</x:v>
      </x:c>
      <x:c r="AK69" s="2" t="s">
        <x:v>460</x:v>
      </x:c>
      <x:c r="AL69" s="2" t="s">
        <x:v>461</x:v>
      </x:c>
      <x:c r="AM69" s="2">
        <x:v>17</x:v>
      </x:c>
      <x:c r="AN69" s="2">
        <x:v>17</x:v>
      </x:c>
    </x:row>
    <x:row r="70" ht="52">
      <x:c r="A70" s="2" t="s">
        <x:v>91</x:v>
      </x:c>
      <x:c r="B70" s="2" t="s">
        <x:v>18</x:v>
      </x:c>
      <x:c r="C70" s="3">
        <x:v>16</x:v>
      </x:c>
      <x:c r="D70" s="2" t="s">
        <x:v>449</x:v>
      </x:c>
      <x:c r="E70" s="2" t="s">
        <x:v>551</x:v>
      </x:c>
      <x:c r="F70" s="2" t="s">
        <x:v>451</x:v>
      </x:c>
      <x:c r="G70" s="2" t="s">
        <x:v>552</x:v>
      </x:c>
      <x:c r="H70" s="2" t="s">
        <x:v>96</x:v>
      </x:c>
      <x:c r="I70" s="2" t="s">
        <x:v>553</x:v>
      </x:c>
      <x:c r="J70" s="2" t="s">
        <x:v>454</x:v>
      </x:c>
      <x:c r="K70" s="2"/>
      <x:c r="L70" s="2" t="s">
        <x:v>554</x:v>
      </x:c>
      <x:c r="M70" s="2"/>
      <x:c r="N70" s="2"/>
      <x:c r="O70" s="2" t="s">
        <x:v>456</x:v>
      </x:c>
      <x:c r="P70" s="2" t="s">
        <x:v>555</x:v>
      </x:c>
      <x:c r="Q70" s="2"/>
      <x:c r="R70" s="3">
        <x:v>4</x:v>
      </x:c>
      <x:c r="S70" s="3"/>
      <x:c r="T70" s="2"/>
      <x:c r="U70" s="2"/>
      <x:c r="V70" s="2"/>
      <x:c r="W70" s="2"/>
      <x:c r="X70" s="3"/>
      <x:c r="Y70" s="3"/>
      <x:c r="Z70" s="2"/>
      <x:c r="AA70" s="2"/>
      <x:c r="AB70" s="2"/>
      <x:c r="AC70" s="2"/>
      <x:c r="AD70" s="2" t="s">
        <x:v>431</x:v>
      </x:c>
      <x:c r="AE70" s="2"/>
      <x:c r="AF70" s="2"/>
      <x:c r="AG70" s="2"/>
      <x:c r="AH70" s="2" t="s">
        <x:v>458</x:v>
      </x:c>
      <x:c r="AI70" s="4">
        <x:v>12</x:v>
      </x:c>
      <x:c r="AJ70" s="2" t="s">
        <x:v>459</x:v>
      </x:c>
      <x:c r="AK70" s="2" t="s">
        <x:v>460</x:v>
      </x:c>
      <x:c r="AL70" s="2" t="s">
        <x:v>461</x:v>
      </x:c>
      <x:c r="AM70" s="2">
        <x:v>18</x:v>
      </x:c>
      <x:c r="AN70" s="2">
        <x:v>18</x:v>
      </x:c>
    </x:row>
    <x:row r="71" ht="39">
      <x:c r="A71" s="2" t="s">
        <x:v>91</x:v>
      </x:c>
      <x:c r="B71" s="2" t="s">
        <x:v>18</x:v>
      </x:c>
      <x:c r="C71" s="3">
        <x:v>17</x:v>
      </x:c>
      <x:c r="D71" s="2" t="s">
        <x:v>516</x:v>
      </x:c>
      <x:c r="E71" s="2" t="s">
        <x:v>556</x:v>
      </x:c>
      <x:c r="F71" s="2" t="s">
        <x:v>464</x:v>
      </x:c>
      <x:c r="G71" s="2" t="s">
        <x:v>557</x:v>
      </x:c>
      <x:c r="H71" s="2" t="s">
        <x:v>96</x:v>
      </x:c>
      <x:c r="I71" s="2" t="s">
        <x:v>558</x:v>
      </x:c>
      <x:c r="J71" s="2" t="s">
        <x:v>454</x:v>
      </x:c>
      <x:c r="K71" s="2"/>
      <x:c r="L71" s="2" t="s">
        <x:v>559</x:v>
      </x:c>
      <x:c r="M71" s="2"/>
      <x:c r="N71" s="2"/>
      <x:c r="O71" s="2" t="s">
        <x:v>456</x:v>
      </x:c>
      <x:c r="P71" s="2" t="s">
        <x:v>560</x:v>
      </x:c>
      <x:c r="Q71" s="2"/>
      <x:c r="R71" s="3">
        <x:v>3</x:v>
      </x:c>
      <x:c r="S71" s="3"/>
      <x:c r="T71" s="2"/>
      <x:c r="U71" s="2"/>
      <x:c r="V71" s="2"/>
      <x:c r="W71" s="2"/>
      <x:c r="X71" s="3"/>
      <x:c r="Y71" s="3"/>
      <x:c r="Z71" s="2"/>
      <x:c r="AA71" s="2"/>
      <x:c r="AB71" s="2"/>
      <x:c r="AC71" s="2"/>
      <x:c r="AD71" s="2" t="s">
        <x:v>469</x:v>
      </x:c>
      <x:c r="AE71" s="2"/>
      <x:c r="AF71" s="2"/>
      <x:c r="AG71" s="2"/>
      <x:c r="AH71" s="2" t="s">
        <x:v>470</x:v>
      </x:c>
      <x:c r="AI71" s="4">
        <x:v>16</x:v>
      </x:c>
      <x:c r="AJ71" s="2" t="s">
        <x:v>471</x:v>
      </x:c>
      <x:c r="AK71" s="2" t="s">
        <x:v>460</x:v>
      </x:c>
      <x:c r="AL71" s="2" t="s">
        <x:v>461</x:v>
      </x:c>
      <x:c r="AM71" s="2">
        <x:v>19</x:v>
      </x:c>
      <x:c r="AN71" s="2">
        <x:v>19</x:v>
      </x:c>
    </x:row>
    <x:row r="72" ht="39">
      <x:c r="A72" s="2" t="s">
        <x:v>91</x:v>
      </x:c>
      <x:c r="B72" s="2" t="s">
        <x:v>18</x:v>
      </x:c>
      <x:c r="C72" s="3">
        <x:v>18</x:v>
      </x:c>
      <x:c r="D72" s="2" t="s">
        <x:v>472</x:v>
      </x:c>
      <x:c r="E72" s="2" t="s">
        <x:v>561</x:v>
      </x:c>
      <x:c r="F72" s="2" t="s">
        <x:v>474</x:v>
      </x:c>
      <x:c r="G72" s="2" t="s">
        <x:v>562</x:v>
      </x:c>
      <x:c r="H72" s="2" t="s">
        <x:v>96</x:v>
      </x:c>
      <x:c r="I72" s="2" t="s">
        <x:v>563</x:v>
      </x:c>
      <x:c r="J72" s="2" t="s">
        <x:v>477</x:v>
      </x:c>
      <x:c r="K72" s="2"/>
      <x:c r="L72" s="2" t="s">
        <x:v>564</x:v>
      </x:c>
      <x:c r="M72" s="2"/>
      <x:c r="N72" s="2"/>
      <x:c r="O72" s="2" t="s">
        <x:v>456</x:v>
      </x:c>
      <x:c r="P72" s="2" t="s">
        <x:v>565</x:v>
      </x:c>
      <x:c r="Q72" s="2"/>
      <x:c r="R72" s="3">
        <x:v>3</x:v>
      </x:c>
      <x:c r="S72" s="3"/>
      <x:c r="T72" s="2"/>
      <x:c r="U72" s="2"/>
      <x:c r="V72" s="2"/>
      <x:c r="W72" s="2"/>
      <x:c r="X72" s="3"/>
      <x:c r="Y72" s="3"/>
      <x:c r="Z72" s="2"/>
      <x:c r="AA72" s="2"/>
      <x:c r="AB72" s="2"/>
      <x:c r="AC72" s="2"/>
      <x:c r="AD72" s="2" t="s">
        <x:v>480</x:v>
      </x:c>
      <x:c r="AE72" s="2"/>
      <x:c r="AF72" s="2"/>
      <x:c r="AG72" s="2"/>
      <x:c r="AH72" s="2" t="s">
        <x:v>458</x:v>
      </x:c>
      <x:c r="AI72" s="4">
        <x:v>8</x:v>
      </x:c>
      <x:c r="AJ72" s="2" t="s">
        <x:v>481</x:v>
      </x:c>
      <x:c r="AK72" s="2" t="s">
        <x:v>460</x:v>
      </x:c>
      <x:c r="AL72" s="2" t="s">
        <x:v>461</x:v>
      </x:c>
      <x:c r="AM72" s="2">
        <x:v>20</x:v>
      </x:c>
      <x:c r="AN72" s="2">
        <x:v>20</x:v>
      </x:c>
    </x:row>
    <x:row r="73" ht="52">
      <x:c r="A73" s="2" t="s">
        <x:v>91</x:v>
      </x:c>
      <x:c r="B73" s="2" t="s">
        <x:v>18</x:v>
      </x:c>
      <x:c r="C73" s="3">
        <x:v>19</x:v>
      </x:c>
      <x:c r="D73" s="2" t="s">
        <x:v>505</x:v>
      </x:c>
      <x:c r="E73" s="2" t="s">
        <x:v>566</x:v>
      </x:c>
      <x:c r="F73" s="2" t="s">
        <x:v>484</x:v>
      </x:c>
      <x:c r="G73" s="2" t="s">
        <x:v>567</x:v>
      </x:c>
      <x:c r="H73" s="2" t="s">
        <x:v>96</x:v>
      </x:c>
      <x:c r="I73" s="2" t="s">
        <x:v>568</x:v>
      </x:c>
      <x:c r="J73" s="2" t="s">
        <x:v>477</x:v>
      </x:c>
      <x:c r="K73" s="2"/>
      <x:c r="L73" s="2" t="s">
        <x:v>569</x:v>
      </x:c>
      <x:c r="M73" s="2"/>
      <x:c r="N73" s="2"/>
      <x:c r="O73" s="2" t="s">
        <x:v>456</x:v>
      </x:c>
      <x:c r="P73" s="2" t="s">
        <x:v>570</x:v>
      </x:c>
      <x:c r="Q73" s="2"/>
      <x:c r="R73" s="3">
        <x:v>4</x:v>
      </x:c>
      <x:c r="S73" s="3"/>
      <x:c r="T73" s="2"/>
      <x:c r="U73" s="2"/>
      <x:c r="V73" s="2"/>
      <x:c r="W73" s="2"/>
      <x:c r="X73" s="3"/>
      <x:c r="Y73" s="3"/>
      <x:c r="Z73" s="2"/>
      <x:c r="AA73" s="2"/>
      <x:c r="AB73" s="2"/>
      <x:c r="AC73" s="2"/>
      <x:c r="AD73" s="2" t="s">
        <x:v>410</x:v>
      </x:c>
      <x:c r="AE73" s="2"/>
      <x:c r="AF73" s="2"/>
      <x:c r="AG73" s="2"/>
      <x:c r="AH73" s="2" t="s">
        <x:v>470</x:v>
      </x:c>
      <x:c r="AI73" s="4">
        <x:v>12</x:v>
      </x:c>
      <x:c r="AJ73" s="2" t="s">
        <x:v>489</x:v>
      </x:c>
      <x:c r="AK73" s="2" t="s">
        <x:v>460</x:v>
      </x:c>
      <x:c r="AL73" s="2" t="s">
        <x:v>461</x:v>
      </x:c>
      <x:c r="AM73" s="2">
        <x:v>21</x:v>
      </x:c>
      <x:c r="AN73" s="2">
        <x:v>21</x:v>
      </x:c>
    </x:row>
  </x:sheetData>
  <x:conditionalFormatting sqref="A2:A73">
    <x:cfRule type="containsText" dxfId="11" priority="1" operator="containsText" text="Success"/>
    <x:cfRule type="containsText" dxfId="10" priority="2" operator="containsText" text="Failure"/>
  </x:conditionalFormatting>
  <x:dataValidations count="1">
    <x:dataValidation type="list" sqref="A2:A73">
      <x:formula1>"Success,Failure"</x:formula1>
    </x:dataValidation>
  </x:dataValidations>
  <x:pageMargins left="0.7" right="0.7" top="0.75" bottom="0.75" header="0.3" footer="0.3"/>
  <x:tableParts count="1">
    <x:tablePart xmlns:r="http://schemas.openxmlformats.org/officeDocument/2006/relationships" r:id="R7c06ceca33ca4e9a"/>
  </x:tableParts>
</x:worksheet>
</file>

<file path=xl/worksheets/sheet4.xml><?xml version="1.0" encoding="utf-8"?>
<x:worksheet xmlns:x="http://schemas.openxmlformats.org/spreadsheetml/2006/main">
  <x:sheetViews>
    <x:sheetView showGridLines="0" workbookViewId="0"/>
  </x:sheetViews>
  <x:sheetFormatPr baseColWidth="10" defaultColWidth="8.83203125" defaultRowHeight="14"/>
  <x:cols>
    <x:col min="1" max="1" width="12" customWidth="1"/>
    <x:col min="2" max="2" width="27" customWidth="1"/>
    <x:col min="3" max="3" width="9" customWidth="1"/>
    <x:col min="4" max="4" width="44" customWidth="1"/>
    <x:col min="5" max="5" width="54" customWidth="1"/>
    <x:col min="6" max="7" width="34" customWidth="1"/>
    <x:col min="8" max="8" width="38" customWidth="1"/>
    <x:col min="9" max="9" width="20" customWidth="1"/>
    <x:col min="10" max="10" width="34" customWidth="1"/>
    <x:col min="11" max="11" width="16" customWidth="1"/>
    <x:col min="12" max="12" width="20" customWidth="1"/>
    <x:col min="13" max="13" width="42" customWidth="1"/>
    <x:col min="14" max="14" width="16" customWidth="1"/>
    <x:col min="15" max="15" width="38" customWidth="1"/>
    <x:col min="16" max="16" width="44" customWidth="1"/>
    <x:col min="17" max="17" width="24" customWidth="1"/>
    <x:col min="18" max="18" width="13" customWidth="1"/>
    <x:col min="19" max="19" width="15" customWidth="1"/>
    <x:col min="20" max="21" width="14" customWidth="1"/>
    <x:col min="22" max="22" width="18" customWidth="1"/>
    <x:col min="23" max="23" width="20" customWidth="1"/>
    <x:col min="24" max="24" width="15" customWidth="1"/>
    <x:col min="25" max="25" width="12" customWidth="1"/>
    <x:col min="26" max="26" width="18" customWidth="1"/>
    <x:col min="27" max="27" width="14" customWidth="1"/>
    <x:col min="28" max="28" width="18" customWidth="1"/>
    <x:col min="29" max="29" width="16" customWidth="1"/>
    <x:col min="30" max="31" width="20" customWidth="1"/>
    <x:col min="32" max="32" width="18" customWidth="1"/>
    <x:col min="33" max="33" width="20" customWidth="1"/>
    <x:col min="34" max="34" width="14" customWidth="1"/>
    <x:col min="35" max="35" width="15" customWidth="1"/>
    <x:col min="36" max="36" width="28" customWidth="1"/>
    <x:col min="37" max="37" width="32" customWidth="1"/>
    <x:col min="38" max="38" width="28" customWidth="1"/>
    <x:col min="39" max="39" width="16" customWidth="1"/>
    <x:col min="40" max="40" width="15" customWidth="1"/>
    <x:col min="41" max="41" width="8.83203125" hidden="1" customWidth="1"/>
    <x:col min="42" max="42" width="9.33203125" customWidth="1"/>
    <x:col min="43" max="43" width="8.5" customWidth="1"/>
    <x:col min="44" max="44" width="11.6640625" customWidth="1"/>
  </x:cols>
  <x:sheetData>
    <x:row r="1" ht="36" customHeight="1">
      <x:c r="A1" s="1" t="s">
        <x:v>53</x:v>
      </x:c>
      <x:c r="B1" s="1" t="s">
        <x:v>12</x:v>
      </x:c>
      <x:c r="C1" s="1" t="s">
        <x:v>54</x:v>
      </x:c>
      <x:c r="D1" s="1" t="s">
        <x:v>55</x:v>
      </x:c>
      <x:c r="E1" s="1" t="s">
        <x:v>27</x:v>
      </x:c>
      <x:c r="F1" s="1" t="s">
        <x:v>56</x:v>
      </x:c>
      <x:c r="G1" s="1" t="s">
        <x:v>57</x:v>
      </x:c>
      <x:c r="H1" s="1" t="s">
        <x:v>58</x:v>
      </x:c>
      <x:c r="I1" s="1" t="s">
        <x:v>59</x:v>
      </x:c>
      <x:c r="J1" s="1" t="s">
        <x:v>60</x:v>
      </x:c>
      <x:c r="K1" s="1" t="s">
        <x:v>61</x:v>
      </x:c>
      <x:c r="L1" s="1" t="s">
        <x:v>62</x:v>
      </x:c>
      <x:c r="M1" s="1" t="s">
        <x:v>63</x:v>
      </x:c>
      <x:c r="N1" s="1" t="s">
        <x:v>64</x:v>
      </x:c>
      <x:c r="O1" s="1" t="s">
        <x:v>65</x:v>
      </x:c>
      <x:c r="P1" s="1" t="s">
        <x:v>66</x:v>
      </x:c>
      <x:c r="Q1" s="1" t="s">
        <x:v>67</x:v>
      </x:c>
      <x:c r="R1" s="1" t="s">
        <x:v>68</x:v>
      </x:c>
      <x:c r="S1" s="1" t="s">
        <x:v>69</x:v>
      </x:c>
      <x:c r="T1" s="1" t="s">
        <x:v>70</x:v>
      </x:c>
      <x:c r="U1" s="1" t="s">
        <x:v>71</x:v>
      </x:c>
      <x:c r="V1" s="1" t="s">
        <x:v>72</x:v>
      </x:c>
      <x:c r="W1" s="1" t="s">
        <x:v>73</x:v>
      </x:c>
      <x:c r="X1" s="1" t="s">
        <x:v>74</x:v>
      </x:c>
      <x:c r="Y1" s="1" t="s">
        <x:v>75</x:v>
      </x:c>
      <x:c r="Z1" s="1" t="s">
        <x:v>76</x:v>
      </x:c>
      <x:c r="AA1" s="1" t="s">
        <x:v>77</x:v>
      </x:c>
      <x:c r="AB1" s="1" t="s">
        <x:v>78</x:v>
      </x:c>
      <x:c r="AC1" s="1" t="s">
        <x:v>79</x:v>
      </x:c>
      <x:c r="AD1" s="1" t="s">
        <x:v>80</x:v>
      </x:c>
      <x:c r="AE1" s="1" t="s">
        <x:v>81</x:v>
      </x:c>
      <x:c r="AF1" s="1" t="s">
        <x:v>82</x:v>
      </x:c>
      <x:c r="AG1" s="1" t="s">
        <x:v>83</x:v>
      </x:c>
      <x:c r="AH1" s="1" t="s">
        <x:v>84</x:v>
      </x:c>
      <x:c r="AI1" s="1" t="s">
        <x:v>85</x:v>
      </x:c>
      <x:c r="AJ1" s="1" t="s">
        <x:v>86</x:v>
      </x:c>
      <x:c r="AK1" s="1" t="s">
        <x:v>87</x:v>
      </x:c>
      <x:c r="AL1" s="1" t="s">
        <x:v>88</x:v>
      </x:c>
      <x:c r="AM1" s="1" t="s">
        <x:v>89</x:v>
      </x:c>
      <x:c r="AN1" s="1" t="s">
        <x:v>90</x:v>
      </x:c>
      <x:c r="AO1" s="54" t="str">
        <x:v>Condition</x:v>
      </x:c>
      <x:c r="AP1" t="str">
        <x:v>Concept/compositional transfer</x:v>
      </x:c>
    </x:row>
    <x:row r="2" ht="65">
      <x:c r="A2" s="2" t="s">
        <x:v>6</x:v>
      </x:c>
      <x:c r="B2" s="2" t="s">
        <x:v>13</x:v>
      </x:c>
      <x:c r="C2" s="3">
        <x:v>0</x:v>
      </x:c>
      <x:c r="D2" s="2" t="s">
        <x:v>92</x:v>
      </x:c>
      <x:c r="E2" s="2" t="s">
        <x:v>93</x:v>
      </x:c>
      <x:c r="F2" s="2" t="s">
        <x:v>94</x:v>
      </x:c>
      <x:c r="G2" s="2"/>
      <x:c r="H2" s="2" t="s">
        <x:v>96</x:v>
      </x:c>
      <x:c r="I2" s="2" t="s">
        <x:v>97</x:v>
      </x:c>
      <x:c r="J2" s="2" t="s">
        <x:v>98</x:v>
      </x:c>
      <x:c r="K2" s="2"/>
      <x:c r="L2" s="2" t="s">
        <x:v>99</x:v>
      </x:c>
      <x:c r="M2" s="2" t="s">
        <x:v>100</x:v>
      </x:c>
      <x:c r="N2" s="2">
        <x:v>1</x:v>
      </x:c>
      <x:c r="O2" s="2" t="s">
        <x:v>101</x:v>
      </x:c>
      <x:c r="P2" s="2" t="s">
        <x:v>102</x:v>
      </x:c>
      <x:c r="Q2" s="2"/>
      <x:c r="R2" s="3">
        <x:v>4</x:v>
      </x:c>
      <x:c r="S2" s="3">
        <x:v>1</x:v>
      </x:c>
      <x:c r="T2" s="2" t="s">
        <x:v>103</x:v>
      </x:c>
      <x:c r="U2" s="2" t="s">
        <x:v>104</x:v>
      </x:c>
      <x:c r="V2" s="2" t="s">
        <x:v>105</x:v>
      </x:c>
      <x:c r="W2" s="2"/>
      <x:c r="X2" s="3"/>
      <x:c r="Y2" s="3"/>
      <x:c r="Z2" s="2"/>
      <x:c r="AA2" s="2"/>
      <x:c r="AB2" s="2"/>
      <x:c r="AC2" s="2"/>
      <x:c r="AD2" s="2"/>
      <x:c r="AE2" s="2"/>
      <x:c r="AF2" s="2"/>
      <x:c r="AG2" s="2"/>
      <x:c r="AH2" s="2"/>
      <x:c r="AI2" s="4"/>
      <x:c r="AJ2" s="2"/>
      <x:c r="AK2" s="2" t="s">
        <x:v>106</x:v>
      </x:c>
      <x:c r="AL2" s="2" t="s">
        <x:v>571</x:v>
      </x:c>
      <x:c r="AM2" s="2">
        <x:v>2</x:v>
      </x:c>
      <x:c r="AN2" s="2">
        <x:v>2</x:v>
      </x:c>
      <x:c r="AO2" t="str"/>
      <x:c r="AP2" t="str"/>
    </x:row>
    <x:row r="3" ht="39">
      <x:c r="A3" s="2" t="s">
        <x:v>6</x:v>
      </x:c>
      <x:c r="B3" s="2" t="s">
        <x:v>13</x:v>
      </x:c>
      <x:c r="C3" s="3">
        <x:v>1</x:v>
      </x:c>
      <x:c r="D3" s="2" t="s">
        <x:v>108</x:v>
      </x:c>
      <x:c r="E3" s="2" t="s">
        <x:v>109</x:v>
      </x:c>
      <x:c r="F3" s="2" t="s">
        <x:v>94</x:v>
      </x:c>
      <x:c r="G3" s="2"/>
      <x:c r="H3" s="2" t="s">
        <x:v>96</x:v>
      </x:c>
      <x:c r="I3" s="2" t="s">
        <x:v>111</x:v>
      </x:c>
      <x:c r="J3" s="2" t="s">
        <x:v>98</x:v>
      </x:c>
      <x:c r="K3" s="2"/>
      <x:c r="L3" s="2" t="s">
        <x:v>112</x:v>
      </x:c>
      <x:c r="M3" s="2" t="s">
        <x:v>113</x:v>
      </x:c>
      <x:c r="N3" s="2">
        <x:v>1</x:v>
      </x:c>
      <x:c r="O3" s="2" t="s">
        <x:v>101</x:v>
      </x:c>
      <x:c r="P3" s="2" t="s">
        <x:v>114</x:v>
      </x:c>
      <x:c r="Q3" s="2"/>
      <x:c r="R3" s="3">
        <x:v>2</x:v>
      </x:c>
      <x:c r="S3" s="3">
        <x:v>1</x:v>
      </x:c>
      <x:c r="T3" s="2" t="s">
        <x:v>103</x:v>
      </x:c>
      <x:c r="U3" s="2" t="s">
        <x:v>115</x:v>
      </x:c>
      <x:c r="V3" s="2" t="s">
        <x:v>105</x:v>
      </x:c>
      <x:c r="W3" s="2"/>
      <x:c r="X3" s="3"/>
      <x:c r="Y3" s="3"/>
      <x:c r="Z3" s="2"/>
      <x:c r="AA3" s="2"/>
      <x:c r="AB3" s="2"/>
      <x:c r="AC3" s="2"/>
      <x:c r="AD3" s="2"/>
      <x:c r="AE3" s="2"/>
      <x:c r="AF3" s="2"/>
      <x:c r="AG3" s="2"/>
      <x:c r="AH3" s="2"/>
      <x:c r="AI3" s="4"/>
      <x:c r="AJ3" s="2"/>
      <x:c r="AK3" s="2" t="s">
        <x:v>106</x:v>
      </x:c>
      <x:c r="AL3" s="2" t="s">
        <x:v>571</x:v>
      </x:c>
      <x:c r="AM3" s="2">
        <x:v>3</x:v>
      </x:c>
      <x:c r="AN3" s="2">
        <x:v>3</x:v>
      </x:c>
      <x:c r="AO3"/>
      <x:c r="AP3" s="54" t="str">
        <x:v>Success</x:v>
      </x:c>
      <x:c r="AQ3" t="str">
        <x:v>Failure</x:v>
      </x:c>
    </x:row>
    <x:row r="4" ht="65">
      <x:c r="A4" s="2" t="s">
        <x:v>6</x:v>
      </x:c>
      <x:c r="B4" s="2" t="s">
        <x:v>13</x:v>
      </x:c>
      <x:c r="C4" s="3">
        <x:v>2</x:v>
      </x:c>
      <x:c r="D4" s="2" t="s">
        <x:v>116</x:v>
      </x:c>
      <x:c r="E4" s="2" t="s">
        <x:v>117</x:v>
      </x:c>
      <x:c r="F4" s="2" t="s">
        <x:v>118</x:v>
      </x:c>
      <x:c r="G4" s="2"/>
      <x:c r="H4" s="2" t="s">
        <x:v>96</x:v>
      </x:c>
      <x:c r="I4" s="2" t="s">
        <x:v>120</x:v>
      </x:c>
      <x:c r="J4" s="2" t="s">
        <x:v>98</x:v>
      </x:c>
      <x:c r="K4" s="2"/>
      <x:c r="L4" s="2" t="s">
        <x:v>121</x:v>
      </x:c>
      <x:c r="M4" s="2" t="s">
        <x:v>100</x:v>
      </x:c>
      <x:c r="N4" s="2">
        <x:v>1</x:v>
      </x:c>
      <x:c r="O4" s="2" t="s">
        <x:v>101</x:v>
      </x:c>
      <x:c r="P4" s="2" t="s">
        <x:v>102</x:v>
      </x:c>
      <x:c r="Q4" s="2"/>
      <x:c r="R4" s="3">
        <x:v>3</x:v>
      </x:c>
      <x:c r="S4" s="3">
        <x:v>1</x:v>
      </x:c>
      <x:c r="T4" s="2" t="s">
        <x:v>103</x:v>
      </x:c>
      <x:c r="U4" s="2" t="s">
        <x:v>122</x:v>
      </x:c>
      <x:c r="V4" s="2" t="s">
        <x:v>123</x:v>
      </x:c>
      <x:c r="W4" s="2"/>
      <x:c r="X4" s="3"/>
      <x:c r="Y4" s="3"/>
      <x:c r="Z4" s="2"/>
      <x:c r="AA4" s="2"/>
      <x:c r="AB4" s="2"/>
      <x:c r="AC4" s="2"/>
      <x:c r="AD4" s="2"/>
      <x:c r="AE4" s="2"/>
      <x:c r="AF4" s="2"/>
      <x:c r="AG4" s="2"/>
      <x:c r="AH4" s="2"/>
      <x:c r="AI4" s="4"/>
      <x:c r="AJ4" s="2"/>
      <x:c r="AK4" s="2" t="s">
        <x:v>106</x:v>
      </x:c>
      <x:c r="AL4" s="2" t="s">
        <x:v>571</x:v>
      </x:c>
      <x:c r="AM4" s="2">
        <x:v>4</x:v>
      </x:c>
      <x:c r="AN4" s="2">
        <x:v>4</x:v>
      </x:c>
      <x:c r="AO4" t="str"/>
      <x:c r="AP4" t="str"/>
      <x:c r="AQ4" t="str"/>
    </x:row>
    <x:row r="5" ht="39">
      <x:c r="A5" s="2" t="s">
        <x:v>6</x:v>
      </x:c>
      <x:c r="B5" s="2" t="s">
        <x:v>13</x:v>
      </x:c>
      <x:c r="C5" s="3">
        <x:v>3</x:v>
      </x:c>
      <x:c r="D5" s="2" t="s">
        <x:v>124</x:v>
      </x:c>
      <x:c r="E5" s="2" t="s">
        <x:v>125</x:v>
      </x:c>
      <x:c r="F5" s="2" t="s">
        <x:v>118</x:v>
      </x:c>
      <x:c r="G5" s="2"/>
      <x:c r="H5" s="2" t="s">
        <x:v>96</x:v>
      </x:c>
      <x:c r="I5" s="2" t="s">
        <x:v>127</x:v>
      </x:c>
      <x:c r="J5" s="2" t="s">
        <x:v>98</x:v>
      </x:c>
      <x:c r="K5" s="2"/>
      <x:c r="L5" s="2" t="s">
        <x:v>128</x:v>
      </x:c>
      <x:c r="M5" s="2" t="s">
        <x:v>113</x:v>
      </x:c>
      <x:c r="N5" s="2">
        <x:v>1</x:v>
      </x:c>
      <x:c r="O5" s="2" t="s">
        <x:v>101</x:v>
      </x:c>
      <x:c r="P5" s="2" t="s">
        <x:v>114</x:v>
      </x:c>
      <x:c r="Q5" s="2"/>
      <x:c r="R5" s="3">
        <x:v>4</x:v>
      </x:c>
      <x:c r="S5" s="3">
        <x:v>1</x:v>
      </x:c>
      <x:c r="T5" s="2" t="s">
        <x:v>103</x:v>
      </x:c>
      <x:c r="U5" s="2" t="s">
        <x:v>129</x:v>
      </x:c>
      <x:c r="V5" s="2" t="s">
        <x:v>123</x:v>
      </x:c>
      <x:c r="W5" s="2"/>
      <x:c r="X5" s="3"/>
      <x:c r="Y5" s="3"/>
      <x:c r="Z5" s="2"/>
      <x:c r="AA5" s="2"/>
      <x:c r="AB5" s="2"/>
      <x:c r="AC5" s="2"/>
      <x:c r="AD5" s="2"/>
      <x:c r="AE5" s="2"/>
      <x:c r="AF5" s="2"/>
      <x:c r="AG5" s="2"/>
      <x:c r="AH5" s="2"/>
      <x:c r="AI5" s="4"/>
      <x:c r="AJ5" s="2"/>
      <x:c r="AK5" s="2" t="s">
        <x:v>106</x:v>
      </x:c>
      <x:c r="AL5" s="2" t="s">
        <x:v>571</x:v>
      </x:c>
      <x:c r="AM5" s="2">
        <x:v>5</x:v>
      </x:c>
      <x:c r="AN5" s="2">
        <x:v>5</x:v>
      </x:c>
      <x:c r="AO5" t="str">
        <x:v>Grand Total</x:v>
      </x:c>
      <x:c r="AP5" s="55" t="n">
        <x:v>478</x:v>
      </x:c>
      <x:c r="AQ5" s="55" t="n">
        <x:v>422</x:v>
      </x:c>
    </x:row>
    <x:row r="6" ht="65">
      <x:c r="A6" s="2" t="s">
        <x:v>6</x:v>
      </x:c>
      <x:c r="B6" s="2" t="s">
        <x:v>13</x:v>
      </x:c>
      <x:c r="C6" s="3">
        <x:v>4</x:v>
      </x:c>
      <x:c r="D6" s="2" t="s">
        <x:v>130</x:v>
      </x:c>
      <x:c r="E6" s="2" t="s">
        <x:v>131</x:v>
      </x:c>
      <x:c r="F6" s="2" t="s">
        <x:v>132</x:v>
      </x:c>
      <x:c r="G6" s="2"/>
      <x:c r="H6" s="2" t="s">
        <x:v>96</x:v>
      </x:c>
      <x:c r="I6" s="2" t="s">
        <x:v>134</x:v>
      </x:c>
      <x:c r="J6" s="2" t="s">
        <x:v>98</x:v>
      </x:c>
      <x:c r="K6" s="2"/>
      <x:c r="L6" s="2" t="s">
        <x:v>135</x:v>
      </x:c>
      <x:c r="M6" s="2" t="s">
        <x:v>100</x:v>
      </x:c>
      <x:c r="N6" s="2">
        <x:v>1</x:v>
      </x:c>
      <x:c r="O6" s="2" t="s">
        <x:v>101</x:v>
      </x:c>
      <x:c r="P6" s="2" t="s">
        <x:v>102</x:v>
      </x:c>
      <x:c r="Q6" s="2"/>
      <x:c r="R6" s="3">
        <x:v>3</x:v>
      </x:c>
      <x:c r="S6" s="3">
        <x:v>1</x:v>
      </x:c>
      <x:c r="T6" s="2" t="s">
        <x:v>103</x:v>
      </x:c>
      <x:c r="U6" s="2" t="s">
        <x:v>104</x:v>
      </x:c>
      <x:c r="V6" s="2" t="s">
        <x:v>136</x:v>
      </x:c>
      <x:c r="W6" s="2"/>
      <x:c r="X6" s="3"/>
      <x:c r="Y6" s="3"/>
      <x:c r="Z6" s="2"/>
      <x:c r="AA6" s="2"/>
      <x:c r="AB6" s="2"/>
      <x:c r="AC6" s="2"/>
      <x:c r="AD6" s="2"/>
      <x:c r="AE6" s="2"/>
      <x:c r="AF6" s="2"/>
      <x:c r="AG6" s="2"/>
      <x:c r="AH6" s="2"/>
      <x:c r="AI6" s="4"/>
      <x:c r="AJ6" s="2"/>
      <x:c r="AK6" s="2" t="s">
        <x:v>106</x:v>
      </x:c>
      <x:c r="AL6" s="2" t="s">
        <x:v>571</x:v>
      </x:c>
      <x:c r="AM6" s="2">
        <x:v>6</x:v>
      </x:c>
      <x:c r="AN6" s="2">
        <x:v>6</x:v>
      </x:c>
    </x:row>
    <x:row r="7" ht="39">
      <x:c r="A7" s="2" t="s">
        <x:v>6</x:v>
      </x:c>
      <x:c r="B7" s="2" t="s">
        <x:v>13</x:v>
      </x:c>
      <x:c r="C7" s="3">
        <x:v>5</x:v>
      </x:c>
      <x:c r="D7" s="2" t="s">
        <x:v>137</x:v>
      </x:c>
      <x:c r="E7" s="2" t="s">
        <x:v>138</x:v>
      </x:c>
      <x:c r="F7" s="2" t="s">
        <x:v>139</x:v>
      </x:c>
      <x:c r="G7" s="2"/>
      <x:c r="H7" s="2" t="s">
        <x:v>96</x:v>
      </x:c>
      <x:c r="I7" s="2" t="s">
        <x:v>140</x:v>
      </x:c>
      <x:c r="J7" s="2" t="s">
        <x:v>98</x:v>
      </x:c>
      <x:c r="K7" s="2"/>
      <x:c r="L7" s="2" t="s">
        <x:v>141</x:v>
      </x:c>
      <x:c r="M7" s="2" t="s">
        <x:v>113</x:v>
      </x:c>
      <x:c r="N7" s="2">
        <x:v>1</x:v>
      </x:c>
      <x:c r="O7" s="2" t="s">
        <x:v>101</x:v>
      </x:c>
      <x:c r="P7" s="2" t="s">
        <x:v>114</x:v>
      </x:c>
      <x:c r="Q7" s="2"/>
      <x:c r="R7" s="3">
        <x:v>2</x:v>
      </x:c>
      <x:c r="S7" s="3">
        <x:v>1</x:v>
      </x:c>
      <x:c r="T7" s="2" t="s">
        <x:v>103</x:v>
      </x:c>
      <x:c r="U7" s="2" t="s">
        <x:v>129</x:v>
      </x:c>
      <x:c r="V7" s="2" t="s">
        <x:v>136</x:v>
      </x:c>
      <x:c r="W7" s="2"/>
      <x:c r="X7" s="3"/>
      <x:c r="Y7" s="3"/>
      <x:c r="Z7" s="2"/>
      <x:c r="AA7" s="2"/>
      <x:c r="AB7" s="2"/>
      <x:c r="AC7" s="2"/>
      <x:c r="AD7" s="2"/>
      <x:c r="AE7" s="2"/>
      <x:c r="AF7" s="2"/>
      <x:c r="AG7" s="2"/>
      <x:c r="AH7" s="2"/>
      <x:c r="AI7" s="4"/>
      <x:c r="AJ7" s="2"/>
      <x:c r="AK7" s="2" t="s">
        <x:v>106</x:v>
      </x:c>
      <x:c r="AL7" s="2" t="s">
        <x:v>571</x:v>
      </x:c>
      <x:c r="AM7" s="2">
        <x:v>7</x:v>
      </x:c>
      <x:c r="AN7" s="2">
        <x:v>7</x:v>
      </x:c>
    </x:row>
    <x:row r="8" ht="39">
      <x:c r="A8" s="2" t="s">
        <x:v>91</x:v>
      </x:c>
      <x:c r="B8" s="2" t="s">
        <x:v>13</x:v>
      </x:c>
      <x:c r="C8" s="3">
        <x:v>6</x:v>
      </x:c>
      <x:c r="D8" s="2" t="s">
        <x:v>142</x:v>
      </x:c>
      <x:c r="E8" s="2" t="s">
        <x:v>143</x:v>
      </x:c>
      <x:c r="F8" s="2" t="s">
        <x:v>132</x:v>
      </x:c>
      <x:c r="G8" s="2" t="s">
        <x:v>572</x:v>
      </x:c>
      <x:c r="H8" s="2" t="s">
        <x:v>96</x:v>
      </x:c>
      <x:c r="I8" s="2" t="s">
        <x:v>145</x:v>
      </x:c>
      <x:c r="J8" s="2" t="s">
        <x:v>98</x:v>
      </x:c>
      <x:c r="K8" s="2"/>
      <x:c r="L8" s="2" t="s">
        <x:v>146</x:v>
      </x:c>
      <x:c r="M8" s="2" t="s">
        <x:v>113</x:v>
      </x:c>
      <x:c r="N8" s="2">
        <x:v>1</x:v>
      </x:c>
      <x:c r="O8" s="2" t="s">
        <x:v>101</x:v>
      </x:c>
      <x:c r="P8" s="2" t="s">
        <x:v>147</x:v>
      </x:c>
      <x:c r="Q8" s="2"/>
      <x:c r="R8" s="3">
        <x:v>2</x:v>
      </x:c>
      <x:c r="S8" s="3">
        <x:v>1</x:v>
      </x:c>
      <x:c r="T8" s="2" t="s">
        <x:v>103</x:v>
      </x:c>
      <x:c r="U8" s="2" t="s">
        <x:v>115</x:v>
      </x:c>
      <x:c r="V8" s="2" t="s">
        <x:v>136</x:v>
      </x:c>
      <x:c r="W8" s="2"/>
      <x:c r="X8" s="3"/>
      <x:c r="Y8" s="3"/>
      <x:c r="Z8" s="2"/>
      <x:c r="AA8" s="2"/>
      <x:c r="AB8" s="2"/>
      <x:c r="AC8" s="2"/>
      <x:c r="AD8" s="2"/>
      <x:c r="AE8" s="2"/>
      <x:c r="AF8" s="2"/>
      <x:c r="AG8" s="2"/>
      <x:c r="AH8" s="2"/>
      <x:c r="AI8" s="4"/>
      <x:c r="AJ8" s="2"/>
      <x:c r="AK8" s="2" t="s">
        <x:v>106</x:v>
      </x:c>
      <x:c r="AL8" s="2" t="s">
        <x:v>571</x:v>
      </x:c>
      <x:c r="AM8" s="2">
        <x:v>8</x:v>
      </x:c>
      <x:c r="AN8" s="2">
        <x:v>8</x:v>
      </x:c>
    </x:row>
    <x:row r="9" ht="65">
      <x:c r="A9" s="2" t="s">
        <x:v>6</x:v>
      </x:c>
      <x:c r="B9" s="2" t="s">
        <x:v>13</x:v>
      </x:c>
      <x:c r="C9" s="3">
        <x:v>7</x:v>
      </x:c>
      <x:c r="D9" s="2" t="s">
        <x:v>148</x:v>
      </x:c>
      <x:c r="E9" s="2" t="s">
        <x:v>149</x:v>
      </x:c>
      <x:c r="F9" s="2" t="s">
        <x:v>150</x:v>
      </x:c>
      <x:c r="G9" s="2"/>
      <x:c r="H9" s="2" t="s">
        <x:v>96</x:v>
      </x:c>
      <x:c r="I9" s="2" t="s">
        <x:v>152</x:v>
      </x:c>
      <x:c r="J9" s="2" t="s">
        <x:v>98</x:v>
      </x:c>
      <x:c r="K9" s="2"/>
      <x:c r="L9" s="2" t="s">
        <x:v>153</x:v>
      </x:c>
      <x:c r="M9" s="2" t="s">
        <x:v>100</x:v>
      </x:c>
      <x:c r="N9" s="2">
        <x:v>1</x:v>
      </x:c>
      <x:c r="O9" s="2" t="s">
        <x:v>101</x:v>
      </x:c>
      <x:c r="P9" s="2" t="s">
        <x:v>102</x:v>
      </x:c>
      <x:c r="Q9" s="2"/>
      <x:c r="R9" s="3">
        <x:v>3</x:v>
      </x:c>
      <x:c r="S9" s="3">
        <x:v>1</x:v>
      </x:c>
      <x:c r="T9" s="2" t="s">
        <x:v>103</x:v>
      </x:c>
      <x:c r="U9" s="2" t="s">
        <x:v>122</x:v>
      </x:c>
      <x:c r="V9" s="2" t="s">
        <x:v>154</x:v>
      </x:c>
      <x:c r="W9" s="2"/>
      <x:c r="X9" s="3"/>
      <x:c r="Y9" s="3"/>
      <x:c r="Z9" s="2"/>
      <x:c r="AA9" s="2"/>
      <x:c r="AB9" s="2"/>
      <x:c r="AC9" s="2"/>
      <x:c r="AD9" s="2"/>
      <x:c r="AE9" s="2"/>
      <x:c r="AF9" s="2"/>
      <x:c r="AG9" s="2"/>
      <x:c r="AH9" s="2"/>
      <x:c r="AI9" s="4"/>
      <x:c r="AJ9" s="2"/>
      <x:c r="AK9" s="2" t="s">
        <x:v>106</x:v>
      </x:c>
      <x:c r="AL9" s="2" t="s">
        <x:v>571</x:v>
      </x:c>
      <x:c r="AM9" s="2">
        <x:v>9</x:v>
      </x:c>
      <x:c r="AN9" s="2">
        <x:v>9</x:v>
      </x:c>
    </x:row>
    <x:row r="10" ht="65">
      <x:c r="A10" s="2" t="s">
        <x:v>91</x:v>
      </x:c>
      <x:c r="B10" s="2" t="s">
        <x:v>13</x:v>
      </x:c>
      <x:c r="C10" s="3">
        <x:v>8</x:v>
      </x:c>
      <x:c r="D10" s="2" t="s">
        <x:v>155</x:v>
      </x:c>
      <x:c r="E10" s="2" t="s">
        <x:v>156</x:v>
      </x:c>
      <x:c r="F10" s="2" t="s">
        <x:v>157</x:v>
      </x:c>
      <x:c r="G10" s="2" t="s">
        <x:v>573</x:v>
      </x:c>
      <x:c r="H10" s="2" t="s">
        <x:v>96</x:v>
      </x:c>
      <x:c r="I10" s="2" t="s">
        <x:v>159</x:v>
      </x:c>
      <x:c r="J10" s="2" t="s">
        <x:v>98</x:v>
      </x:c>
      <x:c r="K10" s="2"/>
      <x:c r="L10" s="2" t="s">
        <x:v>160</x:v>
      </x:c>
      <x:c r="M10" s="2" t="s">
        <x:v>100</x:v>
      </x:c>
      <x:c r="N10" s="2">
        <x:v>1</x:v>
      </x:c>
      <x:c r="O10" s="2" t="s">
        <x:v>101</x:v>
      </x:c>
      <x:c r="P10" s="2" t="s">
        <x:v>102</x:v>
      </x:c>
      <x:c r="Q10" s="2"/>
      <x:c r="R10" s="3">
        <x:v>3</x:v>
      </x:c>
      <x:c r="S10" s="3">
        <x:v>1</x:v>
      </x:c>
      <x:c r="T10" s="2" t="s">
        <x:v>103</x:v>
      </x:c>
      <x:c r="U10" s="2" t="s">
        <x:v>104</x:v>
      </x:c>
      <x:c r="V10" s="2" t="s">
        <x:v>154</x:v>
      </x:c>
      <x:c r="W10" s="2"/>
      <x:c r="X10" s="3"/>
      <x:c r="Y10" s="3"/>
      <x:c r="Z10" s="2"/>
      <x:c r="AA10" s="2"/>
      <x:c r="AB10" s="2"/>
      <x:c r="AC10" s="2"/>
      <x:c r="AD10" s="2"/>
      <x:c r="AE10" s="2"/>
      <x:c r="AF10" s="2"/>
      <x:c r="AG10" s="2"/>
      <x:c r="AH10" s="2"/>
      <x:c r="AI10" s="4"/>
      <x:c r="AJ10" s="2"/>
      <x:c r="AK10" s="2" t="s">
        <x:v>106</x:v>
      </x:c>
      <x:c r="AL10" s="2" t="s">
        <x:v>571</x:v>
      </x:c>
      <x:c r="AM10" s="2">
        <x:v>10</x:v>
      </x:c>
      <x:c r="AN10" s="2">
        <x:v>10</x:v>
      </x:c>
    </x:row>
    <x:row r="11" ht="39">
      <x:c r="A11" s="2" t="s">
        <x:v>6</x:v>
      </x:c>
      <x:c r="B11" s="2" t="s">
        <x:v>13</x:v>
      </x:c>
      <x:c r="C11" s="3">
        <x:v>9</x:v>
      </x:c>
      <x:c r="D11" s="2" t="s">
        <x:v>161</x:v>
      </x:c>
      <x:c r="E11" s="2" t="s">
        <x:v>162</x:v>
      </x:c>
      <x:c r="F11" s="2" t="s">
        <x:v>157</x:v>
      </x:c>
      <x:c r="G11" s="2"/>
      <x:c r="H11" s="2" t="s">
        <x:v>96</x:v>
      </x:c>
      <x:c r="I11" s="2" t="s">
        <x:v>164</x:v>
      </x:c>
      <x:c r="J11" s="2" t="s">
        <x:v>98</x:v>
      </x:c>
      <x:c r="K11" s="2"/>
      <x:c r="L11" s="2" t="s">
        <x:v>165</x:v>
      </x:c>
      <x:c r="M11" s="2" t="s">
        <x:v>113</x:v>
      </x:c>
      <x:c r="N11" s="2">
        <x:v>1</x:v>
      </x:c>
      <x:c r="O11" s="2" t="s">
        <x:v>101</x:v>
      </x:c>
      <x:c r="P11" s="2" t="s">
        <x:v>147</x:v>
      </x:c>
      <x:c r="Q11" s="2"/>
      <x:c r="R11" s="3">
        <x:v>2</x:v>
      </x:c>
      <x:c r="S11" s="3">
        <x:v>1</x:v>
      </x:c>
      <x:c r="T11" s="2" t="s">
        <x:v>103</x:v>
      </x:c>
      <x:c r="U11" s="2" t="s">
        <x:v>129</x:v>
      </x:c>
      <x:c r="V11" s="2" t="s">
        <x:v>154</x:v>
      </x:c>
      <x:c r="W11" s="2"/>
      <x:c r="X11" s="3"/>
      <x:c r="Y11" s="3"/>
      <x:c r="Z11" s="2"/>
      <x:c r="AA11" s="2"/>
      <x:c r="AB11" s="2"/>
      <x:c r="AC11" s="2"/>
      <x:c r="AD11" s="2"/>
      <x:c r="AE11" s="2"/>
      <x:c r="AF11" s="2"/>
      <x:c r="AG11" s="2"/>
      <x:c r="AH11" s="2"/>
      <x:c r="AI11" s="4"/>
      <x:c r="AJ11" s="2"/>
      <x:c r="AK11" s="2" t="s">
        <x:v>106</x:v>
      </x:c>
      <x:c r="AL11" s="2" t="s">
        <x:v>571</x:v>
      </x:c>
      <x:c r="AM11" s="2">
        <x:v>11</x:v>
      </x:c>
      <x:c r="AN11" s="2">
        <x:v>11</x:v>
      </x:c>
    </x:row>
    <x:row r="12" ht="65">
      <x:c r="A12" s="2" t="s">
        <x:v>6</x:v>
      </x:c>
      <x:c r="B12" s="2" t="s">
        <x:v>13</x:v>
      </x:c>
      <x:c r="C12" s="3">
        <x:v>10</x:v>
      </x:c>
      <x:c r="D12" s="2" t="s">
        <x:v>574</x:v>
      </x:c>
      <x:c r="E12" s="2" t="s">
        <x:v>575</x:v>
      </x:c>
      <x:c r="F12" s="2" t="s">
        <x:v>576</x:v>
      </x:c>
      <x:c r="G12" s="2" t="s">
        <x:v>577</x:v>
      </x:c>
      <x:c r="H12" s="2" t="s">
        <x:v>96</x:v>
      </x:c>
      <x:c r="I12" s="2" t="s">
        <x:v>578</x:v>
      </x:c>
      <x:c r="J12" s="2" t="s">
        <x:v>98</x:v>
      </x:c>
      <x:c r="K12" s="2"/>
      <x:c r="L12" s="2" t="s">
        <x:v>579</x:v>
      </x:c>
      <x:c r="M12" s="2" t="s">
        <x:v>100</x:v>
      </x:c>
      <x:c r="N12" s="2">
        <x:v>1</x:v>
      </x:c>
      <x:c r="O12" s="2" t="s">
        <x:v>101</x:v>
      </x:c>
      <x:c r="P12" s="2" t="s">
        <x:v>102</x:v>
      </x:c>
      <x:c r="Q12" s="2"/>
      <x:c r="R12" s="3">
        <x:v>4</x:v>
      </x:c>
      <x:c r="S12" s="3">
        <x:v>1</x:v>
      </x:c>
      <x:c r="T12" s="2" t="s">
        <x:v>103</x:v>
      </x:c>
      <x:c r="U12" s="2" t="s">
        <x:v>122</x:v>
      </x:c>
      <x:c r="V12" s="2" t="s">
        <x:v>105</x:v>
      </x:c>
      <x:c r="W12" s="2"/>
      <x:c r="X12" s="3"/>
      <x:c r="Y12" s="3"/>
      <x:c r="Z12" s="2"/>
      <x:c r="AA12" s="2"/>
      <x:c r="AB12" s="2"/>
      <x:c r="AC12" s="2"/>
      <x:c r="AD12" s="2"/>
      <x:c r="AE12" s="2"/>
      <x:c r="AF12" s="2"/>
      <x:c r="AG12" s="2"/>
      <x:c r="AH12" s="2"/>
      <x:c r="AI12" s="4"/>
      <x:c r="AJ12" s="2"/>
      <x:c r="AK12" s="2" t="s">
        <x:v>106</x:v>
      </x:c>
      <x:c r="AL12" s="2" t="s">
        <x:v>571</x:v>
      </x:c>
      <x:c r="AM12" s="2">
        <x:v>12</x:v>
      </x:c>
      <x:c r="AN12" s="2">
        <x:v>12</x:v>
      </x:c>
      <x:c r="AO12" s="54"/>
      <x:c r="AP12" s="54" t="str">
        <x:v>Success</x:v>
      </x:c>
      <x:c r="AQ12" t="str">
        <x:v>Failure</x:v>
      </x:c>
    </x:row>
    <x:row r="13" ht="65">
      <x:c r="A13" s="2" t="s">
        <x:v>6</x:v>
      </x:c>
      <x:c r="B13" s="2" t="s">
        <x:v>13</x:v>
      </x:c>
      <x:c r="C13" s="3">
        <x:v>11</x:v>
      </x:c>
      <x:c r="D13" s="2" t="s">
        <x:v>580</x:v>
      </x:c>
      <x:c r="E13" s="2" t="s">
        <x:v>581</x:v>
      </x:c>
      <x:c r="F13" s="2" t="s">
        <x:v>94</x:v>
      </x:c>
      <x:c r="G13" s="2"/>
      <x:c r="H13" s="2" t="s">
        <x:v>96</x:v>
      </x:c>
      <x:c r="I13" s="2" t="s">
        <x:v>582</x:v>
      </x:c>
      <x:c r="J13" s="2" t="s">
        <x:v>98</x:v>
      </x:c>
      <x:c r="K13" s="2"/>
      <x:c r="L13" s="2" t="s">
        <x:v>583</x:v>
      </x:c>
      <x:c r="M13" s="2" t="s">
        <x:v>100</x:v>
      </x:c>
      <x:c r="N13" s="2">
        <x:v>1</x:v>
      </x:c>
      <x:c r="O13" s="2" t="s">
        <x:v>101</x:v>
      </x:c>
      <x:c r="P13" s="2" t="s">
        <x:v>102</x:v>
      </x:c>
      <x:c r="Q13" s="2"/>
      <x:c r="R13" s="3">
        <x:v>3</x:v>
      </x:c>
      <x:c r="S13" s="3">
        <x:v>1</x:v>
      </x:c>
      <x:c r="T13" s="2" t="s">
        <x:v>103</x:v>
      </x:c>
      <x:c r="U13" s="2" t="s">
        <x:v>122</x:v>
      </x:c>
      <x:c r="V13" s="2" t="s">
        <x:v>105</x:v>
      </x:c>
      <x:c r="W13" s="2"/>
      <x:c r="X13" s="3"/>
      <x:c r="Y13" s="3"/>
      <x:c r="Z13" s="2"/>
      <x:c r="AA13" s="2"/>
      <x:c r="AB13" s="2"/>
      <x:c r="AC13" s="2"/>
      <x:c r="AD13" s="2"/>
      <x:c r="AE13" s="2"/>
      <x:c r="AF13" s="2"/>
      <x:c r="AG13" s="2"/>
      <x:c r="AH13" s="2"/>
      <x:c r="AI13" s="4"/>
      <x:c r="AJ13" s="2"/>
      <x:c r="AK13" s="2" t="s">
        <x:v>106</x:v>
      </x:c>
      <x:c r="AL13" s="2" t="s">
        <x:v>571</x:v>
      </x:c>
      <x:c r="AM13" s="2">
        <x:v>13</x:v>
      </x:c>
      <x:c r="AN13" s="2">
        <x:v>13</x:v>
      </x:c>
      <x:c r="AO13" s="54" t="str">
        <x:v>Row Labels</x:v>
      </x:c>
      <x:c r="AP13" t="str"/>
      <x:c r="AQ13" t="str"/>
    </x:row>
    <x:row r="14" ht="65">
      <x:c r="A14" s="2" t="s">
        <x:v>6</x:v>
      </x:c>
      <x:c r="B14" s="2" t="s">
        <x:v>13</x:v>
      </x:c>
      <x:c r="C14" s="3">
        <x:v>12</x:v>
      </x:c>
      <x:c r="D14" s="2" t="s">
        <x:v>92</x:v>
      </x:c>
      <x:c r="E14" s="2" t="s">
        <x:v>584</x:v>
      </x:c>
      <x:c r="F14" s="2" t="s">
        <x:v>576</x:v>
      </x:c>
      <x:c r="G14" s="2"/>
      <x:c r="H14" s="2" t="s">
        <x:v>96</x:v>
      </x:c>
      <x:c r="I14" s="2" t="s">
        <x:v>585</x:v>
      </x:c>
      <x:c r="J14" s="2" t="s">
        <x:v>98</x:v>
      </x:c>
      <x:c r="K14" s="2"/>
      <x:c r="L14" s="2" t="s">
        <x:v>586</x:v>
      </x:c>
      <x:c r="M14" s="2" t="s">
        <x:v>100</x:v>
      </x:c>
      <x:c r="N14" s="2">
        <x:v>1</x:v>
      </x:c>
      <x:c r="O14" s="2" t="s">
        <x:v>101</x:v>
      </x:c>
      <x:c r="P14" s="2" t="s">
        <x:v>102</x:v>
      </x:c>
      <x:c r="Q14" s="2"/>
      <x:c r="R14" s="3">
        <x:v>3</x:v>
      </x:c>
      <x:c r="S14" s="3">
        <x:v>1</x:v>
      </x:c>
      <x:c r="T14" s="2" t="s">
        <x:v>103</x:v>
      </x:c>
      <x:c r="U14" s="2" t="s">
        <x:v>104</x:v>
      </x:c>
      <x:c r="V14" s="2" t="s">
        <x:v>105</x:v>
      </x:c>
      <x:c r="W14" s="2"/>
      <x:c r="X14" s="3"/>
      <x:c r="Y14" s="3"/>
      <x:c r="Z14" s="2"/>
      <x:c r="AA14" s="2"/>
      <x:c r="AB14" s="2"/>
      <x:c r="AC14" s="2"/>
      <x:c r="AD14" s="2"/>
      <x:c r="AE14" s="2"/>
      <x:c r="AF14" s="2"/>
      <x:c r="AG14" s="2"/>
      <x:c r="AH14" s="2"/>
      <x:c r="AI14" s="4"/>
      <x:c r="AJ14" s="2"/>
      <x:c r="AK14" s="2" t="s">
        <x:v>106</x:v>
      </x:c>
      <x:c r="AL14" s="2" t="s">
        <x:v>571</x:v>
      </x:c>
      <x:c r="AM14" s="2">
        <x:v>14</x:v>
      </x:c>
      <x:c r="AN14" s="2">
        <x:v>14</x:v>
      </x:c>
      <x:c r="AO14" t="str">
        <x:v>Concept/compositional transfer</x:v>
      </x:c>
      <x:c r="AP14" s="57" t="n">
        <x:v>0.44333333333333336</x:v>
      </x:c>
      <x:c r="AQ14" s="57" t="n">
        <x:v>0.5566666666666666</x:v>
      </x:c>
    </x:row>
    <x:row r="15" ht="52">
      <x:c r="A15" s="2" t="s">
        <x:v>6</x:v>
      </x:c>
      <x:c r="B15" s="2" t="s">
        <x:v>13</x:v>
      </x:c>
      <x:c r="C15" s="3">
        <x:v>13</x:v>
      </x:c>
      <x:c r="D15" s="2" t="s">
        <x:v>587</x:v>
      </x:c>
      <x:c r="E15" s="2" t="s">
        <x:v>588</x:v>
      </x:c>
      <x:c r="F15" s="2" t="s">
        <x:v>589</x:v>
      </x:c>
      <x:c r="G15" s="2"/>
      <x:c r="H15" s="2" t="s">
        <x:v>96</x:v>
      </x:c>
      <x:c r="I15" s="2" t="s">
        <x:v>590</x:v>
      </x:c>
      <x:c r="J15" s="2" t="s">
        <x:v>98</x:v>
      </x:c>
      <x:c r="K15" s="2"/>
      <x:c r="L15" s="2" t="s">
        <x:v>591</x:v>
      </x:c>
      <x:c r="M15" s="2" t="s">
        <x:v>113</x:v>
      </x:c>
      <x:c r="N15" s="2">
        <x:v>1</x:v>
      </x:c>
      <x:c r="O15" s="2" t="s">
        <x:v>101</x:v>
      </x:c>
      <x:c r="P15" s="2" t="s">
        <x:v>114</x:v>
      </x:c>
      <x:c r="Q15" s="2"/>
      <x:c r="R15" s="3">
        <x:v>2</x:v>
      </x:c>
      <x:c r="S15" s="3">
        <x:v>1</x:v>
      </x:c>
      <x:c r="T15" s="2" t="s">
        <x:v>103</x:v>
      </x:c>
      <x:c r="U15" s="2" t="s">
        <x:v>129</x:v>
      </x:c>
      <x:c r="V15" s="2" t="s">
        <x:v>123</x:v>
      </x:c>
      <x:c r="W15" s="2"/>
      <x:c r="X15" s="3"/>
      <x:c r="Y15" s="3"/>
      <x:c r="Z15" s="2"/>
      <x:c r="AA15" s="2"/>
      <x:c r="AB15" s="2"/>
      <x:c r="AC15" s="2"/>
      <x:c r="AD15" s="2"/>
      <x:c r="AE15" s="2"/>
      <x:c r="AF15" s="2"/>
      <x:c r="AG15" s="2"/>
      <x:c r="AH15" s="2"/>
      <x:c r="AI15" s="4"/>
      <x:c r="AJ15" s="2"/>
      <x:c r="AK15" s="2" t="s">
        <x:v>106</x:v>
      </x:c>
      <x:c r="AL15" s="2" t="s">
        <x:v>571</x:v>
      </x:c>
      <x:c r="AM15" s="2">
        <x:v>15</x:v>
      </x:c>
      <x:c r="AN15" s="2">
        <x:v>15</x:v>
      </x:c>
      <x:c r="AO15" t="str">
        <x:v>In-distribution concept baseline</x:v>
      </x:c>
      <x:c r="AP15" s="57" t="n">
        <x:v>0.675</x:v>
      </x:c>
      <x:c r="AQ15" s="57" t="n">
        <x:v>0.325</x:v>
      </x:c>
    </x:row>
    <x:row r="16" ht="52">
      <x:c r="A16" s="2" t="s">
        <x:v>6</x:v>
      </x:c>
      <x:c r="B16" s="2" t="s">
        <x:v>13</x:v>
      </x:c>
      <x:c r="C16" s="3">
        <x:v>14</x:v>
      </x:c>
      <x:c r="D16" s="2" t="s">
        <x:v>592</x:v>
      </x:c>
      <x:c r="E16" s="2" t="s">
        <x:v>593</x:v>
      </x:c>
      <x:c r="F16" s="2" t="s">
        <x:v>589</x:v>
      </x:c>
      <x:c r="G16" s="2"/>
      <x:c r="H16" s="2" t="s">
        <x:v>96</x:v>
      </x:c>
      <x:c r="I16" s="2" t="s">
        <x:v>594</x:v>
      </x:c>
      <x:c r="J16" s="2" t="s">
        <x:v>98</x:v>
      </x:c>
      <x:c r="K16" s="2"/>
      <x:c r="L16" s="2" t="s">
        <x:v>595</x:v>
      </x:c>
      <x:c r="M16" s="2" t="s">
        <x:v>113</x:v>
      </x:c>
      <x:c r="N16" s="2">
        <x:v>1</x:v>
      </x:c>
      <x:c r="O16" s="2" t="s">
        <x:v>101</x:v>
      </x:c>
      <x:c r="P16" s="2" t="s">
        <x:v>114</x:v>
      </x:c>
      <x:c r="Q16" s="2"/>
      <x:c r="R16" s="3">
        <x:v>4</x:v>
      </x:c>
      <x:c r="S16" s="3">
        <x:v>1</x:v>
      </x:c>
      <x:c r="T16" s="2" t="s">
        <x:v>103</x:v>
      </x:c>
      <x:c r="U16" s="2" t="s">
        <x:v>115</x:v>
      </x:c>
      <x:c r="V16" s="2" t="s">
        <x:v>123</x:v>
      </x:c>
      <x:c r="W16" s="2"/>
      <x:c r="X16" s="3"/>
      <x:c r="Y16" s="3"/>
      <x:c r="Z16" s="2"/>
      <x:c r="AA16" s="2"/>
      <x:c r="AB16" s="2"/>
      <x:c r="AC16" s="2"/>
      <x:c r="AD16" s="2"/>
      <x:c r="AE16" s="2"/>
      <x:c r="AF16" s="2"/>
      <x:c r="AG16" s="2"/>
      <x:c r="AH16" s="2"/>
      <x:c r="AI16" s="4"/>
      <x:c r="AJ16" s="2"/>
      <x:c r="AK16" s="2" t="s">
        <x:v>106</x:v>
      </x:c>
      <x:c r="AL16" s="2" t="s">
        <x:v>571</x:v>
      </x:c>
      <x:c r="AM16" s="2">
        <x:v>16</x:v>
      </x:c>
      <x:c r="AN16" s="2">
        <x:v>16</x:v>
      </x:c>
      <x:c r="AO16" t="str">
        <x:v>Matched manipulation control</x:v>
      </x:c>
      <x:c r="AP16" s="57" t="n">
        <x:v>0.8166666666666667</x:v>
      </x:c>
      <x:c r="AQ16" s="57" t="n">
        <x:v>0.18333333333333332</x:v>
      </x:c>
    </x:row>
    <x:row r="17" ht="52">
      <x:c r="A17" s="2" t="s">
        <x:v>6</x:v>
      </x:c>
      <x:c r="B17" s="2" t="s">
        <x:v>13</x:v>
      </x:c>
      <x:c r="C17" s="3">
        <x:v>15</x:v>
      </x:c>
      <x:c r="D17" s="2" t="s">
        <x:v>596</x:v>
      </x:c>
      <x:c r="E17" s="2" t="s">
        <x:v>597</x:v>
      </x:c>
      <x:c r="F17" s="2" t="s">
        <x:v>118</x:v>
      </x:c>
      <x:c r="G17" s="2"/>
      <x:c r="H17" s="2" t="s">
        <x:v>96</x:v>
      </x:c>
      <x:c r="I17" s="2" t="s">
        <x:v>598</x:v>
      </x:c>
      <x:c r="J17" s="2" t="s">
        <x:v>98</x:v>
      </x:c>
      <x:c r="K17" s="2"/>
      <x:c r="L17" s="2" t="s">
        <x:v>599</x:v>
      </x:c>
      <x:c r="M17" s="2" t="s">
        <x:v>113</x:v>
      </x:c>
      <x:c r="N17" s="2">
        <x:v>1</x:v>
      </x:c>
      <x:c r="O17" s="2" t="s">
        <x:v>101</x:v>
      </x:c>
      <x:c r="P17" s="2" t="s">
        <x:v>147</x:v>
      </x:c>
      <x:c r="Q17" s="2"/>
      <x:c r="R17" s="3">
        <x:v>2</x:v>
      </x:c>
      <x:c r="S17" s="3">
        <x:v>1</x:v>
      </x:c>
      <x:c r="T17" s="2" t="s">
        <x:v>103</x:v>
      </x:c>
      <x:c r="U17" s="2" t="s">
        <x:v>115</x:v>
      </x:c>
      <x:c r="V17" s="2" t="s">
        <x:v>123</x:v>
      </x:c>
      <x:c r="W17" s="2"/>
      <x:c r="X17" s="3"/>
      <x:c r="Y17" s="3"/>
      <x:c r="Z17" s="2"/>
      <x:c r="AA17" s="2"/>
      <x:c r="AB17" s="2"/>
      <x:c r="AC17" s="2"/>
      <x:c r="AD17" s="2"/>
      <x:c r="AE17" s="2"/>
      <x:c r="AF17" s="2"/>
      <x:c r="AG17" s="2"/>
      <x:c r="AH17" s="2"/>
      <x:c r="AI17" s="4"/>
      <x:c r="AJ17" s="2"/>
      <x:c r="AK17" s="2" t="s">
        <x:v>106</x:v>
      </x:c>
      <x:c r="AL17" s="2" t="s">
        <x:v>571</x:v>
      </x:c>
      <x:c r="AM17" s="2">
        <x:v>17</x:v>
      </x:c>
      <x:c r="AN17" s="2">
        <x:v>17</x:v>
      </x:c>
    </x:row>
    <x:row r="18" ht="52">
      <x:c r="A18" s="2" t="s">
        <x:v>91</x:v>
      </x:c>
      <x:c r="B18" s="2" t="s">
        <x:v>13</x:v>
      </x:c>
      <x:c r="C18" s="3">
        <x:v>16</x:v>
      </x:c>
      <x:c r="D18" s="2" t="s">
        <x:v>600</x:v>
      </x:c>
      <x:c r="E18" s="2" t="s">
        <x:v>601</x:v>
      </x:c>
      <x:c r="F18" s="2" t="s">
        <x:v>139</x:v>
      </x:c>
      <x:c r="G18" s="2" t="s">
        <x:v>602</x:v>
      </x:c>
      <x:c r="H18" s="2" t="s">
        <x:v>96</x:v>
      </x:c>
      <x:c r="I18" s="2" t="s">
        <x:v>603</x:v>
      </x:c>
      <x:c r="J18" s="2" t="s">
        <x:v>98</x:v>
      </x:c>
      <x:c r="K18" s="2"/>
      <x:c r="L18" s="2" t="s">
        <x:v>604</x:v>
      </x:c>
      <x:c r="M18" s="2" t="s">
        <x:v>113</x:v>
      </x:c>
      <x:c r="N18" s="2">
        <x:v>1</x:v>
      </x:c>
      <x:c r="O18" s="2" t="s">
        <x:v>101</x:v>
      </x:c>
      <x:c r="P18" s="2" t="s">
        <x:v>147</x:v>
      </x:c>
      <x:c r="Q18" s="2"/>
      <x:c r="R18" s="3">
        <x:v>4</x:v>
      </x:c>
      <x:c r="S18" s="3">
        <x:v>1</x:v>
      </x:c>
      <x:c r="T18" s="2" t="s">
        <x:v>103</x:v>
      </x:c>
      <x:c r="U18" s="2" t="s">
        <x:v>129</x:v>
      </x:c>
      <x:c r="V18" s="2" t="s">
        <x:v>136</x:v>
      </x:c>
      <x:c r="W18" s="2"/>
      <x:c r="X18" s="3"/>
      <x:c r="Y18" s="3"/>
      <x:c r="Z18" s="2"/>
      <x:c r="AA18" s="2"/>
      <x:c r="AB18" s="2"/>
      <x:c r="AC18" s="2"/>
      <x:c r="AD18" s="2"/>
      <x:c r="AE18" s="2"/>
      <x:c r="AF18" s="2"/>
      <x:c r="AG18" s="2"/>
      <x:c r="AH18" s="2"/>
      <x:c r="AI18" s="4"/>
      <x:c r="AJ18" s="2"/>
      <x:c r="AK18" s="2" t="s">
        <x:v>106</x:v>
      </x:c>
      <x:c r="AL18" s="2" t="s">
        <x:v>571</x:v>
      </x:c>
      <x:c r="AM18" s="2">
        <x:v>18</x:v>
      </x:c>
      <x:c r="AN18" s="2">
        <x:v>18</x:v>
      </x:c>
    </x:row>
    <x:row r="19" ht="52">
      <x:c r="A19" s="2" t="s">
        <x:v>6</x:v>
      </x:c>
      <x:c r="B19" s="2" t="s">
        <x:v>13</x:v>
      </x:c>
      <x:c r="C19" s="3">
        <x:v>17</x:v>
      </x:c>
      <x:c r="D19" s="2" t="s">
        <x:v>605</x:v>
      </x:c>
      <x:c r="E19" s="2" t="s">
        <x:v>606</x:v>
      </x:c>
      <x:c r="F19" s="2" t="s">
        <x:v>139</x:v>
      </x:c>
      <x:c r="G19" s="2"/>
      <x:c r="H19" s="2" t="s">
        <x:v>96</x:v>
      </x:c>
      <x:c r="I19" s="2" t="s">
        <x:v>607</x:v>
      </x:c>
      <x:c r="J19" s="2" t="s">
        <x:v>98</x:v>
      </x:c>
      <x:c r="K19" s="2"/>
      <x:c r="L19" s="2" t="s">
        <x:v>608</x:v>
      </x:c>
      <x:c r="M19" s="2" t="s">
        <x:v>113</x:v>
      </x:c>
      <x:c r="N19" s="2">
        <x:v>1</x:v>
      </x:c>
      <x:c r="O19" s="2" t="s">
        <x:v>101</x:v>
      </x:c>
      <x:c r="P19" s="2" t="s">
        <x:v>147</x:v>
      </x:c>
      <x:c r="Q19" s="2"/>
      <x:c r="R19" s="3">
        <x:v>3</x:v>
      </x:c>
      <x:c r="S19" s="3">
        <x:v>1</x:v>
      </x:c>
      <x:c r="T19" s="2" t="s">
        <x:v>103</x:v>
      </x:c>
      <x:c r="U19" s="2" t="s">
        <x:v>115</x:v>
      </x:c>
      <x:c r="V19" s="2" t="s">
        <x:v>136</x:v>
      </x:c>
      <x:c r="W19" s="2"/>
      <x:c r="X19" s="3"/>
      <x:c r="Y19" s="3"/>
      <x:c r="Z19" s="2"/>
      <x:c r="AA19" s="2"/>
      <x:c r="AB19" s="2"/>
      <x:c r="AC19" s="2"/>
      <x:c r="AD19" s="2"/>
      <x:c r="AE19" s="2"/>
      <x:c r="AF19" s="2"/>
      <x:c r="AG19" s="2"/>
      <x:c r="AH19" s="2"/>
      <x:c r="AI19" s="4"/>
      <x:c r="AJ19" s="2"/>
      <x:c r="AK19" s="2" t="s">
        <x:v>106</x:v>
      </x:c>
      <x:c r="AL19" s="2" t="s">
        <x:v>571</x:v>
      </x:c>
      <x:c r="AM19" s="2">
        <x:v>19</x:v>
      </x:c>
      <x:c r="AN19" s="2">
        <x:v>19</x:v>
      </x:c>
    </x:row>
    <x:row r="20" ht="65">
      <x:c r="A20" s="2" t="s">
        <x:v>6</x:v>
      </x:c>
      <x:c r="B20" s="2" t="s">
        <x:v>13</x:v>
      </x:c>
      <x:c r="C20" s="3">
        <x:v>18</x:v>
      </x:c>
      <x:c r="D20" s="2" t="s">
        <x:v>609</x:v>
      </x:c>
      <x:c r="E20" s="2" t="s">
        <x:v>610</x:v>
      </x:c>
      <x:c r="F20" s="2" t="s">
        <x:v>150</x:v>
      </x:c>
      <x:c r="G20" s="2"/>
      <x:c r="H20" s="2" t="s">
        <x:v>96</x:v>
      </x:c>
      <x:c r="I20" s="2" t="s">
        <x:v>611</x:v>
      </x:c>
      <x:c r="J20" s="2" t="s">
        <x:v>98</x:v>
      </x:c>
      <x:c r="K20" s="2"/>
      <x:c r="L20" s="2" t="s">
        <x:v>612</x:v>
      </x:c>
      <x:c r="M20" s="2" t="s">
        <x:v>100</x:v>
      </x:c>
      <x:c r="N20" s="2">
        <x:v>1</x:v>
      </x:c>
      <x:c r="O20" s="2" t="s">
        <x:v>101</x:v>
      </x:c>
      <x:c r="P20" s="2" t="s">
        <x:v>102</x:v>
      </x:c>
      <x:c r="Q20" s="2"/>
      <x:c r="R20" s="3">
        <x:v>4</x:v>
      </x:c>
      <x:c r="S20" s="3">
        <x:v>1</x:v>
      </x:c>
      <x:c r="T20" s="2" t="s">
        <x:v>103</x:v>
      </x:c>
      <x:c r="U20" s="2" t="s">
        <x:v>122</x:v>
      </x:c>
      <x:c r="V20" s="2" t="s">
        <x:v>154</x:v>
      </x:c>
      <x:c r="W20" s="2"/>
      <x:c r="X20" s="3"/>
      <x:c r="Y20" s="3"/>
      <x:c r="Z20" s="2"/>
      <x:c r="AA20" s="2"/>
      <x:c r="AB20" s="2"/>
      <x:c r="AC20" s="2"/>
      <x:c r="AD20" s="2"/>
      <x:c r="AE20" s="2"/>
      <x:c r="AF20" s="2"/>
      <x:c r="AG20" s="2"/>
      <x:c r="AH20" s="2"/>
      <x:c r="AI20" s="4"/>
      <x:c r="AJ20" s="2"/>
      <x:c r="AK20" s="2" t="s">
        <x:v>106</x:v>
      </x:c>
      <x:c r="AL20" s="2" t="s">
        <x:v>571</x:v>
      </x:c>
      <x:c r="AM20" s="2">
        <x:v>20</x:v>
      </x:c>
      <x:c r="AN20" s="2">
        <x:v>20</x:v>
      </x:c>
    </x:row>
    <x:row r="21" ht="65">
      <x:c r="A21" s="2" t="s">
        <x:v>6</x:v>
      </x:c>
      <x:c r="B21" s="2" t="s">
        <x:v>13</x:v>
      </x:c>
      <x:c r="C21" s="3">
        <x:v>19</x:v>
      </x:c>
      <x:c r="D21" s="2" t="s">
        <x:v>155</x:v>
      </x:c>
      <x:c r="E21" s="2" t="s">
        <x:v>613</x:v>
      </x:c>
      <x:c r="F21" s="2" t="s">
        <x:v>157</x:v>
      </x:c>
      <x:c r="G21" s="2"/>
      <x:c r="H21" s="2" t="s">
        <x:v>96</x:v>
      </x:c>
      <x:c r="I21" s="2" t="s">
        <x:v>614</x:v>
      </x:c>
      <x:c r="J21" s="2" t="s">
        <x:v>98</x:v>
      </x:c>
      <x:c r="K21" s="2"/>
      <x:c r="L21" s="2" t="s">
        <x:v>615</x:v>
      </x:c>
      <x:c r="M21" s="2" t="s">
        <x:v>100</x:v>
      </x:c>
      <x:c r="N21" s="2">
        <x:v>1</x:v>
      </x:c>
      <x:c r="O21" s="2" t="s">
        <x:v>101</x:v>
      </x:c>
      <x:c r="P21" s="2" t="s">
        <x:v>102</x:v>
      </x:c>
      <x:c r="Q21" s="2"/>
      <x:c r="R21" s="3">
        <x:v>4</x:v>
      </x:c>
      <x:c r="S21" s="3">
        <x:v>1</x:v>
      </x:c>
      <x:c r="T21" s="2" t="s">
        <x:v>103</x:v>
      </x:c>
      <x:c r="U21" s="2" t="s">
        <x:v>104</x:v>
      </x:c>
      <x:c r="V21" s="2" t="s">
        <x:v>154</x:v>
      </x:c>
      <x:c r="W21" s="2"/>
      <x:c r="X21" s="3"/>
      <x:c r="Y21" s="3"/>
      <x:c r="Z21" s="2"/>
      <x:c r="AA21" s="2"/>
      <x:c r="AB21" s="2"/>
      <x:c r="AC21" s="2"/>
      <x:c r="AD21" s="2"/>
      <x:c r="AE21" s="2"/>
      <x:c r="AF21" s="2"/>
      <x:c r="AG21" s="2"/>
      <x:c r="AH21" s="2"/>
      <x:c r="AI21" s="4"/>
      <x:c r="AJ21" s="2"/>
      <x:c r="AK21" s="2" t="s">
        <x:v>106</x:v>
      </x:c>
      <x:c r="AL21" s="2" t="s">
        <x:v>571</x:v>
      </x:c>
      <x:c r="AM21" s="2">
        <x:v>21</x:v>
      </x:c>
      <x:c r="AN21" s="2">
        <x:v>21</x:v>
      </x:c>
    </x:row>
    <x:row r="22" ht="39">
      <x:c r="A22" s="2" t="s">
        <x:v>91</x:v>
      </x:c>
      <x:c r="B22" s="2" t="s">
        <x:v>13</x:v>
      </x:c>
      <x:c r="C22" s="3">
        <x:v>20</x:v>
      </x:c>
      <x:c r="D22" s="2" t="s">
        <x:v>616</x:v>
      </x:c>
      <x:c r="E22" s="2" t="s">
        <x:v>617</x:v>
      </x:c>
      <x:c r="F22" s="2" t="s">
        <x:v>94</x:v>
      </x:c>
      <x:c r="G22" s="2" t="s">
        <x:v>602</x:v>
      </x:c>
      <x:c r="H22" s="2" t="s">
        <x:v>618</x:v>
      </x:c>
      <x:c r="I22" s="2" t="s">
        <x:v>619</x:v>
      </x:c>
      <x:c r="J22" s="2" t="s">
        <x:v>620</x:v>
      </x:c>
      <x:c r="K22" s="2"/>
      <x:c r="L22" s="2" t="s">
        <x:v>621</x:v>
      </x:c>
      <x:c r="M22" s="2" t="s">
        <x:v>622</x:v>
      </x:c>
      <x:c r="N22" s="2">
        <x:v>2</x:v>
      </x:c>
      <x:c r="O22" s="2" t="s">
        <x:v>623</x:v>
      </x:c>
      <x:c r="P22" s="2" t="s">
        <x:v>624</x:v>
      </x:c>
      <x:c r="Q22" s="2"/>
      <x:c r="R22" s="3">
        <x:v>2</x:v>
      </x:c>
      <x:c r="S22" s="3">
        <x:v>1</x:v>
      </x:c>
      <x:c r="T22" s="2" t="s">
        <x:v>103</x:v>
      </x:c>
      <x:c r="U22" s="2" t="s">
        <x:v>129</x:v>
      </x:c>
      <x:c r="V22" s="2" t="s">
        <x:v>105</x:v>
      </x:c>
      <x:c r="W22" s="2"/>
      <x:c r="X22" s="3"/>
      <x:c r="Y22" s="3"/>
      <x:c r="Z22" s="2"/>
      <x:c r="AA22" s="2"/>
      <x:c r="AB22" s="2"/>
      <x:c r="AC22" s="2"/>
      <x:c r="AD22" s="2"/>
      <x:c r="AE22" s="2"/>
      <x:c r="AF22" s="2"/>
      <x:c r="AG22" s="2"/>
      <x:c r="AH22" s="2"/>
      <x:c r="AI22" s="4"/>
      <x:c r="AJ22" s="2"/>
      <x:c r="AK22" s="2" t="s">
        <x:v>106</x:v>
      </x:c>
      <x:c r="AL22" s="2" t="s">
        <x:v>571</x:v>
      </x:c>
      <x:c r="AM22" s="2">
        <x:v>22</x:v>
      </x:c>
      <x:c r="AN22" s="2">
        <x:v>22</x:v>
      </x:c>
    </x:row>
    <x:row r="23" ht="52">
      <x:c r="A23" s="2" t="s">
        <x:v>91</x:v>
      </x:c>
      <x:c r="B23" s="2" t="s">
        <x:v>13</x:v>
      </x:c>
      <x:c r="C23" s="3">
        <x:v>21</x:v>
      </x:c>
      <x:c r="D23" s="2" t="s">
        <x:v>625</x:v>
      </x:c>
      <x:c r="E23" s="2" t="s">
        <x:v>626</x:v>
      </x:c>
      <x:c r="F23" s="2" t="s">
        <x:v>94</x:v>
      </x:c>
      <x:c r="G23" s="2" t="s">
        <x:v>158</x:v>
      </x:c>
      <x:c r="H23" s="2" t="s">
        <x:v>627</x:v>
      </x:c>
      <x:c r="I23" s="2" t="s">
        <x:v>619</x:v>
      </x:c>
      <x:c r="J23" s="2" t="s">
        <x:v>628</x:v>
      </x:c>
      <x:c r="K23" s="2" t="n">
        <x:v>20</x:v>
      </x:c>
      <x:c r="L23" s="2">
        <x:v>35</x:v>
      </x:c>
      <x:c r="M23" s="2" t="s">
        <x:v>629</x:v>
      </x:c>
      <x:c r="N23" s="2">
        <x:v>2</x:v>
      </x:c>
      <x:c r="O23" s="2" t="s">
        <x:v>630</x:v>
      </x:c>
      <x:c r="P23" s="2" t="s">
        <x:v>631</x:v>
      </x:c>
      <x:c r="Q23" s="2"/>
      <x:c r="R23" s="3">
        <x:v>2</x:v>
      </x:c>
      <x:c r="S23" s="3">
        <x:v>1</x:v>
      </x:c>
      <x:c r="T23" s="2" t="s">
        <x:v>103</x:v>
      </x:c>
      <x:c r="U23" s="2" t="s">
        <x:v>632</x:v>
      </x:c>
      <x:c r="V23" s="2" t="s">
        <x:v>105</x:v>
      </x:c>
      <x:c r="W23" s="2"/>
      <x:c r="X23" s="3"/>
      <x:c r="Y23" s="3"/>
      <x:c r="Z23" s="2"/>
      <x:c r="AA23" s="2"/>
      <x:c r="AB23" s="2"/>
      <x:c r="AC23" s="2"/>
      <x:c r="AD23" s="2"/>
      <x:c r="AE23" s="2"/>
      <x:c r="AF23" s="2"/>
      <x:c r="AG23" s="2"/>
      <x:c r="AH23" s="2"/>
      <x:c r="AI23" s="4"/>
      <x:c r="AJ23" s="2"/>
      <x:c r="AK23" s="2" t="s">
        <x:v>106</x:v>
      </x:c>
      <x:c r="AL23" s="2" t="s">
        <x:v>571</x:v>
      </x:c>
      <x:c r="AM23" s="2">
        <x:v>23</x:v>
      </x:c>
      <x:c r="AN23" s="2">
        <x:v>23</x:v>
      </x:c>
    </x:row>
    <x:row r="24" ht="52">
      <x:c r="A24" s="2" t="s">
        <x:v>91</x:v>
      </x:c>
      <x:c r="B24" s="2" t="s">
        <x:v>13</x:v>
      </x:c>
      <x:c r="C24" s="3">
        <x:v>22</x:v>
      </x:c>
      <x:c r="D24" s="2" t="s">
        <x:v>633</x:v>
      </x:c>
      <x:c r="E24" s="2" t="s">
        <x:v>617</x:v>
      </x:c>
      <x:c r="F24" s="2" t="s">
        <x:v>94</x:v>
      </x:c>
      <x:c r="G24" s="2" t="s">
        <x:v>602</x:v>
      </x:c>
      <x:c r="H24" s="2" t="s">
        <x:v>634</x:v>
      </x:c>
      <x:c r="I24" s="2" t="s">
        <x:v>619</x:v>
      </x:c>
      <x:c r="J24" s="2" t="s">
        <x:v>635</x:v>
      </x:c>
      <x:c r="K24" s="2" t="n">
        <x:v>20</x:v>
      </x:c>
      <x:c r="L24" s="2" t="s">
        <x:v>621</x:v>
      </x:c>
      <x:c r="M24" s="2" t="s">
        <x:v>636</x:v>
      </x:c>
      <x:c r="N24" s="2">
        <x:v>2</x:v>
      </x:c>
      <x:c r="O24" s="2" t="s">
        <x:v>637</x:v>
      </x:c>
      <x:c r="P24" s="2" t="s">
        <x:v>638</x:v>
      </x:c>
      <x:c r="Q24" s="2"/>
      <x:c r="R24" s="3">
        <x:v>2</x:v>
      </x:c>
      <x:c r="S24" s="3">
        <x:v>1</x:v>
      </x:c>
      <x:c r="T24" s="2" t="s">
        <x:v>103</x:v>
      </x:c>
      <x:c r="U24" s="2" t="s">
        <x:v>129</x:v>
      </x:c>
      <x:c r="V24" s="2" t="s">
        <x:v>105</x:v>
      </x:c>
      <x:c r="W24" s="2"/>
      <x:c r="X24" s="3"/>
      <x:c r="Y24" s="3"/>
      <x:c r="Z24" s="2"/>
      <x:c r="AA24" s="2"/>
      <x:c r="AB24" s="2"/>
      <x:c r="AC24" s="2"/>
      <x:c r="AD24" s="2"/>
      <x:c r="AE24" s="2"/>
      <x:c r="AF24" s="2"/>
      <x:c r="AG24" s="2"/>
      <x:c r="AH24" s="2"/>
      <x:c r="AI24" s="4"/>
      <x:c r="AJ24" s="2"/>
      <x:c r="AK24" s="2" t="s">
        <x:v>106</x:v>
      </x:c>
      <x:c r="AL24" s="2" t="s">
        <x:v>571</x:v>
      </x:c>
      <x:c r="AM24" s="2">
        <x:v>24</x:v>
      </x:c>
      <x:c r="AN24" s="2">
        <x:v>24</x:v>
      </x:c>
    </x:row>
    <x:row r="25" ht="39">
      <x:c r="A25" s="2" t="s">
        <x:v>6</x:v>
      </x:c>
      <x:c r="B25" s="2" t="s">
        <x:v>13</x:v>
      </x:c>
      <x:c r="C25" s="3">
        <x:v>23</x:v>
      </x:c>
      <x:c r="D25" s="2" t="s">
        <x:v>639</x:v>
      </x:c>
      <x:c r="E25" s="2" t="s">
        <x:v>626</x:v>
      </x:c>
      <x:c r="F25" s="2" t="s">
        <x:v>94</x:v>
      </x:c>
      <x:c r="G25" s="2"/>
      <x:c r="H25" s="2" t="s">
        <x:v>634</x:v>
      </x:c>
      <x:c r="I25" s="2" t="s">
        <x:v>619</x:v>
      </x:c>
      <x:c r="J25" s="2" t="s">
        <x:v>640</x:v>
      </x:c>
      <x:c r="K25" s="2" t="n">
        <x:v>20</x:v>
      </x:c>
      <x:c r="L25" s="2">
        <x:v>35</x:v>
      </x:c>
      <x:c r="M25" s="2" t="s">
        <x:v>641</x:v>
      </x:c>
      <x:c r="N25" s="2">
        <x:v>2</x:v>
      </x:c>
      <x:c r="O25" s="2" t="s">
        <x:v>642</x:v>
      </x:c>
      <x:c r="P25" s="2" t="s">
        <x:v>643</x:v>
      </x:c>
      <x:c r="Q25" s="2"/>
      <x:c r="R25" s="3">
        <x:v>2</x:v>
      </x:c>
      <x:c r="S25" s="3">
        <x:v>1</x:v>
      </x:c>
      <x:c r="T25" s="2" t="s">
        <x:v>103</x:v>
      </x:c>
      <x:c r="U25" s="2" t="s">
        <x:v>632</x:v>
      </x:c>
      <x:c r="V25" s="2" t="s">
        <x:v>105</x:v>
      </x:c>
      <x:c r="W25" s="2"/>
      <x:c r="X25" s="3"/>
      <x:c r="Y25" s="3"/>
      <x:c r="Z25" s="2"/>
      <x:c r="AA25" s="2"/>
      <x:c r="AB25" s="2"/>
      <x:c r="AC25" s="2"/>
      <x:c r="AD25" s="2"/>
      <x:c r="AE25" s="2"/>
      <x:c r="AF25" s="2"/>
      <x:c r="AG25" s="2"/>
      <x:c r="AH25" s="2"/>
      <x:c r="AI25" s="4"/>
      <x:c r="AJ25" s="2"/>
      <x:c r="AK25" s="2" t="s">
        <x:v>106</x:v>
      </x:c>
      <x:c r="AL25" s="2" t="s">
        <x:v>571</x:v>
      </x:c>
      <x:c r="AM25" s="2">
        <x:v>25</x:v>
      </x:c>
      <x:c r="AN25" s="2">
        <x:v>25</x:v>
      </x:c>
    </x:row>
    <x:row r="26" ht="65">
      <x:c r="A26" s="2" t="s">
        <x:v>6</x:v>
      </x:c>
      <x:c r="B26" s="2" t="s">
        <x:v>13</x:v>
      </x:c>
      <x:c r="C26" s="3">
        <x:v>24</x:v>
      </x:c>
      <x:c r="D26" s="2" t="s">
        <x:v>644</x:v>
      </x:c>
      <x:c r="E26" s="2" t="s">
        <x:v>645</x:v>
      </x:c>
      <x:c r="F26" s="2" t="s">
        <x:v>118</x:v>
      </x:c>
      <x:c r="G26" s="2"/>
      <x:c r="H26" s="2" t="s">
        <x:v>618</x:v>
      </x:c>
      <x:c r="I26" s="2" t="s">
        <x:v>646</x:v>
      </x:c>
      <x:c r="J26" s="2" t="s">
        <x:v>620</x:v>
      </x:c>
      <x:c r="K26" s="2"/>
      <x:c r="L26" s="2" t="s">
        <x:v>647</x:v>
      </x:c>
      <x:c r="M26" s="2" t="s">
        <x:v>648</x:v>
      </x:c>
      <x:c r="N26" s="2">
        <x:v>2</x:v>
      </x:c>
      <x:c r="O26" s="2" t="s">
        <x:v>623</x:v>
      </x:c>
      <x:c r="P26" s="2" t="s">
        <x:v>649</x:v>
      </x:c>
      <x:c r="Q26" s="2"/>
      <x:c r="R26" s="3">
        <x:v>3</x:v>
      </x:c>
      <x:c r="S26" s="3">
        <x:v>1</x:v>
      </x:c>
      <x:c r="T26" s="2" t="s">
        <x:v>103</x:v>
      </x:c>
      <x:c r="U26" s="2" t="s">
        <x:v>104</x:v>
      </x:c>
      <x:c r="V26" s="2" t="s">
        <x:v>123</x:v>
      </x:c>
      <x:c r="W26" s="2"/>
      <x:c r="X26" s="3"/>
      <x:c r="Y26" s="3"/>
      <x:c r="Z26" s="2"/>
      <x:c r="AA26" s="2"/>
      <x:c r="AB26" s="2"/>
      <x:c r="AC26" s="2"/>
      <x:c r="AD26" s="2"/>
      <x:c r="AE26" s="2"/>
      <x:c r="AF26" s="2"/>
      <x:c r="AG26" s="2"/>
      <x:c r="AH26" s="2"/>
      <x:c r="AI26" s="4"/>
      <x:c r="AJ26" s="2"/>
      <x:c r="AK26" s="2" t="s">
        <x:v>106</x:v>
      </x:c>
      <x:c r="AL26" s="2" t="s">
        <x:v>571</x:v>
      </x:c>
      <x:c r="AM26" s="2">
        <x:v>26</x:v>
      </x:c>
      <x:c r="AN26" s="2">
        <x:v>26</x:v>
      </x:c>
    </x:row>
    <x:row r="27" ht="78">
      <x:c r="A27" s="2" t="s">
        <x:v>6</x:v>
      </x:c>
      <x:c r="B27" s="2" t="s">
        <x:v>13</x:v>
      </x:c>
      <x:c r="C27" s="3">
        <x:v>25</x:v>
      </x:c>
      <x:c r="D27" s="2" t="s">
        <x:v>650</x:v>
      </x:c>
      <x:c r="E27" s="2" t="s">
        <x:v>651</x:v>
      </x:c>
      <x:c r="F27" s="2" t="s">
        <x:v>118</x:v>
      </x:c>
      <x:c r="G27" s="2"/>
      <x:c r="H27" s="2" t="s">
        <x:v>627</x:v>
      </x:c>
      <x:c r="I27" s="2" t="s">
        <x:v>646</x:v>
      </x:c>
      <x:c r="J27" s="2" t="s">
        <x:v>628</x:v>
      </x:c>
      <x:c r="K27" s="2" t="n">
        <x:v>24</x:v>
      </x:c>
      <x:c r="L27" s="2">
        <x:v>64</x:v>
      </x:c>
      <x:c r="M27" s="2" t="s">
        <x:v>652</x:v>
      </x:c>
      <x:c r="N27" s="2">
        <x:v>2</x:v>
      </x:c>
      <x:c r="O27" s="2" t="s">
        <x:v>653</x:v>
      </x:c>
      <x:c r="P27" s="2" t="s">
        <x:v>654</x:v>
      </x:c>
      <x:c r="Q27" s="2"/>
      <x:c r="R27" s="3">
        <x:v>3</x:v>
      </x:c>
      <x:c r="S27" s="3">
        <x:v>1</x:v>
      </x:c>
      <x:c r="T27" s="2" t="s">
        <x:v>103</x:v>
      </x:c>
      <x:c r="U27" s="2" t="s">
        <x:v>632</x:v>
      </x:c>
      <x:c r="V27" s="2" t="s">
        <x:v>123</x:v>
      </x:c>
      <x:c r="W27" s="2"/>
      <x:c r="X27" s="3"/>
      <x:c r="Y27" s="3"/>
      <x:c r="Z27" s="2"/>
      <x:c r="AA27" s="2"/>
      <x:c r="AB27" s="2"/>
      <x:c r="AC27" s="2"/>
      <x:c r="AD27" s="2"/>
      <x:c r="AE27" s="2"/>
      <x:c r="AF27" s="2"/>
      <x:c r="AG27" s="2"/>
      <x:c r="AH27" s="2"/>
      <x:c r="AI27" s="4"/>
      <x:c r="AJ27" s="2"/>
      <x:c r="AK27" s="2" t="s">
        <x:v>106</x:v>
      </x:c>
      <x:c r="AL27" s="2" t="s">
        <x:v>571</x:v>
      </x:c>
      <x:c r="AM27" s="2">
        <x:v>27</x:v>
      </x:c>
      <x:c r="AN27" s="2">
        <x:v>27</x:v>
      </x:c>
    </x:row>
    <x:row r="28" ht="78">
      <x:c r="A28" s="2" t="s">
        <x:v>6</x:v>
      </x:c>
      <x:c r="B28" s="2" t="s">
        <x:v>13</x:v>
      </x:c>
      <x:c r="C28" s="3">
        <x:v>26</x:v>
      </x:c>
      <x:c r="D28" s="2" t="s">
        <x:v>655</x:v>
      </x:c>
      <x:c r="E28" s="2" t="s">
        <x:v>645</x:v>
      </x:c>
      <x:c r="F28" s="2" t="s">
        <x:v>118</x:v>
      </x:c>
      <x:c r="G28" s="2"/>
      <x:c r="H28" s="2" t="s">
        <x:v>634</x:v>
      </x:c>
      <x:c r="I28" s="2" t="s">
        <x:v>646</x:v>
      </x:c>
      <x:c r="J28" s="2" t="s">
        <x:v>635</x:v>
      </x:c>
      <x:c r="K28" s="2" t="n">
        <x:v>24</x:v>
      </x:c>
      <x:c r="L28" s="2" t="s">
        <x:v>647</x:v>
      </x:c>
      <x:c r="M28" s="2" t="s">
        <x:v>656</x:v>
      </x:c>
      <x:c r="N28" s="2">
        <x:v>2</x:v>
      </x:c>
      <x:c r="O28" s="2" t="s">
        <x:v>637</x:v>
      </x:c>
      <x:c r="P28" s="2" t="s">
        <x:v>657</x:v>
      </x:c>
      <x:c r="Q28" s="2"/>
      <x:c r="R28" s="3">
        <x:v>3</x:v>
      </x:c>
      <x:c r="S28" s="3">
        <x:v>1</x:v>
      </x:c>
      <x:c r="T28" s="2" t="s">
        <x:v>103</x:v>
      </x:c>
      <x:c r="U28" s="2" t="s">
        <x:v>104</x:v>
      </x:c>
      <x:c r="V28" s="2" t="s">
        <x:v>123</x:v>
      </x:c>
      <x:c r="W28" s="2"/>
      <x:c r="X28" s="3"/>
      <x:c r="Y28" s="3"/>
      <x:c r="Z28" s="2"/>
      <x:c r="AA28" s="2"/>
      <x:c r="AB28" s="2"/>
      <x:c r="AC28" s="2"/>
      <x:c r="AD28" s="2"/>
      <x:c r="AE28" s="2"/>
      <x:c r="AF28" s="2"/>
      <x:c r="AG28" s="2"/>
      <x:c r="AH28" s="2"/>
      <x:c r="AI28" s="4"/>
      <x:c r="AJ28" s="2"/>
      <x:c r="AK28" s="2" t="s">
        <x:v>106</x:v>
      </x:c>
      <x:c r="AL28" s="2" t="s">
        <x:v>571</x:v>
      </x:c>
      <x:c r="AM28" s="2">
        <x:v>28</x:v>
      </x:c>
      <x:c r="AN28" s="2">
        <x:v>28</x:v>
      </x:c>
    </x:row>
    <x:row r="29" ht="39">
      <x:c r="A29" s="2" t="s">
        <x:v>6</x:v>
      </x:c>
      <x:c r="B29" s="2" t="s">
        <x:v>13</x:v>
      </x:c>
      <x:c r="C29" s="3">
        <x:v>27</x:v>
      </x:c>
      <x:c r="D29" s="2" t="s">
        <x:v>658</x:v>
      </x:c>
      <x:c r="E29" s="2" t="s">
        <x:v>651</x:v>
      </x:c>
      <x:c r="F29" s="2" t="s">
        <x:v>118</x:v>
      </x:c>
      <x:c r="G29" s="2"/>
      <x:c r="H29" s="2" t="s">
        <x:v>634</x:v>
      </x:c>
      <x:c r="I29" s="2" t="s">
        <x:v>646</x:v>
      </x:c>
      <x:c r="J29" s="2" t="s">
        <x:v>640</x:v>
      </x:c>
      <x:c r="K29" s="2" t="n">
        <x:v>24</x:v>
      </x:c>
      <x:c r="L29" s="2">
        <x:v>64</x:v>
      </x:c>
      <x:c r="M29" s="2" t="s">
        <x:v>659</x:v>
      </x:c>
      <x:c r="N29" s="2">
        <x:v>2</x:v>
      </x:c>
      <x:c r="O29" s="2" t="s">
        <x:v>642</x:v>
      </x:c>
      <x:c r="P29" s="2" t="s">
        <x:v>643</x:v>
      </x:c>
      <x:c r="Q29" s="2"/>
      <x:c r="R29" s="3">
        <x:v>3</x:v>
      </x:c>
      <x:c r="S29" s="3">
        <x:v>1</x:v>
      </x:c>
      <x:c r="T29" s="2" t="s">
        <x:v>103</x:v>
      </x:c>
      <x:c r="U29" s="2" t="s">
        <x:v>632</x:v>
      </x:c>
      <x:c r="V29" s="2" t="s">
        <x:v>123</x:v>
      </x:c>
      <x:c r="W29" s="2"/>
      <x:c r="X29" s="3"/>
      <x:c r="Y29" s="3"/>
      <x:c r="Z29" s="2"/>
      <x:c r="AA29" s="2"/>
      <x:c r="AB29" s="2"/>
      <x:c r="AC29" s="2"/>
      <x:c r="AD29" s="2"/>
      <x:c r="AE29" s="2"/>
      <x:c r="AF29" s="2"/>
      <x:c r="AG29" s="2"/>
      <x:c r="AH29" s="2"/>
      <x:c r="AI29" s="4"/>
      <x:c r="AJ29" s="2"/>
      <x:c r="AK29" s="2" t="s">
        <x:v>106</x:v>
      </x:c>
      <x:c r="AL29" s="2" t="s">
        <x:v>571</x:v>
      </x:c>
      <x:c r="AM29" s="2">
        <x:v>29</x:v>
      </x:c>
      <x:c r="AN29" s="2">
        <x:v>29</x:v>
      </x:c>
    </x:row>
    <x:row r="30" ht="39">
      <x:c r="A30" s="2" t="s">
        <x:v>91</x:v>
      </x:c>
      <x:c r="B30" s="2" t="s">
        <x:v>13</x:v>
      </x:c>
      <x:c r="C30" s="3">
        <x:v>28</x:v>
      </x:c>
      <x:c r="D30" s="2" t="s">
        <x:v>660</x:v>
      </x:c>
      <x:c r="E30" s="2" t="s">
        <x:v>661</x:v>
      </x:c>
      <x:c r="F30" s="2" t="s">
        <x:v>157</x:v>
      </x:c>
      <x:c r="G30" s="2" t="s">
        <x:v>662</x:v>
      </x:c>
      <x:c r="H30" s="2" t="s">
        <x:v>618</x:v>
      </x:c>
      <x:c r="I30" s="2" t="s">
        <x:v>663</x:v>
      </x:c>
      <x:c r="J30" s="2" t="s">
        <x:v>620</x:v>
      </x:c>
      <x:c r="K30" s="2"/>
      <x:c r="L30" s="2" t="s">
        <x:v>664</x:v>
      </x:c>
      <x:c r="M30" s="2" t="s">
        <x:v>622</x:v>
      </x:c>
      <x:c r="N30" s="2">
        <x:v>2</x:v>
      </x:c>
      <x:c r="O30" s="2" t="s">
        <x:v>623</x:v>
      </x:c>
      <x:c r="P30" s="2" t="s">
        <x:v>624</x:v>
      </x:c>
      <x:c r="Q30" s="2"/>
      <x:c r="R30" s="3">
        <x:v>2</x:v>
      </x:c>
      <x:c r="S30" s="3">
        <x:v>1</x:v>
      </x:c>
      <x:c r="T30" s="2" t="s">
        <x:v>103</x:v>
      </x:c>
      <x:c r="U30" s="2" t="s">
        <x:v>115</x:v>
      </x:c>
      <x:c r="V30" s="2" t="s">
        <x:v>154</x:v>
      </x:c>
      <x:c r="W30" s="2"/>
      <x:c r="X30" s="3"/>
      <x:c r="Y30" s="3"/>
      <x:c r="Z30" s="2"/>
      <x:c r="AA30" s="2"/>
      <x:c r="AB30" s="2"/>
      <x:c r="AC30" s="2"/>
      <x:c r="AD30" s="2"/>
      <x:c r="AE30" s="2"/>
      <x:c r="AF30" s="2"/>
      <x:c r="AG30" s="2"/>
      <x:c r="AH30" s="2"/>
      <x:c r="AI30" s="4"/>
      <x:c r="AJ30" s="2"/>
      <x:c r="AK30" s="2" t="s">
        <x:v>106</x:v>
      </x:c>
      <x:c r="AL30" s="2" t="s">
        <x:v>571</x:v>
      </x:c>
      <x:c r="AM30" s="2">
        <x:v>30</x:v>
      </x:c>
      <x:c r="AN30" s="2">
        <x:v>30</x:v>
      </x:c>
    </x:row>
    <x:row r="31" ht="52">
      <x:c r="A31" s="2" t="s">
        <x:v>6</x:v>
      </x:c>
      <x:c r="B31" s="2" t="s">
        <x:v>13</x:v>
      </x:c>
      <x:c r="C31" s="3">
        <x:v>29</x:v>
      </x:c>
      <x:c r="D31" s="2" t="s">
        <x:v>665</x:v>
      </x:c>
      <x:c r="E31" s="2" t="s">
        <x:v>666</x:v>
      </x:c>
      <x:c r="F31" s="2" t="s">
        <x:v>157</x:v>
      </x:c>
      <x:c r="G31" s="2"/>
      <x:c r="H31" s="2" t="s">
        <x:v>627</x:v>
      </x:c>
      <x:c r="I31" s="2" t="s">
        <x:v>663</x:v>
      </x:c>
      <x:c r="J31" s="2" t="s">
        <x:v>628</x:v>
      </x:c>
      <x:c r="K31" s="2" t="n">
        <x:v>28</x:v>
      </x:c>
      <x:c r="L31" s="2">
        <x:v>169</x:v>
      </x:c>
      <x:c r="M31" s="2" t="s">
        <x:v>667</x:v>
      </x:c>
      <x:c r="N31" s="2">
        <x:v>2</x:v>
      </x:c>
      <x:c r="O31" s="2" t="s">
        <x:v>668</x:v>
      </x:c>
      <x:c r="P31" s="2" t="s">
        <x:v>631</x:v>
      </x:c>
      <x:c r="Q31" s="2"/>
      <x:c r="R31" s="3">
        <x:v>2</x:v>
      </x:c>
      <x:c r="S31" s="3">
        <x:v>1</x:v>
      </x:c>
      <x:c r="T31" s="2" t="s">
        <x:v>103</x:v>
      </x:c>
      <x:c r="U31" s="2" t="s">
        <x:v>632</x:v>
      </x:c>
      <x:c r="V31" s="2" t="s">
        <x:v>154</x:v>
      </x:c>
      <x:c r="W31" s="2"/>
      <x:c r="X31" s="3"/>
      <x:c r="Y31" s="3"/>
      <x:c r="Z31" s="2"/>
      <x:c r="AA31" s="2"/>
      <x:c r="AB31" s="2"/>
      <x:c r="AC31" s="2"/>
      <x:c r="AD31" s="2"/>
      <x:c r="AE31" s="2"/>
      <x:c r="AF31" s="2"/>
      <x:c r="AG31" s="2"/>
      <x:c r="AH31" s="2"/>
      <x:c r="AI31" s="4"/>
      <x:c r="AJ31" s="2"/>
      <x:c r="AK31" s="2" t="s">
        <x:v>106</x:v>
      </x:c>
      <x:c r="AL31" s="2" t="s">
        <x:v>571</x:v>
      </x:c>
      <x:c r="AM31" s="2">
        <x:v>31</x:v>
      </x:c>
      <x:c r="AN31" s="2">
        <x:v>31</x:v>
      </x:c>
    </x:row>
    <x:row r="32" ht="52">
      <x:c r="A32" s="2" t="s">
        <x:v>91</x:v>
      </x:c>
      <x:c r="B32" s="2" t="s">
        <x:v>13</x:v>
      </x:c>
      <x:c r="C32" s="3">
        <x:v>30</x:v>
      </x:c>
      <x:c r="D32" s="2" t="s">
        <x:v>669</x:v>
      </x:c>
      <x:c r="E32" s="2" t="s">
        <x:v>661</x:v>
      </x:c>
      <x:c r="F32" s="2" t="s">
        <x:v>157</x:v>
      </x:c>
      <x:c r="G32" s="2" t="s">
        <x:v>662</x:v>
      </x:c>
      <x:c r="H32" s="2" t="s">
        <x:v>634</x:v>
      </x:c>
      <x:c r="I32" s="2" t="s">
        <x:v>663</x:v>
      </x:c>
      <x:c r="J32" s="2" t="s">
        <x:v>635</x:v>
      </x:c>
      <x:c r="K32" s="2" t="n">
        <x:v>28</x:v>
      </x:c>
      <x:c r="L32" s="2" t="s">
        <x:v>664</x:v>
      </x:c>
      <x:c r="M32" s="2" t="s">
        <x:v>636</x:v>
      </x:c>
      <x:c r="N32" s="2">
        <x:v>2</x:v>
      </x:c>
      <x:c r="O32" s="2" t="s">
        <x:v>637</x:v>
      </x:c>
      <x:c r="P32" s="2" t="s">
        <x:v>638</x:v>
      </x:c>
      <x:c r="Q32" s="2"/>
      <x:c r="R32" s="3">
        <x:v>2</x:v>
      </x:c>
      <x:c r="S32" s="3">
        <x:v>1</x:v>
      </x:c>
      <x:c r="T32" s="2" t="s">
        <x:v>103</x:v>
      </x:c>
      <x:c r="U32" s="2" t="s">
        <x:v>115</x:v>
      </x:c>
      <x:c r="V32" s="2" t="s">
        <x:v>154</x:v>
      </x:c>
      <x:c r="W32" s="2"/>
      <x:c r="X32" s="3"/>
      <x:c r="Y32" s="3"/>
      <x:c r="Z32" s="2"/>
      <x:c r="AA32" s="2"/>
      <x:c r="AB32" s="2"/>
      <x:c r="AC32" s="2"/>
      <x:c r="AD32" s="2"/>
      <x:c r="AE32" s="2"/>
      <x:c r="AF32" s="2"/>
      <x:c r="AG32" s="2"/>
      <x:c r="AH32" s="2"/>
      <x:c r="AI32" s="4"/>
      <x:c r="AJ32" s="2"/>
      <x:c r="AK32" s="2" t="s">
        <x:v>106</x:v>
      </x:c>
      <x:c r="AL32" s="2" t="s">
        <x:v>571</x:v>
      </x:c>
      <x:c r="AM32" s="2">
        <x:v>32</x:v>
      </x:c>
      <x:c r="AN32" s="2">
        <x:v>32</x:v>
      </x:c>
    </x:row>
    <x:row r="33" ht="39">
      <x:c r="A33" s="2" t="s">
        <x:v>6</x:v>
      </x:c>
      <x:c r="B33" s="2" t="s">
        <x:v>13</x:v>
      </x:c>
      <x:c r="C33" s="3">
        <x:v>31</x:v>
      </x:c>
      <x:c r="D33" s="2" t="s">
        <x:v>670</x:v>
      </x:c>
      <x:c r="E33" s="2" t="s">
        <x:v>666</x:v>
      </x:c>
      <x:c r="F33" s="2" t="s">
        <x:v>157</x:v>
      </x:c>
      <x:c r="G33" s="2"/>
      <x:c r="H33" s="2" t="s">
        <x:v>634</x:v>
      </x:c>
      <x:c r="I33" s="2" t="s">
        <x:v>663</x:v>
      </x:c>
      <x:c r="J33" s="2" t="s">
        <x:v>640</x:v>
      </x:c>
      <x:c r="K33" s="2" t="n">
        <x:v>28</x:v>
      </x:c>
      <x:c r="L33" s="2">
        <x:v>169</x:v>
      </x:c>
      <x:c r="M33" s="2" t="s">
        <x:v>671</x:v>
      </x:c>
      <x:c r="N33" s="2">
        <x:v>2</x:v>
      </x:c>
      <x:c r="O33" s="2" t="s">
        <x:v>642</x:v>
      </x:c>
      <x:c r="P33" s="2" t="s">
        <x:v>643</x:v>
      </x:c>
      <x:c r="Q33" s="2"/>
      <x:c r="R33" s="3">
        <x:v>2</x:v>
      </x:c>
      <x:c r="S33" s="3">
        <x:v>1</x:v>
      </x:c>
      <x:c r="T33" s="2" t="s">
        <x:v>103</x:v>
      </x:c>
      <x:c r="U33" s="2" t="s">
        <x:v>632</x:v>
      </x:c>
      <x:c r="V33" s="2" t="s">
        <x:v>154</x:v>
      </x:c>
      <x:c r="W33" s="2"/>
      <x:c r="X33" s="3"/>
      <x:c r="Y33" s="3"/>
      <x:c r="Z33" s="2"/>
      <x:c r="AA33" s="2"/>
      <x:c r="AB33" s="2"/>
      <x:c r="AC33" s="2"/>
      <x:c r="AD33" s="2"/>
      <x:c r="AE33" s="2"/>
      <x:c r="AF33" s="2"/>
      <x:c r="AG33" s="2"/>
      <x:c r="AH33" s="2"/>
      <x:c r="AI33" s="4"/>
      <x:c r="AJ33" s="2"/>
      <x:c r="AK33" s="2" t="s">
        <x:v>106</x:v>
      </x:c>
      <x:c r="AL33" s="2" t="s">
        <x:v>571</x:v>
      </x:c>
      <x:c r="AM33" s="2">
        <x:v>33</x:v>
      </x:c>
      <x:c r="AN33" s="2">
        <x:v>33</x:v>
      </x:c>
    </x:row>
    <x:row r="34" ht="39">
      <x:c r="A34" s="2" t="s">
        <x:v>6</x:v>
      </x:c>
      <x:c r="B34" s="2" t="s">
        <x:v>13</x:v>
      </x:c>
      <x:c r="C34" s="3">
        <x:v>32</x:v>
      </x:c>
      <x:c r="D34" s="2" t="s">
        <x:v>616</x:v>
      </x:c>
      <x:c r="E34" s="2" t="s">
        <x:v>672</x:v>
      </x:c>
      <x:c r="F34" s="2" t="s">
        <x:v>94</x:v>
      </x:c>
      <x:c r="G34" s="2"/>
      <x:c r="H34" s="2" t="s">
        <x:v>618</x:v>
      </x:c>
      <x:c r="I34" s="2" t="s">
        <x:v>673</x:v>
      </x:c>
      <x:c r="J34" s="2" t="s">
        <x:v>620</x:v>
      </x:c>
      <x:c r="K34" s="2"/>
      <x:c r="L34" s="2" t="s">
        <x:v>674</x:v>
      </x:c>
      <x:c r="M34" s="2" t="s">
        <x:v>622</x:v>
      </x:c>
      <x:c r="N34" s="2">
        <x:v>2</x:v>
      </x:c>
      <x:c r="O34" s="2" t="s">
        <x:v>623</x:v>
      </x:c>
      <x:c r="P34" s="2" t="s">
        <x:v>675</x:v>
      </x:c>
      <x:c r="Q34" s="2"/>
      <x:c r="R34" s="3">
        <x:v>3</x:v>
      </x:c>
      <x:c r="S34" s="3">
        <x:v>1</x:v>
      </x:c>
      <x:c r="T34" s="2" t="s">
        <x:v>103</x:v>
      </x:c>
      <x:c r="U34" s="2" t="s">
        <x:v>129</x:v>
      </x:c>
      <x:c r="V34" s="2" t="s">
        <x:v>105</x:v>
      </x:c>
      <x:c r="W34" s="2"/>
      <x:c r="X34" s="3"/>
      <x:c r="Y34" s="3"/>
      <x:c r="Z34" s="2"/>
      <x:c r="AA34" s="2"/>
      <x:c r="AB34" s="2"/>
      <x:c r="AC34" s="2"/>
      <x:c r="AD34" s="2"/>
      <x:c r="AE34" s="2"/>
      <x:c r="AF34" s="2"/>
      <x:c r="AG34" s="2"/>
      <x:c r="AH34" s="2"/>
      <x:c r="AI34" s="4"/>
      <x:c r="AJ34" s="2"/>
      <x:c r="AK34" s="2" t="s">
        <x:v>106</x:v>
      </x:c>
      <x:c r="AL34" s="2" t="s">
        <x:v>571</x:v>
      </x:c>
      <x:c r="AM34" s="2">
        <x:v>34</x:v>
      </x:c>
      <x:c r="AN34" s="2">
        <x:v>34</x:v>
      </x:c>
    </x:row>
    <x:row r="35" ht="52">
      <x:c r="A35" s="2" t="s">
        <x:v>6</x:v>
      </x:c>
      <x:c r="B35" s="2" t="s">
        <x:v>13</x:v>
      </x:c>
      <x:c r="C35" s="3">
        <x:v>33</x:v>
      </x:c>
      <x:c r="D35" s="2" t="s">
        <x:v>676</x:v>
      </x:c>
      <x:c r="E35" s="2" t="s">
        <x:v>677</x:v>
      </x:c>
      <x:c r="F35" s="2" t="s">
        <x:v>94</x:v>
      </x:c>
      <x:c r="G35" s="2"/>
      <x:c r="H35" s="2" t="s">
        <x:v>627</x:v>
      </x:c>
      <x:c r="I35" s="2" t="s">
        <x:v>673</x:v>
      </x:c>
      <x:c r="J35" s="2" t="s">
        <x:v>628</x:v>
      </x:c>
      <x:c r="K35" s="2" t="n">
        <x:v>32</x:v>
      </x:c>
      <x:c r="L35" s="2">
        <x:v>30</x:v>
      </x:c>
      <x:c r="M35" s="2" t="s">
        <x:v>678</x:v>
      </x:c>
      <x:c r="N35" s="2">
        <x:v>2</x:v>
      </x:c>
      <x:c r="O35" s="2" t="s">
        <x:v>630</x:v>
      </x:c>
      <x:c r="P35" s="2" t="s">
        <x:v>631</x:v>
      </x:c>
      <x:c r="Q35" s="2"/>
      <x:c r="R35" s="3">
        <x:v>3</x:v>
      </x:c>
      <x:c r="S35" s="3">
        <x:v>1</x:v>
      </x:c>
      <x:c r="T35" s="2" t="s">
        <x:v>103</x:v>
      </x:c>
      <x:c r="U35" s="2" t="s">
        <x:v>632</x:v>
      </x:c>
      <x:c r="V35" s="2" t="s">
        <x:v>105</x:v>
      </x:c>
      <x:c r="W35" s="2"/>
      <x:c r="X35" s="3"/>
      <x:c r="Y35" s="3"/>
      <x:c r="Z35" s="2"/>
      <x:c r="AA35" s="2"/>
      <x:c r="AB35" s="2"/>
      <x:c r="AC35" s="2"/>
      <x:c r="AD35" s="2"/>
      <x:c r="AE35" s="2"/>
      <x:c r="AF35" s="2"/>
      <x:c r="AG35" s="2"/>
      <x:c r="AH35" s="2"/>
      <x:c r="AI35" s="4"/>
      <x:c r="AJ35" s="2"/>
      <x:c r="AK35" s="2" t="s">
        <x:v>106</x:v>
      </x:c>
      <x:c r="AL35" s="2" t="s">
        <x:v>571</x:v>
      </x:c>
      <x:c r="AM35" s="2">
        <x:v>35</x:v>
      </x:c>
      <x:c r="AN35" s="2">
        <x:v>35</x:v>
      </x:c>
    </x:row>
    <x:row r="36" ht="52">
      <x:c r="A36" s="2" t="s">
        <x:v>6</x:v>
      </x:c>
      <x:c r="B36" s="2" t="s">
        <x:v>13</x:v>
      </x:c>
      <x:c r="C36" s="3">
        <x:v>34</x:v>
      </x:c>
      <x:c r="D36" s="2" t="s">
        <x:v>633</x:v>
      </x:c>
      <x:c r="E36" s="2" t="s">
        <x:v>672</x:v>
      </x:c>
      <x:c r="F36" s="2" t="s">
        <x:v>94</x:v>
      </x:c>
      <x:c r="G36" s="2"/>
      <x:c r="H36" s="2" t="s">
        <x:v>634</x:v>
      </x:c>
      <x:c r="I36" s="2" t="s">
        <x:v>673</x:v>
      </x:c>
      <x:c r="J36" s="2" t="s">
        <x:v>635</x:v>
      </x:c>
      <x:c r="K36" s="2" t="n">
        <x:v>32</x:v>
      </x:c>
      <x:c r="L36" s="2" t="s">
        <x:v>674</x:v>
      </x:c>
      <x:c r="M36" s="2" t="s">
        <x:v>636</x:v>
      </x:c>
      <x:c r="N36" s="2">
        <x:v>2</x:v>
      </x:c>
      <x:c r="O36" s="2" t="s">
        <x:v>637</x:v>
      </x:c>
      <x:c r="P36" s="2" t="s">
        <x:v>679</x:v>
      </x:c>
      <x:c r="Q36" s="2"/>
      <x:c r="R36" s="3">
        <x:v>3</x:v>
      </x:c>
      <x:c r="S36" s="3">
        <x:v>1</x:v>
      </x:c>
      <x:c r="T36" s="2" t="s">
        <x:v>103</x:v>
      </x:c>
      <x:c r="U36" s="2" t="s">
        <x:v>129</x:v>
      </x:c>
      <x:c r="V36" s="2" t="s">
        <x:v>105</x:v>
      </x:c>
      <x:c r="W36" s="2"/>
      <x:c r="X36" s="3"/>
      <x:c r="Y36" s="3"/>
      <x:c r="Z36" s="2"/>
      <x:c r="AA36" s="2"/>
      <x:c r="AB36" s="2"/>
      <x:c r="AC36" s="2"/>
      <x:c r="AD36" s="2"/>
      <x:c r="AE36" s="2"/>
      <x:c r="AF36" s="2"/>
      <x:c r="AG36" s="2"/>
      <x:c r="AH36" s="2"/>
      <x:c r="AI36" s="4"/>
      <x:c r="AJ36" s="2"/>
      <x:c r="AK36" s="2" t="s">
        <x:v>106</x:v>
      </x:c>
      <x:c r="AL36" s="2" t="s">
        <x:v>571</x:v>
      </x:c>
      <x:c r="AM36" s="2">
        <x:v>36</x:v>
      </x:c>
      <x:c r="AN36" s="2">
        <x:v>36</x:v>
      </x:c>
    </x:row>
    <x:row r="37" ht="39">
      <x:c r="A37" s="2" t="s">
        <x:v>6</x:v>
      </x:c>
      <x:c r="B37" s="2" t="s">
        <x:v>13</x:v>
      </x:c>
      <x:c r="C37" s="3">
        <x:v>35</x:v>
      </x:c>
      <x:c r="D37" s="2" t="s">
        <x:v>680</x:v>
      </x:c>
      <x:c r="E37" s="2" t="s">
        <x:v>677</x:v>
      </x:c>
      <x:c r="F37" s="2" t="s">
        <x:v>94</x:v>
      </x:c>
      <x:c r="G37" s="2"/>
      <x:c r="H37" s="2" t="s">
        <x:v>634</x:v>
      </x:c>
      <x:c r="I37" s="2" t="s">
        <x:v>673</x:v>
      </x:c>
      <x:c r="J37" s="2" t="s">
        <x:v>640</x:v>
      </x:c>
      <x:c r="K37" s="2" t="n">
        <x:v>32</x:v>
      </x:c>
      <x:c r="L37" s="2">
        <x:v>30</x:v>
      </x:c>
      <x:c r="M37" s="2" t="s">
        <x:v>681</x:v>
      </x:c>
      <x:c r="N37" s="2">
        <x:v>2</x:v>
      </x:c>
      <x:c r="O37" s="2" t="s">
        <x:v>642</x:v>
      </x:c>
      <x:c r="P37" s="2" t="s">
        <x:v>643</x:v>
      </x:c>
      <x:c r="Q37" s="2"/>
      <x:c r="R37" s="3">
        <x:v>3</x:v>
      </x:c>
      <x:c r="S37" s="3">
        <x:v>1</x:v>
      </x:c>
      <x:c r="T37" s="2" t="s">
        <x:v>103</x:v>
      </x:c>
      <x:c r="U37" s="2" t="s">
        <x:v>632</x:v>
      </x:c>
      <x:c r="V37" s="2" t="s">
        <x:v>105</x:v>
      </x:c>
      <x:c r="W37" s="2"/>
      <x:c r="X37" s="3"/>
      <x:c r="Y37" s="3"/>
      <x:c r="Z37" s="2"/>
      <x:c r="AA37" s="2"/>
      <x:c r="AB37" s="2"/>
      <x:c r="AC37" s="2"/>
      <x:c r="AD37" s="2"/>
      <x:c r="AE37" s="2"/>
      <x:c r="AF37" s="2"/>
      <x:c r="AG37" s="2"/>
      <x:c r="AH37" s="2"/>
      <x:c r="AI37" s="4"/>
      <x:c r="AJ37" s="2"/>
      <x:c r="AK37" s="2" t="s">
        <x:v>106</x:v>
      </x:c>
      <x:c r="AL37" s="2" t="s">
        <x:v>571</x:v>
      </x:c>
      <x:c r="AM37" s="2">
        <x:v>37</x:v>
      </x:c>
      <x:c r="AN37" s="2">
        <x:v>37</x:v>
      </x:c>
    </x:row>
    <x:row r="38" ht="65">
      <x:c r="A38" s="2" t="s">
        <x:v>6</x:v>
      </x:c>
      <x:c r="B38" s="2" t="s">
        <x:v>13</x:v>
      </x:c>
      <x:c r="C38" s="3">
        <x:v>36</x:v>
      </x:c>
      <x:c r="D38" s="2" t="s">
        <x:v>682</x:v>
      </x:c>
      <x:c r="E38" s="2" t="s">
        <x:v>683</x:v>
      </x:c>
      <x:c r="F38" s="2" t="s">
        <x:v>139</x:v>
      </x:c>
      <x:c r="G38" s="2"/>
      <x:c r="H38" s="2" t="s">
        <x:v>618</x:v>
      </x:c>
      <x:c r="I38" s="2" t="s">
        <x:v>684</x:v>
      </x:c>
      <x:c r="J38" s="2" t="s">
        <x:v>620</x:v>
      </x:c>
      <x:c r="K38" s="2"/>
      <x:c r="L38" s="2" t="s">
        <x:v>685</x:v>
      </x:c>
      <x:c r="M38" s="2" t="s">
        <x:v>648</x:v>
      </x:c>
      <x:c r="N38" s="2">
        <x:v>2</x:v>
      </x:c>
      <x:c r="O38" s="2" t="s">
        <x:v>623</x:v>
      </x:c>
      <x:c r="P38" s="2" t="s">
        <x:v>649</x:v>
      </x:c>
      <x:c r="Q38" s="2"/>
      <x:c r="R38" s="3">
        <x:v>4</x:v>
      </x:c>
      <x:c r="S38" s="3">
        <x:v>1</x:v>
      </x:c>
      <x:c r="T38" s="2" t="s">
        <x:v>103</x:v>
      </x:c>
      <x:c r="U38" s="2" t="s">
        <x:v>122</x:v>
      </x:c>
      <x:c r="V38" s="2" t="s">
        <x:v>136</x:v>
      </x:c>
      <x:c r="W38" s="2"/>
      <x:c r="X38" s="3"/>
      <x:c r="Y38" s="3"/>
      <x:c r="Z38" s="2"/>
      <x:c r="AA38" s="2"/>
      <x:c r="AB38" s="2"/>
      <x:c r="AC38" s="2"/>
      <x:c r="AD38" s="2"/>
      <x:c r="AE38" s="2"/>
      <x:c r="AF38" s="2"/>
      <x:c r="AG38" s="2"/>
      <x:c r="AH38" s="2"/>
      <x:c r="AI38" s="4"/>
      <x:c r="AJ38" s="2"/>
      <x:c r="AK38" s="2" t="s">
        <x:v>106</x:v>
      </x:c>
      <x:c r="AL38" s="2" t="s">
        <x:v>571</x:v>
      </x:c>
      <x:c r="AM38" s="2">
        <x:v>38</x:v>
      </x:c>
      <x:c r="AN38" s="2">
        <x:v>38</x:v>
      </x:c>
    </x:row>
    <x:row r="39" ht="78">
      <x:c r="A39" s="2" t="s">
        <x:v>6</x:v>
      </x:c>
      <x:c r="B39" s="2" t="s">
        <x:v>13</x:v>
      </x:c>
      <x:c r="C39" s="3">
        <x:v>37</x:v>
      </x:c>
      <x:c r="D39" s="2" t="s">
        <x:v>686</x:v>
      </x:c>
      <x:c r="E39" s="2" t="s">
        <x:v>687</x:v>
      </x:c>
      <x:c r="F39" s="2" t="s">
        <x:v>139</x:v>
      </x:c>
      <x:c r="G39" s="2"/>
      <x:c r="H39" s="2" t="s">
        <x:v>627</x:v>
      </x:c>
      <x:c r="I39" s="2" t="s">
        <x:v>684</x:v>
      </x:c>
      <x:c r="J39" s="2" t="s">
        <x:v>628</x:v>
      </x:c>
      <x:c r="K39" s="2" t="n">
        <x:v>36</x:v>
      </x:c>
      <x:c r="L39" s="2">
        <x:v>100</x:v>
      </x:c>
      <x:c r="M39" s="2" t="s">
        <x:v>688</x:v>
      </x:c>
      <x:c r="N39" s="2">
        <x:v>2</x:v>
      </x:c>
      <x:c r="O39" s="2" t="s">
        <x:v>689</x:v>
      </x:c>
      <x:c r="P39" s="2" t="s">
        <x:v>654</x:v>
      </x:c>
      <x:c r="Q39" s="2"/>
      <x:c r="R39" s="3">
        <x:v>4</x:v>
      </x:c>
      <x:c r="S39" s="3">
        <x:v>1</x:v>
      </x:c>
      <x:c r="T39" s="2" t="s">
        <x:v>103</x:v>
      </x:c>
      <x:c r="U39" s="2" t="s">
        <x:v>632</x:v>
      </x:c>
      <x:c r="V39" s="2" t="s">
        <x:v>136</x:v>
      </x:c>
      <x:c r="W39" s="2"/>
      <x:c r="X39" s="3"/>
      <x:c r="Y39" s="3"/>
      <x:c r="Z39" s="2"/>
      <x:c r="AA39" s="2"/>
      <x:c r="AB39" s="2"/>
      <x:c r="AC39" s="2"/>
      <x:c r="AD39" s="2"/>
      <x:c r="AE39" s="2"/>
      <x:c r="AF39" s="2"/>
      <x:c r="AG39" s="2"/>
      <x:c r="AH39" s="2"/>
      <x:c r="AI39" s="4"/>
      <x:c r="AJ39" s="2"/>
      <x:c r="AK39" s="2" t="s">
        <x:v>106</x:v>
      </x:c>
      <x:c r="AL39" s="2" t="s">
        <x:v>571</x:v>
      </x:c>
      <x:c r="AM39" s="2">
        <x:v>39</x:v>
      </x:c>
      <x:c r="AN39" s="2">
        <x:v>39</x:v>
      </x:c>
    </x:row>
    <x:row r="40" ht="78">
      <x:c r="A40" s="2" t="s">
        <x:v>91</x:v>
      </x:c>
      <x:c r="B40" s="2" t="s">
        <x:v>13</x:v>
      </x:c>
      <x:c r="C40" s="3">
        <x:v>38</x:v>
      </x:c>
      <x:c r="D40" s="2" t="s">
        <x:v>690</x:v>
      </x:c>
      <x:c r="E40" s="2" t="s">
        <x:v>683</x:v>
      </x:c>
      <x:c r="F40" s="2" t="s">
        <x:v>139</x:v>
      </x:c>
      <x:c r="G40" s="2" t="s">
        <x:v>691</x:v>
      </x:c>
      <x:c r="H40" s="2" t="s">
        <x:v>634</x:v>
      </x:c>
      <x:c r="I40" s="2" t="s">
        <x:v>684</x:v>
      </x:c>
      <x:c r="J40" s="2" t="s">
        <x:v>635</x:v>
      </x:c>
      <x:c r="K40" s="2" t="n">
        <x:v>36</x:v>
      </x:c>
      <x:c r="L40" s="2" t="s">
        <x:v>685</x:v>
      </x:c>
      <x:c r="M40" s="2" t="s">
        <x:v>656</x:v>
      </x:c>
      <x:c r="N40" s="2">
        <x:v>2</x:v>
      </x:c>
      <x:c r="O40" s="2" t="s">
        <x:v>637</x:v>
      </x:c>
      <x:c r="P40" s="2" t="s">
        <x:v>657</x:v>
      </x:c>
      <x:c r="Q40" s="2"/>
      <x:c r="R40" s="3">
        <x:v>4</x:v>
      </x:c>
      <x:c r="S40" s="3">
        <x:v>1</x:v>
      </x:c>
      <x:c r="T40" s="2" t="s">
        <x:v>103</x:v>
      </x:c>
      <x:c r="U40" s="2" t="s">
        <x:v>122</x:v>
      </x:c>
      <x:c r="V40" s="2" t="s">
        <x:v>136</x:v>
      </x:c>
      <x:c r="W40" s="2"/>
      <x:c r="X40" s="3"/>
      <x:c r="Y40" s="3"/>
      <x:c r="Z40" s="2"/>
      <x:c r="AA40" s="2"/>
      <x:c r="AB40" s="2"/>
      <x:c r="AC40" s="2"/>
      <x:c r="AD40" s="2"/>
      <x:c r="AE40" s="2"/>
      <x:c r="AF40" s="2"/>
      <x:c r="AG40" s="2"/>
      <x:c r="AH40" s="2"/>
      <x:c r="AI40" s="4"/>
      <x:c r="AJ40" s="2"/>
      <x:c r="AK40" s="2" t="s">
        <x:v>106</x:v>
      </x:c>
      <x:c r="AL40" s="2" t="s">
        <x:v>571</x:v>
      </x:c>
      <x:c r="AM40" s="2">
        <x:v>40</x:v>
      </x:c>
      <x:c r="AN40" s="2">
        <x:v>40</x:v>
      </x:c>
    </x:row>
    <x:row r="41" ht="39">
      <x:c r="A41" s="2" t="s">
        <x:v>6</x:v>
      </x:c>
      <x:c r="B41" s="2" t="s">
        <x:v>13</x:v>
      </x:c>
      <x:c r="C41" s="3">
        <x:v>39</x:v>
      </x:c>
      <x:c r="D41" s="2" t="s">
        <x:v>692</x:v>
      </x:c>
      <x:c r="E41" s="2" t="s">
        <x:v>687</x:v>
      </x:c>
      <x:c r="F41" s="2" t="s">
        <x:v>139</x:v>
      </x:c>
      <x:c r="G41" s="2"/>
      <x:c r="H41" s="2" t="s">
        <x:v>634</x:v>
      </x:c>
      <x:c r="I41" s="2" t="s">
        <x:v>684</x:v>
      </x:c>
      <x:c r="J41" s="2" t="s">
        <x:v>640</x:v>
      </x:c>
      <x:c r="K41" s="2" t="n">
        <x:v>36</x:v>
      </x:c>
      <x:c r="L41" s="2">
        <x:v>100</x:v>
      </x:c>
      <x:c r="M41" s="2" t="s">
        <x:v>693</x:v>
      </x:c>
      <x:c r="N41" s="2">
        <x:v>2</x:v>
      </x:c>
      <x:c r="O41" s="2" t="s">
        <x:v>642</x:v>
      </x:c>
      <x:c r="P41" s="2" t="s">
        <x:v>643</x:v>
      </x:c>
      <x:c r="Q41" s="2"/>
      <x:c r="R41" s="3">
        <x:v>4</x:v>
      </x:c>
      <x:c r="S41" s="3">
        <x:v>1</x:v>
      </x:c>
      <x:c r="T41" s="2" t="s">
        <x:v>103</x:v>
      </x:c>
      <x:c r="U41" s="2" t="s">
        <x:v>632</x:v>
      </x:c>
      <x:c r="V41" s="2" t="s">
        <x:v>136</x:v>
      </x:c>
      <x:c r="W41" s="2"/>
      <x:c r="X41" s="3"/>
      <x:c r="Y41" s="3"/>
      <x:c r="Z41" s="2"/>
      <x:c r="AA41" s="2"/>
      <x:c r="AB41" s="2"/>
      <x:c r="AC41" s="2"/>
      <x:c r="AD41" s="2"/>
      <x:c r="AE41" s="2"/>
      <x:c r="AF41" s="2"/>
      <x:c r="AG41" s="2"/>
      <x:c r="AH41" s="2"/>
      <x:c r="AI41" s="4"/>
      <x:c r="AJ41" s="2"/>
      <x:c r="AK41" s="2" t="s">
        <x:v>106</x:v>
      </x:c>
      <x:c r="AL41" s="2" t="s">
        <x:v>571</x:v>
      </x:c>
      <x:c r="AM41" s="2">
        <x:v>41</x:v>
      </x:c>
      <x:c r="AN41" s="2">
        <x:v>41</x:v>
      </x:c>
    </x:row>
    <x:row r="42" ht="65">
      <x:c r="A42" s="2" t="s">
        <x:v>91</x:v>
      </x:c>
      <x:c r="B42" s="2" t="s">
        <x:v>13</x:v>
      </x:c>
      <x:c r="C42" s="3">
        <x:v>40</x:v>
      </x:c>
      <x:c r="D42" s="2" t="s">
        <x:v>644</x:v>
      </x:c>
      <x:c r="E42" s="2" t="s">
        <x:v>694</x:v>
      </x:c>
      <x:c r="F42" s="2" t="s">
        <x:v>118</x:v>
      </x:c>
      <x:c r="G42" s="2" t="s">
        <x:v>695</x:v>
      </x:c>
      <x:c r="H42" s="2" t="s">
        <x:v>618</x:v>
      </x:c>
      <x:c r="I42" s="2" t="s">
        <x:v>696</x:v>
      </x:c>
      <x:c r="J42" s="2" t="s">
        <x:v>620</x:v>
      </x:c>
      <x:c r="K42" s="2"/>
      <x:c r="L42" s="2" t="s">
        <x:v>697</x:v>
      </x:c>
      <x:c r="M42" s="2" t="s">
        <x:v>648</x:v>
      </x:c>
      <x:c r="N42" s="2">
        <x:v>2</x:v>
      </x:c>
      <x:c r="O42" s="2" t="s">
        <x:v>623</x:v>
      </x:c>
      <x:c r="P42" s="2" t="s">
        <x:v>649</x:v>
      </x:c>
      <x:c r="Q42" s="2"/>
      <x:c r="R42" s="3">
        <x:v>4</x:v>
      </x:c>
      <x:c r="S42" s="3">
        <x:v>1</x:v>
      </x:c>
      <x:c r="T42" s="2" t="s">
        <x:v>103</x:v>
      </x:c>
      <x:c r="U42" s="2" t="s">
        <x:v>104</x:v>
      </x:c>
      <x:c r="V42" s="2" t="s">
        <x:v>123</x:v>
      </x:c>
      <x:c r="W42" s="2"/>
      <x:c r="X42" s="3"/>
      <x:c r="Y42" s="3"/>
      <x:c r="Z42" s="2"/>
      <x:c r="AA42" s="2"/>
      <x:c r="AB42" s="2"/>
      <x:c r="AC42" s="2"/>
      <x:c r="AD42" s="2"/>
      <x:c r="AE42" s="2"/>
      <x:c r="AF42" s="2"/>
      <x:c r="AG42" s="2"/>
      <x:c r="AH42" s="2"/>
      <x:c r="AI42" s="4"/>
      <x:c r="AJ42" s="2"/>
      <x:c r="AK42" s="2" t="s">
        <x:v>106</x:v>
      </x:c>
      <x:c r="AL42" s="2" t="s">
        <x:v>571</x:v>
      </x:c>
      <x:c r="AM42" s="2">
        <x:v>42</x:v>
      </x:c>
      <x:c r="AN42" s="2">
        <x:v>42</x:v>
      </x:c>
    </x:row>
    <x:row r="43" ht="65">
      <x:c r="A43" s="2" t="s">
        <x:v>6</x:v>
      </x:c>
      <x:c r="B43" s="2" t="s">
        <x:v>13</x:v>
      </x:c>
      <x:c r="C43" s="3">
        <x:v>41</x:v>
      </x:c>
      <x:c r="D43" s="2" t="s">
        <x:v>698</x:v>
      </x:c>
      <x:c r="E43" s="2" t="s">
        <x:v>699</x:v>
      </x:c>
      <x:c r="F43" s="2" t="s">
        <x:v>118</x:v>
      </x:c>
      <x:c r="G43" s="2"/>
      <x:c r="H43" s="2" t="s">
        <x:v>627</x:v>
      </x:c>
      <x:c r="I43" s="2" t="s">
        <x:v>696</x:v>
      </x:c>
      <x:c r="J43" s="2" t="s">
        <x:v>628</x:v>
      </x:c>
      <x:c r="K43" s="2" t="n">
        <x:v>40</x:v>
      </x:c>
      <x:c r="L43" s="2">
        <x:v>53</x:v>
      </x:c>
      <x:c r="M43" s="2" t="s">
        <x:v>700</x:v>
      </x:c>
      <x:c r="N43" s="2">
        <x:v>2</x:v>
      </x:c>
      <x:c r="O43" s="2" t="s">
        <x:v>701</x:v>
      </x:c>
      <x:c r="P43" s="2" t="s">
        <x:v>654</x:v>
      </x:c>
      <x:c r="Q43" s="2"/>
      <x:c r="R43" s="3">
        <x:v>4</x:v>
      </x:c>
      <x:c r="S43" s="3">
        <x:v>1</x:v>
      </x:c>
      <x:c r="T43" s="2" t="s">
        <x:v>103</x:v>
      </x:c>
      <x:c r="U43" s="2" t="s">
        <x:v>632</x:v>
      </x:c>
      <x:c r="V43" s="2" t="s">
        <x:v>123</x:v>
      </x:c>
      <x:c r="W43" s="2"/>
      <x:c r="X43" s="3"/>
      <x:c r="Y43" s="3"/>
      <x:c r="Z43" s="2"/>
      <x:c r="AA43" s="2"/>
      <x:c r="AB43" s="2"/>
      <x:c r="AC43" s="2"/>
      <x:c r="AD43" s="2"/>
      <x:c r="AE43" s="2"/>
      <x:c r="AF43" s="2"/>
      <x:c r="AG43" s="2"/>
      <x:c r="AH43" s="2"/>
      <x:c r="AI43" s="4"/>
      <x:c r="AJ43" s="2"/>
      <x:c r="AK43" s="2" t="s">
        <x:v>106</x:v>
      </x:c>
      <x:c r="AL43" s="2" t="s">
        <x:v>571</x:v>
      </x:c>
      <x:c r="AM43" s="2">
        <x:v>43</x:v>
      </x:c>
      <x:c r="AN43" s="2">
        <x:v>43</x:v>
      </x:c>
    </x:row>
    <x:row r="44" ht="78">
      <x:c r="A44" s="2" t="s">
        <x:v>91</x:v>
      </x:c>
      <x:c r="B44" s="2" t="s">
        <x:v>13</x:v>
      </x:c>
      <x:c r="C44" s="3">
        <x:v>42</x:v>
      </x:c>
      <x:c r="D44" s="2" t="s">
        <x:v>655</x:v>
      </x:c>
      <x:c r="E44" s="2" t="s">
        <x:v>694</x:v>
      </x:c>
      <x:c r="F44" s="2" t="s">
        <x:v>118</x:v>
      </x:c>
      <x:c r="G44" s="2" t="s">
        <x:v>695</x:v>
      </x:c>
      <x:c r="H44" s="2" t="s">
        <x:v>634</x:v>
      </x:c>
      <x:c r="I44" s="2" t="s">
        <x:v>696</x:v>
      </x:c>
      <x:c r="J44" s="2" t="s">
        <x:v>635</x:v>
      </x:c>
      <x:c r="K44" s="2" t="n">
        <x:v>40</x:v>
      </x:c>
      <x:c r="L44" s="2" t="s">
        <x:v>697</x:v>
      </x:c>
      <x:c r="M44" s="2" t="s">
        <x:v>656</x:v>
      </x:c>
      <x:c r="N44" s="2">
        <x:v>2</x:v>
      </x:c>
      <x:c r="O44" s="2" t="s">
        <x:v>637</x:v>
      </x:c>
      <x:c r="P44" s="2" t="s">
        <x:v>657</x:v>
      </x:c>
      <x:c r="Q44" s="2"/>
      <x:c r="R44" s="3">
        <x:v>4</x:v>
      </x:c>
      <x:c r="S44" s="3">
        <x:v>1</x:v>
      </x:c>
      <x:c r="T44" s="2" t="s">
        <x:v>103</x:v>
      </x:c>
      <x:c r="U44" s="2" t="s">
        <x:v>104</x:v>
      </x:c>
      <x:c r="V44" s="2" t="s">
        <x:v>123</x:v>
      </x:c>
      <x:c r="W44" s="2"/>
      <x:c r="X44" s="3"/>
      <x:c r="Y44" s="3"/>
      <x:c r="Z44" s="2"/>
      <x:c r="AA44" s="2"/>
      <x:c r="AB44" s="2"/>
      <x:c r="AC44" s="2"/>
      <x:c r="AD44" s="2"/>
      <x:c r="AE44" s="2"/>
      <x:c r="AF44" s="2"/>
      <x:c r="AG44" s="2"/>
      <x:c r="AH44" s="2"/>
      <x:c r="AI44" s="4"/>
      <x:c r="AJ44" s="2"/>
      <x:c r="AK44" s="2" t="s">
        <x:v>106</x:v>
      </x:c>
      <x:c r="AL44" s="2" t="s">
        <x:v>571</x:v>
      </x:c>
      <x:c r="AM44" s="2">
        <x:v>44</x:v>
      </x:c>
      <x:c r="AN44" s="2">
        <x:v>44</x:v>
      </x:c>
    </x:row>
    <x:row r="45" ht="39">
      <x:c r="A45" s="2" t="s">
        <x:v>91</x:v>
      </x:c>
      <x:c r="B45" s="2" t="s">
        <x:v>13</x:v>
      </x:c>
      <x:c r="C45" s="3">
        <x:v>43</x:v>
      </x:c>
      <x:c r="D45" s="2" t="s">
        <x:v>702</x:v>
      </x:c>
      <x:c r="E45" s="2" t="s">
        <x:v>699</x:v>
      </x:c>
      <x:c r="F45" s="2" t="s">
        <x:v>118</x:v>
      </x:c>
      <x:c r="G45" s="2" t="s">
        <x:v>703</x:v>
      </x:c>
      <x:c r="H45" s="2" t="s">
        <x:v>634</x:v>
      </x:c>
      <x:c r="I45" s="2" t="s">
        <x:v>696</x:v>
      </x:c>
      <x:c r="J45" s="2" t="s">
        <x:v>640</x:v>
      </x:c>
      <x:c r="K45" s="2" t="n">
        <x:v>40</x:v>
      </x:c>
      <x:c r="L45" s="2">
        <x:v>53</x:v>
      </x:c>
      <x:c r="M45" s="2" t="s">
        <x:v>704</x:v>
      </x:c>
      <x:c r="N45" s="2">
        <x:v>2</x:v>
      </x:c>
      <x:c r="O45" s="2" t="s">
        <x:v>642</x:v>
      </x:c>
      <x:c r="P45" s="2" t="s">
        <x:v>643</x:v>
      </x:c>
      <x:c r="Q45" s="2"/>
      <x:c r="R45" s="3">
        <x:v>4</x:v>
      </x:c>
      <x:c r="S45" s="3">
        <x:v>1</x:v>
      </x:c>
      <x:c r="T45" s="2" t="s">
        <x:v>103</x:v>
      </x:c>
      <x:c r="U45" s="2" t="s">
        <x:v>632</x:v>
      </x:c>
      <x:c r="V45" s="2" t="s">
        <x:v>123</x:v>
      </x:c>
      <x:c r="W45" s="2"/>
      <x:c r="X45" s="3"/>
      <x:c r="Y45" s="3"/>
      <x:c r="Z45" s="2"/>
      <x:c r="AA45" s="2"/>
      <x:c r="AB45" s="2"/>
      <x:c r="AC45" s="2"/>
      <x:c r="AD45" s="2"/>
      <x:c r="AE45" s="2"/>
      <x:c r="AF45" s="2"/>
      <x:c r="AG45" s="2"/>
      <x:c r="AH45" s="2"/>
      <x:c r="AI45" s="4"/>
      <x:c r="AJ45" s="2"/>
      <x:c r="AK45" s="2" t="s">
        <x:v>106</x:v>
      </x:c>
      <x:c r="AL45" s="2" t="s">
        <x:v>571</x:v>
      </x:c>
      <x:c r="AM45" s="2">
        <x:v>45</x:v>
      </x:c>
      <x:c r="AN45" s="2">
        <x:v>45</x:v>
      </x:c>
    </x:row>
    <x:row r="46" ht="65">
      <x:c r="A46" s="2" t="s">
        <x:v>91</x:v>
      </x:c>
      <x:c r="B46" s="2" t="s">
        <x:v>13</x:v>
      </x:c>
      <x:c r="C46" s="3">
        <x:v>44</x:v>
      </x:c>
      <x:c r="D46" s="2" t="s">
        <x:v>682</x:v>
      </x:c>
      <x:c r="E46" s="2" t="s">
        <x:v>705</x:v>
      </x:c>
      <x:c r="F46" s="2" t="s">
        <x:v>139</x:v>
      </x:c>
      <x:c r="G46" s="2" t="s">
        <x:v>706</x:v>
      </x:c>
      <x:c r="H46" s="2" t="s">
        <x:v>618</x:v>
      </x:c>
      <x:c r="I46" s="2" t="s">
        <x:v>707</x:v>
      </x:c>
      <x:c r="J46" s="2" t="s">
        <x:v>620</x:v>
      </x:c>
      <x:c r="K46" s="2"/>
      <x:c r="L46" s="2" t="s">
        <x:v>708</x:v>
      </x:c>
      <x:c r="M46" s="2" t="s">
        <x:v>648</x:v>
      </x:c>
      <x:c r="N46" s="2">
        <x:v>2</x:v>
      </x:c>
      <x:c r="O46" s="2" t="s">
        <x:v>623</x:v>
      </x:c>
      <x:c r="P46" s="2" t="s">
        <x:v>649</x:v>
      </x:c>
      <x:c r="Q46" s="2"/>
      <x:c r="R46" s="3">
        <x:v>2</x:v>
      </x:c>
      <x:c r="S46" s="3">
        <x:v>1</x:v>
      </x:c>
      <x:c r="T46" s="2" t="s">
        <x:v>103</x:v>
      </x:c>
      <x:c r="U46" s="2" t="s">
        <x:v>122</x:v>
      </x:c>
      <x:c r="V46" s="2" t="s">
        <x:v>136</x:v>
      </x:c>
      <x:c r="W46" s="2"/>
      <x:c r="X46" s="3"/>
      <x:c r="Y46" s="3"/>
      <x:c r="Z46" s="2"/>
      <x:c r="AA46" s="2"/>
      <x:c r="AB46" s="2"/>
      <x:c r="AC46" s="2"/>
      <x:c r="AD46" s="2"/>
      <x:c r="AE46" s="2"/>
      <x:c r="AF46" s="2"/>
      <x:c r="AG46" s="2"/>
      <x:c r="AH46" s="2"/>
      <x:c r="AI46" s="4"/>
      <x:c r="AJ46" s="2"/>
      <x:c r="AK46" s="2" t="s">
        <x:v>106</x:v>
      </x:c>
      <x:c r="AL46" s="2" t="s">
        <x:v>571</x:v>
      </x:c>
      <x:c r="AM46" s="2">
        <x:v>46</x:v>
      </x:c>
      <x:c r="AN46" s="2">
        <x:v>46</x:v>
      </x:c>
    </x:row>
    <x:row r="47" ht="65">
      <x:c r="A47" s="2" t="s">
        <x:v>6</x:v>
      </x:c>
      <x:c r="B47" s="2" t="s">
        <x:v>13</x:v>
      </x:c>
      <x:c r="C47" s="3">
        <x:v>45</x:v>
      </x:c>
      <x:c r="D47" s="2" t="s">
        <x:v>709</x:v>
      </x:c>
      <x:c r="E47" s="2" t="s">
        <x:v>710</x:v>
      </x:c>
      <x:c r="F47" s="2" t="s">
        <x:v>139</x:v>
      </x:c>
      <x:c r="G47" s="2"/>
      <x:c r="H47" s="2" t="s">
        <x:v>627</x:v>
      </x:c>
      <x:c r="I47" s="2" t="s">
        <x:v>707</x:v>
      </x:c>
      <x:c r="J47" s="2" t="s">
        <x:v>628</x:v>
      </x:c>
      <x:c r="K47" s="2" t="n">
        <x:v>44</x:v>
      </x:c>
      <x:c r="L47" s="2">
        <x:v>107</x:v>
      </x:c>
      <x:c r="M47" s="2" t="s">
        <x:v>711</x:v>
      </x:c>
      <x:c r="N47" s="2">
        <x:v>2</x:v>
      </x:c>
      <x:c r="O47" s="2" t="s">
        <x:v>712</x:v>
      </x:c>
      <x:c r="P47" s="2" t="s">
        <x:v>654</x:v>
      </x:c>
      <x:c r="Q47" s="2"/>
      <x:c r="R47" s="3">
        <x:v>2</x:v>
      </x:c>
      <x:c r="S47" s="3">
        <x:v>1</x:v>
      </x:c>
      <x:c r="T47" s="2" t="s">
        <x:v>103</x:v>
      </x:c>
      <x:c r="U47" s="2" t="s">
        <x:v>632</x:v>
      </x:c>
      <x:c r="V47" s="2" t="s">
        <x:v>136</x:v>
      </x:c>
      <x:c r="W47" s="2"/>
      <x:c r="X47" s="3"/>
      <x:c r="Y47" s="3"/>
      <x:c r="Z47" s="2"/>
      <x:c r="AA47" s="2"/>
      <x:c r="AB47" s="2"/>
      <x:c r="AC47" s="2"/>
      <x:c r="AD47" s="2"/>
      <x:c r="AE47" s="2"/>
      <x:c r="AF47" s="2"/>
      <x:c r="AG47" s="2"/>
      <x:c r="AH47" s="2"/>
      <x:c r="AI47" s="4"/>
      <x:c r="AJ47" s="2"/>
      <x:c r="AK47" s="2" t="s">
        <x:v>106</x:v>
      </x:c>
      <x:c r="AL47" s="2" t="s">
        <x:v>571</x:v>
      </x:c>
      <x:c r="AM47" s="2">
        <x:v>47</x:v>
      </x:c>
      <x:c r="AN47" s="2">
        <x:v>47</x:v>
      </x:c>
    </x:row>
    <x:row r="48" ht="78">
      <x:c r="A48" s="2" t="s">
        <x:v>91</x:v>
      </x:c>
      <x:c r="B48" s="2" t="s">
        <x:v>13</x:v>
      </x:c>
      <x:c r="C48" s="3">
        <x:v>46</x:v>
      </x:c>
      <x:c r="D48" s="2" t="s">
        <x:v>690</x:v>
      </x:c>
      <x:c r="E48" s="2" t="s">
        <x:v>705</x:v>
      </x:c>
      <x:c r="F48" s="2" t="s">
        <x:v>139</x:v>
      </x:c>
      <x:c r="G48" s="2" t="s">
        <x:v>706</x:v>
      </x:c>
      <x:c r="H48" s="2" t="s">
        <x:v>634</x:v>
      </x:c>
      <x:c r="I48" s="2" t="s">
        <x:v>707</x:v>
      </x:c>
      <x:c r="J48" s="2" t="s">
        <x:v>635</x:v>
      </x:c>
      <x:c r="K48" s="2" t="n">
        <x:v>44</x:v>
      </x:c>
      <x:c r="L48" s="2" t="s">
        <x:v>708</x:v>
      </x:c>
      <x:c r="M48" s="2" t="s">
        <x:v>656</x:v>
      </x:c>
      <x:c r="N48" s="2">
        <x:v>2</x:v>
      </x:c>
      <x:c r="O48" s="2" t="s">
        <x:v>637</x:v>
      </x:c>
      <x:c r="P48" s="2" t="s">
        <x:v>657</x:v>
      </x:c>
      <x:c r="Q48" s="2"/>
      <x:c r="R48" s="3">
        <x:v>2</x:v>
      </x:c>
      <x:c r="S48" s="3">
        <x:v>1</x:v>
      </x:c>
      <x:c r="T48" s="2" t="s">
        <x:v>103</x:v>
      </x:c>
      <x:c r="U48" s="2" t="s">
        <x:v>122</x:v>
      </x:c>
      <x:c r="V48" s="2" t="s">
        <x:v>136</x:v>
      </x:c>
      <x:c r="W48" s="2"/>
      <x:c r="X48" s="3"/>
      <x:c r="Y48" s="3"/>
      <x:c r="Z48" s="2"/>
      <x:c r="AA48" s="2"/>
      <x:c r="AB48" s="2"/>
      <x:c r="AC48" s="2"/>
      <x:c r="AD48" s="2"/>
      <x:c r="AE48" s="2"/>
      <x:c r="AF48" s="2"/>
      <x:c r="AG48" s="2"/>
      <x:c r="AH48" s="2"/>
      <x:c r="AI48" s="4"/>
      <x:c r="AJ48" s="2"/>
      <x:c r="AK48" s="2" t="s">
        <x:v>106</x:v>
      </x:c>
      <x:c r="AL48" s="2" t="s">
        <x:v>571</x:v>
      </x:c>
      <x:c r="AM48" s="2">
        <x:v>48</x:v>
      </x:c>
      <x:c r="AN48" s="2">
        <x:v>48</x:v>
      </x:c>
    </x:row>
    <x:row r="49" ht="39">
      <x:c r="A49" s="2" t="s">
        <x:v>6</x:v>
      </x:c>
      <x:c r="B49" s="2" t="s">
        <x:v>13</x:v>
      </x:c>
      <x:c r="C49" s="3">
        <x:v>47</x:v>
      </x:c>
      <x:c r="D49" s="2" t="s">
        <x:v>713</x:v>
      </x:c>
      <x:c r="E49" s="2" t="s">
        <x:v>710</x:v>
      </x:c>
      <x:c r="F49" s="2" t="s">
        <x:v>139</x:v>
      </x:c>
      <x:c r="G49" s="2"/>
      <x:c r="H49" s="2" t="s">
        <x:v>634</x:v>
      </x:c>
      <x:c r="I49" s="2" t="s">
        <x:v>707</x:v>
      </x:c>
      <x:c r="J49" s="2" t="s">
        <x:v>640</x:v>
      </x:c>
      <x:c r="K49" s="2" t="n">
        <x:v>44</x:v>
      </x:c>
      <x:c r="L49" s="2">
        <x:v>107</x:v>
      </x:c>
      <x:c r="M49" s="2" t="s">
        <x:v>714</x:v>
      </x:c>
      <x:c r="N49" s="2">
        <x:v>2</x:v>
      </x:c>
      <x:c r="O49" s="2" t="s">
        <x:v>642</x:v>
      </x:c>
      <x:c r="P49" s="2" t="s">
        <x:v>643</x:v>
      </x:c>
      <x:c r="Q49" s="2"/>
      <x:c r="R49" s="3">
        <x:v>2</x:v>
      </x:c>
      <x:c r="S49" s="3">
        <x:v>1</x:v>
      </x:c>
      <x:c r="T49" s="2" t="s">
        <x:v>103</x:v>
      </x:c>
      <x:c r="U49" s="2" t="s">
        <x:v>632</x:v>
      </x:c>
      <x:c r="V49" s="2" t="s">
        <x:v>136</x:v>
      </x:c>
      <x:c r="W49" s="2"/>
      <x:c r="X49" s="3"/>
      <x:c r="Y49" s="3"/>
      <x:c r="Z49" s="2"/>
      <x:c r="AA49" s="2"/>
      <x:c r="AB49" s="2"/>
      <x:c r="AC49" s="2"/>
      <x:c r="AD49" s="2"/>
      <x:c r="AE49" s="2"/>
      <x:c r="AF49" s="2"/>
      <x:c r="AG49" s="2"/>
      <x:c r="AH49" s="2"/>
      <x:c r="AI49" s="4"/>
      <x:c r="AJ49" s="2"/>
      <x:c r="AK49" s="2" t="s">
        <x:v>106</x:v>
      </x:c>
      <x:c r="AL49" s="2" t="s">
        <x:v>571</x:v>
      </x:c>
      <x:c r="AM49" s="2">
        <x:v>49</x:v>
      </x:c>
      <x:c r="AN49" s="2">
        <x:v>49</x:v>
      </x:c>
    </x:row>
    <x:row r="50" ht="39">
      <x:c r="A50" s="2" t="s">
        <x:v>91</x:v>
      </x:c>
      <x:c r="B50" s="2" t="s">
        <x:v>13</x:v>
      </x:c>
      <x:c r="C50" s="3">
        <x:v>48</x:v>
      </x:c>
      <x:c r="D50" s="2" t="s">
        <x:v>660</x:v>
      </x:c>
      <x:c r="E50" s="2" t="s">
        <x:v>715</x:v>
      </x:c>
      <x:c r="F50" s="2" t="s">
        <x:v>157</x:v>
      </x:c>
      <x:c r="G50" s="2" t="s">
        <x:v>662</x:v>
      </x:c>
      <x:c r="H50" s="2" t="s">
        <x:v>618</x:v>
      </x:c>
      <x:c r="I50" s="2" t="s">
        <x:v>716</x:v>
      </x:c>
      <x:c r="J50" s="2" t="s">
        <x:v>620</x:v>
      </x:c>
      <x:c r="K50" s="2"/>
      <x:c r="L50" s="2" t="s">
        <x:v>717</x:v>
      </x:c>
      <x:c r="M50" s="2" t="s">
        <x:v>622</x:v>
      </x:c>
      <x:c r="N50" s="2">
        <x:v>2</x:v>
      </x:c>
      <x:c r="O50" s="2" t="s">
        <x:v>623</x:v>
      </x:c>
      <x:c r="P50" s="2" t="s">
        <x:v>675</x:v>
      </x:c>
      <x:c r="Q50" s="2"/>
      <x:c r="R50" s="3">
        <x:v>3</x:v>
      </x:c>
      <x:c r="S50" s="3">
        <x:v>1</x:v>
      </x:c>
      <x:c r="T50" s="2" t="s">
        <x:v>103</x:v>
      </x:c>
      <x:c r="U50" s="2" t="s">
        <x:v>115</x:v>
      </x:c>
      <x:c r="V50" s="2" t="s">
        <x:v>154</x:v>
      </x:c>
      <x:c r="W50" s="2"/>
      <x:c r="X50" s="3"/>
      <x:c r="Y50" s="3"/>
      <x:c r="Z50" s="2"/>
      <x:c r="AA50" s="2"/>
      <x:c r="AB50" s="2"/>
      <x:c r="AC50" s="2"/>
      <x:c r="AD50" s="2"/>
      <x:c r="AE50" s="2"/>
      <x:c r="AF50" s="2"/>
      <x:c r="AG50" s="2"/>
      <x:c r="AH50" s="2"/>
      <x:c r="AI50" s="4"/>
      <x:c r="AJ50" s="2"/>
      <x:c r="AK50" s="2" t="s">
        <x:v>106</x:v>
      </x:c>
      <x:c r="AL50" s="2" t="s">
        <x:v>571</x:v>
      </x:c>
      <x:c r="AM50" s="2">
        <x:v>50</x:v>
      </x:c>
      <x:c r="AN50" s="2">
        <x:v>50</x:v>
      </x:c>
    </x:row>
    <x:row r="51" ht="52">
      <x:c r="A51" s="2" t="s">
        <x:v>6</x:v>
      </x:c>
      <x:c r="B51" s="2" t="s">
        <x:v>13</x:v>
      </x:c>
      <x:c r="C51" s="3">
        <x:v>49</x:v>
      </x:c>
      <x:c r="D51" s="2" t="s">
        <x:v>718</x:v>
      </x:c>
      <x:c r="E51" s="2" t="s">
        <x:v>719</x:v>
      </x:c>
      <x:c r="F51" s="2" t="s">
        <x:v>157</x:v>
      </x:c>
      <x:c r="G51" s="2"/>
      <x:c r="H51" s="2" t="s">
        <x:v>627</x:v>
      </x:c>
      <x:c r="I51" s="2" t="s">
        <x:v>716</x:v>
      </x:c>
      <x:c r="J51" s="2" t="s">
        <x:v>628</x:v>
      </x:c>
      <x:c r="K51" s="2" t="n">
        <x:v>48</x:v>
      </x:c>
      <x:c r="L51" s="2">
        <x:v>153</x:v>
      </x:c>
      <x:c r="M51" s="2" t="s">
        <x:v>720</x:v>
      </x:c>
      <x:c r="N51" s="2">
        <x:v>2</x:v>
      </x:c>
      <x:c r="O51" s="2" t="s">
        <x:v>721</x:v>
      </x:c>
      <x:c r="P51" s="2" t="s">
        <x:v>631</x:v>
      </x:c>
      <x:c r="Q51" s="2"/>
      <x:c r="R51" s="3">
        <x:v>3</x:v>
      </x:c>
      <x:c r="S51" s="3">
        <x:v>1</x:v>
      </x:c>
      <x:c r="T51" s="2" t="s">
        <x:v>103</x:v>
      </x:c>
      <x:c r="U51" s="2" t="s">
        <x:v>632</x:v>
      </x:c>
      <x:c r="V51" s="2" t="s">
        <x:v>154</x:v>
      </x:c>
      <x:c r="W51" s="2"/>
      <x:c r="X51" s="3"/>
      <x:c r="Y51" s="3"/>
      <x:c r="Z51" s="2"/>
      <x:c r="AA51" s="2"/>
      <x:c r="AB51" s="2"/>
      <x:c r="AC51" s="2"/>
      <x:c r="AD51" s="2"/>
      <x:c r="AE51" s="2"/>
      <x:c r="AF51" s="2"/>
      <x:c r="AG51" s="2"/>
      <x:c r="AH51" s="2"/>
      <x:c r="AI51" s="4"/>
      <x:c r="AJ51" s="2"/>
      <x:c r="AK51" s="2" t="s">
        <x:v>106</x:v>
      </x:c>
      <x:c r="AL51" s="2" t="s">
        <x:v>571</x:v>
      </x:c>
      <x:c r="AM51" s="2">
        <x:v>51</x:v>
      </x:c>
      <x:c r="AN51" s="2">
        <x:v>51</x:v>
      </x:c>
    </x:row>
    <x:row r="52" ht="52">
      <x:c r="A52" s="2" t="s">
        <x:v>6</x:v>
      </x:c>
      <x:c r="B52" s="2" t="s">
        <x:v>13</x:v>
      </x:c>
      <x:c r="C52" s="3">
        <x:v>50</x:v>
      </x:c>
      <x:c r="D52" s="2" t="s">
        <x:v>669</x:v>
      </x:c>
      <x:c r="E52" s="2" t="s">
        <x:v>715</x:v>
      </x:c>
      <x:c r="F52" s="2" t="s">
        <x:v>157</x:v>
      </x:c>
      <x:c r="G52" s="2"/>
      <x:c r="H52" s="2" t="s">
        <x:v>634</x:v>
      </x:c>
      <x:c r="I52" s="2" t="s">
        <x:v>716</x:v>
      </x:c>
      <x:c r="J52" s="2" t="s">
        <x:v>635</x:v>
      </x:c>
      <x:c r="K52" s="2" t="n">
        <x:v>48</x:v>
      </x:c>
      <x:c r="L52" s="2" t="s">
        <x:v>717</x:v>
      </x:c>
      <x:c r="M52" s="2" t="s">
        <x:v>636</x:v>
      </x:c>
      <x:c r="N52" s="2">
        <x:v>2</x:v>
      </x:c>
      <x:c r="O52" s="2" t="s">
        <x:v>637</x:v>
      </x:c>
      <x:c r="P52" s="2" t="s">
        <x:v>679</x:v>
      </x:c>
      <x:c r="Q52" s="2"/>
      <x:c r="R52" s="3">
        <x:v>3</x:v>
      </x:c>
      <x:c r="S52" s="3">
        <x:v>1</x:v>
      </x:c>
      <x:c r="T52" s="2" t="s">
        <x:v>103</x:v>
      </x:c>
      <x:c r="U52" s="2" t="s">
        <x:v>115</x:v>
      </x:c>
      <x:c r="V52" s="2" t="s">
        <x:v>154</x:v>
      </x:c>
      <x:c r="W52" s="2"/>
      <x:c r="X52" s="3"/>
      <x:c r="Y52" s="3"/>
      <x:c r="Z52" s="2"/>
      <x:c r="AA52" s="2"/>
      <x:c r="AB52" s="2"/>
      <x:c r="AC52" s="2"/>
      <x:c r="AD52" s="2"/>
      <x:c r="AE52" s="2"/>
      <x:c r="AF52" s="2"/>
      <x:c r="AG52" s="2"/>
      <x:c r="AH52" s="2"/>
      <x:c r="AI52" s="4"/>
      <x:c r="AJ52" s="2"/>
      <x:c r="AK52" s="2" t="s">
        <x:v>106</x:v>
      </x:c>
      <x:c r="AL52" s="2" t="s">
        <x:v>571</x:v>
      </x:c>
      <x:c r="AM52" s="2">
        <x:v>52</x:v>
      </x:c>
      <x:c r="AN52" s="2">
        <x:v>52</x:v>
      </x:c>
    </x:row>
    <x:row r="53" ht="39">
      <x:c r="A53" s="2" t="s">
        <x:v>6</x:v>
      </x:c>
      <x:c r="B53" s="2" t="s">
        <x:v>13</x:v>
      </x:c>
      <x:c r="C53" s="3">
        <x:v>51</x:v>
      </x:c>
      <x:c r="D53" s="2" t="s">
        <x:v>722</x:v>
      </x:c>
      <x:c r="E53" s="2" t="s">
        <x:v>719</x:v>
      </x:c>
      <x:c r="F53" s="2" t="s">
        <x:v>157</x:v>
      </x:c>
      <x:c r="G53" s="2"/>
      <x:c r="H53" s="2" t="s">
        <x:v>634</x:v>
      </x:c>
      <x:c r="I53" s="2" t="s">
        <x:v>716</x:v>
      </x:c>
      <x:c r="J53" s="2" t="s">
        <x:v>640</x:v>
      </x:c>
      <x:c r="K53" s="2" t="n">
        <x:v>48</x:v>
      </x:c>
      <x:c r="L53" s="2">
        <x:v>153</x:v>
      </x:c>
      <x:c r="M53" s="2" t="s">
        <x:v>723</x:v>
      </x:c>
      <x:c r="N53" s="2">
        <x:v>2</x:v>
      </x:c>
      <x:c r="O53" s="2" t="s">
        <x:v>642</x:v>
      </x:c>
      <x:c r="P53" s="2" t="s">
        <x:v>643</x:v>
      </x:c>
      <x:c r="Q53" s="2"/>
      <x:c r="R53" s="3">
        <x:v>3</x:v>
      </x:c>
      <x:c r="S53" s="3">
        <x:v>1</x:v>
      </x:c>
      <x:c r="T53" s="2" t="s">
        <x:v>103</x:v>
      </x:c>
      <x:c r="U53" s="2" t="s">
        <x:v>632</x:v>
      </x:c>
      <x:c r="V53" s="2" t="s">
        <x:v>154</x:v>
      </x:c>
      <x:c r="W53" s="2"/>
      <x:c r="X53" s="3"/>
      <x:c r="Y53" s="3"/>
      <x:c r="Z53" s="2"/>
      <x:c r="AA53" s="2"/>
      <x:c r="AB53" s="2"/>
      <x:c r="AC53" s="2"/>
      <x:c r="AD53" s="2"/>
      <x:c r="AE53" s="2"/>
      <x:c r="AF53" s="2"/>
      <x:c r="AG53" s="2"/>
      <x:c r="AH53" s="2"/>
      <x:c r="AI53" s="4"/>
      <x:c r="AJ53" s="2"/>
      <x:c r="AK53" s="2" t="s">
        <x:v>106</x:v>
      </x:c>
      <x:c r="AL53" s="2" t="s">
        <x:v>571</x:v>
      </x:c>
      <x:c r="AM53" s="2">
        <x:v>53</x:v>
      </x:c>
      <x:c r="AN53" s="2">
        <x:v>53</x:v>
      </x:c>
    </x:row>
    <x:row r="54" ht="39">
      <x:c r="A54" s="2" t="s">
        <x:v>91</x:v>
      </x:c>
      <x:c r="B54" s="2" t="s">
        <x:v>13</x:v>
      </x:c>
      <x:c r="C54" s="3">
        <x:v>52</x:v>
      </x:c>
      <x:c r="D54" s="2" t="s">
        <x:v>616</x:v>
      </x:c>
      <x:c r="E54" s="2" t="s">
        <x:v>724</x:v>
      </x:c>
      <x:c r="F54" s="2" t="s">
        <x:v>94</x:v>
      </x:c>
      <x:c r="G54" s="2" t="s">
        <x:v>602</x:v>
      </x:c>
      <x:c r="H54" s="2" t="s">
        <x:v>618</x:v>
      </x:c>
      <x:c r="I54" s="2" t="s">
        <x:v>725</x:v>
      </x:c>
      <x:c r="J54" s="2" t="s">
        <x:v>620</x:v>
      </x:c>
      <x:c r="K54" s="2"/>
      <x:c r="L54" s="2" t="s">
        <x:v>726</x:v>
      </x:c>
      <x:c r="M54" s="2" t="s">
        <x:v>622</x:v>
      </x:c>
      <x:c r="N54" s="2">
        <x:v>2</x:v>
      </x:c>
      <x:c r="O54" s="2" t="s">
        <x:v>623</x:v>
      </x:c>
      <x:c r="P54" s="2" t="s">
        <x:v>624</x:v>
      </x:c>
      <x:c r="Q54" s="2"/>
      <x:c r="R54" s="3">
        <x:v>4</x:v>
      </x:c>
      <x:c r="S54" s="3">
        <x:v>1</x:v>
      </x:c>
      <x:c r="T54" s="2" t="s">
        <x:v>103</x:v>
      </x:c>
      <x:c r="U54" s="2" t="s">
        <x:v>129</x:v>
      </x:c>
      <x:c r="V54" s="2" t="s">
        <x:v>105</x:v>
      </x:c>
      <x:c r="W54" s="2"/>
      <x:c r="X54" s="3"/>
      <x:c r="Y54" s="3"/>
      <x:c r="Z54" s="2"/>
      <x:c r="AA54" s="2"/>
      <x:c r="AB54" s="2"/>
      <x:c r="AC54" s="2"/>
      <x:c r="AD54" s="2"/>
      <x:c r="AE54" s="2"/>
      <x:c r="AF54" s="2"/>
      <x:c r="AG54" s="2"/>
      <x:c r="AH54" s="2"/>
      <x:c r="AI54" s="4"/>
      <x:c r="AJ54" s="2"/>
      <x:c r="AK54" s="2" t="s">
        <x:v>106</x:v>
      </x:c>
      <x:c r="AL54" s="2" t="s">
        <x:v>571</x:v>
      </x:c>
      <x:c r="AM54" s="2">
        <x:v>54</x:v>
      </x:c>
      <x:c r="AN54" s="2">
        <x:v>54</x:v>
      </x:c>
    </x:row>
    <x:row r="55" ht="52">
      <x:c r="A55" s="2" t="s">
        <x:v>6</x:v>
      </x:c>
      <x:c r="B55" s="2" t="s">
        <x:v>13</x:v>
      </x:c>
      <x:c r="C55" s="3">
        <x:v>53</x:v>
      </x:c>
      <x:c r="D55" s="2" t="s">
        <x:v>676</x:v>
      </x:c>
      <x:c r="E55" s="2" t="s">
        <x:v>727</x:v>
      </x:c>
      <x:c r="F55" s="2" t="s">
        <x:v>94</x:v>
      </x:c>
      <x:c r="G55" s="2" t="s">
        <x:v>728</x:v>
      </x:c>
      <x:c r="H55" s="2" t="s">
        <x:v>627</x:v>
      </x:c>
      <x:c r="I55" s="2" t="s">
        <x:v>725</x:v>
      </x:c>
      <x:c r="J55" s="2" t="s">
        <x:v>628</x:v>
      </x:c>
      <x:c r="K55" s="2" t="n">
        <x:v>52</x:v>
      </x:c>
      <x:c r="L55" s="2">
        <x:v>39</x:v>
      </x:c>
      <x:c r="M55" s="2" t="s">
        <x:v>729</x:v>
      </x:c>
      <x:c r="N55" s="2">
        <x:v>2</x:v>
      </x:c>
      <x:c r="O55" s="2" t="s">
        <x:v>730</x:v>
      </x:c>
      <x:c r="P55" s="2" t="s">
        <x:v>631</x:v>
      </x:c>
      <x:c r="Q55" s="2"/>
      <x:c r="R55" s="3">
        <x:v>4</x:v>
      </x:c>
      <x:c r="S55" s="3">
        <x:v>1</x:v>
      </x:c>
      <x:c r="T55" s="2" t="s">
        <x:v>103</x:v>
      </x:c>
      <x:c r="U55" s="2" t="s">
        <x:v>632</x:v>
      </x:c>
      <x:c r="V55" s="2" t="s">
        <x:v>105</x:v>
      </x:c>
      <x:c r="W55" s="2"/>
      <x:c r="X55" s="3"/>
      <x:c r="Y55" s="3"/>
      <x:c r="Z55" s="2"/>
      <x:c r="AA55" s="2"/>
      <x:c r="AB55" s="2"/>
      <x:c r="AC55" s="2"/>
      <x:c r="AD55" s="2"/>
      <x:c r="AE55" s="2"/>
      <x:c r="AF55" s="2"/>
      <x:c r="AG55" s="2"/>
      <x:c r="AH55" s="2"/>
      <x:c r="AI55" s="4"/>
      <x:c r="AJ55" s="2"/>
      <x:c r="AK55" s="2" t="s">
        <x:v>106</x:v>
      </x:c>
      <x:c r="AL55" s="2" t="s">
        <x:v>571</x:v>
      </x:c>
      <x:c r="AM55" s="2">
        <x:v>55</x:v>
      </x:c>
      <x:c r="AN55" s="2">
        <x:v>55</x:v>
      </x:c>
    </x:row>
    <x:row r="56" ht="52">
      <x:c r="A56" s="2" t="s">
        <x:v>91</x:v>
      </x:c>
      <x:c r="B56" s="2" t="s">
        <x:v>13</x:v>
      </x:c>
      <x:c r="C56" s="3">
        <x:v>54</x:v>
      </x:c>
      <x:c r="D56" s="2" t="s">
        <x:v>633</x:v>
      </x:c>
      <x:c r="E56" s="2" t="s">
        <x:v>724</x:v>
      </x:c>
      <x:c r="F56" s="2" t="s">
        <x:v>94</x:v>
      </x:c>
      <x:c r="G56" s="2" t="s">
        <x:v>602</x:v>
      </x:c>
      <x:c r="H56" s="2" t="s">
        <x:v>634</x:v>
      </x:c>
      <x:c r="I56" s="2" t="s">
        <x:v>725</x:v>
      </x:c>
      <x:c r="J56" s="2" t="s">
        <x:v>635</x:v>
      </x:c>
      <x:c r="K56" s="2" t="n">
        <x:v>52</x:v>
      </x:c>
      <x:c r="L56" s="2" t="s">
        <x:v>726</x:v>
      </x:c>
      <x:c r="M56" s="2" t="s">
        <x:v>636</x:v>
      </x:c>
      <x:c r="N56" s="2">
        <x:v>2</x:v>
      </x:c>
      <x:c r="O56" s="2" t="s">
        <x:v>637</x:v>
      </x:c>
      <x:c r="P56" s="2" t="s">
        <x:v>638</x:v>
      </x:c>
      <x:c r="Q56" s="2"/>
      <x:c r="R56" s="3">
        <x:v>4</x:v>
      </x:c>
      <x:c r="S56" s="3">
        <x:v>1</x:v>
      </x:c>
      <x:c r="T56" s="2" t="s">
        <x:v>103</x:v>
      </x:c>
      <x:c r="U56" s="2" t="s">
        <x:v>129</x:v>
      </x:c>
      <x:c r="V56" s="2" t="s">
        <x:v>105</x:v>
      </x:c>
      <x:c r="W56" s="2"/>
      <x:c r="X56" s="3"/>
      <x:c r="Y56" s="3"/>
      <x:c r="Z56" s="2"/>
      <x:c r="AA56" s="2"/>
      <x:c r="AB56" s="2"/>
      <x:c r="AC56" s="2"/>
      <x:c r="AD56" s="2"/>
      <x:c r="AE56" s="2"/>
      <x:c r="AF56" s="2"/>
      <x:c r="AG56" s="2"/>
      <x:c r="AH56" s="2"/>
      <x:c r="AI56" s="4"/>
      <x:c r="AJ56" s="2"/>
      <x:c r="AK56" s="2" t="s">
        <x:v>106</x:v>
      </x:c>
      <x:c r="AL56" s="2" t="s">
        <x:v>571</x:v>
      </x:c>
      <x:c r="AM56" s="2">
        <x:v>56</x:v>
      </x:c>
      <x:c r="AN56" s="2">
        <x:v>56</x:v>
      </x:c>
    </x:row>
    <x:row r="57" ht="39">
      <x:c r="A57" s="2" t="s">
        <x:v>6</x:v>
      </x:c>
      <x:c r="B57" s="2" t="s">
        <x:v>13</x:v>
      </x:c>
      <x:c r="C57" s="3">
        <x:v>55</x:v>
      </x:c>
      <x:c r="D57" s="2" t="s">
        <x:v>731</x:v>
      </x:c>
      <x:c r="E57" s="2" t="s">
        <x:v>727</x:v>
      </x:c>
      <x:c r="F57" s="2" t="s">
        <x:v>94</x:v>
      </x:c>
      <x:c r="G57" s="2"/>
      <x:c r="H57" s="2" t="s">
        <x:v>634</x:v>
      </x:c>
      <x:c r="I57" s="2" t="s">
        <x:v>725</x:v>
      </x:c>
      <x:c r="J57" s="2" t="s">
        <x:v>640</x:v>
      </x:c>
      <x:c r="K57" s="2" t="n">
        <x:v>52</x:v>
      </x:c>
      <x:c r="L57" s="2">
        <x:v>39</x:v>
      </x:c>
      <x:c r="M57" s="2" t="s">
        <x:v>732</x:v>
      </x:c>
      <x:c r="N57" s="2">
        <x:v>2</x:v>
      </x:c>
      <x:c r="O57" s="2" t="s">
        <x:v>642</x:v>
      </x:c>
      <x:c r="P57" s="2" t="s">
        <x:v>643</x:v>
      </x:c>
      <x:c r="Q57" s="2"/>
      <x:c r="R57" s="3">
        <x:v>4</x:v>
      </x:c>
      <x:c r="S57" s="3">
        <x:v>1</x:v>
      </x:c>
      <x:c r="T57" s="2" t="s">
        <x:v>103</x:v>
      </x:c>
      <x:c r="U57" s="2" t="s">
        <x:v>632</x:v>
      </x:c>
      <x:c r="V57" s="2" t="s">
        <x:v>105</x:v>
      </x:c>
      <x:c r="W57" s="2"/>
      <x:c r="X57" s="3"/>
      <x:c r="Y57" s="3"/>
      <x:c r="Z57" s="2"/>
      <x:c r="AA57" s="2"/>
      <x:c r="AB57" s="2"/>
      <x:c r="AC57" s="2"/>
      <x:c r="AD57" s="2"/>
      <x:c r="AE57" s="2"/>
      <x:c r="AF57" s="2"/>
      <x:c r="AG57" s="2"/>
      <x:c r="AH57" s="2"/>
      <x:c r="AI57" s="4"/>
      <x:c r="AJ57" s="2"/>
      <x:c r="AK57" s="2" t="s">
        <x:v>106</x:v>
      </x:c>
      <x:c r="AL57" s="2" t="s">
        <x:v>571</x:v>
      </x:c>
      <x:c r="AM57" s="2">
        <x:v>57</x:v>
      </x:c>
      <x:c r="AN57" s="2">
        <x:v>57</x:v>
      </x:c>
    </x:row>
    <x:row r="58" ht="65">
      <x:c r="A58" s="2" t="s">
        <x:v>6</x:v>
      </x:c>
      <x:c r="B58" s="2" t="s">
        <x:v>13</x:v>
      </x:c>
      <x:c r="C58" s="3">
        <x:v>56</x:v>
      </x:c>
      <x:c r="D58" s="2" t="s">
        <x:v>644</x:v>
      </x:c>
      <x:c r="E58" s="2" t="s">
        <x:v>733</x:v>
      </x:c>
      <x:c r="F58" s="2" t="s">
        <x:v>118</x:v>
      </x:c>
      <x:c r="G58" s="2"/>
      <x:c r="H58" s="2" t="s">
        <x:v>618</x:v>
      </x:c>
      <x:c r="I58" s="2" t="s">
        <x:v>734</x:v>
      </x:c>
      <x:c r="J58" s="2" t="s">
        <x:v>620</x:v>
      </x:c>
      <x:c r="K58" s="2"/>
      <x:c r="L58" s="2" t="s">
        <x:v>735</x:v>
      </x:c>
      <x:c r="M58" s="2" t="s">
        <x:v>648</x:v>
      </x:c>
      <x:c r="N58" s="2">
        <x:v>2</x:v>
      </x:c>
      <x:c r="O58" s="2" t="s">
        <x:v>623</x:v>
      </x:c>
      <x:c r="P58" s="2" t="s">
        <x:v>649</x:v>
      </x:c>
      <x:c r="Q58" s="2"/>
      <x:c r="R58" s="3">
        <x:v>2</x:v>
      </x:c>
      <x:c r="S58" s="3">
        <x:v>1</x:v>
      </x:c>
      <x:c r="T58" s="2" t="s">
        <x:v>103</x:v>
      </x:c>
      <x:c r="U58" s="2" t="s">
        <x:v>104</x:v>
      </x:c>
      <x:c r="V58" s="2" t="s">
        <x:v>123</x:v>
      </x:c>
      <x:c r="W58" s="2"/>
      <x:c r="X58" s="3"/>
      <x:c r="Y58" s="3"/>
      <x:c r="Z58" s="2"/>
      <x:c r="AA58" s="2"/>
      <x:c r="AB58" s="2"/>
      <x:c r="AC58" s="2"/>
      <x:c r="AD58" s="2"/>
      <x:c r="AE58" s="2"/>
      <x:c r="AF58" s="2"/>
      <x:c r="AG58" s="2"/>
      <x:c r="AH58" s="2"/>
      <x:c r="AI58" s="4"/>
      <x:c r="AJ58" s="2"/>
      <x:c r="AK58" s="2" t="s">
        <x:v>106</x:v>
      </x:c>
      <x:c r="AL58" s="2" t="s">
        <x:v>571</x:v>
      </x:c>
      <x:c r="AM58" s="2">
        <x:v>58</x:v>
      </x:c>
      <x:c r="AN58" s="2">
        <x:v>58</x:v>
      </x:c>
    </x:row>
    <x:row r="59" ht="65">
      <x:c r="A59" s="2" t="s">
        <x:v>6</x:v>
      </x:c>
      <x:c r="B59" s="2" t="s">
        <x:v>13</x:v>
      </x:c>
      <x:c r="C59" s="3">
        <x:v>57</x:v>
      </x:c>
      <x:c r="D59" s="2" t="s">
        <x:v>698</x:v>
      </x:c>
      <x:c r="E59" s="2" t="s">
        <x:v>736</x:v>
      </x:c>
      <x:c r="F59" s="2" t="s">
        <x:v>118</x:v>
      </x:c>
      <x:c r="G59" s="2"/>
      <x:c r="H59" s="2" t="s">
        <x:v>627</x:v>
      </x:c>
      <x:c r="I59" s="2" t="s">
        <x:v>734</x:v>
      </x:c>
      <x:c r="J59" s="2" t="s">
        <x:v>628</x:v>
      </x:c>
      <x:c r="K59" s="2" t="n">
        <x:v>56</x:v>
      </x:c>
      <x:c r="L59" s="2">
        <x:v>71</x:v>
      </x:c>
      <x:c r="M59" s="2" t="s">
        <x:v>737</x:v>
      </x:c>
      <x:c r="N59" s="2">
        <x:v>2</x:v>
      </x:c>
      <x:c r="O59" s="2" t="s">
        <x:v>738</x:v>
      </x:c>
      <x:c r="P59" s="2" t="s">
        <x:v>654</x:v>
      </x:c>
      <x:c r="Q59" s="2"/>
      <x:c r="R59" s="3">
        <x:v>2</x:v>
      </x:c>
      <x:c r="S59" s="3">
        <x:v>1</x:v>
      </x:c>
      <x:c r="T59" s="2" t="s">
        <x:v>103</x:v>
      </x:c>
      <x:c r="U59" s="2" t="s">
        <x:v>632</x:v>
      </x:c>
      <x:c r="V59" s="2" t="s">
        <x:v>123</x:v>
      </x:c>
      <x:c r="W59" s="2"/>
      <x:c r="X59" s="3"/>
      <x:c r="Y59" s="3"/>
      <x:c r="Z59" s="2"/>
      <x:c r="AA59" s="2"/>
      <x:c r="AB59" s="2"/>
      <x:c r="AC59" s="2"/>
      <x:c r="AD59" s="2"/>
      <x:c r="AE59" s="2"/>
      <x:c r="AF59" s="2"/>
      <x:c r="AG59" s="2"/>
      <x:c r="AH59" s="2"/>
      <x:c r="AI59" s="4"/>
      <x:c r="AJ59" s="2"/>
      <x:c r="AK59" s="2" t="s">
        <x:v>106</x:v>
      </x:c>
      <x:c r="AL59" s="2" t="s">
        <x:v>571</x:v>
      </x:c>
      <x:c r="AM59" s="2">
        <x:v>59</x:v>
      </x:c>
      <x:c r="AN59" s="2">
        <x:v>59</x:v>
      </x:c>
    </x:row>
    <x:row r="60" ht="78">
      <x:c r="A60" s="2" t="s">
        <x:v>6</x:v>
      </x:c>
      <x:c r="B60" s="2" t="s">
        <x:v>13</x:v>
      </x:c>
      <x:c r="C60" s="3">
        <x:v>58</x:v>
      </x:c>
      <x:c r="D60" s="2" t="s">
        <x:v>655</x:v>
      </x:c>
      <x:c r="E60" s="2" t="s">
        <x:v>733</x:v>
      </x:c>
      <x:c r="F60" s="2" t="s">
        <x:v>118</x:v>
      </x:c>
      <x:c r="G60" s="2"/>
      <x:c r="H60" s="2" t="s">
        <x:v>634</x:v>
      </x:c>
      <x:c r="I60" s="2" t="s">
        <x:v>734</x:v>
      </x:c>
      <x:c r="J60" s="2" t="s">
        <x:v>635</x:v>
      </x:c>
      <x:c r="K60" s="2" t="n">
        <x:v>56</x:v>
      </x:c>
      <x:c r="L60" s="2" t="s">
        <x:v>735</x:v>
      </x:c>
      <x:c r="M60" s="2" t="s">
        <x:v>656</x:v>
      </x:c>
      <x:c r="N60" s="2">
        <x:v>2</x:v>
      </x:c>
      <x:c r="O60" s="2" t="s">
        <x:v>637</x:v>
      </x:c>
      <x:c r="P60" s="2" t="s">
        <x:v>657</x:v>
      </x:c>
      <x:c r="Q60" s="2"/>
      <x:c r="R60" s="3">
        <x:v>2</x:v>
      </x:c>
      <x:c r="S60" s="3">
        <x:v>1</x:v>
      </x:c>
      <x:c r="T60" s="2" t="s">
        <x:v>103</x:v>
      </x:c>
      <x:c r="U60" s="2" t="s">
        <x:v>104</x:v>
      </x:c>
      <x:c r="V60" s="2" t="s">
        <x:v>123</x:v>
      </x:c>
      <x:c r="W60" s="2"/>
      <x:c r="X60" s="3"/>
      <x:c r="Y60" s="3"/>
      <x:c r="Z60" s="2"/>
      <x:c r="AA60" s="2"/>
      <x:c r="AB60" s="2"/>
      <x:c r="AC60" s="2"/>
      <x:c r="AD60" s="2"/>
      <x:c r="AE60" s="2"/>
      <x:c r="AF60" s="2"/>
      <x:c r="AG60" s="2"/>
      <x:c r="AH60" s="2"/>
      <x:c r="AI60" s="4"/>
      <x:c r="AJ60" s="2"/>
      <x:c r="AK60" s="2" t="s">
        <x:v>106</x:v>
      </x:c>
      <x:c r="AL60" s="2" t="s">
        <x:v>571</x:v>
      </x:c>
      <x:c r="AM60" s="2">
        <x:v>60</x:v>
      </x:c>
      <x:c r="AN60" s="2">
        <x:v>60</x:v>
      </x:c>
    </x:row>
    <x:row r="61" ht="39">
      <x:c r="A61" s="2" t="s">
        <x:v>6</x:v>
      </x:c>
      <x:c r="B61" s="2" t="s">
        <x:v>13</x:v>
      </x:c>
      <x:c r="C61" s="3">
        <x:v>59</x:v>
      </x:c>
      <x:c r="D61" s="2" t="s">
        <x:v>739</x:v>
      </x:c>
      <x:c r="E61" s="2" t="s">
        <x:v>736</x:v>
      </x:c>
      <x:c r="F61" s="2" t="s">
        <x:v>118</x:v>
      </x:c>
      <x:c r="G61" s="2"/>
      <x:c r="H61" s="2" t="s">
        <x:v>634</x:v>
      </x:c>
      <x:c r="I61" s="2" t="s">
        <x:v>734</x:v>
      </x:c>
      <x:c r="J61" s="2" t="s">
        <x:v>640</x:v>
      </x:c>
      <x:c r="K61" s="2" t="n">
        <x:v>56</x:v>
      </x:c>
      <x:c r="L61" s="2">
        <x:v>71</x:v>
      </x:c>
      <x:c r="M61" s="2" t="s">
        <x:v>740</x:v>
      </x:c>
      <x:c r="N61" s="2">
        <x:v>2</x:v>
      </x:c>
      <x:c r="O61" s="2" t="s">
        <x:v>642</x:v>
      </x:c>
      <x:c r="P61" s="2" t="s">
        <x:v>643</x:v>
      </x:c>
      <x:c r="Q61" s="2"/>
      <x:c r="R61" s="3">
        <x:v>2</x:v>
      </x:c>
      <x:c r="S61" s="3">
        <x:v>1</x:v>
      </x:c>
      <x:c r="T61" s="2" t="s">
        <x:v>103</x:v>
      </x:c>
      <x:c r="U61" s="2" t="s">
        <x:v>632</x:v>
      </x:c>
      <x:c r="V61" s="2" t="s">
        <x:v>123</x:v>
      </x:c>
      <x:c r="W61" s="2"/>
      <x:c r="X61" s="3"/>
      <x:c r="Y61" s="3"/>
      <x:c r="Z61" s="2"/>
      <x:c r="AA61" s="2"/>
      <x:c r="AB61" s="2"/>
      <x:c r="AC61" s="2"/>
      <x:c r="AD61" s="2"/>
      <x:c r="AE61" s="2"/>
      <x:c r="AF61" s="2"/>
      <x:c r="AG61" s="2"/>
      <x:c r="AH61" s="2"/>
      <x:c r="AI61" s="4"/>
      <x:c r="AJ61" s="2"/>
      <x:c r="AK61" s="2" t="s">
        <x:v>106</x:v>
      </x:c>
      <x:c r="AL61" s="2" t="s">
        <x:v>571</x:v>
      </x:c>
      <x:c r="AM61" s="2">
        <x:v>61</x:v>
      </x:c>
      <x:c r="AN61" s="2">
        <x:v>61</x:v>
      </x:c>
    </x:row>
    <x:row r="62" ht="65">
      <x:c r="A62" s="2" t="s">
        <x:v>91</x:v>
      </x:c>
      <x:c r="B62" s="2" t="s">
        <x:v>13</x:v>
      </x:c>
      <x:c r="C62" s="3">
        <x:v>60</x:v>
      </x:c>
      <x:c r="D62" s="2" t="s">
        <x:v>682</x:v>
      </x:c>
      <x:c r="E62" s="2" t="s">
        <x:v>741</x:v>
      </x:c>
      <x:c r="F62" s="2" t="s">
        <x:v>139</x:v>
      </x:c>
      <x:c r="G62" s="2" t="s">
        <x:v>742</x:v>
      </x:c>
      <x:c r="H62" s="2" t="s">
        <x:v>618</x:v>
      </x:c>
      <x:c r="I62" s="2" t="s">
        <x:v>743</x:v>
      </x:c>
      <x:c r="J62" s="2" t="s">
        <x:v>620</x:v>
      </x:c>
      <x:c r="K62" s="2"/>
      <x:c r="L62" s="2" t="s">
        <x:v>744</x:v>
      </x:c>
      <x:c r="M62" s="2" t="s">
        <x:v>648</x:v>
      </x:c>
      <x:c r="N62" s="2">
        <x:v>3</x:v>
      </x:c>
      <x:c r="O62" s="2" t="s">
        <x:v>623</x:v>
      </x:c>
      <x:c r="P62" s="2" t="s">
        <x:v>649</x:v>
      </x:c>
      <x:c r="Q62" s="2"/>
      <x:c r="R62" s="3">
        <x:v>3</x:v>
      </x:c>
      <x:c r="S62" s="3">
        <x:v>1</x:v>
      </x:c>
      <x:c r="T62" s="2" t="s">
        <x:v>103</x:v>
      </x:c>
      <x:c r="U62" s="2" t="s">
        <x:v>122</x:v>
      </x:c>
      <x:c r="V62" s="2" t="s">
        <x:v>136</x:v>
      </x:c>
      <x:c r="W62" s="2"/>
      <x:c r="X62" s="3"/>
      <x:c r="Y62" s="3"/>
      <x:c r="Z62" s="2"/>
      <x:c r="AA62" s="2"/>
      <x:c r="AB62" s="2"/>
      <x:c r="AC62" s="2"/>
      <x:c r="AD62" s="2"/>
      <x:c r="AE62" s="2"/>
      <x:c r="AF62" s="2"/>
      <x:c r="AG62" s="2"/>
      <x:c r="AH62" s="2"/>
      <x:c r="AI62" s="4"/>
      <x:c r="AJ62" s="2"/>
      <x:c r="AK62" s="2" t="s">
        <x:v>106</x:v>
      </x:c>
      <x:c r="AL62" s="2" t="s">
        <x:v>571</x:v>
      </x:c>
      <x:c r="AM62" s="2">
        <x:v>62</x:v>
      </x:c>
      <x:c r="AN62" s="2">
        <x:v>62</x:v>
      </x:c>
    </x:row>
    <x:row r="63" ht="65">
      <x:c r="A63" s="2" t="s">
        <x:v>6</x:v>
      </x:c>
      <x:c r="B63" s="2" t="s">
        <x:v>13</x:v>
      </x:c>
      <x:c r="C63" s="3">
        <x:v>61</x:v>
      </x:c>
      <x:c r="D63" s="2" t="s">
        <x:v>745</x:v>
      </x:c>
      <x:c r="E63" s="2" t="s">
        <x:v>746</x:v>
      </x:c>
      <x:c r="F63" s="2" t="s">
        <x:v>139</x:v>
      </x:c>
      <x:c r="G63" s="2"/>
      <x:c r="H63" s="2" t="s">
        <x:v>627</x:v>
      </x:c>
      <x:c r="I63" s="2" t="s">
        <x:v>743</x:v>
      </x:c>
      <x:c r="J63" s="2" t="s">
        <x:v>628</x:v>
      </x:c>
      <x:c r="K63" s="2" t="n">
        <x:v>60</x:v>
      </x:c>
      <x:c r="L63" s="2">
        <x:v>102</x:v>
      </x:c>
      <x:c r="M63" s="2" t="s">
        <x:v>747</x:v>
      </x:c>
      <x:c r="N63" s="2">
        <x:v>3</x:v>
      </x:c>
      <x:c r="O63" s="2" t="s">
        <x:v>712</x:v>
      </x:c>
      <x:c r="P63" s="2" t="s">
        <x:v>654</x:v>
      </x:c>
      <x:c r="Q63" s="2"/>
      <x:c r="R63" s="3">
        <x:v>3</x:v>
      </x:c>
      <x:c r="S63" s="3">
        <x:v>1</x:v>
      </x:c>
      <x:c r="T63" s="2" t="s">
        <x:v>103</x:v>
      </x:c>
      <x:c r="U63" s="2" t="s">
        <x:v>632</x:v>
      </x:c>
      <x:c r="V63" s="2" t="s">
        <x:v>136</x:v>
      </x:c>
      <x:c r="W63" s="2"/>
      <x:c r="X63" s="3"/>
      <x:c r="Y63" s="3"/>
      <x:c r="Z63" s="2"/>
      <x:c r="AA63" s="2"/>
      <x:c r="AB63" s="2"/>
      <x:c r="AC63" s="2"/>
      <x:c r="AD63" s="2"/>
      <x:c r="AE63" s="2"/>
      <x:c r="AF63" s="2"/>
      <x:c r="AG63" s="2"/>
      <x:c r="AH63" s="2"/>
      <x:c r="AI63" s="4"/>
      <x:c r="AJ63" s="2"/>
      <x:c r="AK63" s="2" t="s">
        <x:v>106</x:v>
      </x:c>
      <x:c r="AL63" s="2" t="s">
        <x:v>571</x:v>
      </x:c>
      <x:c r="AM63" s="2">
        <x:v>63</x:v>
      </x:c>
      <x:c r="AN63" s="2">
        <x:v>63</x:v>
      </x:c>
    </x:row>
    <x:row r="64" ht="39">
      <x:c r="A64" s="2" t="s">
        <x:v>91</x:v>
      </x:c>
      <x:c r="B64" s="2" t="s">
        <x:v>13</x:v>
      </x:c>
      <x:c r="C64" s="3">
        <x:v>62</x:v>
      </x:c>
      <x:c r="D64" s="2" t="s">
        <x:v>660</x:v>
      </x:c>
      <x:c r="E64" s="2" t="s">
        <x:v>748</x:v>
      </x:c>
      <x:c r="F64" s="2" t="s">
        <x:v>157</x:v>
      </x:c>
      <x:c r="G64" s="2" t="s">
        <x:v>662</x:v>
      </x:c>
      <x:c r="H64" s="2" t="s">
        <x:v>618</x:v>
      </x:c>
      <x:c r="I64" s="2" t="s">
        <x:v>749</x:v>
      </x:c>
      <x:c r="J64" s="2" t="s">
        <x:v>620</x:v>
      </x:c>
      <x:c r="K64" s="2"/>
      <x:c r="L64" s="2" t="s">
        <x:v>750</x:v>
      </x:c>
      <x:c r="M64" s="2" t="s">
        <x:v>622</x:v>
      </x:c>
      <x:c r="N64" s="2">
        <x:v>3</x:v>
      </x:c>
      <x:c r="O64" s="2" t="s">
        <x:v>623</x:v>
      </x:c>
      <x:c r="P64" s="2" t="s">
        <x:v>624</x:v>
      </x:c>
      <x:c r="Q64" s="2"/>
      <x:c r="R64" s="3">
        <x:v>4</x:v>
      </x:c>
      <x:c r="S64" s="3">
        <x:v>1</x:v>
      </x:c>
      <x:c r="T64" s="2" t="s">
        <x:v>103</x:v>
      </x:c>
      <x:c r="U64" s="2" t="s">
        <x:v>115</x:v>
      </x:c>
      <x:c r="V64" s="2" t="s">
        <x:v>154</x:v>
      </x:c>
      <x:c r="W64" s="2"/>
      <x:c r="X64" s="3"/>
      <x:c r="Y64" s="3"/>
      <x:c r="Z64" s="2"/>
      <x:c r="AA64" s="2"/>
      <x:c r="AB64" s="2"/>
      <x:c r="AC64" s="2"/>
      <x:c r="AD64" s="2"/>
      <x:c r="AE64" s="2"/>
      <x:c r="AF64" s="2"/>
      <x:c r="AG64" s="2"/>
      <x:c r="AH64" s="2"/>
      <x:c r="AI64" s="4"/>
      <x:c r="AJ64" s="2"/>
      <x:c r="AK64" s="2" t="s">
        <x:v>106</x:v>
      </x:c>
      <x:c r="AL64" s="2" t="s">
        <x:v>571</x:v>
      </x:c>
      <x:c r="AM64" s="2">
        <x:v>64</x:v>
      </x:c>
      <x:c r="AN64" s="2">
        <x:v>64</x:v>
      </x:c>
    </x:row>
    <x:row r="65" ht="52">
      <x:c r="A65" s="2" t="s">
        <x:v>6</x:v>
      </x:c>
      <x:c r="B65" s="2" t="s">
        <x:v>13</x:v>
      </x:c>
      <x:c r="C65" s="3">
        <x:v>63</x:v>
      </x:c>
      <x:c r="D65" s="2" t="s">
        <x:v>665</x:v>
      </x:c>
      <x:c r="E65" s="2" t="s">
        <x:v>751</x:v>
      </x:c>
      <x:c r="F65" s="2" t="s">
        <x:v>157</x:v>
      </x:c>
      <x:c r="G65" s="2"/>
      <x:c r="H65" s="2" t="s">
        <x:v>627</x:v>
      </x:c>
      <x:c r="I65" s="2" t="s">
        <x:v>749</x:v>
      </x:c>
      <x:c r="J65" s="2" t="s">
        <x:v>628</x:v>
      </x:c>
      <x:c r="K65" s="2" t="n">
        <x:v>62</x:v>
      </x:c>
      <x:c r="L65" s="2">
        <x:v>172</x:v>
      </x:c>
      <x:c r="M65" s="2" t="s">
        <x:v>752</x:v>
      </x:c>
      <x:c r="N65" s="2">
        <x:v>3</x:v>
      </x:c>
      <x:c r="O65" s="2" t="s">
        <x:v>753</x:v>
      </x:c>
      <x:c r="P65" s="2" t="s">
        <x:v>631</x:v>
      </x:c>
      <x:c r="Q65" s="2"/>
      <x:c r="R65" s="3">
        <x:v>4</x:v>
      </x:c>
      <x:c r="S65" s="3">
        <x:v>1</x:v>
      </x:c>
      <x:c r="T65" s="2" t="s">
        <x:v>103</x:v>
      </x:c>
      <x:c r="U65" s="2" t="s">
        <x:v>632</x:v>
      </x:c>
      <x:c r="V65" s="2" t="s">
        <x:v>154</x:v>
      </x:c>
      <x:c r="W65" s="2"/>
      <x:c r="X65" s="3"/>
      <x:c r="Y65" s="3"/>
      <x:c r="Z65" s="2"/>
      <x:c r="AA65" s="2"/>
      <x:c r="AB65" s="2"/>
      <x:c r="AC65" s="2"/>
      <x:c r="AD65" s="2"/>
      <x:c r="AE65" s="2"/>
      <x:c r="AF65" s="2"/>
      <x:c r="AG65" s="2"/>
      <x:c r="AH65" s="2"/>
      <x:c r="AI65" s="4"/>
      <x:c r="AJ65" s="2"/>
      <x:c r="AK65" s="2" t="s">
        <x:v>106</x:v>
      </x:c>
      <x:c r="AL65" s="2" t="s">
        <x:v>571</x:v>
      </x:c>
      <x:c r="AM65" s="2">
        <x:v>65</x:v>
      </x:c>
      <x:c r="AN65" s="2">
        <x:v>65</x:v>
      </x:c>
    </x:row>
    <x:row r="66" ht="39">
      <x:c r="A66" s="2" t="s">
        <x:v>6</x:v>
      </x:c>
      <x:c r="B66" s="2" t="s">
        <x:v>13</x:v>
      </x:c>
      <x:c r="C66" s="3">
        <x:v>64</x:v>
      </x:c>
      <x:c r="D66" s="2" t="s">
        <x:v>616</x:v>
      </x:c>
      <x:c r="E66" s="2" t="s">
        <x:v>754</x:v>
      </x:c>
      <x:c r="F66" s="2" t="s">
        <x:v>94</x:v>
      </x:c>
      <x:c r="G66" s="2"/>
      <x:c r="H66" s="2" t="s">
        <x:v>618</x:v>
      </x:c>
      <x:c r="I66" s="2" t="s">
        <x:v>755</x:v>
      </x:c>
      <x:c r="J66" s="2" t="s">
        <x:v>620</x:v>
      </x:c>
      <x:c r="K66" s="2"/>
      <x:c r="L66" s="2" t="s">
        <x:v>756</x:v>
      </x:c>
      <x:c r="M66" s="2" t="s">
        <x:v>622</x:v>
      </x:c>
      <x:c r="N66" s="2">
        <x:v>3</x:v>
      </x:c>
      <x:c r="O66" s="2" t="s">
        <x:v>623</x:v>
      </x:c>
      <x:c r="P66" s="2" t="s">
        <x:v>675</x:v>
      </x:c>
      <x:c r="Q66" s="2"/>
      <x:c r="R66" s="3">
        <x:v>2</x:v>
      </x:c>
      <x:c r="S66" s="3">
        <x:v>1</x:v>
      </x:c>
      <x:c r="T66" s="2" t="s">
        <x:v>103</x:v>
      </x:c>
      <x:c r="U66" s="2" t="s">
        <x:v>129</x:v>
      </x:c>
      <x:c r="V66" s="2" t="s">
        <x:v>105</x:v>
      </x:c>
      <x:c r="W66" s="2"/>
      <x:c r="X66" s="3"/>
      <x:c r="Y66" s="3"/>
      <x:c r="Z66" s="2"/>
      <x:c r="AA66" s="2"/>
      <x:c r="AB66" s="2"/>
      <x:c r="AC66" s="2"/>
      <x:c r="AD66" s="2"/>
      <x:c r="AE66" s="2"/>
      <x:c r="AF66" s="2"/>
      <x:c r="AG66" s="2"/>
      <x:c r="AH66" s="2"/>
      <x:c r="AI66" s="4"/>
      <x:c r="AJ66" s="2"/>
      <x:c r="AK66" s="2" t="s">
        <x:v>106</x:v>
      </x:c>
      <x:c r="AL66" s="2" t="s">
        <x:v>571</x:v>
      </x:c>
      <x:c r="AM66" s="2">
        <x:v>66</x:v>
      </x:c>
      <x:c r="AN66" s="2">
        <x:v>66</x:v>
      </x:c>
    </x:row>
    <x:row r="67" ht="52">
      <x:c r="A67" s="2" t="s">
        <x:v>6</x:v>
      </x:c>
      <x:c r="B67" s="2" t="s">
        <x:v>13</x:v>
      </x:c>
      <x:c r="C67" s="3">
        <x:v>65</x:v>
      </x:c>
      <x:c r="D67" s="2" t="s">
        <x:v>625</x:v>
      </x:c>
      <x:c r="E67" s="2" t="s">
        <x:v>757</x:v>
      </x:c>
      <x:c r="F67" s="2" t="s">
        <x:v>94</x:v>
      </x:c>
      <x:c r="G67" s="2"/>
      <x:c r="H67" s="2" t="s">
        <x:v>627</x:v>
      </x:c>
      <x:c r="I67" s="2" t="s">
        <x:v>755</x:v>
      </x:c>
      <x:c r="J67" s="2" t="s">
        <x:v>628</x:v>
      </x:c>
      <x:c r="K67" s="2" t="n">
        <x:v>64</x:v>
      </x:c>
      <x:c r="L67" s="2">
        <x:v>32</x:v>
      </x:c>
      <x:c r="M67" s="2" t="s">
        <x:v>758</x:v>
      </x:c>
      <x:c r="N67" s="2">
        <x:v>3</x:v>
      </x:c>
      <x:c r="O67" s="2" t="s">
        <x:v>630</x:v>
      </x:c>
      <x:c r="P67" s="2" t="s">
        <x:v>631</x:v>
      </x:c>
      <x:c r="Q67" s="2"/>
      <x:c r="R67" s="3">
        <x:v>2</x:v>
      </x:c>
      <x:c r="S67" s="3">
        <x:v>1</x:v>
      </x:c>
      <x:c r="T67" s="2" t="s">
        <x:v>103</x:v>
      </x:c>
      <x:c r="U67" s="2" t="s">
        <x:v>632</x:v>
      </x:c>
      <x:c r="V67" s="2" t="s">
        <x:v>105</x:v>
      </x:c>
      <x:c r="W67" s="2"/>
      <x:c r="X67" s="3"/>
      <x:c r="Y67" s="3"/>
      <x:c r="Z67" s="2"/>
      <x:c r="AA67" s="2"/>
      <x:c r="AB67" s="2"/>
      <x:c r="AC67" s="2"/>
      <x:c r="AD67" s="2"/>
      <x:c r="AE67" s="2"/>
      <x:c r="AF67" s="2"/>
      <x:c r="AG67" s="2"/>
      <x:c r="AH67" s="2"/>
      <x:c r="AI67" s="4"/>
      <x:c r="AJ67" s="2"/>
      <x:c r="AK67" s="2" t="s">
        <x:v>106</x:v>
      </x:c>
      <x:c r="AL67" s="2" t="s">
        <x:v>571</x:v>
      </x:c>
      <x:c r="AM67" s="2">
        <x:v>67</x:v>
      </x:c>
      <x:c r="AN67" s="2">
        <x:v>67</x:v>
      </x:c>
    </x:row>
    <x:row r="68" ht="65">
      <x:c r="A68" s="2" t="s">
        <x:v>91</x:v>
      </x:c>
      <x:c r="B68" s="2" t="s">
        <x:v>13</x:v>
      </x:c>
      <x:c r="C68" s="3">
        <x:v>66</x:v>
      </x:c>
      <x:c r="D68" s="2" t="s">
        <x:v>644</x:v>
      </x:c>
      <x:c r="E68" s="2" t="s">
        <x:v>645</x:v>
      </x:c>
      <x:c r="F68" s="2" t="s">
        <x:v>118</x:v>
      </x:c>
      <x:c r="G68" s="2" t="s">
        <x:v>695</x:v>
      </x:c>
      <x:c r="H68" s="2" t="s">
        <x:v>618</x:v>
      </x:c>
      <x:c r="I68" s="2" t="s">
        <x:v>759</x:v>
      </x:c>
      <x:c r="J68" s="2" t="s">
        <x:v>620</x:v>
      </x:c>
      <x:c r="K68" s="2"/>
      <x:c r="L68" s="2" t="s">
        <x:v>697</x:v>
      </x:c>
      <x:c r="M68" s="2" t="s">
        <x:v>648</x:v>
      </x:c>
      <x:c r="N68" s="2">
        <x:v>3</x:v>
      </x:c>
      <x:c r="O68" s="2" t="s">
        <x:v>623</x:v>
      </x:c>
      <x:c r="P68" s="2" t="s">
        <x:v>649</x:v>
      </x:c>
      <x:c r="Q68" s="2"/>
      <x:c r="R68" s="3">
        <x:v>3</x:v>
      </x:c>
      <x:c r="S68" s="3">
        <x:v>1</x:v>
      </x:c>
      <x:c r="T68" s="2" t="s">
        <x:v>103</x:v>
      </x:c>
      <x:c r="U68" s="2" t="s">
        <x:v>104</x:v>
      </x:c>
      <x:c r="V68" s="2" t="s">
        <x:v>123</x:v>
      </x:c>
      <x:c r="W68" s="2"/>
      <x:c r="X68" s="3"/>
      <x:c r="Y68" s="3"/>
      <x:c r="Z68" s="2"/>
      <x:c r="AA68" s="2"/>
      <x:c r="AB68" s="2"/>
      <x:c r="AC68" s="2"/>
      <x:c r="AD68" s="2"/>
      <x:c r="AE68" s="2"/>
      <x:c r="AF68" s="2"/>
      <x:c r="AG68" s="2"/>
      <x:c r="AH68" s="2"/>
      <x:c r="AI68" s="4"/>
      <x:c r="AJ68" s="2"/>
      <x:c r="AK68" s="2" t="s">
        <x:v>106</x:v>
      </x:c>
      <x:c r="AL68" s="2" t="s">
        <x:v>571</x:v>
      </x:c>
      <x:c r="AM68" s="2">
        <x:v>68</x:v>
      </x:c>
      <x:c r="AN68" s="2">
        <x:v>68</x:v>
      </x:c>
    </x:row>
    <x:row r="69" ht="78">
      <x:c r="A69" s="2" t="s">
        <x:v>6</x:v>
      </x:c>
      <x:c r="B69" s="2" t="s">
        <x:v>13</x:v>
      </x:c>
      <x:c r="C69" s="3">
        <x:v>67</x:v>
      </x:c>
      <x:c r="D69" s="2" t="s">
        <x:v>698</x:v>
      </x:c>
      <x:c r="E69" s="2" t="s">
        <x:v>651</x:v>
      </x:c>
      <x:c r="F69" s="2" t="s">
        <x:v>118</x:v>
      </x:c>
      <x:c r="G69" s="2"/>
      <x:c r="H69" s="2" t="s">
        <x:v>627</x:v>
      </x:c>
      <x:c r="I69" s="2" t="s">
        <x:v>759</x:v>
      </x:c>
      <x:c r="J69" s="2" t="s">
        <x:v>628</x:v>
      </x:c>
      <x:c r="K69" s="2" t="n">
        <x:v>66</x:v>
      </x:c>
      <x:c r="L69" s="2">
        <x:v>53</x:v>
      </x:c>
      <x:c r="M69" s="2" t="s">
        <x:v>760</x:v>
      </x:c>
      <x:c r="N69" s="2">
        <x:v>3</x:v>
      </x:c>
      <x:c r="O69" s="2" t="s">
        <x:v>653</x:v>
      </x:c>
      <x:c r="P69" s="2" t="s">
        <x:v>654</x:v>
      </x:c>
      <x:c r="Q69" s="2"/>
      <x:c r="R69" s="3">
        <x:v>3</x:v>
      </x:c>
      <x:c r="S69" s="3">
        <x:v>1</x:v>
      </x:c>
      <x:c r="T69" s="2" t="s">
        <x:v>103</x:v>
      </x:c>
      <x:c r="U69" s="2" t="s">
        <x:v>632</x:v>
      </x:c>
      <x:c r="V69" s="2" t="s">
        <x:v>123</x:v>
      </x:c>
      <x:c r="W69" s="2"/>
      <x:c r="X69" s="3"/>
      <x:c r="Y69" s="3"/>
      <x:c r="Z69" s="2"/>
      <x:c r="AA69" s="2"/>
      <x:c r="AB69" s="2"/>
      <x:c r="AC69" s="2"/>
      <x:c r="AD69" s="2"/>
      <x:c r="AE69" s="2"/>
      <x:c r="AF69" s="2"/>
      <x:c r="AG69" s="2"/>
      <x:c r="AH69" s="2"/>
      <x:c r="AI69" s="4"/>
      <x:c r="AJ69" s="2"/>
      <x:c r="AK69" s="2" t="s">
        <x:v>106</x:v>
      </x:c>
      <x:c r="AL69" s="2" t="s">
        <x:v>571</x:v>
      </x:c>
      <x:c r="AM69" s="2">
        <x:v>69</x:v>
      </x:c>
      <x:c r="AN69" s="2">
        <x:v>69</x:v>
      </x:c>
    </x:row>
    <x:row r="70" ht="65">
      <x:c r="A70" s="2" t="s">
        <x:v>91</x:v>
      </x:c>
      <x:c r="B70" s="2" t="s">
        <x:v>13</x:v>
      </x:c>
      <x:c r="C70" s="3">
        <x:v>68</x:v>
      </x:c>
      <x:c r="D70" s="2" t="s">
        <x:v>682</x:v>
      </x:c>
      <x:c r="E70" s="2" t="s">
        <x:v>683</x:v>
      </x:c>
      <x:c r="F70" s="2" t="s">
        <x:v>139</x:v>
      </x:c>
      <x:c r="G70" s="2" t="s">
        <x:v>761</x:v>
      </x:c>
      <x:c r="H70" s="2" t="s">
        <x:v>618</x:v>
      </x:c>
      <x:c r="I70" s="2" t="s">
        <x:v>762</x:v>
      </x:c>
      <x:c r="J70" s="2" t="s">
        <x:v>620</x:v>
      </x:c>
      <x:c r="K70" s="2"/>
      <x:c r="L70" s="2" t="s">
        <x:v>763</x:v>
      </x:c>
      <x:c r="M70" s="2" t="s">
        <x:v>648</x:v>
      </x:c>
      <x:c r="N70" s="2">
        <x:v>3</x:v>
      </x:c>
      <x:c r="O70" s="2" t="s">
        <x:v>623</x:v>
      </x:c>
      <x:c r="P70" s="2" t="s">
        <x:v>649</x:v>
      </x:c>
      <x:c r="Q70" s="2"/>
      <x:c r="R70" s="3">
        <x:v>4</x:v>
      </x:c>
      <x:c r="S70" s="3">
        <x:v>1</x:v>
      </x:c>
      <x:c r="T70" s="2" t="s">
        <x:v>103</x:v>
      </x:c>
      <x:c r="U70" s="2" t="s">
        <x:v>122</x:v>
      </x:c>
      <x:c r="V70" s="2" t="s">
        <x:v>136</x:v>
      </x:c>
      <x:c r="W70" s="2"/>
      <x:c r="X70" s="3"/>
      <x:c r="Y70" s="3"/>
      <x:c r="Z70" s="2"/>
      <x:c r="AA70" s="2"/>
      <x:c r="AB70" s="2"/>
      <x:c r="AC70" s="2"/>
      <x:c r="AD70" s="2"/>
      <x:c r="AE70" s="2"/>
      <x:c r="AF70" s="2"/>
      <x:c r="AG70" s="2"/>
      <x:c r="AH70" s="2"/>
      <x:c r="AI70" s="4"/>
      <x:c r="AJ70" s="2"/>
      <x:c r="AK70" s="2" t="s">
        <x:v>106</x:v>
      </x:c>
      <x:c r="AL70" s="2" t="s">
        <x:v>571</x:v>
      </x:c>
      <x:c r="AM70" s="2">
        <x:v>70</x:v>
      </x:c>
      <x:c r="AN70" s="2">
        <x:v>70</x:v>
      </x:c>
    </x:row>
    <x:row r="71" ht="78">
      <x:c r="A71" s="2" t="s">
        <x:v>6</x:v>
      </x:c>
      <x:c r="B71" s="2" t="s">
        <x:v>13</x:v>
      </x:c>
      <x:c r="C71" s="3">
        <x:v>69</x:v>
      </x:c>
      <x:c r="D71" s="2" t="s">
        <x:v>745</x:v>
      </x:c>
      <x:c r="E71" s="2" t="s">
        <x:v>687</x:v>
      </x:c>
      <x:c r="F71" s="2" t="s">
        <x:v>139</x:v>
      </x:c>
      <x:c r="G71" s="2"/>
      <x:c r="H71" s="2" t="s">
        <x:v>627</x:v>
      </x:c>
      <x:c r="I71" s="2" t="s">
        <x:v>762</x:v>
      </x:c>
      <x:c r="J71" s="2" t="s">
        <x:v>628</x:v>
      </x:c>
      <x:c r="K71" s="2" t="n">
        <x:v>68</x:v>
      </x:c>
      <x:c r="L71" s="2">
        <x:v>129</x:v>
      </x:c>
      <x:c r="M71" s="2" t="s">
        <x:v>764</x:v>
      </x:c>
      <x:c r="N71" s="2">
        <x:v>3</x:v>
      </x:c>
      <x:c r="O71" s="2" t="s">
        <x:v>689</x:v>
      </x:c>
      <x:c r="P71" s="2" t="s">
        <x:v>654</x:v>
      </x:c>
      <x:c r="Q71" s="2"/>
      <x:c r="R71" s="3">
        <x:v>4</x:v>
      </x:c>
      <x:c r="S71" s="3">
        <x:v>1</x:v>
      </x:c>
      <x:c r="T71" s="2" t="s">
        <x:v>103</x:v>
      </x:c>
      <x:c r="U71" s="2" t="s">
        <x:v>632</x:v>
      </x:c>
      <x:c r="V71" s="2" t="s">
        <x:v>136</x:v>
      </x:c>
      <x:c r="W71" s="2"/>
      <x:c r="X71" s="3"/>
      <x:c r="Y71" s="3"/>
      <x:c r="Z71" s="2"/>
      <x:c r="AA71" s="2"/>
      <x:c r="AB71" s="2"/>
      <x:c r="AC71" s="2"/>
      <x:c r="AD71" s="2"/>
      <x:c r="AE71" s="2"/>
      <x:c r="AF71" s="2"/>
      <x:c r="AG71" s="2"/>
      <x:c r="AH71" s="2"/>
      <x:c r="AI71" s="4"/>
      <x:c r="AJ71" s="2"/>
      <x:c r="AK71" s="2" t="s">
        <x:v>106</x:v>
      </x:c>
      <x:c r="AL71" s="2" t="s">
        <x:v>571</x:v>
      </x:c>
      <x:c r="AM71" s="2">
        <x:v>71</x:v>
      </x:c>
      <x:c r="AN71" s="2">
        <x:v>71</x:v>
      </x:c>
    </x:row>
    <x:row r="72" ht="39">
      <x:c r="A72" s="2" t="s">
        <x:v>6</x:v>
      </x:c>
      <x:c r="B72" s="2" t="s">
        <x:v>13</x:v>
      </x:c>
      <x:c r="C72" s="3">
        <x:v>70</x:v>
      </x:c>
      <x:c r="D72" s="2" t="s">
        <x:v>660</x:v>
      </x:c>
      <x:c r="E72" s="2" t="s">
        <x:v>765</x:v>
      </x:c>
      <x:c r="F72" s="2" t="s">
        <x:v>157</x:v>
      </x:c>
      <x:c r="G72" s="2"/>
      <x:c r="H72" s="2" t="s">
        <x:v>618</x:v>
      </x:c>
      <x:c r="I72" s="2" t="s">
        <x:v>766</x:v>
      </x:c>
      <x:c r="J72" s="2" t="s">
        <x:v>620</x:v>
      </x:c>
      <x:c r="K72" s="2"/>
      <x:c r="L72" s="2" t="s">
        <x:v>767</x:v>
      </x:c>
      <x:c r="M72" s="2" t="s">
        <x:v>622</x:v>
      </x:c>
      <x:c r="N72" s="2">
        <x:v>3</x:v>
      </x:c>
      <x:c r="O72" s="2" t="s">
        <x:v>623</x:v>
      </x:c>
      <x:c r="P72" s="2" t="s">
        <x:v>675</x:v>
      </x:c>
      <x:c r="Q72" s="2"/>
      <x:c r="R72" s="3">
        <x:v>2</x:v>
      </x:c>
      <x:c r="S72" s="3">
        <x:v>1</x:v>
      </x:c>
      <x:c r="T72" s="2" t="s">
        <x:v>103</x:v>
      </x:c>
      <x:c r="U72" s="2" t="s">
        <x:v>115</x:v>
      </x:c>
      <x:c r="V72" s="2" t="s">
        <x:v>154</x:v>
      </x:c>
      <x:c r="W72" s="2"/>
      <x:c r="X72" s="3"/>
      <x:c r="Y72" s="3"/>
      <x:c r="Z72" s="2"/>
      <x:c r="AA72" s="2"/>
      <x:c r="AB72" s="2"/>
      <x:c r="AC72" s="2"/>
      <x:c r="AD72" s="2"/>
      <x:c r="AE72" s="2"/>
      <x:c r="AF72" s="2"/>
      <x:c r="AG72" s="2"/>
      <x:c r="AH72" s="2"/>
      <x:c r="AI72" s="4"/>
      <x:c r="AJ72" s="2"/>
      <x:c r="AK72" s="2" t="s">
        <x:v>106</x:v>
      </x:c>
      <x:c r="AL72" s="2" t="s">
        <x:v>571</x:v>
      </x:c>
      <x:c r="AM72" s="2">
        <x:v>72</x:v>
      </x:c>
      <x:c r="AN72" s="2">
        <x:v>72</x:v>
      </x:c>
    </x:row>
    <x:row r="73" ht="52">
      <x:c r="A73" s="2" t="s">
        <x:v>6</x:v>
      </x:c>
      <x:c r="B73" s="2" t="s">
        <x:v>13</x:v>
      </x:c>
      <x:c r="C73" s="3">
        <x:v>71</x:v>
      </x:c>
      <x:c r="D73" s="2" t="s">
        <x:v>665</x:v>
      </x:c>
      <x:c r="E73" s="2" t="s">
        <x:v>768</x:v>
      </x:c>
      <x:c r="F73" s="2" t="s">
        <x:v>157</x:v>
      </x:c>
      <x:c r="G73" s="2"/>
      <x:c r="H73" s="2" t="s">
        <x:v>627</x:v>
      </x:c>
      <x:c r="I73" s="2" t="s">
        <x:v>766</x:v>
      </x:c>
      <x:c r="J73" s="2" t="s">
        <x:v>628</x:v>
      </x:c>
      <x:c r="K73" s="2" t="n">
        <x:v>70</x:v>
      </x:c>
      <x:c r="L73" s="2">
        <x:v>157</x:v>
      </x:c>
      <x:c r="M73" s="2" t="s">
        <x:v>769</x:v>
      </x:c>
      <x:c r="N73" s="2">
        <x:v>3</x:v>
      </x:c>
      <x:c r="O73" s="2" t="s">
        <x:v>668</x:v>
      </x:c>
      <x:c r="P73" s="2" t="s">
        <x:v>631</x:v>
      </x:c>
      <x:c r="Q73" s="2"/>
      <x:c r="R73" s="3">
        <x:v>2</x:v>
      </x:c>
      <x:c r="S73" s="3">
        <x:v>1</x:v>
      </x:c>
      <x:c r="T73" s="2" t="s">
        <x:v>103</x:v>
      </x:c>
      <x:c r="U73" s="2" t="s">
        <x:v>632</x:v>
      </x:c>
      <x:c r="V73" s="2" t="s">
        <x:v>154</x:v>
      </x:c>
      <x:c r="W73" s="2"/>
      <x:c r="X73" s="3"/>
      <x:c r="Y73" s="3"/>
      <x:c r="Z73" s="2"/>
      <x:c r="AA73" s="2"/>
      <x:c r="AB73" s="2"/>
      <x:c r="AC73" s="2"/>
      <x:c r="AD73" s="2"/>
      <x:c r="AE73" s="2"/>
      <x:c r="AF73" s="2"/>
      <x:c r="AG73" s="2"/>
      <x:c r="AH73" s="2"/>
      <x:c r="AI73" s="4"/>
      <x:c r="AJ73" s="2"/>
      <x:c r="AK73" s="2" t="s">
        <x:v>106</x:v>
      </x:c>
      <x:c r="AL73" s="2" t="s">
        <x:v>571</x:v>
      </x:c>
      <x:c r="AM73" s="2">
        <x:v>73</x:v>
      </x:c>
      <x:c r="AN73" s="2">
        <x:v>73</x:v>
      </x:c>
    </x:row>
    <x:row r="74" ht="39">
      <x:c r="A74" s="2" t="s">
        <x:v>91</x:v>
      </x:c>
      <x:c r="B74" s="2" t="s">
        <x:v>13</x:v>
      </x:c>
      <x:c r="C74" s="3">
        <x:v>72</x:v>
      </x:c>
      <x:c r="D74" s="2" t="s">
        <x:v>616</x:v>
      </x:c>
      <x:c r="E74" s="2" t="s">
        <x:v>770</x:v>
      </x:c>
      <x:c r="F74" s="2" t="s">
        <x:v>94</x:v>
      </x:c>
      <x:c r="G74" s="2" t="s">
        <x:v>771</x:v>
      </x:c>
      <x:c r="H74" s="2" t="s">
        <x:v>618</x:v>
      </x:c>
      <x:c r="I74" s="2" t="s">
        <x:v>772</x:v>
      </x:c>
      <x:c r="J74" s="2" t="s">
        <x:v>620</x:v>
      </x:c>
      <x:c r="K74" s="2"/>
      <x:c r="L74" s="2" t="s">
        <x:v>621</x:v>
      </x:c>
      <x:c r="M74" s="2" t="s">
        <x:v>622</x:v>
      </x:c>
      <x:c r="N74" s="2">
        <x:v>3</x:v>
      </x:c>
      <x:c r="O74" s="2" t="s">
        <x:v>623</x:v>
      </x:c>
      <x:c r="P74" s="2" t="s">
        <x:v>624</x:v>
      </x:c>
      <x:c r="Q74" s="2"/>
      <x:c r="R74" s="3">
        <x:v>3</x:v>
      </x:c>
      <x:c r="S74" s="3">
        <x:v>1</x:v>
      </x:c>
      <x:c r="T74" s="2" t="s">
        <x:v>103</x:v>
      </x:c>
      <x:c r="U74" s="2" t="s">
        <x:v>129</x:v>
      </x:c>
      <x:c r="V74" s="2" t="s">
        <x:v>105</x:v>
      </x:c>
      <x:c r="W74" s="2"/>
      <x:c r="X74" s="3"/>
      <x:c r="Y74" s="3"/>
      <x:c r="Z74" s="2"/>
      <x:c r="AA74" s="2"/>
      <x:c r="AB74" s="2"/>
      <x:c r="AC74" s="2"/>
      <x:c r="AD74" s="2"/>
      <x:c r="AE74" s="2"/>
      <x:c r="AF74" s="2"/>
      <x:c r="AG74" s="2"/>
      <x:c r="AH74" s="2"/>
      <x:c r="AI74" s="4"/>
      <x:c r="AJ74" s="2"/>
      <x:c r="AK74" s="2" t="s">
        <x:v>106</x:v>
      </x:c>
      <x:c r="AL74" s="2" t="s">
        <x:v>571</x:v>
      </x:c>
      <x:c r="AM74" s="2">
        <x:v>74</x:v>
      </x:c>
      <x:c r="AN74" s="2">
        <x:v>74</x:v>
      </x:c>
    </x:row>
    <x:row r="75" ht="52">
      <x:c r="A75" s="2" t="s">
        <x:v>6</x:v>
      </x:c>
      <x:c r="B75" s="2" t="s">
        <x:v>13</x:v>
      </x:c>
      <x:c r="C75" s="3">
        <x:v>73</x:v>
      </x:c>
      <x:c r="D75" s="2" t="s">
        <x:v>625</x:v>
      </x:c>
      <x:c r="E75" s="2" t="s">
        <x:v>773</x:v>
      </x:c>
      <x:c r="F75" s="2" t="s">
        <x:v>94</x:v>
      </x:c>
      <x:c r="G75" s="2"/>
      <x:c r="H75" s="2" t="s">
        <x:v>627</x:v>
      </x:c>
      <x:c r="I75" s="2" t="s">
        <x:v>772</x:v>
      </x:c>
      <x:c r="J75" s="2" t="s">
        <x:v>628</x:v>
      </x:c>
      <x:c r="K75" s="2" t="n">
        <x:v>72</x:v>
      </x:c>
      <x:c r="L75" s="2">
        <x:v>35</x:v>
      </x:c>
      <x:c r="M75" s="2" t="s">
        <x:v>629</x:v>
      </x:c>
      <x:c r="N75" s="2">
        <x:v>3</x:v>
      </x:c>
      <x:c r="O75" s="2" t="s">
        <x:v>630</x:v>
      </x:c>
      <x:c r="P75" s="2" t="s">
        <x:v>631</x:v>
      </x:c>
      <x:c r="Q75" s="2"/>
      <x:c r="R75" s="3">
        <x:v>3</x:v>
      </x:c>
      <x:c r="S75" s="3">
        <x:v>1</x:v>
      </x:c>
      <x:c r="T75" s="2" t="s">
        <x:v>103</x:v>
      </x:c>
      <x:c r="U75" s="2" t="s">
        <x:v>632</x:v>
      </x:c>
      <x:c r="V75" s="2" t="s">
        <x:v>105</x:v>
      </x:c>
      <x:c r="W75" s="2"/>
      <x:c r="X75" s="3"/>
      <x:c r="Y75" s="3"/>
      <x:c r="Z75" s="2"/>
      <x:c r="AA75" s="2"/>
      <x:c r="AB75" s="2"/>
      <x:c r="AC75" s="2"/>
      <x:c r="AD75" s="2"/>
      <x:c r="AE75" s="2"/>
      <x:c r="AF75" s="2"/>
      <x:c r="AG75" s="2"/>
      <x:c r="AH75" s="2"/>
      <x:c r="AI75" s="4"/>
      <x:c r="AJ75" s="2"/>
      <x:c r="AK75" s="2" t="s">
        <x:v>106</x:v>
      </x:c>
      <x:c r="AL75" s="2" t="s">
        <x:v>571</x:v>
      </x:c>
      <x:c r="AM75" s="2">
        <x:v>75</x:v>
      </x:c>
      <x:c r="AN75" s="2">
        <x:v>75</x:v>
      </x:c>
    </x:row>
    <x:row r="76" ht="65">
      <x:c r="A76" s="2" t="s">
        <x:v>6</x:v>
      </x:c>
      <x:c r="B76" s="2" t="s">
        <x:v>13</x:v>
      </x:c>
      <x:c r="C76" s="3">
        <x:v>74</x:v>
      </x:c>
      <x:c r="D76" s="2" t="s">
        <x:v>644</x:v>
      </x:c>
      <x:c r="E76" s="2" t="s">
        <x:v>694</x:v>
      </x:c>
      <x:c r="F76" s="2" t="s">
        <x:v>118</x:v>
      </x:c>
      <x:c r="G76" s="2"/>
      <x:c r="H76" s="2" t="s">
        <x:v>618</x:v>
      </x:c>
      <x:c r="I76" s="2" t="s">
        <x:v>774</x:v>
      </x:c>
      <x:c r="J76" s="2" t="s">
        <x:v>620</x:v>
      </x:c>
      <x:c r="K76" s="2"/>
      <x:c r="L76" s="2" t="s">
        <x:v>775</x:v>
      </x:c>
      <x:c r="M76" s="2" t="s">
        <x:v>648</x:v>
      </x:c>
      <x:c r="N76" s="2">
        <x:v>3</x:v>
      </x:c>
      <x:c r="O76" s="2" t="s">
        <x:v>623</x:v>
      </x:c>
      <x:c r="P76" s="2" t="s">
        <x:v>649</x:v>
      </x:c>
      <x:c r="Q76" s="2"/>
      <x:c r="R76" s="3">
        <x:v>4</x:v>
      </x:c>
      <x:c r="S76" s="3">
        <x:v>1</x:v>
      </x:c>
      <x:c r="T76" s="2" t="s">
        <x:v>103</x:v>
      </x:c>
      <x:c r="U76" s="2" t="s">
        <x:v>104</x:v>
      </x:c>
      <x:c r="V76" s="2" t="s">
        <x:v>123</x:v>
      </x:c>
      <x:c r="W76" s="2"/>
      <x:c r="X76" s="3"/>
      <x:c r="Y76" s="3"/>
      <x:c r="Z76" s="2"/>
      <x:c r="AA76" s="2"/>
      <x:c r="AB76" s="2"/>
      <x:c r="AC76" s="2"/>
      <x:c r="AD76" s="2"/>
      <x:c r="AE76" s="2"/>
      <x:c r="AF76" s="2"/>
      <x:c r="AG76" s="2"/>
      <x:c r="AH76" s="2"/>
      <x:c r="AI76" s="4"/>
      <x:c r="AJ76" s="2"/>
      <x:c r="AK76" s="2" t="s">
        <x:v>106</x:v>
      </x:c>
      <x:c r="AL76" s="2" t="s">
        <x:v>571</x:v>
      </x:c>
      <x:c r="AM76" s="2">
        <x:v>76</x:v>
      </x:c>
      <x:c r="AN76" s="2">
        <x:v>76</x:v>
      </x:c>
    </x:row>
    <x:row r="77" ht="65">
      <x:c r="A77" s="2" t="s">
        <x:v>6</x:v>
      </x:c>
      <x:c r="B77" s="2" t="s">
        <x:v>13</x:v>
      </x:c>
      <x:c r="C77" s="3">
        <x:v>75</x:v>
      </x:c>
      <x:c r="D77" s="2" t="s">
        <x:v>776</x:v>
      </x:c>
      <x:c r="E77" s="2" t="s">
        <x:v>699</x:v>
      </x:c>
      <x:c r="F77" s="2" t="s">
        <x:v>118</x:v>
      </x:c>
      <x:c r="G77" s="2"/>
      <x:c r="H77" s="2" t="s">
        <x:v>627</x:v>
      </x:c>
      <x:c r="I77" s="2" t="s">
        <x:v>774</x:v>
      </x:c>
      <x:c r="J77" s="2" t="s">
        <x:v>628</x:v>
      </x:c>
      <x:c r="K77" s="2" t="n">
        <x:v>74</x:v>
      </x:c>
      <x:c r="L77" s="2">
        <x:v>72</x:v>
      </x:c>
      <x:c r="M77" s="2" t="s">
        <x:v>777</x:v>
      </x:c>
      <x:c r="N77" s="2">
        <x:v>3</x:v>
      </x:c>
      <x:c r="O77" s="2" t="s">
        <x:v>701</x:v>
      </x:c>
      <x:c r="P77" s="2" t="s">
        <x:v>654</x:v>
      </x:c>
      <x:c r="Q77" s="2"/>
      <x:c r="R77" s="3">
        <x:v>4</x:v>
      </x:c>
      <x:c r="S77" s="3">
        <x:v>1</x:v>
      </x:c>
      <x:c r="T77" s="2" t="s">
        <x:v>103</x:v>
      </x:c>
      <x:c r="U77" s="2" t="s">
        <x:v>632</x:v>
      </x:c>
      <x:c r="V77" s="2" t="s">
        <x:v>123</x:v>
      </x:c>
      <x:c r="W77" s="2"/>
      <x:c r="X77" s="3"/>
      <x:c r="Y77" s="3"/>
      <x:c r="Z77" s="2"/>
      <x:c r="AA77" s="2"/>
      <x:c r="AB77" s="2"/>
      <x:c r="AC77" s="2"/>
      <x:c r="AD77" s="2"/>
      <x:c r="AE77" s="2"/>
      <x:c r="AF77" s="2"/>
      <x:c r="AG77" s="2"/>
      <x:c r="AH77" s="2"/>
      <x:c r="AI77" s="4"/>
      <x:c r="AJ77" s="2"/>
      <x:c r="AK77" s="2" t="s">
        <x:v>106</x:v>
      </x:c>
      <x:c r="AL77" s="2" t="s">
        <x:v>571</x:v>
      </x:c>
      <x:c r="AM77" s="2">
        <x:v>77</x:v>
      </x:c>
      <x:c r="AN77" s="2">
        <x:v>77</x:v>
      </x:c>
    </x:row>
    <x:row r="78" ht="65">
      <x:c r="A78" s="2" t="s">
        <x:v>91</x:v>
      </x:c>
      <x:c r="B78" s="2" t="s">
        <x:v>13</x:v>
      </x:c>
      <x:c r="C78" s="3">
        <x:v>76</x:v>
      </x:c>
      <x:c r="D78" s="2" t="s">
        <x:v>682</x:v>
      </x:c>
      <x:c r="E78" s="2" t="s">
        <x:v>705</x:v>
      </x:c>
      <x:c r="F78" s="2" t="s">
        <x:v>139</x:v>
      </x:c>
      <x:c r="G78" s="2" t="s">
        <x:v>778</x:v>
      </x:c>
      <x:c r="H78" s="2" t="s">
        <x:v>618</x:v>
      </x:c>
      <x:c r="I78" s="2" t="s">
        <x:v>779</x:v>
      </x:c>
      <x:c r="J78" s="2" t="s">
        <x:v>620</x:v>
      </x:c>
      <x:c r="K78" s="2"/>
      <x:c r="L78" s="2" t="s">
        <x:v>780</x:v>
      </x:c>
      <x:c r="M78" s="2" t="s">
        <x:v>648</x:v>
      </x:c>
      <x:c r="N78" s="2">
        <x:v>3</x:v>
      </x:c>
      <x:c r="O78" s="2" t="s">
        <x:v>623</x:v>
      </x:c>
      <x:c r="P78" s="2" t="s">
        <x:v>649</x:v>
      </x:c>
      <x:c r="Q78" s="2"/>
      <x:c r="R78" s="3">
        <x:v>2</x:v>
      </x:c>
      <x:c r="S78" s="3">
        <x:v>1</x:v>
      </x:c>
      <x:c r="T78" s="2" t="s">
        <x:v>103</x:v>
      </x:c>
      <x:c r="U78" s="2" t="s">
        <x:v>122</x:v>
      </x:c>
      <x:c r="V78" s="2" t="s">
        <x:v>136</x:v>
      </x:c>
      <x:c r="W78" s="2"/>
      <x:c r="X78" s="3"/>
      <x:c r="Y78" s="3"/>
      <x:c r="Z78" s="2"/>
      <x:c r="AA78" s="2"/>
      <x:c r="AB78" s="2"/>
      <x:c r="AC78" s="2"/>
      <x:c r="AD78" s="2"/>
      <x:c r="AE78" s="2"/>
      <x:c r="AF78" s="2"/>
      <x:c r="AG78" s="2"/>
      <x:c r="AH78" s="2"/>
      <x:c r="AI78" s="4"/>
      <x:c r="AJ78" s="2"/>
      <x:c r="AK78" s="2" t="s">
        <x:v>106</x:v>
      </x:c>
      <x:c r="AL78" s="2" t="s">
        <x:v>571</x:v>
      </x:c>
      <x:c r="AM78" s="2">
        <x:v>78</x:v>
      </x:c>
      <x:c r="AN78" s="2">
        <x:v>78</x:v>
      </x:c>
    </x:row>
    <x:row r="79" ht="65">
      <x:c r="A79" s="2" t="s">
        <x:v>6</x:v>
      </x:c>
      <x:c r="B79" s="2" t="s">
        <x:v>13</x:v>
      </x:c>
      <x:c r="C79" s="3">
        <x:v>77</x:v>
      </x:c>
      <x:c r="D79" s="2" t="s">
        <x:v>745</x:v>
      </x:c>
      <x:c r="E79" s="2" t="s">
        <x:v>710</x:v>
      </x:c>
      <x:c r="F79" s="2" t="s">
        <x:v>139</x:v>
      </x:c>
      <x:c r="G79" s="2"/>
      <x:c r="H79" s="2" t="s">
        <x:v>627</x:v>
      </x:c>
      <x:c r="I79" s="2" t="s">
        <x:v>779</x:v>
      </x:c>
      <x:c r="J79" s="2" t="s">
        <x:v>628</x:v>
      </x:c>
      <x:c r="K79" s="2" t="n">
        <x:v>76</x:v>
      </x:c>
      <x:c r="L79" s="2">
        <x:v>105</x:v>
      </x:c>
      <x:c r="M79" s="2" t="s">
        <x:v>781</x:v>
      </x:c>
      <x:c r="N79" s="2">
        <x:v>3</x:v>
      </x:c>
      <x:c r="O79" s="2" t="s">
        <x:v>712</x:v>
      </x:c>
      <x:c r="P79" s="2" t="s">
        <x:v>654</x:v>
      </x:c>
      <x:c r="Q79" s="2"/>
      <x:c r="R79" s="3">
        <x:v>2</x:v>
      </x:c>
      <x:c r="S79" s="3">
        <x:v>1</x:v>
      </x:c>
      <x:c r="T79" s="2" t="s">
        <x:v>103</x:v>
      </x:c>
      <x:c r="U79" s="2" t="s">
        <x:v>632</x:v>
      </x:c>
      <x:c r="V79" s="2" t="s">
        <x:v>136</x:v>
      </x:c>
      <x:c r="W79" s="2"/>
      <x:c r="X79" s="3"/>
      <x:c r="Y79" s="3"/>
      <x:c r="Z79" s="2"/>
      <x:c r="AA79" s="2"/>
      <x:c r="AB79" s="2"/>
      <x:c r="AC79" s="2"/>
      <x:c r="AD79" s="2"/>
      <x:c r="AE79" s="2"/>
      <x:c r="AF79" s="2"/>
      <x:c r="AG79" s="2"/>
      <x:c r="AH79" s="2"/>
      <x:c r="AI79" s="4"/>
      <x:c r="AJ79" s="2"/>
      <x:c r="AK79" s="2" t="s">
        <x:v>106</x:v>
      </x:c>
      <x:c r="AL79" s="2" t="s">
        <x:v>571</x:v>
      </x:c>
      <x:c r="AM79" s="2">
        <x:v>79</x:v>
      </x:c>
      <x:c r="AN79" s="2">
        <x:v>79</x:v>
      </x:c>
    </x:row>
    <x:row r="80" ht="39">
      <x:c r="A80" s="2" t="s">
        <x:v>91</x:v>
      </x:c>
      <x:c r="B80" s="2" t="s">
        <x:v>13</x:v>
      </x:c>
      <x:c r="C80" s="3">
        <x:v>78</x:v>
      </x:c>
      <x:c r="D80" s="2" t="s">
        <x:v>660</x:v>
      </x:c>
      <x:c r="E80" s="2" t="s">
        <x:v>782</x:v>
      </x:c>
      <x:c r="F80" s="2" t="s">
        <x:v>157</x:v>
      </x:c>
      <x:c r="G80" s="2" t="s">
        <x:v>783</x:v>
      </x:c>
      <x:c r="H80" s="2" t="s">
        <x:v>618</x:v>
      </x:c>
      <x:c r="I80" s="2" t="s">
        <x:v>784</x:v>
      </x:c>
      <x:c r="J80" s="2" t="s">
        <x:v>620</x:v>
      </x:c>
      <x:c r="K80" s="2"/>
      <x:c r="L80" s="2" t="s">
        <x:v>785</x:v>
      </x:c>
      <x:c r="M80" s="2" t="s">
        <x:v>622</x:v>
      </x:c>
      <x:c r="N80" s="2">
        <x:v>3</x:v>
      </x:c>
      <x:c r="O80" s="2" t="s">
        <x:v>623</x:v>
      </x:c>
      <x:c r="P80" s="2" t="s">
        <x:v>624</x:v>
      </x:c>
      <x:c r="Q80" s="2"/>
      <x:c r="R80" s="3">
        <x:v>3</x:v>
      </x:c>
      <x:c r="S80" s="3">
        <x:v>1</x:v>
      </x:c>
      <x:c r="T80" s="2" t="s">
        <x:v>103</x:v>
      </x:c>
      <x:c r="U80" s="2" t="s">
        <x:v>115</x:v>
      </x:c>
      <x:c r="V80" s="2" t="s">
        <x:v>154</x:v>
      </x:c>
      <x:c r="W80" s="2"/>
      <x:c r="X80" s="3"/>
      <x:c r="Y80" s="3"/>
      <x:c r="Z80" s="2"/>
      <x:c r="AA80" s="2"/>
      <x:c r="AB80" s="2"/>
      <x:c r="AC80" s="2"/>
      <x:c r="AD80" s="2"/>
      <x:c r="AE80" s="2"/>
      <x:c r="AF80" s="2"/>
      <x:c r="AG80" s="2"/>
      <x:c r="AH80" s="2"/>
      <x:c r="AI80" s="4"/>
      <x:c r="AJ80" s="2"/>
      <x:c r="AK80" s="2" t="s">
        <x:v>106</x:v>
      </x:c>
      <x:c r="AL80" s="2" t="s">
        <x:v>571</x:v>
      </x:c>
      <x:c r="AM80" s="2">
        <x:v>80</x:v>
      </x:c>
      <x:c r="AN80" s="2">
        <x:v>80</x:v>
      </x:c>
    </x:row>
    <x:row r="81" ht="52">
      <x:c r="A81" s="2" t="s">
        <x:v>6</x:v>
      </x:c>
      <x:c r="B81" s="2" t="s">
        <x:v>13</x:v>
      </x:c>
      <x:c r="C81" s="3">
        <x:v>79</x:v>
      </x:c>
      <x:c r="D81" s="2" t="s">
        <x:v>786</x:v>
      </x:c>
      <x:c r="E81" s="2" t="s">
        <x:v>787</x:v>
      </x:c>
      <x:c r="F81" s="2" t="s">
        <x:v>157</x:v>
      </x:c>
      <x:c r="G81" s="2"/>
      <x:c r="H81" s="2" t="s">
        <x:v>627</x:v>
      </x:c>
      <x:c r="I81" s="2" t="s">
        <x:v>784</x:v>
      </x:c>
      <x:c r="J81" s="2" t="s">
        <x:v>628</x:v>
      </x:c>
      <x:c r="K81" s="2" t="n">
        <x:v>78</x:v>
      </x:c>
      <x:c r="L81" s="2">
        <x:v>179</x:v>
      </x:c>
      <x:c r="M81" s="2" t="s">
        <x:v>788</x:v>
      </x:c>
      <x:c r="N81" s="2">
        <x:v>3</x:v>
      </x:c>
      <x:c r="O81" s="2" t="s">
        <x:v>721</x:v>
      </x:c>
      <x:c r="P81" s="2" t="s">
        <x:v>631</x:v>
      </x:c>
      <x:c r="Q81" s="2"/>
      <x:c r="R81" s="3">
        <x:v>3</x:v>
      </x:c>
      <x:c r="S81" s="3">
        <x:v>1</x:v>
      </x:c>
      <x:c r="T81" s="2" t="s">
        <x:v>103</x:v>
      </x:c>
      <x:c r="U81" s="2" t="s">
        <x:v>632</x:v>
      </x:c>
      <x:c r="V81" s="2" t="s">
        <x:v>154</x:v>
      </x:c>
      <x:c r="W81" s="2"/>
      <x:c r="X81" s="3"/>
      <x:c r="Y81" s="3"/>
      <x:c r="Z81" s="2"/>
      <x:c r="AA81" s="2"/>
      <x:c r="AB81" s="2"/>
      <x:c r="AC81" s="2"/>
      <x:c r="AD81" s="2"/>
      <x:c r="AE81" s="2"/>
      <x:c r="AF81" s="2"/>
      <x:c r="AG81" s="2"/>
      <x:c r="AH81" s="2"/>
      <x:c r="AI81" s="4"/>
      <x:c r="AJ81" s="2"/>
      <x:c r="AK81" s="2" t="s">
        <x:v>106</x:v>
      </x:c>
      <x:c r="AL81" s="2" t="s">
        <x:v>571</x:v>
      </x:c>
      <x:c r="AM81" s="2">
        <x:v>81</x:v>
      </x:c>
      <x:c r="AN81" s="2">
        <x:v>81</x:v>
      </x:c>
    </x:row>
    <x:row r="82" ht="39">
      <x:c r="A82" s="2" t="s">
        <x:v>6</x:v>
      </x:c>
      <x:c r="B82" s="2" t="s">
        <x:v>13</x:v>
      </x:c>
      <x:c r="C82" s="3">
        <x:v>80</x:v>
      </x:c>
      <x:c r="D82" s="2" t="s">
        <x:v>616</x:v>
      </x:c>
      <x:c r="E82" s="2" t="s">
        <x:v>789</x:v>
      </x:c>
      <x:c r="F82" s="2" t="s">
        <x:v>94</x:v>
      </x:c>
      <x:c r="G82" s="2"/>
      <x:c r="H82" s="2" t="s">
        <x:v>618</x:v>
      </x:c>
      <x:c r="I82" s="2" t="s">
        <x:v>790</x:v>
      </x:c>
      <x:c r="J82" s="2" t="s">
        <x:v>620</x:v>
      </x:c>
      <x:c r="K82" s="2"/>
      <x:c r="L82" s="2" t="s">
        <x:v>791</x:v>
      </x:c>
      <x:c r="M82" s="2" t="s">
        <x:v>622</x:v>
      </x:c>
      <x:c r="N82" s="2">
        <x:v>4</x:v>
      </x:c>
      <x:c r="O82" s="2" t="s">
        <x:v>623</x:v>
      </x:c>
      <x:c r="P82" s="2" t="s">
        <x:v>675</x:v>
      </x:c>
      <x:c r="Q82" s="2"/>
      <x:c r="R82" s="3">
        <x:v>4</x:v>
      </x:c>
      <x:c r="S82" s="3">
        <x:v>1</x:v>
      </x:c>
      <x:c r="T82" s="2" t="s">
        <x:v>103</x:v>
      </x:c>
      <x:c r="U82" s="2" t="s">
        <x:v>129</x:v>
      </x:c>
      <x:c r="V82" s="2" t="s">
        <x:v>105</x:v>
      </x:c>
      <x:c r="W82" s="2"/>
      <x:c r="X82" s="3"/>
      <x:c r="Y82" s="3"/>
      <x:c r="Z82" s="2"/>
      <x:c r="AA82" s="2"/>
      <x:c r="AB82" s="2"/>
      <x:c r="AC82" s="2"/>
      <x:c r="AD82" s="2"/>
      <x:c r="AE82" s="2"/>
      <x:c r="AF82" s="2"/>
      <x:c r="AG82" s="2"/>
      <x:c r="AH82" s="2"/>
      <x:c r="AI82" s="4"/>
      <x:c r="AJ82" s="2"/>
      <x:c r="AK82" s="2" t="s">
        <x:v>106</x:v>
      </x:c>
      <x:c r="AL82" s="2" t="s">
        <x:v>571</x:v>
      </x:c>
      <x:c r="AM82" s="2">
        <x:v>82</x:v>
      </x:c>
      <x:c r="AN82" s="2">
        <x:v>82</x:v>
      </x:c>
    </x:row>
    <x:row r="83" ht="65">
      <x:c r="A83" s="2" t="s">
        <x:v>6</x:v>
      </x:c>
      <x:c r="B83" s="2" t="s">
        <x:v>13</x:v>
      </x:c>
      <x:c r="C83" s="3">
        <x:v>81</x:v>
      </x:c>
      <x:c r="D83" s="2" t="s">
        <x:v>644</x:v>
      </x:c>
      <x:c r="E83" s="2" t="s">
        <x:v>733</x:v>
      </x:c>
      <x:c r="F83" s="2" t="s">
        <x:v>118</x:v>
      </x:c>
      <x:c r="G83" s="2"/>
      <x:c r="H83" s="2" t="s">
        <x:v>618</x:v>
      </x:c>
      <x:c r="I83" s="2" t="s">
        <x:v>792</x:v>
      </x:c>
      <x:c r="J83" s="2" t="s">
        <x:v>620</x:v>
      </x:c>
      <x:c r="K83" s="2"/>
      <x:c r="L83" s="2" t="s">
        <x:v>697</x:v>
      </x:c>
      <x:c r="M83" s="2" t="s">
        <x:v>648</x:v>
      </x:c>
      <x:c r="N83" s="2">
        <x:v>4</x:v>
      </x:c>
      <x:c r="O83" s="2" t="s">
        <x:v>623</x:v>
      </x:c>
      <x:c r="P83" s="2" t="s">
        <x:v>649</x:v>
      </x:c>
      <x:c r="Q83" s="2"/>
      <x:c r="R83" s="3">
        <x:v>2</x:v>
      </x:c>
      <x:c r="S83" s="3">
        <x:v>1</x:v>
      </x:c>
      <x:c r="T83" s="2" t="s">
        <x:v>103</x:v>
      </x:c>
      <x:c r="U83" s="2" t="s">
        <x:v>104</x:v>
      </x:c>
      <x:c r="V83" s="2" t="s">
        <x:v>123</x:v>
      </x:c>
      <x:c r="W83" s="2"/>
      <x:c r="X83" s="3"/>
      <x:c r="Y83" s="3"/>
      <x:c r="Z83" s="2"/>
      <x:c r="AA83" s="2"/>
      <x:c r="AB83" s="2"/>
      <x:c r="AC83" s="2"/>
      <x:c r="AD83" s="2"/>
      <x:c r="AE83" s="2"/>
      <x:c r="AF83" s="2"/>
      <x:c r="AG83" s="2"/>
      <x:c r="AH83" s="2"/>
      <x:c r="AI83" s="4"/>
      <x:c r="AJ83" s="2"/>
      <x:c r="AK83" s="2" t="s">
        <x:v>106</x:v>
      </x:c>
      <x:c r="AL83" s="2" t="s">
        <x:v>571</x:v>
      </x:c>
      <x:c r="AM83" s="2">
        <x:v>83</x:v>
      </x:c>
      <x:c r="AN83" s="2">
        <x:v>83</x:v>
      </x:c>
    </x:row>
    <x:row r="84" ht="65">
      <x:c r="A84" s="2" t="s">
        <x:v>91</x:v>
      </x:c>
      <x:c r="B84" s="2" t="s">
        <x:v>13</x:v>
      </x:c>
      <x:c r="C84" s="3">
        <x:v>82</x:v>
      </x:c>
      <x:c r="D84" s="2" t="s">
        <x:v>682</x:v>
      </x:c>
      <x:c r="E84" s="2" t="s">
        <x:v>741</x:v>
      </x:c>
      <x:c r="F84" s="2" t="s">
        <x:v>139</x:v>
      </x:c>
      <x:c r="G84" s="2" t="s">
        <x:v>793</x:v>
      </x:c>
      <x:c r="H84" s="2" t="s">
        <x:v>618</x:v>
      </x:c>
      <x:c r="I84" s="2" t="s">
        <x:v>794</x:v>
      </x:c>
      <x:c r="J84" s="2" t="s">
        <x:v>620</x:v>
      </x:c>
      <x:c r="K84" s="2"/>
      <x:c r="L84" s="2" t="s">
        <x:v>708</x:v>
      </x:c>
      <x:c r="M84" s="2" t="s">
        <x:v>648</x:v>
      </x:c>
      <x:c r="N84" s="2">
        <x:v>4</x:v>
      </x:c>
      <x:c r="O84" s="2" t="s">
        <x:v>623</x:v>
      </x:c>
      <x:c r="P84" s="2" t="s">
        <x:v>649</x:v>
      </x:c>
      <x:c r="Q84" s="2"/>
      <x:c r="R84" s="3">
        <x:v>3</x:v>
      </x:c>
      <x:c r="S84" s="3">
        <x:v>1</x:v>
      </x:c>
      <x:c r="T84" s="2" t="s">
        <x:v>103</x:v>
      </x:c>
      <x:c r="U84" s="2" t="s">
        <x:v>122</x:v>
      </x:c>
      <x:c r="V84" s="2" t="s">
        <x:v>136</x:v>
      </x:c>
      <x:c r="W84" s="2"/>
      <x:c r="X84" s="3"/>
      <x:c r="Y84" s="3"/>
      <x:c r="Z84" s="2"/>
      <x:c r="AA84" s="2"/>
      <x:c r="AB84" s="2"/>
      <x:c r="AC84" s="2"/>
      <x:c r="AD84" s="2"/>
      <x:c r="AE84" s="2"/>
      <x:c r="AF84" s="2"/>
      <x:c r="AG84" s="2"/>
      <x:c r="AH84" s="2"/>
      <x:c r="AI84" s="4"/>
      <x:c r="AJ84" s="2"/>
      <x:c r="AK84" s="2" t="s">
        <x:v>106</x:v>
      </x:c>
      <x:c r="AL84" s="2" t="s">
        <x:v>571</x:v>
      </x:c>
      <x:c r="AM84" s="2">
        <x:v>84</x:v>
      </x:c>
      <x:c r="AN84" s="2">
        <x:v>84</x:v>
      </x:c>
    </x:row>
    <x:row r="85" ht="39">
      <x:c r="A85" s="2" t="s">
        <x:v>91</x:v>
      </x:c>
      <x:c r="B85" s="2" t="s">
        <x:v>13</x:v>
      </x:c>
      <x:c r="C85" s="3">
        <x:v>83</x:v>
      </x:c>
      <x:c r="D85" s="2" t="s">
        <x:v>660</x:v>
      </x:c>
      <x:c r="E85" s="2" t="s">
        <x:v>795</x:v>
      </x:c>
      <x:c r="F85" s="2" t="s">
        <x:v>157</x:v>
      </x:c>
      <x:c r="G85" s="2" t="s">
        <x:v>662</x:v>
      </x:c>
      <x:c r="H85" s="2" t="s">
        <x:v>618</x:v>
      </x:c>
      <x:c r="I85" s="2" t="s">
        <x:v>796</x:v>
      </x:c>
      <x:c r="J85" s="2" t="s">
        <x:v>620</x:v>
      </x:c>
      <x:c r="K85" s="2"/>
      <x:c r="L85" s="2" t="s">
        <x:v>797</x:v>
      </x:c>
      <x:c r="M85" s="2" t="s">
        <x:v>622</x:v>
      </x:c>
      <x:c r="N85" s="2">
        <x:v>4</x:v>
      </x:c>
      <x:c r="O85" s="2" t="s">
        <x:v>623</x:v>
      </x:c>
      <x:c r="P85" s="2" t="s">
        <x:v>675</x:v>
      </x:c>
      <x:c r="Q85" s="2"/>
      <x:c r="R85" s="3">
        <x:v>4</x:v>
      </x:c>
      <x:c r="S85" s="3">
        <x:v>1</x:v>
      </x:c>
      <x:c r="T85" s="2" t="s">
        <x:v>103</x:v>
      </x:c>
      <x:c r="U85" s="2" t="s">
        <x:v>115</x:v>
      </x:c>
      <x:c r="V85" s="2" t="s">
        <x:v>154</x:v>
      </x:c>
      <x:c r="W85" s="2"/>
      <x:c r="X85" s="3"/>
      <x:c r="Y85" s="3"/>
      <x:c r="Z85" s="2"/>
      <x:c r="AA85" s="2"/>
      <x:c r="AB85" s="2"/>
      <x:c r="AC85" s="2"/>
      <x:c r="AD85" s="2"/>
      <x:c r="AE85" s="2"/>
      <x:c r="AF85" s="2"/>
      <x:c r="AG85" s="2"/>
      <x:c r="AH85" s="2"/>
      <x:c r="AI85" s="4"/>
      <x:c r="AJ85" s="2"/>
      <x:c r="AK85" s="2" t="s">
        <x:v>106</x:v>
      </x:c>
      <x:c r="AL85" s="2" t="s">
        <x:v>571</x:v>
      </x:c>
      <x:c r="AM85" s="2">
        <x:v>85</x:v>
      </x:c>
      <x:c r="AN85" s="2">
        <x:v>85</x:v>
      </x:c>
    </x:row>
    <x:row r="86" ht="39">
      <x:c r="A86" s="2" t="s">
        <x:v>91</x:v>
      </x:c>
      <x:c r="B86" s="2" t="s">
        <x:v>13</x:v>
      </x:c>
      <x:c r="C86" s="3">
        <x:v>84</x:v>
      </x:c>
      <x:c r="D86" s="2" t="s">
        <x:v>616</x:v>
      </x:c>
      <x:c r="E86" s="2" t="s">
        <x:v>617</x:v>
      </x:c>
      <x:c r="F86" s="2" t="s">
        <x:v>94</x:v>
      </x:c>
      <x:c r="G86" s="2" t="s">
        <x:v>798</x:v>
      </x:c>
      <x:c r="H86" s="2" t="s">
        <x:v>618</x:v>
      </x:c>
      <x:c r="I86" s="2" t="s">
        <x:v>799</x:v>
      </x:c>
      <x:c r="J86" s="2" t="s">
        <x:v>620</x:v>
      </x:c>
      <x:c r="K86" s="2"/>
      <x:c r="L86" s="2" t="s">
        <x:v>726</x:v>
      </x:c>
      <x:c r="M86" s="2" t="s">
        <x:v>622</x:v>
      </x:c>
      <x:c r="N86" s="2">
        <x:v>4</x:v>
      </x:c>
      <x:c r="O86" s="2" t="s">
        <x:v>623</x:v>
      </x:c>
      <x:c r="P86" s="2" t="s">
        <x:v>624</x:v>
      </x:c>
      <x:c r="Q86" s="2"/>
      <x:c r="R86" s="3">
        <x:v>2</x:v>
      </x:c>
      <x:c r="S86" s="3">
        <x:v>1</x:v>
      </x:c>
      <x:c r="T86" s="2" t="s">
        <x:v>103</x:v>
      </x:c>
      <x:c r="U86" s="2" t="s">
        <x:v>129</x:v>
      </x:c>
      <x:c r="V86" s="2" t="s">
        <x:v>105</x:v>
      </x:c>
      <x:c r="W86" s="2"/>
      <x:c r="X86" s="3"/>
      <x:c r="Y86" s="3"/>
      <x:c r="Z86" s="2"/>
      <x:c r="AA86" s="2"/>
      <x:c r="AB86" s="2"/>
      <x:c r="AC86" s="2"/>
      <x:c r="AD86" s="2"/>
      <x:c r="AE86" s="2"/>
      <x:c r="AF86" s="2"/>
      <x:c r="AG86" s="2"/>
      <x:c r="AH86" s="2"/>
      <x:c r="AI86" s="4"/>
      <x:c r="AJ86" s="2"/>
      <x:c r="AK86" s="2" t="s">
        <x:v>106</x:v>
      </x:c>
      <x:c r="AL86" s="2" t="s">
        <x:v>571</x:v>
      </x:c>
      <x:c r="AM86" s="2">
        <x:v>86</x:v>
      </x:c>
      <x:c r="AN86" s="2">
        <x:v>86</x:v>
      </x:c>
    </x:row>
    <x:row r="87" ht="65">
      <x:c r="A87" s="2" t="s">
        <x:v>6</x:v>
      </x:c>
      <x:c r="B87" s="2" t="s">
        <x:v>13</x:v>
      </x:c>
      <x:c r="C87" s="3">
        <x:v>85</x:v>
      </x:c>
      <x:c r="D87" s="2" t="s">
        <x:v>644</x:v>
      </x:c>
      <x:c r="E87" s="2" t="s">
        <x:v>645</x:v>
      </x:c>
      <x:c r="F87" s="2" t="s">
        <x:v>118</x:v>
      </x:c>
      <x:c r="G87" s="2"/>
      <x:c r="H87" s="2" t="s">
        <x:v>618</x:v>
      </x:c>
      <x:c r="I87" s="2" t="s">
        <x:v>800</x:v>
      </x:c>
      <x:c r="J87" s="2" t="s">
        <x:v>620</x:v>
      </x:c>
      <x:c r="K87" s="2"/>
      <x:c r="L87" s="2" t="s">
        <x:v>647</x:v>
      </x:c>
      <x:c r="M87" s="2" t="s">
        <x:v>648</x:v>
      </x:c>
      <x:c r="N87" s="2">
        <x:v>4</x:v>
      </x:c>
      <x:c r="O87" s="2" t="s">
        <x:v>623</x:v>
      </x:c>
      <x:c r="P87" s="2" t="s">
        <x:v>649</x:v>
      </x:c>
      <x:c r="Q87" s="2"/>
      <x:c r="R87" s="3">
        <x:v>3</x:v>
      </x:c>
      <x:c r="S87" s="3">
        <x:v>1</x:v>
      </x:c>
      <x:c r="T87" s="2" t="s">
        <x:v>103</x:v>
      </x:c>
      <x:c r="U87" s="2" t="s">
        <x:v>104</x:v>
      </x:c>
      <x:c r="V87" s="2" t="s">
        <x:v>123</x:v>
      </x:c>
      <x:c r="W87" s="2"/>
      <x:c r="X87" s="3"/>
      <x:c r="Y87" s="3"/>
      <x:c r="Z87" s="2"/>
      <x:c r="AA87" s="2"/>
      <x:c r="AB87" s="2"/>
      <x:c r="AC87" s="2"/>
      <x:c r="AD87" s="2"/>
      <x:c r="AE87" s="2"/>
      <x:c r="AF87" s="2"/>
      <x:c r="AG87" s="2"/>
      <x:c r="AH87" s="2"/>
      <x:c r="AI87" s="4"/>
      <x:c r="AJ87" s="2"/>
      <x:c r="AK87" s="2" t="s">
        <x:v>106</x:v>
      </x:c>
      <x:c r="AL87" s="2" t="s">
        <x:v>571</x:v>
      </x:c>
      <x:c r="AM87" s="2">
        <x:v>87</x:v>
      </x:c>
      <x:c r="AN87" s="2">
        <x:v>87</x:v>
      </x:c>
    </x:row>
    <x:row r="88" ht="65">
      <x:c r="A88" s="2" t="s">
        <x:v>91</x:v>
      </x:c>
      <x:c r="B88" s="2" t="s">
        <x:v>13</x:v>
      </x:c>
      <x:c r="C88" s="3">
        <x:v>86</x:v>
      </x:c>
      <x:c r="D88" s="2" t="s">
        <x:v>682</x:v>
      </x:c>
      <x:c r="E88" s="2" t="s">
        <x:v>683</x:v>
      </x:c>
      <x:c r="F88" s="2" t="s">
        <x:v>139</x:v>
      </x:c>
      <x:c r="G88" s="2" t="s">
        <x:v>778</x:v>
      </x:c>
      <x:c r="H88" s="2" t="s">
        <x:v>618</x:v>
      </x:c>
      <x:c r="I88" s="2" t="s">
        <x:v>801</x:v>
      </x:c>
      <x:c r="J88" s="2" t="s">
        <x:v>620</x:v>
      </x:c>
      <x:c r="K88" s="2"/>
      <x:c r="L88" s="2" t="s">
        <x:v>802</x:v>
      </x:c>
      <x:c r="M88" s="2" t="s">
        <x:v>648</x:v>
      </x:c>
      <x:c r="N88" s="2">
        <x:v>4</x:v>
      </x:c>
      <x:c r="O88" s="2" t="s">
        <x:v>623</x:v>
      </x:c>
      <x:c r="P88" s="2" t="s">
        <x:v>649</x:v>
      </x:c>
      <x:c r="Q88" s="2"/>
      <x:c r="R88" s="3">
        <x:v>4</x:v>
      </x:c>
      <x:c r="S88" s="3">
        <x:v>1</x:v>
      </x:c>
      <x:c r="T88" s="2" t="s">
        <x:v>103</x:v>
      </x:c>
      <x:c r="U88" s="2" t="s">
        <x:v>122</x:v>
      </x:c>
      <x:c r="V88" s="2" t="s">
        <x:v>136</x:v>
      </x:c>
      <x:c r="W88" s="2"/>
      <x:c r="X88" s="3"/>
      <x:c r="Y88" s="3"/>
      <x:c r="Z88" s="2"/>
      <x:c r="AA88" s="2"/>
      <x:c r="AB88" s="2"/>
      <x:c r="AC88" s="2"/>
      <x:c r="AD88" s="2"/>
      <x:c r="AE88" s="2"/>
      <x:c r="AF88" s="2"/>
      <x:c r="AG88" s="2"/>
      <x:c r="AH88" s="2"/>
      <x:c r="AI88" s="4"/>
      <x:c r="AJ88" s="2"/>
      <x:c r="AK88" s="2" t="s">
        <x:v>106</x:v>
      </x:c>
      <x:c r="AL88" s="2" t="s">
        <x:v>571</x:v>
      </x:c>
      <x:c r="AM88" s="2">
        <x:v>88</x:v>
      </x:c>
      <x:c r="AN88" s="2">
        <x:v>88</x:v>
      </x:c>
    </x:row>
    <x:row r="89" ht="39">
      <x:c r="A89" s="2" t="s">
        <x:v>91</x:v>
      </x:c>
      <x:c r="B89" s="2" t="s">
        <x:v>13</x:v>
      </x:c>
      <x:c r="C89" s="3">
        <x:v>87</x:v>
      </x:c>
      <x:c r="D89" s="2" t="s">
        <x:v>660</x:v>
      </x:c>
      <x:c r="E89" s="2" t="s">
        <x:v>661</x:v>
      </x:c>
      <x:c r="F89" s="2" t="s">
        <x:v>157</x:v>
      </x:c>
      <x:c r="G89" s="2" t="s">
        <x:v>662</x:v>
      </x:c>
      <x:c r="H89" s="2" t="s">
        <x:v>618</x:v>
      </x:c>
      <x:c r="I89" s="2" t="s">
        <x:v>803</x:v>
      </x:c>
      <x:c r="J89" s="2" t="s">
        <x:v>620</x:v>
      </x:c>
      <x:c r="K89" s="2"/>
      <x:c r="L89" s="2" t="s">
        <x:v>804</x:v>
      </x:c>
      <x:c r="M89" s="2" t="s">
        <x:v>622</x:v>
      </x:c>
      <x:c r="N89" s="2">
        <x:v>4</x:v>
      </x:c>
      <x:c r="O89" s="2" t="s">
        <x:v>623</x:v>
      </x:c>
      <x:c r="P89" s="2" t="s">
        <x:v>624</x:v>
      </x:c>
      <x:c r="Q89" s="2"/>
      <x:c r="R89" s="3">
        <x:v>2</x:v>
      </x:c>
      <x:c r="S89" s="3">
        <x:v>1</x:v>
      </x:c>
      <x:c r="T89" s="2" t="s">
        <x:v>103</x:v>
      </x:c>
      <x:c r="U89" s="2" t="s">
        <x:v>115</x:v>
      </x:c>
      <x:c r="V89" s="2" t="s">
        <x:v>154</x:v>
      </x:c>
      <x:c r="W89" s="2"/>
      <x:c r="X89" s="3"/>
      <x:c r="Y89" s="3"/>
      <x:c r="Z89" s="2"/>
      <x:c r="AA89" s="2"/>
      <x:c r="AB89" s="2"/>
      <x:c r="AC89" s="2"/>
      <x:c r="AD89" s="2"/>
      <x:c r="AE89" s="2"/>
      <x:c r="AF89" s="2"/>
      <x:c r="AG89" s="2"/>
      <x:c r="AH89" s="2"/>
      <x:c r="AI89" s="4"/>
      <x:c r="AJ89" s="2"/>
      <x:c r="AK89" s="2" t="s">
        <x:v>106</x:v>
      </x:c>
      <x:c r="AL89" s="2" t="s">
        <x:v>571</x:v>
      </x:c>
      <x:c r="AM89" s="2">
        <x:v>89</x:v>
      </x:c>
      <x:c r="AN89" s="2">
        <x:v>89</x:v>
      </x:c>
    </x:row>
    <x:row r="90" ht="39">
      <x:c r="A90" s="2" t="s">
        <x:v>91</x:v>
      </x:c>
      <x:c r="B90" s="2" t="s">
        <x:v>13</x:v>
      </x:c>
      <x:c r="C90" s="3">
        <x:v>88</x:v>
      </x:c>
      <x:c r="D90" s="2" t="s">
        <x:v>616</x:v>
      </x:c>
      <x:c r="E90" s="2" t="s">
        <x:v>672</x:v>
      </x:c>
      <x:c r="F90" s="2" t="s">
        <x:v>94</x:v>
      </x:c>
      <x:c r="G90" s="2" t="s">
        <x:v>805</x:v>
      </x:c>
      <x:c r="H90" s="2" t="s">
        <x:v>618</x:v>
      </x:c>
      <x:c r="I90" s="2" t="s">
        <x:v>806</x:v>
      </x:c>
      <x:c r="J90" s="2" t="s">
        <x:v>620</x:v>
      </x:c>
      <x:c r="K90" s="2"/>
      <x:c r="L90" s="2" t="s">
        <x:v>807</x:v>
      </x:c>
      <x:c r="M90" s="2" t="s">
        <x:v>622</x:v>
      </x:c>
      <x:c r="N90" s="2">
        <x:v>4</x:v>
      </x:c>
      <x:c r="O90" s="2" t="s">
        <x:v>623</x:v>
      </x:c>
      <x:c r="P90" s="2" t="s">
        <x:v>675</x:v>
      </x:c>
      <x:c r="Q90" s="2"/>
      <x:c r="R90" s="3">
        <x:v>3</x:v>
      </x:c>
      <x:c r="S90" s="3">
        <x:v>1</x:v>
      </x:c>
      <x:c r="T90" s="2" t="s">
        <x:v>103</x:v>
      </x:c>
      <x:c r="U90" s="2" t="s">
        <x:v>129</x:v>
      </x:c>
      <x:c r="V90" s="2" t="s">
        <x:v>105</x:v>
      </x:c>
      <x:c r="W90" s="2"/>
      <x:c r="X90" s="3"/>
      <x:c r="Y90" s="3"/>
      <x:c r="Z90" s="2"/>
      <x:c r="AA90" s="2"/>
      <x:c r="AB90" s="2"/>
      <x:c r="AC90" s="2"/>
      <x:c r="AD90" s="2"/>
      <x:c r="AE90" s="2"/>
      <x:c r="AF90" s="2"/>
      <x:c r="AG90" s="2"/>
      <x:c r="AH90" s="2"/>
      <x:c r="AI90" s="4"/>
      <x:c r="AJ90" s="2"/>
      <x:c r="AK90" s="2" t="s">
        <x:v>106</x:v>
      </x:c>
      <x:c r="AL90" s="2" t="s">
        <x:v>571</x:v>
      </x:c>
      <x:c r="AM90" s="2">
        <x:v>90</x:v>
      </x:c>
      <x:c r="AN90" s="2">
        <x:v>90</x:v>
      </x:c>
    </x:row>
    <x:row r="91" ht="65">
      <x:c r="A91" s="2" t="s">
        <x:v>6</x:v>
      </x:c>
      <x:c r="B91" s="2" t="s">
        <x:v>13</x:v>
      </x:c>
      <x:c r="C91" s="3">
        <x:v>89</x:v>
      </x:c>
      <x:c r="D91" s="2" t="s">
        <x:v>644</x:v>
      </x:c>
      <x:c r="E91" s="2" t="s">
        <x:v>694</x:v>
      </x:c>
      <x:c r="F91" s="2" t="s">
        <x:v>118</x:v>
      </x:c>
      <x:c r="G91" s="2"/>
      <x:c r="H91" s="2" t="s">
        <x:v>618</x:v>
      </x:c>
      <x:c r="I91" s="2" t="s">
        <x:v>808</x:v>
      </x:c>
      <x:c r="J91" s="2" t="s">
        <x:v>620</x:v>
      </x:c>
      <x:c r="K91" s="2"/>
      <x:c r="L91" s="2" t="s">
        <x:v>697</x:v>
      </x:c>
      <x:c r="M91" s="2" t="s">
        <x:v>648</x:v>
      </x:c>
      <x:c r="N91" s="2">
        <x:v>4</x:v>
      </x:c>
      <x:c r="O91" s="2" t="s">
        <x:v>623</x:v>
      </x:c>
      <x:c r="P91" s="2" t="s">
        <x:v>649</x:v>
      </x:c>
      <x:c r="Q91" s="2"/>
      <x:c r="R91" s="3">
        <x:v>4</x:v>
      </x:c>
      <x:c r="S91" s="3">
        <x:v>1</x:v>
      </x:c>
      <x:c r="T91" s="2" t="s">
        <x:v>103</x:v>
      </x:c>
      <x:c r="U91" s="2" t="s">
        <x:v>104</x:v>
      </x:c>
      <x:c r="V91" s="2" t="s">
        <x:v>123</x:v>
      </x:c>
      <x:c r="W91" s="2"/>
      <x:c r="X91" s="3"/>
      <x:c r="Y91" s="3"/>
      <x:c r="Z91" s="2"/>
      <x:c r="AA91" s="2"/>
      <x:c r="AB91" s="2"/>
      <x:c r="AC91" s="2"/>
      <x:c r="AD91" s="2"/>
      <x:c r="AE91" s="2"/>
      <x:c r="AF91" s="2"/>
      <x:c r="AG91" s="2"/>
      <x:c r="AH91" s="2"/>
      <x:c r="AI91" s="4"/>
      <x:c r="AJ91" s="2"/>
      <x:c r="AK91" s="2" t="s">
        <x:v>106</x:v>
      </x:c>
      <x:c r="AL91" s="2" t="s">
        <x:v>571</x:v>
      </x:c>
      <x:c r="AM91" s="2">
        <x:v>91</x:v>
      </x:c>
      <x:c r="AN91" s="2">
        <x:v>91</x:v>
      </x:c>
    </x:row>
    <x:row r="92" ht="65">
      <x:c r="A92" s="2" t="s">
        <x:v>91</x:v>
      </x:c>
      <x:c r="B92" s="2" t="s">
        <x:v>13</x:v>
      </x:c>
      <x:c r="C92" s="3">
        <x:v>90</x:v>
      </x:c>
      <x:c r="D92" s="2" t="s">
        <x:v>682</x:v>
      </x:c>
      <x:c r="E92" s="2" t="s">
        <x:v>705</x:v>
      </x:c>
      <x:c r="F92" s="2" t="s">
        <x:v>139</x:v>
      </x:c>
      <x:c r="G92" s="2" t="s">
        <x:v>706</x:v>
      </x:c>
      <x:c r="H92" s="2" t="s">
        <x:v>618</x:v>
      </x:c>
      <x:c r="I92" s="2" t="s">
        <x:v>809</x:v>
      </x:c>
      <x:c r="J92" s="2" t="s">
        <x:v>620</x:v>
      </x:c>
      <x:c r="K92" s="2"/>
      <x:c r="L92" s="2" t="s">
        <x:v>763</x:v>
      </x:c>
      <x:c r="M92" s="2" t="s">
        <x:v>648</x:v>
      </x:c>
      <x:c r="N92" s="2">
        <x:v>4</x:v>
      </x:c>
      <x:c r="O92" s="2" t="s">
        <x:v>623</x:v>
      </x:c>
      <x:c r="P92" s="2" t="s">
        <x:v>649</x:v>
      </x:c>
      <x:c r="Q92" s="2"/>
      <x:c r="R92" s="3">
        <x:v>2</x:v>
      </x:c>
      <x:c r="S92" s="3">
        <x:v>1</x:v>
      </x:c>
      <x:c r="T92" s="2" t="s">
        <x:v>103</x:v>
      </x:c>
      <x:c r="U92" s="2" t="s">
        <x:v>122</x:v>
      </x:c>
      <x:c r="V92" s="2" t="s">
        <x:v>136</x:v>
      </x:c>
      <x:c r="W92" s="2"/>
      <x:c r="X92" s="3"/>
      <x:c r="Y92" s="3"/>
      <x:c r="Z92" s="2"/>
      <x:c r="AA92" s="2"/>
      <x:c r="AB92" s="2"/>
      <x:c r="AC92" s="2"/>
      <x:c r="AD92" s="2"/>
      <x:c r="AE92" s="2"/>
      <x:c r="AF92" s="2"/>
      <x:c r="AG92" s="2"/>
      <x:c r="AH92" s="2"/>
      <x:c r="AI92" s="4"/>
      <x:c r="AJ92" s="2"/>
      <x:c r="AK92" s="2" t="s">
        <x:v>106</x:v>
      </x:c>
      <x:c r="AL92" s="2" t="s">
        <x:v>571</x:v>
      </x:c>
      <x:c r="AM92" s="2">
        <x:v>92</x:v>
      </x:c>
      <x:c r="AN92" s="2">
        <x:v>92</x:v>
      </x:c>
    </x:row>
    <x:row r="93" ht="39">
      <x:c r="A93" s="2" t="s">
        <x:v>6</x:v>
      </x:c>
      <x:c r="B93" s="2" t="s">
        <x:v>13</x:v>
      </x:c>
      <x:c r="C93" s="3">
        <x:v>91</x:v>
      </x:c>
      <x:c r="D93" s="2" t="s">
        <x:v>660</x:v>
      </x:c>
      <x:c r="E93" s="2" t="s">
        <x:v>715</x:v>
      </x:c>
      <x:c r="F93" s="2" t="s">
        <x:v>157</x:v>
      </x:c>
      <x:c r="G93" s="2"/>
      <x:c r="H93" s="2" t="s">
        <x:v>618</x:v>
      </x:c>
      <x:c r="I93" s="2" t="s">
        <x:v>810</x:v>
      </x:c>
      <x:c r="J93" s="2" t="s">
        <x:v>620</x:v>
      </x:c>
      <x:c r="K93" s="2"/>
      <x:c r="L93" s="2" t="s">
        <x:v>811</x:v>
      </x:c>
      <x:c r="M93" s="2" t="s">
        <x:v>622</x:v>
      </x:c>
      <x:c r="N93" s="2">
        <x:v>4</x:v>
      </x:c>
      <x:c r="O93" s="2" t="s">
        <x:v>623</x:v>
      </x:c>
      <x:c r="P93" s="2" t="s">
        <x:v>675</x:v>
      </x:c>
      <x:c r="Q93" s="2"/>
      <x:c r="R93" s="3">
        <x:v>3</x:v>
      </x:c>
      <x:c r="S93" s="3">
        <x:v>1</x:v>
      </x:c>
      <x:c r="T93" s="2" t="s">
        <x:v>103</x:v>
      </x:c>
      <x:c r="U93" s="2" t="s">
        <x:v>115</x:v>
      </x:c>
      <x:c r="V93" s="2" t="s">
        <x:v>154</x:v>
      </x:c>
      <x:c r="W93" s="2"/>
      <x:c r="X93" s="3"/>
      <x:c r="Y93" s="3"/>
      <x:c r="Z93" s="2"/>
      <x:c r="AA93" s="2"/>
      <x:c r="AB93" s="2"/>
      <x:c r="AC93" s="2"/>
      <x:c r="AD93" s="2"/>
      <x:c r="AE93" s="2"/>
      <x:c r="AF93" s="2"/>
      <x:c r="AG93" s="2"/>
      <x:c r="AH93" s="2"/>
      <x:c r="AI93" s="4"/>
      <x:c r="AJ93" s="2"/>
      <x:c r="AK93" s="2" t="s">
        <x:v>106</x:v>
      </x:c>
      <x:c r="AL93" s="2" t="s">
        <x:v>571</x:v>
      </x:c>
      <x:c r="AM93" s="2">
        <x:v>93</x:v>
      </x:c>
      <x:c r="AN93" s="2">
        <x:v>93</x:v>
      </x:c>
    </x:row>
    <x:row r="94" ht="39">
      <x:c r="A94" s="2" t="s">
        <x:v>6</x:v>
      </x:c>
      <x:c r="B94" s="2" t="s">
        <x:v>13</x:v>
      </x:c>
      <x:c r="C94" s="3">
        <x:v>92</x:v>
      </x:c>
      <x:c r="D94" s="2" t="s">
        <x:v>616</x:v>
      </x:c>
      <x:c r="E94" s="2" t="s">
        <x:v>724</x:v>
      </x:c>
      <x:c r="F94" s="2" t="s">
        <x:v>94</x:v>
      </x:c>
      <x:c r="G94" s="2"/>
      <x:c r="H94" s="2" t="s">
        <x:v>618</x:v>
      </x:c>
      <x:c r="I94" s="2" t="s">
        <x:v>812</x:v>
      </x:c>
      <x:c r="J94" s="2" t="s">
        <x:v>620</x:v>
      </x:c>
      <x:c r="K94" s="2"/>
      <x:c r="L94" s="2" t="s">
        <x:v>621</x:v>
      </x:c>
      <x:c r="M94" s="2" t="s">
        <x:v>622</x:v>
      </x:c>
      <x:c r="N94" s="2">
        <x:v>4</x:v>
      </x:c>
      <x:c r="O94" s="2" t="s">
        <x:v>623</x:v>
      </x:c>
      <x:c r="P94" s="2" t="s">
        <x:v>624</x:v>
      </x:c>
      <x:c r="Q94" s="2"/>
      <x:c r="R94" s="3">
        <x:v>4</x:v>
      </x:c>
      <x:c r="S94" s="3">
        <x:v>1</x:v>
      </x:c>
      <x:c r="T94" s="2" t="s">
        <x:v>103</x:v>
      </x:c>
      <x:c r="U94" s="2" t="s">
        <x:v>129</x:v>
      </x:c>
      <x:c r="V94" s="2" t="s">
        <x:v>105</x:v>
      </x:c>
      <x:c r="W94" s="2"/>
      <x:c r="X94" s="3"/>
      <x:c r="Y94" s="3"/>
      <x:c r="Z94" s="2"/>
      <x:c r="AA94" s="2"/>
      <x:c r="AB94" s="2"/>
      <x:c r="AC94" s="2"/>
      <x:c r="AD94" s="2"/>
      <x:c r="AE94" s="2"/>
      <x:c r="AF94" s="2"/>
      <x:c r="AG94" s="2"/>
      <x:c r="AH94" s="2"/>
      <x:c r="AI94" s="4"/>
      <x:c r="AJ94" s="2"/>
      <x:c r="AK94" s="2" t="s">
        <x:v>106</x:v>
      </x:c>
      <x:c r="AL94" s="2" t="s">
        <x:v>571</x:v>
      </x:c>
      <x:c r="AM94" s="2">
        <x:v>94</x:v>
      </x:c>
      <x:c r="AN94" s="2">
        <x:v>94</x:v>
      </x:c>
    </x:row>
    <x:row r="95" ht="65">
      <x:c r="A95" s="2" t="s">
        <x:v>6</x:v>
      </x:c>
      <x:c r="B95" s="2" t="s">
        <x:v>13</x:v>
      </x:c>
      <x:c r="C95" s="3">
        <x:v>93</x:v>
      </x:c>
      <x:c r="D95" s="2" t="s">
        <x:v>644</x:v>
      </x:c>
      <x:c r="E95" s="2" t="s">
        <x:v>733</x:v>
      </x:c>
      <x:c r="F95" s="2" t="s">
        <x:v>118</x:v>
      </x:c>
      <x:c r="G95" s="2"/>
      <x:c r="H95" s="2" t="s">
        <x:v>618</x:v>
      </x:c>
      <x:c r="I95" s="2" t="s">
        <x:v>813</x:v>
      </x:c>
      <x:c r="J95" s="2" t="s">
        <x:v>620</x:v>
      </x:c>
      <x:c r="K95" s="2"/>
      <x:c r="L95" s="2" t="s">
        <x:v>735</x:v>
      </x:c>
      <x:c r="M95" s="2" t="s">
        <x:v>648</x:v>
      </x:c>
      <x:c r="N95" s="2">
        <x:v>4</x:v>
      </x:c>
      <x:c r="O95" s="2" t="s">
        <x:v>623</x:v>
      </x:c>
      <x:c r="P95" s="2" t="s">
        <x:v>649</x:v>
      </x:c>
      <x:c r="Q95" s="2"/>
      <x:c r="R95" s="3">
        <x:v>2</x:v>
      </x:c>
      <x:c r="S95" s="3">
        <x:v>1</x:v>
      </x:c>
      <x:c r="T95" s="2" t="s">
        <x:v>103</x:v>
      </x:c>
      <x:c r="U95" s="2" t="s">
        <x:v>104</x:v>
      </x:c>
      <x:c r="V95" s="2" t="s">
        <x:v>123</x:v>
      </x:c>
      <x:c r="W95" s="2"/>
      <x:c r="X95" s="3"/>
      <x:c r="Y95" s="3"/>
      <x:c r="Z95" s="2"/>
      <x:c r="AA95" s="2"/>
      <x:c r="AB95" s="2"/>
      <x:c r="AC95" s="2"/>
      <x:c r="AD95" s="2"/>
      <x:c r="AE95" s="2"/>
      <x:c r="AF95" s="2"/>
      <x:c r="AG95" s="2"/>
      <x:c r="AH95" s="2"/>
      <x:c r="AI95" s="4"/>
      <x:c r="AJ95" s="2"/>
      <x:c r="AK95" s="2" t="s">
        <x:v>106</x:v>
      </x:c>
      <x:c r="AL95" s="2" t="s">
        <x:v>571</x:v>
      </x:c>
      <x:c r="AM95" s="2">
        <x:v>95</x:v>
      </x:c>
      <x:c r="AN95" s="2">
        <x:v>95</x:v>
      </x:c>
    </x:row>
    <x:row r="96" ht="65">
      <x:c r="A96" s="2" t="s">
        <x:v>91</x:v>
      </x:c>
      <x:c r="B96" s="2" t="s">
        <x:v>13</x:v>
      </x:c>
      <x:c r="C96" s="3">
        <x:v>94</x:v>
      </x:c>
      <x:c r="D96" s="2" t="s">
        <x:v>682</x:v>
      </x:c>
      <x:c r="E96" s="2" t="s">
        <x:v>741</x:v>
      </x:c>
      <x:c r="F96" s="2" t="s">
        <x:v>139</x:v>
      </x:c>
      <x:c r="G96" s="2" t="s">
        <x:v>778</x:v>
      </x:c>
      <x:c r="H96" s="2" t="s">
        <x:v>618</x:v>
      </x:c>
      <x:c r="I96" s="2" t="s">
        <x:v>814</x:v>
      </x:c>
      <x:c r="J96" s="2" t="s">
        <x:v>620</x:v>
      </x:c>
      <x:c r="K96" s="2"/>
      <x:c r="L96" s="2" t="s">
        <x:v>685</x:v>
      </x:c>
      <x:c r="M96" s="2" t="s">
        <x:v>648</x:v>
      </x:c>
      <x:c r="N96" s="2">
        <x:v>4</x:v>
      </x:c>
      <x:c r="O96" s="2" t="s">
        <x:v>623</x:v>
      </x:c>
      <x:c r="P96" s="2" t="s">
        <x:v>649</x:v>
      </x:c>
      <x:c r="Q96" s="2"/>
      <x:c r="R96" s="3">
        <x:v>3</x:v>
      </x:c>
      <x:c r="S96" s="3">
        <x:v>1</x:v>
      </x:c>
      <x:c r="T96" s="2" t="s">
        <x:v>103</x:v>
      </x:c>
      <x:c r="U96" s="2" t="s">
        <x:v>122</x:v>
      </x:c>
      <x:c r="V96" s="2" t="s">
        <x:v>136</x:v>
      </x:c>
      <x:c r="W96" s="2"/>
      <x:c r="X96" s="3"/>
      <x:c r="Y96" s="3"/>
      <x:c r="Z96" s="2"/>
      <x:c r="AA96" s="2"/>
      <x:c r="AB96" s="2"/>
      <x:c r="AC96" s="2"/>
      <x:c r="AD96" s="2"/>
      <x:c r="AE96" s="2"/>
      <x:c r="AF96" s="2"/>
      <x:c r="AG96" s="2"/>
      <x:c r="AH96" s="2"/>
      <x:c r="AI96" s="4"/>
      <x:c r="AJ96" s="2"/>
      <x:c r="AK96" s="2" t="s">
        <x:v>106</x:v>
      </x:c>
      <x:c r="AL96" s="2" t="s">
        <x:v>571</x:v>
      </x:c>
      <x:c r="AM96" s="2">
        <x:v>96</x:v>
      </x:c>
      <x:c r="AN96" s="2">
        <x:v>96</x:v>
      </x:c>
    </x:row>
    <x:row r="97" ht="39">
      <x:c r="A97" s="2" t="s">
        <x:v>91</x:v>
      </x:c>
      <x:c r="B97" s="2" t="s">
        <x:v>13</x:v>
      </x:c>
      <x:c r="C97" s="3">
        <x:v>95</x:v>
      </x:c>
      <x:c r="D97" s="2" t="s">
        <x:v>660</x:v>
      </x:c>
      <x:c r="E97" s="2" t="s">
        <x:v>748</x:v>
      </x:c>
      <x:c r="F97" s="2" t="s">
        <x:v>157</x:v>
      </x:c>
      <x:c r="G97" s="2" t="s">
        <x:v>815</x:v>
      </x:c>
      <x:c r="H97" s="2" t="s">
        <x:v>618</x:v>
      </x:c>
      <x:c r="I97" s="2" t="s">
        <x:v>816</x:v>
      </x:c>
      <x:c r="J97" s="2" t="s">
        <x:v>620</x:v>
      </x:c>
      <x:c r="K97" s="2"/>
      <x:c r="L97" s="2" t="s">
        <x:v>664</x:v>
      </x:c>
      <x:c r="M97" s="2" t="s">
        <x:v>622</x:v>
      </x:c>
      <x:c r="N97" s="2">
        <x:v>4</x:v>
      </x:c>
      <x:c r="O97" s="2" t="s">
        <x:v>623</x:v>
      </x:c>
      <x:c r="P97" s="2" t="s">
        <x:v>624</x:v>
      </x:c>
      <x:c r="Q97" s="2"/>
      <x:c r="R97" s="3">
        <x:v>4</x:v>
      </x:c>
      <x:c r="S97" s="3">
        <x:v>1</x:v>
      </x:c>
      <x:c r="T97" s="2" t="s">
        <x:v>103</x:v>
      </x:c>
      <x:c r="U97" s="2" t="s">
        <x:v>115</x:v>
      </x:c>
      <x:c r="V97" s="2" t="s">
        <x:v>154</x:v>
      </x:c>
      <x:c r="W97" s="2"/>
      <x:c r="X97" s="3"/>
      <x:c r="Y97" s="3"/>
      <x:c r="Z97" s="2"/>
      <x:c r="AA97" s="2"/>
      <x:c r="AB97" s="2"/>
      <x:c r="AC97" s="2"/>
      <x:c r="AD97" s="2"/>
      <x:c r="AE97" s="2"/>
      <x:c r="AF97" s="2"/>
      <x:c r="AG97" s="2"/>
      <x:c r="AH97" s="2"/>
      <x:c r="AI97" s="4"/>
      <x:c r="AJ97" s="2"/>
      <x:c r="AK97" s="2" t="s">
        <x:v>106</x:v>
      </x:c>
      <x:c r="AL97" s="2" t="s">
        <x:v>571</x:v>
      </x:c>
      <x:c r="AM97" s="2">
        <x:v>97</x:v>
      </x:c>
      <x:c r="AN97" s="2">
        <x:v>97</x:v>
      </x:c>
    </x:row>
    <x:row r="98" ht="39">
      <x:c r="A98" s="2" t="s">
        <x:v>6</x:v>
      </x:c>
      <x:c r="B98" s="2" t="s">
        <x:v>13</x:v>
      </x:c>
      <x:c r="C98" s="3">
        <x:v>96</x:v>
      </x:c>
      <x:c r="D98" s="2" t="s">
        <x:v>616</x:v>
      </x:c>
      <x:c r="E98" s="2" t="s">
        <x:v>754</x:v>
      </x:c>
      <x:c r="F98" s="2" t="s">
        <x:v>94</x:v>
      </x:c>
      <x:c r="G98" s="2"/>
      <x:c r="H98" s="2" t="s">
        <x:v>618</x:v>
      </x:c>
      <x:c r="I98" s="2" t="s">
        <x:v>817</x:v>
      </x:c>
      <x:c r="J98" s="2" t="s">
        <x:v>620</x:v>
      </x:c>
      <x:c r="K98" s="2"/>
      <x:c r="L98" s="2" t="s">
        <x:v>674</x:v>
      </x:c>
      <x:c r="M98" s="2" t="s">
        <x:v>622</x:v>
      </x:c>
      <x:c r="N98" s="2">
        <x:v>4</x:v>
      </x:c>
      <x:c r="O98" s="2" t="s">
        <x:v>623</x:v>
      </x:c>
      <x:c r="P98" s="2" t="s">
        <x:v>675</x:v>
      </x:c>
      <x:c r="Q98" s="2"/>
      <x:c r="R98" s="3">
        <x:v>2</x:v>
      </x:c>
      <x:c r="S98" s="3">
        <x:v>1</x:v>
      </x:c>
      <x:c r="T98" s="2" t="s">
        <x:v>103</x:v>
      </x:c>
      <x:c r="U98" s="2" t="s">
        <x:v>129</x:v>
      </x:c>
      <x:c r="V98" s="2" t="s">
        <x:v>105</x:v>
      </x:c>
      <x:c r="W98" s="2"/>
      <x:c r="X98" s="3"/>
      <x:c r="Y98" s="3"/>
      <x:c r="Z98" s="2"/>
      <x:c r="AA98" s="2"/>
      <x:c r="AB98" s="2"/>
      <x:c r="AC98" s="2"/>
      <x:c r="AD98" s="2"/>
      <x:c r="AE98" s="2"/>
      <x:c r="AF98" s="2"/>
      <x:c r="AG98" s="2"/>
      <x:c r="AH98" s="2"/>
      <x:c r="AI98" s="4"/>
      <x:c r="AJ98" s="2"/>
      <x:c r="AK98" s="2" t="s">
        <x:v>106</x:v>
      </x:c>
      <x:c r="AL98" s="2" t="s">
        <x:v>571</x:v>
      </x:c>
      <x:c r="AM98" s="2">
        <x:v>98</x:v>
      </x:c>
      <x:c r="AN98" s="2">
        <x:v>98</x:v>
      </x:c>
    </x:row>
    <x:row r="99" ht="65">
      <x:c r="A99" s="2" t="s">
        <x:v>91</x:v>
      </x:c>
      <x:c r="B99" s="2" t="s">
        <x:v>13</x:v>
      </x:c>
      <x:c r="C99" s="3">
        <x:v>97</x:v>
      </x:c>
      <x:c r="D99" s="2" t="s">
        <x:v>644</x:v>
      </x:c>
      <x:c r="E99" s="2" t="s">
        <x:v>645</x:v>
      </x:c>
      <x:c r="F99" s="2" t="s">
        <x:v>118</x:v>
      </x:c>
      <x:c r="G99" s="2" t="s">
        <x:v>695</x:v>
      </x:c>
      <x:c r="H99" s="2" t="s">
        <x:v>618</x:v>
      </x:c>
      <x:c r="I99" s="2" t="s">
        <x:v>818</x:v>
      </x:c>
      <x:c r="J99" s="2" t="s">
        <x:v>620</x:v>
      </x:c>
      <x:c r="K99" s="2"/>
      <x:c r="L99" s="2" t="s">
        <x:v>697</x:v>
      </x:c>
      <x:c r="M99" s="2" t="s">
        <x:v>648</x:v>
      </x:c>
      <x:c r="N99" s="2">
        <x:v>4</x:v>
      </x:c>
      <x:c r="O99" s="2" t="s">
        <x:v>623</x:v>
      </x:c>
      <x:c r="P99" s="2" t="s">
        <x:v>649</x:v>
      </x:c>
      <x:c r="Q99" s="2"/>
      <x:c r="R99" s="3">
        <x:v>3</x:v>
      </x:c>
      <x:c r="S99" s="3">
        <x:v>1</x:v>
      </x:c>
      <x:c r="T99" s="2" t="s">
        <x:v>103</x:v>
      </x:c>
      <x:c r="U99" s="2" t="s">
        <x:v>104</x:v>
      </x:c>
      <x:c r="V99" s="2" t="s">
        <x:v>123</x:v>
      </x:c>
      <x:c r="W99" s="2"/>
      <x:c r="X99" s="3"/>
      <x:c r="Y99" s="3"/>
      <x:c r="Z99" s="2"/>
      <x:c r="AA99" s="2"/>
      <x:c r="AB99" s="2"/>
      <x:c r="AC99" s="2"/>
      <x:c r="AD99" s="2"/>
      <x:c r="AE99" s="2"/>
      <x:c r="AF99" s="2"/>
      <x:c r="AG99" s="2"/>
      <x:c r="AH99" s="2"/>
      <x:c r="AI99" s="4"/>
      <x:c r="AJ99" s="2"/>
      <x:c r="AK99" s="2" t="s">
        <x:v>106</x:v>
      </x:c>
      <x:c r="AL99" s="2" t="s">
        <x:v>571</x:v>
      </x:c>
      <x:c r="AM99" s="2">
        <x:v>99</x:v>
      </x:c>
      <x:c r="AN99" s="2">
        <x:v>99</x:v>
      </x:c>
    </x:row>
    <x:row r="100" ht="65">
      <x:c r="A100" s="2" t="s">
        <x:v>91</x:v>
      </x:c>
      <x:c r="B100" s="2" t="s">
        <x:v>13</x:v>
      </x:c>
      <x:c r="C100" s="3">
        <x:v>98</x:v>
      </x:c>
      <x:c r="D100" s="2" t="s">
        <x:v>682</x:v>
      </x:c>
      <x:c r="E100" s="2" t="s">
        <x:v>683</x:v>
      </x:c>
      <x:c r="F100" s="2" t="s">
        <x:v>139</x:v>
      </x:c>
      <x:c r="G100" s="2" t="s">
        <x:v>778</x:v>
      </x:c>
      <x:c r="H100" s="2" t="s">
        <x:v>618</x:v>
      </x:c>
      <x:c r="I100" s="2" t="s">
        <x:v>819</x:v>
      </x:c>
      <x:c r="J100" s="2" t="s">
        <x:v>620</x:v>
      </x:c>
      <x:c r="K100" s="2"/>
      <x:c r="L100" s="2" t="s">
        <x:v>708</x:v>
      </x:c>
      <x:c r="M100" s="2" t="s">
        <x:v>648</x:v>
      </x:c>
      <x:c r="N100" s="2">
        <x:v>4</x:v>
      </x:c>
      <x:c r="O100" s="2" t="s">
        <x:v>623</x:v>
      </x:c>
      <x:c r="P100" s="2" t="s">
        <x:v>649</x:v>
      </x:c>
      <x:c r="Q100" s="2"/>
      <x:c r="R100" s="3">
        <x:v>4</x:v>
      </x:c>
      <x:c r="S100" s="3">
        <x:v>1</x:v>
      </x:c>
      <x:c r="T100" s="2" t="s">
        <x:v>103</x:v>
      </x:c>
      <x:c r="U100" s="2" t="s">
        <x:v>122</x:v>
      </x:c>
      <x:c r="V100" s="2" t="s">
        <x:v>136</x:v>
      </x:c>
      <x:c r="W100" s="2"/>
      <x:c r="X100" s="3"/>
      <x:c r="Y100" s="3"/>
      <x:c r="Z100" s="2"/>
      <x:c r="AA100" s="2"/>
      <x:c r="AB100" s="2"/>
      <x:c r="AC100" s="2"/>
      <x:c r="AD100" s="2"/>
      <x:c r="AE100" s="2"/>
      <x:c r="AF100" s="2"/>
      <x:c r="AG100" s="2"/>
      <x:c r="AH100" s="2"/>
      <x:c r="AI100" s="4"/>
      <x:c r="AJ100" s="2"/>
      <x:c r="AK100" s="2" t="s">
        <x:v>106</x:v>
      </x:c>
      <x:c r="AL100" s="2" t="s">
        <x:v>571</x:v>
      </x:c>
      <x:c r="AM100" s="2">
        <x:v>100</x:v>
      </x:c>
      <x:c r="AN100" s="2">
        <x:v>100</x:v>
      </x:c>
    </x:row>
    <x:row r="101" ht="39">
      <x:c r="A101" s="2" t="s">
        <x:v>91</x:v>
      </x:c>
      <x:c r="B101" s="2" t="s">
        <x:v>13</x:v>
      </x:c>
      <x:c r="C101" s="3">
        <x:v>99</x:v>
      </x:c>
      <x:c r="D101" s="2" t="s">
        <x:v>660</x:v>
      </x:c>
      <x:c r="E101" s="2" t="s">
        <x:v>765</x:v>
      </x:c>
      <x:c r="F101" s="2" t="s">
        <x:v>157</x:v>
      </x:c>
      <x:c r="G101" s="2" t="s">
        <x:v>572</x:v>
      </x:c>
      <x:c r="H101" s="2" t="s">
        <x:v>618</x:v>
      </x:c>
      <x:c r="I101" s="2" t="s">
        <x:v>820</x:v>
      </x:c>
      <x:c r="J101" s="2" t="s">
        <x:v>620</x:v>
      </x:c>
      <x:c r="K101" s="2"/>
      <x:c r="L101" s="2" t="s">
        <x:v>717</x:v>
      </x:c>
      <x:c r="M101" s="2" t="s">
        <x:v>622</x:v>
      </x:c>
      <x:c r="N101" s="2">
        <x:v>4</x:v>
      </x:c>
      <x:c r="O101" s="2" t="s">
        <x:v>623</x:v>
      </x:c>
      <x:c r="P101" s="2" t="s">
        <x:v>675</x:v>
      </x:c>
      <x:c r="Q101" s="2"/>
      <x:c r="R101" s="3">
        <x:v>2</x:v>
      </x:c>
      <x:c r="S101" s="3">
        <x:v>1</x:v>
      </x:c>
      <x:c r="T101" s="2" t="s">
        <x:v>103</x:v>
      </x:c>
      <x:c r="U101" s="2" t="s">
        <x:v>115</x:v>
      </x:c>
      <x:c r="V101" s="2" t="s">
        <x:v>154</x:v>
      </x:c>
      <x:c r="W101" s="2"/>
      <x:c r="X101" s="3"/>
      <x:c r="Y101" s="3"/>
      <x:c r="Z101" s="2"/>
      <x:c r="AA101" s="2"/>
      <x:c r="AB101" s="2"/>
      <x:c r="AC101" s="2"/>
      <x:c r="AD101" s="2"/>
      <x:c r="AE101" s="2"/>
      <x:c r="AF101" s="2"/>
      <x:c r="AG101" s="2"/>
      <x:c r="AH101" s="2"/>
      <x:c r="AI101" s="4"/>
      <x:c r="AJ101" s="2"/>
      <x:c r="AK101" s="2" t="s">
        <x:v>106</x:v>
      </x:c>
      <x:c r="AL101" s="2" t="s">
        <x:v>571</x:v>
      </x:c>
      <x:c r="AM101" s="2">
        <x:v>101</x:v>
      </x:c>
      <x:c r="AN101" s="2">
        <x:v>101</x:v>
      </x:c>
    </x:row>
    <x:row r="102" ht="39">
      <x:c r="A102" s="2" t="s">
        <x:v>91</x:v>
      </x:c>
      <x:c r="B102" s="2" t="s">
        <x:v>13</x:v>
      </x:c>
      <x:c r="C102" s="3">
        <x:v>100</x:v>
      </x:c>
      <x:c r="D102" s="2" t="s">
        <x:v>616</x:v>
      </x:c>
      <x:c r="E102" s="2" t="s">
        <x:v>770</x:v>
      </x:c>
      <x:c r="F102" s="2" t="s">
        <x:v>94</x:v>
      </x:c>
      <x:c r="G102" s="2" t="s">
        <x:v>602</x:v>
      </x:c>
      <x:c r="H102" s="2" t="s">
        <x:v>618</x:v>
      </x:c>
      <x:c r="I102" s="2" t="s">
        <x:v>821</x:v>
      </x:c>
      <x:c r="J102" s="2" t="s">
        <x:v>620</x:v>
      </x:c>
      <x:c r="K102" s="2"/>
      <x:c r="L102" s="2" t="s">
        <x:v>726</x:v>
      </x:c>
      <x:c r="M102" s="2" t="s">
        <x:v>622</x:v>
      </x:c>
      <x:c r="N102" s="2">
        <x:v>4</x:v>
      </x:c>
      <x:c r="O102" s="2" t="s">
        <x:v>623</x:v>
      </x:c>
      <x:c r="P102" s="2" t="s">
        <x:v>624</x:v>
      </x:c>
      <x:c r="Q102" s="2"/>
      <x:c r="R102" s="3">
        <x:v>3</x:v>
      </x:c>
      <x:c r="S102" s="3">
        <x:v>1</x:v>
      </x:c>
      <x:c r="T102" s="2" t="s">
        <x:v>103</x:v>
      </x:c>
      <x:c r="U102" s="2" t="s">
        <x:v>129</x:v>
      </x:c>
      <x:c r="V102" s="2" t="s">
        <x:v>105</x:v>
      </x:c>
      <x:c r="W102" s="2"/>
      <x:c r="X102" s="3"/>
      <x:c r="Y102" s="3"/>
      <x:c r="Z102" s="2"/>
      <x:c r="AA102" s="2"/>
      <x:c r="AB102" s="2"/>
      <x:c r="AC102" s="2"/>
      <x:c r="AD102" s="2"/>
      <x:c r="AE102" s="2"/>
      <x:c r="AF102" s="2"/>
      <x:c r="AG102" s="2"/>
      <x:c r="AH102" s="2"/>
      <x:c r="AI102" s="4"/>
      <x:c r="AJ102" s="2"/>
      <x:c r="AK102" s="2" t="s">
        <x:v>106</x:v>
      </x:c>
      <x:c r="AL102" s="2" t="s">
        <x:v>571</x:v>
      </x:c>
      <x:c r="AM102" s="2">
        <x:v>102</x:v>
      </x:c>
      <x:c r="AN102" s="2">
        <x:v>102</x:v>
      </x:c>
    </x:row>
    <x:row r="103" ht="65">
      <x:c r="A103" s="2" t="s">
        <x:v>91</x:v>
      </x:c>
      <x:c r="B103" s="2" t="s">
        <x:v>13</x:v>
      </x:c>
      <x:c r="C103" s="3">
        <x:v>101</x:v>
      </x:c>
      <x:c r="D103" s="2" t="s">
        <x:v>644</x:v>
      </x:c>
      <x:c r="E103" s="2" t="s">
        <x:v>694</x:v>
      </x:c>
      <x:c r="F103" s="2" t="s">
        <x:v>118</x:v>
      </x:c>
      <x:c r="G103" s="2" t="s">
        <x:v>695</x:v>
      </x:c>
      <x:c r="H103" s="2" t="s">
        <x:v>618</x:v>
      </x:c>
      <x:c r="I103" s="2" t="s">
        <x:v>822</x:v>
      </x:c>
      <x:c r="J103" s="2" t="s">
        <x:v>620</x:v>
      </x:c>
      <x:c r="K103" s="2"/>
      <x:c r="L103" s="2" t="s">
        <x:v>775</x:v>
      </x:c>
      <x:c r="M103" s="2" t="s">
        <x:v>648</x:v>
      </x:c>
      <x:c r="N103" s="2">
        <x:v>4</x:v>
      </x:c>
      <x:c r="O103" s="2" t="s">
        <x:v>623</x:v>
      </x:c>
      <x:c r="P103" s="2" t="s">
        <x:v>649</x:v>
      </x:c>
      <x:c r="Q103" s="2"/>
      <x:c r="R103" s="3">
        <x:v>4</x:v>
      </x:c>
      <x:c r="S103" s="3">
        <x:v>1</x:v>
      </x:c>
      <x:c r="T103" s="2" t="s">
        <x:v>103</x:v>
      </x:c>
      <x:c r="U103" s="2" t="s">
        <x:v>104</x:v>
      </x:c>
      <x:c r="V103" s="2" t="s">
        <x:v>123</x:v>
      </x:c>
      <x:c r="W103" s="2"/>
      <x:c r="X103" s="3"/>
      <x:c r="Y103" s="3"/>
      <x:c r="Z103" s="2"/>
      <x:c r="AA103" s="2"/>
      <x:c r="AB103" s="2"/>
      <x:c r="AC103" s="2"/>
      <x:c r="AD103" s="2"/>
      <x:c r="AE103" s="2"/>
      <x:c r="AF103" s="2"/>
      <x:c r="AG103" s="2"/>
      <x:c r="AH103" s="2"/>
      <x:c r="AI103" s="4"/>
      <x:c r="AJ103" s="2"/>
      <x:c r="AK103" s="2" t="s">
        <x:v>106</x:v>
      </x:c>
      <x:c r="AL103" s="2" t="s">
        <x:v>571</x:v>
      </x:c>
      <x:c r="AM103" s="2">
        <x:v>103</x:v>
      </x:c>
      <x:c r="AN103" s="2">
        <x:v>103</x:v>
      </x:c>
    </x:row>
    <x:row r="104" ht="65">
      <x:c r="A104" s="2" t="s">
        <x:v>91</x:v>
      </x:c>
      <x:c r="B104" s="2" t="s">
        <x:v>13</x:v>
      </x:c>
      <x:c r="C104" s="3">
        <x:v>102</x:v>
      </x:c>
      <x:c r="D104" s="2" t="s">
        <x:v>682</x:v>
      </x:c>
      <x:c r="E104" s="2" t="s">
        <x:v>705</x:v>
      </x:c>
      <x:c r="F104" s="2" t="s">
        <x:v>139</x:v>
      </x:c>
      <x:c r="G104" s="2" t="s">
        <x:v>778</x:v>
      </x:c>
      <x:c r="H104" s="2" t="s">
        <x:v>618</x:v>
      </x:c>
      <x:c r="I104" s="2" t="s">
        <x:v>823</x:v>
      </x:c>
      <x:c r="J104" s="2" t="s">
        <x:v>620</x:v>
      </x:c>
      <x:c r="K104" s="2"/>
      <x:c r="L104" s="2" t="s">
        <x:v>744</x:v>
      </x:c>
      <x:c r="M104" s="2" t="s">
        <x:v>648</x:v>
      </x:c>
      <x:c r="N104" s="2">
        <x:v>4</x:v>
      </x:c>
      <x:c r="O104" s="2" t="s">
        <x:v>623</x:v>
      </x:c>
      <x:c r="P104" s="2" t="s">
        <x:v>649</x:v>
      </x:c>
      <x:c r="Q104" s="2"/>
      <x:c r="R104" s="3">
        <x:v>2</x:v>
      </x:c>
      <x:c r="S104" s="3">
        <x:v>1</x:v>
      </x:c>
      <x:c r="T104" s="2" t="s">
        <x:v>103</x:v>
      </x:c>
      <x:c r="U104" s="2" t="s">
        <x:v>122</x:v>
      </x:c>
      <x:c r="V104" s="2" t="s">
        <x:v>136</x:v>
      </x:c>
      <x:c r="W104" s="2"/>
      <x:c r="X104" s="3"/>
      <x:c r="Y104" s="3"/>
      <x:c r="Z104" s="2"/>
      <x:c r="AA104" s="2"/>
      <x:c r="AB104" s="2"/>
      <x:c r="AC104" s="2"/>
      <x:c r="AD104" s="2"/>
      <x:c r="AE104" s="2"/>
      <x:c r="AF104" s="2"/>
      <x:c r="AG104" s="2"/>
      <x:c r="AH104" s="2"/>
      <x:c r="AI104" s="4"/>
      <x:c r="AJ104" s="2"/>
      <x:c r="AK104" s="2" t="s">
        <x:v>106</x:v>
      </x:c>
      <x:c r="AL104" s="2" t="s">
        <x:v>571</x:v>
      </x:c>
      <x:c r="AM104" s="2">
        <x:v>104</x:v>
      </x:c>
      <x:c r="AN104" s="2">
        <x:v>104</x:v>
      </x:c>
    </x:row>
    <x:row r="105" ht="39">
      <x:c r="A105" s="2" t="s">
        <x:v>91</x:v>
      </x:c>
      <x:c r="B105" s="2" t="s">
        <x:v>13</x:v>
      </x:c>
      <x:c r="C105" s="3">
        <x:v>103</x:v>
      </x:c>
      <x:c r="D105" s="2" t="s">
        <x:v>660</x:v>
      </x:c>
      <x:c r="E105" s="2" t="s">
        <x:v>782</x:v>
      </x:c>
      <x:c r="F105" s="2" t="s">
        <x:v>157</x:v>
      </x:c>
      <x:c r="G105" s="2" t="s">
        <x:v>662</x:v>
      </x:c>
      <x:c r="H105" s="2" t="s">
        <x:v>618</x:v>
      </x:c>
      <x:c r="I105" s="2" t="s">
        <x:v>824</x:v>
      </x:c>
      <x:c r="J105" s="2" t="s">
        <x:v>620</x:v>
      </x:c>
      <x:c r="K105" s="2"/>
      <x:c r="L105" s="2" t="s">
        <x:v>750</x:v>
      </x:c>
      <x:c r="M105" s="2" t="s">
        <x:v>622</x:v>
      </x:c>
      <x:c r="N105" s="2">
        <x:v>4</x:v>
      </x:c>
      <x:c r="O105" s="2" t="s">
        <x:v>623</x:v>
      </x:c>
      <x:c r="P105" s="2" t="s">
        <x:v>624</x:v>
      </x:c>
      <x:c r="Q105" s="2"/>
      <x:c r="R105" s="3">
        <x:v>3</x:v>
      </x:c>
      <x:c r="S105" s="3">
        <x:v>1</x:v>
      </x:c>
      <x:c r="T105" s="2" t="s">
        <x:v>103</x:v>
      </x:c>
      <x:c r="U105" s="2" t="s">
        <x:v>115</x:v>
      </x:c>
      <x:c r="V105" s="2" t="s">
        <x:v>154</x:v>
      </x:c>
      <x:c r="W105" s="2"/>
      <x:c r="X105" s="3"/>
      <x:c r="Y105" s="3"/>
      <x:c r="Z105" s="2"/>
      <x:c r="AA105" s="2"/>
      <x:c r="AB105" s="2"/>
      <x:c r="AC105" s="2"/>
      <x:c r="AD105" s="2"/>
      <x:c r="AE105" s="2"/>
      <x:c r="AF105" s="2"/>
      <x:c r="AG105" s="2"/>
      <x:c r="AH105" s="2"/>
      <x:c r="AI105" s="4"/>
      <x:c r="AJ105" s="2"/>
      <x:c r="AK105" s="2" t="s">
        <x:v>106</x:v>
      </x:c>
      <x:c r="AL105" s="2" t="s">
        <x:v>571</x:v>
      </x:c>
      <x:c r="AM105" s="2">
        <x:v>105</x:v>
      </x:c>
      <x:c r="AN105" s="2">
        <x:v>105</x:v>
      </x:c>
    </x:row>
    <x:row r="106" ht="39">
      <x:c r="A106" s="2" t="s">
        <x:v>91</x:v>
      </x:c>
      <x:c r="B106" s="2" t="s">
        <x:v>13</x:v>
      </x:c>
      <x:c r="C106" s="3">
        <x:v>104</x:v>
      </x:c>
      <x:c r="D106" s="2" t="s">
        <x:v>616</x:v>
      </x:c>
      <x:c r="E106" s="2" t="s">
        <x:v>789</x:v>
      </x:c>
      <x:c r="F106" s="2" t="s">
        <x:v>94</x:v>
      </x:c>
      <x:c r="G106" s="2" t="s">
        <x:v>602</x:v>
      </x:c>
      <x:c r="H106" s="2" t="s">
        <x:v>618</x:v>
      </x:c>
      <x:c r="I106" s="2" t="s">
        <x:v>825</x:v>
      </x:c>
      <x:c r="J106" s="2" t="s">
        <x:v>620</x:v>
      </x:c>
      <x:c r="K106" s="2"/>
      <x:c r="L106" s="2" t="s">
        <x:v>756</x:v>
      </x:c>
      <x:c r="M106" s="2" t="s">
        <x:v>622</x:v>
      </x:c>
      <x:c r="N106" s="2">
        <x:v>4</x:v>
      </x:c>
      <x:c r="O106" s="2" t="s">
        <x:v>623</x:v>
      </x:c>
      <x:c r="P106" s="2" t="s">
        <x:v>675</x:v>
      </x:c>
      <x:c r="Q106" s="2"/>
      <x:c r="R106" s="3">
        <x:v>4</x:v>
      </x:c>
      <x:c r="S106" s="3">
        <x:v>1</x:v>
      </x:c>
      <x:c r="T106" s="2" t="s">
        <x:v>103</x:v>
      </x:c>
      <x:c r="U106" s="2" t="s">
        <x:v>129</x:v>
      </x:c>
      <x:c r="V106" s="2" t="s">
        <x:v>105</x:v>
      </x:c>
      <x:c r="W106" s="2"/>
      <x:c r="X106" s="3"/>
      <x:c r="Y106" s="3"/>
      <x:c r="Z106" s="2"/>
      <x:c r="AA106" s="2"/>
      <x:c r="AB106" s="2"/>
      <x:c r="AC106" s="2"/>
      <x:c r="AD106" s="2"/>
      <x:c r="AE106" s="2"/>
      <x:c r="AF106" s="2"/>
      <x:c r="AG106" s="2"/>
      <x:c r="AH106" s="2"/>
      <x:c r="AI106" s="4"/>
      <x:c r="AJ106" s="2"/>
      <x:c r="AK106" s="2" t="s">
        <x:v>106</x:v>
      </x:c>
      <x:c r="AL106" s="2" t="s">
        <x:v>571</x:v>
      </x:c>
      <x:c r="AM106" s="2">
        <x:v>106</x:v>
      </x:c>
      <x:c r="AN106" s="2">
        <x:v>106</x:v>
      </x:c>
    </x:row>
    <x:row r="107" ht="65">
      <x:c r="A107" s="2" t="s">
        <x:v>6</x:v>
      </x:c>
      <x:c r="B107" s="2" t="s">
        <x:v>13</x:v>
      </x:c>
      <x:c r="C107" s="3">
        <x:v>105</x:v>
      </x:c>
      <x:c r="D107" s="2" t="s">
        <x:v>644</x:v>
      </x:c>
      <x:c r="E107" s="2" t="s">
        <x:v>733</x:v>
      </x:c>
      <x:c r="F107" s="2" t="s">
        <x:v>118</x:v>
      </x:c>
      <x:c r="G107" s="2"/>
      <x:c r="H107" s="2" t="s">
        <x:v>618</x:v>
      </x:c>
      <x:c r="I107" s="2" t="s">
        <x:v>826</x:v>
      </x:c>
      <x:c r="J107" s="2" t="s">
        <x:v>620</x:v>
      </x:c>
      <x:c r="K107" s="2"/>
      <x:c r="L107" s="2" t="s">
        <x:v>697</x:v>
      </x:c>
      <x:c r="M107" s="2" t="s">
        <x:v>648</x:v>
      </x:c>
      <x:c r="N107" s="2">
        <x:v>4</x:v>
      </x:c>
      <x:c r="O107" s="2" t="s">
        <x:v>623</x:v>
      </x:c>
      <x:c r="P107" s="2" t="s">
        <x:v>649</x:v>
      </x:c>
      <x:c r="Q107" s="2"/>
      <x:c r="R107" s="3">
        <x:v>2</x:v>
      </x:c>
      <x:c r="S107" s="3">
        <x:v>1</x:v>
      </x:c>
      <x:c r="T107" s="2" t="s">
        <x:v>103</x:v>
      </x:c>
      <x:c r="U107" s="2" t="s">
        <x:v>104</x:v>
      </x:c>
      <x:c r="V107" s="2" t="s">
        <x:v>123</x:v>
      </x:c>
      <x:c r="W107" s="2"/>
      <x:c r="X107" s="3"/>
      <x:c r="Y107" s="3"/>
      <x:c r="Z107" s="2"/>
      <x:c r="AA107" s="2"/>
      <x:c r="AB107" s="2"/>
      <x:c r="AC107" s="2"/>
      <x:c r="AD107" s="2"/>
      <x:c r="AE107" s="2"/>
      <x:c r="AF107" s="2"/>
      <x:c r="AG107" s="2"/>
      <x:c r="AH107" s="2"/>
      <x:c r="AI107" s="4"/>
      <x:c r="AJ107" s="2"/>
      <x:c r="AK107" s="2" t="s">
        <x:v>106</x:v>
      </x:c>
      <x:c r="AL107" s="2" t="s">
        <x:v>571</x:v>
      </x:c>
      <x:c r="AM107" s="2">
        <x:v>107</x:v>
      </x:c>
      <x:c r="AN107" s="2">
        <x:v>107</x:v>
      </x:c>
    </x:row>
    <x:row r="108" ht="65">
      <x:c r="A108" s="2" t="s">
        <x:v>91</x:v>
      </x:c>
      <x:c r="B108" s="2" t="s">
        <x:v>13</x:v>
      </x:c>
      <x:c r="C108" s="3">
        <x:v>106</x:v>
      </x:c>
      <x:c r="D108" s="2" t="s">
        <x:v>682</x:v>
      </x:c>
      <x:c r="E108" s="2" t="s">
        <x:v>741</x:v>
      </x:c>
      <x:c r="F108" s="2" t="s">
        <x:v>139</x:v>
      </x:c>
      <x:c r="G108" s="2" t="s">
        <x:v>778</x:v>
      </x:c>
      <x:c r="H108" s="2" t="s">
        <x:v>618</x:v>
      </x:c>
      <x:c r="I108" s="2" t="s">
        <x:v>827</x:v>
      </x:c>
      <x:c r="J108" s="2" t="s">
        <x:v>620</x:v>
      </x:c>
      <x:c r="K108" s="2"/>
      <x:c r="L108" s="2" t="s">
        <x:v>763</x:v>
      </x:c>
      <x:c r="M108" s="2" t="s">
        <x:v>648</x:v>
      </x:c>
      <x:c r="N108" s="2">
        <x:v>4</x:v>
      </x:c>
      <x:c r="O108" s="2" t="s">
        <x:v>623</x:v>
      </x:c>
      <x:c r="P108" s="2" t="s">
        <x:v>649</x:v>
      </x:c>
      <x:c r="Q108" s="2"/>
      <x:c r="R108" s="3">
        <x:v>3</x:v>
      </x:c>
      <x:c r="S108" s="3">
        <x:v>1</x:v>
      </x:c>
      <x:c r="T108" s="2" t="s">
        <x:v>103</x:v>
      </x:c>
      <x:c r="U108" s="2" t="s">
        <x:v>122</x:v>
      </x:c>
      <x:c r="V108" s="2" t="s">
        <x:v>136</x:v>
      </x:c>
      <x:c r="W108" s="2"/>
      <x:c r="X108" s="3"/>
      <x:c r="Y108" s="3"/>
      <x:c r="Z108" s="2"/>
      <x:c r="AA108" s="2"/>
      <x:c r="AB108" s="2"/>
      <x:c r="AC108" s="2"/>
      <x:c r="AD108" s="2"/>
      <x:c r="AE108" s="2"/>
      <x:c r="AF108" s="2"/>
      <x:c r="AG108" s="2"/>
      <x:c r="AH108" s="2"/>
      <x:c r="AI108" s="4"/>
      <x:c r="AJ108" s="2"/>
      <x:c r="AK108" s="2" t="s">
        <x:v>106</x:v>
      </x:c>
      <x:c r="AL108" s="2" t="s">
        <x:v>571</x:v>
      </x:c>
      <x:c r="AM108" s="2">
        <x:v>108</x:v>
      </x:c>
      <x:c r="AN108" s="2">
        <x:v>108</x:v>
      </x:c>
    </x:row>
    <x:row r="109" ht="39">
      <x:c r="A109" s="2" t="s">
        <x:v>91</x:v>
      </x:c>
      <x:c r="B109" s="2" t="s">
        <x:v>13</x:v>
      </x:c>
      <x:c r="C109" s="3">
        <x:v>107</x:v>
      </x:c>
      <x:c r="D109" s="2" t="s">
        <x:v>660</x:v>
      </x:c>
      <x:c r="E109" s="2" t="s">
        <x:v>795</x:v>
      </x:c>
      <x:c r="F109" s="2" t="s">
        <x:v>157</x:v>
      </x:c>
      <x:c r="G109" s="2" t="s">
        <x:v>662</x:v>
      </x:c>
      <x:c r="H109" s="2" t="s">
        <x:v>618</x:v>
      </x:c>
      <x:c r="I109" s="2" t="s">
        <x:v>828</x:v>
      </x:c>
      <x:c r="J109" s="2" t="s">
        <x:v>620</x:v>
      </x:c>
      <x:c r="K109" s="2"/>
      <x:c r="L109" s="2" t="s">
        <x:v>767</x:v>
      </x:c>
      <x:c r="M109" s="2" t="s">
        <x:v>622</x:v>
      </x:c>
      <x:c r="N109" s="2">
        <x:v>4</x:v>
      </x:c>
      <x:c r="O109" s="2" t="s">
        <x:v>623</x:v>
      </x:c>
      <x:c r="P109" s="2" t="s">
        <x:v>675</x:v>
      </x:c>
      <x:c r="Q109" s="2"/>
      <x:c r="R109" s="3">
        <x:v>4</x:v>
      </x:c>
      <x:c r="S109" s="3">
        <x:v>1</x:v>
      </x:c>
      <x:c r="T109" s="2" t="s">
        <x:v>103</x:v>
      </x:c>
      <x:c r="U109" s="2" t="s">
        <x:v>115</x:v>
      </x:c>
      <x:c r="V109" s="2" t="s">
        <x:v>154</x:v>
      </x:c>
      <x:c r="W109" s="2"/>
      <x:c r="X109" s="3"/>
      <x:c r="Y109" s="3"/>
      <x:c r="Z109" s="2"/>
      <x:c r="AA109" s="2"/>
      <x:c r="AB109" s="2"/>
      <x:c r="AC109" s="2"/>
      <x:c r="AD109" s="2"/>
      <x:c r="AE109" s="2"/>
      <x:c r="AF109" s="2"/>
      <x:c r="AG109" s="2"/>
      <x:c r="AH109" s="2"/>
      <x:c r="AI109" s="4"/>
      <x:c r="AJ109" s="2"/>
      <x:c r="AK109" s="2" t="s">
        <x:v>106</x:v>
      </x:c>
      <x:c r="AL109" s="2" t="s">
        <x:v>571</x:v>
      </x:c>
      <x:c r="AM109" s="2">
        <x:v>109</x:v>
      </x:c>
      <x:c r="AN109" s="2">
        <x:v>109</x:v>
      </x:c>
    </x:row>
    <x:row r="110" ht="39">
      <x:c r="A110" s="2" t="s">
        <x:v>6</x:v>
      </x:c>
      <x:c r="B110" s="2" t="s">
        <x:v>13</x:v>
      </x:c>
      <x:c r="C110" s="3">
        <x:v>108</x:v>
      </x:c>
      <x:c r="D110" s="2" t="s">
        <x:v>616</x:v>
      </x:c>
      <x:c r="E110" s="2" t="s">
        <x:v>617</x:v>
      </x:c>
      <x:c r="F110" s="2" t="s">
        <x:v>94</x:v>
      </x:c>
      <x:c r="G110" s="2" t="s">
        <x:v>829</x:v>
      </x:c>
      <x:c r="H110" s="2" t="s">
        <x:v>618</x:v>
      </x:c>
      <x:c r="I110" s="2" t="s">
        <x:v>830</x:v>
      </x:c>
      <x:c r="J110" s="2" t="s">
        <x:v>620</x:v>
      </x:c>
      <x:c r="K110" s="2"/>
      <x:c r="L110" s="2" t="s">
        <x:v>621</x:v>
      </x:c>
      <x:c r="M110" s="2" t="s">
        <x:v>622</x:v>
      </x:c>
      <x:c r="N110" s="2">
        <x:v>4</x:v>
      </x:c>
      <x:c r="O110" s="2" t="s">
        <x:v>623</x:v>
      </x:c>
      <x:c r="P110" s="2" t="s">
        <x:v>624</x:v>
      </x:c>
      <x:c r="Q110" s="2"/>
      <x:c r="R110" s="3">
        <x:v>2</x:v>
      </x:c>
      <x:c r="S110" s="3">
        <x:v>1</x:v>
      </x:c>
      <x:c r="T110" s="2" t="s">
        <x:v>103</x:v>
      </x:c>
      <x:c r="U110" s="2" t="s">
        <x:v>129</x:v>
      </x:c>
      <x:c r="V110" s="2" t="s">
        <x:v>105</x:v>
      </x:c>
      <x:c r="W110" s="2"/>
      <x:c r="X110" s="3"/>
      <x:c r="Y110" s="3"/>
      <x:c r="Z110" s="2"/>
      <x:c r="AA110" s="2"/>
      <x:c r="AB110" s="2"/>
      <x:c r="AC110" s="2"/>
      <x:c r="AD110" s="2"/>
      <x:c r="AE110" s="2"/>
      <x:c r="AF110" s="2"/>
      <x:c r="AG110" s="2"/>
      <x:c r="AH110" s="2"/>
      <x:c r="AI110" s="4"/>
      <x:c r="AJ110" s="2"/>
      <x:c r="AK110" s="2" t="s">
        <x:v>106</x:v>
      </x:c>
      <x:c r="AL110" s="2" t="s">
        <x:v>571</x:v>
      </x:c>
      <x:c r="AM110" s="2">
        <x:v>110</x:v>
      </x:c>
      <x:c r="AN110" s="2">
        <x:v>110</x:v>
      </x:c>
    </x:row>
    <x:row r="111" ht="65">
      <x:c r="A111" s="2" t="s">
        <x:v>91</x:v>
      </x:c>
      <x:c r="B111" s="2" t="s">
        <x:v>13</x:v>
      </x:c>
      <x:c r="C111" s="3">
        <x:v>109</x:v>
      </x:c>
      <x:c r="D111" s="2" t="s">
        <x:v>644</x:v>
      </x:c>
      <x:c r="E111" s="2" t="s">
        <x:v>645</x:v>
      </x:c>
      <x:c r="F111" s="2" t="s">
        <x:v>118</x:v>
      </x:c>
      <x:c r="G111" s="2" t="s">
        <x:v>831</x:v>
      </x:c>
      <x:c r="H111" s="2" t="s">
        <x:v>618</x:v>
      </x:c>
      <x:c r="I111" s="2" t="s">
        <x:v>832</x:v>
      </x:c>
      <x:c r="J111" s="2" t="s">
        <x:v>620</x:v>
      </x:c>
      <x:c r="K111" s="2"/>
      <x:c r="L111" s="2" t="s">
        <x:v>647</x:v>
      </x:c>
      <x:c r="M111" s="2" t="s">
        <x:v>648</x:v>
      </x:c>
      <x:c r="N111" s="2">
        <x:v>4</x:v>
      </x:c>
      <x:c r="O111" s="2" t="s">
        <x:v>623</x:v>
      </x:c>
      <x:c r="P111" s="2" t="s">
        <x:v>649</x:v>
      </x:c>
      <x:c r="Q111" s="2"/>
      <x:c r="R111" s="3">
        <x:v>3</x:v>
      </x:c>
      <x:c r="S111" s="3">
        <x:v>1</x:v>
      </x:c>
      <x:c r="T111" s="2" t="s">
        <x:v>103</x:v>
      </x:c>
      <x:c r="U111" s="2" t="s">
        <x:v>104</x:v>
      </x:c>
      <x:c r="V111" s="2" t="s">
        <x:v>123</x:v>
      </x:c>
      <x:c r="W111" s="2"/>
      <x:c r="X111" s="3"/>
      <x:c r="Y111" s="3"/>
      <x:c r="Z111" s="2"/>
      <x:c r="AA111" s="2"/>
      <x:c r="AB111" s="2"/>
      <x:c r="AC111" s="2"/>
      <x:c r="AD111" s="2"/>
      <x:c r="AE111" s="2"/>
      <x:c r="AF111" s="2"/>
      <x:c r="AG111" s="2"/>
      <x:c r="AH111" s="2"/>
      <x:c r="AI111" s="4"/>
      <x:c r="AJ111" s="2"/>
      <x:c r="AK111" s="2" t="s">
        <x:v>106</x:v>
      </x:c>
      <x:c r="AL111" s="2" t="s">
        <x:v>571</x:v>
      </x:c>
      <x:c r="AM111" s="2">
        <x:v>111</x:v>
      </x:c>
      <x:c r="AN111" s="2">
        <x:v>111</x:v>
      </x:c>
    </x:row>
    <x:row r="112" ht="52">
      <x:c r="A112" s="2" t="s">
        <x:v>6</x:v>
      </x:c>
      <x:c r="B112" s="2" t="s">
        <x:v>13</x:v>
      </x:c>
      <x:c r="C112" s="3">
        <x:v>110</x:v>
      </x:c>
      <x:c r="D112" s="2" t="s">
        <x:v>833</x:v>
      </x:c>
      <x:c r="E112" s="2" t="s">
        <x:v>834</x:v>
      </x:c>
      <x:c r="F112" s="2" t="s">
        <x:v>835</x:v>
      </x:c>
      <x:c r="G112" s="2"/>
      <x:c r="H112" s="2" t="s">
        <x:v>836</x:v>
      </x:c>
      <x:c r="I112" s="2" t="s">
        <x:v>837</x:v>
      </x:c>
      <x:c r="J112" s="2" t="s">
        <x:v>838</x:v>
      </x:c>
      <x:c r="K112" s="2"/>
      <x:c r="L112" s="2">
        <x:v>0</x:v>
      </x:c>
      <x:c r="M112" s="2" t="s">
        <x:v>839</x:v>
      </x:c>
      <x:c r="N112" s="2">
        <x:v>5</x:v>
      </x:c>
      <x:c r="O112" s="2" t="s">
        <x:v>840</x:v>
      </x:c>
      <x:c r="P112" s="2" t="s">
        <x:v>841</x:v>
      </x:c>
      <x:c r="Q112" s="2"/>
      <x:c r="R112" s="3">
        <x:v>2</x:v>
      </x:c>
      <x:c r="S112" s="3">
        <x:v>1</x:v>
      </x:c>
      <x:c r="T112" s="2" t="s">
        <x:v>103</x:v>
      </x:c>
      <x:c r="U112" s="2" t="s">
        <x:v>122</x:v>
      </x:c>
      <x:c r="V112" s="2" t="s">
        <x:v>842</x:v>
      </x:c>
      <x:c r="W112" s="2"/>
      <x:c r="X112" s="3"/>
      <x:c r="Y112" s="3"/>
      <x:c r="Z112" s="2"/>
      <x:c r="AA112" s="2"/>
      <x:c r="AB112" s="2"/>
      <x:c r="AC112" s="2"/>
      <x:c r="AD112" s="2"/>
      <x:c r="AE112" s="2"/>
      <x:c r="AF112" s="2"/>
      <x:c r="AG112" s="2"/>
      <x:c r="AH112" s="2"/>
      <x:c r="AI112" s="4"/>
      <x:c r="AJ112" s="2"/>
      <x:c r="AK112" s="2" t="s">
        <x:v>106</x:v>
      </x:c>
      <x:c r="AL112" s="2" t="s">
        <x:v>571</x:v>
      </x:c>
      <x:c r="AM112" s="2">
        <x:v>112</x:v>
      </x:c>
      <x:c r="AN112" s="2">
        <x:v>112</x:v>
      </x:c>
    </x:row>
    <x:row r="113" ht="52">
      <x:c r="A113" s="2" t="s">
        <x:v>6</x:v>
      </x:c>
      <x:c r="B113" s="2" t="s">
        <x:v>13</x:v>
      </x:c>
      <x:c r="C113" s="3">
        <x:v>111</x:v>
      </x:c>
      <x:c r="D113" s="2" t="s">
        <x:v>843</x:v>
      </x:c>
      <x:c r="E113" s="2" t="s">
        <x:v>834</x:v>
      </x:c>
      <x:c r="F113" s="2" t="s">
        <x:v>844</x:v>
      </x:c>
      <x:c r="G113" s="2"/>
      <x:c r="H113" s="2" t="s">
        <x:v>836</x:v>
      </x:c>
      <x:c r="I113" s="2" t="s">
        <x:v>837</x:v>
      </x:c>
      <x:c r="J113" s="2" t="s">
        <x:v>838</x:v>
      </x:c>
      <x:c r="K113" s="2" t="n">
        <x:v>110</x:v>
      </x:c>
      <x:c r="L113" s="2">
        <x:v>101</x:v>
      </x:c>
      <x:c r="M113" s="2" t="s">
        <x:v>845</x:v>
      </x:c>
      <x:c r="N113" s="2">
        <x:v>5</x:v>
      </x:c>
      <x:c r="O113" s="2" t="s">
        <x:v>846</x:v>
      </x:c>
      <x:c r="P113" s="2" t="s">
        <x:v>841</x:v>
      </x:c>
      <x:c r="Q113" s="2"/>
      <x:c r="R113" s="3">
        <x:v>2</x:v>
      </x:c>
      <x:c r="S113" s="3">
        <x:v>1</x:v>
      </x:c>
      <x:c r="T113" s="2" t="s">
        <x:v>103</x:v>
      </x:c>
      <x:c r="U113" s="2" t="s">
        <x:v>104</x:v>
      </x:c>
      <x:c r="V113" s="2" t="s">
        <x:v>842</x:v>
      </x:c>
      <x:c r="W113" s="2"/>
      <x:c r="X113" s="3"/>
      <x:c r="Y113" s="3"/>
      <x:c r="Z113" s="2"/>
      <x:c r="AA113" s="2"/>
      <x:c r="AB113" s="2"/>
      <x:c r="AC113" s="2"/>
      <x:c r="AD113" s="2"/>
      <x:c r="AE113" s="2"/>
      <x:c r="AF113" s="2"/>
      <x:c r="AG113" s="2"/>
      <x:c r="AH113" s="2"/>
      <x:c r="AI113" s="4"/>
      <x:c r="AJ113" s="2"/>
      <x:c r="AK113" s="2" t="s">
        <x:v>106</x:v>
      </x:c>
      <x:c r="AL113" s="2" t="s">
        <x:v>571</x:v>
      </x:c>
      <x:c r="AM113" s="2">
        <x:v>113</x:v>
      </x:c>
      <x:c r="AN113" s="2">
        <x:v>113</x:v>
      </x:c>
    </x:row>
    <x:row r="114" ht="52">
      <x:c r="A114" s="2" t="s">
        <x:v>91</x:v>
      </x:c>
      <x:c r="B114" s="2" t="s">
        <x:v>13</x:v>
      </x:c>
      <x:c r="C114" s="3">
        <x:v>112</x:v>
      </x:c>
      <x:c r="D114" s="2" t="s">
        <x:v>847</x:v>
      </x:c>
      <x:c r="E114" s="2" t="s">
        <x:v>848</x:v>
      </x:c>
      <x:c r="F114" s="2" t="s">
        <x:v>835</x:v>
      </x:c>
      <x:c r="G114" s="2" t="s">
        <x:v>849</x:v>
      </x:c>
      <x:c r="H114" s="2" t="s">
        <x:v>836</x:v>
      </x:c>
      <x:c r="I114" s="2" t="s">
        <x:v>850</x:v>
      </x:c>
      <x:c r="J114" s="2" t="s">
        <x:v>838</x:v>
      </x:c>
      <x:c r="K114" s="2"/>
      <x:c r="L114" s="2">
        <x:v>78</x:v>
      </x:c>
      <x:c r="M114" s="2" t="s">
        <x:v>851</x:v>
      </x:c>
      <x:c r="N114" s="2">
        <x:v>5</x:v>
      </x:c>
      <x:c r="O114" s="2" t="s">
        <x:v>840</x:v>
      </x:c>
      <x:c r="P114" s="2" t="s">
        <x:v>852</x:v>
      </x:c>
      <x:c r="Q114" s="2"/>
      <x:c r="R114" s="3">
        <x:v>3</x:v>
      </x:c>
      <x:c r="S114" s="3">
        <x:v>1</x:v>
      </x:c>
      <x:c r="T114" s="2" t="s">
        <x:v>103</x:v>
      </x:c>
      <x:c r="U114" s="2" t="s">
        <x:v>129</x:v>
      </x:c>
      <x:c r="V114" s="2" t="s">
        <x:v>842</x:v>
      </x:c>
      <x:c r="W114" s="2"/>
      <x:c r="X114" s="3"/>
      <x:c r="Y114" s="3"/>
      <x:c r="Z114" s="2"/>
      <x:c r="AA114" s="2"/>
      <x:c r="AB114" s="2"/>
      <x:c r="AC114" s="2"/>
      <x:c r="AD114" s="2"/>
      <x:c r="AE114" s="2"/>
      <x:c r="AF114" s="2"/>
      <x:c r="AG114" s="2"/>
      <x:c r="AH114" s="2"/>
      <x:c r="AI114" s="4"/>
      <x:c r="AJ114" s="2"/>
      <x:c r="AK114" s="2" t="s">
        <x:v>106</x:v>
      </x:c>
      <x:c r="AL114" s="2" t="s">
        <x:v>571</x:v>
      </x:c>
      <x:c r="AM114" s="2">
        <x:v>114</x:v>
      </x:c>
      <x:c r="AN114" s="2">
        <x:v>114</x:v>
      </x:c>
    </x:row>
    <x:row r="115" ht="52">
      <x:c r="A115" s="2" t="s">
        <x:v>6</x:v>
      </x:c>
      <x:c r="B115" s="2" t="s">
        <x:v>13</x:v>
      </x:c>
      <x:c r="C115" s="3">
        <x:v>113</x:v>
      </x:c>
      <x:c r="D115" s="2" t="s">
        <x:v>853</x:v>
      </x:c>
      <x:c r="E115" s="2" t="s">
        <x:v>848</x:v>
      </x:c>
      <x:c r="F115" s="2" t="s">
        <x:v>844</x:v>
      </x:c>
      <x:c r="G115" s="2"/>
      <x:c r="H115" s="2" t="s">
        <x:v>836</x:v>
      </x:c>
      <x:c r="I115" s="2" t="s">
        <x:v>850</x:v>
      </x:c>
      <x:c r="J115" s="2" t="s">
        <x:v>838</x:v>
      </x:c>
      <x:c r="K115" s="2" t="n">
        <x:v>112</x:v>
      </x:c>
      <x:c r="L115" s="2">
        <x:v>26</x:v>
      </x:c>
      <x:c r="M115" s="2" t="s">
        <x:v>854</x:v>
      </x:c>
      <x:c r="N115" s="2">
        <x:v>5</x:v>
      </x:c>
      <x:c r="O115" s="2" t="s">
        <x:v>846</x:v>
      </x:c>
      <x:c r="P115" s="2" t="s">
        <x:v>852</x:v>
      </x:c>
      <x:c r="Q115" s="2"/>
      <x:c r="R115" s="3">
        <x:v>3</x:v>
      </x:c>
      <x:c r="S115" s="3">
        <x:v>1</x:v>
      </x:c>
      <x:c r="T115" s="2" t="s">
        <x:v>103</x:v>
      </x:c>
      <x:c r="U115" s="2" t="s">
        <x:v>115</x:v>
      </x:c>
      <x:c r="V115" s="2" t="s">
        <x:v>842</x:v>
      </x:c>
      <x:c r="W115" s="2"/>
      <x:c r="X115" s="3"/>
      <x:c r="Y115" s="3"/>
      <x:c r="Z115" s="2"/>
      <x:c r="AA115" s="2"/>
      <x:c r="AB115" s="2"/>
      <x:c r="AC115" s="2"/>
      <x:c r="AD115" s="2"/>
      <x:c r="AE115" s="2"/>
      <x:c r="AF115" s="2"/>
      <x:c r="AG115" s="2"/>
      <x:c r="AH115" s="2"/>
      <x:c r="AI115" s="4"/>
      <x:c r="AJ115" s="2"/>
      <x:c r="AK115" s="2" t="s">
        <x:v>106</x:v>
      </x:c>
      <x:c r="AL115" s="2" t="s">
        <x:v>571</x:v>
      </x:c>
      <x:c r="AM115" s="2">
        <x:v>115</x:v>
      </x:c>
      <x:c r="AN115" s="2">
        <x:v>115</x:v>
      </x:c>
    </x:row>
    <x:row r="116" ht="52">
      <x:c r="A116" s="2" t="s">
        <x:v>6</x:v>
      </x:c>
      <x:c r="B116" s="2" t="s">
        <x:v>13</x:v>
      </x:c>
      <x:c r="C116" s="3">
        <x:v>114</x:v>
      </x:c>
      <x:c r="D116" s="2" t="s">
        <x:v>833</x:v>
      </x:c>
      <x:c r="E116" s="2" t="s">
        <x:v>855</x:v>
      </x:c>
      <x:c r="F116" s="2" t="s">
        <x:v>844</x:v>
      </x:c>
      <x:c r="G116" s="2"/>
      <x:c r="H116" s="2" t="s">
        <x:v>836</x:v>
      </x:c>
      <x:c r="I116" s="2" t="s">
        <x:v>856</x:v>
      </x:c>
      <x:c r="J116" s="2" t="s">
        <x:v>838</x:v>
      </x:c>
      <x:c r="K116" s="2"/>
      <x:c r="L116" s="2">
        <x:v>0</x:v>
      </x:c>
      <x:c r="M116" s="2" t="s">
        <x:v>839</x:v>
      </x:c>
      <x:c r="N116" s="2">
        <x:v>5</x:v>
      </x:c>
      <x:c r="O116" s="2" t="s">
        <x:v>840</x:v>
      </x:c>
      <x:c r="P116" s="2" t="s">
        <x:v>841</x:v>
      </x:c>
      <x:c r="Q116" s="2"/>
      <x:c r="R116" s="3">
        <x:v>4</x:v>
      </x:c>
      <x:c r="S116" s="3">
        <x:v>1</x:v>
      </x:c>
      <x:c r="T116" s="2" t="s">
        <x:v>103</x:v>
      </x:c>
      <x:c r="U116" s="2" t="s">
        <x:v>122</x:v>
      </x:c>
      <x:c r="V116" s="2" t="s">
        <x:v>842</x:v>
      </x:c>
      <x:c r="W116" s="2"/>
      <x:c r="X116" s="3"/>
      <x:c r="Y116" s="3"/>
      <x:c r="Z116" s="2"/>
      <x:c r="AA116" s="2"/>
      <x:c r="AB116" s="2"/>
      <x:c r="AC116" s="2"/>
      <x:c r="AD116" s="2"/>
      <x:c r="AE116" s="2"/>
      <x:c r="AF116" s="2"/>
      <x:c r="AG116" s="2"/>
      <x:c r="AH116" s="2"/>
      <x:c r="AI116" s="4"/>
      <x:c r="AJ116" s="2"/>
      <x:c r="AK116" s="2" t="s">
        <x:v>106</x:v>
      </x:c>
      <x:c r="AL116" s="2" t="s">
        <x:v>571</x:v>
      </x:c>
      <x:c r="AM116" s="2">
        <x:v>116</x:v>
      </x:c>
      <x:c r="AN116" s="2">
        <x:v>116</x:v>
      </x:c>
    </x:row>
    <x:row r="117" ht="52">
      <x:c r="A117" s="2" t="s">
        <x:v>91</x:v>
      </x:c>
      <x:c r="B117" s="2" t="s">
        <x:v>13</x:v>
      </x:c>
      <x:c r="C117" s="3">
        <x:v>115</x:v>
      </x:c>
      <x:c r="D117" s="2" t="s">
        <x:v>843</x:v>
      </x:c>
      <x:c r="E117" s="2" t="s">
        <x:v>855</x:v>
      </x:c>
      <x:c r="F117" s="2" t="s">
        <x:v>835</x:v>
      </x:c>
      <x:c r="G117" s="2" t="s">
        <x:v>857</x:v>
      </x:c>
      <x:c r="H117" s="2" t="s">
        <x:v>836</x:v>
      </x:c>
      <x:c r="I117" s="2" t="s">
        <x:v>856</x:v>
      </x:c>
      <x:c r="J117" s="2" t="s">
        <x:v>838</x:v>
      </x:c>
      <x:c r="K117" s="2" t="n">
        <x:v>114</x:v>
      </x:c>
      <x:c r="L117" s="2">
        <x:v>101</x:v>
      </x:c>
      <x:c r="M117" s="2" t="s">
        <x:v>845</x:v>
      </x:c>
      <x:c r="N117" s="2">
        <x:v>5</x:v>
      </x:c>
      <x:c r="O117" s="2" t="s">
        <x:v>846</x:v>
      </x:c>
      <x:c r="P117" s="2" t="s">
        <x:v>841</x:v>
      </x:c>
      <x:c r="Q117" s="2"/>
      <x:c r="R117" s="3">
        <x:v>4</x:v>
      </x:c>
      <x:c r="S117" s="3">
        <x:v>1</x:v>
      </x:c>
      <x:c r="T117" s="2" t="s">
        <x:v>103</x:v>
      </x:c>
      <x:c r="U117" s="2" t="s">
        <x:v>104</x:v>
      </x:c>
      <x:c r="V117" s="2" t="s">
        <x:v>842</x:v>
      </x:c>
      <x:c r="W117" s="2"/>
      <x:c r="X117" s="3"/>
      <x:c r="Y117" s="3"/>
      <x:c r="Z117" s="2"/>
      <x:c r="AA117" s="2"/>
      <x:c r="AB117" s="2"/>
      <x:c r="AC117" s="2"/>
      <x:c r="AD117" s="2"/>
      <x:c r="AE117" s="2"/>
      <x:c r="AF117" s="2"/>
      <x:c r="AG117" s="2"/>
      <x:c r="AH117" s="2"/>
      <x:c r="AI117" s="4"/>
      <x:c r="AJ117" s="2"/>
      <x:c r="AK117" s="2" t="s">
        <x:v>106</x:v>
      </x:c>
      <x:c r="AL117" s="2" t="s">
        <x:v>571</x:v>
      </x:c>
      <x:c r="AM117" s="2">
        <x:v>117</x:v>
      </x:c>
      <x:c r="AN117" s="2">
        <x:v>117</x:v>
      </x:c>
    </x:row>
    <x:row r="118" ht="52">
      <x:c r="A118" s="2" t="s">
        <x:v>91</x:v>
      </x:c>
      <x:c r="B118" s="2" t="s">
        <x:v>13</x:v>
      </x:c>
      <x:c r="C118" s="3">
        <x:v>116</x:v>
      </x:c>
      <x:c r="D118" s="2" t="s">
        <x:v>847</x:v>
      </x:c>
      <x:c r="E118" s="2" t="s">
        <x:v>858</x:v>
      </x:c>
      <x:c r="F118" s="2" t="s">
        <x:v>844</x:v>
      </x:c>
      <x:c r="G118" s="2" t="s">
        <x:v>602</x:v>
      </x:c>
      <x:c r="H118" s="2" t="s">
        <x:v>836</x:v>
      </x:c>
      <x:c r="I118" s="2" t="s">
        <x:v>859</x:v>
      </x:c>
      <x:c r="J118" s="2" t="s">
        <x:v>838</x:v>
      </x:c>
      <x:c r="K118" s="2"/>
      <x:c r="L118" s="2">
        <x:v>78</x:v>
      </x:c>
      <x:c r="M118" s="2" t="s">
        <x:v>851</x:v>
      </x:c>
      <x:c r="N118" s="2">
        <x:v>5</x:v>
      </x:c>
      <x:c r="O118" s="2" t="s">
        <x:v>840</x:v>
      </x:c>
      <x:c r="P118" s="2" t="s">
        <x:v>860</x:v>
      </x:c>
      <x:c r="Q118" s="2"/>
      <x:c r="R118" s="3">
        <x:v>2</x:v>
      </x:c>
      <x:c r="S118" s="3">
        <x:v>1</x:v>
      </x:c>
      <x:c r="T118" s="2" t="s">
        <x:v>103</x:v>
      </x:c>
      <x:c r="U118" s="2" t="s">
        <x:v>129</x:v>
      </x:c>
      <x:c r="V118" s="2" t="s">
        <x:v>842</x:v>
      </x:c>
      <x:c r="W118" s="2"/>
      <x:c r="X118" s="3"/>
      <x:c r="Y118" s="3"/>
      <x:c r="Z118" s="2"/>
      <x:c r="AA118" s="2"/>
      <x:c r="AB118" s="2"/>
      <x:c r="AC118" s="2"/>
      <x:c r="AD118" s="2"/>
      <x:c r="AE118" s="2"/>
      <x:c r="AF118" s="2"/>
      <x:c r="AG118" s="2"/>
      <x:c r="AH118" s="2"/>
      <x:c r="AI118" s="4"/>
      <x:c r="AJ118" s="2"/>
      <x:c r="AK118" s="2" t="s">
        <x:v>106</x:v>
      </x:c>
      <x:c r="AL118" s="2" t="s">
        <x:v>571</x:v>
      </x:c>
      <x:c r="AM118" s="2">
        <x:v>118</x:v>
      </x:c>
      <x:c r="AN118" s="2">
        <x:v>118</x:v>
      </x:c>
    </x:row>
    <x:row r="119" ht="52">
      <x:c r="A119" s="2" t="s">
        <x:v>6</x:v>
      </x:c>
      <x:c r="B119" s="2" t="s">
        <x:v>13</x:v>
      </x:c>
      <x:c r="C119" s="3">
        <x:v>117</x:v>
      </x:c>
      <x:c r="D119" s="2" t="s">
        <x:v>853</x:v>
      </x:c>
      <x:c r="E119" s="2" t="s">
        <x:v>858</x:v>
      </x:c>
      <x:c r="F119" s="2" t="s">
        <x:v>835</x:v>
      </x:c>
      <x:c r="G119" s="2"/>
      <x:c r="H119" s="2" t="s">
        <x:v>836</x:v>
      </x:c>
      <x:c r="I119" s="2" t="s">
        <x:v>859</x:v>
      </x:c>
      <x:c r="J119" s="2" t="s">
        <x:v>838</x:v>
      </x:c>
      <x:c r="K119" s="2" t="n">
        <x:v>116</x:v>
      </x:c>
      <x:c r="L119" s="2">
        <x:v>26</x:v>
      </x:c>
      <x:c r="M119" s="2" t="s">
        <x:v>854</x:v>
      </x:c>
      <x:c r="N119" s="2">
        <x:v>5</x:v>
      </x:c>
      <x:c r="O119" s="2" t="s">
        <x:v>846</x:v>
      </x:c>
      <x:c r="P119" s="2" t="s">
        <x:v>860</x:v>
      </x:c>
      <x:c r="Q119" s="2"/>
      <x:c r="R119" s="3">
        <x:v>2</x:v>
      </x:c>
      <x:c r="S119" s="3">
        <x:v>1</x:v>
      </x:c>
      <x:c r="T119" s="2" t="s">
        <x:v>103</x:v>
      </x:c>
      <x:c r="U119" s="2" t="s">
        <x:v>115</x:v>
      </x:c>
      <x:c r="V119" s="2" t="s">
        <x:v>842</x:v>
      </x:c>
      <x:c r="W119" s="2"/>
      <x:c r="X119" s="3"/>
      <x:c r="Y119" s="3"/>
      <x:c r="Z119" s="2"/>
      <x:c r="AA119" s="2"/>
      <x:c r="AB119" s="2"/>
      <x:c r="AC119" s="2"/>
      <x:c r="AD119" s="2"/>
      <x:c r="AE119" s="2"/>
      <x:c r="AF119" s="2"/>
      <x:c r="AG119" s="2"/>
      <x:c r="AH119" s="2"/>
      <x:c r="AI119" s="4"/>
      <x:c r="AJ119" s="2"/>
      <x:c r="AK119" s="2" t="s">
        <x:v>106</x:v>
      </x:c>
      <x:c r="AL119" s="2" t="s">
        <x:v>571</x:v>
      </x:c>
      <x:c r="AM119" s="2">
        <x:v>119</x:v>
      </x:c>
      <x:c r="AN119" s="2">
        <x:v>119</x:v>
      </x:c>
    </x:row>
    <x:row r="120" ht="52">
      <x:c r="A120" s="2" t="s">
        <x:v>91</x:v>
      </x:c>
      <x:c r="B120" s="2" t="s">
        <x:v>13</x:v>
      </x:c>
      <x:c r="C120" s="3">
        <x:v>118</x:v>
      </x:c>
      <x:c r="D120" s="2" t="s">
        <x:v>833</x:v>
      </x:c>
      <x:c r="E120" s="2" t="s">
        <x:v>861</x:v>
      </x:c>
      <x:c r="F120" s="2" t="s">
        <x:v>835</x:v>
      </x:c>
      <x:c r="G120" s="2" t="s">
        <x:v>862</x:v>
      </x:c>
      <x:c r="H120" s="2" t="s">
        <x:v>836</x:v>
      </x:c>
      <x:c r="I120" s="2" t="s">
        <x:v>863</x:v>
      </x:c>
      <x:c r="J120" s="2" t="s">
        <x:v>838</x:v>
      </x:c>
      <x:c r="K120" s="2"/>
      <x:c r="L120" s="2">
        <x:v>0</x:v>
      </x:c>
      <x:c r="M120" s="2" t="s">
        <x:v>839</x:v>
      </x:c>
      <x:c r="N120" s="2">
        <x:v>5</x:v>
      </x:c>
      <x:c r="O120" s="2" t="s">
        <x:v>840</x:v>
      </x:c>
      <x:c r="P120" s="2" t="s">
        <x:v>841</x:v>
      </x:c>
      <x:c r="Q120" s="2"/>
      <x:c r="R120" s="3">
        <x:v>3</x:v>
      </x:c>
      <x:c r="S120" s="3">
        <x:v>1</x:v>
      </x:c>
      <x:c r="T120" s="2" t="s">
        <x:v>103</x:v>
      </x:c>
      <x:c r="U120" s="2" t="s">
        <x:v>122</x:v>
      </x:c>
      <x:c r="V120" s="2" t="s">
        <x:v>842</x:v>
      </x:c>
      <x:c r="W120" s="2"/>
      <x:c r="X120" s="3"/>
      <x:c r="Y120" s="3"/>
      <x:c r="Z120" s="2"/>
      <x:c r="AA120" s="2"/>
      <x:c r="AB120" s="2"/>
      <x:c r="AC120" s="2"/>
      <x:c r="AD120" s="2"/>
      <x:c r="AE120" s="2"/>
      <x:c r="AF120" s="2"/>
      <x:c r="AG120" s="2"/>
      <x:c r="AH120" s="2"/>
      <x:c r="AI120" s="4"/>
      <x:c r="AJ120" s="2"/>
      <x:c r="AK120" s="2" t="s">
        <x:v>106</x:v>
      </x:c>
      <x:c r="AL120" s="2" t="s">
        <x:v>571</x:v>
      </x:c>
      <x:c r="AM120" s="2">
        <x:v>120</x:v>
      </x:c>
      <x:c r="AN120" s="2">
        <x:v>120</x:v>
      </x:c>
    </x:row>
    <x:row r="121" ht="52">
      <x:c r="A121" s="2" t="s">
        <x:v>91</x:v>
      </x:c>
      <x:c r="B121" s="2" t="s">
        <x:v>13</x:v>
      </x:c>
      <x:c r="C121" s="3">
        <x:v>119</x:v>
      </x:c>
      <x:c r="D121" s="2" t="s">
        <x:v>843</x:v>
      </x:c>
      <x:c r="E121" s="2" t="s">
        <x:v>861</x:v>
      </x:c>
      <x:c r="F121" s="2" t="s">
        <x:v>844</x:v>
      </x:c>
      <x:c r="G121" s="2" t="s">
        <x:v>864</x:v>
      </x:c>
      <x:c r="H121" s="2" t="s">
        <x:v>836</x:v>
      </x:c>
      <x:c r="I121" s="2" t="s">
        <x:v>863</x:v>
      </x:c>
      <x:c r="J121" s="2" t="s">
        <x:v>838</x:v>
      </x:c>
      <x:c r="K121" s="2" t="n">
        <x:v>118</x:v>
      </x:c>
      <x:c r="L121" s="2">
        <x:v>101</x:v>
      </x:c>
      <x:c r="M121" s="2" t="s">
        <x:v>845</x:v>
      </x:c>
      <x:c r="N121" s="2">
        <x:v>5</x:v>
      </x:c>
      <x:c r="O121" s="2" t="s">
        <x:v>846</x:v>
      </x:c>
      <x:c r="P121" s="2" t="s">
        <x:v>841</x:v>
      </x:c>
      <x:c r="Q121" s="2"/>
      <x:c r="R121" s="3">
        <x:v>3</x:v>
      </x:c>
      <x:c r="S121" s="3">
        <x:v>1</x:v>
      </x:c>
      <x:c r="T121" s="2" t="s">
        <x:v>103</x:v>
      </x:c>
      <x:c r="U121" s="2" t="s">
        <x:v>104</x:v>
      </x:c>
      <x:c r="V121" s="2" t="s">
        <x:v>842</x:v>
      </x:c>
      <x:c r="W121" s="2"/>
      <x:c r="X121" s="3"/>
      <x:c r="Y121" s="3"/>
      <x:c r="Z121" s="2"/>
      <x:c r="AA121" s="2"/>
      <x:c r="AB121" s="2"/>
      <x:c r="AC121" s="2"/>
      <x:c r="AD121" s="2"/>
      <x:c r="AE121" s="2"/>
      <x:c r="AF121" s="2"/>
      <x:c r="AG121" s="2"/>
      <x:c r="AH121" s="2"/>
      <x:c r="AI121" s="4"/>
      <x:c r="AJ121" s="2"/>
      <x:c r="AK121" s="2" t="s">
        <x:v>106</x:v>
      </x:c>
      <x:c r="AL121" s="2" t="s">
        <x:v>571</x:v>
      </x:c>
      <x:c r="AM121" s="2">
        <x:v>121</x:v>
      </x:c>
      <x:c r="AN121" s="2">
        <x:v>121</x:v>
      </x:c>
    </x:row>
    <x:row r="122" ht="52">
      <x:c r="A122" s="2" t="s">
        <x:v>91</x:v>
      </x:c>
      <x:c r="B122" s="2" t="s">
        <x:v>13</x:v>
      </x:c>
      <x:c r="C122" s="3">
        <x:v>120</x:v>
      </x:c>
      <x:c r="D122" s="2" t="s">
        <x:v>847</x:v>
      </x:c>
      <x:c r="E122" s="2" t="s">
        <x:v>865</x:v>
      </x:c>
      <x:c r="F122" s="2" t="s">
        <x:v>835</x:v>
      </x:c>
      <x:c r="G122" s="2" t="s">
        <x:v>866</x:v>
      </x:c>
      <x:c r="H122" s="2" t="s">
        <x:v>836</x:v>
      </x:c>
      <x:c r="I122" s="2" t="s">
        <x:v>867</x:v>
      </x:c>
      <x:c r="J122" s="2" t="s">
        <x:v>838</x:v>
      </x:c>
      <x:c r="K122" s="2"/>
      <x:c r="L122" s="2">
        <x:v>78</x:v>
      </x:c>
      <x:c r="M122" s="2" t="s">
        <x:v>851</x:v>
      </x:c>
      <x:c r="N122" s="2">
        <x:v>5</x:v>
      </x:c>
      <x:c r="O122" s="2" t="s">
        <x:v>840</x:v>
      </x:c>
      <x:c r="P122" s="2" t="s">
        <x:v>852</x:v>
      </x:c>
      <x:c r="Q122" s="2"/>
      <x:c r="R122" s="3">
        <x:v>4</x:v>
      </x:c>
      <x:c r="S122" s="3">
        <x:v>1</x:v>
      </x:c>
      <x:c r="T122" s="2" t="s">
        <x:v>103</x:v>
      </x:c>
      <x:c r="U122" s="2" t="s">
        <x:v>129</x:v>
      </x:c>
      <x:c r="V122" s="2" t="s">
        <x:v>842</x:v>
      </x:c>
      <x:c r="W122" s="2"/>
      <x:c r="X122" s="3"/>
      <x:c r="Y122" s="3"/>
      <x:c r="Z122" s="2"/>
      <x:c r="AA122" s="2"/>
      <x:c r="AB122" s="2"/>
      <x:c r="AC122" s="2"/>
      <x:c r="AD122" s="2"/>
      <x:c r="AE122" s="2"/>
      <x:c r="AF122" s="2"/>
      <x:c r="AG122" s="2"/>
      <x:c r="AH122" s="2"/>
      <x:c r="AI122" s="4"/>
      <x:c r="AJ122" s="2"/>
      <x:c r="AK122" s="2" t="s">
        <x:v>106</x:v>
      </x:c>
      <x:c r="AL122" s="2" t="s">
        <x:v>571</x:v>
      </x:c>
      <x:c r="AM122" s="2">
        <x:v>122</x:v>
      </x:c>
      <x:c r="AN122" s="2">
        <x:v>122</x:v>
      </x:c>
    </x:row>
    <x:row r="123" ht="52">
      <x:c r="A123" s="2" t="s">
        <x:v>6</x:v>
      </x:c>
      <x:c r="B123" s="2" t="s">
        <x:v>13</x:v>
      </x:c>
      <x:c r="C123" s="3">
        <x:v>121</x:v>
      </x:c>
      <x:c r="D123" s="2" t="s">
        <x:v>853</x:v>
      </x:c>
      <x:c r="E123" s="2" t="s">
        <x:v>865</x:v>
      </x:c>
      <x:c r="F123" s="2" t="s">
        <x:v>844</x:v>
      </x:c>
      <x:c r="G123" s="2"/>
      <x:c r="H123" s="2" t="s">
        <x:v>836</x:v>
      </x:c>
      <x:c r="I123" s="2" t="s">
        <x:v>867</x:v>
      </x:c>
      <x:c r="J123" s="2" t="s">
        <x:v>838</x:v>
      </x:c>
      <x:c r="K123" s="2" t="n">
        <x:v>120</x:v>
      </x:c>
      <x:c r="L123" s="2">
        <x:v>26</x:v>
      </x:c>
      <x:c r="M123" s="2" t="s">
        <x:v>854</x:v>
      </x:c>
      <x:c r="N123" s="2">
        <x:v>5</x:v>
      </x:c>
      <x:c r="O123" s="2" t="s">
        <x:v>846</x:v>
      </x:c>
      <x:c r="P123" s="2" t="s">
        <x:v>852</x:v>
      </x:c>
      <x:c r="Q123" s="2"/>
      <x:c r="R123" s="3">
        <x:v>4</x:v>
      </x:c>
      <x:c r="S123" s="3">
        <x:v>1</x:v>
      </x:c>
      <x:c r="T123" s="2" t="s">
        <x:v>103</x:v>
      </x:c>
      <x:c r="U123" s="2" t="s">
        <x:v>115</x:v>
      </x:c>
      <x:c r="V123" s="2" t="s">
        <x:v>842</x:v>
      </x:c>
      <x:c r="W123" s="2"/>
      <x:c r="X123" s="3"/>
      <x:c r="Y123" s="3"/>
      <x:c r="Z123" s="2"/>
      <x:c r="AA123" s="2"/>
      <x:c r="AB123" s="2"/>
      <x:c r="AC123" s="2"/>
      <x:c r="AD123" s="2"/>
      <x:c r="AE123" s="2"/>
      <x:c r="AF123" s="2"/>
      <x:c r="AG123" s="2"/>
      <x:c r="AH123" s="2"/>
      <x:c r="AI123" s="4"/>
      <x:c r="AJ123" s="2"/>
      <x:c r="AK123" s="2" t="s">
        <x:v>106</x:v>
      </x:c>
      <x:c r="AL123" s="2" t="s">
        <x:v>571</x:v>
      </x:c>
      <x:c r="AM123" s="2">
        <x:v>123</x:v>
      </x:c>
      <x:c r="AN123" s="2">
        <x:v>123</x:v>
      </x:c>
    </x:row>
    <x:row r="124" ht="52">
      <x:c r="A124" s="2" t="s">
        <x:v>6</x:v>
      </x:c>
      <x:c r="B124" s="2" t="s">
        <x:v>13</x:v>
      </x:c>
      <x:c r="C124" s="3">
        <x:v>122</x:v>
      </x:c>
      <x:c r="D124" s="2" t="s">
        <x:v>833</x:v>
      </x:c>
      <x:c r="E124" s="2" t="s">
        <x:v>868</x:v>
      </x:c>
      <x:c r="F124" s="2" t="s">
        <x:v>844</x:v>
      </x:c>
      <x:c r="G124" s="2" t="s">
        <x:v>869</x:v>
      </x:c>
      <x:c r="H124" s="2" t="s">
        <x:v>836</x:v>
      </x:c>
      <x:c r="I124" s="2" t="s">
        <x:v>870</x:v>
      </x:c>
      <x:c r="J124" s="2" t="s">
        <x:v>838</x:v>
      </x:c>
      <x:c r="K124" s="2"/>
      <x:c r="L124" s="2">
        <x:v>0</x:v>
      </x:c>
      <x:c r="M124" s="2" t="s">
        <x:v>839</x:v>
      </x:c>
      <x:c r="N124" s="2">
        <x:v>5</x:v>
      </x:c>
      <x:c r="O124" s="2" t="s">
        <x:v>840</x:v>
      </x:c>
      <x:c r="P124" s="2" t="s">
        <x:v>841</x:v>
      </x:c>
      <x:c r="Q124" s="2"/>
      <x:c r="R124" s="3">
        <x:v>2</x:v>
      </x:c>
      <x:c r="S124" s="3">
        <x:v>1</x:v>
      </x:c>
      <x:c r="T124" s="2" t="s">
        <x:v>103</x:v>
      </x:c>
      <x:c r="U124" s="2" t="s">
        <x:v>122</x:v>
      </x:c>
      <x:c r="V124" s="2" t="s">
        <x:v>842</x:v>
      </x:c>
      <x:c r="W124" s="2"/>
      <x:c r="X124" s="3"/>
      <x:c r="Y124" s="3"/>
      <x:c r="Z124" s="2"/>
      <x:c r="AA124" s="2"/>
      <x:c r="AB124" s="2"/>
      <x:c r="AC124" s="2"/>
      <x:c r="AD124" s="2"/>
      <x:c r="AE124" s="2"/>
      <x:c r="AF124" s="2"/>
      <x:c r="AG124" s="2"/>
      <x:c r="AH124" s="2"/>
      <x:c r="AI124" s="4"/>
      <x:c r="AJ124" s="2"/>
      <x:c r="AK124" s="2" t="s">
        <x:v>106</x:v>
      </x:c>
      <x:c r="AL124" s="2" t="s">
        <x:v>571</x:v>
      </x:c>
      <x:c r="AM124" s="2">
        <x:v>124</x:v>
      </x:c>
      <x:c r="AN124" s="2">
        <x:v>124</x:v>
      </x:c>
    </x:row>
    <x:row r="125" ht="52">
      <x:c r="A125" s="2" t="s">
        <x:v>91</x:v>
      </x:c>
      <x:c r="B125" s="2" t="s">
        <x:v>13</x:v>
      </x:c>
      <x:c r="C125" s="3">
        <x:v>123</x:v>
      </x:c>
      <x:c r="D125" s="2" t="s">
        <x:v>843</x:v>
      </x:c>
      <x:c r="E125" s="2" t="s">
        <x:v>868</x:v>
      </x:c>
      <x:c r="F125" s="2" t="s">
        <x:v>835</x:v>
      </x:c>
      <x:c r="G125" s="2" t="s">
        <x:v>871</x:v>
      </x:c>
      <x:c r="H125" s="2" t="s">
        <x:v>836</x:v>
      </x:c>
      <x:c r="I125" s="2" t="s">
        <x:v>870</x:v>
      </x:c>
      <x:c r="J125" s="2" t="s">
        <x:v>838</x:v>
      </x:c>
      <x:c r="K125" s="2" t="n">
        <x:v>122</x:v>
      </x:c>
      <x:c r="L125" s="2">
        <x:v>101</x:v>
      </x:c>
      <x:c r="M125" s="2" t="s">
        <x:v>845</x:v>
      </x:c>
      <x:c r="N125" s="2">
        <x:v>5</x:v>
      </x:c>
      <x:c r="O125" s="2" t="s">
        <x:v>846</x:v>
      </x:c>
      <x:c r="P125" s="2" t="s">
        <x:v>841</x:v>
      </x:c>
      <x:c r="Q125" s="2"/>
      <x:c r="R125" s="3">
        <x:v>2</x:v>
      </x:c>
      <x:c r="S125" s="3">
        <x:v>1</x:v>
      </x:c>
      <x:c r="T125" s="2" t="s">
        <x:v>103</x:v>
      </x:c>
      <x:c r="U125" s="2" t="s">
        <x:v>104</x:v>
      </x:c>
      <x:c r="V125" s="2" t="s">
        <x:v>842</x:v>
      </x:c>
      <x:c r="W125" s="2"/>
      <x:c r="X125" s="3"/>
      <x:c r="Y125" s="3"/>
      <x:c r="Z125" s="2"/>
      <x:c r="AA125" s="2"/>
      <x:c r="AB125" s="2"/>
      <x:c r="AC125" s="2"/>
      <x:c r="AD125" s="2"/>
      <x:c r="AE125" s="2"/>
      <x:c r="AF125" s="2"/>
      <x:c r="AG125" s="2"/>
      <x:c r="AH125" s="2"/>
      <x:c r="AI125" s="4"/>
      <x:c r="AJ125" s="2"/>
      <x:c r="AK125" s="2" t="s">
        <x:v>106</x:v>
      </x:c>
      <x:c r="AL125" s="2" t="s">
        <x:v>571</x:v>
      </x:c>
      <x:c r="AM125" s="2">
        <x:v>125</x:v>
      </x:c>
      <x:c r="AN125" s="2">
        <x:v>125</x:v>
      </x:c>
    </x:row>
    <x:row r="126" ht="52">
      <x:c r="A126" s="2" t="s">
        <x:v>91</x:v>
      </x:c>
      <x:c r="B126" s="2" t="s">
        <x:v>13</x:v>
      </x:c>
      <x:c r="C126" s="3">
        <x:v>124</x:v>
      </x:c>
      <x:c r="D126" s="2" t="s">
        <x:v>847</x:v>
      </x:c>
      <x:c r="E126" s="2" t="s">
        <x:v>872</x:v>
      </x:c>
      <x:c r="F126" s="2" t="s">
        <x:v>844</x:v>
      </x:c>
      <x:c r="G126" s="2" t="s">
        <x:v>873</x:v>
      </x:c>
      <x:c r="H126" s="2" t="s">
        <x:v>836</x:v>
      </x:c>
      <x:c r="I126" s="2" t="s">
        <x:v>874</x:v>
      </x:c>
      <x:c r="J126" s="2" t="s">
        <x:v>838</x:v>
      </x:c>
      <x:c r="K126" s="2"/>
      <x:c r="L126" s="2">
        <x:v>78</x:v>
      </x:c>
      <x:c r="M126" s="2" t="s">
        <x:v>851</x:v>
      </x:c>
      <x:c r="N126" s="2">
        <x:v>5</x:v>
      </x:c>
      <x:c r="O126" s="2" t="s">
        <x:v>840</x:v>
      </x:c>
      <x:c r="P126" s="2" t="s">
        <x:v>860</x:v>
      </x:c>
      <x:c r="Q126" s="2"/>
      <x:c r="R126" s="3">
        <x:v>3</x:v>
      </x:c>
      <x:c r="S126" s="3">
        <x:v>1</x:v>
      </x:c>
      <x:c r="T126" s="2" t="s">
        <x:v>103</x:v>
      </x:c>
      <x:c r="U126" s="2" t="s">
        <x:v>129</x:v>
      </x:c>
      <x:c r="V126" s="2" t="s">
        <x:v>842</x:v>
      </x:c>
      <x:c r="W126" s="2"/>
      <x:c r="X126" s="3"/>
      <x:c r="Y126" s="3"/>
      <x:c r="Z126" s="2"/>
      <x:c r="AA126" s="2"/>
      <x:c r="AB126" s="2"/>
      <x:c r="AC126" s="2"/>
      <x:c r="AD126" s="2"/>
      <x:c r="AE126" s="2"/>
      <x:c r="AF126" s="2"/>
      <x:c r="AG126" s="2"/>
      <x:c r="AH126" s="2"/>
      <x:c r="AI126" s="4"/>
      <x:c r="AJ126" s="2"/>
      <x:c r="AK126" s="2" t="s">
        <x:v>106</x:v>
      </x:c>
      <x:c r="AL126" s="2" t="s">
        <x:v>571</x:v>
      </x:c>
      <x:c r="AM126" s="2">
        <x:v>126</x:v>
      </x:c>
      <x:c r="AN126" s="2">
        <x:v>126</x:v>
      </x:c>
    </x:row>
    <x:row r="127" ht="52">
      <x:c r="A127" s="2" t="s">
        <x:v>6</x:v>
      </x:c>
      <x:c r="B127" s="2" t="s">
        <x:v>13</x:v>
      </x:c>
      <x:c r="C127" s="3">
        <x:v>125</x:v>
      </x:c>
      <x:c r="D127" s="2" t="s">
        <x:v>853</x:v>
      </x:c>
      <x:c r="E127" s="2" t="s">
        <x:v>872</x:v>
      </x:c>
      <x:c r="F127" s="2" t="s">
        <x:v>835</x:v>
      </x:c>
      <x:c r="G127" s="2"/>
      <x:c r="H127" s="2" t="s">
        <x:v>836</x:v>
      </x:c>
      <x:c r="I127" s="2" t="s">
        <x:v>874</x:v>
      </x:c>
      <x:c r="J127" s="2" t="s">
        <x:v>838</x:v>
      </x:c>
      <x:c r="K127" s="2" t="n">
        <x:v>124</x:v>
      </x:c>
      <x:c r="L127" s="2">
        <x:v>26</x:v>
      </x:c>
      <x:c r="M127" s="2" t="s">
        <x:v>854</x:v>
      </x:c>
      <x:c r="N127" s="2">
        <x:v>5</x:v>
      </x:c>
      <x:c r="O127" s="2" t="s">
        <x:v>846</x:v>
      </x:c>
      <x:c r="P127" s="2" t="s">
        <x:v>860</x:v>
      </x:c>
      <x:c r="Q127" s="2"/>
      <x:c r="R127" s="3">
        <x:v>3</x:v>
      </x:c>
      <x:c r="S127" s="3">
        <x:v>1</x:v>
      </x:c>
      <x:c r="T127" s="2" t="s">
        <x:v>103</x:v>
      </x:c>
      <x:c r="U127" s="2" t="s">
        <x:v>115</x:v>
      </x:c>
      <x:c r="V127" s="2" t="s">
        <x:v>842</x:v>
      </x:c>
      <x:c r="W127" s="2"/>
      <x:c r="X127" s="3"/>
      <x:c r="Y127" s="3"/>
      <x:c r="Z127" s="2"/>
      <x:c r="AA127" s="2"/>
      <x:c r="AB127" s="2"/>
      <x:c r="AC127" s="2"/>
      <x:c r="AD127" s="2"/>
      <x:c r="AE127" s="2"/>
      <x:c r="AF127" s="2"/>
      <x:c r="AG127" s="2"/>
      <x:c r="AH127" s="2"/>
      <x:c r="AI127" s="4"/>
      <x:c r="AJ127" s="2"/>
      <x:c r="AK127" s="2" t="s">
        <x:v>106</x:v>
      </x:c>
      <x:c r="AL127" s="2" t="s">
        <x:v>571</x:v>
      </x:c>
      <x:c r="AM127" s="2">
        <x:v>127</x:v>
      </x:c>
      <x:c r="AN127" s="2">
        <x:v>127</x:v>
      </x:c>
    </x:row>
    <x:row r="128" ht="52">
      <x:c r="A128" s="2" t="s">
        <x:v>91</x:v>
      </x:c>
      <x:c r="B128" s="2" t="s">
        <x:v>13</x:v>
      </x:c>
      <x:c r="C128" s="3">
        <x:v>126</x:v>
      </x:c>
      <x:c r="D128" s="2" t="s">
        <x:v>833</x:v>
      </x:c>
      <x:c r="E128" s="2" t="s">
        <x:v>875</x:v>
      </x:c>
      <x:c r="F128" s="2" t="s">
        <x:v>835</x:v>
      </x:c>
      <x:c r="G128" s="2" t="s">
        <x:v>876</x:v>
      </x:c>
      <x:c r="H128" s="2" t="s">
        <x:v>836</x:v>
      </x:c>
      <x:c r="I128" s="2" t="s">
        <x:v>877</x:v>
      </x:c>
      <x:c r="J128" s="2" t="s">
        <x:v>838</x:v>
      </x:c>
      <x:c r="K128" s="2"/>
      <x:c r="L128" s="2">
        <x:v>0</x:v>
      </x:c>
      <x:c r="M128" s="2" t="s">
        <x:v>839</x:v>
      </x:c>
      <x:c r="N128" s="2">
        <x:v>5</x:v>
      </x:c>
      <x:c r="O128" s="2" t="s">
        <x:v>840</x:v>
      </x:c>
      <x:c r="P128" s="2" t="s">
        <x:v>841</x:v>
      </x:c>
      <x:c r="Q128" s="2"/>
      <x:c r="R128" s="3">
        <x:v>4</x:v>
      </x:c>
      <x:c r="S128" s="3">
        <x:v>1</x:v>
      </x:c>
      <x:c r="T128" s="2" t="s">
        <x:v>103</x:v>
      </x:c>
      <x:c r="U128" s="2" t="s">
        <x:v>122</x:v>
      </x:c>
      <x:c r="V128" s="2" t="s">
        <x:v>842</x:v>
      </x:c>
      <x:c r="W128" s="2"/>
      <x:c r="X128" s="3"/>
      <x:c r="Y128" s="3"/>
      <x:c r="Z128" s="2"/>
      <x:c r="AA128" s="2"/>
      <x:c r="AB128" s="2"/>
      <x:c r="AC128" s="2"/>
      <x:c r="AD128" s="2"/>
      <x:c r="AE128" s="2"/>
      <x:c r="AF128" s="2"/>
      <x:c r="AG128" s="2"/>
      <x:c r="AH128" s="2"/>
      <x:c r="AI128" s="4"/>
      <x:c r="AJ128" s="2"/>
      <x:c r="AK128" s="2" t="s">
        <x:v>106</x:v>
      </x:c>
      <x:c r="AL128" s="2" t="s">
        <x:v>571</x:v>
      </x:c>
      <x:c r="AM128" s="2">
        <x:v>128</x:v>
      </x:c>
      <x:c r="AN128" s="2">
        <x:v>128</x:v>
      </x:c>
    </x:row>
    <x:row r="129" ht="52">
      <x:c r="A129" s="2" t="s">
        <x:v>91</x:v>
      </x:c>
      <x:c r="B129" s="2" t="s">
        <x:v>13</x:v>
      </x:c>
      <x:c r="C129" s="3">
        <x:v>127</x:v>
      </x:c>
      <x:c r="D129" s="2" t="s">
        <x:v>843</x:v>
      </x:c>
      <x:c r="E129" s="2" t="s">
        <x:v>875</x:v>
      </x:c>
      <x:c r="F129" s="2" t="s">
        <x:v>844</x:v>
      </x:c>
      <x:c r="G129" s="2" t="s">
        <x:v>864</x:v>
      </x:c>
      <x:c r="H129" s="2" t="s">
        <x:v>836</x:v>
      </x:c>
      <x:c r="I129" s="2" t="s">
        <x:v>877</x:v>
      </x:c>
      <x:c r="J129" s="2" t="s">
        <x:v>838</x:v>
      </x:c>
      <x:c r="K129" s="2" t="n">
        <x:v>126</x:v>
      </x:c>
      <x:c r="L129" s="2">
        <x:v>101</x:v>
      </x:c>
      <x:c r="M129" s="2" t="s">
        <x:v>845</x:v>
      </x:c>
      <x:c r="N129" s="2">
        <x:v>5</x:v>
      </x:c>
      <x:c r="O129" s="2" t="s">
        <x:v>846</x:v>
      </x:c>
      <x:c r="P129" s="2" t="s">
        <x:v>841</x:v>
      </x:c>
      <x:c r="Q129" s="2"/>
      <x:c r="R129" s="3">
        <x:v>4</x:v>
      </x:c>
      <x:c r="S129" s="3">
        <x:v>1</x:v>
      </x:c>
      <x:c r="T129" s="2" t="s">
        <x:v>103</x:v>
      </x:c>
      <x:c r="U129" s="2" t="s">
        <x:v>104</x:v>
      </x:c>
      <x:c r="V129" s="2" t="s">
        <x:v>842</x:v>
      </x:c>
      <x:c r="W129" s="2"/>
      <x:c r="X129" s="3"/>
      <x:c r="Y129" s="3"/>
      <x:c r="Z129" s="2"/>
      <x:c r="AA129" s="2"/>
      <x:c r="AB129" s="2"/>
      <x:c r="AC129" s="2"/>
      <x:c r="AD129" s="2"/>
      <x:c r="AE129" s="2"/>
      <x:c r="AF129" s="2"/>
      <x:c r="AG129" s="2"/>
      <x:c r="AH129" s="2"/>
      <x:c r="AI129" s="4"/>
      <x:c r="AJ129" s="2"/>
      <x:c r="AK129" s="2" t="s">
        <x:v>106</x:v>
      </x:c>
      <x:c r="AL129" s="2" t="s">
        <x:v>571</x:v>
      </x:c>
      <x:c r="AM129" s="2">
        <x:v>129</x:v>
      </x:c>
      <x:c r="AN129" s="2">
        <x:v>129</x:v>
      </x:c>
    </x:row>
    <x:row r="130" ht="52">
      <x:c r="A130" s="2" t="s">
        <x:v>91</x:v>
      </x:c>
      <x:c r="B130" s="2" t="s">
        <x:v>13</x:v>
      </x:c>
      <x:c r="C130" s="3">
        <x:v>128</x:v>
      </x:c>
      <x:c r="D130" s="2" t="s">
        <x:v>847</x:v>
      </x:c>
      <x:c r="E130" s="2" t="s">
        <x:v>848</x:v>
      </x:c>
      <x:c r="F130" s="2" t="s">
        <x:v>835</x:v>
      </x:c>
      <x:c r="G130" s="2" t="s">
        <x:v>878</x:v>
      </x:c>
      <x:c r="H130" s="2" t="s">
        <x:v>836</x:v>
      </x:c>
      <x:c r="I130" s="2" t="s">
        <x:v>879</x:v>
      </x:c>
      <x:c r="J130" s="2" t="s">
        <x:v>838</x:v>
      </x:c>
      <x:c r="K130" s="2"/>
      <x:c r="L130" s="2">
        <x:v>78</x:v>
      </x:c>
      <x:c r="M130" s="2" t="s">
        <x:v>851</x:v>
      </x:c>
      <x:c r="N130" s="2">
        <x:v>5</x:v>
      </x:c>
      <x:c r="O130" s="2" t="s">
        <x:v>840</x:v>
      </x:c>
      <x:c r="P130" s="2" t="s">
        <x:v>852</x:v>
      </x:c>
      <x:c r="Q130" s="2"/>
      <x:c r="R130" s="3">
        <x:v>3</x:v>
      </x:c>
      <x:c r="S130" s="3">
        <x:v>1</x:v>
      </x:c>
      <x:c r="T130" s="2" t="s">
        <x:v>103</x:v>
      </x:c>
      <x:c r="U130" s="2" t="s">
        <x:v>129</x:v>
      </x:c>
      <x:c r="V130" s="2" t="s">
        <x:v>842</x:v>
      </x:c>
      <x:c r="W130" s="2"/>
      <x:c r="X130" s="3"/>
      <x:c r="Y130" s="3"/>
      <x:c r="Z130" s="2"/>
      <x:c r="AA130" s="2"/>
      <x:c r="AB130" s="2"/>
      <x:c r="AC130" s="2"/>
      <x:c r="AD130" s="2"/>
      <x:c r="AE130" s="2"/>
      <x:c r="AF130" s="2"/>
      <x:c r="AG130" s="2"/>
      <x:c r="AH130" s="2"/>
      <x:c r="AI130" s="4"/>
      <x:c r="AJ130" s="2"/>
      <x:c r="AK130" s="2" t="s">
        <x:v>106</x:v>
      </x:c>
      <x:c r="AL130" s="2" t="s">
        <x:v>571</x:v>
      </x:c>
      <x:c r="AM130" s="2">
        <x:v>130</x:v>
      </x:c>
      <x:c r="AN130" s="2">
        <x:v>130</x:v>
      </x:c>
    </x:row>
    <x:row r="131" ht="52">
      <x:c r="A131" s="2" t="s">
        <x:v>6</x:v>
      </x:c>
      <x:c r="B131" s="2" t="s">
        <x:v>13</x:v>
      </x:c>
      <x:c r="C131" s="3">
        <x:v>129</x:v>
      </x:c>
      <x:c r="D131" s="2" t="s">
        <x:v>853</x:v>
      </x:c>
      <x:c r="E131" s="2" t="s">
        <x:v>848</x:v>
      </x:c>
      <x:c r="F131" s="2" t="s">
        <x:v>844</x:v>
      </x:c>
      <x:c r="G131" s="2"/>
      <x:c r="H131" s="2" t="s">
        <x:v>836</x:v>
      </x:c>
      <x:c r="I131" s="2" t="s">
        <x:v>879</x:v>
      </x:c>
      <x:c r="J131" s="2" t="s">
        <x:v>838</x:v>
      </x:c>
      <x:c r="K131" s="2" t="n">
        <x:v>128</x:v>
      </x:c>
      <x:c r="L131" s="2">
        <x:v>26</x:v>
      </x:c>
      <x:c r="M131" s="2" t="s">
        <x:v>854</x:v>
      </x:c>
      <x:c r="N131" s="2">
        <x:v>5</x:v>
      </x:c>
      <x:c r="O131" s="2" t="s">
        <x:v>846</x:v>
      </x:c>
      <x:c r="P131" s="2" t="s">
        <x:v>852</x:v>
      </x:c>
      <x:c r="Q131" s="2"/>
      <x:c r="R131" s="3">
        <x:v>3</x:v>
      </x:c>
      <x:c r="S131" s="3">
        <x:v>1</x:v>
      </x:c>
      <x:c r="T131" s="2" t="s">
        <x:v>103</x:v>
      </x:c>
      <x:c r="U131" s="2" t="s">
        <x:v>115</x:v>
      </x:c>
      <x:c r="V131" s="2" t="s">
        <x:v>842</x:v>
      </x:c>
      <x:c r="W131" s="2"/>
      <x:c r="X131" s="3"/>
      <x:c r="Y131" s="3"/>
      <x:c r="Z131" s="2"/>
      <x:c r="AA131" s="2"/>
      <x:c r="AB131" s="2"/>
      <x:c r="AC131" s="2"/>
      <x:c r="AD131" s="2"/>
      <x:c r="AE131" s="2"/>
      <x:c r="AF131" s="2"/>
      <x:c r="AG131" s="2"/>
      <x:c r="AH131" s="2"/>
      <x:c r="AI131" s="4"/>
      <x:c r="AJ131" s="2"/>
      <x:c r="AK131" s="2" t="s">
        <x:v>106</x:v>
      </x:c>
      <x:c r="AL131" s="2" t="s">
        <x:v>571</x:v>
      </x:c>
      <x:c r="AM131" s="2">
        <x:v>131</x:v>
      </x:c>
      <x:c r="AN131" s="2">
        <x:v>131</x:v>
      </x:c>
    </x:row>
    <x:row r="132" ht="52">
      <x:c r="A132" s="2" t="s">
        <x:v>91</x:v>
      </x:c>
      <x:c r="B132" s="2" t="s">
        <x:v>13</x:v>
      </x:c>
      <x:c r="C132" s="3">
        <x:v>130</x:v>
      </x:c>
      <x:c r="D132" s="2" t="s">
        <x:v>580</x:v>
      </x:c>
      <x:c r="E132" s="2" t="s">
        <x:v>880</x:v>
      </x:c>
      <x:c r="F132" s="2" t="s">
        <x:v>881</x:v>
      </x:c>
      <x:c r="G132" s="2" t="s">
        <x:v>882</x:v>
      </x:c>
      <x:c r="H132" s="2" t="s">
        <x:v>883</x:v>
      </x:c>
      <x:c r="I132" s="2" t="s">
        <x:v>884</x:v>
      </x:c>
      <x:c r="J132" s="2" t="s">
        <x:v>885</x:v>
      </x:c>
      <x:c r="K132" s="2"/>
      <x:c r="L132" s="2" t="s">
        <x:v>579</x:v>
      </x:c>
      <x:c r="M132" s="2" t="s">
        <x:v>886</x:v>
      </x:c>
      <x:c r="N132" s="2">
        <x:v>6</x:v>
      </x:c>
      <x:c r="O132" s="2" t="s">
        <x:v>887</x:v>
      </x:c>
      <x:c r="P132" s="2" t="s">
        <x:v>888</x:v>
      </x:c>
      <x:c r="Q132" s="2"/>
      <x:c r="R132" s="3">
        <x:v>2</x:v>
      </x:c>
      <x:c r="S132" s="3">
        <x:v>0</x:v>
      </x:c>
      <x:c r="T132" s="2" t="s">
        <x:v>103</x:v>
      </x:c>
      <x:c r="U132" s="2" t="s">
        <x:v>122</x:v>
      </x:c>
      <x:c r="V132" s="2" t="s">
        <x:v>105</x:v>
      </x:c>
      <x:c r="W132" s="2"/>
      <x:c r="X132" s="3"/>
      <x:c r="Y132" s="3"/>
      <x:c r="Z132" s="2"/>
      <x:c r="AA132" s="2"/>
      <x:c r="AB132" s="2"/>
      <x:c r="AC132" s="2"/>
      <x:c r="AD132" s="2"/>
      <x:c r="AE132" s="2"/>
      <x:c r="AF132" s="2"/>
      <x:c r="AG132" s="2"/>
      <x:c r="AH132" s="2"/>
      <x:c r="AI132" s="4"/>
      <x:c r="AJ132" s="2"/>
      <x:c r="AK132" s="2" t="s">
        <x:v>106</x:v>
      </x:c>
      <x:c r="AL132" s="2" t="s">
        <x:v>571</x:v>
      </x:c>
      <x:c r="AM132" s="2">
        <x:v>132</x:v>
      </x:c>
      <x:c r="AN132" s="2">
        <x:v>132</x:v>
      </x:c>
    </x:row>
    <x:row r="133" ht="52">
      <x:c r="A133" s="2" t="s">
        <x:v>91</x:v>
      </x:c>
      <x:c r="B133" s="2" t="s">
        <x:v>13</x:v>
      </x:c>
      <x:c r="C133" s="3">
        <x:v>131</x:v>
      </x:c>
      <x:c r="D133" s="2" t="s">
        <x:v>587</x:v>
      </x:c>
      <x:c r="E133" s="2" t="s">
        <x:v>889</x:v>
      </x:c>
      <x:c r="F133" s="2" t="s">
        <x:v>890</x:v>
      </x:c>
      <x:c r="G133" s="2" t="s">
        <x:v>891</x:v>
      </x:c>
      <x:c r="H133" s="2" t="s">
        <x:v>883</x:v>
      </x:c>
      <x:c r="I133" s="2" t="s">
        <x:v>892</x:v>
      </x:c>
      <x:c r="J133" s="2" t="s">
        <x:v>885</x:v>
      </x:c>
      <x:c r="K133" s="2"/>
      <x:c r="L133" s="2" t="s">
        <x:v>128</x:v>
      </x:c>
      <x:c r="M133" s="2" t="s">
        <x:v>893</x:v>
      </x:c>
      <x:c r="N133" s="2">
        <x:v>6</x:v>
      </x:c>
      <x:c r="O133" s="2" t="s">
        <x:v>887</x:v>
      </x:c>
      <x:c r="P133" s="2" t="s">
        <x:v>894</x:v>
      </x:c>
      <x:c r="Q133" s="2"/>
      <x:c r="R133" s="3">
        <x:v>3</x:v>
      </x:c>
      <x:c r="S133" s="3">
        <x:v>0</x:v>
      </x:c>
      <x:c r="T133" s="2" t="s">
        <x:v>103</x:v>
      </x:c>
      <x:c r="U133" s="2" t="s">
        <x:v>129</x:v>
      </x:c>
      <x:c r="V133" s="2" t="s">
        <x:v>123</x:v>
      </x:c>
      <x:c r="W133" s="2"/>
      <x:c r="X133" s="3"/>
      <x:c r="Y133" s="3"/>
      <x:c r="Z133" s="2"/>
      <x:c r="AA133" s="2"/>
      <x:c r="AB133" s="2"/>
      <x:c r="AC133" s="2"/>
      <x:c r="AD133" s="2"/>
      <x:c r="AE133" s="2"/>
      <x:c r="AF133" s="2"/>
      <x:c r="AG133" s="2"/>
      <x:c r="AH133" s="2"/>
      <x:c r="AI133" s="4"/>
      <x:c r="AJ133" s="2"/>
      <x:c r="AK133" s="2" t="s">
        <x:v>106</x:v>
      </x:c>
      <x:c r="AL133" s="2" t="s">
        <x:v>571</x:v>
      </x:c>
      <x:c r="AM133" s="2">
        <x:v>133</x:v>
      </x:c>
      <x:c r="AN133" s="2">
        <x:v>133</x:v>
      </x:c>
    </x:row>
    <x:row r="134" ht="52">
      <x:c r="A134" s="2" t="s">
        <x:v>91</x:v>
      </x:c>
      <x:c r="B134" s="2" t="s">
        <x:v>13</x:v>
      </x:c>
      <x:c r="C134" s="3">
        <x:v>132</x:v>
      </x:c>
      <x:c r="D134" s="2" t="s">
        <x:v>895</x:v>
      </x:c>
      <x:c r="E134" s="2" t="s">
        <x:v>896</x:v>
      </x:c>
      <x:c r="F134" s="2" t="s">
        <x:v>897</x:v>
      </x:c>
      <x:c r="G134" s="2" t="s">
        <x:v>898</x:v>
      </x:c>
      <x:c r="H134" s="2" t="s">
        <x:v>883</x:v>
      </x:c>
      <x:c r="I134" s="2" t="s">
        <x:v>899</x:v>
      </x:c>
      <x:c r="J134" s="2" t="s">
        <x:v>885</x:v>
      </x:c>
      <x:c r="K134" s="2"/>
      <x:c r="L134" s="2" t="s">
        <x:v>900</x:v>
      </x:c>
      <x:c r="M134" s="2" t="s">
        <x:v>886</x:v>
      </x:c>
      <x:c r="N134" s="2">
        <x:v>6</x:v>
      </x:c>
      <x:c r="O134" s="2" t="s">
        <x:v>887</x:v>
      </x:c>
      <x:c r="P134" s="2" t="s">
        <x:v>888</x:v>
      </x:c>
      <x:c r="Q134" s="2"/>
      <x:c r="R134" s="3">
        <x:v>4</x:v>
      </x:c>
      <x:c r="S134" s="3">
        <x:v>0</x:v>
      </x:c>
      <x:c r="T134" s="2" t="s">
        <x:v>103</x:v>
      </x:c>
      <x:c r="U134" s="2" t="s">
        <x:v>104</x:v>
      </x:c>
      <x:c r="V134" s="2" t="s">
        <x:v>136</x:v>
      </x:c>
      <x:c r="W134" s="2"/>
      <x:c r="X134" s="3"/>
      <x:c r="Y134" s="3"/>
      <x:c r="Z134" s="2"/>
      <x:c r="AA134" s="2"/>
      <x:c r="AB134" s="2"/>
      <x:c r="AC134" s="2"/>
      <x:c r="AD134" s="2"/>
      <x:c r="AE134" s="2"/>
      <x:c r="AF134" s="2"/>
      <x:c r="AG134" s="2"/>
      <x:c r="AH134" s="2"/>
      <x:c r="AI134" s="4"/>
      <x:c r="AJ134" s="2"/>
      <x:c r="AK134" s="2" t="s">
        <x:v>106</x:v>
      </x:c>
      <x:c r="AL134" s="2" t="s">
        <x:v>571</x:v>
      </x:c>
      <x:c r="AM134" s="2">
        <x:v>134</x:v>
      </x:c>
      <x:c r="AN134" s="2">
        <x:v>134</x:v>
      </x:c>
    </x:row>
    <x:row r="135" ht="52">
      <x:c r="A135" s="2" t="s">
        <x:v>91</x:v>
      </x:c>
      <x:c r="B135" s="2" t="s">
        <x:v>13</x:v>
      </x:c>
      <x:c r="C135" s="3">
        <x:v>133</x:v>
      </x:c>
      <x:c r="D135" s="2" t="s">
        <x:v>148</x:v>
      </x:c>
      <x:c r="E135" s="2" t="s">
        <x:v>901</x:v>
      </x:c>
      <x:c r="F135" s="2" t="s">
        <x:v>881</x:v>
      </x:c>
      <x:c r="G135" s="2" t="s">
        <x:v>902</x:v>
      </x:c>
      <x:c r="H135" s="2" t="s">
        <x:v>883</x:v>
      </x:c>
      <x:c r="I135" s="2" t="s">
        <x:v>903</x:v>
      </x:c>
      <x:c r="J135" s="2" t="s">
        <x:v>885</x:v>
      </x:c>
      <x:c r="K135" s="2"/>
      <x:c r="L135" s="2" t="s">
        <x:v>153</x:v>
      </x:c>
      <x:c r="M135" s="2" t="s">
        <x:v>886</x:v>
      </x:c>
      <x:c r="N135" s="2">
        <x:v>6</x:v>
      </x:c>
      <x:c r="O135" s="2" t="s">
        <x:v>887</x:v>
      </x:c>
      <x:c r="P135" s="2" t="s">
        <x:v>888</x:v>
      </x:c>
      <x:c r="Q135" s="2"/>
      <x:c r="R135" s="3">
        <x:v>2</x:v>
      </x:c>
      <x:c r="S135" s="3">
        <x:v>0</x:v>
      </x:c>
      <x:c r="T135" s="2" t="s">
        <x:v>103</x:v>
      </x:c>
      <x:c r="U135" s="2" t="s">
        <x:v>122</x:v>
      </x:c>
      <x:c r="V135" s="2" t="s">
        <x:v>154</x:v>
      </x:c>
      <x:c r="W135" s="2"/>
      <x:c r="X135" s="3"/>
      <x:c r="Y135" s="3"/>
      <x:c r="Z135" s="2"/>
      <x:c r="AA135" s="2"/>
      <x:c r="AB135" s="2"/>
      <x:c r="AC135" s="2"/>
      <x:c r="AD135" s="2"/>
      <x:c r="AE135" s="2"/>
      <x:c r="AF135" s="2"/>
      <x:c r="AG135" s="2"/>
      <x:c r="AH135" s="2"/>
      <x:c r="AI135" s="4"/>
      <x:c r="AJ135" s="2"/>
      <x:c r="AK135" s="2" t="s">
        <x:v>106</x:v>
      </x:c>
      <x:c r="AL135" s="2" t="s">
        <x:v>571</x:v>
      </x:c>
      <x:c r="AM135" s="2">
        <x:v>135</x:v>
      </x:c>
      <x:c r="AN135" s="2">
        <x:v>135</x:v>
      </x:c>
    </x:row>
    <x:row r="136" ht="52">
      <x:c r="A136" s="2" t="s">
        <x:v>91</x:v>
      </x:c>
      <x:c r="B136" s="2" t="s">
        <x:v>13</x:v>
      </x:c>
      <x:c r="C136" s="3">
        <x:v>134</x:v>
      </x:c>
      <x:c r="D136" s="2" t="s">
        <x:v>904</x:v>
      </x:c>
      <x:c r="E136" s="2" t="s">
        <x:v>905</x:v>
      </x:c>
      <x:c r="F136" s="2" t="s">
        <x:v>897</x:v>
      </x:c>
      <x:c r="G136" s="2" t="s">
        <x:v>906</x:v>
      </x:c>
      <x:c r="H136" s="2" t="s">
        <x:v>883</x:v>
      </x:c>
      <x:c r="I136" s="2" t="s">
        <x:v>907</x:v>
      </x:c>
      <x:c r="J136" s="2" t="s">
        <x:v>885</x:v>
      </x:c>
      <x:c r="K136" s="2"/>
      <x:c r="L136" s="2" t="s">
        <x:v>908</x:v>
      </x:c>
      <x:c r="M136" s="2" t="s">
        <x:v>886</x:v>
      </x:c>
      <x:c r="N136" s="2">
        <x:v>6</x:v>
      </x:c>
      <x:c r="O136" s="2" t="s">
        <x:v>887</x:v>
      </x:c>
      <x:c r="P136" s="2" t="s">
        <x:v>888</x:v>
      </x:c>
      <x:c r="Q136" s="2"/>
      <x:c r="R136" s="3">
        <x:v>3</x:v>
      </x:c>
      <x:c r="S136" s="3">
        <x:v>0</x:v>
      </x:c>
      <x:c r="T136" s="2" t="s">
        <x:v>103</x:v>
      </x:c>
      <x:c r="U136" s="2" t="s">
        <x:v>104</x:v>
      </x:c>
      <x:c r="V136" s="2" t="s">
        <x:v>105</x:v>
      </x:c>
      <x:c r="W136" s="2"/>
      <x:c r="X136" s="3"/>
      <x:c r="Y136" s="3"/>
      <x:c r="Z136" s="2"/>
      <x:c r="AA136" s="2"/>
      <x:c r="AB136" s="2"/>
      <x:c r="AC136" s="2"/>
      <x:c r="AD136" s="2"/>
      <x:c r="AE136" s="2"/>
      <x:c r="AF136" s="2"/>
      <x:c r="AG136" s="2"/>
      <x:c r="AH136" s="2"/>
      <x:c r="AI136" s="4"/>
      <x:c r="AJ136" s="2"/>
      <x:c r="AK136" s="2" t="s">
        <x:v>106</x:v>
      </x:c>
      <x:c r="AL136" s="2" t="s">
        <x:v>571</x:v>
      </x:c>
      <x:c r="AM136" s="2">
        <x:v>136</x:v>
      </x:c>
      <x:c r="AN136" s="2">
        <x:v>136</x:v>
      </x:c>
    </x:row>
    <x:row r="137" ht="52">
      <x:c r="A137" s="2" t="s">
        <x:v>91</x:v>
      </x:c>
      <x:c r="B137" s="2" t="s">
        <x:v>13</x:v>
      </x:c>
      <x:c r="C137" s="3">
        <x:v>135</x:v>
      </x:c>
      <x:c r="D137" s="2" t="s">
        <x:v>909</x:v>
      </x:c>
      <x:c r="E137" s="2" t="s">
        <x:v>910</x:v>
      </x:c>
      <x:c r="F137" s="2" t="s">
        <x:v>911</x:v>
      </x:c>
      <x:c r="G137" s="2" t="s">
        <x:v>912</x:v>
      </x:c>
      <x:c r="H137" s="2" t="s">
        <x:v>883</x:v>
      </x:c>
      <x:c r="I137" s="2" t="s">
        <x:v>913</x:v>
      </x:c>
      <x:c r="J137" s="2" t="s">
        <x:v>885</x:v>
      </x:c>
      <x:c r="K137" s="2"/>
      <x:c r="L137" s="2" t="s">
        <x:v>595</x:v>
      </x:c>
      <x:c r="M137" s="2" t="s">
        <x:v>893</x:v>
      </x:c>
      <x:c r="N137" s="2">
        <x:v>6</x:v>
      </x:c>
      <x:c r="O137" s="2" t="s">
        <x:v>887</x:v>
      </x:c>
      <x:c r="P137" s="2" t="s">
        <x:v>914</x:v>
      </x:c>
      <x:c r="Q137" s="2"/>
      <x:c r="R137" s="3">
        <x:v>4</x:v>
      </x:c>
      <x:c r="S137" s="3">
        <x:v>0</x:v>
      </x:c>
      <x:c r="T137" s="2" t="s">
        <x:v>103</x:v>
      </x:c>
      <x:c r="U137" s="2" t="s">
        <x:v>115</x:v>
      </x:c>
      <x:c r="V137" s="2" t="s">
        <x:v>123</x:v>
      </x:c>
      <x:c r="W137" s="2"/>
      <x:c r="X137" s="3"/>
      <x:c r="Y137" s="3"/>
      <x:c r="Z137" s="2"/>
      <x:c r="AA137" s="2"/>
      <x:c r="AB137" s="2"/>
      <x:c r="AC137" s="2"/>
      <x:c r="AD137" s="2"/>
      <x:c r="AE137" s="2"/>
      <x:c r="AF137" s="2"/>
      <x:c r="AG137" s="2"/>
      <x:c r="AH137" s="2"/>
      <x:c r="AI137" s="4"/>
      <x:c r="AJ137" s="2"/>
      <x:c r="AK137" s="2" t="s">
        <x:v>106</x:v>
      </x:c>
      <x:c r="AL137" s="2" t="s">
        <x:v>571</x:v>
      </x:c>
      <x:c r="AM137" s="2">
        <x:v>137</x:v>
      </x:c>
      <x:c r="AN137" s="2">
        <x:v>137</x:v>
      </x:c>
    </x:row>
    <x:row r="138" ht="52">
      <x:c r="A138" s="2" t="s">
        <x:v>91</x:v>
      </x:c>
      <x:c r="B138" s="2" t="s">
        <x:v>13</x:v>
      </x:c>
      <x:c r="C138" s="3">
        <x:v>136</x:v>
      </x:c>
      <x:c r="D138" s="2" t="s">
        <x:v>915</x:v>
      </x:c>
      <x:c r="E138" s="2" t="s">
        <x:v>916</x:v>
      </x:c>
      <x:c r="F138" s="2" t="s">
        <x:v>890</x:v>
      </x:c>
      <x:c r="G138" s="2" t="s">
        <x:v>917</x:v>
      </x:c>
      <x:c r="H138" s="2" t="s">
        <x:v>883</x:v>
      </x:c>
      <x:c r="I138" s="2" t="s">
        <x:v>918</x:v>
      </x:c>
      <x:c r="J138" s="2" t="s">
        <x:v>885</x:v>
      </x:c>
      <x:c r="K138" s="2"/>
      <x:c r="L138" s="2" t="s">
        <x:v>141</x:v>
      </x:c>
      <x:c r="M138" s="2" t="s">
        <x:v>893</x:v>
      </x:c>
      <x:c r="N138" s="2">
        <x:v>6</x:v>
      </x:c>
      <x:c r="O138" s="2" t="s">
        <x:v>887</x:v>
      </x:c>
      <x:c r="P138" s="2" t="s">
        <x:v>914</x:v>
      </x:c>
      <x:c r="Q138" s="2"/>
      <x:c r="R138" s="3">
        <x:v>2</x:v>
      </x:c>
      <x:c r="S138" s="3">
        <x:v>0</x:v>
      </x:c>
      <x:c r="T138" s="2" t="s">
        <x:v>103</x:v>
      </x:c>
      <x:c r="U138" s="2" t="s">
        <x:v>129</x:v>
      </x:c>
      <x:c r="V138" s="2" t="s">
        <x:v>136</x:v>
      </x:c>
      <x:c r="W138" s="2"/>
      <x:c r="X138" s="3"/>
      <x:c r="Y138" s="3"/>
      <x:c r="Z138" s="2"/>
      <x:c r="AA138" s="2"/>
      <x:c r="AB138" s="2"/>
      <x:c r="AC138" s="2"/>
      <x:c r="AD138" s="2"/>
      <x:c r="AE138" s="2"/>
      <x:c r="AF138" s="2"/>
      <x:c r="AG138" s="2"/>
      <x:c r="AH138" s="2"/>
      <x:c r="AI138" s="4"/>
      <x:c r="AJ138" s="2"/>
      <x:c r="AK138" s="2" t="s">
        <x:v>106</x:v>
      </x:c>
      <x:c r="AL138" s="2" t="s">
        <x:v>571</x:v>
      </x:c>
      <x:c r="AM138" s="2">
        <x:v>138</x:v>
      </x:c>
      <x:c r="AN138" s="2">
        <x:v>138</x:v>
      </x:c>
    </x:row>
    <x:row r="139" ht="52">
      <x:c r="A139" s="2" t="s">
        <x:v>91</x:v>
      </x:c>
      <x:c r="B139" s="2" t="s">
        <x:v>13</x:v>
      </x:c>
      <x:c r="C139" s="3">
        <x:v>137</x:v>
      </x:c>
      <x:c r="D139" s="2" t="s">
        <x:v>919</x:v>
      </x:c>
      <x:c r="E139" s="2" t="s">
        <x:v>920</x:v>
      </x:c>
      <x:c r="F139" s="2" t="s">
        <x:v>897</x:v>
      </x:c>
      <x:c r="G139" s="2" t="s">
        <x:v>921</x:v>
      </x:c>
      <x:c r="H139" s="2" t="s">
        <x:v>883</x:v>
      </x:c>
      <x:c r="I139" s="2" t="s">
        <x:v>922</x:v>
      </x:c>
      <x:c r="J139" s="2" t="s">
        <x:v>885</x:v>
      </x:c>
      <x:c r="K139" s="2"/>
      <x:c r="L139" s="2" t="s">
        <x:v>923</x:v>
      </x:c>
      <x:c r="M139" s="2" t="s">
        <x:v>886</x:v>
      </x:c>
      <x:c r="N139" s="2">
        <x:v>6</x:v>
      </x:c>
      <x:c r="O139" s="2" t="s">
        <x:v>887</x:v>
      </x:c>
      <x:c r="P139" s="2" t="s">
        <x:v>888</x:v>
      </x:c>
      <x:c r="Q139" s="2"/>
      <x:c r="R139" s="3">
        <x:v>3</x:v>
      </x:c>
      <x:c r="S139" s="3">
        <x:v>0</x:v>
      </x:c>
      <x:c r="T139" s="2" t="s">
        <x:v>103</x:v>
      </x:c>
      <x:c r="U139" s="2" t="s">
        <x:v>104</x:v>
      </x:c>
      <x:c r="V139" s="2" t="s">
        <x:v>154</x:v>
      </x:c>
      <x:c r="W139" s="2"/>
      <x:c r="X139" s="3"/>
      <x:c r="Y139" s="3"/>
      <x:c r="Z139" s="2"/>
      <x:c r="AA139" s="2"/>
      <x:c r="AB139" s="2"/>
      <x:c r="AC139" s="2"/>
      <x:c r="AD139" s="2"/>
      <x:c r="AE139" s="2"/>
      <x:c r="AF139" s="2"/>
      <x:c r="AG139" s="2"/>
      <x:c r="AH139" s="2"/>
      <x:c r="AI139" s="4"/>
      <x:c r="AJ139" s="2"/>
      <x:c r="AK139" s="2" t="s">
        <x:v>106</x:v>
      </x:c>
      <x:c r="AL139" s="2" t="s">
        <x:v>571</x:v>
      </x:c>
      <x:c r="AM139" s="2">
        <x:v>139</x:v>
      </x:c>
      <x:c r="AN139" s="2">
        <x:v>139</x:v>
      </x:c>
    </x:row>
    <x:row r="140" ht="52">
      <x:c r="A140" s="2" t="s">
        <x:v>91</x:v>
      </x:c>
      <x:c r="B140" s="2" t="s">
        <x:v>13</x:v>
      </x:c>
      <x:c r="C140" s="3">
        <x:v>138</x:v>
      </x:c>
      <x:c r="D140" s="2" t="s">
        <x:v>924</x:v>
      </x:c>
      <x:c r="E140" s="2" t="s">
        <x:v>925</x:v>
      </x:c>
      <x:c r="F140" s="2" t="s">
        <x:v>911</x:v>
      </x:c>
      <x:c r="G140" s="2" t="s">
        <x:v>926</x:v>
      </x:c>
      <x:c r="H140" s="2" t="s">
        <x:v>883</x:v>
      </x:c>
      <x:c r="I140" s="2" t="s">
        <x:v>927</x:v>
      </x:c>
      <x:c r="J140" s="2" t="s">
        <x:v>885</x:v>
      </x:c>
      <x:c r="K140" s="2"/>
      <x:c r="L140" s="2" t="s">
        <x:v>112</x:v>
      </x:c>
      <x:c r="M140" s="2" t="s">
        <x:v>893</x:v>
      </x:c>
      <x:c r="N140" s="2">
        <x:v>6</x:v>
      </x:c>
      <x:c r="O140" s="2" t="s">
        <x:v>887</x:v>
      </x:c>
      <x:c r="P140" s="2" t="s">
        <x:v>894</x:v>
      </x:c>
      <x:c r="Q140" s="2"/>
      <x:c r="R140" s="3">
        <x:v>4</x:v>
      </x:c>
      <x:c r="S140" s="3">
        <x:v>0</x:v>
      </x:c>
      <x:c r="T140" s="2" t="s">
        <x:v>103</x:v>
      </x:c>
      <x:c r="U140" s="2" t="s">
        <x:v>115</x:v>
      </x:c>
      <x:c r="V140" s="2" t="s">
        <x:v>105</x:v>
      </x:c>
      <x:c r="W140" s="2"/>
      <x:c r="X140" s="3"/>
      <x:c r="Y140" s="3"/>
      <x:c r="Z140" s="2"/>
      <x:c r="AA140" s="2"/>
      <x:c r="AB140" s="2"/>
      <x:c r="AC140" s="2"/>
      <x:c r="AD140" s="2"/>
      <x:c r="AE140" s="2"/>
      <x:c r="AF140" s="2"/>
      <x:c r="AG140" s="2"/>
      <x:c r="AH140" s="2"/>
      <x:c r="AI140" s="4"/>
      <x:c r="AJ140" s="2"/>
      <x:c r="AK140" s="2" t="s">
        <x:v>106</x:v>
      </x:c>
      <x:c r="AL140" s="2" t="s">
        <x:v>571</x:v>
      </x:c>
      <x:c r="AM140" s="2">
        <x:v>140</x:v>
      </x:c>
      <x:c r="AN140" s="2">
        <x:v>140</x:v>
      </x:c>
    </x:row>
    <x:row r="141" ht="52">
      <x:c r="A141" s="2" t="s">
        <x:v>91</x:v>
      </x:c>
      <x:c r="B141" s="2" t="s">
        <x:v>13</x:v>
      </x:c>
      <x:c r="C141" s="3">
        <x:v>139</x:v>
      </x:c>
      <x:c r="D141" s="2" t="s">
        <x:v>928</x:v>
      </x:c>
      <x:c r="E141" s="2" t="s">
        <x:v>929</x:v>
      </x:c>
      <x:c r="F141" s="2" t="s">
        <x:v>881</x:v>
      </x:c>
      <x:c r="G141" s="2" t="s">
        <x:v>930</x:v>
      </x:c>
      <x:c r="H141" s="2" t="s">
        <x:v>883</x:v>
      </x:c>
      <x:c r="I141" s="2" t="s">
        <x:v>931</x:v>
      </x:c>
      <x:c r="J141" s="2" t="s">
        <x:v>885</x:v>
      </x:c>
      <x:c r="K141" s="2"/>
      <x:c r="L141" s="2" t="s">
        <x:v>121</x:v>
      </x:c>
      <x:c r="M141" s="2" t="s">
        <x:v>886</x:v>
      </x:c>
      <x:c r="N141" s="2">
        <x:v>6</x:v>
      </x:c>
      <x:c r="O141" s="2" t="s">
        <x:v>887</x:v>
      </x:c>
      <x:c r="P141" s="2" t="s">
        <x:v>888</x:v>
      </x:c>
      <x:c r="Q141" s="2"/>
      <x:c r="R141" s="3">
        <x:v>2</x:v>
      </x:c>
      <x:c r="S141" s="3">
        <x:v>0</x:v>
      </x:c>
      <x:c r="T141" s="2" t="s">
        <x:v>103</x:v>
      </x:c>
      <x:c r="U141" s="2" t="s">
        <x:v>122</x:v>
      </x:c>
      <x:c r="V141" s="2" t="s">
        <x:v>123</x:v>
      </x:c>
      <x:c r="W141" s="2"/>
      <x:c r="X141" s="3"/>
      <x:c r="Y141" s="3"/>
      <x:c r="Z141" s="2"/>
      <x:c r="AA141" s="2"/>
      <x:c r="AB141" s="2"/>
      <x:c r="AC141" s="2"/>
      <x:c r="AD141" s="2"/>
      <x:c r="AE141" s="2"/>
      <x:c r="AF141" s="2"/>
      <x:c r="AG141" s="2"/>
      <x:c r="AH141" s="2"/>
      <x:c r="AI141" s="4"/>
      <x:c r="AJ141" s="2"/>
      <x:c r="AK141" s="2" t="s">
        <x:v>106</x:v>
      </x:c>
      <x:c r="AL141" s="2" t="s">
        <x:v>571</x:v>
      </x:c>
      <x:c r="AM141" s="2">
        <x:v>141</x:v>
      </x:c>
      <x:c r="AN141" s="2">
        <x:v>141</x:v>
      </x:c>
    </x:row>
    <x:row r="142" ht="52">
      <x:c r="A142" s="2" t="s">
        <x:v>91</x:v>
      </x:c>
      <x:c r="B142" s="2" t="s">
        <x:v>13</x:v>
      </x:c>
      <x:c r="C142" s="3">
        <x:v>140</x:v>
      </x:c>
      <x:c r="D142" s="2" t="s">
        <x:v>605</x:v>
      </x:c>
      <x:c r="E142" s="2" t="s">
        <x:v>932</x:v>
      </x:c>
      <x:c r="F142" s="2" t="s">
        <x:v>911</x:v>
      </x:c>
      <x:c r="G142" s="2" t="s">
        <x:v>933</x:v>
      </x:c>
      <x:c r="H142" s="2" t="s">
        <x:v>883</x:v>
      </x:c>
      <x:c r="I142" s="2" t="s">
        <x:v>934</x:v>
      </x:c>
      <x:c r="J142" s="2" t="s">
        <x:v>885</x:v>
      </x:c>
      <x:c r="K142" s="2"/>
      <x:c r="L142" s="2" t="s">
        <x:v>935</x:v>
      </x:c>
      <x:c r="M142" s="2" t="s">
        <x:v>893</x:v>
      </x:c>
      <x:c r="N142" s="2">
        <x:v>6</x:v>
      </x:c>
      <x:c r="O142" s="2" t="s">
        <x:v>887</x:v>
      </x:c>
      <x:c r="P142" s="2" t="s">
        <x:v>894</x:v>
      </x:c>
      <x:c r="Q142" s="2"/>
      <x:c r="R142" s="3">
        <x:v>3</x:v>
      </x:c>
      <x:c r="S142" s="3">
        <x:v>0</x:v>
      </x:c>
      <x:c r="T142" s="2" t="s">
        <x:v>103</x:v>
      </x:c>
      <x:c r="U142" s="2" t="s">
        <x:v>115</x:v>
      </x:c>
      <x:c r="V142" s="2" t="s">
        <x:v>136</x:v>
      </x:c>
      <x:c r="W142" s="2"/>
      <x:c r="X142" s="3"/>
      <x:c r="Y142" s="3"/>
      <x:c r="Z142" s="2"/>
      <x:c r="AA142" s="2"/>
      <x:c r="AB142" s="2"/>
      <x:c r="AC142" s="2"/>
      <x:c r="AD142" s="2"/>
      <x:c r="AE142" s="2"/>
      <x:c r="AF142" s="2"/>
      <x:c r="AG142" s="2"/>
      <x:c r="AH142" s="2"/>
      <x:c r="AI142" s="4"/>
      <x:c r="AJ142" s="2"/>
      <x:c r="AK142" s="2" t="s">
        <x:v>106</x:v>
      </x:c>
      <x:c r="AL142" s="2" t="s">
        <x:v>571</x:v>
      </x:c>
      <x:c r="AM142" s="2">
        <x:v>142</x:v>
      </x:c>
      <x:c r="AN142" s="2">
        <x:v>142</x:v>
      </x:c>
    </x:row>
    <x:row r="143" ht="52">
      <x:c r="A143" s="2" t="s">
        <x:v>91</x:v>
      </x:c>
      <x:c r="B143" s="2" t="s">
        <x:v>13</x:v>
      </x:c>
      <x:c r="C143" s="3">
        <x:v>141</x:v>
      </x:c>
      <x:c r="D143" s="2" t="s">
        <x:v>936</x:v>
      </x:c>
      <x:c r="E143" s="2" t="s">
        <x:v>937</x:v>
      </x:c>
      <x:c r="F143" s="2" t="s">
        <x:v>890</x:v>
      </x:c>
      <x:c r="G143" s="2" t="s">
        <x:v>938</x:v>
      </x:c>
      <x:c r="H143" s="2" t="s">
        <x:v>883</x:v>
      </x:c>
      <x:c r="I143" s="2" t="s">
        <x:v>939</x:v>
      </x:c>
      <x:c r="J143" s="2" t="s">
        <x:v>885</x:v>
      </x:c>
      <x:c r="K143" s="2"/>
      <x:c r="L143" s="2" t="s">
        <x:v>165</x:v>
      </x:c>
      <x:c r="M143" s="2" t="s">
        <x:v>893</x:v>
      </x:c>
      <x:c r="N143" s="2">
        <x:v>6</x:v>
      </x:c>
      <x:c r="O143" s="2" t="s">
        <x:v>887</x:v>
      </x:c>
      <x:c r="P143" s="2" t="s">
        <x:v>894</x:v>
      </x:c>
      <x:c r="Q143" s="2"/>
      <x:c r="R143" s="3">
        <x:v>4</x:v>
      </x:c>
      <x:c r="S143" s="3">
        <x:v>0</x:v>
      </x:c>
      <x:c r="T143" s="2" t="s">
        <x:v>103</x:v>
      </x:c>
      <x:c r="U143" s="2" t="s">
        <x:v>129</x:v>
      </x:c>
      <x:c r="V143" s="2" t="s">
        <x:v>154</x:v>
      </x:c>
      <x:c r="W143" s="2"/>
      <x:c r="X143" s="3"/>
      <x:c r="Y143" s="3"/>
      <x:c r="Z143" s="2"/>
      <x:c r="AA143" s="2"/>
      <x:c r="AB143" s="2"/>
      <x:c r="AC143" s="2"/>
      <x:c r="AD143" s="2"/>
      <x:c r="AE143" s="2"/>
      <x:c r="AF143" s="2"/>
      <x:c r="AG143" s="2"/>
      <x:c r="AH143" s="2"/>
      <x:c r="AI143" s="4"/>
      <x:c r="AJ143" s="2"/>
      <x:c r="AK143" s="2" t="s">
        <x:v>106</x:v>
      </x:c>
      <x:c r="AL143" s="2" t="s">
        <x:v>571</x:v>
      </x:c>
      <x:c r="AM143" s="2">
        <x:v>143</x:v>
      </x:c>
      <x:c r="AN143" s="2">
        <x:v>143</x:v>
      </x:c>
    </x:row>
    <x:row r="144" ht="52">
      <x:c r="A144" s="2" t="s">
        <x:v>91</x:v>
      </x:c>
      <x:c r="B144" s="2" t="s">
        <x:v>13</x:v>
      </x:c>
      <x:c r="C144" s="3">
        <x:v>142</x:v>
      </x:c>
      <x:c r="D144" s="2" t="s">
        <x:v>580</x:v>
      </x:c>
      <x:c r="E144" s="2" t="s">
        <x:v>880</x:v>
      </x:c>
      <x:c r="F144" s="2" t="s">
        <x:v>881</x:v>
      </x:c>
      <x:c r="G144" s="2" t="s">
        <x:v>940</x:v>
      </x:c>
      <x:c r="H144" s="2" t="s">
        <x:v>883</x:v>
      </x:c>
      <x:c r="I144" s="2" t="s">
        <x:v>941</x:v>
      </x:c>
      <x:c r="J144" s="2" t="s">
        <x:v>885</x:v>
      </x:c>
      <x:c r="K144" s="2"/>
      <x:c r="L144" s="2" t="s">
        <x:v>942</x:v>
      </x:c>
      <x:c r="M144" s="2" t="s">
        <x:v>886</x:v>
      </x:c>
      <x:c r="N144" s="2">
        <x:v>6</x:v>
      </x:c>
      <x:c r="O144" s="2" t="s">
        <x:v>887</x:v>
      </x:c>
      <x:c r="P144" s="2" t="s">
        <x:v>888</x:v>
      </x:c>
      <x:c r="Q144" s="2"/>
      <x:c r="R144" s="3">
        <x:v>2</x:v>
      </x:c>
      <x:c r="S144" s="3">
        <x:v>0</x:v>
      </x:c>
      <x:c r="T144" s="2" t="s">
        <x:v>103</x:v>
      </x:c>
      <x:c r="U144" s="2" t="s">
        <x:v>122</x:v>
      </x:c>
      <x:c r="V144" s="2" t="s">
        <x:v>105</x:v>
      </x:c>
      <x:c r="W144" s="2"/>
      <x:c r="X144" s="3"/>
      <x:c r="Y144" s="3"/>
      <x:c r="Z144" s="2"/>
      <x:c r="AA144" s="2"/>
      <x:c r="AB144" s="2"/>
      <x:c r="AC144" s="2"/>
      <x:c r="AD144" s="2"/>
      <x:c r="AE144" s="2"/>
      <x:c r="AF144" s="2"/>
      <x:c r="AG144" s="2"/>
      <x:c r="AH144" s="2"/>
      <x:c r="AI144" s="4"/>
      <x:c r="AJ144" s="2"/>
      <x:c r="AK144" s="2" t="s">
        <x:v>106</x:v>
      </x:c>
      <x:c r="AL144" s="2" t="s">
        <x:v>571</x:v>
      </x:c>
      <x:c r="AM144" s="2">
        <x:v>144</x:v>
      </x:c>
      <x:c r="AN144" s="2">
        <x:v>144</x:v>
      </x:c>
    </x:row>
    <x:row r="145" ht="52">
      <x:c r="A145" s="2" t="s">
        <x:v>91</x:v>
      </x:c>
      <x:c r="B145" s="2" t="s">
        <x:v>13</x:v>
      </x:c>
      <x:c r="C145" s="3">
        <x:v>143</x:v>
      </x:c>
      <x:c r="D145" s="2" t="s">
        <x:v>587</x:v>
      </x:c>
      <x:c r="E145" s="2" t="s">
        <x:v>943</x:v>
      </x:c>
      <x:c r="F145" s="2" t="s">
        <x:v>890</x:v>
      </x:c>
      <x:c r="G145" s="2" t="s">
        <x:v>940</x:v>
      </x:c>
      <x:c r="H145" s="2" t="s">
        <x:v>883</x:v>
      </x:c>
      <x:c r="I145" s="2" t="s">
        <x:v>944</x:v>
      </x:c>
      <x:c r="J145" s="2" t="s">
        <x:v>885</x:v>
      </x:c>
      <x:c r="K145" s="2"/>
      <x:c r="L145" s="2" t="s">
        <x:v>945</x:v>
      </x:c>
      <x:c r="M145" s="2" t="s">
        <x:v>893</x:v>
      </x:c>
      <x:c r="N145" s="2">
        <x:v>6</x:v>
      </x:c>
      <x:c r="O145" s="2" t="s">
        <x:v>887</x:v>
      </x:c>
      <x:c r="P145" s="2" t="s">
        <x:v>914</x:v>
      </x:c>
      <x:c r="Q145" s="2"/>
      <x:c r="R145" s="3">
        <x:v>3</x:v>
      </x:c>
      <x:c r="S145" s="3">
        <x:v>0</x:v>
      </x:c>
      <x:c r="T145" s="2" t="s">
        <x:v>103</x:v>
      </x:c>
      <x:c r="U145" s="2" t="s">
        <x:v>129</x:v>
      </x:c>
      <x:c r="V145" s="2" t="s">
        <x:v>123</x:v>
      </x:c>
      <x:c r="W145" s="2"/>
      <x:c r="X145" s="3"/>
      <x:c r="Y145" s="3"/>
      <x:c r="Z145" s="2"/>
      <x:c r="AA145" s="2"/>
      <x:c r="AB145" s="2"/>
      <x:c r="AC145" s="2"/>
      <x:c r="AD145" s="2"/>
      <x:c r="AE145" s="2"/>
      <x:c r="AF145" s="2"/>
      <x:c r="AG145" s="2"/>
      <x:c r="AH145" s="2"/>
      <x:c r="AI145" s="4"/>
      <x:c r="AJ145" s="2"/>
      <x:c r="AK145" s="2" t="s">
        <x:v>106</x:v>
      </x:c>
      <x:c r="AL145" s="2" t="s">
        <x:v>571</x:v>
      </x:c>
      <x:c r="AM145" s="2">
        <x:v>145</x:v>
      </x:c>
      <x:c r="AN145" s="2">
        <x:v>145</x:v>
      </x:c>
    </x:row>
    <x:row r="146" ht="52">
      <x:c r="A146" s="2" t="s">
        <x:v>91</x:v>
      </x:c>
      <x:c r="B146" s="2" t="s">
        <x:v>13</x:v>
      </x:c>
      <x:c r="C146" s="3">
        <x:v>144</x:v>
      </x:c>
      <x:c r="D146" s="2" t="s">
        <x:v>915</x:v>
      </x:c>
      <x:c r="E146" s="2" t="s">
        <x:v>946</x:v>
      </x:c>
      <x:c r="F146" s="2" t="s">
        <x:v>890</x:v>
      </x:c>
      <x:c r="G146" s="2" t="s">
        <x:v>947</x:v>
      </x:c>
      <x:c r="H146" s="2" t="s">
        <x:v>883</x:v>
      </x:c>
      <x:c r="I146" s="2" t="s">
        <x:v>948</x:v>
      </x:c>
      <x:c r="J146" s="2" t="s">
        <x:v>885</x:v>
      </x:c>
      <x:c r="K146" s="2"/>
      <x:c r="L146" s="2" t="s">
        <x:v>949</x:v>
      </x:c>
      <x:c r="M146" s="2" t="s">
        <x:v>893</x:v>
      </x:c>
      <x:c r="N146" s="2">
        <x:v>6</x:v>
      </x:c>
      <x:c r="O146" s="2" t="s">
        <x:v>887</x:v>
      </x:c>
      <x:c r="P146" s="2" t="s">
        <x:v>914</x:v>
      </x:c>
      <x:c r="Q146" s="2"/>
      <x:c r="R146" s="3">
        <x:v>4</x:v>
      </x:c>
      <x:c r="S146" s="3">
        <x:v>0</x:v>
      </x:c>
      <x:c r="T146" s="2" t="s">
        <x:v>103</x:v>
      </x:c>
      <x:c r="U146" s="2" t="s">
        <x:v>129</x:v>
      </x:c>
      <x:c r="V146" s="2" t="s">
        <x:v>136</x:v>
      </x:c>
      <x:c r="W146" s="2"/>
      <x:c r="X146" s="3"/>
      <x:c r="Y146" s="3"/>
      <x:c r="Z146" s="2"/>
      <x:c r="AA146" s="2"/>
      <x:c r="AB146" s="2"/>
      <x:c r="AC146" s="2"/>
      <x:c r="AD146" s="2"/>
      <x:c r="AE146" s="2"/>
      <x:c r="AF146" s="2"/>
      <x:c r="AG146" s="2"/>
      <x:c r="AH146" s="2"/>
      <x:c r="AI146" s="4"/>
      <x:c r="AJ146" s="2"/>
      <x:c r="AK146" s="2" t="s">
        <x:v>106</x:v>
      </x:c>
      <x:c r="AL146" s="2" t="s">
        <x:v>571</x:v>
      </x:c>
      <x:c r="AM146" s="2">
        <x:v>146</x:v>
      </x:c>
      <x:c r="AN146" s="2">
        <x:v>146</x:v>
      </x:c>
    </x:row>
    <x:row r="147" ht="52">
      <x:c r="A147" s="2" t="s">
        <x:v>91</x:v>
      </x:c>
      <x:c r="B147" s="2" t="s">
        <x:v>13</x:v>
      </x:c>
      <x:c r="C147" s="3">
        <x:v>145</x:v>
      </x:c>
      <x:c r="D147" s="2" t="s">
        <x:v>148</x:v>
      </x:c>
      <x:c r="E147" s="2" t="s">
        <x:v>901</x:v>
      </x:c>
      <x:c r="F147" s="2" t="s">
        <x:v>881</x:v>
      </x:c>
      <x:c r="G147" s="2" t="s">
        <x:v>950</x:v>
      </x:c>
      <x:c r="H147" s="2" t="s">
        <x:v>883</x:v>
      </x:c>
      <x:c r="I147" s="2" t="s">
        <x:v>951</x:v>
      </x:c>
      <x:c r="J147" s="2" t="s">
        <x:v>885</x:v>
      </x:c>
      <x:c r="K147" s="2"/>
      <x:c r="L147" s="2" t="s">
        <x:v>952</x:v>
      </x:c>
      <x:c r="M147" s="2" t="s">
        <x:v>886</x:v>
      </x:c>
      <x:c r="N147" s="2">
        <x:v>6</x:v>
      </x:c>
      <x:c r="O147" s="2" t="s">
        <x:v>887</x:v>
      </x:c>
      <x:c r="P147" s="2" t="s">
        <x:v>888</x:v>
      </x:c>
      <x:c r="Q147" s="2"/>
      <x:c r="R147" s="3">
        <x:v>2</x:v>
      </x:c>
      <x:c r="S147" s="3">
        <x:v>0</x:v>
      </x:c>
      <x:c r="T147" s="2" t="s">
        <x:v>103</x:v>
      </x:c>
      <x:c r="U147" s="2" t="s">
        <x:v>122</x:v>
      </x:c>
      <x:c r="V147" s="2" t="s">
        <x:v>154</x:v>
      </x:c>
      <x:c r="W147" s="2"/>
      <x:c r="X147" s="3"/>
      <x:c r="Y147" s="3"/>
      <x:c r="Z147" s="2"/>
      <x:c r="AA147" s="2"/>
      <x:c r="AB147" s="2"/>
      <x:c r="AC147" s="2"/>
      <x:c r="AD147" s="2"/>
      <x:c r="AE147" s="2"/>
      <x:c r="AF147" s="2"/>
      <x:c r="AG147" s="2"/>
      <x:c r="AH147" s="2"/>
      <x:c r="AI147" s="4"/>
      <x:c r="AJ147" s="2"/>
      <x:c r="AK147" s="2" t="s">
        <x:v>106</x:v>
      </x:c>
      <x:c r="AL147" s="2" t="s">
        <x:v>571</x:v>
      </x:c>
      <x:c r="AM147" s="2">
        <x:v>147</x:v>
      </x:c>
      <x:c r="AN147" s="2">
        <x:v>147</x:v>
      </x:c>
    </x:row>
    <x:row r="148" ht="52">
      <x:c r="A148" s="2" t="s">
        <x:v>91</x:v>
      </x:c>
      <x:c r="B148" s="2" t="s">
        <x:v>13</x:v>
      </x:c>
      <x:c r="C148" s="3">
        <x:v>146</x:v>
      </x:c>
      <x:c r="D148" s="2" t="s">
        <x:v>904</x:v>
      </x:c>
      <x:c r="E148" s="2" t="s">
        <x:v>953</x:v>
      </x:c>
      <x:c r="F148" s="2" t="s">
        <x:v>897</x:v>
      </x:c>
      <x:c r="G148" s="2" t="s">
        <x:v>954</x:v>
      </x:c>
      <x:c r="H148" s="2" t="s">
        <x:v>883</x:v>
      </x:c>
      <x:c r="I148" s="2" t="s">
        <x:v>955</x:v>
      </x:c>
      <x:c r="J148" s="2" t="s">
        <x:v>885</x:v>
      </x:c>
      <x:c r="K148" s="2"/>
      <x:c r="L148" s="2" t="s">
        <x:v>99</x:v>
      </x:c>
      <x:c r="M148" s="2" t="s">
        <x:v>886</x:v>
      </x:c>
      <x:c r="N148" s="2">
        <x:v>6</x:v>
      </x:c>
      <x:c r="O148" s="2" t="s">
        <x:v>887</x:v>
      </x:c>
      <x:c r="P148" s="2" t="s">
        <x:v>888</x:v>
      </x:c>
      <x:c r="Q148" s="2"/>
      <x:c r="R148" s="3">
        <x:v>3</x:v>
      </x:c>
      <x:c r="S148" s="3">
        <x:v>0</x:v>
      </x:c>
      <x:c r="T148" s="2" t="s">
        <x:v>103</x:v>
      </x:c>
      <x:c r="U148" s="2" t="s">
        <x:v>104</x:v>
      </x:c>
      <x:c r="V148" s="2" t="s">
        <x:v>105</x:v>
      </x:c>
      <x:c r="W148" s="2"/>
      <x:c r="X148" s="3"/>
      <x:c r="Y148" s="3"/>
      <x:c r="Z148" s="2"/>
      <x:c r="AA148" s="2"/>
      <x:c r="AB148" s="2"/>
      <x:c r="AC148" s="2"/>
      <x:c r="AD148" s="2"/>
      <x:c r="AE148" s="2"/>
      <x:c r="AF148" s="2"/>
      <x:c r="AG148" s="2"/>
      <x:c r="AH148" s="2"/>
      <x:c r="AI148" s="4"/>
      <x:c r="AJ148" s="2"/>
      <x:c r="AK148" s="2" t="s">
        <x:v>106</x:v>
      </x:c>
      <x:c r="AL148" s="2" t="s">
        <x:v>571</x:v>
      </x:c>
      <x:c r="AM148" s="2">
        <x:v>148</x:v>
      </x:c>
      <x:c r="AN148" s="2">
        <x:v>148</x:v>
      </x:c>
    </x:row>
    <x:row r="149" ht="52">
      <x:c r="A149" s="2" t="s">
        <x:v>91</x:v>
      </x:c>
      <x:c r="B149" s="2" t="s">
        <x:v>13</x:v>
      </x:c>
      <x:c r="C149" s="3">
        <x:v>147</x:v>
      </x:c>
      <x:c r="D149" s="2" t="s">
        <x:v>909</x:v>
      </x:c>
      <x:c r="E149" s="2" t="s">
        <x:v>956</x:v>
      </x:c>
      <x:c r="F149" s="2" t="s">
        <x:v>911</x:v>
      </x:c>
      <x:c r="G149" s="2" t="s">
        <x:v>957</x:v>
      </x:c>
      <x:c r="H149" s="2" t="s">
        <x:v>883</x:v>
      </x:c>
      <x:c r="I149" s="2" t="s">
        <x:v>958</x:v>
      </x:c>
      <x:c r="J149" s="2" t="s">
        <x:v>885</x:v>
      </x:c>
      <x:c r="K149" s="2"/>
      <x:c r="L149" s="2" t="s">
        <x:v>959</x:v>
      </x:c>
      <x:c r="M149" s="2" t="s">
        <x:v>893</x:v>
      </x:c>
      <x:c r="N149" s="2">
        <x:v>6</x:v>
      </x:c>
      <x:c r="O149" s="2" t="s">
        <x:v>887</x:v>
      </x:c>
      <x:c r="P149" s="2" t="s">
        <x:v>894</x:v>
      </x:c>
      <x:c r="Q149" s="2"/>
      <x:c r="R149" s="3">
        <x:v>4</x:v>
      </x:c>
      <x:c r="S149" s="3">
        <x:v>0</x:v>
      </x:c>
      <x:c r="T149" s="2" t="s">
        <x:v>103</x:v>
      </x:c>
      <x:c r="U149" s="2" t="s">
        <x:v>115</x:v>
      </x:c>
      <x:c r="V149" s="2" t="s">
        <x:v>123</x:v>
      </x:c>
      <x:c r="W149" s="2"/>
      <x:c r="X149" s="3"/>
      <x:c r="Y149" s="3"/>
      <x:c r="Z149" s="2"/>
      <x:c r="AA149" s="2"/>
      <x:c r="AB149" s="2"/>
      <x:c r="AC149" s="2"/>
      <x:c r="AD149" s="2"/>
      <x:c r="AE149" s="2"/>
      <x:c r="AF149" s="2"/>
      <x:c r="AG149" s="2"/>
      <x:c r="AH149" s="2"/>
      <x:c r="AI149" s="4"/>
      <x:c r="AJ149" s="2"/>
      <x:c r="AK149" s="2" t="s">
        <x:v>106</x:v>
      </x:c>
      <x:c r="AL149" s="2" t="s">
        <x:v>571</x:v>
      </x:c>
      <x:c r="AM149" s="2">
        <x:v>149</x:v>
      </x:c>
      <x:c r="AN149" s="2">
        <x:v>149</x:v>
      </x:c>
    </x:row>
    <x:row r="150" ht="52">
      <x:c r="A150" s="2" t="s">
        <x:v>91</x:v>
      </x:c>
      <x:c r="B150" s="2" t="s">
        <x:v>13</x:v>
      </x:c>
      <x:c r="C150" s="3">
        <x:v>148</x:v>
      </x:c>
      <x:c r="D150" s="2" t="s">
        <x:v>605</x:v>
      </x:c>
      <x:c r="E150" s="2" t="s">
        <x:v>960</x:v>
      </x:c>
      <x:c r="F150" s="2" t="s">
        <x:v>911</x:v>
      </x:c>
      <x:c r="G150" s="2" t="s">
        <x:v>961</x:v>
      </x:c>
      <x:c r="H150" s="2" t="s">
        <x:v>883</x:v>
      </x:c>
      <x:c r="I150" s="2" t="s">
        <x:v>962</x:v>
      </x:c>
      <x:c r="J150" s="2" t="s">
        <x:v>885</x:v>
      </x:c>
      <x:c r="K150" s="2"/>
      <x:c r="L150" s="2" t="s">
        <x:v>963</x:v>
      </x:c>
      <x:c r="M150" s="2" t="s">
        <x:v>893</x:v>
      </x:c>
      <x:c r="N150" s="2">
        <x:v>6</x:v>
      </x:c>
      <x:c r="O150" s="2" t="s">
        <x:v>887</x:v>
      </x:c>
      <x:c r="P150" s="2" t="s">
        <x:v>894</x:v>
      </x:c>
      <x:c r="Q150" s="2"/>
      <x:c r="R150" s="3">
        <x:v>2</x:v>
      </x:c>
      <x:c r="S150" s="3">
        <x:v>0</x:v>
      </x:c>
      <x:c r="T150" s="2" t="s">
        <x:v>103</x:v>
      </x:c>
      <x:c r="U150" s="2" t="s">
        <x:v>115</x:v>
      </x:c>
      <x:c r="V150" s="2" t="s">
        <x:v>136</x:v>
      </x:c>
      <x:c r="W150" s="2"/>
      <x:c r="X150" s="3"/>
      <x:c r="Y150" s="3"/>
      <x:c r="Z150" s="2"/>
      <x:c r="AA150" s="2"/>
      <x:c r="AB150" s="2"/>
      <x:c r="AC150" s="2"/>
      <x:c r="AD150" s="2"/>
      <x:c r="AE150" s="2"/>
      <x:c r="AF150" s="2"/>
      <x:c r="AG150" s="2"/>
      <x:c r="AH150" s="2"/>
      <x:c r="AI150" s="4"/>
      <x:c r="AJ150" s="2"/>
      <x:c r="AK150" s="2" t="s">
        <x:v>106</x:v>
      </x:c>
      <x:c r="AL150" s="2" t="s">
        <x:v>571</x:v>
      </x:c>
      <x:c r="AM150" s="2">
        <x:v>150</x:v>
      </x:c>
      <x:c r="AN150" s="2">
        <x:v>150</x:v>
      </x:c>
    </x:row>
    <x:row r="151" ht="52">
      <x:c r="A151" s="2" t="s">
        <x:v>91</x:v>
      </x:c>
      <x:c r="B151" s="2" t="s">
        <x:v>13</x:v>
      </x:c>
      <x:c r="C151" s="3">
        <x:v>149</x:v>
      </x:c>
      <x:c r="D151" s="2" t="s">
        <x:v>919</x:v>
      </x:c>
      <x:c r="E151" s="2" t="s">
        <x:v>964</x:v>
      </x:c>
      <x:c r="F151" s="2" t="s">
        <x:v>897</x:v>
      </x:c>
      <x:c r="G151" s="2" t="s">
        <x:v>965</x:v>
      </x:c>
      <x:c r="H151" s="2" t="s">
        <x:v>883</x:v>
      </x:c>
      <x:c r="I151" s="2" t="s">
        <x:v>966</x:v>
      </x:c>
      <x:c r="J151" s="2" t="s">
        <x:v>885</x:v>
      </x:c>
      <x:c r="K151" s="2"/>
      <x:c r="L151" s="2" t="s">
        <x:v>967</x:v>
      </x:c>
      <x:c r="M151" s="2" t="s">
        <x:v>886</x:v>
      </x:c>
      <x:c r="N151" s="2">
        <x:v>6</x:v>
      </x:c>
      <x:c r="O151" s="2" t="s">
        <x:v>887</x:v>
      </x:c>
      <x:c r="P151" s="2" t="s">
        <x:v>888</x:v>
      </x:c>
      <x:c r="Q151" s="2"/>
      <x:c r="R151" s="3">
        <x:v>3</x:v>
      </x:c>
      <x:c r="S151" s="3">
        <x:v>0</x:v>
      </x:c>
      <x:c r="T151" s="2" t="s">
        <x:v>103</x:v>
      </x:c>
      <x:c r="U151" s="2" t="s">
        <x:v>104</x:v>
      </x:c>
      <x:c r="V151" s="2" t="s">
        <x:v>154</x:v>
      </x:c>
      <x:c r="W151" s="2"/>
      <x:c r="X151" s="3"/>
      <x:c r="Y151" s="3"/>
      <x:c r="Z151" s="2"/>
      <x:c r="AA151" s="2"/>
      <x:c r="AB151" s="2"/>
      <x:c r="AC151" s="2"/>
      <x:c r="AD151" s="2"/>
      <x:c r="AE151" s="2"/>
      <x:c r="AF151" s="2"/>
      <x:c r="AG151" s="2"/>
      <x:c r="AH151" s="2"/>
      <x:c r="AI151" s="4"/>
      <x:c r="AJ151" s="2"/>
      <x:c r="AK151" s="2" t="s">
        <x:v>106</x:v>
      </x:c>
      <x:c r="AL151" s="2" t="s">
        <x:v>571</x:v>
      </x:c>
      <x:c r="AM151" s="2">
        <x:v>151</x:v>
      </x:c>
      <x:c r="AN151" s="2">
        <x:v>151</x:v>
      </x:c>
    </x:row>
    <x:row r="152" ht="39">
      <x:c r="A152" s="2" t="s">
        <x:v>6</x:v>
      </x:c>
      <x:c r="B152" s="2" t="s">
        <x:v>14</x:v>
      </x:c>
      <x:c r="C152" s="3">
        <x:v>0</x:v>
      </x:c>
      <x:c r="D152" s="2" t="s">
        <x:v>166</x:v>
      </x:c>
      <x:c r="E152" s="2" t="s">
        <x:v>167</x:v>
      </x:c>
      <x:c r="F152" s="2" t="s">
        <x:v>168</x:v>
      </x:c>
      <x:c r="G152" s="2" t="s">
        <x:v>968</x:v>
      </x:c>
      <x:c r="H152" s="2" t="s">
        <x:v>96</x:v>
      </x:c>
      <x:c r="I152" s="2" t="s">
        <x:v>169</x:v>
      </x:c>
      <x:c r="J152" s="2" t="s">
        <x:v>170</x:v>
      </x:c>
      <x:c r="K152" s="2"/>
      <x:c r="L152" s="2" t="s">
        <x:v>171</x:v>
      </x:c>
      <x:c r="M152" s="2" t="s">
        <x:v>172</x:v>
      </x:c>
      <x:c r="N152" s="2">
        <x:v>1</x:v>
      </x:c>
      <x:c r="O152" s="2" t="s">
        <x:v>173</x:v>
      </x:c>
      <x:c r="P152" s="2" t="s">
        <x:v>174</x:v>
      </x:c>
      <x:c r="Q152" s="2"/>
      <x:c r="R152" s="3"/>
      <x:c r="S152" s="3"/>
      <x:c r="T152" s="2"/>
      <x:c r="U152" s="2"/>
      <x:c r="V152" s="2"/>
      <x:c r="W152" s="2" t="s">
        <x:v>169</x:v>
      </x:c>
      <x:c r="X152" s="3">
        <x:v>0</x:v>
      </x:c>
      <x:c r="Y152" s="3">
        <x:v>1</x:v>
      </x:c>
      <x:c r="Z152" s="2" t="s">
        <x:v>175</x:v>
      </x:c>
      <x:c r="AA152" s="2"/>
      <x:c r="AB152" s="2"/>
      <x:c r="AC152" s="2"/>
      <x:c r="AD152" s="2"/>
      <x:c r="AE152" s="2"/>
      <x:c r="AF152" s="2"/>
      <x:c r="AG152" s="2"/>
      <x:c r="AH152" s="2"/>
      <x:c r="AI152" s="4"/>
      <x:c r="AJ152" s="2"/>
      <x:c r="AK152" s="2" t="s">
        <x:v>176</x:v>
      </x:c>
      <x:c r="AL152" s="2" t="s">
        <x:v>571</x:v>
      </x:c>
      <x:c r="AM152" s="2">
        <x:v>2</x:v>
      </x:c>
      <x:c r="AN152" s="2">
        <x:v>2</x:v>
      </x:c>
    </x:row>
    <x:row r="153" ht="39">
      <x:c r="A153" s="2" t="s">
        <x:v>91</x:v>
      </x:c>
      <x:c r="B153" s="2" t="s">
        <x:v>14</x:v>
      </x:c>
      <x:c r="C153" s="3">
        <x:v>1</x:v>
      </x:c>
      <x:c r="D153" s="2" t="s">
        <x:v>177</x:v>
      </x:c>
      <x:c r="E153" s="2" t="s">
        <x:v>178</x:v>
      </x:c>
      <x:c r="F153" s="2" t="s">
        <x:v>179</x:v>
      </x:c>
      <x:c r="G153" s="2" t="s">
        <x:v>158</x:v>
      </x:c>
      <x:c r="H153" s="2" t="s">
        <x:v>96</x:v>
      </x:c>
      <x:c r="I153" s="2" t="s">
        <x:v>169</x:v>
      </x:c>
      <x:c r="J153" s="2" t="s">
        <x:v>181</x:v>
      </x:c>
      <x:c r="K153" s="2"/>
      <x:c r="L153" s="2" t="s">
        <x:v>182</x:v>
      </x:c>
      <x:c r="M153" s="2" t="s">
        <x:v>172</x:v>
      </x:c>
      <x:c r="N153" s="2">
        <x:v>1</x:v>
      </x:c>
      <x:c r="O153" s="2" t="s">
        <x:v>183</x:v>
      </x:c>
      <x:c r="P153" s="2" t="s">
        <x:v>174</x:v>
      </x:c>
      <x:c r="Q153" s="2"/>
      <x:c r="R153" s="3"/>
      <x:c r="S153" s="3"/>
      <x:c r="T153" s="2"/>
      <x:c r="U153" s="2"/>
      <x:c r="V153" s="2"/>
      <x:c r="W153" s="2" t="s">
        <x:v>169</x:v>
      </x:c>
      <x:c r="X153" s="3">
        <x:v>1</x:v>
      </x:c>
      <x:c r="Y153" s="3">
        <x:v>2</x:v>
      </x:c>
      <x:c r="Z153" s="2" t="s">
        <x:v>175</x:v>
      </x:c>
      <x:c r="AA153" s="2"/>
      <x:c r="AB153" s="2"/>
      <x:c r="AC153" s="2"/>
      <x:c r="AD153" s="2"/>
      <x:c r="AE153" s="2"/>
      <x:c r="AF153" s="2"/>
      <x:c r="AG153" s="2"/>
      <x:c r="AH153" s="2"/>
      <x:c r="AI153" s="4"/>
      <x:c r="AJ153" s="2"/>
      <x:c r="AK153" s="2" t="s">
        <x:v>176</x:v>
      </x:c>
      <x:c r="AL153" s="2" t="s">
        <x:v>571</x:v>
      </x:c>
      <x:c r="AM153" s="2">
        <x:v>3</x:v>
      </x:c>
      <x:c r="AN153" s="2">
        <x:v>3</x:v>
      </x:c>
    </x:row>
    <x:row r="154" ht="39">
      <x:c r="A154" s="2" t="s">
        <x:v>91</x:v>
      </x:c>
      <x:c r="B154" s="2" t="s">
        <x:v>14</x:v>
      </x:c>
      <x:c r="C154" s="3">
        <x:v>2</x:v>
      </x:c>
      <x:c r="D154" s="2" t="s">
        <x:v>184</x:v>
      </x:c>
      <x:c r="E154" s="2" t="s">
        <x:v>185</x:v>
      </x:c>
      <x:c r="F154" s="2" t="s">
        <x:v>186</x:v>
      </x:c>
      <x:c r="G154" s="2" t="s">
        <x:v>969</x:v>
      </x:c>
      <x:c r="H154" s="2" t="s">
        <x:v>96</x:v>
      </x:c>
      <x:c r="I154" s="2" t="s">
        <x:v>169</x:v>
      </x:c>
      <x:c r="J154" s="2" t="s">
        <x:v>188</x:v>
      </x:c>
      <x:c r="K154" s="2"/>
      <x:c r="L154" s="2" t="s">
        <x:v>189</x:v>
      </x:c>
      <x:c r="M154" s="2" t="s">
        <x:v>172</x:v>
      </x:c>
      <x:c r="N154" s="2">
        <x:v>1</x:v>
      </x:c>
      <x:c r="O154" s="2" t="s">
        <x:v>190</x:v>
      </x:c>
      <x:c r="P154" s="2" t="s">
        <x:v>174</x:v>
      </x:c>
      <x:c r="Q154" s="2"/>
      <x:c r="R154" s="3"/>
      <x:c r="S154" s="3"/>
      <x:c r="T154" s="2"/>
      <x:c r="U154" s="2"/>
      <x:c r="V154" s="2"/>
      <x:c r="W154" s="2" t="s">
        <x:v>169</x:v>
      </x:c>
      <x:c r="X154" s="3">
        <x:v>4</x:v>
      </x:c>
      <x:c r="Y154" s="3">
        <x:v>3</x:v>
      </x:c>
      <x:c r="Z154" s="2" t="s">
        <x:v>191</x:v>
      </x:c>
      <x:c r="AA154" s="2"/>
      <x:c r="AB154" s="2"/>
      <x:c r="AC154" s="2"/>
      <x:c r="AD154" s="2"/>
      <x:c r="AE154" s="2"/>
      <x:c r="AF154" s="2"/>
      <x:c r="AG154" s="2"/>
      <x:c r="AH154" s="2"/>
      <x:c r="AI154" s="4"/>
      <x:c r="AJ154" s="2"/>
      <x:c r="AK154" s="2" t="s">
        <x:v>176</x:v>
      </x:c>
      <x:c r="AL154" s="2" t="s">
        <x:v>571</x:v>
      </x:c>
      <x:c r="AM154" s="2">
        <x:v>4</x:v>
      </x:c>
      <x:c r="AN154" s="2">
        <x:v>4</x:v>
      </x:c>
    </x:row>
    <x:row r="155" ht="39">
      <x:c r="A155" s="2" t="s">
        <x:v>6</x:v>
      </x:c>
      <x:c r="B155" s="2" t="s">
        <x:v>14</x:v>
      </x:c>
      <x:c r="C155" s="3">
        <x:v>3</x:v>
      </x:c>
      <x:c r="D155" s="2" t="s">
        <x:v>192</x:v>
      </x:c>
      <x:c r="E155" s="2" t="s">
        <x:v>193</x:v>
      </x:c>
      <x:c r="F155" s="2" t="s">
        <x:v>194</x:v>
      </x:c>
      <x:c r="G155" s="2"/>
      <x:c r="H155" s="2" t="s">
        <x:v>96</x:v>
      </x:c>
      <x:c r="I155" s="2" t="s">
        <x:v>169</x:v>
      </x:c>
      <x:c r="J155" s="2" t="s">
        <x:v>195</x:v>
      </x:c>
      <x:c r="K155" s="2"/>
      <x:c r="L155" s="2" t="s">
        <x:v>196</x:v>
      </x:c>
      <x:c r="M155" s="2" t="s">
        <x:v>172</x:v>
      </x:c>
      <x:c r="N155" s="2">
        <x:v>1</x:v>
      </x:c>
      <x:c r="O155" s="2" t="s">
        <x:v>197</x:v>
      </x:c>
      <x:c r="P155" s="2" t="s">
        <x:v>174</x:v>
      </x:c>
      <x:c r="Q155" s="2"/>
      <x:c r="R155" s="3"/>
      <x:c r="S155" s="3"/>
      <x:c r="T155" s="2"/>
      <x:c r="U155" s="2"/>
      <x:c r="V155" s="2"/>
      <x:c r="W155" s="2" t="s">
        <x:v>169</x:v>
      </x:c>
      <x:c r="X155" s="3">
        <x:v>1</x:v>
      </x:c>
      <x:c r="Y155" s="3">
        <x:v>0</x:v>
      </x:c>
      <x:c r="Z155" s="2" t="s">
        <x:v>191</x:v>
      </x:c>
      <x:c r="AA155" s="2"/>
      <x:c r="AB155" s="2"/>
      <x:c r="AC155" s="2"/>
      <x:c r="AD155" s="2"/>
      <x:c r="AE155" s="2"/>
      <x:c r="AF155" s="2"/>
      <x:c r="AG155" s="2"/>
      <x:c r="AH155" s="2"/>
      <x:c r="AI155" s="4"/>
      <x:c r="AJ155" s="2"/>
      <x:c r="AK155" s="2" t="s">
        <x:v>176</x:v>
      </x:c>
      <x:c r="AL155" s="2" t="s">
        <x:v>571</x:v>
      </x:c>
      <x:c r="AM155" s="2">
        <x:v>5</x:v>
      </x:c>
      <x:c r="AN155" s="2">
        <x:v>5</x:v>
      </x:c>
    </x:row>
    <x:row r="156" ht="39">
      <x:c r="A156" s="2" t="s">
        <x:v>6</x:v>
      </x:c>
      <x:c r="B156" s="2" t="s">
        <x:v>14</x:v>
      </x:c>
      <x:c r="C156" s="3">
        <x:v>4</x:v>
      </x:c>
      <x:c r="D156" s="2" t="s">
        <x:v>166</x:v>
      </x:c>
      <x:c r="E156" s="2" t="s">
        <x:v>198</x:v>
      </x:c>
      <x:c r="F156" s="2" t="s">
        <x:v>168</x:v>
      </x:c>
      <x:c r="G156" s="2"/>
      <x:c r="H156" s="2" t="s">
        <x:v>96</x:v>
      </x:c>
      <x:c r="I156" s="2" t="s">
        <x:v>200</x:v>
      </x:c>
      <x:c r="J156" s="2" t="s">
        <x:v>170</x:v>
      </x:c>
      <x:c r="K156" s="2"/>
      <x:c r="L156" s="2" t="s">
        <x:v>201</x:v>
      </x:c>
      <x:c r="M156" s="2" t="s">
        <x:v>172</x:v>
      </x:c>
      <x:c r="N156" s="2">
        <x:v>1</x:v>
      </x:c>
      <x:c r="O156" s="2" t="s">
        <x:v>202</x:v>
      </x:c>
      <x:c r="P156" s="2" t="s">
        <x:v>174</x:v>
      </x:c>
      <x:c r="Q156" s="2"/>
      <x:c r="R156" s="3"/>
      <x:c r="S156" s="3"/>
      <x:c r="T156" s="2"/>
      <x:c r="U156" s="2"/>
      <x:c r="V156" s="2"/>
      <x:c r="W156" s="2" t="s">
        <x:v>200</x:v>
      </x:c>
      <x:c r="X156" s="3">
        <x:v>0</x:v>
      </x:c>
      <x:c r="Y156" s="3">
        <x:v>1</x:v>
      </x:c>
      <x:c r="Z156" s="2" t="s">
        <x:v>175</x:v>
      </x:c>
      <x:c r="AA156" s="2"/>
      <x:c r="AB156" s="2"/>
      <x:c r="AC156" s="2"/>
      <x:c r="AD156" s="2"/>
      <x:c r="AE156" s="2"/>
      <x:c r="AF156" s="2"/>
      <x:c r="AG156" s="2"/>
      <x:c r="AH156" s="2"/>
      <x:c r="AI156" s="4"/>
      <x:c r="AJ156" s="2"/>
      <x:c r="AK156" s="2" t="s">
        <x:v>176</x:v>
      </x:c>
      <x:c r="AL156" s="2" t="s">
        <x:v>571</x:v>
      </x:c>
      <x:c r="AM156" s="2">
        <x:v>6</x:v>
      </x:c>
      <x:c r="AN156" s="2">
        <x:v>6</x:v>
      </x:c>
    </x:row>
    <x:row r="157" ht="39">
      <x:c r="A157" s="2" t="s">
        <x:v>91</x:v>
      </x:c>
      <x:c r="B157" s="2" t="s">
        <x:v>14</x:v>
      </x:c>
      <x:c r="C157" s="3">
        <x:v>5</x:v>
      </x:c>
      <x:c r="D157" s="2" t="s">
        <x:v>177</x:v>
      </x:c>
      <x:c r="E157" s="2" t="s">
        <x:v>203</x:v>
      </x:c>
      <x:c r="F157" s="2" t="s">
        <x:v>179</x:v>
      </x:c>
      <x:c r="G157" s="2" t="s">
        <x:v>970</x:v>
      </x:c>
      <x:c r="H157" s="2" t="s">
        <x:v>96</x:v>
      </x:c>
      <x:c r="I157" s="2" t="s">
        <x:v>200</x:v>
      </x:c>
      <x:c r="J157" s="2" t="s">
        <x:v>181</x:v>
      </x:c>
      <x:c r="K157" s="2"/>
      <x:c r="L157" s="2" t="s">
        <x:v>205</x:v>
      </x:c>
      <x:c r="M157" s="2" t="s">
        <x:v>172</x:v>
      </x:c>
      <x:c r="N157" s="2">
        <x:v>1</x:v>
      </x:c>
      <x:c r="O157" s="2" t="s">
        <x:v>206</x:v>
      </x:c>
      <x:c r="P157" s="2" t="s">
        <x:v>174</x:v>
      </x:c>
      <x:c r="Q157" s="2"/>
      <x:c r="R157" s="3"/>
      <x:c r="S157" s="3"/>
      <x:c r="T157" s="2"/>
      <x:c r="U157" s="2"/>
      <x:c r="V157" s="2"/>
      <x:c r="W157" s="2" t="s">
        <x:v>200</x:v>
      </x:c>
      <x:c r="X157" s="3">
        <x:v>1</x:v>
      </x:c>
      <x:c r="Y157" s="3">
        <x:v>2</x:v>
      </x:c>
      <x:c r="Z157" s="2" t="s">
        <x:v>175</x:v>
      </x:c>
      <x:c r="AA157" s="2"/>
      <x:c r="AB157" s="2"/>
      <x:c r="AC157" s="2"/>
      <x:c r="AD157" s="2"/>
      <x:c r="AE157" s="2"/>
      <x:c r="AF157" s="2"/>
      <x:c r="AG157" s="2"/>
      <x:c r="AH157" s="2"/>
      <x:c r="AI157" s="4"/>
      <x:c r="AJ157" s="2"/>
      <x:c r="AK157" s="2" t="s">
        <x:v>176</x:v>
      </x:c>
      <x:c r="AL157" s="2" t="s">
        <x:v>571</x:v>
      </x:c>
      <x:c r="AM157" s="2">
        <x:v>7</x:v>
      </x:c>
      <x:c r="AN157" s="2">
        <x:v>7</x:v>
      </x:c>
    </x:row>
    <x:row r="158" ht="39">
      <x:c r="A158" s="2" t="s">
        <x:v>91</x:v>
      </x:c>
      <x:c r="B158" s="2" t="s">
        <x:v>14</x:v>
      </x:c>
      <x:c r="C158" s="3">
        <x:v>6</x:v>
      </x:c>
      <x:c r="D158" s="2" t="s">
        <x:v>184</x:v>
      </x:c>
      <x:c r="E158" s="2" t="s">
        <x:v>207</x:v>
      </x:c>
      <x:c r="F158" s="2" t="s">
        <x:v>186</x:v>
      </x:c>
      <x:c r="G158" s="2" t="s">
        <x:v>971</x:v>
      </x:c>
      <x:c r="H158" s="2" t="s">
        <x:v>96</x:v>
      </x:c>
      <x:c r="I158" s="2" t="s">
        <x:v>200</x:v>
      </x:c>
      <x:c r="J158" s="2" t="s">
        <x:v>188</x:v>
      </x:c>
      <x:c r="K158" s="2"/>
      <x:c r="L158" s="2" t="s">
        <x:v>209</x:v>
      </x:c>
      <x:c r="M158" s="2" t="s">
        <x:v>172</x:v>
      </x:c>
      <x:c r="N158" s="2">
        <x:v>1</x:v>
      </x:c>
      <x:c r="O158" s="2" t="s">
        <x:v>210</x:v>
      </x:c>
      <x:c r="P158" s="2" t="s">
        <x:v>174</x:v>
      </x:c>
      <x:c r="Q158" s="2"/>
      <x:c r="R158" s="3"/>
      <x:c r="S158" s="3"/>
      <x:c r="T158" s="2"/>
      <x:c r="U158" s="2"/>
      <x:c r="V158" s="2"/>
      <x:c r="W158" s="2" t="s">
        <x:v>200</x:v>
      </x:c>
      <x:c r="X158" s="3">
        <x:v>4</x:v>
      </x:c>
      <x:c r="Y158" s="3">
        <x:v>3</x:v>
      </x:c>
      <x:c r="Z158" s="2" t="s">
        <x:v>191</x:v>
      </x:c>
      <x:c r="AA158" s="2"/>
      <x:c r="AB158" s="2"/>
      <x:c r="AC158" s="2"/>
      <x:c r="AD158" s="2"/>
      <x:c r="AE158" s="2"/>
      <x:c r="AF158" s="2"/>
      <x:c r="AG158" s="2"/>
      <x:c r="AH158" s="2"/>
      <x:c r="AI158" s="4"/>
      <x:c r="AJ158" s="2"/>
      <x:c r="AK158" s="2" t="s">
        <x:v>176</x:v>
      </x:c>
      <x:c r="AL158" s="2" t="s">
        <x:v>571</x:v>
      </x:c>
      <x:c r="AM158" s="2">
        <x:v>8</x:v>
      </x:c>
      <x:c r="AN158" s="2">
        <x:v>8</x:v>
      </x:c>
    </x:row>
    <x:row r="159" ht="39">
      <x:c r="A159" s="2" t="s">
        <x:v>6</x:v>
      </x:c>
      <x:c r="B159" s="2" t="s">
        <x:v>14</x:v>
      </x:c>
      <x:c r="C159" s="3">
        <x:v>7</x:v>
      </x:c>
      <x:c r="D159" s="2" t="s">
        <x:v>192</x:v>
      </x:c>
      <x:c r="E159" s="2" t="s">
        <x:v>211</x:v>
      </x:c>
      <x:c r="F159" s="2" t="s">
        <x:v>194</x:v>
      </x:c>
      <x:c r="G159" s="2"/>
      <x:c r="H159" s="2" t="s">
        <x:v>96</x:v>
      </x:c>
      <x:c r="I159" s="2" t="s">
        <x:v>200</x:v>
      </x:c>
      <x:c r="J159" s="2" t="s">
        <x:v>195</x:v>
      </x:c>
      <x:c r="K159" s="2"/>
      <x:c r="L159" s="2" t="s">
        <x:v>212</x:v>
      </x:c>
      <x:c r="M159" s="2" t="s">
        <x:v>172</x:v>
      </x:c>
      <x:c r="N159" s="2">
        <x:v>1</x:v>
      </x:c>
      <x:c r="O159" s="2" t="s">
        <x:v>213</x:v>
      </x:c>
      <x:c r="P159" s="2" t="s">
        <x:v>174</x:v>
      </x:c>
      <x:c r="Q159" s="2"/>
      <x:c r="R159" s="3"/>
      <x:c r="S159" s="3"/>
      <x:c r="T159" s="2"/>
      <x:c r="U159" s="2"/>
      <x:c r="V159" s="2"/>
      <x:c r="W159" s="2" t="s">
        <x:v>200</x:v>
      </x:c>
      <x:c r="X159" s="3">
        <x:v>1</x:v>
      </x:c>
      <x:c r="Y159" s="3">
        <x:v>0</x:v>
      </x:c>
      <x:c r="Z159" s="2" t="s">
        <x:v>191</x:v>
      </x:c>
      <x:c r="AA159" s="2"/>
      <x:c r="AB159" s="2"/>
      <x:c r="AC159" s="2"/>
      <x:c r="AD159" s="2"/>
      <x:c r="AE159" s="2"/>
      <x:c r="AF159" s="2"/>
      <x:c r="AG159" s="2"/>
      <x:c r="AH159" s="2"/>
      <x:c r="AI159" s="4"/>
      <x:c r="AJ159" s="2"/>
      <x:c r="AK159" s="2" t="s">
        <x:v>176</x:v>
      </x:c>
      <x:c r="AL159" s="2" t="s">
        <x:v>571</x:v>
      </x:c>
      <x:c r="AM159" s="2">
        <x:v>9</x:v>
      </x:c>
      <x:c r="AN159" s="2">
        <x:v>9</x:v>
      </x:c>
    </x:row>
    <x:row r="160" ht="39">
      <x:c r="A160" s="2" t="s">
        <x:v>6</x:v>
      </x:c>
      <x:c r="B160" s="2" t="s">
        <x:v>14</x:v>
      </x:c>
      <x:c r="C160" s="3">
        <x:v>8</x:v>
      </x:c>
      <x:c r="D160" s="2" t="s">
        <x:v>166</x:v>
      </x:c>
      <x:c r="E160" s="2" t="s">
        <x:v>214</x:v>
      </x:c>
      <x:c r="F160" s="2" t="s">
        <x:v>168</x:v>
      </x:c>
      <x:c r="G160" s="2"/>
      <x:c r="H160" s="2" t="s">
        <x:v>96</x:v>
      </x:c>
      <x:c r="I160" s="2" t="s">
        <x:v>216</x:v>
      </x:c>
      <x:c r="J160" s="2" t="s">
        <x:v>170</x:v>
      </x:c>
      <x:c r="K160" s="2"/>
      <x:c r="L160" s="2" t="s">
        <x:v>217</x:v>
      </x:c>
      <x:c r="M160" s="2" t="s">
        <x:v>172</x:v>
      </x:c>
      <x:c r="N160" s="2">
        <x:v>1</x:v>
      </x:c>
      <x:c r="O160" s="2" t="s">
        <x:v>218</x:v>
      </x:c>
      <x:c r="P160" s="2" t="s">
        <x:v>174</x:v>
      </x:c>
      <x:c r="Q160" s="2"/>
      <x:c r="R160" s="3"/>
      <x:c r="S160" s="3"/>
      <x:c r="T160" s="2"/>
      <x:c r="U160" s="2"/>
      <x:c r="V160" s="2"/>
      <x:c r="W160" s="2" t="s">
        <x:v>216</x:v>
      </x:c>
      <x:c r="X160" s="3">
        <x:v>0</x:v>
      </x:c>
      <x:c r="Y160" s="3">
        <x:v>1</x:v>
      </x:c>
      <x:c r="Z160" s="2" t="s">
        <x:v>175</x:v>
      </x:c>
      <x:c r="AA160" s="2"/>
      <x:c r="AB160" s="2"/>
      <x:c r="AC160" s="2"/>
      <x:c r="AD160" s="2"/>
      <x:c r="AE160" s="2"/>
      <x:c r="AF160" s="2"/>
      <x:c r="AG160" s="2"/>
      <x:c r="AH160" s="2"/>
      <x:c r="AI160" s="4"/>
      <x:c r="AJ160" s="2"/>
      <x:c r="AK160" s="2" t="s">
        <x:v>176</x:v>
      </x:c>
      <x:c r="AL160" s="2" t="s">
        <x:v>571</x:v>
      </x:c>
      <x:c r="AM160" s="2">
        <x:v>10</x:v>
      </x:c>
      <x:c r="AN160" s="2">
        <x:v>10</x:v>
      </x:c>
    </x:row>
    <x:row r="161" ht="39">
      <x:c r="A161" s="2" t="s">
        <x:v>91</x:v>
      </x:c>
      <x:c r="B161" s="2" t="s">
        <x:v>14</x:v>
      </x:c>
      <x:c r="C161" s="3">
        <x:v>9</x:v>
      </x:c>
      <x:c r="D161" s="2" t="s">
        <x:v>177</x:v>
      </x:c>
      <x:c r="E161" s="2" t="s">
        <x:v>193</x:v>
      </x:c>
      <x:c r="F161" s="2" t="s">
        <x:v>179</x:v>
      </x:c>
      <x:c r="G161" s="2" t="s">
        <x:v>972</x:v>
      </x:c>
      <x:c r="H161" s="2" t="s">
        <x:v>96</x:v>
      </x:c>
      <x:c r="I161" s="2" t="s">
        <x:v>216</x:v>
      </x:c>
      <x:c r="J161" s="2" t="s">
        <x:v>181</x:v>
      </x:c>
      <x:c r="K161" s="2"/>
      <x:c r="L161" s="2" t="s">
        <x:v>220</x:v>
      </x:c>
      <x:c r="M161" s="2" t="s">
        <x:v>172</x:v>
      </x:c>
      <x:c r="N161" s="2">
        <x:v>1</x:v>
      </x:c>
      <x:c r="O161" s="2" t="s">
        <x:v>221</x:v>
      </x:c>
      <x:c r="P161" s="2" t="s">
        <x:v>174</x:v>
      </x:c>
      <x:c r="Q161" s="2"/>
      <x:c r="R161" s="3"/>
      <x:c r="S161" s="3"/>
      <x:c r="T161" s="2"/>
      <x:c r="U161" s="2"/>
      <x:c r="V161" s="2"/>
      <x:c r="W161" s="2" t="s">
        <x:v>216</x:v>
      </x:c>
      <x:c r="X161" s="3">
        <x:v>1</x:v>
      </x:c>
      <x:c r="Y161" s="3">
        <x:v>2</x:v>
      </x:c>
      <x:c r="Z161" s="2" t="s">
        <x:v>175</x:v>
      </x:c>
      <x:c r="AA161" s="2"/>
      <x:c r="AB161" s="2"/>
      <x:c r="AC161" s="2"/>
      <x:c r="AD161" s="2"/>
      <x:c r="AE161" s="2"/>
      <x:c r="AF161" s="2"/>
      <x:c r="AG161" s="2"/>
      <x:c r="AH161" s="2"/>
      <x:c r="AI161" s="4"/>
      <x:c r="AJ161" s="2"/>
      <x:c r="AK161" s="2" t="s">
        <x:v>176</x:v>
      </x:c>
      <x:c r="AL161" s="2" t="s">
        <x:v>571</x:v>
      </x:c>
      <x:c r="AM161" s="2">
        <x:v>11</x:v>
      </x:c>
      <x:c r="AN161" s="2">
        <x:v>11</x:v>
      </x:c>
    </x:row>
    <x:row r="162" ht="39">
      <x:c r="A162" s="2" t="s">
        <x:v>91</x:v>
      </x:c>
      <x:c r="B162" s="2" t="s">
        <x:v>14</x:v>
      </x:c>
      <x:c r="C162" s="3">
        <x:v>10</x:v>
      </x:c>
      <x:c r="D162" s="2" t="s">
        <x:v>184</x:v>
      </x:c>
      <x:c r="E162" s="2" t="s">
        <x:v>973</x:v>
      </x:c>
      <x:c r="F162" s="2" t="s">
        <x:v>186</x:v>
      </x:c>
      <x:c r="G162" s="2" t="s">
        <x:v>974</x:v>
      </x:c>
      <x:c r="H162" s="2" t="s">
        <x:v>96</x:v>
      </x:c>
      <x:c r="I162" s="2" t="s">
        <x:v>216</x:v>
      </x:c>
      <x:c r="J162" s="2" t="s">
        <x:v>188</x:v>
      </x:c>
      <x:c r="K162" s="2"/>
      <x:c r="L162" s="2" t="s">
        <x:v>975</x:v>
      </x:c>
      <x:c r="M162" s="2" t="s">
        <x:v>172</x:v>
      </x:c>
      <x:c r="N162" s="2">
        <x:v>1</x:v>
      </x:c>
      <x:c r="O162" s="2" t="s">
        <x:v>976</x:v>
      </x:c>
      <x:c r="P162" s="2" t="s">
        <x:v>174</x:v>
      </x:c>
      <x:c r="Q162" s="2"/>
      <x:c r="R162" s="3"/>
      <x:c r="S162" s="3"/>
      <x:c r="T162" s="2"/>
      <x:c r="U162" s="2"/>
      <x:c r="V162" s="2"/>
      <x:c r="W162" s="2" t="s">
        <x:v>216</x:v>
      </x:c>
      <x:c r="X162" s="3">
        <x:v>4</x:v>
      </x:c>
      <x:c r="Y162" s="3">
        <x:v>3</x:v>
      </x:c>
      <x:c r="Z162" s="2" t="s">
        <x:v>191</x:v>
      </x:c>
      <x:c r="AA162" s="2"/>
      <x:c r="AB162" s="2"/>
      <x:c r="AC162" s="2"/>
      <x:c r="AD162" s="2"/>
      <x:c r="AE162" s="2"/>
      <x:c r="AF162" s="2"/>
      <x:c r="AG162" s="2"/>
      <x:c r="AH162" s="2"/>
      <x:c r="AI162" s="4"/>
      <x:c r="AJ162" s="2"/>
      <x:c r="AK162" s="2" t="s">
        <x:v>176</x:v>
      </x:c>
      <x:c r="AL162" s="2" t="s">
        <x:v>571</x:v>
      </x:c>
      <x:c r="AM162" s="2">
        <x:v>12</x:v>
      </x:c>
      <x:c r="AN162" s="2">
        <x:v>12</x:v>
      </x:c>
    </x:row>
    <x:row r="163" ht="39">
      <x:c r="A163" s="2" t="s">
        <x:v>6</x:v>
      </x:c>
      <x:c r="B163" s="2" t="s">
        <x:v>14</x:v>
      </x:c>
      <x:c r="C163" s="3">
        <x:v>11</x:v>
      </x:c>
      <x:c r="D163" s="2" t="s">
        <x:v>977</x:v>
      </x:c>
      <x:c r="E163" s="2" t="s">
        <x:v>978</x:v>
      </x:c>
      <x:c r="F163" s="2" t="s">
        <x:v>194</x:v>
      </x:c>
      <x:c r="G163" s="2"/>
      <x:c r="H163" s="2" t="s">
        <x:v>96</x:v>
      </x:c>
      <x:c r="I163" s="2" t="s">
        <x:v>216</x:v>
      </x:c>
      <x:c r="J163" s="2" t="s">
        <x:v>195</x:v>
      </x:c>
      <x:c r="K163" s="2"/>
      <x:c r="L163" s="2" t="s">
        <x:v>979</x:v>
      </x:c>
      <x:c r="M163" s="2" t="s">
        <x:v>172</x:v>
      </x:c>
      <x:c r="N163" s="2">
        <x:v>1</x:v>
      </x:c>
      <x:c r="O163" s="2" t="s">
        <x:v>980</x:v>
      </x:c>
      <x:c r="P163" s="2" t="s">
        <x:v>174</x:v>
      </x:c>
      <x:c r="Q163" s="2"/>
      <x:c r="R163" s="3"/>
      <x:c r="S163" s="3"/>
      <x:c r="T163" s="2"/>
      <x:c r="U163" s="2"/>
      <x:c r="V163" s="2"/>
      <x:c r="W163" s="2" t="s">
        <x:v>216</x:v>
      </x:c>
      <x:c r="X163" s="3">
        <x:v>1</x:v>
      </x:c>
      <x:c r="Y163" s="3">
        <x:v>0</x:v>
      </x:c>
      <x:c r="Z163" s="2" t="s">
        <x:v>191</x:v>
      </x:c>
      <x:c r="AA163" s="2"/>
      <x:c r="AB163" s="2"/>
      <x:c r="AC163" s="2"/>
      <x:c r="AD163" s="2"/>
      <x:c r="AE163" s="2"/>
      <x:c r="AF163" s="2"/>
      <x:c r="AG163" s="2"/>
      <x:c r="AH163" s="2"/>
      <x:c r="AI163" s="4"/>
      <x:c r="AJ163" s="2"/>
      <x:c r="AK163" s="2" t="s">
        <x:v>176</x:v>
      </x:c>
      <x:c r="AL163" s="2" t="s">
        <x:v>571</x:v>
      </x:c>
      <x:c r="AM163" s="2">
        <x:v>13</x:v>
      </x:c>
      <x:c r="AN163" s="2">
        <x:v>13</x:v>
      </x:c>
    </x:row>
    <x:row r="164" ht="39">
      <x:c r="A164" s="2" t="s">
        <x:v>6</x:v>
      </x:c>
      <x:c r="B164" s="2" t="s">
        <x:v>14</x:v>
      </x:c>
      <x:c r="C164" s="3">
        <x:v>12</x:v>
      </x:c>
      <x:c r="D164" s="2" t="s">
        <x:v>166</x:v>
      </x:c>
      <x:c r="E164" s="2" t="s">
        <x:v>981</x:v>
      </x:c>
      <x:c r="F164" s="2" t="s">
        <x:v>168</x:v>
      </x:c>
      <x:c r="G164" s="2"/>
      <x:c r="H164" s="2" t="s">
        <x:v>96</x:v>
      </x:c>
      <x:c r="I164" s="2" t="s">
        <x:v>982</x:v>
      </x:c>
      <x:c r="J164" s="2" t="s">
        <x:v>170</x:v>
      </x:c>
      <x:c r="K164" s="2"/>
      <x:c r="L164" s="2" t="s">
        <x:v>983</x:v>
      </x:c>
      <x:c r="M164" s="2" t="s">
        <x:v>172</x:v>
      </x:c>
      <x:c r="N164" s="2">
        <x:v>1</x:v>
      </x:c>
      <x:c r="O164" s="2" t="s">
        <x:v>984</x:v>
      </x:c>
      <x:c r="P164" s="2" t="s">
        <x:v>174</x:v>
      </x:c>
      <x:c r="Q164" s="2"/>
      <x:c r="R164" s="3"/>
      <x:c r="S164" s="3"/>
      <x:c r="T164" s="2"/>
      <x:c r="U164" s="2"/>
      <x:c r="V164" s="2"/>
      <x:c r="W164" s="2" t="s">
        <x:v>982</x:v>
      </x:c>
      <x:c r="X164" s="3">
        <x:v>0</x:v>
      </x:c>
      <x:c r="Y164" s="3">
        <x:v>1</x:v>
      </x:c>
      <x:c r="Z164" s="2" t="s">
        <x:v>175</x:v>
      </x:c>
      <x:c r="AA164" s="2"/>
      <x:c r="AB164" s="2"/>
      <x:c r="AC164" s="2"/>
      <x:c r="AD164" s="2"/>
      <x:c r="AE164" s="2"/>
      <x:c r="AF164" s="2"/>
      <x:c r="AG164" s="2"/>
      <x:c r="AH164" s="2"/>
      <x:c r="AI164" s="4"/>
      <x:c r="AJ164" s="2"/>
      <x:c r="AK164" s="2" t="s">
        <x:v>176</x:v>
      </x:c>
      <x:c r="AL164" s="2" t="s">
        <x:v>571</x:v>
      </x:c>
      <x:c r="AM164" s="2">
        <x:v>14</x:v>
      </x:c>
      <x:c r="AN164" s="2">
        <x:v>14</x:v>
      </x:c>
    </x:row>
    <x:row r="165" ht="39">
      <x:c r="A165" s="2" t="s">
        <x:v>6</x:v>
      </x:c>
      <x:c r="B165" s="2" t="s">
        <x:v>14</x:v>
      </x:c>
      <x:c r="C165" s="3">
        <x:v>13</x:v>
      </x:c>
      <x:c r="D165" s="2" t="s">
        <x:v>985</x:v>
      </x:c>
      <x:c r="E165" s="2" t="s">
        <x:v>986</x:v>
      </x:c>
      <x:c r="F165" s="2" t="s">
        <x:v>179</x:v>
      </x:c>
      <x:c r="G165" s="2"/>
      <x:c r="H165" s="2" t="s">
        <x:v>96</x:v>
      </x:c>
      <x:c r="I165" s="2" t="s">
        <x:v>982</x:v>
      </x:c>
      <x:c r="J165" s="2" t="s">
        <x:v>181</x:v>
      </x:c>
      <x:c r="K165" s="2"/>
      <x:c r="L165" s="2" t="s">
        <x:v>987</x:v>
      </x:c>
      <x:c r="M165" s="2" t="s">
        <x:v>172</x:v>
      </x:c>
      <x:c r="N165" s="2">
        <x:v>1</x:v>
      </x:c>
      <x:c r="O165" s="2" t="s">
        <x:v>988</x:v>
      </x:c>
      <x:c r="P165" s="2" t="s">
        <x:v>174</x:v>
      </x:c>
      <x:c r="Q165" s="2"/>
      <x:c r="R165" s="3"/>
      <x:c r="S165" s="3"/>
      <x:c r="T165" s="2"/>
      <x:c r="U165" s="2"/>
      <x:c r="V165" s="2"/>
      <x:c r="W165" s="2" t="s">
        <x:v>982</x:v>
      </x:c>
      <x:c r="X165" s="3">
        <x:v>1</x:v>
      </x:c>
      <x:c r="Y165" s="3">
        <x:v>2</x:v>
      </x:c>
      <x:c r="Z165" s="2" t="s">
        <x:v>175</x:v>
      </x:c>
      <x:c r="AA165" s="2"/>
      <x:c r="AB165" s="2"/>
      <x:c r="AC165" s="2"/>
      <x:c r="AD165" s="2"/>
      <x:c r="AE165" s="2"/>
      <x:c r="AF165" s="2"/>
      <x:c r="AG165" s="2"/>
      <x:c r="AH165" s="2"/>
      <x:c r="AI165" s="4"/>
      <x:c r="AJ165" s="2"/>
      <x:c r="AK165" s="2" t="s">
        <x:v>176</x:v>
      </x:c>
      <x:c r="AL165" s="2" t="s">
        <x:v>571</x:v>
      </x:c>
      <x:c r="AM165" s="2">
        <x:v>15</x:v>
      </x:c>
      <x:c r="AN165" s="2">
        <x:v>15</x:v>
      </x:c>
    </x:row>
    <x:row r="166" ht="39">
      <x:c r="A166" s="2" t="s">
        <x:v>91</x:v>
      </x:c>
      <x:c r="B166" s="2" t="s">
        <x:v>14</x:v>
      </x:c>
      <x:c r="C166" s="3">
        <x:v>14</x:v>
      </x:c>
      <x:c r="D166" s="2" t="s">
        <x:v>184</x:v>
      </x:c>
      <x:c r="E166" s="2" t="s">
        <x:v>989</x:v>
      </x:c>
      <x:c r="F166" s="2" t="s">
        <x:v>186</x:v>
      </x:c>
      <x:c r="G166" s="2" t="s">
        <x:v>990</x:v>
      </x:c>
      <x:c r="H166" s="2" t="s">
        <x:v>96</x:v>
      </x:c>
      <x:c r="I166" s="2" t="s">
        <x:v>982</x:v>
      </x:c>
      <x:c r="J166" s="2" t="s">
        <x:v>188</x:v>
      </x:c>
      <x:c r="K166" s="2"/>
      <x:c r="L166" s="2" t="s">
        <x:v>991</x:v>
      </x:c>
      <x:c r="M166" s="2" t="s">
        <x:v>172</x:v>
      </x:c>
      <x:c r="N166" s="2">
        <x:v>1</x:v>
      </x:c>
      <x:c r="O166" s="2" t="s">
        <x:v>992</x:v>
      </x:c>
      <x:c r="P166" s="2" t="s">
        <x:v>174</x:v>
      </x:c>
      <x:c r="Q166" s="2"/>
      <x:c r="R166" s="3"/>
      <x:c r="S166" s="3"/>
      <x:c r="T166" s="2"/>
      <x:c r="U166" s="2"/>
      <x:c r="V166" s="2"/>
      <x:c r="W166" s="2" t="s">
        <x:v>982</x:v>
      </x:c>
      <x:c r="X166" s="3">
        <x:v>4</x:v>
      </x:c>
      <x:c r="Y166" s="3">
        <x:v>3</x:v>
      </x:c>
      <x:c r="Z166" s="2" t="s">
        <x:v>191</x:v>
      </x:c>
      <x:c r="AA166" s="2"/>
      <x:c r="AB166" s="2"/>
      <x:c r="AC166" s="2"/>
      <x:c r="AD166" s="2"/>
      <x:c r="AE166" s="2"/>
      <x:c r="AF166" s="2"/>
      <x:c r="AG166" s="2"/>
      <x:c r="AH166" s="2"/>
      <x:c r="AI166" s="4"/>
      <x:c r="AJ166" s="2"/>
      <x:c r="AK166" s="2" t="s">
        <x:v>176</x:v>
      </x:c>
      <x:c r="AL166" s="2" t="s">
        <x:v>571</x:v>
      </x:c>
      <x:c r="AM166" s="2">
        <x:v>16</x:v>
      </x:c>
      <x:c r="AN166" s="2">
        <x:v>16</x:v>
      </x:c>
    </x:row>
    <x:row r="167" ht="39">
      <x:c r="A167" s="2" t="s">
        <x:v>6</x:v>
      </x:c>
      <x:c r="B167" s="2" t="s">
        <x:v>14</x:v>
      </x:c>
      <x:c r="C167" s="3">
        <x:v>15</x:v>
      </x:c>
      <x:c r="D167" s="2" t="s">
        <x:v>993</x:v>
      </x:c>
      <x:c r="E167" s="2" t="s">
        <x:v>994</x:v>
      </x:c>
      <x:c r="F167" s="2" t="s">
        <x:v>194</x:v>
      </x:c>
      <x:c r="G167" s="2"/>
      <x:c r="H167" s="2" t="s">
        <x:v>96</x:v>
      </x:c>
      <x:c r="I167" s="2" t="s">
        <x:v>982</x:v>
      </x:c>
      <x:c r="J167" s="2" t="s">
        <x:v>195</x:v>
      </x:c>
      <x:c r="K167" s="2"/>
      <x:c r="L167" s="2" t="s">
        <x:v>995</x:v>
      </x:c>
      <x:c r="M167" s="2" t="s">
        <x:v>172</x:v>
      </x:c>
      <x:c r="N167" s="2">
        <x:v>1</x:v>
      </x:c>
      <x:c r="O167" s="2" t="s">
        <x:v>996</x:v>
      </x:c>
      <x:c r="P167" s="2" t="s">
        <x:v>174</x:v>
      </x:c>
      <x:c r="Q167" s="2"/>
      <x:c r="R167" s="3"/>
      <x:c r="S167" s="3"/>
      <x:c r="T167" s="2"/>
      <x:c r="U167" s="2"/>
      <x:c r="V167" s="2"/>
      <x:c r="W167" s="2" t="s">
        <x:v>982</x:v>
      </x:c>
      <x:c r="X167" s="3">
        <x:v>1</x:v>
      </x:c>
      <x:c r="Y167" s="3">
        <x:v>0</x:v>
      </x:c>
      <x:c r="Z167" s="2" t="s">
        <x:v>191</x:v>
      </x:c>
      <x:c r="AA167" s="2"/>
      <x:c r="AB167" s="2"/>
      <x:c r="AC167" s="2"/>
      <x:c r="AD167" s="2"/>
      <x:c r="AE167" s="2"/>
      <x:c r="AF167" s="2"/>
      <x:c r="AG167" s="2"/>
      <x:c r="AH167" s="2"/>
      <x:c r="AI167" s="4"/>
      <x:c r="AJ167" s="2"/>
      <x:c r="AK167" s="2" t="s">
        <x:v>176</x:v>
      </x:c>
      <x:c r="AL167" s="2" t="s">
        <x:v>571</x:v>
      </x:c>
      <x:c r="AM167" s="2">
        <x:v>17</x:v>
      </x:c>
      <x:c r="AN167" s="2">
        <x:v>17</x:v>
      </x:c>
    </x:row>
    <x:row r="168" ht="39">
      <x:c r="A168" s="2" t="s">
        <x:v>6</x:v>
      </x:c>
      <x:c r="B168" s="2" t="s">
        <x:v>14</x:v>
      </x:c>
      <x:c r="C168" s="3">
        <x:v>16</x:v>
      </x:c>
      <x:c r="D168" s="2" t="s">
        <x:v>166</x:v>
      </x:c>
      <x:c r="E168" s="2" t="s">
        <x:v>997</x:v>
      </x:c>
      <x:c r="F168" s="2" t="s">
        <x:v>998</x:v>
      </x:c>
      <x:c r="G168" s="2"/>
      <x:c r="H168" s="2" t="s">
        <x:v>96</x:v>
      </x:c>
      <x:c r="I168" s="2" t="s">
        <x:v>999</x:v>
      </x:c>
      <x:c r="J168" s="2" t="s">
        <x:v>170</x:v>
      </x:c>
      <x:c r="K168" s="2"/>
      <x:c r="L168" s="2" t="s">
        <x:v>1000</x:v>
      </x:c>
      <x:c r="M168" s="2" t="s">
        <x:v>172</x:v>
      </x:c>
      <x:c r="N168" s="2">
        <x:v>1</x:v>
      </x:c>
      <x:c r="O168" s="2" t="s">
        <x:v>1001</x:v>
      </x:c>
      <x:c r="P168" s="2" t="s">
        <x:v>174</x:v>
      </x:c>
      <x:c r="Q168" s="2"/>
      <x:c r="R168" s="3"/>
      <x:c r="S168" s="3"/>
      <x:c r="T168" s="2"/>
      <x:c r="U168" s="2"/>
      <x:c r="V168" s="2"/>
      <x:c r="W168" s="2" t="s">
        <x:v>999</x:v>
      </x:c>
      <x:c r="X168" s="3">
        <x:v>0</x:v>
      </x:c>
      <x:c r="Y168" s="3">
        <x:v>1</x:v>
      </x:c>
      <x:c r="Z168" s="2" t="s">
        <x:v>175</x:v>
      </x:c>
      <x:c r="AA168" s="2"/>
      <x:c r="AB168" s="2"/>
      <x:c r="AC168" s="2"/>
      <x:c r="AD168" s="2"/>
      <x:c r="AE168" s="2"/>
      <x:c r="AF168" s="2"/>
      <x:c r="AG168" s="2"/>
      <x:c r="AH168" s="2"/>
      <x:c r="AI168" s="4"/>
      <x:c r="AJ168" s="2"/>
      <x:c r="AK168" s="2" t="s">
        <x:v>176</x:v>
      </x:c>
      <x:c r="AL168" s="2" t="s">
        <x:v>571</x:v>
      </x:c>
      <x:c r="AM168" s="2">
        <x:v>18</x:v>
      </x:c>
      <x:c r="AN168" s="2">
        <x:v>18</x:v>
      </x:c>
    </x:row>
    <x:row r="169" ht="39">
      <x:c r="A169" s="2" t="s">
        <x:v>91</x:v>
      </x:c>
      <x:c r="B169" s="2" t="s">
        <x:v>14</x:v>
      </x:c>
      <x:c r="C169" s="3">
        <x:v>17</x:v>
      </x:c>
      <x:c r="D169" s="2" t="s">
        <x:v>985</x:v>
      </x:c>
      <x:c r="E169" s="2" t="s">
        <x:v>978</x:v>
      </x:c>
      <x:c r="F169" s="2" t="s">
        <x:v>1002</x:v>
      </x:c>
      <x:c r="G169" s="2" t="s">
        <x:v>158</x:v>
      </x:c>
      <x:c r="H169" s="2" t="s">
        <x:v>96</x:v>
      </x:c>
      <x:c r="I169" s="2" t="s">
        <x:v>999</x:v>
      </x:c>
      <x:c r="J169" s="2" t="s">
        <x:v>181</x:v>
      </x:c>
      <x:c r="K169" s="2"/>
      <x:c r="L169" s="2" t="s">
        <x:v>1003</x:v>
      </x:c>
      <x:c r="M169" s="2" t="s">
        <x:v>172</x:v>
      </x:c>
      <x:c r="N169" s="2">
        <x:v>1</x:v>
      </x:c>
      <x:c r="O169" s="2" t="s">
        <x:v>1004</x:v>
      </x:c>
      <x:c r="P169" s="2" t="s">
        <x:v>174</x:v>
      </x:c>
      <x:c r="Q169" s="2"/>
      <x:c r="R169" s="3"/>
      <x:c r="S169" s="3"/>
      <x:c r="T169" s="2"/>
      <x:c r="U169" s="2"/>
      <x:c r="V169" s="2"/>
      <x:c r="W169" s="2" t="s">
        <x:v>999</x:v>
      </x:c>
      <x:c r="X169" s="3">
        <x:v>1</x:v>
      </x:c>
      <x:c r="Y169" s="3">
        <x:v>2</x:v>
      </x:c>
      <x:c r="Z169" s="2" t="s">
        <x:v>175</x:v>
      </x:c>
      <x:c r="AA169" s="2"/>
      <x:c r="AB169" s="2"/>
      <x:c r="AC169" s="2"/>
      <x:c r="AD169" s="2"/>
      <x:c r="AE169" s="2"/>
      <x:c r="AF169" s="2"/>
      <x:c r="AG169" s="2"/>
      <x:c r="AH169" s="2"/>
      <x:c r="AI169" s="4"/>
      <x:c r="AJ169" s="2"/>
      <x:c r="AK169" s="2" t="s">
        <x:v>176</x:v>
      </x:c>
      <x:c r="AL169" s="2" t="s">
        <x:v>571</x:v>
      </x:c>
      <x:c r="AM169" s="2">
        <x:v>19</x:v>
      </x:c>
      <x:c r="AN169" s="2">
        <x:v>19</x:v>
      </x:c>
    </x:row>
    <x:row r="170" ht="39">
      <x:c r="A170" s="2" t="s">
        <x:v>6</x:v>
      </x:c>
      <x:c r="B170" s="2" t="s">
        <x:v>14</x:v>
      </x:c>
      <x:c r="C170" s="3">
        <x:v>18</x:v>
      </x:c>
      <x:c r="D170" s="2" t="s">
        <x:v>184</x:v>
      </x:c>
      <x:c r="E170" s="2" t="s">
        <x:v>989</x:v>
      </x:c>
      <x:c r="F170" s="2" t="s">
        <x:v>186</x:v>
      </x:c>
      <x:c r="G170" s="2"/>
      <x:c r="H170" s="2" t="s">
        <x:v>96</x:v>
      </x:c>
      <x:c r="I170" s="2" t="s">
        <x:v>999</x:v>
      </x:c>
      <x:c r="J170" s="2" t="s">
        <x:v>188</x:v>
      </x:c>
      <x:c r="K170" s="2"/>
      <x:c r="L170" s="2" t="s">
        <x:v>1005</x:v>
      </x:c>
      <x:c r="M170" s="2" t="s">
        <x:v>172</x:v>
      </x:c>
      <x:c r="N170" s="2">
        <x:v>1</x:v>
      </x:c>
      <x:c r="O170" s="2" t="s">
        <x:v>1006</x:v>
      </x:c>
      <x:c r="P170" s="2" t="s">
        <x:v>174</x:v>
      </x:c>
      <x:c r="Q170" s="2"/>
      <x:c r="R170" s="3"/>
      <x:c r="S170" s="3"/>
      <x:c r="T170" s="2"/>
      <x:c r="U170" s="2"/>
      <x:c r="V170" s="2"/>
      <x:c r="W170" s="2" t="s">
        <x:v>999</x:v>
      </x:c>
      <x:c r="X170" s="3">
        <x:v>4</x:v>
      </x:c>
      <x:c r="Y170" s="3">
        <x:v>3</x:v>
      </x:c>
      <x:c r="Z170" s="2" t="s">
        <x:v>191</x:v>
      </x:c>
      <x:c r="AA170" s="2"/>
      <x:c r="AB170" s="2"/>
      <x:c r="AC170" s="2"/>
      <x:c r="AD170" s="2"/>
      <x:c r="AE170" s="2"/>
      <x:c r="AF170" s="2"/>
      <x:c r="AG170" s="2"/>
      <x:c r="AH170" s="2"/>
      <x:c r="AI170" s="4"/>
      <x:c r="AJ170" s="2"/>
      <x:c r="AK170" s="2" t="s">
        <x:v>176</x:v>
      </x:c>
      <x:c r="AL170" s="2" t="s">
        <x:v>571</x:v>
      </x:c>
      <x:c r="AM170" s="2">
        <x:v>20</x:v>
      </x:c>
      <x:c r="AN170" s="2">
        <x:v>20</x:v>
      </x:c>
    </x:row>
    <x:row r="171" ht="39">
      <x:c r="A171" s="2" t="s">
        <x:v>6</x:v>
      </x:c>
      <x:c r="B171" s="2" t="s">
        <x:v>14</x:v>
      </x:c>
      <x:c r="C171" s="3">
        <x:v>19</x:v>
      </x:c>
      <x:c r="D171" s="2" t="s">
        <x:v>977</x:v>
      </x:c>
      <x:c r="E171" s="2" t="s">
        <x:v>1007</x:v>
      </x:c>
      <x:c r="F171" s="2" t="s">
        <x:v>194</x:v>
      </x:c>
      <x:c r="G171" s="2"/>
      <x:c r="H171" s="2" t="s">
        <x:v>96</x:v>
      </x:c>
      <x:c r="I171" s="2" t="s">
        <x:v>999</x:v>
      </x:c>
      <x:c r="J171" s="2" t="s">
        <x:v>195</x:v>
      </x:c>
      <x:c r="K171" s="2"/>
      <x:c r="L171" s="2" t="s">
        <x:v>1008</x:v>
      </x:c>
      <x:c r="M171" s="2" t="s">
        <x:v>172</x:v>
      </x:c>
      <x:c r="N171" s="2">
        <x:v>1</x:v>
      </x:c>
      <x:c r="O171" s="2" t="s">
        <x:v>1009</x:v>
      </x:c>
      <x:c r="P171" s="2" t="s">
        <x:v>174</x:v>
      </x:c>
      <x:c r="Q171" s="2"/>
      <x:c r="R171" s="3"/>
      <x:c r="S171" s="3"/>
      <x:c r="T171" s="2"/>
      <x:c r="U171" s="2"/>
      <x:c r="V171" s="2"/>
      <x:c r="W171" s="2" t="s">
        <x:v>999</x:v>
      </x:c>
      <x:c r="X171" s="3">
        <x:v>1</x:v>
      </x:c>
      <x:c r="Y171" s="3">
        <x:v>0</x:v>
      </x:c>
      <x:c r="Z171" s="2" t="s">
        <x:v>191</x:v>
      </x:c>
      <x:c r="AA171" s="2"/>
      <x:c r="AB171" s="2"/>
      <x:c r="AC171" s="2"/>
      <x:c r="AD171" s="2"/>
      <x:c r="AE171" s="2"/>
      <x:c r="AF171" s="2"/>
      <x:c r="AG171" s="2"/>
      <x:c r="AH171" s="2"/>
      <x:c r="AI171" s="4"/>
      <x:c r="AJ171" s="2"/>
      <x:c r="AK171" s="2" t="s">
        <x:v>176</x:v>
      </x:c>
      <x:c r="AL171" s="2" t="s">
        <x:v>571</x:v>
      </x:c>
      <x:c r="AM171" s="2">
        <x:v>21</x:v>
      </x:c>
      <x:c r="AN171" s="2">
        <x:v>21</x:v>
      </x:c>
    </x:row>
    <x:row r="172" ht="39">
      <x:c r="A172" s="2" t="s">
        <x:v>91</x:v>
      </x:c>
      <x:c r="B172" s="2" t="s">
        <x:v>14</x:v>
      </x:c>
      <x:c r="C172" s="3">
        <x:v>20</x:v>
      </x:c>
      <x:c r="D172" s="2" t="s">
        <x:v>166</x:v>
      </x:c>
      <x:c r="E172" s="2" t="s">
        <x:v>1010</x:v>
      </x:c>
      <x:c r="F172" s="2" t="s">
        <x:v>1011</x:v>
      </x:c>
      <x:c r="G172" s="2" t="s">
        <x:v>158</x:v>
      </x:c>
      <x:c r="H172" s="2" t="s">
        <x:v>618</x:v>
      </x:c>
      <x:c r="I172" s="2" t="s">
        <x:v>1012</x:v>
      </x:c>
      <x:c r="J172" s="2" t="s">
        <x:v>1013</x:v>
      </x:c>
      <x:c r="K172" s="2"/>
      <x:c r="L172" s="2" t="s">
        <x:v>1014</x:v>
      </x:c>
      <x:c r="M172" s="2" t="s">
        <x:v>1015</x:v>
      </x:c>
      <x:c r="N172" s="2">
        <x:v>3</x:v>
      </x:c>
      <x:c r="O172" s="2" t="s">
        <x:v>1016</x:v>
      </x:c>
      <x:c r="P172" s="2" t="s">
        <x:v>1017</x:v>
      </x:c>
      <x:c r="Q172" s="2"/>
      <x:c r="R172" s="3"/>
      <x:c r="S172" s="3"/>
      <x:c r="T172" s="2"/>
      <x:c r="U172" s="2"/>
      <x:c r="V172" s="2"/>
      <x:c r="W172" s="2" t="s">
        <x:v>1018</x:v>
      </x:c>
      <x:c r="X172" s="3">
        <x:v>2</x:v>
      </x:c>
      <x:c r="Y172" s="3">
        <x:v>1</x:v>
      </x:c>
      <x:c r="Z172" s="2" t="s">
        <x:v>191</x:v>
      </x:c>
      <x:c r="AA172" s="2"/>
      <x:c r="AB172" s="2"/>
      <x:c r="AC172" s="2"/>
      <x:c r="AD172" s="2"/>
      <x:c r="AE172" s="2"/>
      <x:c r="AF172" s="2"/>
      <x:c r="AG172" s="2"/>
      <x:c r="AH172" s="2"/>
      <x:c r="AI172" s="4"/>
      <x:c r="AJ172" s="2"/>
      <x:c r="AK172" s="2" t="s">
        <x:v>176</x:v>
      </x:c>
      <x:c r="AL172" s="2" t="s">
        <x:v>571</x:v>
      </x:c>
      <x:c r="AM172" s="2">
        <x:v>22</x:v>
      </x:c>
      <x:c r="AN172" s="2">
        <x:v>22</x:v>
      </x:c>
    </x:row>
    <x:row r="173" ht="26">
      <x:c r="A173" s="2" t="s">
        <x:v>6</x:v>
      </x:c>
      <x:c r="B173" s="2" t="s">
        <x:v>14</x:v>
      </x:c>
      <x:c r="C173" s="3">
        <x:v>21</x:v>
      </x:c>
      <x:c r="D173" s="2" t="s">
        <x:v>1019</x:v>
      </x:c>
      <x:c r="E173" s="2" t="s">
        <x:v>1010</x:v>
      </x:c>
      <x:c r="F173" s="2" t="s">
        <x:v>1020</x:v>
      </x:c>
      <x:c r="G173" s="2"/>
      <x:c r="H173" s="2" t="s">
        <x:v>627</x:v>
      </x:c>
      <x:c r="I173" s="2" t="s">
        <x:v>1012</x:v>
      </x:c>
      <x:c r="J173" s="2" t="s">
        <x:v>1021</x:v>
      </x:c>
      <x:c r="K173" s="2" t="n">
        <x:v>20</x:v>
      </x:c>
      <x:c r="L173" s="2" t="s">
        <x:v>1022</x:v>
      </x:c>
      <x:c r="M173" s="2" t="s">
        <x:v>1023</x:v>
      </x:c>
      <x:c r="N173" s="2">
        <x:v>3</x:v>
      </x:c>
      <x:c r="O173" s="2" t="s">
        <x:v>1024</x:v>
      </x:c>
      <x:c r="P173" s="2" t="s">
        <x:v>1025</x:v>
      </x:c>
      <x:c r="Q173" s="2"/>
      <x:c r="R173" s="3"/>
      <x:c r="S173" s="3"/>
      <x:c r="T173" s="2"/>
      <x:c r="U173" s="2"/>
      <x:c r="V173" s="2"/>
      <x:c r="W173" s="2" t="s">
        <x:v>1018</x:v>
      </x:c>
      <x:c r="X173" s="3">
        <x:v>2</x:v>
      </x:c>
      <x:c r="Y173" s="3">
        <x:v>1</x:v>
      </x:c>
      <x:c r="Z173" s="2" t="s">
        <x:v>191</x:v>
      </x:c>
      <x:c r="AA173" s="2"/>
      <x:c r="AB173" s="2"/>
      <x:c r="AC173" s="2"/>
      <x:c r="AD173" s="2"/>
      <x:c r="AE173" s="2"/>
      <x:c r="AF173" s="2"/>
      <x:c r="AG173" s="2"/>
      <x:c r="AH173" s="2"/>
      <x:c r="AI173" s="4"/>
      <x:c r="AJ173" s="2"/>
      <x:c r="AK173" s="2" t="s">
        <x:v>176</x:v>
      </x:c>
      <x:c r="AL173" s="2" t="s">
        <x:v>571</x:v>
      </x:c>
      <x:c r="AM173" s="2">
        <x:v>23</x:v>
      </x:c>
      <x:c r="AN173" s="2">
        <x:v>23</x:v>
      </x:c>
    </x:row>
    <x:row r="174" ht="26">
      <x:c r="A174" s="2" t="s">
        <x:v>6</x:v>
      </x:c>
      <x:c r="B174" s="2" t="s">
        <x:v>14</x:v>
      </x:c>
      <x:c r="C174" s="3">
        <x:v>22</x:v>
      </x:c>
      <x:c r="D174" s="2" t="s">
        <x:v>1026</x:v>
      </x:c>
      <x:c r="E174" s="2" t="s">
        <x:v>1010</x:v>
      </x:c>
      <x:c r="F174" s="2" t="s">
        <x:v>1027</x:v>
      </x:c>
      <x:c r="G174" s="2"/>
      <x:c r="H174" s="2" t="s">
        <x:v>627</x:v>
      </x:c>
      <x:c r="I174" s="2" t="s">
        <x:v>1012</x:v>
      </x:c>
      <x:c r="J174" s="2" t="s">
        <x:v>1028</x:v>
      </x:c>
      <x:c r="K174" s="2"/>
      <x:c r="L174" s="2" t="s">
        <x:v>1029</x:v>
      </x:c>
      <x:c r="M174" s="2" t="s">
        <x:v>1023</x:v>
      </x:c>
      <x:c r="N174" s="2">
        <x:v>3</x:v>
      </x:c>
      <x:c r="O174" s="2" t="s">
        <x:v>1024</x:v>
      </x:c>
      <x:c r="P174" s="2" t="s">
        <x:v>1025</x:v>
      </x:c>
      <x:c r="Q174" s="2"/>
      <x:c r="R174" s="3"/>
      <x:c r="S174" s="3"/>
      <x:c r="T174" s="2"/>
      <x:c r="U174" s="2"/>
      <x:c r="V174" s="2"/>
      <x:c r="W174" s="2" t="s">
        <x:v>1030</x:v>
      </x:c>
      <x:c r="X174" s="3">
        <x:v>2</x:v>
      </x:c>
      <x:c r="Y174" s="3">
        <x:v>3</x:v>
      </x:c>
      <x:c r="Z174" s="2" t="s">
        <x:v>175</x:v>
      </x:c>
      <x:c r="AA174" s="2"/>
      <x:c r="AB174" s="2"/>
      <x:c r="AC174" s="2"/>
      <x:c r="AD174" s="2"/>
      <x:c r="AE174" s="2"/>
      <x:c r="AF174" s="2"/>
      <x:c r="AG174" s="2"/>
      <x:c r="AH174" s="2"/>
      <x:c r="AI174" s="4"/>
      <x:c r="AJ174" s="2"/>
      <x:c r="AK174" s="2" t="s">
        <x:v>176</x:v>
      </x:c>
      <x:c r="AL174" s="2" t="s">
        <x:v>571</x:v>
      </x:c>
      <x:c r="AM174" s="2">
        <x:v>24</x:v>
      </x:c>
      <x:c r="AN174" s="2">
        <x:v>24</x:v>
      </x:c>
    </x:row>
    <x:row r="175" ht="39">
      <x:c r="A175" s="2" t="s">
        <x:v>91</x:v>
      </x:c>
      <x:c r="B175" s="2" t="s">
        <x:v>14</x:v>
      </x:c>
      <x:c r="C175" s="3">
        <x:v>23</x:v>
      </x:c>
      <x:c r="D175" s="2" t="s">
        <x:v>184</x:v>
      </x:c>
      <x:c r="E175" s="2" t="s">
        <x:v>1010</x:v>
      </x:c>
      <x:c r="F175" s="2" t="s">
        <x:v>1031</x:v>
      </x:c>
      <x:c r="G175" s="2" t="s">
        <x:v>158</x:v>
      </x:c>
      <x:c r="H175" s="2" t="s">
        <x:v>618</x:v>
      </x:c>
      <x:c r="I175" s="2" t="s">
        <x:v>1012</x:v>
      </x:c>
      <x:c r="J175" s="2" t="s">
        <x:v>1032</x:v>
      </x:c>
      <x:c r="K175" s="2" t="n">
        <x:v>22</x:v>
      </x:c>
      <x:c r="L175" s="2" t="s">
        <x:v>1033</x:v>
      </x:c>
      <x:c r="M175" s="2" t="s">
        <x:v>1034</x:v>
      </x:c>
      <x:c r="N175" s="2">
        <x:v>3</x:v>
      </x:c>
      <x:c r="O175" s="2" t="s">
        <x:v>1024</x:v>
      </x:c>
      <x:c r="P175" s="2" t="s">
        <x:v>1035</x:v>
      </x:c>
      <x:c r="Q175" s="2"/>
      <x:c r="R175" s="3"/>
      <x:c r="S175" s="3"/>
      <x:c r="T175" s="2"/>
      <x:c r="U175" s="2"/>
      <x:c r="V175" s="2"/>
      <x:c r="W175" s="2" t="s">
        <x:v>1030</x:v>
      </x:c>
      <x:c r="X175" s="3">
        <x:v>2</x:v>
      </x:c>
      <x:c r="Y175" s="3">
        <x:v>3</x:v>
      </x:c>
      <x:c r="Z175" s="2" t="s">
        <x:v>175</x:v>
      </x:c>
      <x:c r="AA175" s="2"/>
      <x:c r="AB175" s="2"/>
      <x:c r="AC175" s="2"/>
      <x:c r="AD175" s="2"/>
      <x:c r="AE175" s="2"/>
      <x:c r="AF175" s="2"/>
      <x:c r="AG175" s="2"/>
      <x:c r="AH175" s="2"/>
      <x:c r="AI175" s="4"/>
      <x:c r="AJ175" s="2"/>
      <x:c r="AK175" s="2" t="s">
        <x:v>176</x:v>
      </x:c>
      <x:c r="AL175" s="2" t="s">
        <x:v>571</x:v>
      </x:c>
      <x:c r="AM175" s="2">
        <x:v>25</x:v>
      </x:c>
      <x:c r="AN175" s="2">
        <x:v>25</x:v>
      </x:c>
    </x:row>
    <x:row r="176" ht="39">
      <x:c r="A176" s="2" t="s">
        <x:v>91</x:v>
      </x:c>
      <x:c r="B176" s="2" t="s">
        <x:v>14</x:v>
      </x:c>
      <x:c r="C176" s="3">
        <x:v>24</x:v>
      </x:c>
      <x:c r="D176" s="2" t="s">
        <x:v>184</x:v>
      </x:c>
      <x:c r="E176" s="2" t="s">
        <x:v>1036</x:v>
      </x:c>
      <x:c r="F176" s="2" t="s">
        <x:v>1031</x:v>
      </x:c>
      <x:c r="G176" s="2" t="s">
        <x:v>158</x:v>
      </x:c>
      <x:c r="H176" s="2" t="s">
        <x:v>618</x:v>
      </x:c>
      <x:c r="I176" s="2" t="s">
        <x:v>1037</x:v>
      </x:c>
      <x:c r="J176" s="2" t="s">
        <x:v>1032</x:v>
      </x:c>
      <x:c r="K176" s="2"/>
      <x:c r="L176" s="2" t="s">
        <x:v>1038</x:v>
      </x:c>
      <x:c r="M176" s="2" t="s">
        <x:v>1015</x:v>
      </x:c>
      <x:c r="N176" s="2">
        <x:v>4</x:v>
      </x:c>
      <x:c r="O176" s="2" t="s">
        <x:v>1024</x:v>
      </x:c>
      <x:c r="P176" s="2" t="s">
        <x:v>1035</x:v>
      </x:c>
      <x:c r="Q176" s="2"/>
      <x:c r="R176" s="3"/>
      <x:c r="S176" s="3"/>
      <x:c r="T176" s="2"/>
      <x:c r="U176" s="2"/>
      <x:c r="V176" s="2"/>
      <x:c r="W176" s="2" t="s">
        <x:v>1039</x:v>
      </x:c>
      <x:c r="X176" s="3">
        <x:v>2</x:v>
      </x:c>
      <x:c r="Y176" s="3">
        <x:v>3</x:v>
      </x:c>
      <x:c r="Z176" s="2" t="s">
        <x:v>175</x:v>
      </x:c>
      <x:c r="AA176" s="2"/>
      <x:c r="AB176" s="2"/>
      <x:c r="AC176" s="2"/>
      <x:c r="AD176" s="2"/>
      <x:c r="AE176" s="2"/>
      <x:c r="AF176" s="2"/>
      <x:c r="AG176" s="2"/>
      <x:c r="AH176" s="2"/>
      <x:c r="AI176" s="4"/>
      <x:c r="AJ176" s="2"/>
      <x:c r="AK176" s="2" t="s">
        <x:v>176</x:v>
      </x:c>
      <x:c r="AL176" s="2" t="s">
        <x:v>571</x:v>
      </x:c>
      <x:c r="AM176" s="2">
        <x:v>26</x:v>
      </x:c>
      <x:c r="AN176" s="2">
        <x:v>26</x:v>
      </x:c>
    </x:row>
    <x:row r="177" ht="39">
      <x:c r="A177" s="2" t="s">
        <x:v>91</x:v>
      </x:c>
      <x:c r="B177" s="2" t="s">
        <x:v>14</x:v>
      </x:c>
      <x:c r="C177" s="3">
        <x:v>25</x:v>
      </x:c>
      <x:c r="D177" s="2" t="s">
        <x:v>166</x:v>
      </x:c>
      <x:c r="E177" s="2" t="s">
        <x:v>1036</x:v>
      </x:c>
      <x:c r="F177" s="2" t="s">
        <x:v>1011</x:v>
      </x:c>
      <x:c r="G177" s="2" t="s">
        <x:v>158</x:v>
      </x:c>
      <x:c r="H177" s="2" t="s">
        <x:v>618</x:v>
      </x:c>
      <x:c r="I177" s="2" t="s">
        <x:v>1037</x:v>
      </x:c>
      <x:c r="J177" s="2" t="s">
        <x:v>1013</x:v>
      </x:c>
      <x:c r="K177" s="2" t="n">
        <x:v>24</x:v>
      </x:c>
      <x:c r="L177" s="2" t="s">
        <x:v>1040</x:v>
      </x:c>
      <x:c r="M177" s="2" t="s">
        <x:v>1041</x:v>
      </x:c>
      <x:c r="N177" s="2">
        <x:v>4</x:v>
      </x:c>
      <x:c r="O177" s="2" t="s">
        <x:v>1016</x:v>
      </x:c>
      <x:c r="P177" s="2" t="s">
        <x:v>1017</x:v>
      </x:c>
      <x:c r="Q177" s="2"/>
      <x:c r="R177" s="3"/>
      <x:c r="S177" s="3"/>
      <x:c r="T177" s="2"/>
      <x:c r="U177" s="2"/>
      <x:c r="V177" s="2"/>
      <x:c r="W177" s="2" t="s">
        <x:v>1042</x:v>
      </x:c>
      <x:c r="X177" s="3">
        <x:v>2</x:v>
      </x:c>
      <x:c r="Y177" s="3">
        <x:v>1</x:v>
      </x:c>
      <x:c r="Z177" s="2" t="s">
        <x:v>191</x:v>
      </x:c>
      <x:c r="AA177" s="2"/>
      <x:c r="AB177" s="2"/>
      <x:c r="AC177" s="2"/>
      <x:c r="AD177" s="2"/>
      <x:c r="AE177" s="2"/>
      <x:c r="AF177" s="2"/>
      <x:c r="AG177" s="2"/>
      <x:c r="AH177" s="2"/>
      <x:c r="AI177" s="4"/>
      <x:c r="AJ177" s="2"/>
      <x:c r="AK177" s="2" t="s">
        <x:v>176</x:v>
      </x:c>
      <x:c r="AL177" s="2" t="s">
        <x:v>571</x:v>
      </x:c>
      <x:c r="AM177" s="2">
        <x:v>27</x:v>
      </x:c>
      <x:c r="AN177" s="2">
        <x:v>27</x:v>
      </x:c>
    </x:row>
    <x:row r="178" ht="39">
      <x:c r="A178" s="2" t="s">
        <x:v>91</x:v>
      </x:c>
      <x:c r="B178" s="2" t="s">
        <x:v>14</x:v>
      </x:c>
      <x:c r="C178" s="3">
        <x:v>26</x:v>
      </x:c>
      <x:c r="D178" s="2" t="s">
        <x:v>166</x:v>
      </x:c>
      <x:c r="E178" s="2" t="s">
        <x:v>1043</x:v>
      </x:c>
      <x:c r="F178" s="2" t="s">
        <x:v>1011</x:v>
      </x:c>
      <x:c r="G178" s="2" t="s">
        <x:v>158</x:v>
      </x:c>
      <x:c r="H178" s="2" t="s">
        <x:v>618</x:v>
      </x:c>
      <x:c r="I178" s="2" t="s">
        <x:v>1044</x:v>
      </x:c>
      <x:c r="J178" s="2" t="s">
        <x:v>1013</x:v>
      </x:c>
      <x:c r="K178" s="2"/>
      <x:c r="L178" s="2" t="s">
        <x:v>1014</x:v>
      </x:c>
      <x:c r="M178" s="2" t="s">
        <x:v>1015</x:v>
      </x:c>
      <x:c r="N178" s="2">
        <x:v>2</x:v>
      </x:c>
      <x:c r="O178" s="2" t="s">
        <x:v>1016</x:v>
      </x:c>
      <x:c r="P178" s="2" t="s">
        <x:v>1017</x:v>
      </x:c>
      <x:c r="Q178" s="2"/>
      <x:c r="R178" s="3"/>
      <x:c r="S178" s="3"/>
      <x:c r="T178" s="2"/>
      <x:c r="U178" s="2"/>
      <x:c r="V178" s="2"/>
      <x:c r="W178" s="2" t="s">
        <x:v>1045</x:v>
      </x:c>
      <x:c r="X178" s="3">
        <x:v>2</x:v>
      </x:c>
      <x:c r="Y178" s="3">
        <x:v>1</x:v>
      </x:c>
      <x:c r="Z178" s="2" t="s">
        <x:v>191</x:v>
      </x:c>
      <x:c r="AA178" s="2"/>
      <x:c r="AB178" s="2"/>
      <x:c r="AC178" s="2"/>
      <x:c r="AD178" s="2"/>
      <x:c r="AE178" s="2"/>
      <x:c r="AF178" s="2"/>
      <x:c r="AG178" s="2"/>
      <x:c r="AH178" s="2"/>
      <x:c r="AI178" s="4"/>
      <x:c r="AJ178" s="2"/>
      <x:c r="AK178" s="2" t="s">
        <x:v>176</x:v>
      </x:c>
      <x:c r="AL178" s="2" t="s">
        <x:v>571</x:v>
      </x:c>
      <x:c r="AM178" s="2">
        <x:v>28</x:v>
      </x:c>
      <x:c r="AN178" s="2">
        <x:v>28</x:v>
      </x:c>
    </x:row>
    <x:row r="179" ht="26">
      <x:c r="A179" s="2" t="s">
        <x:v>91</x:v>
      </x:c>
      <x:c r="B179" s="2" t="s">
        <x:v>14</x:v>
      </x:c>
      <x:c r="C179" s="3">
        <x:v>27</x:v>
      </x:c>
      <x:c r="D179" s="2" t="s">
        <x:v>1046</x:v>
      </x:c>
      <x:c r="E179" s="2" t="s">
        <x:v>1043</x:v>
      </x:c>
      <x:c r="F179" s="2" t="s">
        <x:v>1047</x:v>
      </x:c>
      <x:c r="G179" s="2" t="s">
        <x:v>1048</x:v>
      </x:c>
      <x:c r="H179" s="2" t="s">
        <x:v>627</x:v>
      </x:c>
      <x:c r="I179" s="2" t="s">
        <x:v>1044</x:v>
      </x:c>
      <x:c r="J179" s="2" t="s">
        <x:v>1021</x:v>
      </x:c>
      <x:c r="K179" s="2" t="n">
        <x:v>26</x:v>
      </x:c>
      <x:c r="L179" s="2" t="s">
        <x:v>1049</x:v>
      </x:c>
      <x:c r="M179" s="2" t="s">
        <x:v>1023</x:v>
      </x:c>
      <x:c r="N179" s="2">
        <x:v>2</x:v>
      </x:c>
      <x:c r="O179" s="2" t="s">
        <x:v>1024</x:v>
      </x:c>
      <x:c r="P179" s="2" t="s">
        <x:v>1025</x:v>
      </x:c>
      <x:c r="Q179" s="2"/>
      <x:c r="R179" s="3"/>
      <x:c r="S179" s="3"/>
      <x:c r="T179" s="2"/>
      <x:c r="U179" s="2"/>
      <x:c r="V179" s="2"/>
      <x:c r="W179" s="2" t="s">
        <x:v>1045</x:v>
      </x:c>
      <x:c r="X179" s="3">
        <x:v>2</x:v>
      </x:c>
      <x:c r="Y179" s="3">
        <x:v>1</x:v>
      </x:c>
      <x:c r="Z179" s="2" t="s">
        <x:v>191</x:v>
      </x:c>
      <x:c r="AA179" s="2"/>
      <x:c r="AB179" s="2"/>
      <x:c r="AC179" s="2"/>
      <x:c r="AD179" s="2"/>
      <x:c r="AE179" s="2"/>
      <x:c r="AF179" s="2"/>
      <x:c r="AG179" s="2"/>
      <x:c r="AH179" s="2"/>
      <x:c r="AI179" s="4"/>
      <x:c r="AJ179" s="2"/>
      <x:c r="AK179" s="2" t="s">
        <x:v>176</x:v>
      </x:c>
      <x:c r="AL179" s="2" t="s">
        <x:v>571</x:v>
      </x:c>
      <x:c r="AM179" s="2">
        <x:v>29</x:v>
      </x:c>
      <x:c r="AN179" s="2">
        <x:v>29</x:v>
      </x:c>
    </x:row>
    <x:row r="180" ht="52">
      <x:c r="A180" s="2" t="s">
        <x:v>91</x:v>
      </x:c>
      <x:c r="B180" s="2" t="s">
        <x:v>14</x:v>
      </x:c>
      <x:c r="C180" s="3">
        <x:v>28</x:v>
      </x:c>
      <x:c r="D180" s="2" t="s">
        <x:v>1050</x:v>
      </x:c>
      <x:c r="E180" s="2" t="s">
        <x:v>1043</x:v>
      </x:c>
      <x:c r="F180" s="2" t="s">
        <x:v>1011</x:v>
      </x:c>
      <x:c r="G180" s="2" t="s">
        <x:v>158</x:v>
      </x:c>
      <x:c r="H180" s="2" t="s">
        <x:v>634</x:v>
      </x:c>
      <x:c r="I180" s="2" t="s">
        <x:v>1044</x:v>
      </x:c>
      <x:c r="J180" s="2" t="s">
        <x:v>1051</x:v>
      </x:c>
      <x:c r="K180" s="2" t="n">
        <x:v>26</x:v>
      </x:c>
      <x:c r="L180" s="2" t="s">
        <x:v>1014</x:v>
      </x:c>
      <x:c r="M180" s="2" t="s">
        <x:v>1052</x:v>
      </x:c>
      <x:c r="N180" s="2">
        <x:v>2</x:v>
      </x:c>
      <x:c r="O180" s="2" t="s">
        <x:v>1016</x:v>
      </x:c>
      <x:c r="P180" s="2" t="s">
        <x:v>1053</x:v>
      </x:c>
      <x:c r="Q180" s="2"/>
      <x:c r="R180" s="3"/>
      <x:c r="S180" s="3"/>
      <x:c r="T180" s="2"/>
      <x:c r="U180" s="2"/>
      <x:c r="V180" s="2"/>
      <x:c r="W180" s="2" t="s">
        <x:v>1045</x:v>
      </x:c>
      <x:c r="X180" s="3">
        <x:v>2</x:v>
      </x:c>
      <x:c r="Y180" s="3">
        <x:v>1</x:v>
      </x:c>
      <x:c r="Z180" s="2" t="s">
        <x:v>191</x:v>
      </x:c>
      <x:c r="AA180" s="2"/>
      <x:c r="AB180" s="2"/>
      <x:c r="AC180" s="2"/>
      <x:c r="AD180" s="2"/>
      <x:c r="AE180" s="2"/>
      <x:c r="AF180" s="2"/>
      <x:c r="AG180" s="2"/>
      <x:c r="AH180" s="2"/>
      <x:c r="AI180" s="4"/>
      <x:c r="AJ180" s="2"/>
      <x:c r="AK180" s="2" t="s">
        <x:v>176</x:v>
      </x:c>
      <x:c r="AL180" s="2" t="s">
        <x:v>571</x:v>
      </x:c>
      <x:c r="AM180" s="2">
        <x:v>30</x:v>
      </x:c>
      <x:c r="AN180" s="2">
        <x:v>30</x:v>
      </x:c>
    </x:row>
    <x:row r="181" ht="26">
      <x:c r="A181" s="2" t="s">
        <x:v>91</x:v>
      </x:c>
      <x:c r="B181" s="2" t="s">
        <x:v>14</x:v>
      </x:c>
      <x:c r="C181" s="3">
        <x:v>29</x:v>
      </x:c>
      <x:c r="D181" s="2" t="s">
        <x:v>1054</x:v>
      </x:c>
      <x:c r="E181" s="2" t="s">
        <x:v>1043</x:v>
      </x:c>
      <x:c r="F181" s="2" t="s">
        <x:v>1047</x:v>
      </x:c>
      <x:c r="G181" s="2" t="s">
        <x:v>1048</x:v>
      </x:c>
      <x:c r="H181" s="2" t="s">
        <x:v>634</x:v>
      </x:c>
      <x:c r="I181" s="2" t="s">
        <x:v>1044</x:v>
      </x:c>
      <x:c r="J181" s="2" t="s">
        <x:v>1055</x:v>
      </x:c>
      <x:c r="K181" s="2" t="n">
        <x:v>26</x:v>
      </x:c>
      <x:c r="L181" s="2" t="s">
        <x:v>1049</x:v>
      </x:c>
      <x:c r="M181" s="2" t="s">
        <x:v>1056</x:v>
      </x:c>
      <x:c r="N181" s="2">
        <x:v>2</x:v>
      </x:c>
      <x:c r="O181" s="2" t="s">
        <x:v>1024</x:v>
      </x:c>
      <x:c r="P181" s="2" t="s">
        <x:v>1057</x:v>
      </x:c>
      <x:c r="Q181" s="2"/>
      <x:c r="R181" s="3"/>
      <x:c r="S181" s="3"/>
      <x:c r="T181" s="2"/>
      <x:c r="U181" s="2"/>
      <x:c r="V181" s="2"/>
      <x:c r="W181" s="2" t="s">
        <x:v>1045</x:v>
      </x:c>
      <x:c r="X181" s="3">
        <x:v>2</x:v>
      </x:c>
      <x:c r="Y181" s="3">
        <x:v>1</x:v>
      </x:c>
      <x:c r="Z181" s="2" t="s">
        <x:v>191</x:v>
      </x:c>
      <x:c r="AA181" s="2"/>
      <x:c r="AB181" s="2"/>
      <x:c r="AC181" s="2"/>
      <x:c r="AD181" s="2"/>
      <x:c r="AE181" s="2"/>
      <x:c r="AF181" s="2"/>
      <x:c r="AG181" s="2"/>
      <x:c r="AH181" s="2"/>
      <x:c r="AI181" s="4"/>
      <x:c r="AJ181" s="2"/>
      <x:c r="AK181" s="2" t="s">
        <x:v>176</x:v>
      </x:c>
      <x:c r="AL181" s="2" t="s">
        <x:v>571</x:v>
      </x:c>
      <x:c r="AM181" s="2">
        <x:v>31</x:v>
      </x:c>
      <x:c r="AN181" s="2">
        <x:v>31</x:v>
      </x:c>
    </x:row>
    <x:row r="182" ht="26">
      <x:c r="A182" s="2" t="s">
        <x:v>6</x:v>
      </x:c>
      <x:c r="B182" s="2" t="s">
        <x:v>14</x:v>
      </x:c>
      <x:c r="C182" s="3">
        <x:v>30</x:v>
      </x:c>
      <x:c r="D182" s="2" t="s">
        <x:v>1026</x:v>
      </x:c>
      <x:c r="E182" s="2" t="s">
        <x:v>1043</x:v>
      </x:c>
      <x:c r="F182" s="2" t="s">
        <x:v>1027</x:v>
      </x:c>
      <x:c r="G182" s="2"/>
      <x:c r="H182" s="2" t="s">
        <x:v>627</x:v>
      </x:c>
      <x:c r="I182" s="2" t="s">
        <x:v>1044</x:v>
      </x:c>
      <x:c r="J182" s="2" t="s">
        <x:v>1028</x:v>
      </x:c>
      <x:c r="K182" s="2"/>
      <x:c r="L182" s="2" t="s">
        <x:v>1029</x:v>
      </x:c>
      <x:c r="M182" s="2" t="s">
        <x:v>1023</x:v>
      </x:c>
      <x:c r="N182" s="2">
        <x:v>2</x:v>
      </x:c>
      <x:c r="O182" s="2" t="s">
        <x:v>1024</x:v>
      </x:c>
      <x:c r="P182" s="2" t="s">
        <x:v>1025</x:v>
      </x:c>
      <x:c r="Q182" s="2"/>
      <x:c r="R182" s="3"/>
      <x:c r="S182" s="3"/>
      <x:c r="T182" s="2"/>
      <x:c r="U182" s="2"/>
      <x:c r="V182" s="2"/>
      <x:c r="W182" s="2" t="s">
        <x:v>1058</x:v>
      </x:c>
      <x:c r="X182" s="3">
        <x:v>2</x:v>
      </x:c>
      <x:c r="Y182" s="3">
        <x:v>3</x:v>
      </x:c>
      <x:c r="Z182" s="2" t="s">
        <x:v>175</x:v>
      </x:c>
      <x:c r="AA182" s="2"/>
      <x:c r="AB182" s="2"/>
      <x:c r="AC182" s="2"/>
      <x:c r="AD182" s="2"/>
      <x:c r="AE182" s="2"/>
      <x:c r="AF182" s="2"/>
      <x:c r="AG182" s="2"/>
      <x:c r="AH182" s="2"/>
      <x:c r="AI182" s="4"/>
      <x:c r="AJ182" s="2"/>
      <x:c r="AK182" s="2" t="s">
        <x:v>176</x:v>
      </x:c>
      <x:c r="AL182" s="2" t="s">
        <x:v>571</x:v>
      </x:c>
      <x:c r="AM182" s="2">
        <x:v>32</x:v>
      </x:c>
      <x:c r="AN182" s="2">
        <x:v>32</x:v>
      </x:c>
    </x:row>
    <x:row r="183" ht="39">
      <x:c r="A183" s="2" t="s">
        <x:v>91</x:v>
      </x:c>
      <x:c r="B183" s="2" t="s">
        <x:v>14</x:v>
      </x:c>
      <x:c r="C183" s="3">
        <x:v>31</x:v>
      </x:c>
      <x:c r="D183" s="2" t="s">
        <x:v>184</x:v>
      </x:c>
      <x:c r="E183" s="2" t="s">
        <x:v>1043</x:v>
      </x:c>
      <x:c r="F183" s="2" t="s">
        <x:v>1031</x:v>
      </x:c>
      <x:c r="G183" s="2" t="s">
        <x:v>158</x:v>
      </x:c>
      <x:c r="H183" s="2" t="s">
        <x:v>618</x:v>
      </x:c>
      <x:c r="I183" s="2" t="s">
        <x:v>1044</x:v>
      </x:c>
      <x:c r="J183" s="2" t="s">
        <x:v>1032</x:v>
      </x:c>
      <x:c r="K183" s="2" t="n">
        <x:v>30</x:v>
      </x:c>
      <x:c r="L183" s="2" t="s">
        <x:v>1033</x:v>
      </x:c>
      <x:c r="M183" s="2" t="s">
        <x:v>1034</x:v>
      </x:c>
      <x:c r="N183" s="2">
        <x:v>2</x:v>
      </x:c>
      <x:c r="O183" s="2" t="s">
        <x:v>1024</x:v>
      </x:c>
      <x:c r="P183" s="2" t="s">
        <x:v>1035</x:v>
      </x:c>
      <x:c r="Q183" s="2"/>
      <x:c r="R183" s="3"/>
      <x:c r="S183" s="3"/>
      <x:c r="T183" s="2"/>
      <x:c r="U183" s="2"/>
      <x:c r="V183" s="2"/>
      <x:c r="W183" s="2" t="s">
        <x:v>1058</x:v>
      </x:c>
      <x:c r="X183" s="3">
        <x:v>2</x:v>
      </x:c>
      <x:c r="Y183" s="3">
        <x:v>3</x:v>
      </x:c>
      <x:c r="Z183" s="2" t="s">
        <x:v>175</x:v>
      </x:c>
      <x:c r="AA183" s="2"/>
      <x:c r="AB183" s="2"/>
      <x:c r="AC183" s="2"/>
      <x:c r="AD183" s="2"/>
      <x:c r="AE183" s="2"/>
      <x:c r="AF183" s="2"/>
      <x:c r="AG183" s="2"/>
      <x:c r="AH183" s="2"/>
      <x:c r="AI183" s="4"/>
      <x:c r="AJ183" s="2"/>
      <x:c r="AK183" s="2" t="s">
        <x:v>176</x:v>
      </x:c>
      <x:c r="AL183" s="2" t="s">
        <x:v>571</x:v>
      </x:c>
      <x:c r="AM183" s="2">
        <x:v>33</x:v>
      </x:c>
      <x:c r="AN183" s="2">
        <x:v>33</x:v>
      </x:c>
    </x:row>
    <x:row r="184" ht="26">
      <x:c r="A184" s="2" t="s">
        <x:v>91</x:v>
      </x:c>
      <x:c r="B184" s="2" t="s">
        <x:v>14</x:v>
      </x:c>
      <x:c r="C184" s="3">
        <x:v>32</x:v>
      </x:c>
      <x:c r="D184" s="2" t="s">
        <x:v>1059</x:v>
      </x:c>
      <x:c r="E184" s="2" t="s">
        <x:v>1043</x:v>
      </x:c>
      <x:c r="F184" s="2" t="s">
        <x:v>1027</x:v>
      </x:c>
      <x:c r="G184" s="2" t="s">
        <x:v>158</x:v>
      </x:c>
      <x:c r="H184" s="2" t="s">
        <x:v>634</x:v>
      </x:c>
      <x:c r="I184" s="2" t="s">
        <x:v>1044</x:v>
      </x:c>
      <x:c r="J184" s="2" t="s">
        <x:v>1060</x:v>
      </x:c>
      <x:c r="K184" s="2" t="n">
        <x:v>30</x:v>
      </x:c>
      <x:c r="L184" s="2" t="s">
        <x:v>1029</x:v>
      </x:c>
      <x:c r="M184" s="2" t="s">
        <x:v>1056</x:v>
      </x:c>
      <x:c r="N184" s="2">
        <x:v>2</x:v>
      </x:c>
      <x:c r="O184" s="2" t="s">
        <x:v>1024</x:v>
      </x:c>
      <x:c r="P184" s="2" t="s">
        <x:v>1057</x:v>
      </x:c>
      <x:c r="Q184" s="2"/>
      <x:c r="R184" s="3"/>
      <x:c r="S184" s="3"/>
      <x:c r="T184" s="2"/>
      <x:c r="U184" s="2"/>
      <x:c r="V184" s="2"/>
      <x:c r="W184" s="2" t="s">
        <x:v>1058</x:v>
      </x:c>
      <x:c r="X184" s="3">
        <x:v>2</x:v>
      </x:c>
      <x:c r="Y184" s="3">
        <x:v>3</x:v>
      </x:c>
      <x:c r="Z184" s="2" t="s">
        <x:v>175</x:v>
      </x:c>
      <x:c r="AA184" s="2"/>
      <x:c r="AB184" s="2"/>
      <x:c r="AC184" s="2"/>
      <x:c r="AD184" s="2"/>
      <x:c r="AE184" s="2"/>
      <x:c r="AF184" s="2"/>
      <x:c r="AG184" s="2"/>
      <x:c r="AH184" s="2"/>
      <x:c r="AI184" s="4"/>
      <x:c r="AJ184" s="2"/>
      <x:c r="AK184" s="2" t="s">
        <x:v>176</x:v>
      </x:c>
      <x:c r="AL184" s="2" t="s">
        <x:v>571</x:v>
      </x:c>
      <x:c r="AM184" s="2">
        <x:v>34</x:v>
      </x:c>
      <x:c r="AN184" s="2">
        <x:v>34</x:v>
      </x:c>
    </x:row>
    <x:row r="185" ht="52">
      <x:c r="A185" s="2" t="s">
        <x:v>91</x:v>
      </x:c>
      <x:c r="B185" s="2" t="s">
        <x:v>14</x:v>
      </x:c>
      <x:c r="C185" s="3">
        <x:v>33</x:v>
      </x:c>
      <x:c r="D185" s="2" t="s">
        <x:v>1061</x:v>
      </x:c>
      <x:c r="E185" s="2" t="s">
        <x:v>1043</x:v>
      </x:c>
      <x:c r="F185" s="2" t="s">
        <x:v>1031</x:v>
      </x:c>
      <x:c r="G185" s="2" t="s">
        <x:v>158</x:v>
      </x:c>
      <x:c r="H185" s="2" t="s">
        <x:v>634</x:v>
      </x:c>
      <x:c r="I185" s="2" t="s">
        <x:v>1044</x:v>
      </x:c>
      <x:c r="J185" s="2" t="s">
        <x:v>1062</x:v>
      </x:c>
      <x:c r="K185" s="2" t="n">
        <x:v>30</x:v>
      </x:c>
      <x:c r="L185" s="2" t="s">
        <x:v>1033</x:v>
      </x:c>
      <x:c r="M185" s="2" t="s">
        <x:v>1063</x:v>
      </x:c>
      <x:c r="N185" s="2">
        <x:v>2</x:v>
      </x:c>
      <x:c r="O185" s="2" t="s">
        <x:v>1024</x:v>
      </x:c>
      <x:c r="P185" s="2" t="s">
        <x:v>1053</x:v>
      </x:c>
      <x:c r="Q185" s="2"/>
      <x:c r="R185" s="3"/>
      <x:c r="S185" s="3"/>
      <x:c r="T185" s="2"/>
      <x:c r="U185" s="2"/>
      <x:c r="V185" s="2"/>
      <x:c r="W185" s="2" t="s">
        <x:v>1058</x:v>
      </x:c>
      <x:c r="X185" s="3">
        <x:v>2</x:v>
      </x:c>
      <x:c r="Y185" s="3">
        <x:v>3</x:v>
      </x:c>
      <x:c r="Z185" s="2" t="s">
        <x:v>175</x:v>
      </x:c>
      <x:c r="AA185" s="2"/>
      <x:c r="AB185" s="2"/>
      <x:c r="AC185" s="2"/>
      <x:c r="AD185" s="2"/>
      <x:c r="AE185" s="2"/>
      <x:c r="AF185" s="2"/>
      <x:c r="AG185" s="2"/>
      <x:c r="AH185" s="2"/>
      <x:c r="AI185" s="4"/>
      <x:c r="AJ185" s="2"/>
      <x:c r="AK185" s="2" t="s">
        <x:v>176</x:v>
      </x:c>
      <x:c r="AL185" s="2" t="s">
        <x:v>571</x:v>
      </x:c>
      <x:c r="AM185" s="2">
        <x:v>35</x:v>
      </x:c>
      <x:c r="AN185" s="2">
        <x:v>35</x:v>
      </x:c>
    </x:row>
    <x:row r="186" ht="39">
      <x:c r="A186" s="2" t="s">
        <x:v>91</x:v>
      </x:c>
      <x:c r="B186" s="2" t="s">
        <x:v>14</x:v>
      </x:c>
      <x:c r="C186" s="3">
        <x:v>34</x:v>
      </x:c>
      <x:c r="D186" s="2" t="s">
        <x:v>184</x:v>
      </x:c>
      <x:c r="E186" s="2" t="s">
        <x:v>1064</x:v>
      </x:c>
      <x:c r="F186" s="2" t="s">
        <x:v>1031</x:v>
      </x:c>
      <x:c r="G186" s="2" t="s">
        <x:v>158</x:v>
      </x:c>
      <x:c r="H186" s="2" t="s">
        <x:v>618</x:v>
      </x:c>
      <x:c r="I186" s="2" t="s">
        <x:v>1065</x:v>
      </x:c>
      <x:c r="J186" s="2" t="s">
        <x:v>1032</x:v>
      </x:c>
      <x:c r="K186" s="2"/>
      <x:c r="L186" s="2" t="s">
        <x:v>1038</x:v>
      </x:c>
      <x:c r="M186" s="2" t="s">
        <x:v>1015</x:v>
      </x:c>
      <x:c r="N186" s="2">
        <x:v>3</x:v>
      </x:c>
      <x:c r="O186" s="2" t="s">
        <x:v>1024</x:v>
      </x:c>
      <x:c r="P186" s="2" t="s">
        <x:v>1035</x:v>
      </x:c>
      <x:c r="Q186" s="2"/>
      <x:c r="R186" s="3"/>
      <x:c r="S186" s="3"/>
      <x:c r="T186" s="2"/>
      <x:c r="U186" s="2"/>
      <x:c r="V186" s="2"/>
      <x:c r="W186" s="2" t="s">
        <x:v>1066</x:v>
      </x:c>
      <x:c r="X186" s="3">
        <x:v>2</x:v>
      </x:c>
      <x:c r="Y186" s="3">
        <x:v>3</x:v>
      </x:c>
      <x:c r="Z186" s="2" t="s">
        <x:v>175</x:v>
      </x:c>
      <x:c r="AA186" s="2"/>
      <x:c r="AB186" s="2"/>
      <x:c r="AC186" s="2"/>
      <x:c r="AD186" s="2"/>
      <x:c r="AE186" s="2"/>
      <x:c r="AF186" s="2"/>
      <x:c r="AG186" s="2"/>
      <x:c r="AH186" s="2"/>
      <x:c r="AI186" s="4"/>
      <x:c r="AJ186" s="2"/>
      <x:c r="AK186" s="2" t="s">
        <x:v>176</x:v>
      </x:c>
      <x:c r="AL186" s="2" t="s">
        <x:v>571</x:v>
      </x:c>
      <x:c r="AM186" s="2">
        <x:v>36</x:v>
      </x:c>
      <x:c r="AN186" s="2">
        <x:v>36</x:v>
      </x:c>
    </x:row>
    <x:row r="187" ht="26">
      <x:c r="A187" s="2" t="s">
        <x:v>91</x:v>
      </x:c>
      <x:c r="B187" s="2" t="s">
        <x:v>14</x:v>
      </x:c>
      <x:c r="C187" s="3">
        <x:v>35</x:v>
      </x:c>
      <x:c r="D187" s="2" t="s">
        <x:v>1067</x:v>
      </x:c>
      <x:c r="E187" s="2" t="s">
        <x:v>1064</x:v>
      </x:c>
      <x:c r="F187" s="2" t="s">
        <x:v>1068</x:v>
      </x:c>
      <x:c r="G187" s="2" t="s">
        <x:v>158</x:v>
      </x:c>
      <x:c r="H187" s="2" t="s">
        <x:v>627</x:v>
      </x:c>
      <x:c r="I187" s="2" t="s">
        <x:v>1065</x:v>
      </x:c>
      <x:c r="J187" s="2" t="s">
        <x:v>1028</x:v>
      </x:c>
      <x:c r="K187" s="2" t="n">
        <x:v>34</x:v>
      </x:c>
      <x:c r="L187" s="2" t="s">
        <x:v>1069</x:v>
      </x:c>
      <x:c r="M187" s="2" t="s">
        <x:v>1023</x:v>
      </x:c>
      <x:c r="N187" s="2">
        <x:v>3</x:v>
      </x:c>
      <x:c r="O187" s="2" t="s">
        <x:v>1024</x:v>
      </x:c>
      <x:c r="P187" s="2" t="s">
        <x:v>1025</x:v>
      </x:c>
      <x:c r="Q187" s="2"/>
      <x:c r="R187" s="3"/>
      <x:c r="S187" s="3"/>
      <x:c r="T187" s="2"/>
      <x:c r="U187" s="2"/>
      <x:c r="V187" s="2"/>
      <x:c r="W187" s="2" t="s">
        <x:v>1066</x:v>
      </x:c>
      <x:c r="X187" s="3">
        <x:v>2</x:v>
      </x:c>
      <x:c r="Y187" s="3">
        <x:v>3</x:v>
      </x:c>
      <x:c r="Z187" s="2" t="s">
        <x:v>175</x:v>
      </x:c>
      <x:c r="AA187" s="2"/>
      <x:c r="AB187" s="2"/>
      <x:c r="AC187" s="2"/>
      <x:c r="AD187" s="2"/>
      <x:c r="AE187" s="2"/>
      <x:c r="AF187" s="2"/>
      <x:c r="AG187" s="2"/>
      <x:c r="AH187" s="2"/>
      <x:c r="AI187" s="4"/>
      <x:c r="AJ187" s="2"/>
      <x:c r="AK187" s="2" t="s">
        <x:v>176</x:v>
      </x:c>
      <x:c r="AL187" s="2" t="s">
        <x:v>571</x:v>
      </x:c>
      <x:c r="AM187" s="2">
        <x:v>37</x:v>
      </x:c>
      <x:c r="AN187" s="2">
        <x:v>37</x:v>
      </x:c>
    </x:row>
    <x:row r="188" ht="26">
      <x:c r="A188" s="2" t="s">
        <x:v>6</x:v>
      </x:c>
      <x:c r="B188" s="2" t="s">
        <x:v>14</x:v>
      </x:c>
      <x:c r="C188" s="3">
        <x:v>36</x:v>
      </x:c>
      <x:c r="D188" s="2" t="s">
        <x:v>1070</x:v>
      </x:c>
      <x:c r="E188" s="2" t="s">
        <x:v>1064</x:v>
      </x:c>
      <x:c r="F188" s="2" t="s">
        <x:v>1071</x:v>
      </x:c>
      <x:c r="G188" s="2"/>
      <x:c r="H188" s="2" t="s">
        <x:v>627</x:v>
      </x:c>
      <x:c r="I188" s="2" t="s">
        <x:v>1065</x:v>
      </x:c>
      <x:c r="J188" s="2" t="s">
        <x:v>1021</x:v>
      </x:c>
      <x:c r="K188" s="2"/>
      <x:c r="L188" s="2" t="s">
        <x:v>1072</x:v>
      </x:c>
      <x:c r="M188" s="2" t="s">
        <x:v>1023</x:v>
      </x:c>
      <x:c r="N188" s="2">
        <x:v>3</x:v>
      </x:c>
      <x:c r="O188" s="2" t="s">
        <x:v>1024</x:v>
      </x:c>
      <x:c r="P188" s="2" t="s">
        <x:v>1025</x:v>
      </x:c>
      <x:c r="Q188" s="2"/>
      <x:c r="R188" s="3"/>
      <x:c r="S188" s="3"/>
      <x:c r="T188" s="2"/>
      <x:c r="U188" s="2"/>
      <x:c r="V188" s="2"/>
      <x:c r="W188" s="2" t="s">
        <x:v>1073</x:v>
      </x:c>
      <x:c r="X188" s="3">
        <x:v>2</x:v>
      </x:c>
      <x:c r="Y188" s="3">
        <x:v>1</x:v>
      </x:c>
      <x:c r="Z188" s="2" t="s">
        <x:v>191</x:v>
      </x:c>
      <x:c r="AA188" s="2"/>
      <x:c r="AB188" s="2"/>
      <x:c r="AC188" s="2"/>
      <x:c r="AD188" s="2"/>
      <x:c r="AE188" s="2"/>
      <x:c r="AF188" s="2"/>
      <x:c r="AG188" s="2"/>
      <x:c r="AH188" s="2"/>
      <x:c r="AI188" s="4"/>
      <x:c r="AJ188" s="2"/>
      <x:c r="AK188" s="2" t="s">
        <x:v>176</x:v>
      </x:c>
      <x:c r="AL188" s="2" t="s">
        <x:v>571</x:v>
      </x:c>
      <x:c r="AM188" s="2">
        <x:v>38</x:v>
      </x:c>
      <x:c r="AN188" s="2">
        <x:v>38</x:v>
      </x:c>
    </x:row>
    <x:row r="189" ht="39">
      <x:c r="A189" s="2" t="s">
        <x:v>91</x:v>
      </x:c>
      <x:c r="B189" s="2" t="s">
        <x:v>14</x:v>
      </x:c>
      <x:c r="C189" s="3">
        <x:v>37</x:v>
      </x:c>
      <x:c r="D189" s="2" t="s">
        <x:v>166</x:v>
      </x:c>
      <x:c r="E189" s="2" t="s">
        <x:v>1064</x:v>
      </x:c>
      <x:c r="F189" s="2" t="s">
        <x:v>1011</x:v>
      </x:c>
      <x:c r="G189" s="2" t="s">
        <x:v>158</x:v>
      </x:c>
      <x:c r="H189" s="2" t="s">
        <x:v>618</x:v>
      </x:c>
      <x:c r="I189" s="2" t="s">
        <x:v>1065</x:v>
      </x:c>
      <x:c r="J189" s="2" t="s">
        <x:v>1013</x:v>
      </x:c>
      <x:c r="K189" s="2" t="n">
        <x:v>36</x:v>
      </x:c>
      <x:c r="L189" s="2" t="s">
        <x:v>1074</x:v>
      </x:c>
      <x:c r="M189" s="2" t="s">
        <x:v>1034</x:v>
      </x:c>
      <x:c r="N189" s="2">
        <x:v>3</x:v>
      </x:c>
      <x:c r="O189" s="2" t="s">
        <x:v>1016</x:v>
      </x:c>
      <x:c r="P189" s="2" t="s">
        <x:v>1017</x:v>
      </x:c>
      <x:c r="Q189" s="2"/>
      <x:c r="R189" s="3"/>
      <x:c r="S189" s="3"/>
      <x:c r="T189" s="2"/>
      <x:c r="U189" s="2"/>
      <x:c r="V189" s="2"/>
      <x:c r="W189" s="2" t="s">
        <x:v>1073</x:v>
      </x:c>
      <x:c r="X189" s="3">
        <x:v>2</x:v>
      </x:c>
      <x:c r="Y189" s="3">
        <x:v>1</x:v>
      </x:c>
      <x:c r="Z189" s="2" t="s">
        <x:v>191</x:v>
      </x:c>
      <x:c r="AA189" s="2"/>
      <x:c r="AB189" s="2"/>
      <x:c r="AC189" s="2"/>
      <x:c r="AD189" s="2"/>
      <x:c r="AE189" s="2"/>
      <x:c r="AF189" s="2"/>
      <x:c r="AG189" s="2"/>
      <x:c r="AH189" s="2"/>
      <x:c r="AI189" s="4"/>
      <x:c r="AJ189" s="2"/>
      <x:c r="AK189" s="2" t="s">
        <x:v>176</x:v>
      </x:c>
      <x:c r="AL189" s="2" t="s">
        <x:v>571</x:v>
      </x:c>
      <x:c r="AM189" s="2">
        <x:v>39</x:v>
      </x:c>
      <x:c r="AN189" s="2">
        <x:v>39</x:v>
      </x:c>
    </x:row>
    <x:row r="190" ht="39">
      <x:c r="A190" s="2" t="s">
        <x:v>6</x:v>
      </x:c>
      <x:c r="B190" s="2" t="s">
        <x:v>14</x:v>
      </x:c>
      <x:c r="C190" s="3">
        <x:v>38</x:v>
      </x:c>
      <x:c r="D190" s="2" t="s">
        <x:v>184</x:v>
      </x:c>
      <x:c r="E190" s="2" t="s">
        <x:v>1075</x:v>
      </x:c>
      <x:c r="F190" s="2" t="s">
        <x:v>1076</x:v>
      </x:c>
      <x:c r="G190" s="2"/>
      <x:c r="H190" s="2" t="s">
        <x:v>1077</x:v>
      </x:c>
      <x:c r="I190" s="2" t="s">
        <x:v>1078</x:v>
      </x:c>
      <x:c r="J190" s="2" t="s">
        <x:v>1079</x:v>
      </x:c>
      <x:c r="K190" s="2"/>
      <x:c r="L190" s="2" t="s">
        <x:v>189</x:v>
      </x:c>
      <x:c r="M190" s="2" t="s">
        <x:v>1080</x:v>
      </x:c>
      <x:c r="N190" s="2">
        <x:v>6</x:v>
      </x:c>
      <x:c r="O190" s="2" t="s">
        <x:v>1081</x:v>
      </x:c>
      <x:c r="P190" s="2" t="s">
        <x:v>1082</x:v>
      </x:c>
      <x:c r="Q190" s="2"/>
      <x:c r="R190" s="3"/>
      <x:c r="S190" s="3"/>
      <x:c r="T190" s="2"/>
      <x:c r="U190" s="2"/>
      <x:c r="V190" s="2"/>
      <x:c r="W190" s="2" t="s">
        <x:v>1078</x:v>
      </x:c>
      <x:c r="X190" s="3">
        <x:v>3</x:v>
      </x:c>
      <x:c r="Y190" s="3">
        <x:v>3</x:v>
      </x:c>
      <x:c r="Z190" s="2" t="s">
        <x:v>1083</x:v>
      </x:c>
      <x:c r="AA190" s="2"/>
      <x:c r="AB190" s="2"/>
      <x:c r="AC190" s="2"/>
      <x:c r="AD190" s="2"/>
      <x:c r="AE190" s="2"/>
      <x:c r="AF190" s="2"/>
      <x:c r="AG190" s="2"/>
      <x:c r="AH190" s="2"/>
      <x:c r="AI190" s="4"/>
      <x:c r="AJ190" s="2"/>
      <x:c r="AK190" s="2" t="s">
        <x:v>176</x:v>
      </x:c>
      <x:c r="AL190" s="2" t="s">
        <x:v>571</x:v>
      </x:c>
      <x:c r="AM190" s="2">
        <x:v>40</x:v>
      </x:c>
      <x:c r="AN190" s="2">
        <x:v>40</x:v>
      </x:c>
    </x:row>
    <x:row r="191" ht="39">
      <x:c r="A191" s="2" t="s">
        <x:v>6</x:v>
      </x:c>
      <x:c r="B191" s="2" t="s">
        <x:v>14</x:v>
      </x:c>
      <x:c r="C191" s="3">
        <x:v>39</x:v>
      </x:c>
      <x:c r="D191" s="2" t="s">
        <x:v>1084</x:v>
      </x:c>
      <x:c r="E191" s="2" t="s">
        <x:v>1085</x:v>
      </x:c>
      <x:c r="F191" s="2" t="s">
        <x:v>1086</x:v>
      </x:c>
      <x:c r="G191" s="2"/>
      <x:c r="H191" s="2" t="s">
        <x:v>1077</x:v>
      </x:c>
      <x:c r="I191" s="2" t="s">
        <x:v>1078</x:v>
      </x:c>
      <x:c r="J191" s="2" t="s">
        <x:v>1087</x:v>
      </x:c>
      <x:c r="K191" s="2"/>
      <x:c r="L191" s="2" t="s">
        <x:v>1088</x:v>
      </x:c>
      <x:c r="M191" s="2" t="s">
        <x:v>1080</x:v>
      </x:c>
      <x:c r="N191" s="2">
        <x:v>6</x:v>
      </x:c>
      <x:c r="O191" s="2" t="s">
        <x:v>1089</x:v>
      </x:c>
      <x:c r="P191" s="2" t="s">
        <x:v>1082</x:v>
      </x:c>
      <x:c r="Q191" s="2"/>
      <x:c r="R191" s="3"/>
      <x:c r="S191" s="3"/>
      <x:c r="T191" s="2"/>
      <x:c r="U191" s="2"/>
      <x:c r="V191" s="2"/>
      <x:c r="W191" s="2" t="s">
        <x:v>1078</x:v>
      </x:c>
      <x:c r="X191" s="3">
        <x:v>2</x:v>
      </x:c>
      <x:c r="Y191" s="3">
        <x:v>2</x:v>
      </x:c>
      <x:c r="Z191" s="2" t="s">
        <x:v>1083</x:v>
      </x:c>
      <x:c r="AA191" s="2"/>
      <x:c r="AB191" s="2"/>
      <x:c r="AC191" s="2"/>
      <x:c r="AD191" s="2"/>
      <x:c r="AE191" s="2"/>
      <x:c r="AF191" s="2"/>
      <x:c r="AG191" s="2"/>
      <x:c r="AH191" s="2"/>
      <x:c r="AI191" s="4"/>
      <x:c r="AJ191" s="2"/>
      <x:c r="AK191" s="2" t="s">
        <x:v>176</x:v>
      </x:c>
      <x:c r="AL191" s="2" t="s">
        <x:v>571</x:v>
      </x:c>
      <x:c r="AM191" s="2">
        <x:v>41</x:v>
      </x:c>
      <x:c r="AN191" s="2">
        <x:v>41</x:v>
      </x:c>
    </x:row>
    <x:row r="192" ht="39">
      <x:c r="A192" s="2" t="s">
        <x:v>6</x:v>
      </x:c>
      <x:c r="B192" s="2" t="s">
        <x:v>14</x:v>
      </x:c>
      <x:c r="C192" s="3">
        <x:v>40</x:v>
      </x:c>
      <x:c r="D192" s="2" t="s">
        <x:v>166</x:v>
      </x:c>
      <x:c r="E192" s="2" t="s">
        <x:v>994</x:v>
      </x:c>
      <x:c r="F192" s="2" t="s">
        <x:v>1090</x:v>
      </x:c>
      <x:c r="G192" s="2"/>
      <x:c r="H192" s="2" t="s">
        <x:v>1077</x:v>
      </x:c>
      <x:c r="I192" s="2" t="s">
        <x:v>1078</x:v>
      </x:c>
      <x:c r="J192" s="2" t="s">
        <x:v>1091</x:v>
      </x:c>
      <x:c r="K192" s="2"/>
      <x:c r="L192" s="2" t="s">
        <x:v>1092</x:v>
      </x:c>
      <x:c r="M192" s="2" t="s">
        <x:v>1080</x:v>
      </x:c>
      <x:c r="N192" s="2">
        <x:v>6</x:v>
      </x:c>
      <x:c r="O192" s="2" t="s">
        <x:v>1089</x:v>
      </x:c>
      <x:c r="P192" s="2" t="s">
        <x:v>1082</x:v>
      </x:c>
      <x:c r="Q192" s="2"/>
      <x:c r="R192" s="3"/>
      <x:c r="S192" s="3"/>
      <x:c r="T192" s="2"/>
      <x:c r="U192" s="2"/>
      <x:c r="V192" s="2"/>
      <x:c r="W192" s="2" t="s">
        <x:v>1078</x:v>
      </x:c>
      <x:c r="X192" s="3">
        <x:v>1</x:v>
      </x:c>
      <x:c r="Y192" s="3">
        <x:v>1</x:v>
      </x:c>
      <x:c r="Z192" s="2" t="s">
        <x:v>1083</x:v>
      </x:c>
      <x:c r="AA192" s="2"/>
      <x:c r="AB192" s="2"/>
      <x:c r="AC192" s="2"/>
      <x:c r="AD192" s="2"/>
      <x:c r="AE192" s="2"/>
      <x:c r="AF192" s="2"/>
      <x:c r="AG192" s="2"/>
      <x:c r="AH192" s="2"/>
      <x:c r="AI192" s="4"/>
      <x:c r="AJ192" s="2"/>
      <x:c r="AK192" s="2" t="s">
        <x:v>176</x:v>
      </x:c>
      <x:c r="AL192" s="2" t="s">
        <x:v>571</x:v>
      </x:c>
      <x:c r="AM192" s="2">
        <x:v>42</x:v>
      </x:c>
      <x:c r="AN192" s="2">
        <x:v>42</x:v>
      </x:c>
    </x:row>
    <x:row r="193" ht="39">
      <x:c r="A193" s="2" t="s">
        <x:v>6</x:v>
      </x:c>
      <x:c r="B193" s="2" t="s">
        <x:v>14</x:v>
      </x:c>
      <x:c r="C193" s="3">
        <x:v>41</x:v>
      </x:c>
      <x:c r="D193" s="2" t="s">
        <x:v>993</x:v>
      </x:c>
      <x:c r="E193" s="2" t="s">
        <x:v>1093</x:v>
      </x:c>
      <x:c r="F193" s="2" t="s">
        <x:v>1094</x:v>
      </x:c>
      <x:c r="G193" s="2"/>
      <x:c r="H193" s="2" t="s">
        <x:v>1077</x:v>
      </x:c>
      <x:c r="I193" s="2" t="s">
        <x:v>1078</x:v>
      </x:c>
      <x:c r="J193" s="2" t="s">
        <x:v>1095</x:v>
      </x:c>
      <x:c r="K193" s="2"/>
      <x:c r="L193" s="2" t="s">
        <x:v>1096</x:v>
      </x:c>
      <x:c r="M193" s="2" t="s">
        <x:v>1080</x:v>
      </x:c>
      <x:c r="N193" s="2">
        <x:v>6</x:v>
      </x:c>
      <x:c r="O193" s="2" t="s">
        <x:v>1089</x:v>
      </x:c>
      <x:c r="P193" s="2" t="s">
        <x:v>1082</x:v>
      </x:c>
      <x:c r="Q193" s="2"/>
      <x:c r="R193" s="3"/>
      <x:c r="S193" s="3"/>
      <x:c r="T193" s="2"/>
      <x:c r="U193" s="2"/>
      <x:c r="V193" s="2"/>
      <x:c r="W193" s="2" t="s">
        <x:v>1078</x:v>
      </x:c>
      <x:c r="X193" s="3">
        <x:v>0</x:v>
      </x:c>
      <x:c r="Y193" s="3">
        <x:v>0</x:v>
      </x:c>
      <x:c r="Z193" s="2" t="s">
        <x:v>1083</x:v>
      </x:c>
      <x:c r="AA193" s="2"/>
      <x:c r="AB193" s="2"/>
      <x:c r="AC193" s="2"/>
      <x:c r="AD193" s="2"/>
      <x:c r="AE193" s="2"/>
      <x:c r="AF193" s="2"/>
      <x:c r="AG193" s="2"/>
      <x:c r="AH193" s="2"/>
      <x:c r="AI193" s="4"/>
      <x:c r="AJ193" s="2"/>
      <x:c r="AK193" s="2" t="s">
        <x:v>176</x:v>
      </x:c>
      <x:c r="AL193" s="2" t="s">
        <x:v>571</x:v>
      </x:c>
      <x:c r="AM193" s="2">
        <x:v>43</x:v>
      </x:c>
      <x:c r="AN193" s="2">
        <x:v>43</x:v>
      </x:c>
    </x:row>
    <x:row r="194" ht="39">
      <x:c r="A194" s="2" t="s">
        <x:v>6</x:v>
      </x:c>
      <x:c r="B194" s="2" t="s">
        <x:v>14</x:v>
      </x:c>
      <x:c r="C194" s="3">
        <x:v>42</x:v>
      </x:c>
      <x:c r="D194" s="2" t="s">
        <x:v>993</x:v>
      </x:c>
      <x:c r="E194" s="2" t="s">
        <x:v>1097</x:v>
      </x:c>
      <x:c r="F194" s="2" t="s">
        <x:v>1094</x:v>
      </x:c>
      <x:c r="G194" s="2"/>
      <x:c r="H194" s="2" t="s">
        <x:v>1077</x:v>
      </x:c>
      <x:c r="I194" s="2" t="s">
        <x:v>1098</x:v>
      </x:c>
      <x:c r="J194" s="2" t="s">
        <x:v>1095</x:v>
      </x:c>
      <x:c r="K194" s="2"/>
      <x:c r="L194" s="2" t="s">
        <x:v>1096</x:v>
      </x:c>
      <x:c r="M194" s="2" t="s">
        <x:v>1080</x:v>
      </x:c>
      <x:c r="N194" s="2">
        <x:v>6</x:v>
      </x:c>
      <x:c r="O194" s="2" t="s">
        <x:v>1081</x:v>
      </x:c>
      <x:c r="P194" s="2" t="s">
        <x:v>1082</x:v>
      </x:c>
      <x:c r="Q194" s="2"/>
      <x:c r="R194" s="3"/>
      <x:c r="S194" s="3"/>
      <x:c r="T194" s="2"/>
      <x:c r="U194" s="2"/>
      <x:c r="V194" s="2"/>
      <x:c r="W194" s="2" t="s">
        <x:v>1098</x:v>
      </x:c>
      <x:c r="X194" s="3">
        <x:v>0</x:v>
      </x:c>
      <x:c r="Y194" s="3">
        <x:v>0</x:v>
      </x:c>
      <x:c r="Z194" s="2" t="s">
        <x:v>1083</x:v>
      </x:c>
      <x:c r="AA194" s="2"/>
      <x:c r="AB194" s="2"/>
      <x:c r="AC194" s="2"/>
      <x:c r="AD194" s="2"/>
      <x:c r="AE194" s="2"/>
      <x:c r="AF194" s="2"/>
      <x:c r="AG194" s="2"/>
      <x:c r="AH194" s="2"/>
      <x:c r="AI194" s="4"/>
      <x:c r="AJ194" s="2"/>
      <x:c r="AK194" s="2" t="s">
        <x:v>176</x:v>
      </x:c>
      <x:c r="AL194" s="2" t="s">
        <x:v>571</x:v>
      </x:c>
      <x:c r="AM194" s="2">
        <x:v>44</x:v>
      </x:c>
      <x:c r="AN194" s="2">
        <x:v>44</x:v>
      </x:c>
    </x:row>
    <x:row r="195" ht="39">
      <x:c r="A195" s="2" t="s">
        <x:v>6</x:v>
      </x:c>
      <x:c r="B195" s="2" t="s">
        <x:v>14</x:v>
      </x:c>
      <x:c r="C195" s="3">
        <x:v>43</x:v>
      </x:c>
      <x:c r="D195" s="2" t="s">
        <x:v>166</x:v>
      </x:c>
      <x:c r="E195" s="2" t="s">
        <x:v>1099</x:v>
      </x:c>
      <x:c r="F195" s="2" t="s">
        <x:v>1090</x:v>
      </x:c>
      <x:c r="G195" s="2"/>
      <x:c r="H195" s="2" t="s">
        <x:v>1077</x:v>
      </x:c>
      <x:c r="I195" s="2" t="s">
        <x:v>1098</x:v>
      </x:c>
      <x:c r="J195" s="2" t="s">
        <x:v>1091</x:v>
      </x:c>
      <x:c r="K195" s="2"/>
      <x:c r="L195" s="2" t="s">
        <x:v>1092</x:v>
      </x:c>
      <x:c r="M195" s="2" t="s">
        <x:v>1080</x:v>
      </x:c>
      <x:c r="N195" s="2">
        <x:v>6</x:v>
      </x:c>
      <x:c r="O195" s="2" t="s">
        <x:v>1089</x:v>
      </x:c>
      <x:c r="P195" s="2" t="s">
        <x:v>1082</x:v>
      </x:c>
      <x:c r="Q195" s="2"/>
      <x:c r="R195" s="3"/>
      <x:c r="S195" s="3"/>
      <x:c r="T195" s="2"/>
      <x:c r="U195" s="2"/>
      <x:c r="V195" s="2"/>
      <x:c r="W195" s="2" t="s">
        <x:v>1098</x:v>
      </x:c>
      <x:c r="X195" s="3">
        <x:v>1</x:v>
      </x:c>
      <x:c r="Y195" s="3">
        <x:v>1</x:v>
      </x:c>
      <x:c r="Z195" s="2" t="s">
        <x:v>1083</x:v>
      </x:c>
      <x:c r="AA195" s="2"/>
      <x:c r="AB195" s="2"/>
      <x:c r="AC195" s="2"/>
      <x:c r="AD195" s="2"/>
      <x:c r="AE195" s="2"/>
      <x:c r="AF195" s="2"/>
      <x:c r="AG195" s="2"/>
      <x:c r="AH195" s="2"/>
      <x:c r="AI195" s="4"/>
      <x:c r="AJ195" s="2"/>
      <x:c r="AK195" s="2" t="s">
        <x:v>176</x:v>
      </x:c>
      <x:c r="AL195" s="2" t="s">
        <x:v>571</x:v>
      </x:c>
      <x:c r="AM195" s="2">
        <x:v>45</x:v>
      </x:c>
      <x:c r="AN195" s="2">
        <x:v>45</x:v>
      </x:c>
    </x:row>
    <x:row r="196" ht="39">
      <x:c r="A196" s="2" t="s">
        <x:v>91</x:v>
      </x:c>
      <x:c r="B196" s="2" t="s">
        <x:v>14</x:v>
      </x:c>
      <x:c r="C196" s="3">
        <x:v>44</x:v>
      </x:c>
      <x:c r="D196" s="2" t="s">
        <x:v>1084</x:v>
      </x:c>
      <x:c r="E196" s="2" t="s">
        <x:v>1100</x:v>
      </x:c>
      <x:c r="F196" s="2" t="s">
        <x:v>1086</x:v>
      </x:c>
      <x:c r="G196" s="2" t="s">
        <x:v>1101</x:v>
      </x:c>
      <x:c r="H196" s="2" t="s">
        <x:v>1077</x:v>
      </x:c>
      <x:c r="I196" s="2" t="s">
        <x:v>1098</x:v>
      </x:c>
      <x:c r="J196" s="2" t="s">
        <x:v>1087</x:v>
      </x:c>
      <x:c r="K196" s="2"/>
      <x:c r="L196" s="2" t="s">
        <x:v>1088</x:v>
      </x:c>
      <x:c r="M196" s="2" t="s">
        <x:v>1080</x:v>
      </x:c>
      <x:c r="N196" s="2">
        <x:v>6</x:v>
      </x:c>
      <x:c r="O196" s="2" t="s">
        <x:v>1089</x:v>
      </x:c>
      <x:c r="P196" s="2" t="s">
        <x:v>1082</x:v>
      </x:c>
      <x:c r="Q196" s="2"/>
      <x:c r="R196" s="3"/>
      <x:c r="S196" s="3"/>
      <x:c r="T196" s="2"/>
      <x:c r="U196" s="2"/>
      <x:c r="V196" s="2"/>
      <x:c r="W196" s="2" t="s">
        <x:v>1098</x:v>
      </x:c>
      <x:c r="X196" s="3">
        <x:v>2</x:v>
      </x:c>
      <x:c r="Y196" s="3">
        <x:v>2</x:v>
      </x:c>
      <x:c r="Z196" s="2" t="s">
        <x:v>1083</x:v>
      </x:c>
      <x:c r="AA196" s="2"/>
      <x:c r="AB196" s="2"/>
      <x:c r="AC196" s="2"/>
      <x:c r="AD196" s="2"/>
      <x:c r="AE196" s="2"/>
      <x:c r="AF196" s="2"/>
      <x:c r="AG196" s="2"/>
      <x:c r="AH196" s="2"/>
      <x:c r="AI196" s="4"/>
      <x:c r="AJ196" s="2"/>
      <x:c r="AK196" s="2" t="s">
        <x:v>176</x:v>
      </x:c>
      <x:c r="AL196" s="2" t="s">
        <x:v>571</x:v>
      </x:c>
      <x:c r="AM196" s="2">
        <x:v>46</x:v>
      </x:c>
      <x:c r="AN196" s="2">
        <x:v>46</x:v>
      </x:c>
    </x:row>
    <x:row r="197" ht="39">
      <x:c r="A197" s="2" t="s">
        <x:v>91</x:v>
      </x:c>
      <x:c r="B197" s="2" t="s">
        <x:v>14</x:v>
      </x:c>
      <x:c r="C197" s="3">
        <x:v>45</x:v>
      </x:c>
      <x:c r="D197" s="2" t="s">
        <x:v>184</x:v>
      </x:c>
      <x:c r="E197" s="2" t="s">
        <x:v>1102</x:v>
      </x:c>
      <x:c r="F197" s="2" t="s">
        <x:v>1076</x:v>
      </x:c>
      <x:c r="G197" s="2" t="s">
        <x:v>1103</x:v>
      </x:c>
      <x:c r="H197" s="2" t="s">
        <x:v>1077</x:v>
      </x:c>
      <x:c r="I197" s="2" t="s">
        <x:v>1098</x:v>
      </x:c>
      <x:c r="J197" s="2" t="s">
        <x:v>1079</x:v>
      </x:c>
      <x:c r="K197" s="2"/>
      <x:c r="L197" s="2" t="s">
        <x:v>189</x:v>
      </x:c>
      <x:c r="M197" s="2" t="s">
        <x:v>1080</x:v>
      </x:c>
      <x:c r="N197" s="2">
        <x:v>6</x:v>
      </x:c>
      <x:c r="O197" s="2" t="s">
        <x:v>1089</x:v>
      </x:c>
      <x:c r="P197" s="2" t="s">
        <x:v>1082</x:v>
      </x:c>
      <x:c r="Q197" s="2"/>
      <x:c r="R197" s="3"/>
      <x:c r="S197" s="3"/>
      <x:c r="T197" s="2"/>
      <x:c r="U197" s="2"/>
      <x:c r="V197" s="2"/>
      <x:c r="W197" s="2" t="s">
        <x:v>1098</x:v>
      </x:c>
      <x:c r="X197" s="3">
        <x:v>3</x:v>
      </x:c>
      <x:c r="Y197" s="3">
        <x:v>3</x:v>
      </x:c>
      <x:c r="Z197" s="2" t="s">
        <x:v>1083</x:v>
      </x:c>
      <x:c r="AA197" s="2"/>
      <x:c r="AB197" s="2"/>
      <x:c r="AC197" s="2"/>
      <x:c r="AD197" s="2"/>
      <x:c r="AE197" s="2"/>
      <x:c r="AF197" s="2"/>
      <x:c r="AG197" s="2"/>
      <x:c r="AH197" s="2"/>
      <x:c r="AI197" s="4"/>
      <x:c r="AJ197" s="2"/>
      <x:c r="AK197" s="2" t="s">
        <x:v>176</x:v>
      </x:c>
      <x:c r="AL197" s="2" t="s">
        <x:v>571</x:v>
      </x:c>
      <x:c r="AM197" s="2">
        <x:v>47</x:v>
      </x:c>
      <x:c r="AN197" s="2">
        <x:v>47</x:v>
      </x:c>
    </x:row>
    <x:row r="198" ht="39">
      <x:c r="A198" s="2" t="s">
        <x:v>91</x:v>
      </x:c>
      <x:c r="B198" s="2" t="s">
        <x:v>14</x:v>
      </x:c>
      <x:c r="C198" s="3">
        <x:v>46</x:v>
      </x:c>
      <x:c r="D198" s="2" t="s">
        <x:v>184</x:v>
      </x:c>
      <x:c r="E198" s="2" t="s">
        <x:v>1104</x:v>
      </x:c>
      <x:c r="F198" s="2" t="s">
        <x:v>1031</x:v>
      </x:c>
      <x:c r="G198" s="2" t="s">
        <x:v>158</x:v>
      </x:c>
      <x:c r="H198" s="2" t="s">
        <x:v>618</x:v>
      </x:c>
      <x:c r="I198" s="2" t="s">
        <x:v>1105</x:v>
      </x:c>
      <x:c r="J198" s="2" t="s">
        <x:v>1032</x:v>
      </x:c>
      <x:c r="K198" s="2"/>
      <x:c r="L198" s="2" t="s">
        <x:v>1106</x:v>
      </x:c>
      <x:c r="M198" s="2" t="s">
        <x:v>1107</x:v>
      </x:c>
      <x:c r="N198" s="2">
        <x:v>3</x:v>
      </x:c>
      <x:c r="O198" s="2" t="s">
        <x:v>1024</x:v>
      </x:c>
      <x:c r="P198" s="2" t="s">
        <x:v>1035</x:v>
      </x:c>
      <x:c r="Q198" s="2"/>
      <x:c r="R198" s="3"/>
      <x:c r="S198" s="3"/>
      <x:c r="T198" s="2"/>
      <x:c r="U198" s="2"/>
      <x:c r="V198" s="2"/>
      <x:c r="W198" s="2" t="s">
        <x:v>1108</x:v>
      </x:c>
      <x:c r="X198" s="3">
        <x:v>2</x:v>
      </x:c>
      <x:c r="Y198" s="3">
        <x:v>3</x:v>
      </x:c>
      <x:c r="Z198" s="2" t="s">
        <x:v>175</x:v>
      </x:c>
      <x:c r="AA198" s="2"/>
      <x:c r="AB198" s="2"/>
      <x:c r="AC198" s="2"/>
      <x:c r="AD198" s="2"/>
      <x:c r="AE198" s="2"/>
      <x:c r="AF198" s="2"/>
      <x:c r="AG198" s="2"/>
      <x:c r="AH198" s="2"/>
      <x:c r="AI198" s="4"/>
      <x:c r="AJ198" s="2"/>
      <x:c r="AK198" s="2" t="s">
        <x:v>176</x:v>
      </x:c>
      <x:c r="AL198" s="2" t="s">
        <x:v>571</x:v>
      </x:c>
      <x:c r="AM198" s="2">
        <x:v>48</x:v>
      </x:c>
      <x:c r="AN198" s="2">
        <x:v>48</x:v>
      </x:c>
    </x:row>
    <x:row r="199" ht="26">
      <x:c r="A199" s="2" t="s">
        <x:v>6</x:v>
      </x:c>
      <x:c r="B199" s="2" t="s">
        <x:v>14</x:v>
      </x:c>
      <x:c r="C199" s="3">
        <x:v>47</x:v>
      </x:c>
      <x:c r="D199" s="2" t="s">
        <x:v>1109</x:v>
      </x:c>
      <x:c r="E199" s="2" t="s">
        <x:v>1104</x:v>
      </x:c>
      <x:c r="F199" s="2" t="s">
        <x:v>1110</x:v>
      </x:c>
      <x:c r="G199" s="2"/>
      <x:c r="H199" s="2" t="s">
        <x:v>627</x:v>
      </x:c>
      <x:c r="I199" s="2" t="s">
        <x:v>1105</x:v>
      </x:c>
      <x:c r="J199" s="2" t="s">
        <x:v>1028</x:v>
      </x:c>
      <x:c r="K199" s="2" t="n">
        <x:v>46</x:v>
      </x:c>
      <x:c r="L199" s="2" t="s">
        <x:v>1111</x:v>
      </x:c>
      <x:c r="M199" s="2" t="s">
        <x:v>1023</x:v>
      </x:c>
      <x:c r="N199" s="2">
        <x:v>3</x:v>
      </x:c>
      <x:c r="O199" s="2" t="s">
        <x:v>1024</x:v>
      </x:c>
      <x:c r="P199" s="2" t="s">
        <x:v>1025</x:v>
      </x:c>
      <x:c r="Q199" s="2"/>
      <x:c r="R199" s="3"/>
      <x:c r="S199" s="3"/>
      <x:c r="T199" s="2"/>
      <x:c r="U199" s="2"/>
      <x:c r="V199" s="2"/>
      <x:c r="W199" s="2" t="s">
        <x:v>1108</x:v>
      </x:c>
      <x:c r="X199" s="3">
        <x:v>2</x:v>
      </x:c>
      <x:c r="Y199" s="3">
        <x:v>3</x:v>
      </x:c>
      <x:c r="Z199" s="2" t="s">
        <x:v>175</x:v>
      </x:c>
      <x:c r="AA199" s="2"/>
      <x:c r="AB199" s="2"/>
      <x:c r="AC199" s="2"/>
      <x:c r="AD199" s="2"/>
      <x:c r="AE199" s="2"/>
      <x:c r="AF199" s="2"/>
      <x:c r="AG199" s="2"/>
      <x:c r="AH199" s="2"/>
      <x:c r="AI199" s="4"/>
      <x:c r="AJ199" s="2"/>
      <x:c r="AK199" s="2" t="s">
        <x:v>176</x:v>
      </x:c>
      <x:c r="AL199" s="2" t="s">
        <x:v>571</x:v>
      </x:c>
      <x:c r="AM199" s="2">
        <x:v>49</x:v>
      </x:c>
      <x:c r="AN199" s="2">
        <x:v>49</x:v>
      </x:c>
    </x:row>
    <x:row r="200" ht="26">
      <x:c r="A200" s="2" t="s">
        <x:v>91</x:v>
      </x:c>
      <x:c r="B200" s="2" t="s">
        <x:v>14</x:v>
      </x:c>
      <x:c r="C200" s="3">
        <x:v>48</x:v>
      </x:c>
      <x:c r="D200" s="2" t="s">
        <x:v>1019</x:v>
      </x:c>
      <x:c r="E200" s="2" t="s">
        <x:v>1104</x:v>
      </x:c>
      <x:c r="F200" s="2" t="s">
        <x:v>1020</x:v>
      </x:c>
      <x:c r="G200" s="2" t="s">
        <x:v>1112</x:v>
      </x:c>
      <x:c r="H200" s="2" t="s">
        <x:v>627</x:v>
      </x:c>
      <x:c r="I200" s="2" t="s">
        <x:v>1105</x:v>
      </x:c>
      <x:c r="J200" s="2" t="s">
        <x:v>1021</x:v>
      </x:c>
      <x:c r="K200" s="2"/>
      <x:c r="L200" s="2" t="s">
        <x:v>1022</x:v>
      </x:c>
      <x:c r="M200" s="2" t="s">
        <x:v>1023</x:v>
      </x:c>
      <x:c r="N200" s="2">
        <x:v>3</x:v>
      </x:c>
      <x:c r="O200" s="2" t="s">
        <x:v>1024</x:v>
      </x:c>
      <x:c r="P200" s="2" t="s">
        <x:v>1025</x:v>
      </x:c>
      <x:c r="Q200" s="2"/>
      <x:c r="R200" s="3"/>
      <x:c r="S200" s="3"/>
      <x:c r="T200" s="2"/>
      <x:c r="U200" s="2"/>
      <x:c r="V200" s="2"/>
      <x:c r="W200" s="2" t="s">
        <x:v>1113</x:v>
      </x:c>
      <x:c r="X200" s="3">
        <x:v>2</x:v>
      </x:c>
      <x:c r="Y200" s="3">
        <x:v>1</x:v>
      </x:c>
      <x:c r="Z200" s="2" t="s">
        <x:v>191</x:v>
      </x:c>
      <x:c r="AA200" s="2"/>
      <x:c r="AB200" s="2"/>
      <x:c r="AC200" s="2"/>
      <x:c r="AD200" s="2"/>
      <x:c r="AE200" s="2"/>
      <x:c r="AF200" s="2"/>
      <x:c r="AG200" s="2"/>
      <x:c r="AH200" s="2"/>
      <x:c r="AI200" s="4"/>
      <x:c r="AJ200" s="2"/>
      <x:c r="AK200" s="2" t="s">
        <x:v>176</x:v>
      </x:c>
      <x:c r="AL200" s="2" t="s">
        <x:v>571</x:v>
      </x:c>
      <x:c r="AM200" s="2">
        <x:v>50</x:v>
      </x:c>
      <x:c r="AN200" s="2">
        <x:v>50</x:v>
      </x:c>
    </x:row>
    <x:row r="201" ht="39">
      <x:c r="A201" s="2" t="s">
        <x:v>91</x:v>
      </x:c>
      <x:c r="B201" s="2" t="s">
        <x:v>14</x:v>
      </x:c>
      <x:c r="C201" s="3">
        <x:v>49</x:v>
      </x:c>
      <x:c r="D201" s="2" t="s">
        <x:v>166</x:v>
      </x:c>
      <x:c r="E201" s="2" t="s">
        <x:v>1104</x:v>
      </x:c>
      <x:c r="F201" s="2" t="s">
        <x:v>1011</x:v>
      </x:c>
      <x:c r="G201" s="2" t="s">
        <x:v>158</x:v>
      </x:c>
      <x:c r="H201" s="2" t="s">
        <x:v>618</x:v>
      </x:c>
      <x:c r="I201" s="2" t="s">
        <x:v>1105</x:v>
      </x:c>
      <x:c r="J201" s="2" t="s">
        <x:v>1013</x:v>
      </x:c>
      <x:c r="K201" s="2" t="n">
        <x:v>48</x:v>
      </x:c>
      <x:c r="L201" s="2" t="s">
        <x:v>1040</x:v>
      </x:c>
      <x:c r="M201" s="2" t="s">
        <x:v>1041</x:v>
      </x:c>
      <x:c r="N201" s="2">
        <x:v>3</x:v>
      </x:c>
      <x:c r="O201" s="2" t="s">
        <x:v>1016</x:v>
      </x:c>
      <x:c r="P201" s="2" t="s">
        <x:v>1017</x:v>
      </x:c>
      <x:c r="Q201" s="2"/>
      <x:c r="R201" s="3"/>
      <x:c r="S201" s="3"/>
      <x:c r="T201" s="2"/>
      <x:c r="U201" s="2"/>
      <x:c r="V201" s="2"/>
      <x:c r="W201" s="2" t="s">
        <x:v>1113</x:v>
      </x:c>
      <x:c r="X201" s="3">
        <x:v>2</x:v>
      </x:c>
      <x:c r="Y201" s="3">
        <x:v>1</x:v>
      </x:c>
      <x:c r="Z201" s="2" t="s">
        <x:v>191</x:v>
      </x:c>
      <x:c r="AA201" s="2"/>
      <x:c r="AB201" s="2"/>
      <x:c r="AC201" s="2"/>
      <x:c r="AD201" s="2"/>
      <x:c r="AE201" s="2"/>
      <x:c r="AF201" s="2"/>
      <x:c r="AG201" s="2"/>
      <x:c r="AH201" s="2"/>
      <x:c r="AI201" s="4"/>
      <x:c r="AJ201" s="2"/>
      <x:c r="AK201" s="2" t="s">
        <x:v>176</x:v>
      </x:c>
      <x:c r="AL201" s="2" t="s">
        <x:v>571</x:v>
      </x:c>
      <x:c r="AM201" s="2">
        <x:v>51</x:v>
      </x:c>
      <x:c r="AN201" s="2">
        <x:v>51</x:v>
      </x:c>
    </x:row>
    <x:row r="202" ht="39">
      <x:c r="A202" s="2" t="s">
        <x:v>91</x:v>
      </x:c>
      <x:c r="B202" s="2" t="s">
        <x:v>14</x:v>
      </x:c>
      <x:c r="C202" s="3">
        <x:v>50</x:v>
      </x:c>
      <x:c r="D202" s="2" t="s">
        <x:v>166</x:v>
      </x:c>
      <x:c r="E202" s="2" t="s">
        <x:v>1010</x:v>
      </x:c>
      <x:c r="F202" s="2" t="s">
        <x:v>1011</x:v>
      </x:c>
      <x:c r="G202" s="2" t="s">
        <x:v>158</x:v>
      </x:c>
      <x:c r="H202" s="2" t="s">
        <x:v>618</x:v>
      </x:c>
      <x:c r="I202" s="2" t="s">
        <x:v>1114</x:v>
      </x:c>
      <x:c r="J202" s="2" t="s">
        <x:v>1013</x:v>
      </x:c>
      <x:c r="K202" s="2"/>
      <x:c r="L202" s="2" t="s">
        <x:v>1014</x:v>
      </x:c>
      <x:c r="M202" s="2" t="s">
        <x:v>1015</x:v>
      </x:c>
      <x:c r="N202" s="2">
        <x:v>4</x:v>
      </x:c>
      <x:c r="O202" s="2" t="s">
        <x:v>1016</x:v>
      </x:c>
      <x:c r="P202" s="2" t="s">
        <x:v>1017</x:v>
      </x:c>
      <x:c r="Q202" s="2"/>
      <x:c r="R202" s="3"/>
      <x:c r="S202" s="3"/>
      <x:c r="T202" s="2"/>
      <x:c r="U202" s="2"/>
      <x:c r="V202" s="2"/>
      <x:c r="W202" s="2" t="s">
        <x:v>1115</x:v>
      </x:c>
      <x:c r="X202" s="3">
        <x:v>2</x:v>
      </x:c>
      <x:c r="Y202" s="3">
        <x:v>1</x:v>
      </x:c>
      <x:c r="Z202" s="2" t="s">
        <x:v>191</x:v>
      </x:c>
      <x:c r="AA202" s="2"/>
      <x:c r="AB202" s="2"/>
      <x:c r="AC202" s="2"/>
      <x:c r="AD202" s="2"/>
      <x:c r="AE202" s="2"/>
      <x:c r="AF202" s="2"/>
      <x:c r="AG202" s="2"/>
      <x:c r="AH202" s="2"/>
      <x:c r="AI202" s="4"/>
      <x:c r="AJ202" s="2"/>
      <x:c r="AK202" s="2" t="s">
        <x:v>176</x:v>
      </x:c>
      <x:c r="AL202" s="2" t="s">
        <x:v>571</x:v>
      </x:c>
      <x:c r="AM202" s="2">
        <x:v>52</x:v>
      </x:c>
      <x:c r="AN202" s="2">
        <x:v>52</x:v>
      </x:c>
    </x:row>
    <x:row r="203" ht="39">
      <x:c r="A203" s="2" t="s">
        <x:v>91</x:v>
      </x:c>
      <x:c r="B203" s="2" t="s">
        <x:v>14</x:v>
      </x:c>
      <x:c r="C203" s="3">
        <x:v>51</x:v>
      </x:c>
      <x:c r="D203" s="2" t="s">
        <x:v>184</x:v>
      </x:c>
      <x:c r="E203" s="2" t="s">
        <x:v>1010</x:v>
      </x:c>
      <x:c r="F203" s="2" t="s">
        <x:v>1031</x:v>
      </x:c>
      <x:c r="G203" s="2" t="s">
        <x:v>158</x:v>
      </x:c>
      <x:c r="H203" s="2" t="s">
        <x:v>618</x:v>
      </x:c>
      <x:c r="I203" s="2" t="s">
        <x:v>1114</x:v>
      </x:c>
      <x:c r="J203" s="2" t="s">
        <x:v>1032</x:v>
      </x:c>
      <x:c r="K203" s="2" t="n">
        <x:v>50</x:v>
      </x:c>
      <x:c r="L203" s="2" t="s">
        <x:v>1033</x:v>
      </x:c>
      <x:c r="M203" s="2" t="s">
        <x:v>1034</x:v>
      </x:c>
      <x:c r="N203" s="2">
        <x:v>4</x:v>
      </x:c>
      <x:c r="O203" s="2" t="s">
        <x:v>1024</x:v>
      </x:c>
      <x:c r="P203" s="2" t="s">
        <x:v>1035</x:v>
      </x:c>
      <x:c r="Q203" s="2"/>
      <x:c r="R203" s="3"/>
      <x:c r="S203" s="3"/>
      <x:c r="T203" s="2"/>
      <x:c r="U203" s="2"/>
      <x:c r="V203" s="2"/>
      <x:c r="W203" s="2" t="s">
        <x:v>1116</x:v>
      </x:c>
      <x:c r="X203" s="3">
        <x:v>2</x:v>
      </x:c>
      <x:c r="Y203" s="3">
        <x:v>3</x:v>
      </x:c>
      <x:c r="Z203" s="2" t="s">
        <x:v>175</x:v>
      </x:c>
      <x:c r="AA203" s="2"/>
      <x:c r="AB203" s="2"/>
      <x:c r="AC203" s="2"/>
      <x:c r="AD203" s="2"/>
      <x:c r="AE203" s="2"/>
      <x:c r="AF203" s="2"/>
      <x:c r="AG203" s="2"/>
      <x:c r="AH203" s="2"/>
      <x:c r="AI203" s="4"/>
      <x:c r="AJ203" s="2"/>
      <x:c r="AK203" s="2" t="s">
        <x:v>176</x:v>
      </x:c>
      <x:c r="AL203" s="2" t="s">
        <x:v>571</x:v>
      </x:c>
      <x:c r="AM203" s="2">
        <x:v>53</x:v>
      </x:c>
      <x:c r="AN203" s="2">
        <x:v>53</x:v>
      </x:c>
    </x:row>
    <x:row r="204" ht="39">
      <x:c r="A204" s="2" t="s">
        <x:v>91</x:v>
      </x:c>
      <x:c r="B204" s="2" t="s">
        <x:v>14</x:v>
      </x:c>
      <x:c r="C204" s="3">
        <x:v>52</x:v>
      </x:c>
      <x:c r="D204" s="2" t="s">
        <x:v>166</x:v>
      </x:c>
      <x:c r="E204" s="2" t="s">
        <x:v>1117</x:v>
      </x:c>
      <x:c r="F204" s="2" t="s">
        <x:v>1011</x:v>
      </x:c>
      <x:c r="G204" s="2" t="s">
        <x:v>158</x:v>
      </x:c>
      <x:c r="H204" s="2" t="s">
        <x:v>618</x:v>
      </x:c>
      <x:c r="I204" s="2" t="s">
        <x:v>1118</x:v>
      </x:c>
      <x:c r="J204" s="2" t="s">
        <x:v>1013</x:v>
      </x:c>
      <x:c r="K204" s="2"/>
      <x:c r="L204" s="2" t="s">
        <x:v>1014</x:v>
      </x:c>
      <x:c r="M204" s="2" t="s">
        <x:v>1015</x:v>
      </x:c>
      <x:c r="N204" s="2">
        <x:v>4</x:v>
      </x:c>
      <x:c r="O204" s="2" t="s">
        <x:v>1016</x:v>
      </x:c>
      <x:c r="P204" s="2" t="s">
        <x:v>1017</x:v>
      </x:c>
      <x:c r="Q204" s="2"/>
      <x:c r="R204" s="3"/>
      <x:c r="S204" s="3"/>
      <x:c r="T204" s="2"/>
      <x:c r="U204" s="2"/>
      <x:c r="V204" s="2"/>
      <x:c r="W204" s="2" t="s">
        <x:v>1119</x:v>
      </x:c>
      <x:c r="X204" s="3">
        <x:v>2</x:v>
      </x:c>
      <x:c r="Y204" s="3">
        <x:v>1</x:v>
      </x:c>
      <x:c r="Z204" s="2" t="s">
        <x:v>191</x:v>
      </x:c>
      <x:c r="AA204" s="2"/>
      <x:c r="AB204" s="2"/>
      <x:c r="AC204" s="2"/>
      <x:c r="AD204" s="2"/>
      <x:c r="AE204" s="2"/>
      <x:c r="AF204" s="2"/>
      <x:c r="AG204" s="2"/>
      <x:c r="AH204" s="2"/>
      <x:c r="AI204" s="4"/>
      <x:c r="AJ204" s="2"/>
      <x:c r="AK204" s="2" t="s">
        <x:v>176</x:v>
      </x:c>
      <x:c r="AL204" s="2" t="s">
        <x:v>571</x:v>
      </x:c>
      <x:c r="AM204" s="2">
        <x:v>54</x:v>
      </x:c>
      <x:c r="AN204" s="2">
        <x:v>54</x:v>
      </x:c>
    </x:row>
    <x:row r="205" ht="39">
      <x:c r="A205" s="2" t="s">
        <x:v>91</x:v>
      </x:c>
      <x:c r="B205" s="2" t="s">
        <x:v>14</x:v>
      </x:c>
      <x:c r="C205" s="3">
        <x:v>53</x:v>
      </x:c>
      <x:c r="D205" s="2" t="s">
        <x:v>184</x:v>
      </x:c>
      <x:c r="E205" s="2" t="s">
        <x:v>1117</x:v>
      </x:c>
      <x:c r="F205" s="2" t="s">
        <x:v>1031</x:v>
      </x:c>
      <x:c r="G205" s="2" t="s">
        <x:v>158</x:v>
      </x:c>
      <x:c r="H205" s="2" t="s">
        <x:v>618</x:v>
      </x:c>
      <x:c r="I205" s="2" t="s">
        <x:v>1118</x:v>
      </x:c>
      <x:c r="J205" s="2" t="s">
        <x:v>1032</x:v>
      </x:c>
      <x:c r="K205" s="2" t="n">
        <x:v>52</x:v>
      </x:c>
      <x:c r="L205" s="2" t="s">
        <x:v>1120</x:v>
      </x:c>
      <x:c r="M205" s="2" t="s">
        <x:v>1041</x:v>
      </x:c>
      <x:c r="N205" s="2">
        <x:v>4</x:v>
      </x:c>
      <x:c r="O205" s="2" t="s">
        <x:v>1024</x:v>
      </x:c>
      <x:c r="P205" s="2" t="s">
        <x:v>1035</x:v>
      </x:c>
      <x:c r="Q205" s="2"/>
      <x:c r="R205" s="3"/>
      <x:c r="S205" s="3"/>
      <x:c r="T205" s="2"/>
      <x:c r="U205" s="2"/>
      <x:c r="V205" s="2"/>
      <x:c r="W205" s="2" t="s">
        <x:v>1121</x:v>
      </x:c>
      <x:c r="X205" s="3">
        <x:v>2</x:v>
      </x:c>
      <x:c r="Y205" s="3">
        <x:v>3</x:v>
      </x:c>
      <x:c r="Z205" s="2" t="s">
        <x:v>175</x:v>
      </x:c>
      <x:c r="AA205" s="2"/>
      <x:c r="AB205" s="2"/>
      <x:c r="AC205" s="2"/>
      <x:c r="AD205" s="2"/>
      <x:c r="AE205" s="2"/>
      <x:c r="AF205" s="2"/>
      <x:c r="AG205" s="2"/>
      <x:c r="AH205" s="2"/>
      <x:c r="AI205" s="4"/>
      <x:c r="AJ205" s="2"/>
      <x:c r="AK205" s="2" t="s">
        <x:v>176</x:v>
      </x:c>
      <x:c r="AL205" s="2" t="s">
        <x:v>571</x:v>
      </x:c>
      <x:c r="AM205" s="2">
        <x:v>55</x:v>
      </x:c>
      <x:c r="AN205" s="2">
        <x:v>55</x:v>
      </x:c>
    </x:row>
    <x:row r="206" ht="52">
      <x:c r="A206" s="2" t="s">
        <x:v>6</x:v>
      </x:c>
      <x:c r="B206" s="2" t="s">
        <x:v>14</x:v>
      </x:c>
      <x:c r="C206" s="3">
        <x:v>54</x:v>
      </x:c>
      <x:c r="D206" s="2" t="s">
        <x:v>977</x:v>
      </x:c>
      <x:c r="E206" s="2" t="s">
        <x:v>1122</x:v>
      </x:c>
      <x:c r="F206" s="2" t="s">
        <x:v>1123</x:v>
      </x:c>
      <x:c r="G206" s="2"/>
      <x:c r="H206" s="2" t="s">
        <x:v>1124</x:v>
      </x:c>
      <x:c r="I206" s="2" t="s">
        <x:v>1125</x:v>
      </x:c>
      <x:c r="J206" s="2" t="s">
        <x:v>1126</x:v>
      </x:c>
      <x:c r="K206" s="2"/>
      <x:c r="L206" s="2" t="s">
        <x:v>1127</x:v>
      </x:c>
      <x:c r="M206" s="2" t="s">
        <x:v>1128</x:v>
      </x:c>
      <x:c r="N206" s="2">
        <x:v>5</x:v>
      </x:c>
      <x:c r="O206" s="2" t="s">
        <x:v>1129</x:v>
      </x:c>
      <x:c r="P206" s="2" t="s">
        <x:v>1130</x:v>
      </x:c>
      <x:c r="Q206" s="2"/>
      <x:c r="R206" s="3"/>
      <x:c r="S206" s="3"/>
      <x:c r="T206" s="2"/>
      <x:c r="U206" s="2"/>
      <x:c r="V206" s="2"/>
      <x:c r="W206" s="2" t="s">
        <x:v>1131</x:v>
      </x:c>
      <x:c r="X206" s="3">
        <x:v>1</x:v>
      </x:c>
      <x:c r="Y206" s="3">
        <x:v>0</x:v>
      </x:c>
      <x:c r="Z206" s="2" t="s">
        <x:v>191</x:v>
      </x:c>
      <x:c r="AA206" s="2"/>
      <x:c r="AB206" s="2"/>
      <x:c r="AC206" s="2"/>
      <x:c r="AD206" s="2"/>
      <x:c r="AE206" s="2"/>
      <x:c r="AF206" s="2"/>
      <x:c r="AG206" s="2"/>
      <x:c r="AH206" s="2"/>
      <x:c r="AI206" s="4"/>
      <x:c r="AJ206" s="2"/>
      <x:c r="AK206" s="2" t="s">
        <x:v>176</x:v>
      </x:c>
      <x:c r="AL206" s="2" t="s">
        <x:v>571</x:v>
      </x:c>
      <x:c r="AM206" s="2">
        <x:v>56</x:v>
      </x:c>
      <x:c r="AN206" s="2">
        <x:v>56</x:v>
      </x:c>
    </x:row>
    <x:row r="207" ht="52">
      <x:c r="A207" s="2" t="s">
        <x:v>91</x:v>
      </x:c>
      <x:c r="B207" s="2" t="s">
        <x:v>14</x:v>
      </x:c>
      <x:c r="C207" s="3">
        <x:v>55</x:v>
      </x:c>
      <x:c r="D207" s="2" t="s">
        <x:v>985</x:v>
      </x:c>
      <x:c r="E207" s="2" t="s">
        <x:v>1122</x:v>
      </x:c>
      <x:c r="F207" s="2" t="s">
        <x:v>1132</x:v>
      </x:c>
      <x:c r="G207" s="2" t="s">
        <x:v>158</x:v>
      </x:c>
      <x:c r="H207" s="2" t="s">
        <x:v>1124</x:v>
      </x:c>
      <x:c r="I207" s="2" t="s">
        <x:v>1125</x:v>
      </x:c>
      <x:c r="J207" s="2" t="s">
        <x:v>1133</x:v>
      </x:c>
      <x:c r="K207" s="2" t="n">
        <x:v>54</x:v>
      </x:c>
      <x:c r="L207" s="2" t="s">
        <x:v>1134</x:v>
      </x:c>
      <x:c r="M207" s="2" t="s">
        <x:v>1128</x:v>
      </x:c>
      <x:c r="N207" s="2">
        <x:v>5</x:v>
      </x:c>
      <x:c r="O207" s="2" t="s">
        <x:v>1135</x:v>
      </x:c>
      <x:c r="P207" s="2" t="s">
        <x:v>1136</x:v>
      </x:c>
      <x:c r="Q207" s="2"/>
      <x:c r="R207" s="3"/>
      <x:c r="S207" s="3"/>
      <x:c r="T207" s="2"/>
      <x:c r="U207" s="2"/>
      <x:c r="V207" s="2"/>
      <x:c r="W207" s="2" t="s">
        <x:v>1131</x:v>
      </x:c>
      <x:c r="X207" s="3">
        <x:v>1</x:v>
      </x:c>
      <x:c r="Y207" s="3">
        <x:v>2</x:v>
      </x:c>
      <x:c r="Z207" s="2" t="s">
        <x:v>175</x:v>
      </x:c>
      <x:c r="AA207" s="2"/>
      <x:c r="AB207" s="2"/>
      <x:c r="AC207" s="2"/>
      <x:c r="AD207" s="2"/>
      <x:c r="AE207" s="2"/>
      <x:c r="AF207" s="2"/>
      <x:c r="AG207" s="2"/>
      <x:c r="AH207" s="2"/>
      <x:c r="AI207" s="4"/>
      <x:c r="AJ207" s="2"/>
      <x:c r="AK207" s="2" t="s">
        <x:v>176</x:v>
      </x:c>
      <x:c r="AL207" s="2" t="s">
        <x:v>571</x:v>
      </x:c>
      <x:c r="AM207" s="2">
        <x:v>57</x:v>
      </x:c>
      <x:c r="AN207" s="2">
        <x:v>57</x:v>
      </x:c>
    </x:row>
    <x:row r="208" ht="52">
      <x:c r="A208" s="2" t="s">
        <x:v>6</x:v>
      </x:c>
      <x:c r="B208" s="2" t="s">
        <x:v>14</x:v>
      </x:c>
      <x:c r="C208" s="3">
        <x:v>56</x:v>
      </x:c>
      <x:c r="D208" s="2" t="s">
        <x:v>985</x:v>
      </x:c>
      <x:c r="E208" s="2" t="s">
        <x:v>1137</x:v>
      </x:c>
      <x:c r="F208" s="2" t="s">
        <x:v>1138</x:v>
      </x:c>
      <x:c r="G208" s="2"/>
      <x:c r="H208" s="2" t="s">
        <x:v>1124</x:v>
      </x:c>
      <x:c r="I208" s="2" t="s">
        <x:v>1125</x:v>
      </x:c>
      <x:c r="J208" s="2" t="s">
        <x:v>1139</x:v>
      </x:c>
      <x:c r="K208" s="2"/>
      <x:c r="L208" s="2" t="s">
        <x:v>1134</x:v>
      </x:c>
      <x:c r="M208" s="2" t="s">
        <x:v>1128</x:v>
      </x:c>
      <x:c r="N208" s="2">
        <x:v>5</x:v>
      </x:c>
      <x:c r="O208" s="2" t="s">
        <x:v>1140</x:v>
      </x:c>
      <x:c r="P208" s="2" t="s">
        <x:v>1130</x:v>
      </x:c>
      <x:c r="Q208" s="2"/>
      <x:c r="R208" s="3"/>
      <x:c r="S208" s="3"/>
      <x:c r="T208" s="2"/>
      <x:c r="U208" s="2"/>
      <x:c r="V208" s="2"/>
      <x:c r="W208" s="2" t="s">
        <x:v>1141</x:v>
      </x:c>
      <x:c r="X208" s="3">
        <x:v>1</x:v>
      </x:c>
      <x:c r="Y208" s="3">
        <x:v>2</x:v>
      </x:c>
      <x:c r="Z208" s="2" t="s">
        <x:v>175</x:v>
      </x:c>
      <x:c r="AA208" s="2"/>
      <x:c r="AB208" s="2"/>
      <x:c r="AC208" s="2"/>
      <x:c r="AD208" s="2"/>
      <x:c r="AE208" s="2"/>
      <x:c r="AF208" s="2"/>
      <x:c r="AG208" s="2"/>
      <x:c r="AH208" s="2"/>
      <x:c r="AI208" s="4"/>
      <x:c r="AJ208" s="2"/>
      <x:c r="AK208" s="2" t="s">
        <x:v>176</x:v>
      </x:c>
      <x:c r="AL208" s="2" t="s">
        <x:v>571</x:v>
      </x:c>
      <x:c r="AM208" s="2">
        <x:v>58</x:v>
      </x:c>
      <x:c r="AN208" s="2">
        <x:v>58</x:v>
      </x:c>
    </x:row>
    <x:row r="209" ht="52">
      <x:c r="A209" s="2" t="s">
        <x:v>91</x:v>
      </x:c>
      <x:c r="B209" s="2" t="s">
        <x:v>14</x:v>
      </x:c>
      <x:c r="C209" s="3">
        <x:v>57</x:v>
      </x:c>
      <x:c r="D209" s="2" t="s">
        <x:v>977</x:v>
      </x:c>
      <x:c r="E209" s="2" t="s">
        <x:v>1137</x:v>
      </x:c>
      <x:c r="F209" s="2" t="s">
        <x:v>1142</x:v>
      </x:c>
      <x:c r="G209" s="2" t="s">
        <x:v>1143</x:v>
      </x:c>
      <x:c r="H209" s="2" t="s">
        <x:v>1124</x:v>
      </x:c>
      <x:c r="I209" s="2" t="s">
        <x:v>1125</x:v>
      </x:c>
      <x:c r="J209" s="2" t="s">
        <x:v>1144</x:v>
      </x:c>
      <x:c r="K209" s="2" t="n">
        <x:v>56</x:v>
      </x:c>
      <x:c r="L209" s="2" t="s">
        <x:v>1127</x:v>
      </x:c>
      <x:c r="M209" s="2" t="s">
        <x:v>1128</x:v>
      </x:c>
      <x:c r="N209" s="2">
        <x:v>5</x:v>
      </x:c>
      <x:c r="O209" s="2" t="s">
        <x:v>1135</x:v>
      </x:c>
      <x:c r="P209" s="2" t="s">
        <x:v>1136</x:v>
      </x:c>
      <x:c r="Q209" s="2"/>
      <x:c r="R209" s="3"/>
      <x:c r="S209" s="3"/>
      <x:c r="T209" s="2"/>
      <x:c r="U209" s="2"/>
      <x:c r="V209" s="2"/>
      <x:c r="W209" s="2" t="s">
        <x:v>1141</x:v>
      </x:c>
      <x:c r="X209" s="3">
        <x:v>1</x:v>
      </x:c>
      <x:c r="Y209" s="3">
        <x:v>0</x:v>
      </x:c>
      <x:c r="Z209" s="2" t="s">
        <x:v>191</x:v>
      </x:c>
      <x:c r="AA209" s="2"/>
      <x:c r="AB209" s="2"/>
      <x:c r="AC209" s="2"/>
      <x:c r="AD209" s="2"/>
      <x:c r="AE209" s="2"/>
      <x:c r="AF209" s="2"/>
      <x:c r="AG209" s="2"/>
      <x:c r="AH209" s="2"/>
      <x:c r="AI209" s="4"/>
      <x:c r="AJ209" s="2"/>
      <x:c r="AK209" s="2" t="s">
        <x:v>176</x:v>
      </x:c>
      <x:c r="AL209" s="2" t="s">
        <x:v>571</x:v>
      </x:c>
      <x:c r="AM209" s="2">
        <x:v>59</x:v>
      </x:c>
      <x:c r="AN209" s="2">
        <x:v>59</x:v>
      </x:c>
    </x:row>
    <x:row r="210" ht="52">
      <x:c r="A210" s="2" t="s">
        <x:v>6</x:v>
      </x:c>
      <x:c r="B210" s="2" t="s">
        <x:v>14</x:v>
      </x:c>
      <x:c r="C210" s="3">
        <x:v>58</x:v>
      </x:c>
      <x:c r="D210" s="2" t="s">
        <x:v>977</x:v>
      </x:c>
      <x:c r="E210" s="2" t="s">
        <x:v>1122</x:v>
      </x:c>
      <x:c r="F210" s="2" t="s">
        <x:v>1123</x:v>
      </x:c>
      <x:c r="G210" s="2"/>
      <x:c r="H210" s="2" t="s">
        <x:v>1124</x:v>
      </x:c>
      <x:c r="I210" s="2" t="s">
        <x:v>1145</x:v>
      </x:c>
      <x:c r="J210" s="2" t="s">
        <x:v>1126</x:v>
      </x:c>
      <x:c r="K210" s="2"/>
      <x:c r="L210" s="2" t="s">
        <x:v>1127</x:v>
      </x:c>
      <x:c r="M210" s="2" t="s">
        <x:v>1128</x:v>
      </x:c>
      <x:c r="N210" s="2">
        <x:v>5</x:v>
      </x:c>
      <x:c r="O210" s="2" t="s">
        <x:v>1129</x:v>
      </x:c>
      <x:c r="P210" s="2" t="s">
        <x:v>1130</x:v>
      </x:c>
      <x:c r="Q210" s="2"/>
      <x:c r="R210" s="3"/>
      <x:c r="S210" s="3"/>
      <x:c r="T210" s="2"/>
      <x:c r="U210" s="2"/>
      <x:c r="V210" s="2"/>
      <x:c r="W210" s="2" t="s">
        <x:v>1146</x:v>
      </x:c>
      <x:c r="X210" s="3">
        <x:v>1</x:v>
      </x:c>
      <x:c r="Y210" s="3">
        <x:v>0</x:v>
      </x:c>
      <x:c r="Z210" s="2" t="s">
        <x:v>191</x:v>
      </x:c>
      <x:c r="AA210" s="2"/>
      <x:c r="AB210" s="2"/>
      <x:c r="AC210" s="2"/>
      <x:c r="AD210" s="2"/>
      <x:c r="AE210" s="2"/>
      <x:c r="AF210" s="2"/>
      <x:c r="AG210" s="2"/>
      <x:c r="AH210" s="2"/>
      <x:c r="AI210" s="4"/>
      <x:c r="AJ210" s="2"/>
      <x:c r="AK210" s="2" t="s">
        <x:v>176</x:v>
      </x:c>
      <x:c r="AL210" s="2" t="s">
        <x:v>571</x:v>
      </x:c>
      <x:c r="AM210" s="2">
        <x:v>60</x:v>
      </x:c>
      <x:c r="AN210" s="2">
        <x:v>60</x:v>
      </x:c>
    </x:row>
    <x:row r="211" ht="52">
      <x:c r="A211" s="2" t="s">
        <x:v>91</x:v>
      </x:c>
      <x:c r="B211" s="2" t="s">
        <x:v>14</x:v>
      </x:c>
      <x:c r="C211" s="3">
        <x:v>59</x:v>
      </x:c>
      <x:c r="D211" s="2" t="s">
        <x:v>985</x:v>
      </x:c>
      <x:c r="E211" s="2" t="s">
        <x:v>1122</x:v>
      </x:c>
      <x:c r="F211" s="2" t="s">
        <x:v>1132</x:v>
      </x:c>
      <x:c r="G211" s="2" t="s">
        <x:v>158</x:v>
      </x:c>
      <x:c r="H211" s="2" t="s">
        <x:v>1124</x:v>
      </x:c>
      <x:c r="I211" s="2" t="s">
        <x:v>1145</x:v>
      </x:c>
      <x:c r="J211" s="2" t="s">
        <x:v>1133</x:v>
      </x:c>
      <x:c r="K211" s="2" t="n">
        <x:v>58</x:v>
      </x:c>
      <x:c r="L211" s="2" t="s">
        <x:v>1134</x:v>
      </x:c>
      <x:c r="M211" s="2" t="s">
        <x:v>1128</x:v>
      </x:c>
      <x:c r="N211" s="2">
        <x:v>5</x:v>
      </x:c>
      <x:c r="O211" s="2" t="s">
        <x:v>1135</x:v>
      </x:c>
      <x:c r="P211" s="2" t="s">
        <x:v>1136</x:v>
      </x:c>
      <x:c r="Q211" s="2"/>
      <x:c r="R211" s="3"/>
      <x:c r="S211" s="3"/>
      <x:c r="T211" s="2"/>
      <x:c r="U211" s="2"/>
      <x:c r="V211" s="2"/>
      <x:c r="W211" s="2" t="s">
        <x:v>1146</x:v>
      </x:c>
      <x:c r="X211" s="3">
        <x:v>1</x:v>
      </x:c>
      <x:c r="Y211" s="3">
        <x:v>2</x:v>
      </x:c>
      <x:c r="Z211" s="2" t="s">
        <x:v>175</x:v>
      </x:c>
      <x:c r="AA211" s="2"/>
      <x:c r="AB211" s="2"/>
      <x:c r="AC211" s="2"/>
      <x:c r="AD211" s="2"/>
      <x:c r="AE211" s="2"/>
      <x:c r="AF211" s="2"/>
      <x:c r="AG211" s="2"/>
      <x:c r="AH211" s="2"/>
      <x:c r="AI211" s="4"/>
      <x:c r="AJ211" s="2"/>
      <x:c r="AK211" s="2" t="s">
        <x:v>176</x:v>
      </x:c>
      <x:c r="AL211" s="2" t="s">
        <x:v>571</x:v>
      </x:c>
      <x:c r="AM211" s="2">
        <x:v>61</x:v>
      </x:c>
      <x:c r="AN211" s="2">
        <x:v>61</x:v>
      </x:c>
    </x:row>
    <x:row r="212" ht="52">
      <x:c r="A212" s="2" t="s">
        <x:v>6</x:v>
      </x:c>
      <x:c r="B212" s="2" t="s">
        <x:v>14</x:v>
      </x:c>
      <x:c r="C212" s="3">
        <x:v>60</x:v>
      </x:c>
      <x:c r="D212" s="2" t="s">
        <x:v>985</x:v>
      </x:c>
      <x:c r="E212" s="2" t="s">
        <x:v>1137</x:v>
      </x:c>
      <x:c r="F212" s="2" t="s">
        <x:v>1138</x:v>
      </x:c>
      <x:c r="G212" s="2"/>
      <x:c r="H212" s="2" t="s">
        <x:v>1124</x:v>
      </x:c>
      <x:c r="I212" s="2" t="s">
        <x:v>1145</x:v>
      </x:c>
      <x:c r="J212" s="2" t="s">
        <x:v>1139</x:v>
      </x:c>
      <x:c r="K212" s="2"/>
      <x:c r="L212" s="2" t="s">
        <x:v>1134</x:v>
      </x:c>
      <x:c r="M212" s="2" t="s">
        <x:v>1128</x:v>
      </x:c>
      <x:c r="N212" s="2">
        <x:v>5</x:v>
      </x:c>
      <x:c r="O212" s="2" t="s">
        <x:v>1140</x:v>
      </x:c>
      <x:c r="P212" s="2" t="s">
        <x:v>1130</x:v>
      </x:c>
      <x:c r="Q212" s="2"/>
      <x:c r="R212" s="3"/>
      <x:c r="S212" s="3"/>
      <x:c r="T212" s="2"/>
      <x:c r="U212" s="2"/>
      <x:c r="V212" s="2"/>
      <x:c r="W212" s="2" t="s">
        <x:v>1147</x:v>
      </x:c>
      <x:c r="X212" s="3">
        <x:v>1</x:v>
      </x:c>
      <x:c r="Y212" s="3">
        <x:v>2</x:v>
      </x:c>
      <x:c r="Z212" s="2" t="s">
        <x:v>175</x:v>
      </x:c>
      <x:c r="AA212" s="2"/>
      <x:c r="AB212" s="2"/>
      <x:c r="AC212" s="2"/>
      <x:c r="AD212" s="2"/>
      <x:c r="AE212" s="2"/>
      <x:c r="AF212" s="2"/>
      <x:c r="AG212" s="2"/>
      <x:c r="AH212" s="2"/>
      <x:c r="AI212" s="4"/>
      <x:c r="AJ212" s="2"/>
      <x:c r="AK212" s="2" t="s">
        <x:v>176</x:v>
      </x:c>
      <x:c r="AL212" s="2" t="s">
        <x:v>571</x:v>
      </x:c>
      <x:c r="AM212" s="2">
        <x:v>62</x:v>
      </x:c>
      <x:c r="AN212" s="2">
        <x:v>62</x:v>
      </x:c>
    </x:row>
    <x:row r="213" ht="52">
      <x:c r="A213" s="2" t="s">
        <x:v>6</x:v>
      </x:c>
      <x:c r="B213" s="2" t="s">
        <x:v>14</x:v>
      </x:c>
      <x:c r="C213" s="3">
        <x:v>61</x:v>
      </x:c>
      <x:c r="D213" s="2" t="s">
        <x:v>977</x:v>
      </x:c>
      <x:c r="E213" s="2" t="s">
        <x:v>1137</x:v>
      </x:c>
      <x:c r="F213" s="2" t="s">
        <x:v>1142</x:v>
      </x:c>
      <x:c r="G213" s="2"/>
      <x:c r="H213" s="2" t="s">
        <x:v>1124</x:v>
      </x:c>
      <x:c r="I213" s="2" t="s">
        <x:v>1145</x:v>
      </x:c>
      <x:c r="J213" s="2" t="s">
        <x:v>1144</x:v>
      </x:c>
      <x:c r="K213" s="2" t="n">
        <x:v>60</x:v>
      </x:c>
      <x:c r="L213" s="2" t="s">
        <x:v>1127</x:v>
      </x:c>
      <x:c r="M213" s="2" t="s">
        <x:v>1128</x:v>
      </x:c>
      <x:c r="N213" s="2">
        <x:v>5</x:v>
      </x:c>
      <x:c r="O213" s="2" t="s">
        <x:v>1135</x:v>
      </x:c>
      <x:c r="P213" s="2" t="s">
        <x:v>1136</x:v>
      </x:c>
      <x:c r="Q213" s="2"/>
      <x:c r="R213" s="3"/>
      <x:c r="S213" s="3"/>
      <x:c r="T213" s="2"/>
      <x:c r="U213" s="2"/>
      <x:c r="V213" s="2"/>
      <x:c r="W213" s="2" t="s">
        <x:v>1147</x:v>
      </x:c>
      <x:c r="X213" s="3">
        <x:v>1</x:v>
      </x:c>
      <x:c r="Y213" s="3">
        <x:v>0</x:v>
      </x:c>
      <x:c r="Z213" s="2" t="s">
        <x:v>191</x:v>
      </x:c>
      <x:c r="AA213" s="2"/>
      <x:c r="AB213" s="2"/>
      <x:c r="AC213" s="2"/>
      <x:c r="AD213" s="2"/>
      <x:c r="AE213" s="2"/>
      <x:c r="AF213" s="2"/>
      <x:c r="AG213" s="2"/>
      <x:c r="AH213" s="2"/>
      <x:c r="AI213" s="4"/>
      <x:c r="AJ213" s="2"/>
      <x:c r="AK213" s="2" t="s">
        <x:v>176</x:v>
      </x:c>
      <x:c r="AL213" s="2" t="s">
        <x:v>571</x:v>
      </x:c>
      <x:c r="AM213" s="2">
        <x:v>63</x:v>
      </x:c>
      <x:c r="AN213" s="2">
        <x:v>63</x:v>
      </x:c>
    </x:row>
    <x:row r="214" ht="39">
      <x:c r="A214" s="2" t="s">
        <x:v>91</x:v>
      </x:c>
      <x:c r="B214" s="2" t="s">
        <x:v>14</x:v>
      </x:c>
      <x:c r="C214" s="3">
        <x:v>62</x:v>
      </x:c>
      <x:c r="D214" s="2" t="s">
        <x:v>166</x:v>
      </x:c>
      <x:c r="E214" s="2" t="s">
        <x:v>1117</x:v>
      </x:c>
      <x:c r="F214" s="2" t="s">
        <x:v>1011</x:v>
      </x:c>
      <x:c r="G214" s="2" t="s">
        <x:v>158</x:v>
      </x:c>
      <x:c r="H214" s="2" t="s">
        <x:v>618</x:v>
      </x:c>
      <x:c r="I214" s="2" t="s">
        <x:v>1148</x:v>
      </x:c>
      <x:c r="J214" s="2" t="s">
        <x:v>1013</x:v>
      </x:c>
      <x:c r="K214" s="2"/>
      <x:c r="L214" s="2" t="s">
        <x:v>1014</x:v>
      </x:c>
      <x:c r="M214" s="2" t="s">
        <x:v>1015</x:v>
      </x:c>
      <x:c r="N214" s="2">
        <x:v>4</x:v>
      </x:c>
      <x:c r="O214" s="2" t="s">
        <x:v>1016</x:v>
      </x:c>
      <x:c r="P214" s="2" t="s">
        <x:v>1017</x:v>
      </x:c>
      <x:c r="Q214" s="2"/>
      <x:c r="R214" s="3"/>
      <x:c r="S214" s="3"/>
      <x:c r="T214" s="2"/>
      <x:c r="U214" s="2"/>
      <x:c r="V214" s="2"/>
      <x:c r="W214" s="2" t="s">
        <x:v>1149</x:v>
      </x:c>
      <x:c r="X214" s="3">
        <x:v>2</x:v>
      </x:c>
      <x:c r="Y214" s="3">
        <x:v>1</x:v>
      </x:c>
      <x:c r="Z214" s="2" t="s">
        <x:v>191</x:v>
      </x:c>
      <x:c r="AA214" s="2"/>
      <x:c r="AB214" s="2"/>
      <x:c r="AC214" s="2"/>
      <x:c r="AD214" s="2"/>
      <x:c r="AE214" s="2"/>
      <x:c r="AF214" s="2"/>
      <x:c r="AG214" s="2"/>
      <x:c r="AH214" s="2"/>
      <x:c r="AI214" s="4"/>
      <x:c r="AJ214" s="2"/>
      <x:c r="AK214" s="2" t="s">
        <x:v>176</x:v>
      </x:c>
      <x:c r="AL214" s="2" t="s">
        <x:v>571</x:v>
      </x:c>
      <x:c r="AM214" s="2">
        <x:v>64</x:v>
      </x:c>
      <x:c r="AN214" s="2">
        <x:v>64</x:v>
      </x:c>
    </x:row>
    <x:row r="215" ht="39">
      <x:c r="A215" s="2" t="s">
        <x:v>91</x:v>
      </x:c>
      <x:c r="B215" s="2" t="s">
        <x:v>14</x:v>
      </x:c>
      <x:c r="C215" s="3">
        <x:v>63</x:v>
      </x:c>
      <x:c r="D215" s="2" t="s">
        <x:v>184</x:v>
      </x:c>
      <x:c r="E215" s="2" t="s">
        <x:v>1117</x:v>
      </x:c>
      <x:c r="F215" s="2" t="s">
        <x:v>1031</x:v>
      </x:c>
      <x:c r="G215" s="2" t="s">
        <x:v>158</x:v>
      </x:c>
      <x:c r="H215" s="2" t="s">
        <x:v>618</x:v>
      </x:c>
      <x:c r="I215" s="2" t="s">
        <x:v>1148</x:v>
      </x:c>
      <x:c r="J215" s="2" t="s">
        <x:v>1032</x:v>
      </x:c>
      <x:c r="K215" s="2" t="n">
        <x:v>62</x:v>
      </x:c>
      <x:c r="L215" s="2" t="s">
        <x:v>1120</x:v>
      </x:c>
      <x:c r="M215" s="2" t="s">
        <x:v>1041</x:v>
      </x:c>
      <x:c r="N215" s="2">
        <x:v>4</x:v>
      </x:c>
      <x:c r="O215" s="2" t="s">
        <x:v>1024</x:v>
      </x:c>
      <x:c r="P215" s="2" t="s">
        <x:v>1035</x:v>
      </x:c>
      <x:c r="Q215" s="2"/>
      <x:c r="R215" s="3"/>
      <x:c r="S215" s="3"/>
      <x:c r="T215" s="2"/>
      <x:c r="U215" s="2"/>
      <x:c r="V215" s="2"/>
      <x:c r="W215" s="2" t="s">
        <x:v>1150</x:v>
      </x:c>
      <x:c r="X215" s="3">
        <x:v>2</x:v>
      </x:c>
      <x:c r="Y215" s="3">
        <x:v>3</x:v>
      </x:c>
      <x:c r="Z215" s="2" t="s">
        <x:v>175</x:v>
      </x:c>
      <x:c r="AA215" s="2"/>
      <x:c r="AB215" s="2"/>
      <x:c r="AC215" s="2"/>
      <x:c r="AD215" s="2"/>
      <x:c r="AE215" s="2"/>
      <x:c r="AF215" s="2"/>
      <x:c r="AG215" s="2"/>
      <x:c r="AH215" s="2"/>
      <x:c r="AI215" s="4"/>
      <x:c r="AJ215" s="2"/>
      <x:c r="AK215" s="2" t="s">
        <x:v>176</x:v>
      </x:c>
      <x:c r="AL215" s="2" t="s">
        <x:v>571</x:v>
      </x:c>
      <x:c r="AM215" s="2">
        <x:v>65</x:v>
      </x:c>
      <x:c r="AN215" s="2">
        <x:v>65</x:v>
      </x:c>
    </x:row>
    <x:row r="216" ht="39">
      <x:c r="A216" s="2" t="s">
        <x:v>91</x:v>
      </x:c>
      <x:c r="B216" s="2" t="s">
        <x:v>14</x:v>
      </x:c>
      <x:c r="C216" s="3">
        <x:v>64</x:v>
      </x:c>
      <x:c r="D216" s="2" t="s">
        <x:v>184</x:v>
      </x:c>
      <x:c r="E216" s="2" t="s">
        <x:v>1151</x:v>
      </x:c>
      <x:c r="F216" s="2" t="s">
        <x:v>1031</x:v>
      </x:c>
      <x:c r="G216" s="2" t="s">
        <x:v>158</x:v>
      </x:c>
      <x:c r="H216" s="2" t="s">
        <x:v>618</x:v>
      </x:c>
      <x:c r="I216" s="2" t="s">
        <x:v>1152</x:v>
      </x:c>
      <x:c r="J216" s="2" t="s">
        <x:v>1032</x:v>
      </x:c>
      <x:c r="K216" s="2"/>
      <x:c r="L216" s="2" t="s">
        <x:v>1106</x:v>
      </x:c>
      <x:c r="M216" s="2" t="s">
        <x:v>1107</x:v>
      </x:c>
      <x:c r="N216" s="2">
        <x:v>4</x:v>
      </x:c>
      <x:c r="O216" s="2" t="s">
        <x:v>1024</x:v>
      </x:c>
      <x:c r="P216" s="2" t="s">
        <x:v>1035</x:v>
      </x:c>
      <x:c r="Q216" s="2"/>
      <x:c r="R216" s="3"/>
      <x:c r="S216" s="3"/>
      <x:c r="T216" s="2"/>
      <x:c r="U216" s="2"/>
      <x:c r="V216" s="2"/>
      <x:c r="W216" s="2" t="s">
        <x:v>1153</x:v>
      </x:c>
      <x:c r="X216" s="3">
        <x:v>2</x:v>
      </x:c>
      <x:c r="Y216" s="3">
        <x:v>3</x:v>
      </x:c>
      <x:c r="Z216" s="2" t="s">
        <x:v>175</x:v>
      </x:c>
      <x:c r="AA216" s="2"/>
      <x:c r="AB216" s="2"/>
      <x:c r="AC216" s="2"/>
      <x:c r="AD216" s="2"/>
      <x:c r="AE216" s="2"/>
      <x:c r="AF216" s="2"/>
      <x:c r="AG216" s="2"/>
      <x:c r="AH216" s="2"/>
      <x:c r="AI216" s="4"/>
      <x:c r="AJ216" s="2"/>
      <x:c r="AK216" s="2" t="s">
        <x:v>176</x:v>
      </x:c>
      <x:c r="AL216" s="2" t="s">
        <x:v>571</x:v>
      </x:c>
      <x:c r="AM216" s="2">
        <x:v>66</x:v>
      </x:c>
      <x:c r="AN216" s="2">
        <x:v>66</x:v>
      </x:c>
    </x:row>
    <x:row r="217" ht="39">
      <x:c r="A217" s="2" t="s">
        <x:v>91</x:v>
      </x:c>
      <x:c r="B217" s="2" t="s">
        <x:v>14</x:v>
      </x:c>
      <x:c r="C217" s="3">
        <x:v>65</x:v>
      </x:c>
      <x:c r="D217" s="2" t="s">
        <x:v>166</x:v>
      </x:c>
      <x:c r="E217" s="2" t="s">
        <x:v>1151</x:v>
      </x:c>
      <x:c r="F217" s="2" t="s">
        <x:v>1011</x:v>
      </x:c>
      <x:c r="G217" s="2" t="s">
        <x:v>158</x:v>
      </x:c>
      <x:c r="H217" s="2" t="s">
        <x:v>618</x:v>
      </x:c>
      <x:c r="I217" s="2" t="s">
        <x:v>1152</x:v>
      </x:c>
      <x:c r="J217" s="2" t="s">
        <x:v>1013</x:v>
      </x:c>
      <x:c r="K217" s="2" t="n">
        <x:v>64</x:v>
      </x:c>
      <x:c r="L217" s="2" t="s">
        <x:v>1074</x:v>
      </x:c>
      <x:c r="M217" s="2" t="s">
        <x:v>1034</x:v>
      </x:c>
      <x:c r="N217" s="2">
        <x:v>4</x:v>
      </x:c>
      <x:c r="O217" s="2" t="s">
        <x:v>1016</x:v>
      </x:c>
      <x:c r="P217" s="2" t="s">
        <x:v>1017</x:v>
      </x:c>
      <x:c r="Q217" s="2"/>
      <x:c r="R217" s="3"/>
      <x:c r="S217" s="3"/>
      <x:c r="T217" s="2"/>
      <x:c r="U217" s="2"/>
      <x:c r="V217" s="2"/>
      <x:c r="W217" s="2" t="s">
        <x:v>1154</x:v>
      </x:c>
      <x:c r="X217" s="3">
        <x:v>2</x:v>
      </x:c>
      <x:c r="Y217" s="3">
        <x:v>1</x:v>
      </x:c>
      <x:c r="Z217" s="2" t="s">
        <x:v>191</x:v>
      </x:c>
      <x:c r="AA217" s="2"/>
      <x:c r="AB217" s="2"/>
      <x:c r="AC217" s="2"/>
      <x:c r="AD217" s="2"/>
      <x:c r="AE217" s="2"/>
      <x:c r="AF217" s="2"/>
      <x:c r="AG217" s="2"/>
      <x:c r="AH217" s="2"/>
      <x:c r="AI217" s="4"/>
      <x:c r="AJ217" s="2"/>
      <x:c r="AK217" s="2" t="s">
        <x:v>176</x:v>
      </x:c>
      <x:c r="AL217" s="2" t="s">
        <x:v>571</x:v>
      </x:c>
      <x:c r="AM217" s="2">
        <x:v>67</x:v>
      </x:c>
      <x:c r="AN217" s="2">
        <x:v>67</x:v>
      </x:c>
    </x:row>
    <x:row r="218" ht="39">
      <x:c r="A218" s="2" t="s">
        <x:v>91</x:v>
      </x:c>
      <x:c r="B218" s="2" t="s">
        <x:v>14</x:v>
      </x:c>
      <x:c r="C218" s="3">
        <x:v>66</x:v>
      </x:c>
      <x:c r="D218" s="2" t="s">
        <x:v>184</x:v>
      </x:c>
      <x:c r="E218" s="2" t="s">
        <x:v>1151</x:v>
      </x:c>
      <x:c r="F218" s="2" t="s">
        <x:v>1031</x:v>
      </x:c>
      <x:c r="G218" s="2" t="s">
        <x:v>158</x:v>
      </x:c>
      <x:c r="H218" s="2" t="s">
        <x:v>618</x:v>
      </x:c>
      <x:c r="I218" s="2" t="s">
        <x:v>1155</x:v>
      </x:c>
      <x:c r="J218" s="2" t="s">
        <x:v>1032</x:v>
      </x:c>
      <x:c r="K218" s="2"/>
      <x:c r="L218" s="2" t="s">
        <x:v>1106</x:v>
      </x:c>
      <x:c r="M218" s="2" t="s">
        <x:v>1107</x:v>
      </x:c>
      <x:c r="N218" s="2">
        <x:v>4</x:v>
      </x:c>
      <x:c r="O218" s="2" t="s">
        <x:v>1024</x:v>
      </x:c>
      <x:c r="P218" s="2" t="s">
        <x:v>1035</x:v>
      </x:c>
      <x:c r="Q218" s="2"/>
      <x:c r="R218" s="3"/>
      <x:c r="S218" s="3"/>
      <x:c r="T218" s="2"/>
      <x:c r="U218" s="2"/>
      <x:c r="V218" s="2"/>
      <x:c r="W218" s="2" t="s">
        <x:v>1156</x:v>
      </x:c>
      <x:c r="X218" s="3">
        <x:v>2</x:v>
      </x:c>
      <x:c r="Y218" s="3">
        <x:v>3</x:v>
      </x:c>
      <x:c r="Z218" s="2" t="s">
        <x:v>175</x:v>
      </x:c>
      <x:c r="AA218" s="2"/>
      <x:c r="AB218" s="2"/>
      <x:c r="AC218" s="2"/>
      <x:c r="AD218" s="2"/>
      <x:c r="AE218" s="2"/>
      <x:c r="AF218" s="2"/>
      <x:c r="AG218" s="2"/>
      <x:c r="AH218" s="2"/>
      <x:c r="AI218" s="4"/>
      <x:c r="AJ218" s="2"/>
      <x:c r="AK218" s="2" t="s">
        <x:v>176</x:v>
      </x:c>
      <x:c r="AL218" s="2" t="s">
        <x:v>571</x:v>
      </x:c>
      <x:c r="AM218" s="2">
        <x:v>68</x:v>
      </x:c>
      <x:c r="AN218" s="2">
        <x:v>68</x:v>
      </x:c>
    </x:row>
    <x:row r="219" ht="39">
      <x:c r="A219" s="2" t="s">
        <x:v>91</x:v>
      </x:c>
      <x:c r="B219" s="2" t="s">
        <x:v>14</x:v>
      </x:c>
      <x:c r="C219" s="3">
        <x:v>67</x:v>
      </x:c>
      <x:c r="D219" s="2" t="s">
        <x:v>166</x:v>
      </x:c>
      <x:c r="E219" s="2" t="s">
        <x:v>1151</x:v>
      </x:c>
      <x:c r="F219" s="2" t="s">
        <x:v>1011</x:v>
      </x:c>
      <x:c r="G219" s="2" t="s">
        <x:v>158</x:v>
      </x:c>
      <x:c r="H219" s="2" t="s">
        <x:v>618</x:v>
      </x:c>
      <x:c r="I219" s="2" t="s">
        <x:v>1155</x:v>
      </x:c>
      <x:c r="J219" s="2" t="s">
        <x:v>1013</x:v>
      </x:c>
      <x:c r="K219" s="2" t="n">
        <x:v>66</x:v>
      </x:c>
      <x:c r="L219" s="2" t="s">
        <x:v>1074</x:v>
      </x:c>
      <x:c r="M219" s="2" t="s">
        <x:v>1034</x:v>
      </x:c>
      <x:c r="N219" s="2">
        <x:v>4</x:v>
      </x:c>
      <x:c r="O219" s="2" t="s">
        <x:v>1016</x:v>
      </x:c>
      <x:c r="P219" s="2" t="s">
        <x:v>1017</x:v>
      </x:c>
      <x:c r="Q219" s="2"/>
      <x:c r="R219" s="3"/>
      <x:c r="S219" s="3"/>
      <x:c r="T219" s="2"/>
      <x:c r="U219" s="2"/>
      <x:c r="V219" s="2"/>
      <x:c r="W219" s="2" t="s">
        <x:v>1157</x:v>
      </x:c>
      <x:c r="X219" s="3">
        <x:v>2</x:v>
      </x:c>
      <x:c r="Y219" s="3">
        <x:v>1</x:v>
      </x:c>
      <x:c r="Z219" s="2" t="s">
        <x:v>191</x:v>
      </x:c>
      <x:c r="AA219" s="2"/>
      <x:c r="AB219" s="2"/>
      <x:c r="AC219" s="2"/>
      <x:c r="AD219" s="2"/>
      <x:c r="AE219" s="2"/>
      <x:c r="AF219" s="2"/>
      <x:c r="AG219" s="2"/>
      <x:c r="AH219" s="2"/>
      <x:c r="AI219" s="4"/>
      <x:c r="AJ219" s="2"/>
      <x:c r="AK219" s="2" t="s">
        <x:v>176</x:v>
      </x:c>
      <x:c r="AL219" s="2" t="s">
        <x:v>571</x:v>
      </x:c>
      <x:c r="AM219" s="2">
        <x:v>69</x:v>
      </x:c>
      <x:c r="AN219" s="2">
        <x:v>69</x:v>
      </x:c>
    </x:row>
    <x:row r="220" ht="39">
      <x:c r="A220" s="2" t="s">
        <x:v>91</x:v>
      </x:c>
      <x:c r="B220" s="2" t="s">
        <x:v>14</x:v>
      </x:c>
      <x:c r="C220" s="3">
        <x:v>68</x:v>
      </x:c>
      <x:c r="D220" s="2" t="s">
        <x:v>166</x:v>
      </x:c>
      <x:c r="E220" s="2" t="s">
        <x:v>1043</x:v>
      </x:c>
      <x:c r="F220" s="2" t="s">
        <x:v>1011</x:v>
      </x:c>
      <x:c r="G220" s="2" t="s">
        <x:v>158</x:v>
      </x:c>
      <x:c r="H220" s="2" t="s">
        <x:v>618</x:v>
      </x:c>
      <x:c r="I220" s="2" t="s">
        <x:v>1158</x:v>
      </x:c>
      <x:c r="J220" s="2" t="s">
        <x:v>1013</x:v>
      </x:c>
      <x:c r="K220" s="2"/>
      <x:c r="L220" s="2" t="s">
        <x:v>1014</x:v>
      </x:c>
      <x:c r="M220" s="2" t="s">
        <x:v>1015</x:v>
      </x:c>
      <x:c r="N220" s="2">
        <x:v>3</x:v>
      </x:c>
      <x:c r="O220" s="2" t="s">
        <x:v>1016</x:v>
      </x:c>
      <x:c r="P220" s="2" t="s">
        <x:v>1017</x:v>
      </x:c>
      <x:c r="Q220" s="2"/>
      <x:c r="R220" s="3"/>
      <x:c r="S220" s="3"/>
      <x:c r="T220" s="2"/>
      <x:c r="U220" s="2"/>
      <x:c r="V220" s="2"/>
      <x:c r="W220" s="2" t="s">
        <x:v>1159</x:v>
      </x:c>
      <x:c r="X220" s="3">
        <x:v>2</x:v>
      </x:c>
      <x:c r="Y220" s="3">
        <x:v>1</x:v>
      </x:c>
      <x:c r="Z220" s="2" t="s">
        <x:v>191</x:v>
      </x:c>
      <x:c r="AA220" s="2"/>
      <x:c r="AB220" s="2"/>
      <x:c r="AC220" s="2"/>
      <x:c r="AD220" s="2"/>
      <x:c r="AE220" s="2"/>
      <x:c r="AF220" s="2"/>
      <x:c r="AG220" s="2"/>
      <x:c r="AH220" s="2"/>
      <x:c r="AI220" s="4"/>
      <x:c r="AJ220" s="2"/>
      <x:c r="AK220" s="2" t="s">
        <x:v>176</x:v>
      </x:c>
      <x:c r="AL220" s="2" t="s">
        <x:v>571</x:v>
      </x:c>
      <x:c r="AM220" s="2">
        <x:v>70</x:v>
      </x:c>
      <x:c r="AN220" s="2">
        <x:v>70</x:v>
      </x:c>
    </x:row>
    <x:row r="221" ht="26">
      <x:c r="A221" s="2" t="s">
        <x:v>91</x:v>
      </x:c>
      <x:c r="B221" s="2" t="s">
        <x:v>14</x:v>
      </x:c>
      <x:c r="C221" s="3">
        <x:v>69</x:v>
      </x:c>
      <x:c r="D221" s="2" t="s">
        <x:v>1160</x:v>
      </x:c>
      <x:c r="E221" s="2" t="s">
        <x:v>1043</x:v>
      </x:c>
      <x:c r="F221" s="2" t="s">
        <x:v>1161</x:v>
      </x:c>
      <x:c r="G221" s="2" t="s">
        <x:v>1162</x:v>
      </x:c>
      <x:c r="H221" s="2" t="s">
        <x:v>627</x:v>
      </x:c>
      <x:c r="I221" s="2" t="s">
        <x:v>1158</x:v>
      </x:c>
      <x:c r="J221" s="2" t="s">
        <x:v>1021</x:v>
      </x:c>
      <x:c r="K221" s="2" t="n">
        <x:v>68</x:v>
      </x:c>
      <x:c r="L221" s="2" t="s">
        <x:v>1163</x:v>
      </x:c>
      <x:c r="M221" s="2" t="s">
        <x:v>1023</x:v>
      </x:c>
      <x:c r="N221" s="2">
        <x:v>3</x:v>
      </x:c>
      <x:c r="O221" s="2" t="s">
        <x:v>1024</x:v>
      </x:c>
      <x:c r="P221" s="2" t="s">
        <x:v>1025</x:v>
      </x:c>
      <x:c r="Q221" s="2"/>
      <x:c r="R221" s="3"/>
      <x:c r="S221" s="3"/>
      <x:c r="T221" s="2"/>
      <x:c r="U221" s="2"/>
      <x:c r="V221" s="2"/>
      <x:c r="W221" s="2" t="s">
        <x:v>1159</x:v>
      </x:c>
      <x:c r="X221" s="3">
        <x:v>2</x:v>
      </x:c>
      <x:c r="Y221" s="3">
        <x:v>1</x:v>
      </x:c>
      <x:c r="Z221" s="2" t="s">
        <x:v>191</x:v>
      </x:c>
      <x:c r="AA221" s="2"/>
      <x:c r="AB221" s="2"/>
      <x:c r="AC221" s="2"/>
      <x:c r="AD221" s="2"/>
      <x:c r="AE221" s="2"/>
      <x:c r="AF221" s="2"/>
      <x:c r="AG221" s="2"/>
      <x:c r="AH221" s="2"/>
      <x:c r="AI221" s="4"/>
      <x:c r="AJ221" s="2"/>
      <x:c r="AK221" s="2" t="s">
        <x:v>176</x:v>
      </x:c>
      <x:c r="AL221" s="2" t="s">
        <x:v>571</x:v>
      </x:c>
      <x:c r="AM221" s="2">
        <x:v>71</x:v>
      </x:c>
      <x:c r="AN221" s="2">
        <x:v>71</x:v>
      </x:c>
    </x:row>
    <x:row r="222" ht="26">
      <x:c r="A222" s="2" t="s">
        <x:v>6</x:v>
      </x:c>
      <x:c r="B222" s="2" t="s">
        <x:v>14</x:v>
      </x:c>
      <x:c r="C222" s="3">
        <x:v>70</x:v>
      </x:c>
      <x:c r="D222" s="2" t="s">
        <x:v>1026</x:v>
      </x:c>
      <x:c r="E222" s="2" t="s">
        <x:v>1043</x:v>
      </x:c>
      <x:c r="F222" s="2" t="s">
        <x:v>1027</x:v>
      </x:c>
      <x:c r="G222" s="2"/>
      <x:c r="H222" s="2" t="s">
        <x:v>627</x:v>
      </x:c>
      <x:c r="I222" s="2" t="s">
        <x:v>1158</x:v>
      </x:c>
      <x:c r="J222" s="2" t="s">
        <x:v>1028</x:v>
      </x:c>
      <x:c r="K222" s="2"/>
      <x:c r="L222" s="2" t="s">
        <x:v>1029</x:v>
      </x:c>
      <x:c r="M222" s="2" t="s">
        <x:v>1023</x:v>
      </x:c>
      <x:c r="N222" s="2">
        <x:v>3</x:v>
      </x:c>
      <x:c r="O222" s="2" t="s">
        <x:v>1024</x:v>
      </x:c>
      <x:c r="P222" s="2" t="s">
        <x:v>1025</x:v>
      </x:c>
      <x:c r="Q222" s="2"/>
      <x:c r="R222" s="3"/>
      <x:c r="S222" s="3"/>
      <x:c r="T222" s="2"/>
      <x:c r="U222" s="2"/>
      <x:c r="V222" s="2"/>
      <x:c r="W222" s="2" t="s">
        <x:v>1164</x:v>
      </x:c>
      <x:c r="X222" s="3">
        <x:v>2</x:v>
      </x:c>
      <x:c r="Y222" s="3">
        <x:v>3</x:v>
      </x:c>
      <x:c r="Z222" s="2" t="s">
        <x:v>175</x:v>
      </x:c>
      <x:c r="AA222" s="2"/>
      <x:c r="AB222" s="2"/>
      <x:c r="AC222" s="2"/>
      <x:c r="AD222" s="2"/>
      <x:c r="AE222" s="2"/>
      <x:c r="AF222" s="2"/>
      <x:c r="AG222" s="2"/>
      <x:c r="AH222" s="2"/>
      <x:c r="AI222" s="4"/>
      <x:c r="AJ222" s="2"/>
      <x:c r="AK222" s="2" t="s">
        <x:v>176</x:v>
      </x:c>
      <x:c r="AL222" s="2" t="s">
        <x:v>571</x:v>
      </x:c>
      <x:c r="AM222" s="2">
        <x:v>72</x:v>
      </x:c>
      <x:c r="AN222" s="2">
        <x:v>72</x:v>
      </x:c>
    </x:row>
    <x:row r="223" ht="39">
      <x:c r="A223" s="2" t="s">
        <x:v>91</x:v>
      </x:c>
      <x:c r="B223" s="2" t="s">
        <x:v>14</x:v>
      </x:c>
      <x:c r="C223" s="3">
        <x:v>71</x:v>
      </x:c>
      <x:c r="D223" s="2" t="s">
        <x:v>184</x:v>
      </x:c>
      <x:c r="E223" s="2" t="s">
        <x:v>1043</x:v>
      </x:c>
      <x:c r="F223" s="2" t="s">
        <x:v>1031</x:v>
      </x:c>
      <x:c r="G223" s="2" t="s">
        <x:v>158</x:v>
      </x:c>
      <x:c r="H223" s="2" t="s">
        <x:v>618</x:v>
      </x:c>
      <x:c r="I223" s="2" t="s">
        <x:v>1158</x:v>
      </x:c>
      <x:c r="J223" s="2" t="s">
        <x:v>1032</x:v>
      </x:c>
      <x:c r="K223" s="2" t="n">
        <x:v>70</x:v>
      </x:c>
      <x:c r="L223" s="2" t="s">
        <x:v>1033</x:v>
      </x:c>
      <x:c r="M223" s="2" t="s">
        <x:v>1034</x:v>
      </x:c>
      <x:c r="N223" s="2">
        <x:v>3</x:v>
      </x:c>
      <x:c r="O223" s="2" t="s">
        <x:v>1024</x:v>
      </x:c>
      <x:c r="P223" s="2" t="s">
        <x:v>1035</x:v>
      </x:c>
      <x:c r="Q223" s="2"/>
      <x:c r="R223" s="3"/>
      <x:c r="S223" s="3"/>
      <x:c r="T223" s="2"/>
      <x:c r="U223" s="2"/>
      <x:c r="V223" s="2"/>
      <x:c r="W223" s="2" t="s">
        <x:v>1164</x:v>
      </x:c>
      <x:c r="X223" s="3">
        <x:v>2</x:v>
      </x:c>
      <x:c r="Y223" s="3">
        <x:v>3</x:v>
      </x:c>
      <x:c r="Z223" s="2" t="s">
        <x:v>175</x:v>
      </x:c>
      <x:c r="AA223" s="2"/>
      <x:c r="AB223" s="2"/>
      <x:c r="AC223" s="2"/>
      <x:c r="AD223" s="2"/>
      <x:c r="AE223" s="2"/>
      <x:c r="AF223" s="2"/>
      <x:c r="AG223" s="2"/>
      <x:c r="AH223" s="2"/>
      <x:c r="AI223" s="4"/>
      <x:c r="AJ223" s="2"/>
      <x:c r="AK223" s="2" t="s">
        <x:v>176</x:v>
      </x:c>
      <x:c r="AL223" s="2" t="s">
        <x:v>571</x:v>
      </x:c>
      <x:c r="AM223" s="2">
        <x:v>73</x:v>
      </x:c>
      <x:c r="AN223" s="2">
        <x:v>73</x:v>
      </x:c>
    </x:row>
    <x:row r="224" ht="39">
      <x:c r="A224" s="2" t="s">
        <x:v>91</x:v>
      </x:c>
      <x:c r="B224" s="2" t="s">
        <x:v>14</x:v>
      </x:c>
      <x:c r="C224" s="3">
        <x:v>72</x:v>
      </x:c>
      <x:c r="D224" s="2" t="s">
        <x:v>184</x:v>
      </x:c>
      <x:c r="E224" s="2" t="s">
        <x:v>1151</x:v>
      </x:c>
      <x:c r="F224" s="2" t="s">
        <x:v>1031</x:v>
      </x:c>
      <x:c r="G224" s="2" t="s">
        <x:v>158</x:v>
      </x:c>
      <x:c r="H224" s="2" t="s">
        <x:v>618</x:v>
      </x:c>
      <x:c r="I224" s="2" t="s">
        <x:v>1165</x:v>
      </x:c>
      <x:c r="J224" s="2" t="s">
        <x:v>1032</x:v>
      </x:c>
      <x:c r="K224" s="2"/>
      <x:c r="L224" s="2" t="s">
        <x:v>1106</x:v>
      </x:c>
      <x:c r="M224" s="2" t="s">
        <x:v>1107</x:v>
      </x:c>
      <x:c r="N224" s="2">
        <x:v>3</x:v>
      </x:c>
      <x:c r="O224" s="2" t="s">
        <x:v>1024</x:v>
      </x:c>
      <x:c r="P224" s="2" t="s">
        <x:v>1035</x:v>
      </x:c>
      <x:c r="Q224" s="2"/>
      <x:c r="R224" s="3"/>
      <x:c r="S224" s="3"/>
      <x:c r="T224" s="2"/>
      <x:c r="U224" s="2"/>
      <x:c r="V224" s="2"/>
      <x:c r="W224" s="2" t="s">
        <x:v>1166</x:v>
      </x:c>
      <x:c r="X224" s="3">
        <x:v>2</x:v>
      </x:c>
      <x:c r="Y224" s="3">
        <x:v>3</x:v>
      </x:c>
      <x:c r="Z224" s="2" t="s">
        <x:v>175</x:v>
      </x:c>
      <x:c r="AA224" s="2"/>
      <x:c r="AB224" s="2"/>
      <x:c r="AC224" s="2"/>
      <x:c r="AD224" s="2"/>
      <x:c r="AE224" s="2"/>
      <x:c r="AF224" s="2"/>
      <x:c r="AG224" s="2"/>
      <x:c r="AH224" s="2"/>
      <x:c r="AI224" s="4"/>
      <x:c r="AJ224" s="2"/>
      <x:c r="AK224" s="2" t="s">
        <x:v>176</x:v>
      </x:c>
      <x:c r="AL224" s="2" t="s">
        <x:v>571</x:v>
      </x:c>
      <x:c r="AM224" s="2">
        <x:v>74</x:v>
      </x:c>
      <x:c r="AN224" s="2">
        <x:v>74</x:v>
      </x:c>
    </x:row>
    <x:row r="225" ht="26">
      <x:c r="A225" s="2" t="s">
        <x:v>6</x:v>
      </x:c>
      <x:c r="B225" s="2" t="s">
        <x:v>14</x:v>
      </x:c>
      <x:c r="C225" s="3">
        <x:v>73</x:v>
      </x:c>
      <x:c r="D225" s="2" t="s">
        <x:v>1067</x:v>
      </x:c>
      <x:c r="E225" s="2" t="s">
        <x:v>1151</x:v>
      </x:c>
      <x:c r="F225" s="2" t="s">
        <x:v>1068</x:v>
      </x:c>
      <x:c r="G225" s="2"/>
      <x:c r="H225" s="2" t="s">
        <x:v>627</x:v>
      </x:c>
      <x:c r="I225" s="2" t="s">
        <x:v>1165</x:v>
      </x:c>
      <x:c r="J225" s="2" t="s">
        <x:v>1028</x:v>
      </x:c>
      <x:c r="K225" s="2" t="n">
        <x:v>72</x:v>
      </x:c>
      <x:c r="L225" s="2" t="s">
        <x:v>1069</x:v>
      </x:c>
      <x:c r="M225" s="2" t="s">
        <x:v>1023</x:v>
      </x:c>
      <x:c r="N225" s="2">
        <x:v>3</x:v>
      </x:c>
      <x:c r="O225" s="2" t="s">
        <x:v>1024</x:v>
      </x:c>
      <x:c r="P225" s="2" t="s">
        <x:v>1025</x:v>
      </x:c>
      <x:c r="Q225" s="2"/>
      <x:c r="R225" s="3"/>
      <x:c r="S225" s="3"/>
      <x:c r="T225" s="2"/>
      <x:c r="U225" s="2"/>
      <x:c r="V225" s="2"/>
      <x:c r="W225" s="2" t="s">
        <x:v>1166</x:v>
      </x:c>
      <x:c r="X225" s="3">
        <x:v>2</x:v>
      </x:c>
      <x:c r="Y225" s="3">
        <x:v>3</x:v>
      </x:c>
      <x:c r="Z225" s="2" t="s">
        <x:v>175</x:v>
      </x:c>
      <x:c r="AA225" s="2"/>
      <x:c r="AB225" s="2"/>
      <x:c r="AC225" s="2"/>
      <x:c r="AD225" s="2"/>
      <x:c r="AE225" s="2"/>
      <x:c r="AF225" s="2"/>
      <x:c r="AG225" s="2"/>
      <x:c r="AH225" s="2"/>
      <x:c r="AI225" s="4"/>
      <x:c r="AJ225" s="2"/>
      <x:c r="AK225" s="2" t="s">
        <x:v>176</x:v>
      </x:c>
      <x:c r="AL225" s="2" t="s">
        <x:v>571</x:v>
      </x:c>
      <x:c r="AM225" s="2">
        <x:v>75</x:v>
      </x:c>
      <x:c r="AN225" s="2">
        <x:v>75</x:v>
      </x:c>
    </x:row>
    <x:row r="226" ht="26">
      <x:c r="A226" s="2" t="s">
        <x:v>91</x:v>
      </x:c>
      <x:c r="B226" s="2" t="s">
        <x:v>14</x:v>
      </x:c>
      <x:c r="C226" s="3">
        <x:v>74</x:v>
      </x:c>
      <x:c r="D226" s="2" t="s">
        <x:v>1070</x:v>
      </x:c>
      <x:c r="E226" s="2" t="s">
        <x:v>1151</x:v>
      </x:c>
      <x:c r="F226" s="2" t="s">
        <x:v>1071</x:v>
      </x:c>
      <x:c r="G226" s="2" t="s">
        <x:v>1167</x:v>
      </x:c>
      <x:c r="H226" s="2" t="s">
        <x:v>627</x:v>
      </x:c>
      <x:c r="I226" s="2" t="s">
        <x:v>1165</x:v>
      </x:c>
      <x:c r="J226" s="2" t="s">
        <x:v>1021</x:v>
      </x:c>
      <x:c r="K226" s="2"/>
      <x:c r="L226" s="2" t="s">
        <x:v>1072</x:v>
      </x:c>
      <x:c r="M226" s="2" t="s">
        <x:v>1023</x:v>
      </x:c>
      <x:c r="N226" s="2">
        <x:v>3</x:v>
      </x:c>
      <x:c r="O226" s="2" t="s">
        <x:v>1024</x:v>
      </x:c>
      <x:c r="P226" s="2" t="s">
        <x:v>1025</x:v>
      </x:c>
      <x:c r="Q226" s="2"/>
      <x:c r="R226" s="3"/>
      <x:c r="S226" s="3"/>
      <x:c r="T226" s="2"/>
      <x:c r="U226" s="2"/>
      <x:c r="V226" s="2"/>
      <x:c r="W226" s="2" t="s">
        <x:v>1168</x:v>
      </x:c>
      <x:c r="X226" s="3">
        <x:v>2</x:v>
      </x:c>
      <x:c r="Y226" s="3">
        <x:v>1</x:v>
      </x:c>
      <x:c r="Z226" s="2" t="s">
        <x:v>191</x:v>
      </x:c>
      <x:c r="AA226" s="2"/>
      <x:c r="AB226" s="2"/>
      <x:c r="AC226" s="2"/>
      <x:c r="AD226" s="2"/>
      <x:c r="AE226" s="2"/>
      <x:c r="AF226" s="2"/>
      <x:c r="AG226" s="2"/>
      <x:c r="AH226" s="2"/>
      <x:c r="AI226" s="4"/>
      <x:c r="AJ226" s="2"/>
      <x:c r="AK226" s="2" t="s">
        <x:v>176</x:v>
      </x:c>
      <x:c r="AL226" s="2" t="s">
        <x:v>571</x:v>
      </x:c>
      <x:c r="AM226" s="2">
        <x:v>76</x:v>
      </x:c>
      <x:c r="AN226" s="2">
        <x:v>76</x:v>
      </x:c>
    </x:row>
    <x:row r="227" ht="39">
      <x:c r="A227" s="2" t="s">
        <x:v>91</x:v>
      </x:c>
      <x:c r="B227" s="2" t="s">
        <x:v>14</x:v>
      </x:c>
      <x:c r="C227" s="3">
        <x:v>75</x:v>
      </x:c>
      <x:c r="D227" s="2" t="s">
        <x:v>166</x:v>
      </x:c>
      <x:c r="E227" s="2" t="s">
        <x:v>1151</x:v>
      </x:c>
      <x:c r="F227" s="2" t="s">
        <x:v>1011</x:v>
      </x:c>
      <x:c r="G227" s="2" t="s">
        <x:v>158</x:v>
      </x:c>
      <x:c r="H227" s="2" t="s">
        <x:v>618</x:v>
      </x:c>
      <x:c r="I227" s="2" t="s">
        <x:v>1165</x:v>
      </x:c>
      <x:c r="J227" s="2" t="s">
        <x:v>1013</x:v>
      </x:c>
      <x:c r="K227" s="2" t="n">
        <x:v>74</x:v>
      </x:c>
      <x:c r="L227" s="2" t="s">
        <x:v>1074</x:v>
      </x:c>
      <x:c r="M227" s="2" t="s">
        <x:v>1034</x:v>
      </x:c>
      <x:c r="N227" s="2">
        <x:v>3</x:v>
      </x:c>
      <x:c r="O227" s="2" t="s">
        <x:v>1016</x:v>
      </x:c>
      <x:c r="P227" s="2" t="s">
        <x:v>1017</x:v>
      </x:c>
      <x:c r="Q227" s="2"/>
      <x:c r="R227" s="3"/>
      <x:c r="S227" s="3"/>
      <x:c r="T227" s="2"/>
      <x:c r="U227" s="2"/>
      <x:c r="V227" s="2"/>
      <x:c r="W227" s="2" t="s">
        <x:v>1168</x:v>
      </x:c>
      <x:c r="X227" s="3">
        <x:v>2</x:v>
      </x:c>
      <x:c r="Y227" s="3">
        <x:v>1</x:v>
      </x:c>
      <x:c r="Z227" s="2" t="s">
        <x:v>191</x:v>
      </x:c>
      <x:c r="AA227" s="2"/>
      <x:c r="AB227" s="2"/>
      <x:c r="AC227" s="2"/>
      <x:c r="AD227" s="2"/>
      <x:c r="AE227" s="2"/>
      <x:c r="AF227" s="2"/>
      <x:c r="AG227" s="2"/>
      <x:c r="AH227" s="2"/>
      <x:c r="AI227" s="4"/>
      <x:c r="AJ227" s="2"/>
      <x:c r="AK227" s="2" t="s">
        <x:v>176</x:v>
      </x:c>
      <x:c r="AL227" s="2" t="s">
        <x:v>571</x:v>
      </x:c>
      <x:c r="AM227" s="2">
        <x:v>77</x:v>
      </x:c>
      <x:c r="AN227" s="2">
        <x:v>77</x:v>
      </x:c>
    </x:row>
    <x:row r="228" ht="39">
      <x:c r="A228" s="2" t="s">
        <x:v>91</x:v>
      </x:c>
      <x:c r="B228" s="2" t="s">
        <x:v>14</x:v>
      </x:c>
      <x:c r="C228" s="3">
        <x:v>76</x:v>
      </x:c>
      <x:c r="D228" s="2" t="s">
        <x:v>166</x:v>
      </x:c>
      <x:c r="E228" s="2" t="s">
        <x:v>1169</x:v>
      </x:c>
      <x:c r="F228" s="2" t="s">
        <x:v>1011</x:v>
      </x:c>
      <x:c r="G228" s="2" t="s">
        <x:v>158</x:v>
      </x:c>
      <x:c r="H228" s="2" t="s">
        <x:v>618</x:v>
      </x:c>
      <x:c r="I228" s="2" t="s">
        <x:v>1170</x:v>
      </x:c>
      <x:c r="J228" s="2" t="s">
        <x:v>1013</x:v>
      </x:c>
      <x:c r="K228" s="2"/>
      <x:c r="L228" s="2" t="s">
        <x:v>1171</x:v>
      </x:c>
      <x:c r="M228" s="2" t="s">
        <x:v>1107</x:v>
      </x:c>
      <x:c r="N228" s="2">
        <x:v>4</x:v>
      </x:c>
      <x:c r="O228" s="2" t="s">
        <x:v>1016</x:v>
      </x:c>
      <x:c r="P228" s="2" t="s">
        <x:v>1017</x:v>
      </x:c>
      <x:c r="Q228" s="2"/>
      <x:c r="R228" s="3"/>
      <x:c r="S228" s="3"/>
      <x:c r="T228" s="2"/>
      <x:c r="U228" s="2"/>
      <x:c r="V228" s="2"/>
      <x:c r="W228" s="2" t="s">
        <x:v>1172</x:v>
      </x:c>
      <x:c r="X228" s="3">
        <x:v>2</x:v>
      </x:c>
      <x:c r="Y228" s="3">
        <x:v>1</x:v>
      </x:c>
      <x:c r="Z228" s="2" t="s">
        <x:v>191</x:v>
      </x:c>
      <x:c r="AA228" s="2"/>
      <x:c r="AB228" s="2"/>
      <x:c r="AC228" s="2"/>
      <x:c r="AD228" s="2"/>
      <x:c r="AE228" s="2"/>
      <x:c r="AF228" s="2"/>
      <x:c r="AG228" s="2"/>
      <x:c r="AH228" s="2"/>
      <x:c r="AI228" s="4"/>
      <x:c r="AJ228" s="2"/>
      <x:c r="AK228" s="2" t="s">
        <x:v>176</x:v>
      </x:c>
      <x:c r="AL228" s="2" t="s">
        <x:v>571</x:v>
      </x:c>
      <x:c r="AM228" s="2">
        <x:v>78</x:v>
      </x:c>
      <x:c r="AN228" s="2">
        <x:v>78</x:v>
      </x:c>
    </x:row>
    <x:row r="229" ht="39">
      <x:c r="A229" s="2" t="s">
        <x:v>91</x:v>
      </x:c>
      <x:c r="B229" s="2" t="s">
        <x:v>14</x:v>
      </x:c>
      <x:c r="C229" s="3">
        <x:v>77</x:v>
      </x:c>
      <x:c r="D229" s="2" t="s">
        <x:v>184</x:v>
      </x:c>
      <x:c r="E229" s="2" t="s">
        <x:v>1169</x:v>
      </x:c>
      <x:c r="F229" s="2" t="s">
        <x:v>1031</x:v>
      </x:c>
      <x:c r="G229" s="2" t="s">
        <x:v>158</x:v>
      </x:c>
      <x:c r="H229" s="2" t="s">
        <x:v>618</x:v>
      </x:c>
      <x:c r="I229" s="2" t="s">
        <x:v>1170</x:v>
      </x:c>
      <x:c r="J229" s="2" t="s">
        <x:v>1032</x:v>
      </x:c>
      <x:c r="K229" s="2" t="n">
        <x:v>76</x:v>
      </x:c>
      <x:c r="L229" s="2" t="s">
        <x:v>1038</x:v>
      </x:c>
      <x:c r="M229" s="2" t="s">
        <x:v>1015</x:v>
      </x:c>
      <x:c r="N229" s="2">
        <x:v>4</x:v>
      </x:c>
      <x:c r="O229" s="2" t="s">
        <x:v>1024</x:v>
      </x:c>
      <x:c r="P229" s="2" t="s">
        <x:v>1035</x:v>
      </x:c>
      <x:c r="Q229" s="2"/>
      <x:c r="R229" s="3"/>
      <x:c r="S229" s="3"/>
      <x:c r="T229" s="2"/>
      <x:c r="U229" s="2"/>
      <x:c r="V229" s="2"/>
      <x:c r="W229" s="2" t="s">
        <x:v>1173</x:v>
      </x:c>
      <x:c r="X229" s="3">
        <x:v>2</x:v>
      </x:c>
      <x:c r="Y229" s="3">
        <x:v>3</x:v>
      </x:c>
      <x:c r="Z229" s="2" t="s">
        <x:v>175</x:v>
      </x:c>
      <x:c r="AA229" s="2"/>
      <x:c r="AB229" s="2"/>
      <x:c r="AC229" s="2"/>
      <x:c r="AD229" s="2"/>
      <x:c r="AE229" s="2"/>
      <x:c r="AF229" s="2"/>
      <x:c r="AG229" s="2"/>
      <x:c r="AH229" s="2"/>
      <x:c r="AI229" s="4"/>
      <x:c r="AJ229" s="2"/>
      <x:c r="AK229" s="2" t="s">
        <x:v>176</x:v>
      </x:c>
      <x:c r="AL229" s="2" t="s">
        <x:v>571</x:v>
      </x:c>
      <x:c r="AM229" s="2">
        <x:v>79</x:v>
      </x:c>
      <x:c r="AN229" s="2">
        <x:v>79</x:v>
      </x:c>
    </x:row>
    <x:row r="230" ht="52">
      <x:c r="A230" s="2" t="s">
        <x:v>6</x:v>
      </x:c>
      <x:c r="B230" s="2" t="s">
        <x:v>14</x:v>
      </x:c>
      <x:c r="C230" s="3">
        <x:v>78</x:v>
      </x:c>
      <x:c r="D230" s="2" t="s">
        <x:v>977</x:v>
      </x:c>
      <x:c r="E230" s="2" t="s">
        <x:v>1174</x:v>
      </x:c>
      <x:c r="F230" s="2" t="s">
        <x:v>1123</x:v>
      </x:c>
      <x:c r="G230" s="2"/>
      <x:c r="H230" s="2" t="s">
        <x:v>1124</x:v>
      </x:c>
      <x:c r="I230" s="2" t="s">
        <x:v>1175</x:v>
      </x:c>
      <x:c r="J230" s="2" t="s">
        <x:v>1126</x:v>
      </x:c>
      <x:c r="K230" s="2"/>
      <x:c r="L230" s="2" t="s">
        <x:v>1127</x:v>
      </x:c>
      <x:c r="M230" s="2" t="s">
        <x:v>1128</x:v>
      </x:c>
      <x:c r="N230" s="2">
        <x:v>5</x:v>
      </x:c>
      <x:c r="O230" s="2" t="s">
        <x:v>1129</x:v>
      </x:c>
      <x:c r="P230" s="2" t="s">
        <x:v>1130</x:v>
      </x:c>
      <x:c r="Q230" s="2"/>
      <x:c r="R230" s="3"/>
      <x:c r="S230" s="3"/>
      <x:c r="T230" s="2"/>
      <x:c r="U230" s="2"/>
      <x:c r="V230" s="2"/>
      <x:c r="W230" s="2" t="s">
        <x:v>1176</x:v>
      </x:c>
      <x:c r="X230" s="3">
        <x:v>1</x:v>
      </x:c>
      <x:c r="Y230" s="3">
        <x:v>0</x:v>
      </x:c>
      <x:c r="Z230" s="2" t="s">
        <x:v>191</x:v>
      </x:c>
      <x:c r="AA230" s="2"/>
      <x:c r="AB230" s="2"/>
      <x:c r="AC230" s="2"/>
      <x:c r="AD230" s="2"/>
      <x:c r="AE230" s="2"/>
      <x:c r="AF230" s="2"/>
      <x:c r="AG230" s="2"/>
      <x:c r="AH230" s="2"/>
      <x:c r="AI230" s="4"/>
      <x:c r="AJ230" s="2"/>
      <x:c r="AK230" s="2" t="s">
        <x:v>176</x:v>
      </x:c>
      <x:c r="AL230" s="2" t="s">
        <x:v>571</x:v>
      </x:c>
      <x:c r="AM230" s="2">
        <x:v>80</x:v>
      </x:c>
      <x:c r="AN230" s="2">
        <x:v>80</x:v>
      </x:c>
    </x:row>
    <x:row r="231" ht="52">
      <x:c r="A231" s="2" t="s">
        <x:v>91</x:v>
      </x:c>
      <x:c r="B231" s="2" t="s">
        <x:v>14</x:v>
      </x:c>
      <x:c r="C231" s="3">
        <x:v>79</x:v>
      </x:c>
      <x:c r="D231" s="2" t="s">
        <x:v>985</x:v>
      </x:c>
      <x:c r="E231" s="2" t="s">
        <x:v>1174</x:v>
      </x:c>
      <x:c r="F231" s="2" t="s">
        <x:v>1177</x:v>
      </x:c>
      <x:c r="G231" s="2" t="s">
        <x:v>158</x:v>
      </x:c>
      <x:c r="H231" s="2" t="s">
        <x:v>1124</x:v>
      </x:c>
      <x:c r="I231" s="2" t="s">
        <x:v>1175</x:v>
      </x:c>
      <x:c r="J231" s="2" t="s">
        <x:v>1133</x:v>
      </x:c>
      <x:c r="K231" s="2" t="n">
        <x:v>78</x:v>
      </x:c>
      <x:c r="L231" s="2" t="s">
        <x:v>1134</x:v>
      </x:c>
      <x:c r="M231" s="2" t="s">
        <x:v>1128</x:v>
      </x:c>
      <x:c r="N231" s="2">
        <x:v>5</x:v>
      </x:c>
      <x:c r="O231" s="2" t="s">
        <x:v>1135</x:v>
      </x:c>
      <x:c r="P231" s="2" t="s">
        <x:v>1136</x:v>
      </x:c>
      <x:c r="Q231" s="2"/>
      <x:c r="R231" s="3"/>
      <x:c r="S231" s="3"/>
      <x:c r="T231" s="2"/>
      <x:c r="U231" s="2"/>
      <x:c r="V231" s="2"/>
      <x:c r="W231" s="2" t="s">
        <x:v>1176</x:v>
      </x:c>
      <x:c r="X231" s="3">
        <x:v>1</x:v>
      </x:c>
      <x:c r="Y231" s="3">
        <x:v>2</x:v>
      </x:c>
      <x:c r="Z231" s="2" t="s">
        <x:v>175</x:v>
      </x:c>
      <x:c r="AA231" s="2"/>
      <x:c r="AB231" s="2"/>
      <x:c r="AC231" s="2"/>
      <x:c r="AD231" s="2"/>
      <x:c r="AE231" s="2"/>
      <x:c r="AF231" s="2"/>
      <x:c r="AG231" s="2"/>
      <x:c r="AH231" s="2"/>
      <x:c r="AI231" s="4"/>
      <x:c r="AJ231" s="2"/>
      <x:c r="AK231" s="2" t="s">
        <x:v>176</x:v>
      </x:c>
      <x:c r="AL231" s="2" t="s">
        <x:v>571</x:v>
      </x:c>
      <x:c r="AM231" s="2">
        <x:v>81</x:v>
      </x:c>
      <x:c r="AN231" s="2">
        <x:v>81</x:v>
      </x:c>
    </x:row>
    <x:row r="232" ht="52">
      <x:c r="A232" s="2" t="s">
        <x:v>91</x:v>
      </x:c>
      <x:c r="B232" s="2" t="s">
        <x:v>14</x:v>
      </x:c>
      <x:c r="C232" s="3">
        <x:v>80</x:v>
      </x:c>
      <x:c r="D232" s="2" t="s">
        <x:v>985</x:v>
      </x:c>
      <x:c r="E232" s="2" t="s">
        <x:v>1178</x:v>
      </x:c>
      <x:c r="F232" s="2" t="s">
        <x:v>1138</x:v>
      </x:c>
      <x:c r="G232" s="2" t="s">
        <x:v>1179</x:v>
      </x:c>
      <x:c r="H232" s="2" t="s">
        <x:v>1124</x:v>
      </x:c>
      <x:c r="I232" s="2" t="s">
        <x:v>1175</x:v>
      </x:c>
      <x:c r="J232" s="2" t="s">
        <x:v>1139</x:v>
      </x:c>
      <x:c r="K232" s="2"/>
      <x:c r="L232" s="2" t="s">
        <x:v>1134</x:v>
      </x:c>
      <x:c r="M232" s="2" t="s">
        <x:v>1128</x:v>
      </x:c>
      <x:c r="N232" s="2">
        <x:v>5</x:v>
      </x:c>
      <x:c r="O232" s="2" t="s">
        <x:v>1140</x:v>
      </x:c>
      <x:c r="P232" s="2" t="s">
        <x:v>1130</x:v>
      </x:c>
      <x:c r="Q232" s="2"/>
      <x:c r="R232" s="3"/>
      <x:c r="S232" s="3"/>
      <x:c r="T232" s="2"/>
      <x:c r="U232" s="2"/>
      <x:c r="V232" s="2"/>
      <x:c r="W232" s="2" t="s">
        <x:v>1180</x:v>
      </x:c>
      <x:c r="X232" s="3">
        <x:v>1</x:v>
      </x:c>
      <x:c r="Y232" s="3">
        <x:v>2</x:v>
      </x:c>
      <x:c r="Z232" s="2" t="s">
        <x:v>175</x:v>
      </x:c>
      <x:c r="AA232" s="2"/>
      <x:c r="AB232" s="2"/>
      <x:c r="AC232" s="2"/>
      <x:c r="AD232" s="2"/>
      <x:c r="AE232" s="2"/>
      <x:c r="AF232" s="2"/>
      <x:c r="AG232" s="2"/>
      <x:c r="AH232" s="2"/>
      <x:c r="AI232" s="4"/>
      <x:c r="AJ232" s="2"/>
      <x:c r="AK232" s="2" t="s">
        <x:v>176</x:v>
      </x:c>
      <x:c r="AL232" s="2" t="s">
        <x:v>571</x:v>
      </x:c>
      <x:c r="AM232" s="2">
        <x:v>82</x:v>
      </x:c>
      <x:c r="AN232" s="2">
        <x:v>82</x:v>
      </x:c>
    </x:row>
    <x:row r="233" ht="52">
      <x:c r="A233" s="2" t="s">
        <x:v>6</x:v>
      </x:c>
      <x:c r="B233" s="2" t="s">
        <x:v>14</x:v>
      </x:c>
      <x:c r="C233" s="3">
        <x:v>81</x:v>
      </x:c>
      <x:c r="D233" s="2" t="s">
        <x:v>977</x:v>
      </x:c>
      <x:c r="E233" s="2" t="s">
        <x:v>1178</x:v>
      </x:c>
      <x:c r="F233" s="2" t="s">
        <x:v>1181</x:v>
      </x:c>
      <x:c r="G233" s="2"/>
      <x:c r="H233" s="2" t="s">
        <x:v>1124</x:v>
      </x:c>
      <x:c r="I233" s="2" t="s">
        <x:v>1175</x:v>
      </x:c>
      <x:c r="J233" s="2" t="s">
        <x:v>1144</x:v>
      </x:c>
      <x:c r="K233" s="2" t="n">
        <x:v>80</x:v>
      </x:c>
      <x:c r="L233" s="2" t="s">
        <x:v>1127</x:v>
      </x:c>
      <x:c r="M233" s="2" t="s">
        <x:v>1128</x:v>
      </x:c>
      <x:c r="N233" s="2">
        <x:v>5</x:v>
      </x:c>
      <x:c r="O233" s="2" t="s">
        <x:v>1135</x:v>
      </x:c>
      <x:c r="P233" s="2" t="s">
        <x:v>1136</x:v>
      </x:c>
      <x:c r="Q233" s="2"/>
      <x:c r="R233" s="3"/>
      <x:c r="S233" s="3"/>
      <x:c r="T233" s="2"/>
      <x:c r="U233" s="2"/>
      <x:c r="V233" s="2"/>
      <x:c r="W233" s="2" t="s">
        <x:v>1180</x:v>
      </x:c>
      <x:c r="X233" s="3">
        <x:v>1</x:v>
      </x:c>
      <x:c r="Y233" s="3">
        <x:v>0</x:v>
      </x:c>
      <x:c r="Z233" s="2" t="s">
        <x:v>191</x:v>
      </x:c>
      <x:c r="AA233" s="2"/>
      <x:c r="AB233" s="2"/>
      <x:c r="AC233" s="2"/>
      <x:c r="AD233" s="2"/>
      <x:c r="AE233" s="2"/>
      <x:c r="AF233" s="2"/>
      <x:c r="AG233" s="2"/>
      <x:c r="AH233" s="2"/>
      <x:c r="AI233" s="4"/>
      <x:c r="AJ233" s="2"/>
      <x:c r="AK233" s="2" t="s">
        <x:v>176</x:v>
      </x:c>
      <x:c r="AL233" s="2" t="s">
        <x:v>571</x:v>
      </x:c>
      <x:c r="AM233" s="2">
        <x:v>83</x:v>
      </x:c>
      <x:c r="AN233" s="2">
        <x:v>83</x:v>
      </x:c>
    </x:row>
    <x:row r="234" ht="39">
      <x:c r="A234" s="2" t="s">
        <x:v>91</x:v>
      </x:c>
      <x:c r="B234" s="2" t="s">
        <x:v>14</x:v>
      </x:c>
      <x:c r="C234" s="3">
        <x:v>82</x:v>
      </x:c>
      <x:c r="D234" s="2" t="s">
        <x:v>166</x:v>
      </x:c>
      <x:c r="E234" s="2" t="s">
        <x:v>1169</x:v>
      </x:c>
      <x:c r="F234" s="2" t="s">
        <x:v>1011</x:v>
      </x:c>
      <x:c r="G234" s="2" t="s">
        <x:v>158</x:v>
      </x:c>
      <x:c r="H234" s="2" t="s">
        <x:v>618</x:v>
      </x:c>
      <x:c r="I234" s="2" t="s">
        <x:v>1182</x:v>
      </x:c>
      <x:c r="J234" s="2" t="s">
        <x:v>1013</x:v>
      </x:c>
      <x:c r="K234" s="2"/>
      <x:c r="L234" s="2" t="s">
        <x:v>1171</x:v>
      </x:c>
      <x:c r="M234" s="2" t="s">
        <x:v>1107</x:v>
      </x:c>
      <x:c r="N234" s="2">
        <x:v>4</x:v>
      </x:c>
      <x:c r="O234" s="2" t="s">
        <x:v>1016</x:v>
      </x:c>
      <x:c r="P234" s="2" t="s">
        <x:v>1017</x:v>
      </x:c>
      <x:c r="Q234" s="2"/>
      <x:c r="R234" s="3"/>
      <x:c r="S234" s="3"/>
      <x:c r="T234" s="2"/>
      <x:c r="U234" s="2"/>
      <x:c r="V234" s="2"/>
      <x:c r="W234" s="2" t="s">
        <x:v>1183</x:v>
      </x:c>
      <x:c r="X234" s="3">
        <x:v>2</x:v>
      </x:c>
      <x:c r="Y234" s="3">
        <x:v>1</x:v>
      </x:c>
      <x:c r="Z234" s="2" t="s">
        <x:v>191</x:v>
      </x:c>
      <x:c r="AA234" s="2"/>
      <x:c r="AB234" s="2"/>
      <x:c r="AC234" s="2"/>
      <x:c r="AD234" s="2"/>
      <x:c r="AE234" s="2"/>
      <x:c r="AF234" s="2"/>
      <x:c r="AG234" s="2"/>
      <x:c r="AH234" s="2"/>
      <x:c r="AI234" s="4"/>
      <x:c r="AJ234" s="2"/>
      <x:c r="AK234" s="2" t="s">
        <x:v>176</x:v>
      </x:c>
      <x:c r="AL234" s="2" t="s">
        <x:v>571</x:v>
      </x:c>
      <x:c r="AM234" s="2">
        <x:v>84</x:v>
      </x:c>
      <x:c r="AN234" s="2">
        <x:v>84</x:v>
      </x:c>
    </x:row>
    <x:row r="235" ht="39">
      <x:c r="A235" s="2" t="s">
        <x:v>91</x:v>
      </x:c>
      <x:c r="B235" s="2" t="s">
        <x:v>14</x:v>
      </x:c>
      <x:c r="C235" s="3">
        <x:v>83</x:v>
      </x:c>
      <x:c r="D235" s="2" t="s">
        <x:v>184</x:v>
      </x:c>
      <x:c r="E235" s="2" t="s">
        <x:v>1169</x:v>
      </x:c>
      <x:c r="F235" s="2" t="s">
        <x:v>1031</x:v>
      </x:c>
      <x:c r="G235" s="2" t="s">
        <x:v>158</x:v>
      </x:c>
      <x:c r="H235" s="2" t="s">
        <x:v>618</x:v>
      </x:c>
      <x:c r="I235" s="2" t="s">
        <x:v>1182</x:v>
      </x:c>
      <x:c r="J235" s="2" t="s">
        <x:v>1032</x:v>
      </x:c>
      <x:c r="K235" s="2" t="n">
        <x:v>82</x:v>
      </x:c>
      <x:c r="L235" s="2" t="s">
        <x:v>1038</x:v>
      </x:c>
      <x:c r="M235" s="2" t="s">
        <x:v>1015</x:v>
      </x:c>
      <x:c r="N235" s="2">
        <x:v>4</x:v>
      </x:c>
      <x:c r="O235" s="2" t="s">
        <x:v>1024</x:v>
      </x:c>
      <x:c r="P235" s="2" t="s">
        <x:v>1035</x:v>
      </x:c>
      <x:c r="Q235" s="2"/>
      <x:c r="R235" s="3"/>
      <x:c r="S235" s="3"/>
      <x:c r="T235" s="2"/>
      <x:c r="U235" s="2"/>
      <x:c r="V235" s="2"/>
      <x:c r="W235" s="2" t="s">
        <x:v>1184</x:v>
      </x:c>
      <x:c r="X235" s="3">
        <x:v>2</x:v>
      </x:c>
      <x:c r="Y235" s="3">
        <x:v>3</x:v>
      </x:c>
      <x:c r="Z235" s="2" t="s">
        <x:v>175</x:v>
      </x:c>
      <x:c r="AA235" s="2"/>
      <x:c r="AB235" s="2"/>
      <x:c r="AC235" s="2"/>
      <x:c r="AD235" s="2"/>
      <x:c r="AE235" s="2"/>
      <x:c r="AF235" s="2"/>
      <x:c r="AG235" s="2"/>
      <x:c r="AH235" s="2"/>
      <x:c r="AI235" s="4"/>
      <x:c r="AJ235" s="2"/>
      <x:c r="AK235" s="2" t="s">
        <x:v>176</x:v>
      </x:c>
      <x:c r="AL235" s="2" t="s">
        <x:v>571</x:v>
      </x:c>
      <x:c r="AM235" s="2">
        <x:v>85</x:v>
      </x:c>
      <x:c r="AN235" s="2">
        <x:v>85</x:v>
      </x:c>
    </x:row>
    <x:row r="236" ht="39">
      <x:c r="A236" s="2" t="s">
        <x:v>91</x:v>
      </x:c>
      <x:c r="B236" s="2" t="s">
        <x:v>14</x:v>
      </x:c>
      <x:c r="C236" s="3">
        <x:v>84</x:v>
      </x:c>
      <x:c r="D236" s="2" t="s">
        <x:v>166</x:v>
      </x:c>
      <x:c r="E236" s="2" t="s">
        <x:v>1010</x:v>
      </x:c>
      <x:c r="F236" s="2" t="s">
        <x:v>1011</x:v>
      </x:c>
      <x:c r="G236" s="2" t="s">
        <x:v>158</x:v>
      </x:c>
      <x:c r="H236" s="2" t="s">
        <x:v>618</x:v>
      </x:c>
      <x:c r="I236" s="2" t="s">
        <x:v>1185</x:v>
      </x:c>
      <x:c r="J236" s="2" t="s">
        <x:v>1013</x:v>
      </x:c>
      <x:c r="K236" s="2"/>
      <x:c r="L236" s="2" t="s">
        <x:v>1014</x:v>
      </x:c>
      <x:c r="M236" s="2" t="s">
        <x:v>1015</x:v>
      </x:c>
      <x:c r="N236" s="2">
        <x:v>2</x:v>
      </x:c>
      <x:c r="O236" s="2" t="s">
        <x:v>1016</x:v>
      </x:c>
      <x:c r="P236" s="2" t="s">
        <x:v>1017</x:v>
      </x:c>
      <x:c r="Q236" s="2"/>
      <x:c r="R236" s="3"/>
      <x:c r="S236" s="3"/>
      <x:c r="T236" s="2"/>
      <x:c r="U236" s="2"/>
      <x:c r="V236" s="2"/>
      <x:c r="W236" s="2" t="s">
        <x:v>1186</x:v>
      </x:c>
      <x:c r="X236" s="3">
        <x:v>2</x:v>
      </x:c>
      <x:c r="Y236" s="3">
        <x:v>1</x:v>
      </x:c>
      <x:c r="Z236" s="2" t="s">
        <x:v>191</x:v>
      </x:c>
      <x:c r="AA236" s="2"/>
      <x:c r="AB236" s="2"/>
      <x:c r="AC236" s="2"/>
      <x:c r="AD236" s="2"/>
      <x:c r="AE236" s="2"/>
      <x:c r="AF236" s="2"/>
      <x:c r="AG236" s="2"/>
      <x:c r="AH236" s="2"/>
      <x:c r="AI236" s="4"/>
      <x:c r="AJ236" s="2"/>
      <x:c r="AK236" s="2" t="s">
        <x:v>176</x:v>
      </x:c>
      <x:c r="AL236" s="2" t="s">
        <x:v>571</x:v>
      </x:c>
      <x:c r="AM236" s="2">
        <x:v>86</x:v>
      </x:c>
      <x:c r="AN236" s="2">
        <x:v>86</x:v>
      </x:c>
    </x:row>
    <x:row r="237" ht="26">
      <x:c r="A237" s="2" t="s">
        <x:v>6</x:v>
      </x:c>
      <x:c r="B237" s="2" t="s">
        <x:v>14</x:v>
      </x:c>
      <x:c r="C237" s="3">
        <x:v>85</x:v>
      </x:c>
      <x:c r="D237" s="2" t="s">
        <x:v>1046</x:v>
      </x:c>
      <x:c r="E237" s="2" t="s">
        <x:v>1010</x:v>
      </x:c>
      <x:c r="F237" s="2" t="s">
        <x:v>1047</x:v>
      </x:c>
      <x:c r="G237" s="2"/>
      <x:c r="H237" s="2" t="s">
        <x:v>627</x:v>
      </x:c>
      <x:c r="I237" s="2" t="s">
        <x:v>1185</x:v>
      </x:c>
      <x:c r="J237" s="2" t="s">
        <x:v>1021</x:v>
      </x:c>
      <x:c r="K237" s="2" t="n">
        <x:v>84</x:v>
      </x:c>
      <x:c r="L237" s="2" t="s">
        <x:v>1049</x:v>
      </x:c>
      <x:c r="M237" s="2" t="s">
        <x:v>1023</x:v>
      </x:c>
      <x:c r="N237" s="2">
        <x:v>2</x:v>
      </x:c>
      <x:c r="O237" s="2" t="s">
        <x:v>1024</x:v>
      </x:c>
      <x:c r="P237" s="2" t="s">
        <x:v>1025</x:v>
      </x:c>
      <x:c r="Q237" s="2"/>
      <x:c r="R237" s="3"/>
      <x:c r="S237" s="3"/>
      <x:c r="T237" s="2"/>
      <x:c r="U237" s="2"/>
      <x:c r="V237" s="2"/>
      <x:c r="W237" s="2" t="s">
        <x:v>1186</x:v>
      </x:c>
      <x:c r="X237" s="3">
        <x:v>2</x:v>
      </x:c>
      <x:c r="Y237" s="3">
        <x:v>1</x:v>
      </x:c>
      <x:c r="Z237" s="2" t="s">
        <x:v>191</x:v>
      </x:c>
      <x:c r="AA237" s="2"/>
      <x:c r="AB237" s="2"/>
      <x:c r="AC237" s="2"/>
      <x:c r="AD237" s="2"/>
      <x:c r="AE237" s="2"/>
      <x:c r="AF237" s="2"/>
      <x:c r="AG237" s="2"/>
      <x:c r="AH237" s="2"/>
      <x:c r="AI237" s="4"/>
      <x:c r="AJ237" s="2"/>
      <x:c r="AK237" s="2" t="s">
        <x:v>176</x:v>
      </x:c>
      <x:c r="AL237" s="2" t="s">
        <x:v>571</x:v>
      </x:c>
      <x:c r="AM237" s="2">
        <x:v>87</x:v>
      </x:c>
      <x:c r="AN237" s="2">
        <x:v>87</x:v>
      </x:c>
    </x:row>
    <x:row r="238" ht="52">
      <x:c r="A238" s="2" t="s">
        <x:v>91</x:v>
      </x:c>
      <x:c r="B238" s="2" t="s">
        <x:v>14</x:v>
      </x:c>
      <x:c r="C238" s="3">
        <x:v>86</x:v>
      </x:c>
      <x:c r="D238" s="2" t="s">
        <x:v>1187</x:v>
      </x:c>
      <x:c r="E238" s="2" t="s">
        <x:v>1010</x:v>
      </x:c>
      <x:c r="F238" s="2" t="s">
        <x:v>1011</x:v>
      </x:c>
      <x:c r="G238" s="2" t="s">
        <x:v>158</x:v>
      </x:c>
      <x:c r="H238" s="2" t="s">
        <x:v>634</x:v>
      </x:c>
      <x:c r="I238" s="2" t="s">
        <x:v>1185</x:v>
      </x:c>
      <x:c r="J238" s="2" t="s">
        <x:v>1051</x:v>
      </x:c>
      <x:c r="K238" s="2" t="n">
        <x:v>84</x:v>
      </x:c>
      <x:c r="L238" s="2" t="s">
        <x:v>1014</x:v>
      </x:c>
      <x:c r="M238" s="2" t="s">
        <x:v>1052</x:v>
      </x:c>
      <x:c r="N238" s="2">
        <x:v>2</x:v>
      </x:c>
      <x:c r="O238" s="2" t="s">
        <x:v>1016</x:v>
      </x:c>
      <x:c r="P238" s="2" t="s">
        <x:v>1053</x:v>
      </x:c>
      <x:c r="Q238" s="2"/>
      <x:c r="R238" s="3"/>
      <x:c r="S238" s="3"/>
      <x:c r="T238" s="2"/>
      <x:c r="U238" s="2"/>
      <x:c r="V238" s="2"/>
      <x:c r="W238" s="2" t="s">
        <x:v>1186</x:v>
      </x:c>
      <x:c r="X238" s="3">
        <x:v>2</x:v>
      </x:c>
      <x:c r="Y238" s="3">
        <x:v>1</x:v>
      </x:c>
      <x:c r="Z238" s="2" t="s">
        <x:v>191</x:v>
      </x:c>
      <x:c r="AA238" s="2"/>
      <x:c r="AB238" s="2"/>
      <x:c r="AC238" s="2"/>
      <x:c r="AD238" s="2"/>
      <x:c r="AE238" s="2"/>
      <x:c r="AF238" s="2"/>
      <x:c r="AG238" s="2"/>
      <x:c r="AH238" s="2"/>
      <x:c r="AI238" s="4"/>
      <x:c r="AJ238" s="2"/>
      <x:c r="AK238" s="2" t="s">
        <x:v>176</x:v>
      </x:c>
      <x:c r="AL238" s="2" t="s">
        <x:v>571</x:v>
      </x:c>
      <x:c r="AM238" s="2">
        <x:v>88</x:v>
      </x:c>
      <x:c r="AN238" s="2">
        <x:v>88</x:v>
      </x:c>
    </x:row>
    <x:row r="239" ht="26">
      <x:c r="A239" s="2" t="s">
        <x:v>6</x:v>
      </x:c>
      <x:c r="B239" s="2" t="s">
        <x:v>14</x:v>
      </x:c>
      <x:c r="C239" s="3">
        <x:v>87</x:v>
      </x:c>
      <x:c r="D239" s="2" t="s">
        <x:v>1054</x:v>
      </x:c>
      <x:c r="E239" s="2" t="s">
        <x:v>1010</x:v>
      </x:c>
      <x:c r="F239" s="2" t="s">
        <x:v>1047</x:v>
      </x:c>
      <x:c r="G239" s="2"/>
      <x:c r="H239" s="2" t="s">
        <x:v>634</x:v>
      </x:c>
      <x:c r="I239" s="2" t="s">
        <x:v>1185</x:v>
      </x:c>
      <x:c r="J239" s="2" t="s">
        <x:v>1055</x:v>
      </x:c>
      <x:c r="K239" s="2" t="n">
        <x:v>84</x:v>
      </x:c>
      <x:c r="L239" s="2" t="s">
        <x:v>1049</x:v>
      </x:c>
      <x:c r="M239" s="2" t="s">
        <x:v>1056</x:v>
      </x:c>
      <x:c r="N239" s="2">
        <x:v>2</x:v>
      </x:c>
      <x:c r="O239" s="2" t="s">
        <x:v>1024</x:v>
      </x:c>
      <x:c r="P239" s="2" t="s">
        <x:v>1057</x:v>
      </x:c>
      <x:c r="Q239" s="2"/>
      <x:c r="R239" s="3"/>
      <x:c r="S239" s="3"/>
      <x:c r="T239" s="2"/>
      <x:c r="U239" s="2"/>
      <x:c r="V239" s="2"/>
      <x:c r="W239" s="2" t="s">
        <x:v>1186</x:v>
      </x:c>
      <x:c r="X239" s="3">
        <x:v>2</x:v>
      </x:c>
      <x:c r="Y239" s="3">
        <x:v>1</x:v>
      </x:c>
      <x:c r="Z239" s="2" t="s">
        <x:v>191</x:v>
      </x:c>
      <x:c r="AA239" s="2"/>
      <x:c r="AB239" s="2"/>
      <x:c r="AC239" s="2"/>
      <x:c r="AD239" s="2"/>
      <x:c r="AE239" s="2"/>
      <x:c r="AF239" s="2"/>
      <x:c r="AG239" s="2"/>
      <x:c r="AH239" s="2"/>
      <x:c r="AI239" s="4"/>
      <x:c r="AJ239" s="2"/>
      <x:c r="AK239" s="2" t="s">
        <x:v>176</x:v>
      </x:c>
      <x:c r="AL239" s="2" t="s">
        <x:v>571</x:v>
      </x:c>
      <x:c r="AM239" s="2">
        <x:v>89</x:v>
      </x:c>
      <x:c r="AN239" s="2">
        <x:v>89</x:v>
      </x:c>
    </x:row>
    <x:row r="240" ht="26">
      <x:c r="A240" s="2" t="s">
        <x:v>91</x:v>
      </x:c>
      <x:c r="B240" s="2" t="s">
        <x:v>14</x:v>
      </x:c>
      <x:c r="C240" s="3">
        <x:v>88</x:v>
      </x:c>
      <x:c r="D240" s="2" t="s">
        <x:v>1109</x:v>
      </x:c>
      <x:c r="E240" s="2" t="s">
        <x:v>1010</x:v>
      </x:c>
      <x:c r="F240" s="2" t="s">
        <x:v>1110</x:v>
      </x:c>
      <x:c r="G240" s="2" t="s">
        <x:v>1188</x:v>
      </x:c>
      <x:c r="H240" s="2" t="s">
        <x:v>627</x:v>
      </x:c>
      <x:c r="I240" s="2" t="s">
        <x:v>1185</x:v>
      </x:c>
      <x:c r="J240" s="2" t="s">
        <x:v>1028</x:v>
      </x:c>
      <x:c r="K240" s="2"/>
      <x:c r="L240" s="2" t="s">
        <x:v>1111</x:v>
      </x:c>
      <x:c r="M240" s="2" t="s">
        <x:v>1023</x:v>
      </x:c>
      <x:c r="N240" s="2">
        <x:v>2</x:v>
      </x:c>
      <x:c r="O240" s="2" t="s">
        <x:v>1024</x:v>
      </x:c>
      <x:c r="P240" s="2" t="s">
        <x:v>1025</x:v>
      </x:c>
      <x:c r="Q240" s="2"/>
      <x:c r="R240" s="3"/>
      <x:c r="S240" s="3"/>
      <x:c r="T240" s="2"/>
      <x:c r="U240" s="2"/>
      <x:c r="V240" s="2"/>
      <x:c r="W240" s="2" t="s">
        <x:v>1189</x:v>
      </x:c>
      <x:c r="X240" s="3">
        <x:v>2</x:v>
      </x:c>
      <x:c r="Y240" s="3">
        <x:v>3</x:v>
      </x:c>
      <x:c r="Z240" s="2" t="s">
        <x:v>175</x:v>
      </x:c>
      <x:c r="AA240" s="2"/>
      <x:c r="AB240" s="2"/>
      <x:c r="AC240" s="2"/>
      <x:c r="AD240" s="2"/>
      <x:c r="AE240" s="2"/>
      <x:c r="AF240" s="2"/>
      <x:c r="AG240" s="2"/>
      <x:c r="AH240" s="2"/>
      <x:c r="AI240" s="4"/>
      <x:c r="AJ240" s="2"/>
      <x:c r="AK240" s="2" t="s">
        <x:v>176</x:v>
      </x:c>
      <x:c r="AL240" s="2" t="s">
        <x:v>571</x:v>
      </x:c>
      <x:c r="AM240" s="2">
        <x:v>90</x:v>
      </x:c>
      <x:c r="AN240" s="2">
        <x:v>90</x:v>
      </x:c>
    </x:row>
    <x:row r="241" ht="39">
      <x:c r="A241" s="2" t="s">
        <x:v>91</x:v>
      </x:c>
      <x:c r="B241" s="2" t="s">
        <x:v>14</x:v>
      </x:c>
      <x:c r="C241" s="3">
        <x:v>89</x:v>
      </x:c>
      <x:c r="D241" s="2" t="s">
        <x:v>184</x:v>
      </x:c>
      <x:c r="E241" s="2" t="s">
        <x:v>1010</x:v>
      </x:c>
      <x:c r="F241" s="2" t="s">
        <x:v>1031</x:v>
      </x:c>
      <x:c r="G241" s="2" t="s">
        <x:v>158</x:v>
      </x:c>
      <x:c r="H241" s="2" t="s">
        <x:v>618</x:v>
      </x:c>
      <x:c r="I241" s="2" t="s">
        <x:v>1185</x:v>
      </x:c>
      <x:c r="J241" s="2" t="s">
        <x:v>1032</x:v>
      </x:c>
      <x:c r="K241" s="2" t="n">
        <x:v>88</x:v>
      </x:c>
      <x:c r="L241" s="2" t="s">
        <x:v>1033</x:v>
      </x:c>
      <x:c r="M241" s="2" t="s">
        <x:v>1034</x:v>
      </x:c>
      <x:c r="N241" s="2">
        <x:v>2</x:v>
      </x:c>
      <x:c r="O241" s="2" t="s">
        <x:v>1024</x:v>
      </x:c>
      <x:c r="P241" s="2" t="s">
        <x:v>1035</x:v>
      </x:c>
      <x:c r="Q241" s="2"/>
      <x:c r="R241" s="3"/>
      <x:c r="S241" s="3"/>
      <x:c r="T241" s="2"/>
      <x:c r="U241" s="2"/>
      <x:c r="V241" s="2"/>
      <x:c r="W241" s="2" t="s">
        <x:v>1189</x:v>
      </x:c>
      <x:c r="X241" s="3">
        <x:v>2</x:v>
      </x:c>
      <x:c r="Y241" s="3">
        <x:v>3</x:v>
      </x:c>
      <x:c r="Z241" s="2" t="s">
        <x:v>175</x:v>
      </x:c>
      <x:c r="AA241" s="2"/>
      <x:c r="AB241" s="2"/>
      <x:c r="AC241" s="2"/>
      <x:c r="AD241" s="2"/>
      <x:c r="AE241" s="2"/>
      <x:c r="AF241" s="2"/>
      <x:c r="AG241" s="2"/>
      <x:c r="AH241" s="2"/>
      <x:c r="AI241" s="4"/>
      <x:c r="AJ241" s="2"/>
      <x:c r="AK241" s="2" t="s">
        <x:v>176</x:v>
      </x:c>
      <x:c r="AL241" s="2" t="s">
        <x:v>571</x:v>
      </x:c>
      <x:c r="AM241" s="2">
        <x:v>91</x:v>
      </x:c>
      <x:c r="AN241" s="2">
        <x:v>91</x:v>
      </x:c>
    </x:row>
    <x:row r="242" ht="26">
      <x:c r="A242" s="2" t="s">
        <x:v>91</x:v>
      </x:c>
      <x:c r="B242" s="2" t="s">
        <x:v>14</x:v>
      </x:c>
      <x:c r="C242" s="3">
        <x:v>90</x:v>
      </x:c>
      <x:c r="D242" s="2" t="s">
        <x:v>1190</x:v>
      </x:c>
      <x:c r="E242" s="2" t="s">
        <x:v>1010</x:v>
      </x:c>
      <x:c r="F242" s="2" t="s">
        <x:v>1110</x:v>
      </x:c>
      <x:c r="G242" s="2" t="s">
        <x:v>158</x:v>
      </x:c>
      <x:c r="H242" s="2" t="s">
        <x:v>634</x:v>
      </x:c>
      <x:c r="I242" s="2" t="s">
        <x:v>1185</x:v>
      </x:c>
      <x:c r="J242" s="2" t="s">
        <x:v>1060</x:v>
      </x:c>
      <x:c r="K242" s="2" t="n">
        <x:v>88</x:v>
      </x:c>
      <x:c r="L242" s="2" t="s">
        <x:v>1111</x:v>
      </x:c>
      <x:c r="M242" s="2" t="s">
        <x:v>1056</x:v>
      </x:c>
      <x:c r="N242" s="2">
        <x:v>2</x:v>
      </x:c>
      <x:c r="O242" s="2" t="s">
        <x:v>1024</x:v>
      </x:c>
      <x:c r="P242" s="2" t="s">
        <x:v>1057</x:v>
      </x:c>
      <x:c r="Q242" s="2"/>
      <x:c r="R242" s="3"/>
      <x:c r="S242" s="3"/>
      <x:c r="T242" s="2"/>
      <x:c r="U242" s="2"/>
      <x:c r="V242" s="2"/>
      <x:c r="W242" s="2" t="s">
        <x:v>1189</x:v>
      </x:c>
      <x:c r="X242" s="3">
        <x:v>2</x:v>
      </x:c>
      <x:c r="Y242" s="3">
        <x:v>3</x:v>
      </x:c>
      <x:c r="Z242" s="2" t="s">
        <x:v>175</x:v>
      </x:c>
      <x:c r="AA242" s="2"/>
      <x:c r="AB242" s="2"/>
      <x:c r="AC242" s="2"/>
      <x:c r="AD242" s="2"/>
      <x:c r="AE242" s="2"/>
      <x:c r="AF242" s="2"/>
      <x:c r="AG242" s="2"/>
      <x:c r="AH242" s="2"/>
      <x:c r="AI242" s="4"/>
      <x:c r="AJ242" s="2"/>
      <x:c r="AK242" s="2" t="s">
        <x:v>176</x:v>
      </x:c>
      <x:c r="AL242" s="2" t="s">
        <x:v>571</x:v>
      </x:c>
      <x:c r="AM242" s="2">
        <x:v>92</x:v>
      </x:c>
      <x:c r="AN242" s="2">
        <x:v>92</x:v>
      </x:c>
    </x:row>
    <x:row r="243" ht="52">
      <x:c r="A243" s="2" t="s">
        <x:v>91</x:v>
      </x:c>
      <x:c r="B243" s="2" t="s">
        <x:v>14</x:v>
      </x:c>
      <x:c r="C243" s="3">
        <x:v>91</x:v>
      </x:c>
      <x:c r="D243" s="2" t="s">
        <x:v>1191</x:v>
      </x:c>
      <x:c r="E243" s="2" t="s">
        <x:v>1010</x:v>
      </x:c>
      <x:c r="F243" s="2" t="s">
        <x:v>1031</x:v>
      </x:c>
      <x:c r="G243" s="2" t="s">
        <x:v>158</x:v>
      </x:c>
      <x:c r="H243" s="2" t="s">
        <x:v>634</x:v>
      </x:c>
      <x:c r="I243" s="2" t="s">
        <x:v>1185</x:v>
      </x:c>
      <x:c r="J243" s="2" t="s">
        <x:v>1062</x:v>
      </x:c>
      <x:c r="K243" s="2" t="n">
        <x:v>88</x:v>
      </x:c>
      <x:c r="L243" s="2" t="s">
        <x:v>1033</x:v>
      </x:c>
      <x:c r="M243" s="2" t="s">
        <x:v>1063</x:v>
      </x:c>
      <x:c r="N243" s="2">
        <x:v>2</x:v>
      </x:c>
      <x:c r="O243" s="2" t="s">
        <x:v>1024</x:v>
      </x:c>
      <x:c r="P243" s="2" t="s">
        <x:v>1053</x:v>
      </x:c>
      <x:c r="Q243" s="2"/>
      <x:c r="R243" s="3"/>
      <x:c r="S243" s="3"/>
      <x:c r="T243" s="2"/>
      <x:c r="U243" s="2"/>
      <x:c r="V243" s="2"/>
      <x:c r="W243" s="2" t="s">
        <x:v>1189</x:v>
      </x:c>
      <x:c r="X243" s="3">
        <x:v>2</x:v>
      </x:c>
      <x:c r="Y243" s="3">
        <x:v>3</x:v>
      </x:c>
      <x:c r="Z243" s="2" t="s">
        <x:v>175</x:v>
      </x:c>
      <x:c r="AA243" s="2"/>
      <x:c r="AB243" s="2"/>
      <x:c r="AC243" s="2"/>
      <x:c r="AD243" s="2"/>
      <x:c r="AE243" s="2"/>
      <x:c r="AF243" s="2"/>
      <x:c r="AG243" s="2"/>
      <x:c r="AH243" s="2"/>
      <x:c r="AI243" s="4"/>
      <x:c r="AJ243" s="2"/>
      <x:c r="AK243" s="2" t="s">
        <x:v>176</x:v>
      </x:c>
      <x:c r="AL243" s="2" t="s">
        <x:v>571</x:v>
      </x:c>
      <x:c r="AM243" s="2">
        <x:v>93</x:v>
      </x:c>
      <x:c r="AN243" s="2">
        <x:v>93</x:v>
      </x:c>
    </x:row>
    <x:row r="244" ht="39">
      <x:c r="A244" s="2" t="s">
        <x:v>91</x:v>
      </x:c>
      <x:c r="B244" s="2" t="s">
        <x:v>14</x:v>
      </x:c>
      <x:c r="C244" s="3">
        <x:v>92</x:v>
      </x:c>
      <x:c r="D244" s="2" t="s">
        <x:v>166</x:v>
      </x:c>
      <x:c r="E244" s="2" t="s">
        <x:v>1117</x:v>
      </x:c>
      <x:c r="F244" s="2" t="s">
        <x:v>1011</x:v>
      </x:c>
      <x:c r="G244" s="2" t="s">
        <x:v>158</x:v>
      </x:c>
      <x:c r="H244" s="2" t="s">
        <x:v>618</x:v>
      </x:c>
      <x:c r="I244" s="2" t="s">
        <x:v>1192</x:v>
      </x:c>
      <x:c r="J244" s="2" t="s">
        <x:v>1013</x:v>
      </x:c>
      <x:c r="K244" s="2"/>
      <x:c r="L244" s="2" t="s">
        <x:v>1014</x:v>
      </x:c>
      <x:c r="M244" s="2" t="s">
        <x:v>1015</x:v>
      </x:c>
      <x:c r="N244" s="2">
        <x:v>4</x:v>
      </x:c>
      <x:c r="O244" s="2" t="s">
        <x:v>1016</x:v>
      </x:c>
      <x:c r="P244" s="2" t="s">
        <x:v>1017</x:v>
      </x:c>
      <x:c r="Q244" s="2"/>
      <x:c r="R244" s="3"/>
      <x:c r="S244" s="3"/>
      <x:c r="T244" s="2"/>
      <x:c r="U244" s="2"/>
      <x:c r="V244" s="2"/>
      <x:c r="W244" s="2" t="s">
        <x:v>1193</x:v>
      </x:c>
      <x:c r="X244" s="3">
        <x:v>2</x:v>
      </x:c>
      <x:c r="Y244" s="3">
        <x:v>1</x:v>
      </x:c>
      <x:c r="Z244" s="2" t="s">
        <x:v>191</x:v>
      </x:c>
      <x:c r="AA244" s="2"/>
      <x:c r="AB244" s="2"/>
      <x:c r="AC244" s="2"/>
      <x:c r="AD244" s="2"/>
      <x:c r="AE244" s="2"/>
      <x:c r="AF244" s="2"/>
      <x:c r="AG244" s="2"/>
      <x:c r="AH244" s="2"/>
      <x:c r="AI244" s="4"/>
      <x:c r="AJ244" s="2"/>
      <x:c r="AK244" s="2" t="s">
        <x:v>176</x:v>
      </x:c>
      <x:c r="AL244" s="2" t="s">
        <x:v>571</x:v>
      </x:c>
      <x:c r="AM244" s="2">
        <x:v>94</x:v>
      </x:c>
      <x:c r="AN244" s="2">
        <x:v>94</x:v>
      </x:c>
    </x:row>
    <x:row r="245" ht="39">
      <x:c r="A245" s="2" t="s">
        <x:v>91</x:v>
      </x:c>
      <x:c r="B245" s="2" t="s">
        <x:v>14</x:v>
      </x:c>
      <x:c r="C245" s="3">
        <x:v>93</x:v>
      </x:c>
      <x:c r="D245" s="2" t="s">
        <x:v>184</x:v>
      </x:c>
      <x:c r="E245" s="2" t="s">
        <x:v>1117</x:v>
      </x:c>
      <x:c r="F245" s="2" t="s">
        <x:v>1031</x:v>
      </x:c>
      <x:c r="G245" s="2" t="s">
        <x:v>158</x:v>
      </x:c>
      <x:c r="H245" s="2" t="s">
        <x:v>618</x:v>
      </x:c>
      <x:c r="I245" s="2" t="s">
        <x:v>1192</x:v>
      </x:c>
      <x:c r="J245" s="2" t="s">
        <x:v>1032</x:v>
      </x:c>
      <x:c r="K245" s="2" t="n">
        <x:v>92</x:v>
      </x:c>
      <x:c r="L245" s="2" t="s">
        <x:v>1120</x:v>
      </x:c>
      <x:c r="M245" s="2" t="s">
        <x:v>1041</x:v>
      </x:c>
      <x:c r="N245" s="2">
        <x:v>4</x:v>
      </x:c>
      <x:c r="O245" s="2" t="s">
        <x:v>1024</x:v>
      </x:c>
      <x:c r="P245" s="2" t="s">
        <x:v>1035</x:v>
      </x:c>
      <x:c r="Q245" s="2"/>
      <x:c r="R245" s="3"/>
      <x:c r="S245" s="3"/>
      <x:c r="T245" s="2"/>
      <x:c r="U245" s="2"/>
      <x:c r="V245" s="2"/>
      <x:c r="W245" s="2" t="s">
        <x:v>1194</x:v>
      </x:c>
      <x:c r="X245" s="3">
        <x:v>2</x:v>
      </x:c>
      <x:c r="Y245" s="3">
        <x:v>3</x:v>
      </x:c>
      <x:c r="Z245" s="2" t="s">
        <x:v>175</x:v>
      </x:c>
      <x:c r="AA245" s="2"/>
      <x:c r="AB245" s="2"/>
      <x:c r="AC245" s="2"/>
      <x:c r="AD245" s="2"/>
      <x:c r="AE245" s="2"/>
      <x:c r="AF245" s="2"/>
      <x:c r="AG245" s="2"/>
      <x:c r="AH245" s="2"/>
      <x:c r="AI245" s="4"/>
      <x:c r="AJ245" s="2"/>
      <x:c r="AK245" s="2" t="s">
        <x:v>176</x:v>
      </x:c>
      <x:c r="AL245" s="2" t="s">
        <x:v>571</x:v>
      </x:c>
      <x:c r="AM245" s="2">
        <x:v>95</x:v>
      </x:c>
      <x:c r="AN245" s="2">
        <x:v>95</x:v>
      </x:c>
    </x:row>
    <x:row r="246" ht="39">
      <x:c r="A246" s="2" t="s">
        <x:v>91</x:v>
      </x:c>
      <x:c r="B246" s="2" t="s">
        <x:v>14</x:v>
      </x:c>
      <x:c r="C246" s="3">
        <x:v>94</x:v>
      </x:c>
      <x:c r="D246" s="2" t="s">
        <x:v>184</x:v>
      </x:c>
      <x:c r="E246" s="2" t="s">
        <x:v>1064</x:v>
      </x:c>
      <x:c r="F246" s="2" t="s">
        <x:v>1031</x:v>
      </x:c>
      <x:c r="G246" s="2" t="s">
        <x:v>158</x:v>
      </x:c>
      <x:c r="H246" s="2" t="s">
        <x:v>618</x:v>
      </x:c>
      <x:c r="I246" s="2" t="s">
        <x:v>1195</x:v>
      </x:c>
      <x:c r="J246" s="2" t="s">
        <x:v>1032</x:v>
      </x:c>
      <x:c r="K246" s="2"/>
      <x:c r="L246" s="2" t="s">
        <x:v>1038</x:v>
      </x:c>
      <x:c r="M246" s="2" t="s">
        <x:v>1015</x:v>
      </x:c>
      <x:c r="N246" s="2">
        <x:v>2</x:v>
      </x:c>
      <x:c r="O246" s="2" t="s">
        <x:v>1024</x:v>
      </x:c>
      <x:c r="P246" s="2" t="s">
        <x:v>1035</x:v>
      </x:c>
      <x:c r="Q246" s="2"/>
      <x:c r="R246" s="3"/>
      <x:c r="S246" s="3"/>
      <x:c r="T246" s="2"/>
      <x:c r="U246" s="2"/>
      <x:c r="V246" s="2"/>
      <x:c r="W246" s="2" t="s">
        <x:v>1196</x:v>
      </x:c>
      <x:c r="X246" s="3">
        <x:v>2</x:v>
      </x:c>
      <x:c r="Y246" s="3">
        <x:v>3</x:v>
      </x:c>
      <x:c r="Z246" s="2" t="s">
        <x:v>175</x:v>
      </x:c>
      <x:c r="AA246" s="2"/>
      <x:c r="AB246" s="2"/>
      <x:c r="AC246" s="2"/>
      <x:c r="AD246" s="2"/>
      <x:c r="AE246" s="2"/>
      <x:c r="AF246" s="2"/>
      <x:c r="AG246" s="2"/>
      <x:c r="AH246" s="2"/>
      <x:c r="AI246" s="4"/>
      <x:c r="AJ246" s="2"/>
      <x:c r="AK246" s="2" t="s">
        <x:v>176</x:v>
      </x:c>
      <x:c r="AL246" s="2" t="s">
        <x:v>571</x:v>
      </x:c>
      <x:c r="AM246" s="2">
        <x:v>96</x:v>
      </x:c>
      <x:c r="AN246" s="2">
        <x:v>96</x:v>
      </x:c>
    </x:row>
    <x:row r="247" ht="26">
      <x:c r="A247" s="2" t="s">
        <x:v>6</x:v>
      </x:c>
      <x:c r="B247" s="2" t="s">
        <x:v>14</x:v>
      </x:c>
      <x:c r="C247" s="3">
        <x:v>95</x:v>
      </x:c>
      <x:c r="D247" s="2" t="s">
        <x:v>1197</x:v>
      </x:c>
      <x:c r="E247" s="2" t="s">
        <x:v>1064</x:v>
      </x:c>
      <x:c r="F247" s="2" t="s">
        <x:v>1198</x:v>
      </x:c>
      <x:c r="G247" s="2"/>
      <x:c r="H247" s="2" t="s">
        <x:v>627</x:v>
      </x:c>
      <x:c r="I247" s="2" t="s">
        <x:v>1195</x:v>
      </x:c>
      <x:c r="J247" s="2" t="s">
        <x:v>1028</x:v>
      </x:c>
      <x:c r="K247" s="2" t="n">
        <x:v>94</x:v>
      </x:c>
      <x:c r="L247" s="2" t="s">
        <x:v>1199</x:v>
      </x:c>
      <x:c r="M247" s="2" t="s">
        <x:v>1023</x:v>
      </x:c>
      <x:c r="N247" s="2">
        <x:v>2</x:v>
      </x:c>
      <x:c r="O247" s="2" t="s">
        <x:v>1024</x:v>
      </x:c>
      <x:c r="P247" s="2" t="s">
        <x:v>1025</x:v>
      </x:c>
      <x:c r="Q247" s="2"/>
      <x:c r="R247" s="3"/>
      <x:c r="S247" s="3"/>
      <x:c r="T247" s="2"/>
      <x:c r="U247" s="2"/>
      <x:c r="V247" s="2"/>
      <x:c r="W247" s="2" t="s">
        <x:v>1196</x:v>
      </x:c>
      <x:c r="X247" s="3">
        <x:v>2</x:v>
      </x:c>
      <x:c r="Y247" s="3">
        <x:v>3</x:v>
      </x:c>
      <x:c r="Z247" s="2" t="s">
        <x:v>175</x:v>
      </x:c>
      <x:c r="AA247" s="2"/>
      <x:c r="AB247" s="2"/>
      <x:c r="AC247" s="2"/>
      <x:c r="AD247" s="2"/>
      <x:c r="AE247" s="2"/>
      <x:c r="AF247" s="2"/>
      <x:c r="AG247" s="2"/>
      <x:c r="AH247" s="2"/>
      <x:c r="AI247" s="4"/>
      <x:c r="AJ247" s="2"/>
      <x:c r="AK247" s="2" t="s">
        <x:v>176</x:v>
      </x:c>
      <x:c r="AL247" s="2" t="s">
        <x:v>571</x:v>
      </x:c>
      <x:c r="AM247" s="2">
        <x:v>97</x:v>
      </x:c>
      <x:c r="AN247" s="2">
        <x:v>97</x:v>
      </x:c>
    </x:row>
    <x:row r="248" ht="52">
      <x:c r="A248" s="2" t="s">
        <x:v>91</x:v>
      </x:c>
      <x:c r="B248" s="2" t="s">
        <x:v>14</x:v>
      </x:c>
      <x:c r="C248" s="3">
        <x:v>96</x:v>
      </x:c>
      <x:c r="D248" s="2" t="s">
        <x:v>1200</x:v>
      </x:c>
      <x:c r="E248" s="2" t="s">
        <x:v>1064</x:v>
      </x:c>
      <x:c r="F248" s="2" t="s">
        <x:v>1031</x:v>
      </x:c>
      <x:c r="G248" s="2" t="s">
        <x:v>158</x:v>
      </x:c>
      <x:c r="H248" s="2" t="s">
        <x:v>634</x:v>
      </x:c>
      <x:c r="I248" s="2" t="s">
        <x:v>1195</x:v>
      </x:c>
      <x:c r="J248" s="2" t="s">
        <x:v>1062</x:v>
      </x:c>
      <x:c r="K248" s="2" t="n">
        <x:v>94</x:v>
      </x:c>
      <x:c r="L248" s="2" t="s">
        <x:v>1038</x:v>
      </x:c>
      <x:c r="M248" s="2" t="s">
        <x:v>1052</x:v>
      </x:c>
      <x:c r="N248" s="2">
        <x:v>2</x:v>
      </x:c>
      <x:c r="O248" s="2" t="s">
        <x:v>1024</x:v>
      </x:c>
      <x:c r="P248" s="2" t="s">
        <x:v>1053</x:v>
      </x:c>
      <x:c r="Q248" s="2"/>
      <x:c r="R248" s="3"/>
      <x:c r="S248" s="3"/>
      <x:c r="T248" s="2"/>
      <x:c r="U248" s="2"/>
      <x:c r="V248" s="2"/>
      <x:c r="W248" s="2" t="s">
        <x:v>1196</x:v>
      </x:c>
      <x:c r="X248" s="3">
        <x:v>2</x:v>
      </x:c>
      <x:c r="Y248" s="3">
        <x:v>3</x:v>
      </x:c>
      <x:c r="Z248" s="2" t="s">
        <x:v>175</x:v>
      </x:c>
      <x:c r="AA248" s="2"/>
      <x:c r="AB248" s="2"/>
      <x:c r="AC248" s="2"/>
      <x:c r="AD248" s="2"/>
      <x:c r="AE248" s="2"/>
      <x:c r="AF248" s="2"/>
      <x:c r="AG248" s="2"/>
      <x:c r="AH248" s="2"/>
      <x:c r="AI248" s="4"/>
      <x:c r="AJ248" s="2"/>
      <x:c r="AK248" s="2" t="s">
        <x:v>176</x:v>
      </x:c>
      <x:c r="AL248" s="2" t="s">
        <x:v>571</x:v>
      </x:c>
      <x:c r="AM248" s="2">
        <x:v>98</x:v>
      </x:c>
      <x:c r="AN248" s="2">
        <x:v>98</x:v>
      </x:c>
    </x:row>
    <x:row r="249" ht="26">
      <x:c r="A249" s="2" t="s">
        <x:v>6</x:v>
      </x:c>
      <x:c r="B249" s="2" t="s">
        <x:v>14</x:v>
      </x:c>
      <x:c r="C249" s="3">
        <x:v>97</x:v>
      </x:c>
      <x:c r="D249" s="2" t="s">
        <x:v>1201</x:v>
      </x:c>
      <x:c r="E249" s="2" t="s">
        <x:v>1064</x:v>
      </x:c>
      <x:c r="F249" s="2" t="s">
        <x:v>1198</x:v>
      </x:c>
      <x:c r="G249" s="2"/>
      <x:c r="H249" s="2" t="s">
        <x:v>634</x:v>
      </x:c>
      <x:c r="I249" s="2" t="s">
        <x:v>1195</x:v>
      </x:c>
      <x:c r="J249" s="2" t="s">
        <x:v>1060</x:v>
      </x:c>
      <x:c r="K249" s="2" t="n">
        <x:v>94</x:v>
      </x:c>
      <x:c r="L249" s="2" t="s">
        <x:v>1199</x:v>
      </x:c>
      <x:c r="M249" s="2" t="s">
        <x:v>1056</x:v>
      </x:c>
      <x:c r="N249" s="2">
        <x:v>2</x:v>
      </x:c>
      <x:c r="O249" s="2" t="s">
        <x:v>1024</x:v>
      </x:c>
      <x:c r="P249" s="2" t="s">
        <x:v>1057</x:v>
      </x:c>
      <x:c r="Q249" s="2"/>
      <x:c r="R249" s="3"/>
      <x:c r="S249" s="3"/>
      <x:c r="T249" s="2"/>
      <x:c r="U249" s="2"/>
      <x:c r="V249" s="2"/>
      <x:c r="W249" s="2" t="s">
        <x:v>1196</x:v>
      </x:c>
      <x:c r="X249" s="3">
        <x:v>2</x:v>
      </x:c>
      <x:c r="Y249" s="3">
        <x:v>3</x:v>
      </x:c>
      <x:c r="Z249" s="2" t="s">
        <x:v>175</x:v>
      </x:c>
      <x:c r="AA249" s="2"/>
      <x:c r="AB249" s="2"/>
      <x:c r="AC249" s="2"/>
      <x:c r="AD249" s="2"/>
      <x:c r="AE249" s="2"/>
      <x:c r="AF249" s="2"/>
      <x:c r="AG249" s="2"/>
      <x:c r="AH249" s="2"/>
      <x:c r="AI249" s="4"/>
      <x:c r="AJ249" s="2"/>
      <x:c r="AK249" s="2" t="s">
        <x:v>176</x:v>
      </x:c>
      <x:c r="AL249" s="2" t="s">
        <x:v>571</x:v>
      </x:c>
      <x:c r="AM249" s="2">
        <x:v>99</x:v>
      </x:c>
      <x:c r="AN249" s="2">
        <x:v>99</x:v>
      </x:c>
    </x:row>
    <x:row r="250" ht="26">
      <x:c r="A250" s="2" t="s">
        <x:v>91</x:v>
      </x:c>
      <x:c r="B250" s="2" t="s">
        <x:v>14</x:v>
      </x:c>
      <x:c r="C250" s="3">
        <x:v>98</x:v>
      </x:c>
      <x:c r="D250" s="2" t="s">
        <x:v>1160</x:v>
      </x:c>
      <x:c r="E250" s="2" t="s">
        <x:v>1064</x:v>
      </x:c>
      <x:c r="F250" s="2" t="s">
        <x:v>1161</x:v>
      </x:c>
      <x:c r="G250" s="2" t="s">
        <x:v>1202</x:v>
      </x:c>
      <x:c r="H250" s="2" t="s">
        <x:v>627</x:v>
      </x:c>
      <x:c r="I250" s="2" t="s">
        <x:v>1195</x:v>
      </x:c>
      <x:c r="J250" s="2" t="s">
        <x:v>1021</x:v>
      </x:c>
      <x:c r="K250" s="2"/>
      <x:c r="L250" s="2" t="s">
        <x:v>1163</x:v>
      </x:c>
      <x:c r="M250" s="2" t="s">
        <x:v>1023</x:v>
      </x:c>
      <x:c r="N250" s="2">
        <x:v>2</x:v>
      </x:c>
      <x:c r="O250" s="2" t="s">
        <x:v>1024</x:v>
      </x:c>
      <x:c r="P250" s="2" t="s">
        <x:v>1025</x:v>
      </x:c>
      <x:c r="Q250" s="2"/>
      <x:c r="R250" s="3"/>
      <x:c r="S250" s="3"/>
      <x:c r="T250" s="2"/>
      <x:c r="U250" s="2"/>
      <x:c r="V250" s="2"/>
      <x:c r="W250" s="2" t="s">
        <x:v>1203</x:v>
      </x:c>
      <x:c r="X250" s="3">
        <x:v>2</x:v>
      </x:c>
      <x:c r="Y250" s="3">
        <x:v>1</x:v>
      </x:c>
      <x:c r="Z250" s="2" t="s">
        <x:v>191</x:v>
      </x:c>
      <x:c r="AA250" s="2"/>
      <x:c r="AB250" s="2"/>
      <x:c r="AC250" s="2"/>
      <x:c r="AD250" s="2"/>
      <x:c r="AE250" s="2"/>
      <x:c r="AF250" s="2"/>
      <x:c r="AG250" s="2"/>
      <x:c r="AH250" s="2"/>
      <x:c r="AI250" s="4"/>
      <x:c r="AJ250" s="2"/>
      <x:c r="AK250" s="2" t="s">
        <x:v>176</x:v>
      </x:c>
      <x:c r="AL250" s="2" t="s">
        <x:v>571</x:v>
      </x:c>
      <x:c r="AM250" s="2">
        <x:v>100</x:v>
      </x:c>
      <x:c r="AN250" s="2">
        <x:v>100</x:v>
      </x:c>
    </x:row>
    <x:row r="251" ht="39">
      <x:c r="A251" s="2" t="s">
        <x:v>91</x:v>
      </x:c>
      <x:c r="B251" s="2" t="s">
        <x:v>14</x:v>
      </x:c>
      <x:c r="C251" s="3">
        <x:v>99</x:v>
      </x:c>
      <x:c r="D251" s="2" t="s">
        <x:v>166</x:v>
      </x:c>
      <x:c r="E251" s="2" t="s">
        <x:v>1064</x:v>
      </x:c>
      <x:c r="F251" s="2" t="s">
        <x:v>1011</x:v>
      </x:c>
      <x:c r="G251" s="2" t="s">
        <x:v>158</x:v>
      </x:c>
      <x:c r="H251" s="2" t="s">
        <x:v>618</x:v>
      </x:c>
      <x:c r="I251" s="2" t="s">
        <x:v>1195</x:v>
      </x:c>
      <x:c r="J251" s="2" t="s">
        <x:v>1013</x:v>
      </x:c>
      <x:c r="K251" s="2" t="n">
        <x:v>98</x:v>
      </x:c>
      <x:c r="L251" s="2" t="s">
        <x:v>1074</x:v>
      </x:c>
      <x:c r="M251" s="2" t="s">
        <x:v>1034</x:v>
      </x:c>
      <x:c r="N251" s="2">
        <x:v>2</x:v>
      </x:c>
      <x:c r="O251" s="2" t="s">
        <x:v>1016</x:v>
      </x:c>
      <x:c r="P251" s="2" t="s">
        <x:v>1017</x:v>
      </x:c>
      <x:c r="Q251" s="2"/>
      <x:c r="R251" s="3"/>
      <x:c r="S251" s="3"/>
      <x:c r="T251" s="2"/>
      <x:c r="U251" s="2"/>
      <x:c r="V251" s="2"/>
      <x:c r="W251" s="2" t="s">
        <x:v>1203</x:v>
      </x:c>
      <x:c r="X251" s="3">
        <x:v>2</x:v>
      </x:c>
      <x:c r="Y251" s="3">
        <x:v>1</x:v>
      </x:c>
      <x:c r="Z251" s="2" t="s">
        <x:v>191</x:v>
      </x:c>
      <x:c r="AA251" s="2"/>
      <x:c r="AB251" s="2"/>
      <x:c r="AC251" s="2"/>
      <x:c r="AD251" s="2"/>
      <x:c r="AE251" s="2"/>
      <x:c r="AF251" s="2"/>
      <x:c r="AG251" s="2"/>
      <x:c r="AH251" s="2"/>
      <x:c r="AI251" s="4"/>
      <x:c r="AJ251" s="2"/>
      <x:c r="AK251" s="2" t="s">
        <x:v>176</x:v>
      </x:c>
      <x:c r="AL251" s="2" t="s">
        <x:v>571</x:v>
      </x:c>
      <x:c r="AM251" s="2">
        <x:v>101</x:v>
      </x:c>
      <x:c r="AN251" s="2">
        <x:v>101</x:v>
      </x:c>
    </x:row>
    <x:row r="252" ht="26">
      <x:c r="A252" s="2" t="s">
        <x:v>91</x:v>
      </x:c>
      <x:c r="B252" s="2" t="s">
        <x:v>14</x:v>
      </x:c>
      <x:c r="C252" s="3">
        <x:v>100</x:v>
      </x:c>
      <x:c r="D252" s="2" t="s">
        <x:v>1204</x:v>
      </x:c>
      <x:c r="E252" s="2" t="s">
        <x:v>1064</x:v>
      </x:c>
      <x:c r="F252" s="2" t="s">
        <x:v>1161</x:v>
      </x:c>
      <x:c r="G252" s="2" t="s">
        <x:v>1205</x:v>
      </x:c>
      <x:c r="H252" s="2" t="s">
        <x:v>634</x:v>
      </x:c>
      <x:c r="I252" s="2" t="s">
        <x:v>1195</x:v>
      </x:c>
      <x:c r="J252" s="2" t="s">
        <x:v>1055</x:v>
      </x:c>
      <x:c r="K252" s="2" t="n">
        <x:v>98</x:v>
      </x:c>
      <x:c r="L252" s="2" t="s">
        <x:v>1163</x:v>
      </x:c>
      <x:c r="M252" s="2" t="s">
        <x:v>1056</x:v>
      </x:c>
      <x:c r="N252" s="2">
        <x:v>2</x:v>
      </x:c>
      <x:c r="O252" s="2" t="s">
        <x:v>1024</x:v>
      </x:c>
      <x:c r="P252" s="2" t="s">
        <x:v>1057</x:v>
      </x:c>
      <x:c r="Q252" s="2"/>
      <x:c r="R252" s="3"/>
      <x:c r="S252" s="3"/>
      <x:c r="T252" s="2"/>
      <x:c r="U252" s="2"/>
      <x:c r="V252" s="2"/>
      <x:c r="W252" s="2" t="s">
        <x:v>1203</x:v>
      </x:c>
      <x:c r="X252" s="3">
        <x:v>2</x:v>
      </x:c>
      <x:c r="Y252" s="3">
        <x:v>1</x:v>
      </x:c>
      <x:c r="Z252" s="2" t="s">
        <x:v>191</x:v>
      </x:c>
      <x:c r="AA252" s="2"/>
      <x:c r="AB252" s="2"/>
      <x:c r="AC252" s="2"/>
      <x:c r="AD252" s="2"/>
      <x:c r="AE252" s="2"/>
      <x:c r="AF252" s="2"/>
      <x:c r="AG252" s="2"/>
      <x:c r="AH252" s="2"/>
      <x:c r="AI252" s="4"/>
      <x:c r="AJ252" s="2"/>
      <x:c r="AK252" s="2" t="s">
        <x:v>176</x:v>
      </x:c>
      <x:c r="AL252" s="2" t="s">
        <x:v>571</x:v>
      </x:c>
      <x:c r="AM252" s="2">
        <x:v>102</x:v>
      </x:c>
      <x:c r="AN252" s="2">
        <x:v>102</x:v>
      </x:c>
    </x:row>
    <x:row r="253" ht="52">
      <x:c r="A253" s="2" t="s">
        <x:v>91</x:v>
      </x:c>
      <x:c r="B253" s="2" t="s">
        <x:v>14</x:v>
      </x:c>
      <x:c r="C253" s="3">
        <x:v>101</x:v>
      </x:c>
      <x:c r="D253" s="2" t="s">
        <x:v>1206</x:v>
      </x:c>
      <x:c r="E253" s="2" t="s">
        <x:v>1064</x:v>
      </x:c>
      <x:c r="F253" s="2" t="s">
        <x:v>1011</x:v>
      </x:c>
      <x:c r="G253" s="2" t="s">
        <x:v>158</x:v>
      </x:c>
      <x:c r="H253" s="2" t="s">
        <x:v>634</x:v>
      </x:c>
      <x:c r="I253" s="2" t="s">
        <x:v>1195</x:v>
      </x:c>
      <x:c r="J253" s="2" t="s">
        <x:v>1051</x:v>
      </x:c>
      <x:c r="K253" s="2" t="n">
        <x:v>98</x:v>
      </x:c>
      <x:c r="L253" s="2" t="s">
        <x:v>1074</x:v>
      </x:c>
      <x:c r="M253" s="2" t="s">
        <x:v>1063</x:v>
      </x:c>
      <x:c r="N253" s="2">
        <x:v>2</x:v>
      </x:c>
      <x:c r="O253" s="2" t="s">
        <x:v>1016</x:v>
      </x:c>
      <x:c r="P253" s="2" t="s">
        <x:v>1053</x:v>
      </x:c>
      <x:c r="Q253" s="2"/>
      <x:c r="R253" s="3"/>
      <x:c r="S253" s="3"/>
      <x:c r="T253" s="2"/>
      <x:c r="U253" s="2"/>
      <x:c r="V253" s="2"/>
      <x:c r="W253" s="2" t="s">
        <x:v>1203</x:v>
      </x:c>
      <x:c r="X253" s="3">
        <x:v>2</x:v>
      </x:c>
      <x:c r="Y253" s="3">
        <x:v>1</x:v>
      </x:c>
      <x:c r="Z253" s="2" t="s">
        <x:v>191</x:v>
      </x:c>
      <x:c r="AA253" s="2"/>
      <x:c r="AB253" s="2"/>
      <x:c r="AC253" s="2"/>
      <x:c r="AD253" s="2"/>
      <x:c r="AE253" s="2"/>
      <x:c r="AF253" s="2"/>
      <x:c r="AG253" s="2"/>
      <x:c r="AH253" s="2"/>
      <x:c r="AI253" s="4"/>
      <x:c r="AJ253" s="2"/>
      <x:c r="AK253" s="2" t="s">
        <x:v>176</x:v>
      </x:c>
      <x:c r="AL253" s="2" t="s">
        <x:v>571</x:v>
      </x:c>
      <x:c r="AM253" s="2">
        <x:v>103</x:v>
      </x:c>
      <x:c r="AN253" s="2">
        <x:v>103</x:v>
      </x:c>
    </x:row>
    <x:row r="254" ht="39">
      <x:c r="A254" s="2" t="s">
        <x:v>6</x:v>
      </x:c>
      <x:c r="B254" s="2" t="s">
        <x:v>14</x:v>
      </x:c>
      <x:c r="C254" s="3">
        <x:v>102</x:v>
      </x:c>
      <x:c r="D254" s="2" t="s">
        <x:v>993</x:v>
      </x:c>
      <x:c r="E254" s="2" t="s">
        <x:v>1207</x:v>
      </x:c>
      <x:c r="F254" s="2" t="s">
        <x:v>1094</x:v>
      </x:c>
      <x:c r="G254" s="2"/>
      <x:c r="H254" s="2" t="s">
        <x:v>1077</x:v>
      </x:c>
      <x:c r="I254" s="2" t="s">
        <x:v>1208</x:v>
      </x:c>
      <x:c r="J254" s="2" t="s">
        <x:v>1095</x:v>
      </x:c>
      <x:c r="K254" s="2"/>
      <x:c r="L254" s="2" t="s">
        <x:v>1096</x:v>
      </x:c>
      <x:c r="M254" s="2" t="s">
        <x:v>1080</x:v>
      </x:c>
      <x:c r="N254" s="2">
        <x:v>6</x:v>
      </x:c>
      <x:c r="O254" s="2" t="s">
        <x:v>1081</x:v>
      </x:c>
      <x:c r="P254" s="2" t="s">
        <x:v>1082</x:v>
      </x:c>
      <x:c r="Q254" s="2"/>
      <x:c r="R254" s="3"/>
      <x:c r="S254" s="3"/>
      <x:c r="T254" s="2"/>
      <x:c r="U254" s="2"/>
      <x:c r="V254" s="2"/>
      <x:c r="W254" s="2" t="s">
        <x:v>1208</x:v>
      </x:c>
      <x:c r="X254" s="3">
        <x:v>0</x:v>
      </x:c>
      <x:c r="Y254" s="3">
        <x:v>0</x:v>
      </x:c>
      <x:c r="Z254" s="2" t="s">
        <x:v>1083</x:v>
      </x:c>
      <x:c r="AA254" s="2"/>
      <x:c r="AB254" s="2"/>
      <x:c r="AC254" s="2"/>
      <x:c r="AD254" s="2"/>
      <x:c r="AE254" s="2"/>
      <x:c r="AF254" s="2"/>
      <x:c r="AG254" s="2"/>
      <x:c r="AH254" s="2"/>
      <x:c r="AI254" s="4"/>
      <x:c r="AJ254" s="2"/>
      <x:c r="AK254" s="2" t="s">
        <x:v>176</x:v>
      </x:c>
      <x:c r="AL254" s="2" t="s">
        <x:v>571</x:v>
      </x:c>
      <x:c r="AM254" s="2">
        <x:v>104</x:v>
      </x:c>
      <x:c r="AN254" s="2">
        <x:v>104</x:v>
      </x:c>
    </x:row>
    <x:row r="255" ht="39">
      <x:c r="A255" s="2" t="s">
        <x:v>6</x:v>
      </x:c>
      <x:c r="B255" s="2" t="s">
        <x:v>14</x:v>
      </x:c>
      <x:c r="C255" s="3">
        <x:v>103</x:v>
      </x:c>
      <x:c r="D255" s="2" t="s">
        <x:v>166</x:v>
      </x:c>
      <x:c r="E255" s="2" t="s">
        <x:v>1209</x:v>
      </x:c>
      <x:c r="F255" s="2" t="s">
        <x:v>1090</x:v>
      </x:c>
      <x:c r="G255" s="2"/>
      <x:c r="H255" s="2" t="s">
        <x:v>1077</x:v>
      </x:c>
      <x:c r="I255" s="2" t="s">
        <x:v>1208</x:v>
      </x:c>
      <x:c r="J255" s="2" t="s">
        <x:v>1091</x:v>
      </x:c>
      <x:c r="K255" s="2"/>
      <x:c r="L255" s="2" t="s">
        <x:v>1092</x:v>
      </x:c>
      <x:c r="M255" s="2" t="s">
        <x:v>1080</x:v>
      </x:c>
      <x:c r="N255" s="2">
        <x:v>6</x:v>
      </x:c>
      <x:c r="O255" s="2" t="s">
        <x:v>1089</x:v>
      </x:c>
      <x:c r="P255" s="2" t="s">
        <x:v>1082</x:v>
      </x:c>
      <x:c r="Q255" s="2"/>
      <x:c r="R255" s="3"/>
      <x:c r="S255" s="3"/>
      <x:c r="T255" s="2"/>
      <x:c r="U255" s="2"/>
      <x:c r="V255" s="2"/>
      <x:c r="W255" s="2" t="s">
        <x:v>1208</x:v>
      </x:c>
      <x:c r="X255" s="3">
        <x:v>1</x:v>
      </x:c>
      <x:c r="Y255" s="3">
        <x:v>1</x:v>
      </x:c>
      <x:c r="Z255" s="2" t="s">
        <x:v>1083</x:v>
      </x:c>
      <x:c r="AA255" s="2"/>
      <x:c r="AB255" s="2"/>
      <x:c r="AC255" s="2"/>
      <x:c r="AD255" s="2"/>
      <x:c r="AE255" s="2"/>
      <x:c r="AF255" s="2"/>
      <x:c r="AG255" s="2"/>
      <x:c r="AH255" s="2"/>
      <x:c r="AI255" s="4"/>
      <x:c r="AJ255" s="2"/>
      <x:c r="AK255" s="2" t="s">
        <x:v>176</x:v>
      </x:c>
      <x:c r="AL255" s="2" t="s">
        <x:v>571</x:v>
      </x:c>
      <x:c r="AM255" s="2">
        <x:v>105</x:v>
      </x:c>
      <x:c r="AN255" s="2">
        <x:v>105</x:v>
      </x:c>
    </x:row>
    <x:row r="256" ht="39">
      <x:c r="A256" s="2" t="s">
        <x:v>6</x:v>
      </x:c>
      <x:c r="B256" s="2" t="s">
        <x:v>14</x:v>
      </x:c>
      <x:c r="C256" s="3">
        <x:v>104</x:v>
      </x:c>
      <x:c r="D256" s="2" t="s">
        <x:v>1084</x:v>
      </x:c>
      <x:c r="E256" s="2" t="s">
        <x:v>1210</x:v>
      </x:c>
      <x:c r="F256" s="2" t="s">
        <x:v>1086</x:v>
      </x:c>
      <x:c r="G256" s="2"/>
      <x:c r="H256" s="2" t="s">
        <x:v>1077</x:v>
      </x:c>
      <x:c r="I256" s="2" t="s">
        <x:v>1208</x:v>
      </x:c>
      <x:c r="J256" s="2" t="s">
        <x:v>1087</x:v>
      </x:c>
      <x:c r="K256" s="2"/>
      <x:c r="L256" s="2" t="s">
        <x:v>1088</x:v>
      </x:c>
      <x:c r="M256" s="2" t="s">
        <x:v>1080</x:v>
      </x:c>
      <x:c r="N256" s="2">
        <x:v>6</x:v>
      </x:c>
      <x:c r="O256" s="2" t="s">
        <x:v>1089</x:v>
      </x:c>
      <x:c r="P256" s="2" t="s">
        <x:v>1082</x:v>
      </x:c>
      <x:c r="Q256" s="2"/>
      <x:c r="R256" s="3"/>
      <x:c r="S256" s="3"/>
      <x:c r="T256" s="2"/>
      <x:c r="U256" s="2"/>
      <x:c r="V256" s="2"/>
      <x:c r="W256" s="2" t="s">
        <x:v>1208</x:v>
      </x:c>
      <x:c r="X256" s="3">
        <x:v>2</x:v>
      </x:c>
      <x:c r="Y256" s="3">
        <x:v>2</x:v>
      </x:c>
      <x:c r="Z256" s="2" t="s">
        <x:v>1083</x:v>
      </x:c>
      <x:c r="AA256" s="2"/>
      <x:c r="AB256" s="2"/>
      <x:c r="AC256" s="2"/>
      <x:c r="AD256" s="2"/>
      <x:c r="AE256" s="2"/>
      <x:c r="AF256" s="2"/>
      <x:c r="AG256" s="2"/>
      <x:c r="AH256" s="2"/>
      <x:c r="AI256" s="4"/>
      <x:c r="AJ256" s="2"/>
      <x:c r="AK256" s="2" t="s">
        <x:v>176</x:v>
      </x:c>
      <x:c r="AL256" s="2" t="s">
        <x:v>571</x:v>
      </x:c>
      <x:c r="AM256" s="2">
        <x:v>106</x:v>
      </x:c>
      <x:c r="AN256" s="2">
        <x:v>106</x:v>
      </x:c>
    </x:row>
    <x:row r="257" ht="39">
      <x:c r="A257" s="2" t="s">
        <x:v>6</x:v>
      </x:c>
      <x:c r="B257" s="2" t="s">
        <x:v>14</x:v>
      </x:c>
      <x:c r="C257" s="3">
        <x:v>105</x:v>
      </x:c>
      <x:c r="D257" s="2" t="s">
        <x:v>184</x:v>
      </x:c>
      <x:c r="E257" s="2" t="s">
        <x:v>1211</x:v>
      </x:c>
      <x:c r="F257" s="2" t="s">
        <x:v>1076</x:v>
      </x:c>
      <x:c r="G257" s="2"/>
      <x:c r="H257" s="2" t="s">
        <x:v>1077</x:v>
      </x:c>
      <x:c r="I257" s="2" t="s">
        <x:v>1208</x:v>
      </x:c>
      <x:c r="J257" s="2" t="s">
        <x:v>1079</x:v>
      </x:c>
      <x:c r="K257" s="2"/>
      <x:c r="L257" s="2" t="s">
        <x:v>189</x:v>
      </x:c>
      <x:c r="M257" s="2" t="s">
        <x:v>1080</x:v>
      </x:c>
      <x:c r="N257" s="2">
        <x:v>6</x:v>
      </x:c>
      <x:c r="O257" s="2" t="s">
        <x:v>1089</x:v>
      </x:c>
      <x:c r="P257" s="2" t="s">
        <x:v>1082</x:v>
      </x:c>
      <x:c r="Q257" s="2"/>
      <x:c r="R257" s="3"/>
      <x:c r="S257" s="3"/>
      <x:c r="T257" s="2"/>
      <x:c r="U257" s="2"/>
      <x:c r="V257" s="2"/>
      <x:c r="W257" s="2" t="s">
        <x:v>1208</x:v>
      </x:c>
      <x:c r="X257" s="3">
        <x:v>3</x:v>
      </x:c>
      <x:c r="Y257" s="3">
        <x:v>3</x:v>
      </x:c>
      <x:c r="Z257" s="2" t="s">
        <x:v>1083</x:v>
      </x:c>
      <x:c r="AA257" s="2"/>
      <x:c r="AB257" s="2"/>
      <x:c r="AC257" s="2"/>
      <x:c r="AD257" s="2"/>
      <x:c r="AE257" s="2"/>
      <x:c r="AF257" s="2"/>
      <x:c r="AG257" s="2"/>
      <x:c r="AH257" s="2"/>
      <x:c r="AI257" s="4"/>
      <x:c r="AJ257" s="2"/>
      <x:c r="AK257" s="2" t="s">
        <x:v>176</x:v>
      </x:c>
      <x:c r="AL257" s="2" t="s">
        <x:v>571</x:v>
      </x:c>
      <x:c r="AM257" s="2">
        <x:v>107</x:v>
      </x:c>
      <x:c r="AN257" s="2">
        <x:v>107</x:v>
      </x:c>
    </x:row>
    <x:row r="258" ht="39">
      <x:c r="A258" s="2" t="s">
        <x:v>91</x:v>
      </x:c>
      <x:c r="B258" s="2" t="s">
        <x:v>14</x:v>
      </x:c>
      <x:c r="C258" s="3">
        <x:v>106</x:v>
      </x:c>
      <x:c r="D258" s="2" t="s">
        <x:v>166</x:v>
      </x:c>
      <x:c r="E258" s="2" t="s">
        <x:v>1212</x:v>
      </x:c>
      <x:c r="F258" s="2" t="s">
        <x:v>1011</x:v>
      </x:c>
      <x:c r="G258" s="2" t="s">
        <x:v>158</x:v>
      </x:c>
      <x:c r="H258" s="2" t="s">
        <x:v>618</x:v>
      </x:c>
      <x:c r="I258" s="2" t="s">
        <x:v>1213</x:v>
      </x:c>
      <x:c r="J258" s="2" t="s">
        <x:v>1013</x:v>
      </x:c>
      <x:c r="K258" s="2"/>
      <x:c r="L258" s="2" t="s">
        <x:v>1171</x:v>
      </x:c>
      <x:c r="M258" s="2" t="s">
        <x:v>1107</x:v>
      </x:c>
      <x:c r="N258" s="2">
        <x:v>2</x:v>
      </x:c>
      <x:c r="O258" s="2" t="s">
        <x:v>1016</x:v>
      </x:c>
      <x:c r="P258" s="2" t="s">
        <x:v>1017</x:v>
      </x:c>
      <x:c r="Q258" s="2"/>
      <x:c r="R258" s="3"/>
      <x:c r="S258" s="3"/>
      <x:c r="T258" s="2"/>
      <x:c r="U258" s="2"/>
      <x:c r="V258" s="2"/>
      <x:c r="W258" s="2" t="s">
        <x:v>1214</x:v>
      </x:c>
      <x:c r="X258" s="3">
        <x:v>2</x:v>
      </x:c>
      <x:c r="Y258" s="3">
        <x:v>1</x:v>
      </x:c>
      <x:c r="Z258" s="2" t="s">
        <x:v>191</x:v>
      </x:c>
      <x:c r="AA258" s="2"/>
      <x:c r="AB258" s="2"/>
      <x:c r="AC258" s="2"/>
      <x:c r="AD258" s="2"/>
      <x:c r="AE258" s="2"/>
      <x:c r="AF258" s="2"/>
      <x:c r="AG258" s="2"/>
      <x:c r="AH258" s="2"/>
      <x:c r="AI258" s="4"/>
      <x:c r="AJ258" s="2"/>
      <x:c r="AK258" s="2" t="s">
        <x:v>176</x:v>
      </x:c>
      <x:c r="AL258" s="2" t="s">
        <x:v>571</x:v>
      </x:c>
      <x:c r="AM258" s="2">
        <x:v>108</x:v>
      </x:c>
      <x:c r="AN258" s="2">
        <x:v>108</x:v>
      </x:c>
    </x:row>
    <x:row r="259" ht="26">
      <x:c r="A259" s="2" t="s">
        <x:v>6</x:v>
      </x:c>
      <x:c r="B259" s="2" t="s">
        <x:v>14</x:v>
      </x:c>
      <x:c r="C259" s="3">
        <x:v>107</x:v>
      </x:c>
      <x:c r="D259" s="2" t="s">
        <x:v>1160</x:v>
      </x:c>
      <x:c r="E259" s="2" t="s">
        <x:v>1212</x:v>
      </x:c>
      <x:c r="F259" s="2" t="s">
        <x:v>1161</x:v>
      </x:c>
      <x:c r="G259" s="2"/>
      <x:c r="H259" s="2" t="s">
        <x:v>627</x:v>
      </x:c>
      <x:c r="I259" s="2" t="s">
        <x:v>1213</x:v>
      </x:c>
      <x:c r="J259" s="2" t="s">
        <x:v>1021</x:v>
      </x:c>
      <x:c r="K259" s="2" t="n">
        <x:v>106</x:v>
      </x:c>
      <x:c r="L259" s="2" t="s">
        <x:v>1163</x:v>
      </x:c>
      <x:c r="M259" s="2" t="s">
        <x:v>1023</x:v>
      </x:c>
      <x:c r="N259" s="2">
        <x:v>2</x:v>
      </x:c>
      <x:c r="O259" s="2" t="s">
        <x:v>1024</x:v>
      </x:c>
      <x:c r="P259" s="2" t="s">
        <x:v>1025</x:v>
      </x:c>
      <x:c r="Q259" s="2"/>
      <x:c r="R259" s="3"/>
      <x:c r="S259" s="3"/>
      <x:c r="T259" s="2"/>
      <x:c r="U259" s="2"/>
      <x:c r="V259" s="2"/>
      <x:c r="W259" s="2" t="s">
        <x:v>1214</x:v>
      </x:c>
      <x:c r="X259" s="3">
        <x:v>2</x:v>
      </x:c>
      <x:c r="Y259" s="3">
        <x:v>1</x:v>
      </x:c>
      <x:c r="Z259" s="2" t="s">
        <x:v>191</x:v>
      </x:c>
      <x:c r="AA259" s="2"/>
      <x:c r="AB259" s="2"/>
      <x:c r="AC259" s="2"/>
      <x:c r="AD259" s="2"/>
      <x:c r="AE259" s="2"/>
      <x:c r="AF259" s="2"/>
      <x:c r="AG259" s="2"/>
      <x:c r="AH259" s="2"/>
      <x:c r="AI259" s="4"/>
      <x:c r="AJ259" s="2"/>
      <x:c r="AK259" s="2" t="s">
        <x:v>176</x:v>
      </x:c>
      <x:c r="AL259" s="2" t="s">
        <x:v>571</x:v>
      </x:c>
      <x:c r="AM259" s="2">
        <x:v>109</x:v>
      </x:c>
      <x:c r="AN259" s="2">
        <x:v>109</x:v>
      </x:c>
    </x:row>
    <x:row r="260" ht="52">
      <x:c r="A260" s="2" t="s">
        <x:v>91</x:v>
      </x:c>
      <x:c r="B260" s="2" t="s">
        <x:v>14</x:v>
      </x:c>
      <x:c r="C260" s="3">
        <x:v>108</x:v>
      </x:c>
      <x:c r="D260" s="2" t="s">
        <x:v>1215</x:v>
      </x:c>
      <x:c r="E260" s="2" t="s">
        <x:v>1212</x:v>
      </x:c>
      <x:c r="F260" s="2" t="s">
        <x:v>1011</x:v>
      </x:c>
      <x:c r="G260" s="2" t="s">
        <x:v>158</x:v>
      </x:c>
      <x:c r="H260" s="2" t="s">
        <x:v>634</x:v>
      </x:c>
      <x:c r="I260" s="2" t="s">
        <x:v>1213</x:v>
      </x:c>
      <x:c r="J260" s="2" t="s">
        <x:v>1051</x:v>
      </x:c>
      <x:c r="K260" s="2" t="n">
        <x:v>106</x:v>
      </x:c>
      <x:c r="L260" s="2" t="s">
        <x:v>1171</x:v>
      </x:c>
      <x:c r="M260" s="2" t="s">
        <x:v>1216</x:v>
      </x:c>
      <x:c r="N260" s="2">
        <x:v>2</x:v>
      </x:c>
      <x:c r="O260" s="2" t="s">
        <x:v>1016</x:v>
      </x:c>
      <x:c r="P260" s="2" t="s">
        <x:v>1053</x:v>
      </x:c>
      <x:c r="Q260" s="2"/>
      <x:c r="R260" s="3"/>
      <x:c r="S260" s="3"/>
      <x:c r="T260" s="2"/>
      <x:c r="U260" s="2"/>
      <x:c r="V260" s="2"/>
      <x:c r="W260" s="2" t="s">
        <x:v>1214</x:v>
      </x:c>
      <x:c r="X260" s="3">
        <x:v>2</x:v>
      </x:c>
      <x:c r="Y260" s="3">
        <x:v>1</x:v>
      </x:c>
      <x:c r="Z260" s="2" t="s">
        <x:v>191</x:v>
      </x:c>
      <x:c r="AA260" s="2"/>
      <x:c r="AB260" s="2"/>
      <x:c r="AC260" s="2"/>
      <x:c r="AD260" s="2"/>
      <x:c r="AE260" s="2"/>
      <x:c r="AF260" s="2"/>
      <x:c r="AG260" s="2"/>
      <x:c r="AH260" s="2"/>
      <x:c r="AI260" s="4"/>
      <x:c r="AJ260" s="2"/>
      <x:c r="AK260" s="2" t="s">
        <x:v>176</x:v>
      </x:c>
      <x:c r="AL260" s="2" t="s">
        <x:v>571</x:v>
      </x:c>
      <x:c r="AM260" s="2">
        <x:v>110</x:v>
      </x:c>
      <x:c r="AN260" s="2">
        <x:v>110</x:v>
      </x:c>
    </x:row>
    <x:row r="261" ht="26">
      <x:c r="A261" s="2" t="s">
        <x:v>91</x:v>
      </x:c>
      <x:c r="B261" s="2" t="s">
        <x:v>14</x:v>
      </x:c>
      <x:c r="C261" s="3">
        <x:v>109</x:v>
      </x:c>
      <x:c r="D261" s="2" t="s">
        <x:v>1204</x:v>
      </x:c>
      <x:c r="E261" s="2" t="s">
        <x:v>1212</x:v>
      </x:c>
      <x:c r="F261" s="2" t="s">
        <x:v>1161</x:v>
      </x:c>
      <x:c r="G261" s="2" t="s">
        <x:v>158</x:v>
      </x:c>
      <x:c r="H261" s="2" t="s">
        <x:v>634</x:v>
      </x:c>
      <x:c r="I261" s="2" t="s">
        <x:v>1213</x:v>
      </x:c>
      <x:c r="J261" s="2" t="s">
        <x:v>1055</x:v>
      </x:c>
      <x:c r="K261" s="2" t="n">
        <x:v>106</x:v>
      </x:c>
      <x:c r="L261" s="2" t="s">
        <x:v>1163</x:v>
      </x:c>
      <x:c r="M261" s="2" t="s">
        <x:v>1056</x:v>
      </x:c>
      <x:c r="N261" s="2">
        <x:v>2</x:v>
      </x:c>
      <x:c r="O261" s="2" t="s">
        <x:v>1024</x:v>
      </x:c>
      <x:c r="P261" s="2" t="s">
        <x:v>1057</x:v>
      </x:c>
      <x:c r="Q261" s="2"/>
      <x:c r="R261" s="3"/>
      <x:c r="S261" s="3"/>
      <x:c r="T261" s="2"/>
      <x:c r="U261" s="2"/>
      <x:c r="V261" s="2"/>
      <x:c r="W261" s="2" t="s">
        <x:v>1214</x:v>
      </x:c>
      <x:c r="X261" s="3">
        <x:v>2</x:v>
      </x:c>
      <x:c r="Y261" s="3">
        <x:v>1</x:v>
      </x:c>
      <x:c r="Z261" s="2" t="s">
        <x:v>191</x:v>
      </x:c>
      <x:c r="AA261" s="2"/>
      <x:c r="AB261" s="2"/>
      <x:c r="AC261" s="2"/>
      <x:c r="AD261" s="2"/>
      <x:c r="AE261" s="2"/>
      <x:c r="AF261" s="2"/>
      <x:c r="AG261" s="2"/>
      <x:c r="AH261" s="2"/>
      <x:c r="AI261" s="4"/>
      <x:c r="AJ261" s="2"/>
      <x:c r="AK261" s="2" t="s">
        <x:v>176</x:v>
      </x:c>
      <x:c r="AL261" s="2" t="s">
        <x:v>571</x:v>
      </x:c>
      <x:c r="AM261" s="2">
        <x:v>111</x:v>
      </x:c>
      <x:c r="AN261" s="2">
        <x:v>111</x:v>
      </x:c>
    </x:row>
    <x:row r="262" ht="26">
      <x:c r="A262" s="2" t="s">
        <x:v>6</x:v>
      </x:c>
      <x:c r="B262" s="2" t="s">
        <x:v>14</x:v>
      </x:c>
      <x:c r="C262" s="3">
        <x:v>110</x:v>
      </x:c>
      <x:c r="D262" s="2" t="s">
        <x:v>1197</x:v>
      </x:c>
      <x:c r="E262" s="2" t="s">
        <x:v>1212</x:v>
      </x:c>
      <x:c r="F262" s="2" t="s">
        <x:v>1198</x:v>
      </x:c>
      <x:c r="G262" s="2"/>
      <x:c r="H262" s="2" t="s">
        <x:v>627</x:v>
      </x:c>
      <x:c r="I262" s="2" t="s">
        <x:v>1213</x:v>
      </x:c>
      <x:c r="J262" s="2" t="s">
        <x:v>1028</x:v>
      </x:c>
      <x:c r="K262" s="2"/>
      <x:c r="L262" s="2" t="s">
        <x:v>1199</x:v>
      </x:c>
      <x:c r="M262" s="2" t="s">
        <x:v>1023</x:v>
      </x:c>
      <x:c r="N262" s="2">
        <x:v>2</x:v>
      </x:c>
      <x:c r="O262" s="2" t="s">
        <x:v>1024</x:v>
      </x:c>
      <x:c r="P262" s="2" t="s">
        <x:v>1025</x:v>
      </x:c>
      <x:c r="Q262" s="2"/>
      <x:c r="R262" s="3"/>
      <x:c r="S262" s="3"/>
      <x:c r="T262" s="2"/>
      <x:c r="U262" s="2"/>
      <x:c r="V262" s="2"/>
      <x:c r="W262" s="2" t="s">
        <x:v>1217</x:v>
      </x:c>
      <x:c r="X262" s="3">
        <x:v>2</x:v>
      </x:c>
      <x:c r="Y262" s="3">
        <x:v>3</x:v>
      </x:c>
      <x:c r="Z262" s="2" t="s">
        <x:v>175</x:v>
      </x:c>
      <x:c r="AA262" s="2"/>
      <x:c r="AB262" s="2"/>
      <x:c r="AC262" s="2"/>
      <x:c r="AD262" s="2"/>
      <x:c r="AE262" s="2"/>
      <x:c r="AF262" s="2"/>
      <x:c r="AG262" s="2"/>
      <x:c r="AH262" s="2"/>
      <x:c r="AI262" s="4"/>
      <x:c r="AJ262" s="2"/>
      <x:c r="AK262" s="2" t="s">
        <x:v>176</x:v>
      </x:c>
      <x:c r="AL262" s="2" t="s">
        <x:v>571</x:v>
      </x:c>
      <x:c r="AM262" s="2">
        <x:v>112</x:v>
      </x:c>
      <x:c r="AN262" s="2">
        <x:v>112</x:v>
      </x:c>
    </x:row>
    <x:row r="263" ht="39">
      <x:c r="A263" s="2" t="s">
        <x:v>91</x:v>
      </x:c>
      <x:c r="B263" s="2" t="s">
        <x:v>14</x:v>
      </x:c>
      <x:c r="C263" s="3">
        <x:v>111</x:v>
      </x:c>
      <x:c r="D263" s="2" t="s">
        <x:v>184</x:v>
      </x:c>
      <x:c r="E263" s="2" t="s">
        <x:v>1212</x:v>
      </x:c>
      <x:c r="F263" s="2" t="s">
        <x:v>1031</x:v>
      </x:c>
      <x:c r="G263" s="2" t="s">
        <x:v>158</x:v>
      </x:c>
      <x:c r="H263" s="2" t="s">
        <x:v>618</x:v>
      </x:c>
      <x:c r="I263" s="2" t="s">
        <x:v>1213</x:v>
      </x:c>
      <x:c r="J263" s="2" t="s">
        <x:v>1032</x:v>
      </x:c>
      <x:c r="K263" s="2" t="n">
        <x:v>110</x:v>
      </x:c>
      <x:c r="L263" s="2" t="s">
        <x:v>1033</x:v>
      </x:c>
      <x:c r="M263" s="2" t="s">
        <x:v>1034</x:v>
      </x:c>
      <x:c r="N263" s="2">
        <x:v>2</x:v>
      </x:c>
      <x:c r="O263" s="2" t="s">
        <x:v>1024</x:v>
      </x:c>
      <x:c r="P263" s="2" t="s">
        <x:v>1035</x:v>
      </x:c>
      <x:c r="Q263" s="2"/>
      <x:c r="R263" s="3"/>
      <x:c r="S263" s="3"/>
      <x:c r="T263" s="2"/>
      <x:c r="U263" s="2"/>
      <x:c r="V263" s="2"/>
      <x:c r="W263" s="2" t="s">
        <x:v>1217</x:v>
      </x:c>
      <x:c r="X263" s="3">
        <x:v>2</x:v>
      </x:c>
      <x:c r="Y263" s="3">
        <x:v>3</x:v>
      </x:c>
      <x:c r="Z263" s="2" t="s">
        <x:v>175</x:v>
      </x:c>
      <x:c r="AA263" s="2"/>
      <x:c r="AB263" s="2"/>
      <x:c r="AC263" s="2"/>
      <x:c r="AD263" s="2"/>
      <x:c r="AE263" s="2"/>
      <x:c r="AF263" s="2"/>
      <x:c r="AG263" s="2"/>
      <x:c r="AH263" s="2"/>
      <x:c r="AI263" s="4"/>
      <x:c r="AJ263" s="2"/>
      <x:c r="AK263" s="2" t="s">
        <x:v>176</x:v>
      </x:c>
      <x:c r="AL263" s="2" t="s">
        <x:v>571</x:v>
      </x:c>
      <x:c r="AM263" s="2">
        <x:v>113</x:v>
      </x:c>
      <x:c r="AN263" s="2">
        <x:v>113</x:v>
      </x:c>
    </x:row>
    <x:row r="264" ht="26">
      <x:c r="A264" s="2" t="s">
        <x:v>6</x:v>
      </x:c>
      <x:c r="B264" s="2" t="s">
        <x:v>14</x:v>
      </x:c>
      <x:c r="C264" s="3">
        <x:v>112</x:v>
      </x:c>
      <x:c r="D264" s="2" t="s">
        <x:v>1201</x:v>
      </x:c>
      <x:c r="E264" s="2" t="s">
        <x:v>1212</x:v>
      </x:c>
      <x:c r="F264" s="2" t="s">
        <x:v>1198</x:v>
      </x:c>
      <x:c r="G264" s="2"/>
      <x:c r="H264" s="2" t="s">
        <x:v>634</x:v>
      </x:c>
      <x:c r="I264" s="2" t="s">
        <x:v>1213</x:v>
      </x:c>
      <x:c r="J264" s="2" t="s">
        <x:v>1060</x:v>
      </x:c>
      <x:c r="K264" s="2" t="n">
        <x:v>110</x:v>
      </x:c>
      <x:c r="L264" s="2" t="s">
        <x:v>1199</x:v>
      </x:c>
      <x:c r="M264" s="2" t="s">
        <x:v>1056</x:v>
      </x:c>
      <x:c r="N264" s="2">
        <x:v>2</x:v>
      </x:c>
      <x:c r="O264" s="2" t="s">
        <x:v>1024</x:v>
      </x:c>
      <x:c r="P264" s="2" t="s">
        <x:v>1057</x:v>
      </x:c>
      <x:c r="Q264" s="2"/>
      <x:c r="R264" s="3"/>
      <x:c r="S264" s="3"/>
      <x:c r="T264" s="2"/>
      <x:c r="U264" s="2"/>
      <x:c r="V264" s="2"/>
      <x:c r="W264" s="2" t="s">
        <x:v>1217</x:v>
      </x:c>
      <x:c r="X264" s="3">
        <x:v>2</x:v>
      </x:c>
      <x:c r="Y264" s="3">
        <x:v>3</x:v>
      </x:c>
      <x:c r="Z264" s="2" t="s">
        <x:v>175</x:v>
      </x:c>
      <x:c r="AA264" s="2"/>
      <x:c r="AB264" s="2"/>
      <x:c r="AC264" s="2"/>
      <x:c r="AD264" s="2"/>
      <x:c r="AE264" s="2"/>
      <x:c r="AF264" s="2"/>
      <x:c r="AG264" s="2"/>
      <x:c r="AH264" s="2"/>
      <x:c r="AI264" s="4"/>
      <x:c r="AJ264" s="2"/>
      <x:c r="AK264" s="2" t="s">
        <x:v>176</x:v>
      </x:c>
      <x:c r="AL264" s="2" t="s">
        <x:v>571</x:v>
      </x:c>
      <x:c r="AM264" s="2">
        <x:v>114</x:v>
      </x:c>
      <x:c r="AN264" s="2">
        <x:v>114</x:v>
      </x:c>
    </x:row>
    <x:row r="265" ht="52">
      <x:c r="A265" s="2" t="s">
        <x:v>91</x:v>
      </x:c>
      <x:c r="B265" s="2" t="s">
        <x:v>14</x:v>
      </x:c>
      <x:c r="C265" s="3">
        <x:v>113</x:v>
      </x:c>
      <x:c r="D265" s="2" t="s">
        <x:v>1218</x:v>
      </x:c>
      <x:c r="E265" s="2" t="s">
        <x:v>1212</x:v>
      </x:c>
      <x:c r="F265" s="2" t="s">
        <x:v>1031</x:v>
      </x:c>
      <x:c r="G265" s="2" t="s">
        <x:v>158</x:v>
      </x:c>
      <x:c r="H265" s="2" t="s">
        <x:v>634</x:v>
      </x:c>
      <x:c r="I265" s="2" t="s">
        <x:v>1213</x:v>
      </x:c>
      <x:c r="J265" s="2" t="s">
        <x:v>1062</x:v>
      </x:c>
      <x:c r="K265" s="2" t="n">
        <x:v>110</x:v>
      </x:c>
      <x:c r="L265" s="2" t="s">
        <x:v>1033</x:v>
      </x:c>
      <x:c r="M265" s="2" t="s">
        <x:v>1063</x:v>
      </x:c>
      <x:c r="N265" s="2">
        <x:v>2</x:v>
      </x:c>
      <x:c r="O265" s="2" t="s">
        <x:v>1024</x:v>
      </x:c>
      <x:c r="P265" s="2" t="s">
        <x:v>1053</x:v>
      </x:c>
      <x:c r="Q265" s="2"/>
      <x:c r="R265" s="3"/>
      <x:c r="S265" s="3"/>
      <x:c r="T265" s="2"/>
      <x:c r="U265" s="2"/>
      <x:c r="V265" s="2"/>
      <x:c r="W265" s="2" t="s">
        <x:v>1217</x:v>
      </x:c>
      <x:c r="X265" s="3">
        <x:v>2</x:v>
      </x:c>
      <x:c r="Y265" s="3">
        <x:v>3</x:v>
      </x:c>
      <x:c r="Z265" s="2" t="s">
        <x:v>175</x:v>
      </x:c>
      <x:c r="AA265" s="2"/>
      <x:c r="AB265" s="2"/>
      <x:c r="AC265" s="2"/>
      <x:c r="AD265" s="2"/>
      <x:c r="AE265" s="2"/>
      <x:c r="AF265" s="2"/>
      <x:c r="AG265" s="2"/>
      <x:c r="AH265" s="2"/>
      <x:c r="AI265" s="4"/>
      <x:c r="AJ265" s="2"/>
      <x:c r="AK265" s="2" t="s">
        <x:v>176</x:v>
      </x:c>
      <x:c r="AL265" s="2" t="s">
        <x:v>571</x:v>
      </x:c>
      <x:c r="AM265" s="2">
        <x:v>115</x:v>
      </x:c>
      <x:c r="AN265" s="2">
        <x:v>115</x:v>
      </x:c>
    </x:row>
    <x:row r="266" ht="39">
      <x:c r="A266" s="2" t="s">
        <x:v>91</x:v>
      </x:c>
      <x:c r="B266" s="2" t="s">
        <x:v>14</x:v>
      </x:c>
      <x:c r="C266" s="3">
        <x:v>114</x:v>
      </x:c>
      <x:c r="D266" s="2" t="s">
        <x:v>184</x:v>
      </x:c>
      <x:c r="E266" s="2" t="s">
        <x:v>1219</x:v>
      </x:c>
      <x:c r="F266" s="2" t="s">
        <x:v>1031</x:v>
      </x:c>
      <x:c r="G266" s="2" t="s">
        <x:v>158</x:v>
      </x:c>
      <x:c r="H266" s="2" t="s">
        <x:v>618</x:v>
      </x:c>
      <x:c r="I266" s="2" t="s">
        <x:v>1220</x:v>
      </x:c>
      <x:c r="J266" s="2" t="s">
        <x:v>1032</x:v>
      </x:c>
      <x:c r="K266" s="2"/>
      <x:c r="L266" s="2" t="s">
        <x:v>1120</x:v>
      </x:c>
      <x:c r="M266" s="2" t="s">
        <x:v>1041</x:v>
      </x:c>
      <x:c r="N266" s="2">
        <x:v>4</x:v>
      </x:c>
      <x:c r="O266" s="2" t="s">
        <x:v>1024</x:v>
      </x:c>
      <x:c r="P266" s="2" t="s">
        <x:v>1035</x:v>
      </x:c>
      <x:c r="Q266" s="2"/>
      <x:c r="R266" s="3"/>
      <x:c r="S266" s="3"/>
      <x:c r="T266" s="2"/>
      <x:c r="U266" s="2"/>
      <x:c r="V266" s="2"/>
      <x:c r="W266" s="2" t="s">
        <x:v>1221</x:v>
      </x:c>
      <x:c r="X266" s="3">
        <x:v>2</x:v>
      </x:c>
      <x:c r="Y266" s="3">
        <x:v>3</x:v>
      </x:c>
      <x:c r="Z266" s="2" t="s">
        <x:v>175</x:v>
      </x:c>
      <x:c r="AA266" s="2"/>
      <x:c r="AB266" s="2"/>
      <x:c r="AC266" s="2"/>
      <x:c r="AD266" s="2"/>
      <x:c r="AE266" s="2"/>
      <x:c r="AF266" s="2"/>
      <x:c r="AG266" s="2"/>
      <x:c r="AH266" s="2"/>
      <x:c r="AI266" s="4"/>
      <x:c r="AJ266" s="2"/>
      <x:c r="AK266" s="2" t="s">
        <x:v>176</x:v>
      </x:c>
      <x:c r="AL266" s="2" t="s">
        <x:v>571</x:v>
      </x:c>
      <x:c r="AM266" s="2">
        <x:v>116</x:v>
      </x:c>
      <x:c r="AN266" s="2">
        <x:v>116</x:v>
      </x:c>
    </x:row>
    <x:row r="267" ht="39">
      <x:c r="A267" s="2" t="s">
        <x:v>91</x:v>
      </x:c>
      <x:c r="B267" s="2" t="s">
        <x:v>14</x:v>
      </x:c>
      <x:c r="C267" s="3">
        <x:v>115</x:v>
      </x:c>
      <x:c r="D267" s="2" t="s">
        <x:v>166</x:v>
      </x:c>
      <x:c r="E267" s="2" t="s">
        <x:v>1219</x:v>
      </x:c>
      <x:c r="F267" s="2" t="s">
        <x:v>1011</x:v>
      </x:c>
      <x:c r="G267" s="2" t="s">
        <x:v>158</x:v>
      </x:c>
      <x:c r="H267" s="2" t="s">
        <x:v>618</x:v>
      </x:c>
      <x:c r="I267" s="2" t="s">
        <x:v>1220</x:v>
      </x:c>
      <x:c r="J267" s="2" t="s">
        <x:v>1013</x:v>
      </x:c>
      <x:c r="K267" s="2" t="n">
        <x:v>114</x:v>
      </x:c>
      <x:c r="L267" s="2" t="s">
        <x:v>1074</x:v>
      </x:c>
      <x:c r="M267" s="2" t="s">
        <x:v>1034</x:v>
      </x:c>
      <x:c r="N267" s="2">
        <x:v>4</x:v>
      </x:c>
      <x:c r="O267" s="2" t="s">
        <x:v>1016</x:v>
      </x:c>
      <x:c r="P267" s="2" t="s">
        <x:v>1017</x:v>
      </x:c>
      <x:c r="Q267" s="2"/>
      <x:c r="R267" s="3"/>
      <x:c r="S267" s="3"/>
      <x:c r="T267" s="2"/>
      <x:c r="U267" s="2"/>
      <x:c r="V267" s="2"/>
      <x:c r="W267" s="2" t="s">
        <x:v>1222</x:v>
      </x:c>
      <x:c r="X267" s="3">
        <x:v>2</x:v>
      </x:c>
      <x:c r="Y267" s="3">
        <x:v>1</x:v>
      </x:c>
      <x:c r="Z267" s="2" t="s">
        <x:v>191</x:v>
      </x:c>
      <x:c r="AA267" s="2"/>
      <x:c r="AB267" s="2"/>
      <x:c r="AC267" s="2"/>
      <x:c r="AD267" s="2"/>
      <x:c r="AE267" s="2"/>
      <x:c r="AF267" s="2"/>
      <x:c r="AG267" s="2"/>
      <x:c r="AH267" s="2"/>
      <x:c r="AI267" s="4"/>
      <x:c r="AJ267" s="2"/>
      <x:c r="AK267" s="2" t="s">
        <x:v>176</x:v>
      </x:c>
      <x:c r="AL267" s="2" t="s">
        <x:v>571</x:v>
      </x:c>
      <x:c r="AM267" s="2">
        <x:v>117</x:v>
      </x:c>
      <x:c r="AN267" s="2">
        <x:v>117</x:v>
      </x:c>
    </x:row>
    <x:row r="268" ht="39">
      <x:c r="A268" s="2" t="s">
        <x:v>91</x:v>
      </x:c>
      <x:c r="B268" s="2" t="s">
        <x:v>14</x:v>
      </x:c>
      <x:c r="C268" s="3">
        <x:v>116</x:v>
      </x:c>
      <x:c r="D268" s="2" t="s">
        <x:v>166</x:v>
      </x:c>
      <x:c r="E268" s="2" t="s">
        <x:v>1223</x:v>
      </x:c>
      <x:c r="F268" s="2" t="s">
        <x:v>1011</x:v>
      </x:c>
      <x:c r="G268" s="2" t="s">
        <x:v>158</x:v>
      </x:c>
      <x:c r="H268" s="2" t="s">
        <x:v>618</x:v>
      </x:c>
      <x:c r="I268" s="2" t="s">
        <x:v>1224</x:v>
      </x:c>
      <x:c r="J268" s="2" t="s">
        <x:v>1013</x:v>
      </x:c>
      <x:c r="K268" s="2"/>
      <x:c r="L268" s="2" t="s">
        <x:v>1014</x:v>
      </x:c>
      <x:c r="M268" s="2" t="s">
        <x:v>1015</x:v>
      </x:c>
      <x:c r="N268" s="2">
        <x:v>4</x:v>
      </x:c>
      <x:c r="O268" s="2" t="s">
        <x:v>1016</x:v>
      </x:c>
      <x:c r="P268" s="2" t="s">
        <x:v>1017</x:v>
      </x:c>
      <x:c r="Q268" s="2"/>
      <x:c r="R268" s="3"/>
      <x:c r="S268" s="3"/>
      <x:c r="T268" s="2"/>
      <x:c r="U268" s="2"/>
      <x:c r="V268" s="2"/>
      <x:c r="W268" s="2" t="s">
        <x:v>1225</x:v>
      </x:c>
      <x:c r="X268" s="3">
        <x:v>2</x:v>
      </x:c>
      <x:c r="Y268" s="3">
        <x:v>1</x:v>
      </x:c>
      <x:c r="Z268" s="2" t="s">
        <x:v>191</x:v>
      </x:c>
      <x:c r="AA268" s="2"/>
      <x:c r="AB268" s="2"/>
      <x:c r="AC268" s="2"/>
      <x:c r="AD268" s="2"/>
      <x:c r="AE268" s="2"/>
      <x:c r="AF268" s="2"/>
      <x:c r="AG268" s="2"/>
      <x:c r="AH268" s="2"/>
      <x:c r="AI268" s="4"/>
      <x:c r="AJ268" s="2"/>
      <x:c r="AK268" s="2" t="s">
        <x:v>176</x:v>
      </x:c>
      <x:c r="AL268" s="2" t="s">
        <x:v>571</x:v>
      </x:c>
      <x:c r="AM268" s="2">
        <x:v>118</x:v>
      </x:c>
      <x:c r="AN268" s="2">
        <x:v>118</x:v>
      </x:c>
    </x:row>
    <x:row r="269" ht="39">
      <x:c r="A269" s="2" t="s">
        <x:v>91</x:v>
      </x:c>
      <x:c r="B269" s="2" t="s">
        <x:v>14</x:v>
      </x:c>
      <x:c r="C269" s="3">
        <x:v>117</x:v>
      </x:c>
      <x:c r="D269" s="2" t="s">
        <x:v>184</x:v>
      </x:c>
      <x:c r="E269" s="2" t="s">
        <x:v>1223</x:v>
      </x:c>
      <x:c r="F269" s="2" t="s">
        <x:v>1031</x:v>
      </x:c>
      <x:c r="G269" s="2" t="s">
        <x:v>158</x:v>
      </x:c>
      <x:c r="H269" s="2" t="s">
        <x:v>618</x:v>
      </x:c>
      <x:c r="I269" s="2" t="s">
        <x:v>1224</x:v>
      </x:c>
      <x:c r="J269" s="2" t="s">
        <x:v>1032</x:v>
      </x:c>
      <x:c r="K269" s="2" t="n">
        <x:v>116</x:v>
      </x:c>
      <x:c r="L269" s="2" t="s">
        <x:v>1106</x:v>
      </x:c>
      <x:c r="M269" s="2" t="s">
        <x:v>1107</x:v>
      </x:c>
      <x:c r="N269" s="2">
        <x:v>4</x:v>
      </x:c>
      <x:c r="O269" s="2" t="s">
        <x:v>1024</x:v>
      </x:c>
      <x:c r="P269" s="2" t="s">
        <x:v>1035</x:v>
      </x:c>
      <x:c r="Q269" s="2"/>
      <x:c r="R269" s="3"/>
      <x:c r="S269" s="3"/>
      <x:c r="T269" s="2"/>
      <x:c r="U269" s="2"/>
      <x:c r="V269" s="2"/>
      <x:c r="W269" s="2" t="s">
        <x:v>1226</x:v>
      </x:c>
      <x:c r="X269" s="3">
        <x:v>2</x:v>
      </x:c>
      <x:c r="Y269" s="3">
        <x:v>3</x:v>
      </x:c>
      <x:c r="Z269" s="2" t="s">
        <x:v>175</x:v>
      </x:c>
      <x:c r="AA269" s="2"/>
      <x:c r="AB269" s="2"/>
      <x:c r="AC269" s="2"/>
      <x:c r="AD269" s="2"/>
      <x:c r="AE269" s="2"/>
      <x:c r="AF269" s="2"/>
      <x:c r="AG269" s="2"/>
      <x:c r="AH269" s="2"/>
      <x:c r="AI269" s="4"/>
      <x:c r="AJ269" s="2"/>
      <x:c r="AK269" s="2" t="s">
        <x:v>176</x:v>
      </x:c>
      <x:c r="AL269" s="2" t="s">
        <x:v>571</x:v>
      </x:c>
      <x:c r="AM269" s="2">
        <x:v>119</x:v>
      </x:c>
      <x:c r="AN269" s="2">
        <x:v>119</x:v>
      </x:c>
    </x:row>
    <x:row r="270" ht="52">
      <x:c r="A270" s="2" t="s">
        <x:v>6</x:v>
      </x:c>
      <x:c r="B270" s="2" t="s">
        <x:v>14</x:v>
      </x:c>
      <x:c r="C270" s="3">
        <x:v>118</x:v>
      </x:c>
      <x:c r="D270" s="2" t="s">
        <x:v>977</x:v>
      </x:c>
      <x:c r="E270" s="2" t="s">
        <x:v>1227</x:v>
      </x:c>
      <x:c r="F270" s="2" t="s">
        <x:v>1228</x:v>
      </x:c>
      <x:c r="G270" s="2"/>
      <x:c r="H270" s="2" t="s">
        <x:v>1124</x:v>
      </x:c>
      <x:c r="I270" s="2" t="s">
        <x:v>1229</x:v>
      </x:c>
      <x:c r="J270" s="2" t="s">
        <x:v>1144</x:v>
      </x:c>
      <x:c r="K270" s="2"/>
      <x:c r="L270" s="2" t="s">
        <x:v>1127</x:v>
      </x:c>
      <x:c r="M270" s="2" t="s">
        <x:v>1128</x:v>
      </x:c>
      <x:c r="N270" s="2">
        <x:v>5</x:v>
      </x:c>
      <x:c r="O270" s="2" t="s">
        <x:v>1140</x:v>
      </x:c>
      <x:c r="P270" s="2" t="s">
        <x:v>1136</x:v>
      </x:c>
      <x:c r="Q270" s="2"/>
      <x:c r="R270" s="3"/>
      <x:c r="S270" s="3"/>
      <x:c r="T270" s="2"/>
      <x:c r="U270" s="2"/>
      <x:c r="V270" s="2"/>
      <x:c r="W270" s="2" t="s">
        <x:v>1230</x:v>
      </x:c>
      <x:c r="X270" s="3">
        <x:v>1</x:v>
      </x:c>
      <x:c r="Y270" s="3">
        <x:v>0</x:v>
      </x:c>
      <x:c r="Z270" s="2" t="s">
        <x:v>191</x:v>
      </x:c>
      <x:c r="AA270" s="2"/>
      <x:c r="AB270" s="2"/>
      <x:c r="AC270" s="2"/>
      <x:c r="AD270" s="2"/>
      <x:c r="AE270" s="2"/>
      <x:c r="AF270" s="2"/>
      <x:c r="AG270" s="2"/>
      <x:c r="AH270" s="2"/>
      <x:c r="AI270" s="4"/>
      <x:c r="AJ270" s="2"/>
      <x:c r="AK270" s="2" t="s">
        <x:v>176</x:v>
      </x:c>
      <x:c r="AL270" s="2" t="s">
        <x:v>571</x:v>
      </x:c>
      <x:c r="AM270" s="2">
        <x:v>120</x:v>
      </x:c>
      <x:c r="AN270" s="2">
        <x:v>120</x:v>
      </x:c>
    </x:row>
    <x:row r="271" ht="52">
      <x:c r="A271" s="2" t="s">
        <x:v>91</x:v>
      </x:c>
      <x:c r="B271" s="2" t="s">
        <x:v>14</x:v>
      </x:c>
      <x:c r="C271" s="3">
        <x:v>119</x:v>
      </x:c>
      <x:c r="D271" s="2" t="s">
        <x:v>985</x:v>
      </x:c>
      <x:c r="E271" s="2" t="s">
        <x:v>1227</x:v>
      </x:c>
      <x:c r="F271" s="2" t="s">
        <x:v>1138</x:v>
      </x:c>
      <x:c r="G271" s="2" t="s">
        <x:v>158</x:v>
      </x:c>
      <x:c r="H271" s="2" t="s">
        <x:v>1124</x:v>
      </x:c>
      <x:c r="I271" s="2" t="s">
        <x:v>1229</x:v>
      </x:c>
      <x:c r="J271" s="2" t="s">
        <x:v>1139</x:v>
      </x:c>
      <x:c r="K271" s="2" t="n">
        <x:v>118</x:v>
      </x:c>
      <x:c r="L271" s="2" t="s">
        <x:v>1134</x:v>
      </x:c>
      <x:c r="M271" s="2" t="s">
        <x:v>1128</x:v>
      </x:c>
      <x:c r="N271" s="2">
        <x:v>5</x:v>
      </x:c>
      <x:c r="O271" s="2" t="s">
        <x:v>1135</x:v>
      </x:c>
      <x:c r="P271" s="2" t="s">
        <x:v>1130</x:v>
      </x:c>
      <x:c r="Q271" s="2"/>
      <x:c r="R271" s="3"/>
      <x:c r="S271" s="3"/>
      <x:c r="T271" s="2"/>
      <x:c r="U271" s="2"/>
      <x:c r="V271" s="2"/>
      <x:c r="W271" s="2" t="s">
        <x:v>1230</x:v>
      </x:c>
      <x:c r="X271" s="3">
        <x:v>1</x:v>
      </x:c>
      <x:c r="Y271" s="3">
        <x:v>2</x:v>
      </x:c>
      <x:c r="Z271" s="2" t="s">
        <x:v>175</x:v>
      </x:c>
      <x:c r="AA271" s="2"/>
      <x:c r="AB271" s="2"/>
      <x:c r="AC271" s="2"/>
      <x:c r="AD271" s="2"/>
      <x:c r="AE271" s="2"/>
      <x:c r="AF271" s="2"/>
      <x:c r="AG271" s="2"/>
      <x:c r="AH271" s="2"/>
      <x:c r="AI271" s="4"/>
      <x:c r="AJ271" s="2"/>
      <x:c r="AK271" s="2" t="s">
        <x:v>176</x:v>
      </x:c>
      <x:c r="AL271" s="2" t="s">
        <x:v>571</x:v>
      </x:c>
      <x:c r="AM271" s="2">
        <x:v>121</x:v>
      </x:c>
      <x:c r="AN271" s="2">
        <x:v>121</x:v>
      </x:c>
    </x:row>
    <x:row r="272" ht="52">
      <x:c r="A272" s="2" t="s">
        <x:v>91</x:v>
      </x:c>
      <x:c r="B272" s="2" t="s">
        <x:v>14</x:v>
      </x:c>
      <x:c r="C272" s="3">
        <x:v>120</x:v>
      </x:c>
      <x:c r="D272" s="2" t="s">
        <x:v>985</x:v>
      </x:c>
      <x:c r="E272" s="2" t="s">
        <x:v>1231</x:v>
      </x:c>
      <x:c r="F272" s="2" t="s">
        <x:v>1232</x:v>
      </x:c>
      <x:c r="G272" s="2" t="s">
        <x:v>158</x:v>
      </x:c>
      <x:c r="H272" s="2" t="s">
        <x:v>1124</x:v>
      </x:c>
      <x:c r="I272" s="2" t="s">
        <x:v>1229</x:v>
      </x:c>
      <x:c r="J272" s="2" t="s">
        <x:v>1133</x:v>
      </x:c>
      <x:c r="K272" s="2"/>
      <x:c r="L272" s="2" t="s">
        <x:v>1134</x:v>
      </x:c>
      <x:c r="M272" s="2" t="s">
        <x:v>1128</x:v>
      </x:c>
      <x:c r="N272" s="2">
        <x:v>5</x:v>
      </x:c>
      <x:c r="O272" s="2" t="s">
        <x:v>1129</x:v>
      </x:c>
      <x:c r="P272" s="2" t="s">
        <x:v>1136</x:v>
      </x:c>
      <x:c r="Q272" s="2"/>
      <x:c r="R272" s="3"/>
      <x:c r="S272" s="3"/>
      <x:c r="T272" s="2"/>
      <x:c r="U272" s="2"/>
      <x:c r="V272" s="2"/>
      <x:c r="W272" s="2" t="s">
        <x:v>1233</x:v>
      </x:c>
      <x:c r="X272" s="3">
        <x:v>1</x:v>
      </x:c>
      <x:c r="Y272" s="3">
        <x:v>2</x:v>
      </x:c>
      <x:c r="Z272" s="2" t="s">
        <x:v>175</x:v>
      </x:c>
      <x:c r="AA272" s="2"/>
      <x:c r="AB272" s="2"/>
      <x:c r="AC272" s="2"/>
      <x:c r="AD272" s="2"/>
      <x:c r="AE272" s="2"/>
      <x:c r="AF272" s="2"/>
      <x:c r="AG272" s="2"/>
      <x:c r="AH272" s="2"/>
      <x:c r="AI272" s="4"/>
      <x:c r="AJ272" s="2"/>
      <x:c r="AK272" s="2" t="s">
        <x:v>176</x:v>
      </x:c>
      <x:c r="AL272" s="2" t="s">
        <x:v>571</x:v>
      </x:c>
      <x:c r="AM272" s="2">
        <x:v>122</x:v>
      </x:c>
      <x:c r="AN272" s="2">
        <x:v>122</x:v>
      </x:c>
    </x:row>
    <x:row r="273" ht="52">
      <x:c r="A273" s="2" t="s">
        <x:v>6</x:v>
      </x:c>
      <x:c r="B273" s="2" t="s">
        <x:v>14</x:v>
      </x:c>
      <x:c r="C273" s="3">
        <x:v>121</x:v>
      </x:c>
      <x:c r="D273" s="2" t="s">
        <x:v>977</x:v>
      </x:c>
      <x:c r="E273" s="2" t="s">
        <x:v>1231</x:v>
      </x:c>
      <x:c r="F273" s="2" t="s">
        <x:v>1123</x:v>
      </x:c>
      <x:c r="G273" s="2"/>
      <x:c r="H273" s="2" t="s">
        <x:v>1124</x:v>
      </x:c>
      <x:c r="I273" s="2" t="s">
        <x:v>1229</x:v>
      </x:c>
      <x:c r="J273" s="2" t="s">
        <x:v>1126</x:v>
      </x:c>
      <x:c r="K273" s="2" t="n">
        <x:v>120</x:v>
      </x:c>
      <x:c r="L273" s="2" t="s">
        <x:v>1127</x:v>
      </x:c>
      <x:c r="M273" s="2" t="s">
        <x:v>1128</x:v>
      </x:c>
      <x:c r="N273" s="2">
        <x:v>5</x:v>
      </x:c>
      <x:c r="O273" s="2" t="s">
        <x:v>1135</x:v>
      </x:c>
      <x:c r="P273" s="2" t="s">
        <x:v>1130</x:v>
      </x:c>
      <x:c r="Q273" s="2"/>
      <x:c r="R273" s="3"/>
      <x:c r="S273" s="3"/>
      <x:c r="T273" s="2"/>
      <x:c r="U273" s="2"/>
      <x:c r="V273" s="2"/>
      <x:c r="W273" s="2" t="s">
        <x:v>1233</x:v>
      </x:c>
      <x:c r="X273" s="3">
        <x:v>1</x:v>
      </x:c>
      <x:c r="Y273" s="3">
        <x:v>0</x:v>
      </x:c>
      <x:c r="Z273" s="2" t="s">
        <x:v>191</x:v>
      </x:c>
      <x:c r="AA273" s="2"/>
      <x:c r="AB273" s="2"/>
      <x:c r="AC273" s="2"/>
      <x:c r="AD273" s="2"/>
      <x:c r="AE273" s="2"/>
      <x:c r="AF273" s="2"/>
      <x:c r="AG273" s="2"/>
      <x:c r="AH273" s="2"/>
      <x:c r="AI273" s="4"/>
      <x:c r="AJ273" s="2"/>
      <x:c r="AK273" s="2" t="s">
        <x:v>176</x:v>
      </x:c>
      <x:c r="AL273" s="2" t="s">
        <x:v>571</x:v>
      </x:c>
      <x:c r="AM273" s="2">
        <x:v>123</x:v>
      </x:c>
      <x:c r="AN273" s="2">
        <x:v>123</x:v>
      </x:c>
    </x:row>
    <x:row r="274" ht="39">
      <x:c r="A274" s="2" t="s">
        <x:v>91</x:v>
      </x:c>
      <x:c r="B274" s="2" t="s">
        <x:v>14</x:v>
      </x:c>
      <x:c r="C274" s="3">
        <x:v>122</x:v>
      </x:c>
      <x:c r="D274" s="2" t="s">
        <x:v>184</x:v>
      </x:c>
      <x:c r="E274" s="2" t="s">
        <x:v>1219</x:v>
      </x:c>
      <x:c r="F274" s="2" t="s">
        <x:v>1031</x:v>
      </x:c>
      <x:c r="G274" s="2" t="s">
        <x:v>158</x:v>
      </x:c>
      <x:c r="H274" s="2" t="s">
        <x:v>618</x:v>
      </x:c>
      <x:c r="I274" s="2" t="s">
        <x:v>1234</x:v>
      </x:c>
      <x:c r="J274" s="2" t="s">
        <x:v>1032</x:v>
      </x:c>
      <x:c r="K274" s="2"/>
      <x:c r="L274" s="2" t="s">
        <x:v>1120</x:v>
      </x:c>
      <x:c r="M274" s="2" t="s">
        <x:v>1041</x:v>
      </x:c>
      <x:c r="N274" s="2">
        <x:v>4</x:v>
      </x:c>
      <x:c r="O274" s="2" t="s">
        <x:v>1024</x:v>
      </x:c>
      <x:c r="P274" s="2" t="s">
        <x:v>1035</x:v>
      </x:c>
      <x:c r="Q274" s="2"/>
      <x:c r="R274" s="3"/>
      <x:c r="S274" s="3"/>
      <x:c r="T274" s="2"/>
      <x:c r="U274" s="2"/>
      <x:c r="V274" s="2"/>
      <x:c r="W274" s="2" t="s">
        <x:v>1235</x:v>
      </x:c>
      <x:c r="X274" s="3">
        <x:v>2</x:v>
      </x:c>
      <x:c r="Y274" s="3">
        <x:v>3</x:v>
      </x:c>
      <x:c r="Z274" s="2" t="s">
        <x:v>175</x:v>
      </x:c>
      <x:c r="AA274" s="2"/>
      <x:c r="AB274" s="2"/>
      <x:c r="AC274" s="2"/>
      <x:c r="AD274" s="2"/>
      <x:c r="AE274" s="2"/>
      <x:c r="AF274" s="2"/>
      <x:c r="AG274" s="2"/>
      <x:c r="AH274" s="2"/>
      <x:c r="AI274" s="4"/>
      <x:c r="AJ274" s="2"/>
      <x:c r="AK274" s="2" t="s">
        <x:v>176</x:v>
      </x:c>
      <x:c r="AL274" s="2" t="s">
        <x:v>571</x:v>
      </x:c>
      <x:c r="AM274" s="2">
        <x:v>124</x:v>
      </x:c>
      <x:c r="AN274" s="2">
        <x:v>124</x:v>
      </x:c>
    </x:row>
    <x:row r="275" ht="39">
      <x:c r="A275" s="2" t="s">
        <x:v>91</x:v>
      </x:c>
      <x:c r="B275" s="2" t="s">
        <x:v>14</x:v>
      </x:c>
      <x:c r="C275" s="3">
        <x:v>123</x:v>
      </x:c>
      <x:c r="D275" s="2" t="s">
        <x:v>166</x:v>
      </x:c>
      <x:c r="E275" s="2" t="s">
        <x:v>1219</x:v>
      </x:c>
      <x:c r="F275" s="2" t="s">
        <x:v>1011</x:v>
      </x:c>
      <x:c r="G275" s="2" t="s">
        <x:v>158</x:v>
      </x:c>
      <x:c r="H275" s="2" t="s">
        <x:v>618</x:v>
      </x:c>
      <x:c r="I275" s="2" t="s">
        <x:v>1234</x:v>
      </x:c>
      <x:c r="J275" s="2" t="s">
        <x:v>1013</x:v>
      </x:c>
      <x:c r="K275" s="2" t="n">
        <x:v>122</x:v>
      </x:c>
      <x:c r="L275" s="2" t="s">
        <x:v>1074</x:v>
      </x:c>
      <x:c r="M275" s="2" t="s">
        <x:v>1034</x:v>
      </x:c>
      <x:c r="N275" s="2">
        <x:v>4</x:v>
      </x:c>
      <x:c r="O275" s="2" t="s">
        <x:v>1016</x:v>
      </x:c>
      <x:c r="P275" s="2" t="s">
        <x:v>1017</x:v>
      </x:c>
      <x:c r="Q275" s="2"/>
      <x:c r="R275" s="3"/>
      <x:c r="S275" s="3"/>
      <x:c r="T275" s="2"/>
      <x:c r="U275" s="2"/>
      <x:c r="V275" s="2"/>
      <x:c r="W275" s="2" t="s">
        <x:v>1236</x:v>
      </x:c>
      <x:c r="X275" s="3">
        <x:v>2</x:v>
      </x:c>
      <x:c r="Y275" s="3">
        <x:v>1</x:v>
      </x:c>
      <x:c r="Z275" s="2" t="s">
        <x:v>191</x:v>
      </x:c>
      <x:c r="AA275" s="2"/>
      <x:c r="AB275" s="2"/>
      <x:c r="AC275" s="2"/>
      <x:c r="AD275" s="2"/>
      <x:c r="AE275" s="2"/>
      <x:c r="AF275" s="2"/>
      <x:c r="AG275" s="2"/>
      <x:c r="AH275" s="2"/>
      <x:c r="AI275" s="4"/>
      <x:c r="AJ275" s="2"/>
      <x:c r="AK275" s="2" t="s">
        <x:v>176</x:v>
      </x:c>
      <x:c r="AL275" s="2" t="s">
        <x:v>571</x:v>
      </x:c>
      <x:c r="AM275" s="2">
        <x:v>125</x:v>
      </x:c>
      <x:c r="AN275" s="2">
        <x:v>125</x:v>
      </x:c>
    </x:row>
    <x:row r="276" ht="52">
      <x:c r="A276" s="2" t="s">
        <x:v>6</x:v>
      </x:c>
      <x:c r="B276" s="2" t="s">
        <x:v>14</x:v>
      </x:c>
      <x:c r="C276" s="3">
        <x:v>124</x:v>
      </x:c>
      <x:c r="D276" s="2" t="s">
        <x:v>977</x:v>
      </x:c>
      <x:c r="E276" s="2" t="s">
        <x:v>1237</x:v>
      </x:c>
      <x:c r="F276" s="2" t="s">
        <x:v>1238</x:v>
      </x:c>
      <x:c r="G276" s="2"/>
      <x:c r="H276" s="2" t="s">
        <x:v>1124</x:v>
      </x:c>
      <x:c r="I276" s="2" t="s">
        <x:v>1239</x:v>
      </x:c>
      <x:c r="J276" s="2" t="s">
        <x:v>1144</x:v>
      </x:c>
      <x:c r="K276" s="2"/>
      <x:c r="L276" s="2" t="s">
        <x:v>1127</x:v>
      </x:c>
      <x:c r="M276" s="2" t="s">
        <x:v>1128</x:v>
      </x:c>
      <x:c r="N276" s="2">
        <x:v>5</x:v>
      </x:c>
      <x:c r="O276" s="2" t="s">
        <x:v>1140</x:v>
      </x:c>
      <x:c r="P276" s="2" t="s">
        <x:v>1136</x:v>
      </x:c>
      <x:c r="Q276" s="2"/>
      <x:c r="R276" s="3"/>
      <x:c r="S276" s="3"/>
      <x:c r="T276" s="2"/>
      <x:c r="U276" s="2"/>
      <x:c r="V276" s="2"/>
      <x:c r="W276" s="2" t="s">
        <x:v>1240</x:v>
      </x:c>
      <x:c r="X276" s="3">
        <x:v>1</x:v>
      </x:c>
      <x:c r="Y276" s="3">
        <x:v>0</x:v>
      </x:c>
      <x:c r="Z276" s="2" t="s">
        <x:v>191</x:v>
      </x:c>
      <x:c r="AA276" s="2"/>
      <x:c r="AB276" s="2"/>
      <x:c r="AC276" s="2"/>
      <x:c r="AD276" s="2"/>
      <x:c r="AE276" s="2"/>
      <x:c r="AF276" s="2"/>
      <x:c r="AG276" s="2"/>
      <x:c r="AH276" s="2"/>
      <x:c r="AI276" s="4"/>
      <x:c r="AJ276" s="2"/>
      <x:c r="AK276" s="2" t="s">
        <x:v>176</x:v>
      </x:c>
      <x:c r="AL276" s="2" t="s">
        <x:v>571</x:v>
      </x:c>
      <x:c r="AM276" s="2">
        <x:v>126</x:v>
      </x:c>
      <x:c r="AN276" s="2">
        <x:v>126</x:v>
      </x:c>
    </x:row>
    <x:row r="277" ht="52">
      <x:c r="A277" s="2" t="s">
        <x:v>91</x:v>
      </x:c>
      <x:c r="B277" s="2" t="s">
        <x:v>14</x:v>
      </x:c>
      <x:c r="C277" s="3">
        <x:v>125</x:v>
      </x:c>
      <x:c r="D277" s="2" t="s">
        <x:v>985</x:v>
      </x:c>
      <x:c r="E277" s="2" t="s">
        <x:v>1237</x:v>
      </x:c>
      <x:c r="F277" s="2" t="s">
        <x:v>1138</x:v>
      </x:c>
      <x:c r="G277" s="2" t="s">
        <x:v>1241</x:v>
      </x:c>
      <x:c r="H277" s="2" t="s">
        <x:v>1124</x:v>
      </x:c>
      <x:c r="I277" s="2" t="s">
        <x:v>1239</x:v>
      </x:c>
      <x:c r="J277" s="2" t="s">
        <x:v>1139</x:v>
      </x:c>
      <x:c r="K277" s="2" t="n">
        <x:v>124</x:v>
      </x:c>
      <x:c r="L277" s="2" t="s">
        <x:v>1134</x:v>
      </x:c>
      <x:c r="M277" s="2" t="s">
        <x:v>1128</x:v>
      </x:c>
      <x:c r="N277" s="2">
        <x:v>5</x:v>
      </x:c>
      <x:c r="O277" s="2" t="s">
        <x:v>1135</x:v>
      </x:c>
      <x:c r="P277" s="2" t="s">
        <x:v>1130</x:v>
      </x:c>
      <x:c r="Q277" s="2"/>
      <x:c r="R277" s="3"/>
      <x:c r="S277" s="3"/>
      <x:c r="T277" s="2"/>
      <x:c r="U277" s="2"/>
      <x:c r="V277" s="2"/>
      <x:c r="W277" s="2" t="s">
        <x:v>1240</x:v>
      </x:c>
      <x:c r="X277" s="3">
        <x:v>1</x:v>
      </x:c>
      <x:c r="Y277" s="3">
        <x:v>2</x:v>
      </x:c>
      <x:c r="Z277" s="2" t="s">
        <x:v>175</x:v>
      </x:c>
      <x:c r="AA277" s="2"/>
      <x:c r="AB277" s="2"/>
      <x:c r="AC277" s="2"/>
      <x:c r="AD277" s="2"/>
      <x:c r="AE277" s="2"/>
      <x:c r="AF277" s="2"/>
      <x:c r="AG277" s="2"/>
      <x:c r="AH277" s="2"/>
      <x:c r="AI277" s="4"/>
      <x:c r="AJ277" s="2"/>
      <x:c r="AK277" s="2" t="s">
        <x:v>176</x:v>
      </x:c>
      <x:c r="AL277" s="2" t="s">
        <x:v>571</x:v>
      </x:c>
      <x:c r="AM277" s="2">
        <x:v>127</x:v>
      </x:c>
      <x:c r="AN277" s="2">
        <x:v>127</x:v>
      </x:c>
    </x:row>
    <x:row r="278" ht="52">
      <x:c r="A278" s="2" t="s">
        <x:v>91</x:v>
      </x:c>
      <x:c r="B278" s="2" t="s">
        <x:v>14</x:v>
      </x:c>
      <x:c r="C278" s="3">
        <x:v>126</x:v>
      </x:c>
      <x:c r="D278" s="2" t="s">
        <x:v>985</x:v>
      </x:c>
      <x:c r="E278" s="2" t="s">
        <x:v>1242</x:v>
      </x:c>
      <x:c r="F278" s="2" t="s">
        <x:v>1243</x:v>
      </x:c>
      <x:c r="G278" s="2" t="s">
        <x:v>1244</x:v>
      </x:c>
      <x:c r="H278" s="2" t="s">
        <x:v>1124</x:v>
      </x:c>
      <x:c r="I278" s="2" t="s">
        <x:v>1239</x:v>
      </x:c>
      <x:c r="J278" s="2" t="s">
        <x:v>1133</x:v>
      </x:c>
      <x:c r="K278" s="2"/>
      <x:c r="L278" s="2" t="s">
        <x:v>1134</x:v>
      </x:c>
      <x:c r="M278" s="2" t="s">
        <x:v>1128</x:v>
      </x:c>
      <x:c r="N278" s="2">
        <x:v>5</x:v>
      </x:c>
      <x:c r="O278" s="2" t="s">
        <x:v>1129</x:v>
      </x:c>
      <x:c r="P278" s="2" t="s">
        <x:v>1136</x:v>
      </x:c>
      <x:c r="Q278" s="2"/>
      <x:c r="R278" s="3"/>
      <x:c r="S278" s="3"/>
      <x:c r="T278" s="2"/>
      <x:c r="U278" s="2"/>
      <x:c r="V278" s="2"/>
      <x:c r="W278" s="2" t="s">
        <x:v>1245</x:v>
      </x:c>
      <x:c r="X278" s="3">
        <x:v>1</x:v>
      </x:c>
      <x:c r="Y278" s="3">
        <x:v>2</x:v>
      </x:c>
      <x:c r="Z278" s="2" t="s">
        <x:v>175</x:v>
      </x:c>
      <x:c r="AA278" s="2"/>
      <x:c r="AB278" s="2"/>
      <x:c r="AC278" s="2"/>
      <x:c r="AD278" s="2"/>
      <x:c r="AE278" s="2"/>
      <x:c r="AF278" s="2"/>
      <x:c r="AG278" s="2"/>
      <x:c r="AH278" s="2"/>
      <x:c r="AI278" s="4"/>
      <x:c r="AJ278" s="2"/>
      <x:c r="AK278" s="2" t="s">
        <x:v>176</x:v>
      </x:c>
      <x:c r="AL278" s="2" t="s">
        <x:v>571</x:v>
      </x:c>
      <x:c r="AM278" s="2">
        <x:v>128</x:v>
      </x:c>
      <x:c r="AN278" s="2">
        <x:v>128</x:v>
      </x:c>
    </x:row>
    <x:row r="279" ht="52">
      <x:c r="A279" s="2" t="s">
        <x:v>6</x:v>
      </x:c>
      <x:c r="B279" s="2" t="s">
        <x:v>14</x:v>
      </x:c>
      <x:c r="C279" s="3">
        <x:v>127</x:v>
      </x:c>
      <x:c r="D279" s="2" t="s">
        <x:v>977</x:v>
      </x:c>
      <x:c r="E279" s="2" t="s">
        <x:v>1242</x:v>
      </x:c>
      <x:c r="F279" s="2" t="s">
        <x:v>1123</x:v>
      </x:c>
      <x:c r="G279" s="2"/>
      <x:c r="H279" s="2" t="s">
        <x:v>1124</x:v>
      </x:c>
      <x:c r="I279" s="2" t="s">
        <x:v>1239</x:v>
      </x:c>
      <x:c r="J279" s="2" t="s">
        <x:v>1126</x:v>
      </x:c>
      <x:c r="K279" s="2" t="n">
        <x:v>126</x:v>
      </x:c>
      <x:c r="L279" s="2" t="s">
        <x:v>1127</x:v>
      </x:c>
      <x:c r="M279" s="2" t="s">
        <x:v>1128</x:v>
      </x:c>
      <x:c r="N279" s="2">
        <x:v>5</x:v>
      </x:c>
      <x:c r="O279" s="2" t="s">
        <x:v>1135</x:v>
      </x:c>
      <x:c r="P279" s="2" t="s">
        <x:v>1130</x:v>
      </x:c>
      <x:c r="Q279" s="2"/>
      <x:c r="R279" s="3"/>
      <x:c r="S279" s="3"/>
      <x:c r="T279" s="2"/>
      <x:c r="U279" s="2"/>
      <x:c r="V279" s="2"/>
      <x:c r="W279" s="2" t="s">
        <x:v>1245</x:v>
      </x:c>
      <x:c r="X279" s="3">
        <x:v>1</x:v>
      </x:c>
      <x:c r="Y279" s="3">
        <x:v>0</x:v>
      </x:c>
      <x:c r="Z279" s="2" t="s">
        <x:v>191</x:v>
      </x:c>
      <x:c r="AA279" s="2"/>
      <x:c r="AB279" s="2"/>
      <x:c r="AC279" s="2"/>
      <x:c r="AD279" s="2"/>
      <x:c r="AE279" s="2"/>
      <x:c r="AF279" s="2"/>
      <x:c r="AG279" s="2"/>
      <x:c r="AH279" s="2"/>
      <x:c r="AI279" s="4"/>
      <x:c r="AJ279" s="2"/>
      <x:c r="AK279" s="2" t="s">
        <x:v>176</x:v>
      </x:c>
      <x:c r="AL279" s="2" t="s">
        <x:v>571</x:v>
      </x:c>
      <x:c r="AM279" s="2">
        <x:v>129</x:v>
      </x:c>
      <x:c r="AN279" s="2">
        <x:v>129</x:v>
      </x:c>
    </x:row>
    <x:row r="280" ht="39">
      <x:c r="A280" s="2" t="s">
        <x:v>6</x:v>
      </x:c>
      <x:c r="B280" s="2" t="s">
        <x:v>14</x:v>
      </x:c>
      <x:c r="C280" s="3">
        <x:v>128</x:v>
      </x:c>
      <x:c r="D280" s="2" t="s">
        <x:v>993</x:v>
      </x:c>
      <x:c r="E280" s="2" t="s">
        <x:v>997</x:v>
      </x:c>
      <x:c r="F280" s="2" t="s">
        <x:v>1094</x:v>
      </x:c>
      <x:c r="G280" s="2"/>
      <x:c r="H280" s="2" t="s">
        <x:v>1077</x:v>
      </x:c>
      <x:c r="I280" s="2" t="s">
        <x:v>1246</x:v>
      </x:c>
      <x:c r="J280" s="2" t="s">
        <x:v>1095</x:v>
      </x:c>
      <x:c r="K280" s="2"/>
      <x:c r="L280" s="2" t="s">
        <x:v>1096</x:v>
      </x:c>
      <x:c r="M280" s="2" t="s">
        <x:v>1080</x:v>
      </x:c>
      <x:c r="N280" s="2">
        <x:v>6</x:v>
      </x:c>
      <x:c r="O280" s="2" t="s">
        <x:v>1081</x:v>
      </x:c>
      <x:c r="P280" s="2" t="s">
        <x:v>1082</x:v>
      </x:c>
      <x:c r="Q280" s="2"/>
      <x:c r="R280" s="3"/>
      <x:c r="S280" s="3"/>
      <x:c r="T280" s="2"/>
      <x:c r="U280" s="2"/>
      <x:c r="V280" s="2"/>
      <x:c r="W280" s="2" t="s">
        <x:v>1246</x:v>
      </x:c>
      <x:c r="X280" s="3">
        <x:v>0</x:v>
      </x:c>
      <x:c r="Y280" s="3">
        <x:v>0</x:v>
      </x:c>
      <x:c r="Z280" s="2" t="s">
        <x:v>1083</x:v>
      </x:c>
      <x:c r="AA280" s="2"/>
      <x:c r="AB280" s="2"/>
      <x:c r="AC280" s="2"/>
      <x:c r="AD280" s="2"/>
      <x:c r="AE280" s="2"/>
      <x:c r="AF280" s="2"/>
      <x:c r="AG280" s="2"/>
      <x:c r="AH280" s="2"/>
      <x:c r="AI280" s="4"/>
      <x:c r="AJ280" s="2"/>
      <x:c r="AK280" s="2" t="s">
        <x:v>176</x:v>
      </x:c>
      <x:c r="AL280" s="2" t="s">
        <x:v>571</x:v>
      </x:c>
      <x:c r="AM280" s="2">
        <x:v>130</x:v>
      </x:c>
      <x:c r="AN280" s="2">
        <x:v>130</x:v>
      </x:c>
    </x:row>
    <x:row r="281" ht="39">
      <x:c r="A281" s="2" t="s">
        <x:v>6</x:v>
      </x:c>
      <x:c r="B281" s="2" t="s">
        <x:v>14</x:v>
      </x:c>
      <x:c r="C281" s="3">
        <x:v>129</x:v>
      </x:c>
      <x:c r="D281" s="2" t="s">
        <x:v>166</x:v>
      </x:c>
      <x:c r="E281" s="2" t="s">
        <x:v>211</x:v>
      </x:c>
      <x:c r="F281" s="2" t="s">
        <x:v>1090</x:v>
      </x:c>
      <x:c r="G281" s="2"/>
      <x:c r="H281" s="2" t="s">
        <x:v>1077</x:v>
      </x:c>
      <x:c r="I281" s="2" t="s">
        <x:v>1246</x:v>
      </x:c>
      <x:c r="J281" s="2" t="s">
        <x:v>1091</x:v>
      </x:c>
      <x:c r="K281" s="2"/>
      <x:c r="L281" s="2" t="s">
        <x:v>1092</x:v>
      </x:c>
      <x:c r="M281" s="2" t="s">
        <x:v>1080</x:v>
      </x:c>
      <x:c r="N281" s="2">
        <x:v>6</x:v>
      </x:c>
      <x:c r="O281" s="2" t="s">
        <x:v>1089</x:v>
      </x:c>
      <x:c r="P281" s="2" t="s">
        <x:v>1082</x:v>
      </x:c>
      <x:c r="Q281" s="2"/>
      <x:c r="R281" s="3"/>
      <x:c r="S281" s="3"/>
      <x:c r="T281" s="2"/>
      <x:c r="U281" s="2"/>
      <x:c r="V281" s="2"/>
      <x:c r="W281" s="2" t="s">
        <x:v>1246</x:v>
      </x:c>
      <x:c r="X281" s="3">
        <x:v>1</x:v>
      </x:c>
      <x:c r="Y281" s="3">
        <x:v>1</x:v>
      </x:c>
      <x:c r="Z281" s="2" t="s">
        <x:v>1083</x:v>
      </x:c>
      <x:c r="AA281" s="2"/>
      <x:c r="AB281" s="2"/>
      <x:c r="AC281" s="2"/>
      <x:c r="AD281" s="2"/>
      <x:c r="AE281" s="2"/>
      <x:c r="AF281" s="2"/>
      <x:c r="AG281" s="2"/>
      <x:c r="AH281" s="2"/>
      <x:c r="AI281" s="4"/>
      <x:c r="AJ281" s="2"/>
      <x:c r="AK281" s="2" t="s">
        <x:v>176</x:v>
      </x:c>
      <x:c r="AL281" s="2" t="s">
        <x:v>571</x:v>
      </x:c>
      <x:c r="AM281" s="2">
        <x:v>131</x:v>
      </x:c>
      <x:c r="AN281" s="2">
        <x:v>131</x:v>
      </x:c>
    </x:row>
    <x:row r="282" ht="39">
      <x:c r="A282" s="2" t="s">
        <x:v>6</x:v>
      </x:c>
      <x:c r="B282" s="2" t="s">
        <x:v>14</x:v>
      </x:c>
      <x:c r="C282" s="3">
        <x:v>130</x:v>
      </x:c>
      <x:c r="D282" s="2" t="s">
        <x:v>1084</x:v>
      </x:c>
      <x:c r="E282" s="2" t="s">
        <x:v>1247</x:v>
      </x:c>
      <x:c r="F282" s="2" t="s">
        <x:v>1086</x:v>
      </x:c>
      <x:c r="G282" s="2"/>
      <x:c r="H282" s="2" t="s">
        <x:v>1077</x:v>
      </x:c>
      <x:c r="I282" s="2" t="s">
        <x:v>1246</x:v>
      </x:c>
      <x:c r="J282" s="2" t="s">
        <x:v>1087</x:v>
      </x:c>
      <x:c r="K282" s="2"/>
      <x:c r="L282" s="2" t="s">
        <x:v>1088</x:v>
      </x:c>
      <x:c r="M282" s="2" t="s">
        <x:v>1080</x:v>
      </x:c>
      <x:c r="N282" s="2">
        <x:v>6</x:v>
      </x:c>
      <x:c r="O282" s="2" t="s">
        <x:v>1089</x:v>
      </x:c>
      <x:c r="P282" s="2" t="s">
        <x:v>1082</x:v>
      </x:c>
      <x:c r="Q282" s="2"/>
      <x:c r="R282" s="3"/>
      <x:c r="S282" s="3"/>
      <x:c r="T282" s="2"/>
      <x:c r="U282" s="2"/>
      <x:c r="V282" s="2"/>
      <x:c r="W282" s="2" t="s">
        <x:v>1246</x:v>
      </x:c>
      <x:c r="X282" s="3">
        <x:v>2</x:v>
      </x:c>
      <x:c r="Y282" s="3">
        <x:v>2</x:v>
      </x:c>
      <x:c r="Z282" s="2" t="s">
        <x:v>1083</x:v>
      </x:c>
      <x:c r="AA282" s="2"/>
      <x:c r="AB282" s="2"/>
      <x:c r="AC282" s="2"/>
      <x:c r="AD282" s="2"/>
      <x:c r="AE282" s="2"/>
      <x:c r="AF282" s="2"/>
      <x:c r="AG282" s="2"/>
      <x:c r="AH282" s="2"/>
      <x:c r="AI282" s="4"/>
      <x:c r="AJ282" s="2"/>
      <x:c r="AK282" s="2" t="s">
        <x:v>176</x:v>
      </x:c>
      <x:c r="AL282" s="2" t="s">
        <x:v>571</x:v>
      </x:c>
      <x:c r="AM282" s="2">
        <x:v>132</x:v>
      </x:c>
      <x:c r="AN282" s="2">
        <x:v>132</x:v>
      </x:c>
    </x:row>
    <x:row r="283" ht="39">
      <x:c r="A283" s="2" t="s">
        <x:v>6</x:v>
      </x:c>
      <x:c r="B283" s="2" t="s">
        <x:v>14</x:v>
      </x:c>
      <x:c r="C283" s="3">
        <x:v>131</x:v>
      </x:c>
      <x:c r="D283" s="2" t="s">
        <x:v>184</x:v>
      </x:c>
      <x:c r="E283" s="2" t="s">
        <x:v>1248</x:v>
      </x:c>
      <x:c r="F283" s="2" t="s">
        <x:v>1076</x:v>
      </x:c>
      <x:c r="G283" s="2"/>
      <x:c r="H283" s="2" t="s">
        <x:v>1077</x:v>
      </x:c>
      <x:c r="I283" s="2" t="s">
        <x:v>1246</x:v>
      </x:c>
      <x:c r="J283" s="2" t="s">
        <x:v>1079</x:v>
      </x:c>
      <x:c r="K283" s="2"/>
      <x:c r="L283" s="2" t="s">
        <x:v>189</x:v>
      </x:c>
      <x:c r="M283" s="2" t="s">
        <x:v>1080</x:v>
      </x:c>
      <x:c r="N283" s="2">
        <x:v>6</x:v>
      </x:c>
      <x:c r="O283" s="2" t="s">
        <x:v>1089</x:v>
      </x:c>
      <x:c r="P283" s="2" t="s">
        <x:v>1082</x:v>
      </x:c>
      <x:c r="Q283" s="2"/>
      <x:c r="R283" s="3"/>
      <x:c r="S283" s="3"/>
      <x:c r="T283" s="2"/>
      <x:c r="U283" s="2"/>
      <x:c r="V283" s="2"/>
      <x:c r="W283" s="2" t="s">
        <x:v>1246</x:v>
      </x:c>
      <x:c r="X283" s="3">
        <x:v>3</x:v>
      </x:c>
      <x:c r="Y283" s="3">
        <x:v>3</x:v>
      </x:c>
      <x:c r="Z283" s="2" t="s">
        <x:v>1083</x:v>
      </x:c>
      <x:c r="AA283" s="2"/>
      <x:c r="AB283" s="2"/>
      <x:c r="AC283" s="2"/>
      <x:c r="AD283" s="2"/>
      <x:c r="AE283" s="2"/>
      <x:c r="AF283" s="2"/>
      <x:c r="AG283" s="2"/>
      <x:c r="AH283" s="2"/>
      <x:c r="AI283" s="4"/>
      <x:c r="AJ283" s="2"/>
      <x:c r="AK283" s="2" t="s">
        <x:v>176</x:v>
      </x:c>
      <x:c r="AL283" s="2" t="s">
        <x:v>571</x:v>
      </x:c>
      <x:c r="AM283" s="2">
        <x:v>133</x:v>
      </x:c>
      <x:c r="AN283" s="2">
        <x:v>133</x:v>
      </x:c>
    </x:row>
    <x:row r="284" ht="39">
      <x:c r="A284" s="2" t="s">
        <x:v>91</x:v>
      </x:c>
      <x:c r="B284" s="2" t="s">
        <x:v>14</x:v>
      </x:c>
      <x:c r="C284" s="3">
        <x:v>132</x:v>
      </x:c>
      <x:c r="D284" s="2" t="s">
        <x:v>184</x:v>
      </x:c>
      <x:c r="E284" s="2" t="s">
        <x:v>1249</x:v>
      </x:c>
      <x:c r="F284" s="2" t="s">
        <x:v>1031</x:v>
      </x:c>
      <x:c r="G284" s="2" t="s">
        <x:v>158</x:v>
      </x:c>
      <x:c r="H284" s="2" t="s">
        <x:v>618</x:v>
      </x:c>
      <x:c r="I284" s="2" t="s">
        <x:v>1250</x:v>
      </x:c>
      <x:c r="J284" s="2" t="s">
        <x:v>1032</x:v>
      </x:c>
      <x:c r="K284" s="2"/>
      <x:c r="L284" s="2" t="s">
        <x:v>1120</x:v>
      </x:c>
      <x:c r="M284" s="2" t="s">
        <x:v>1041</x:v>
      </x:c>
      <x:c r="N284" s="2">
        <x:v>2</x:v>
      </x:c>
      <x:c r="O284" s="2" t="s">
        <x:v>1024</x:v>
      </x:c>
      <x:c r="P284" s="2" t="s">
        <x:v>1035</x:v>
      </x:c>
      <x:c r="Q284" s="2"/>
      <x:c r="R284" s="3"/>
      <x:c r="S284" s="3"/>
      <x:c r="T284" s="2"/>
      <x:c r="U284" s="2"/>
      <x:c r="V284" s="2"/>
      <x:c r="W284" s="2" t="s">
        <x:v>1251</x:v>
      </x:c>
      <x:c r="X284" s="3">
        <x:v>2</x:v>
      </x:c>
      <x:c r="Y284" s="3">
        <x:v>3</x:v>
      </x:c>
      <x:c r="Z284" s="2" t="s">
        <x:v>175</x:v>
      </x:c>
      <x:c r="AA284" s="2"/>
      <x:c r="AB284" s="2"/>
      <x:c r="AC284" s="2"/>
      <x:c r="AD284" s="2"/>
      <x:c r="AE284" s="2"/>
      <x:c r="AF284" s="2"/>
      <x:c r="AG284" s="2"/>
      <x:c r="AH284" s="2"/>
      <x:c r="AI284" s="4"/>
      <x:c r="AJ284" s="2"/>
      <x:c r="AK284" s="2" t="s">
        <x:v>176</x:v>
      </x:c>
      <x:c r="AL284" s="2" t="s">
        <x:v>571</x:v>
      </x:c>
      <x:c r="AM284" s="2">
        <x:v>134</x:v>
      </x:c>
      <x:c r="AN284" s="2">
        <x:v>134</x:v>
      </x:c>
    </x:row>
    <x:row r="285" ht="26">
      <x:c r="A285" s="2" t="s">
        <x:v>6</x:v>
      </x:c>
      <x:c r="B285" s="2" t="s">
        <x:v>14</x:v>
      </x:c>
      <x:c r="C285" s="3">
        <x:v>133</x:v>
      </x:c>
      <x:c r="D285" s="2" t="s">
        <x:v>1067</x:v>
      </x:c>
      <x:c r="E285" s="2" t="s">
        <x:v>1249</x:v>
      </x:c>
      <x:c r="F285" s="2" t="s">
        <x:v>1068</x:v>
      </x:c>
      <x:c r="G285" s="2"/>
      <x:c r="H285" s="2" t="s">
        <x:v>627</x:v>
      </x:c>
      <x:c r="I285" s="2" t="s">
        <x:v>1250</x:v>
      </x:c>
      <x:c r="J285" s="2" t="s">
        <x:v>1028</x:v>
      </x:c>
      <x:c r="K285" s="2" t="n">
        <x:v>132</x:v>
      </x:c>
      <x:c r="L285" s="2" t="s">
        <x:v>1069</x:v>
      </x:c>
      <x:c r="M285" s="2" t="s">
        <x:v>1023</x:v>
      </x:c>
      <x:c r="N285" s="2">
        <x:v>2</x:v>
      </x:c>
      <x:c r="O285" s="2" t="s">
        <x:v>1024</x:v>
      </x:c>
      <x:c r="P285" s="2" t="s">
        <x:v>1025</x:v>
      </x:c>
      <x:c r="Q285" s="2"/>
      <x:c r="R285" s="3"/>
      <x:c r="S285" s="3"/>
      <x:c r="T285" s="2"/>
      <x:c r="U285" s="2"/>
      <x:c r="V285" s="2"/>
      <x:c r="W285" s="2" t="s">
        <x:v>1251</x:v>
      </x:c>
      <x:c r="X285" s="3">
        <x:v>2</x:v>
      </x:c>
      <x:c r="Y285" s="3">
        <x:v>3</x:v>
      </x:c>
      <x:c r="Z285" s="2" t="s">
        <x:v>175</x:v>
      </x:c>
      <x:c r="AA285" s="2"/>
      <x:c r="AB285" s="2"/>
      <x:c r="AC285" s="2"/>
      <x:c r="AD285" s="2"/>
      <x:c r="AE285" s="2"/>
      <x:c r="AF285" s="2"/>
      <x:c r="AG285" s="2"/>
      <x:c r="AH285" s="2"/>
      <x:c r="AI285" s="4"/>
      <x:c r="AJ285" s="2"/>
      <x:c r="AK285" s="2" t="s">
        <x:v>176</x:v>
      </x:c>
      <x:c r="AL285" s="2" t="s">
        <x:v>571</x:v>
      </x:c>
      <x:c r="AM285" s="2">
        <x:v>135</x:v>
      </x:c>
      <x:c r="AN285" s="2">
        <x:v>135</x:v>
      </x:c>
    </x:row>
    <x:row r="286" ht="52">
      <x:c r="A286" s="2" t="s">
        <x:v>91</x:v>
      </x:c>
      <x:c r="B286" s="2" t="s">
        <x:v>14</x:v>
      </x:c>
      <x:c r="C286" s="3">
        <x:v>134</x:v>
      </x:c>
      <x:c r="D286" s="2" t="s">
        <x:v>1252</x:v>
      </x:c>
      <x:c r="E286" s="2" t="s">
        <x:v>1249</x:v>
      </x:c>
      <x:c r="F286" s="2" t="s">
        <x:v>1031</x:v>
      </x:c>
      <x:c r="G286" s="2" t="s">
        <x:v>158</x:v>
      </x:c>
      <x:c r="H286" s="2" t="s">
        <x:v>634</x:v>
      </x:c>
      <x:c r="I286" s="2" t="s">
        <x:v>1250</x:v>
      </x:c>
      <x:c r="J286" s="2" t="s">
        <x:v>1062</x:v>
      </x:c>
      <x:c r="K286" s="2" t="n">
        <x:v>132</x:v>
      </x:c>
      <x:c r="L286" s="2" t="s">
        <x:v>1120</x:v>
      </x:c>
      <x:c r="M286" s="2" t="s">
        <x:v>1253</x:v>
      </x:c>
      <x:c r="N286" s="2">
        <x:v>2</x:v>
      </x:c>
      <x:c r="O286" s="2" t="s">
        <x:v>1024</x:v>
      </x:c>
      <x:c r="P286" s="2" t="s">
        <x:v>1053</x:v>
      </x:c>
      <x:c r="Q286" s="2"/>
      <x:c r="R286" s="3"/>
      <x:c r="S286" s="3"/>
      <x:c r="T286" s="2"/>
      <x:c r="U286" s="2"/>
      <x:c r="V286" s="2"/>
      <x:c r="W286" s="2" t="s">
        <x:v>1251</x:v>
      </x:c>
      <x:c r="X286" s="3">
        <x:v>2</x:v>
      </x:c>
      <x:c r="Y286" s="3">
        <x:v>3</x:v>
      </x:c>
      <x:c r="Z286" s="2" t="s">
        <x:v>175</x:v>
      </x:c>
      <x:c r="AA286" s="2"/>
      <x:c r="AB286" s="2"/>
      <x:c r="AC286" s="2"/>
      <x:c r="AD286" s="2"/>
      <x:c r="AE286" s="2"/>
      <x:c r="AF286" s="2"/>
      <x:c r="AG286" s="2"/>
      <x:c r="AH286" s="2"/>
      <x:c r="AI286" s="4"/>
      <x:c r="AJ286" s="2"/>
      <x:c r="AK286" s="2" t="s">
        <x:v>176</x:v>
      </x:c>
      <x:c r="AL286" s="2" t="s">
        <x:v>571</x:v>
      </x:c>
      <x:c r="AM286" s="2">
        <x:v>136</x:v>
      </x:c>
      <x:c r="AN286" s="2">
        <x:v>136</x:v>
      </x:c>
    </x:row>
    <x:row r="287" ht="26">
      <x:c r="A287" s="2" t="s">
        <x:v>91</x:v>
      </x:c>
      <x:c r="B287" s="2" t="s">
        <x:v>14</x:v>
      </x:c>
      <x:c r="C287" s="3">
        <x:v>135</x:v>
      </x:c>
      <x:c r="D287" s="2" t="s">
        <x:v>1254</x:v>
      </x:c>
      <x:c r="E287" s="2" t="s">
        <x:v>1249</x:v>
      </x:c>
      <x:c r="F287" s="2" t="s">
        <x:v>1068</x:v>
      </x:c>
      <x:c r="G287" s="2" t="s">
        <x:v>1255</x:v>
      </x:c>
      <x:c r="H287" s="2" t="s">
        <x:v>634</x:v>
      </x:c>
      <x:c r="I287" s="2" t="s">
        <x:v>1250</x:v>
      </x:c>
      <x:c r="J287" s="2" t="s">
        <x:v>1060</x:v>
      </x:c>
      <x:c r="K287" s="2" t="n">
        <x:v>132</x:v>
      </x:c>
      <x:c r="L287" s="2" t="s">
        <x:v>1069</x:v>
      </x:c>
      <x:c r="M287" s="2" t="s">
        <x:v>1056</x:v>
      </x:c>
      <x:c r="N287" s="2">
        <x:v>2</x:v>
      </x:c>
      <x:c r="O287" s="2" t="s">
        <x:v>1024</x:v>
      </x:c>
      <x:c r="P287" s="2" t="s">
        <x:v>1057</x:v>
      </x:c>
      <x:c r="Q287" s="2"/>
      <x:c r="R287" s="3"/>
      <x:c r="S287" s="3"/>
      <x:c r="T287" s="2"/>
      <x:c r="U287" s="2"/>
      <x:c r="V287" s="2"/>
      <x:c r="W287" s="2" t="s">
        <x:v>1251</x:v>
      </x:c>
      <x:c r="X287" s="3">
        <x:v>2</x:v>
      </x:c>
      <x:c r="Y287" s="3">
        <x:v>3</x:v>
      </x:c>
      <x:c r="Z287" s="2" t="s">
        <x:v>175</x:v>
      </x:c>
      <x:c r="AA287" s="2"/>
      <x:c r="AB287" s="2"/>
      <x:c r="AC287" s="2"/>
      <x:c r="AD287" s="2"/>
      <x:c r="AE287" s="2"/>
      <x:c r="AF287" s="2"/>
      <x:c r="AG287" s="2"/>
      <x:c r="AH287" s="2"/>
      <x:c r="AI287" s="4"/>
      <x:c r="AJ287" s="2"/>
      <x:c r="AK287" s="2" t="s">
        <x:v>176</x:v>
      </x:c>
      <x:c r="AL287" s="2" t="s">
        <x:v>571</x:v>
      </x:c>
      <x:c r="AM287" s="2">
        <x:v>137</x:v>
      </x:c>
      <x:c r="AN287" s="2">
        <x:v>137</x:v>
      </x:c>
    </x:row>
    <x:row r="288" ht="26">
      <x:c r="A288" s="2" t="s">
        <x:v>91</x:v>
      </x:c>
      <x:c r="B288" s="2" t="s">
        <x:v>14</x:v>
      </x:c>
      <x:c r="C288" s="3">
        <x:v>136</x:v>
      </x:c>
      <x:c r="D288" s="2" t="s">
        <x:v>1046</x:v>
      </x:c>
      <x:c r="E288" s="2" t="s">
        <x:v>1249</x:v>
      </x:c>
      <x:c r="F288" s="2" t="s">
        <x:v>1047</x:v>
      </x:c>
      <x:c r="G288" s="2" t="s">
        <x:v>1256</x:v>
      </x:c>
      <x:c r="H288" s="2" t="s">
        <x:v>627</x:v>
      </x:c>
      <x:c r="I288" s="2" t="s">
        <x:v>1250</x:v>
      </x:c>
      <x:c r="J288" s="2" t="s">
        <x:v>1021</x:v>
      </x:c>
      <x:c r="K288" s="2"/>
      <x:c r="L288" s="2" t="s">
        <x:v>1049</x:v>
      </x:c>
      <x:c r="M288" s="2" t="s">
        <x:v>1023</x:v>
      </x:c>
      <x:c r="N288" s="2">
        <x:v>2</x:v>
      </x:c>
      <x:c r="O288" s="2" t="s">
        <x:v>1024</x:v>
      </x:c>
      <x:c r="P288" s="2" t="s">
        <x:v>1025</x:v>
      </x:c>
      <x:c r="Q288" s="2"/>
      <x:c r="R288" s="3"/>
      <x:c r="S288" s="3"/>
      <x:c r="T288" s="2"/>
      <x:c r="U288" s="2"/>
      <x:c r="V288" s="2"/>
      <x:c r="W288" s="2" t="s">
        <x:v>1257</x:v>
      </x:c>
      <x:c r="X288" s="3">
        <x:v>2</x:v>
      </x:c>
      <x:c r="Y288" s="3">
        <x:v>1</x:v>
      </x:c>
      <x:c r="Z288" s="2" t="s">
        <x:v>191</x:v>
      </x:c>
      <x:c r="AA288" s="2"/>
      <x:c r="AB288" s="2"/>
      <x:c r="AC288" s="2"/>
      <x:c r="AD288" s="2"/>
      <x:c r="AE288" s="2"/>
      <x:c r="AF288" s="2"/>
      <x:c r="AG288" s="2"/>
      <x:c r="AH288" s="2"/>
      <x:c r="AI288" s="4"/>
      <x:c r="AJ288" s="2"/>
      <x:c r="AK288" s="2" t="s">
        <x:v>176</x:v>
      </x:c>
      <x:c r="AL288" s="2" t="s">
        <x:v>571</x:v>
      </x:c>
      <x:c r="AM288" s="2">
        <x:v>138</x:v>
      </x:c>
      <x:c r="AN288" s="2">
        <x:v>138</x:v>
      </x:c>
    </x:row>
    <x:row r="289" ht="39">
      <x:c r="A289" s="2" t="s">
        <x:v>91</x:v>
      </x:c>
      <x:c r="B289" s="2" t="s">
        <x:v>14</x:v>
      </x:c>
      <x:c r="C289" s="3">
        <x:v>137</x:v>
      </x:c>
      <x:c r="D289" s="2" t="s">
        <x:v>166</x:v>
      </x:c>
      <x:c r="E289" s="2" t="s">
        <x:v>1249</x:v>
      </x:c>
      <x:c r="F289" s="2" t="s">
        <x:v>1011</x:v>
      </x:c>
      <x:c r="G289" s="2" t="s">
        <x:v>158</x:v>
      </x:c>
      <x:c r="H289" s="2" t="s">
        <x:v>618</x:v>
      </x:c>
      <x:c r="I289" s="2" t="s">
        <x:v>1250</x:v>
      </x:c>
      <x:c r="J289" s="2" t="s">
        <x:v>1013</x:v>
      </x:c>
      <x:c r="K289" s="2" t="n">
        <x:v>136</x:v>
      </x:c>
      <x:c r="L289" s="2" t="s">
        <x:v>1074</x:v>
      </x:c>
      <x:c r="M289" s="2" t="s">
        <x:v>1034</x:v>
      </x:c>
      <x:c r="N289" s="2">
        <x:v>2</x:v>
      </x:c>
      <x:c r="O289" s="2" t="s">
        <x:v>1016</x:v>
      </x:c>
      <x:c r="P289" s="2" t="s">
        <x:v>1017</x:v>
      </x:c>
      <x:c r="Q289" s="2"/>
      <x:c r="R289" s="3"/>
      <x:c r="S289" s="3"/>
      <x:c r="T289" s="2"/>
      <x:c r="U289" s="2"/>
      <x:c r="V289" s="2"/>
      <x:c r="W289" s="2" t="s">
        <x:v>1257</x:v>
      </x:c>
      <x:c r="X289" s="3">
        <x:v>2</x:v>
      </x:c>
      <x:c r="Y289" s="3">
        <x:v>1</x:v>
      </x:c>
      <x:c r="Z289" s="2" t="s">
        <x:v>191</x:v>
      </x:c>
      <x:c r="AA289" s="2"/>
      <x:c r="AB289" s="2"/>
      <x:c r="AC289" s="2"/>
      <x:c r="AD289" s="2"/>
      <x:c r="AE289" s="2"/>
      <x:c r="AF289" s="2"/>
      <x:c r="AG289" s="2"/>
      <x:c r="AH289" s="2"/>
      <x:c r="AI289" s="4"/>
      <x:c r="AJ289" s="2"/>
      <x:c r="AK289" s="2" t="s">
        <x:v>176</x:v>
      </x:c>
      <x:c r="AL289" s="2" t="s">
        <x:v>571</x:v>
      </x:c>
      <x:c r="AM289" s="2">
        <x:v>139</x:v>
      </x:c>
      <x:c r="AN289" s="2">
        <x:v>139</x:v>
      </x:c>
    </x:row>
    <x:row r="290" ht="26">
      <x:c r="A290" s="2" t="s">
        <x:v>91</x:v>
      </x:c>
      <x:c r="B290" s="2" t="s">
        <x:v>14</x:v>
      </x:c>
      <x:c r="C290" s="3">
        <x:v>138</x:v>
      </x:c>
      <x:c r="D290" s="2" t="s">
        <x:v>1054</x:v>
      </x:c>
      <x:c r="E290" s="2" t="s">
        <x:v>1249</x:v>
      </x:c>
      <x:c r="F290" s="2" t="s">
        <x:v>1047</x:v>
      </x:c>
      <x:c r="G290" s="2" t="s">
        <x:v>1258</x:v>
      </x:c>
      <x:c r="H290" s="2" t="s">
        <x:v>634</x:v>
      </x:c>
      <x:c r="I290" s="2" t="s">
        <x:v>1250</x:v>
      </x:c>
      <x:c r="J290" s="2" t="s">
        <x:v>1055</x:v>
      </x:c>
      <x:c r="K290" s="2" t="n">
        <x:v>136</x:v>
      </x:c>
      <x:c r="L290" s="2" t="s">
        <x:v>1049</x:v>
      </x:c>
      <x:c r="M290" s="2" t="s">
        <x:v>1056</x:v>
      </x:c>
      <x:c r="N290" s="2">
        <x:v>2</x:v>
      </x:c>
      <x:c r="O290" s="2" t="s">
        <x:v>1024</x:v>
      </x:c>
      <x:c r="P290" s="2" t="s">
        <x:v>1057</x:v>
      </x:c>
      <x:c r="Q290" s="2"/>
      <x:c r="R290" s="3"/>
      <x:c r="S290" s="3"/>
      <x:c r="T290" s="2"/>
      <x:c r="U290" s="2"/>
      <x:c r="V290" s="2"/>
      <x:c r="W290" s="2" t="s">
        <x:v>1257</x:v>
      </x:c>
      <x:c r="X290" s="3">
        <x:v>2</x:v>
      </x:c>
      <x:c r="Y290" s="3">
        <x:v>1</x:v>
      </x:c>
      <x:c r="Z290" s="2" t="s">
        <x:v>191</x:v>
      </x:c>
      <x:c r="AA290" s="2"/>
      <x:c r="AB290" s="2"/>
      <x:c r="AC290" s="2"/>
      <x:c r="AD290" s="2"/>
      <x:c r="AE290" s="2"/>
      <x:c r="AF290" s="2"/>
      <x:c r="AG290" s="2"/>
      <x:c r="AH290" s="2"/>
      <x:c r="AI290" s="4"/>
      <x:c r="AJ290" s="2"/>
      <x:c r="AK290" s="2" t="s">
        <x:v>176</x:v>
      </x:c>
      <x:c r="AL290" s="2" t="s">
        <x:v>571</x:v>
      </x:c>
      <x:c r="AM290" s="2">
        <x:v>140</x:v>
      </x:c>
      <x:c r="AN290" s="2">
        <x:v>140</x:v>
      </x:c>
    </x:row>
    <x:row r="291" ht="52">
      <x:c r="A291" s="2" t="s">
        <x:v>91</x:v>
      </x:c>
      <x:c r="B291" s="2" t="s">
        <x:v>14</x:v>
      </x:c>
      <x:c r="C291" s="3">
        <x:v>139</x:v>
      </x:c>
      <x:c r="D291" s="2" t="s">
        <x:v>1259</x:v>
      </x:c>
      <x:c r="E291" s="2" t="s">
        <x:v>1249</x:v>
      </x:c>
      <x:c r="F291" s="2" t="s">
        <x:v>1011</x:v>
      </x:c>
      <x:c r="G291" s="2" t="s">
        <x:v>158</x:v>
      </x:c>
      <x:c r="H291" s="2" t="s">
        <x:v>634</x:v>
      </x:c>
      <x:c r="I291" s="2" t="s">
        <x:v>1250</x:v>
      </x:c>
      <x:c r="J291" s="2" t="s">
        <x:v>1051</x:v>
      </x:c>
      <x:c r="K291" s="2" t="n">
        <x:v>136</x:v>
      </x:c>
      <x:c r="L291" s="2" t="s">
        <x:v>1074</x:v>
      </x:c>
      <x:c r="M291" s="2" t="s">
        <x:v>1063</x:v>
      </x:c>
      <x:c r="N291" s="2">
        <x:v>2</x:v>
      </x:c>
      <x:c r="O291" s="2" t="s">
        <x:v>1016</x:v>
      </x:c>
      <x:c r="P291" s="2" t="s">
        <x:v>1053</x:v>
      </x:c>
      <x:c r="Q291" s="2"/>
      <x:c r="R291" s="3"/>
      <x:c r="S291" s="3"/>
      <x:c r="T291" s="2"/>
      <x:c r="U291" s="2"/>
      <x:c r="V291" s="2"/>
      <x:c r="W291" s="2" t="s">
        <x:v>1257</x:v>
      </x:c>
      <x:c r="X291" s="3">
        <x:v>2</x:v>
      </x:c>
      <x:c r="Y291" s="3">
        <x:v>1</x:v>
      </x:c>
      <x:c r="Z291" s="2" t="s">
        <x:v>191</x:v>
      </x:c>
      <x:c r="AA291" s="2"/>
      <x:c r="AB291" s="2"/>
      <x:c r="AC291" s="2"/>
      <x:c r="AD291" s="2"/>
      <x:c r="AE291" s="2"/>
      <x:c r="AF291" s="2"/>
      <x:c r="AG291" s="2"/>
      <x:c r="AH291" s="2"/>
      <x:c r="AI291" s="4"/>
      <x:c r="AJ291" s="2"/>
      <x:c r="AK291" s="2" t="s">
        <x:v>176</x:v>
      </x:c>
      <x:c r="AL291" s="2" t="s">
        <x:v>571</x:v>
      </x:c>
      <x:c r="AM291" s="2">
        <x:v>141</x:v>
      </x:c>
      <x:c r="AN291" s="2">
        <x:v>141</x:v>
      </x:c>
    </x:row>
    <x:row r="292" ht="39">
      <x:c r="A292" s="2" t="s">
        <x:v>91</x:v>
      </x:c>
      <x:c r="B292" s="2" t="s">
        <x:v>14</x:v>
      </x:c>
      <x:c r="C292" s="3">
        <x:v>140</x:v>
      </x:c>
      <x:c r="D292" s="2" t="s">
        <x:v>184</x:v>
      </x:c>
      <x:c r="E292" s="2" t="s">
        <x:v>1104</x:v>
      </x:c>
      <x:c r="F292" s="2" t="s">
        <x:v>1031</x:v>
      </x:c>
      <x:c r="G292" s="2" t="s">
        <x:v>158</x:v>
      </x:c>
      <x:c r="H292" s="2" t="s">
        <x:v>618</x:v>
      </x:c>
      <x:c r="I292" s="2" t="s">
        <x:v>1260</x:v>
      </x:c>
      <x:c r="J292" s="2" t="s">
        <x:v>1032</x:v>
      </x:c>
      <x:c r="K292" s="2"/>
      <x:c r="L292" s="2" t="s">
        <x:v>1106</x:v>
      </x:c>
      <x:c r="M292" s="2" t="s">
        <x:v>1107</x:v>
      </x:c>
      <x:c r="N292" s="2">
        <x:v>4</x:v>
      </x:c>
      <x:c r="O292" s="2" t="s">
        <x:v>1024</x:v>
      </x:c>
      <x:c r="P292" s="2" t="s">
        <x:v>1035</x:v>
      </x:c>
      <x:c r="Q292" s="2"/>
      <x:c r="R292" s="3"/>
      <x:c r="S292" s="3"/>
      <x:c r="T292" s="2"/>
      <x:c r="U292" s="2"/>
      <x:c r="V292" s="2"/>
      <x:c r="W292" s="2" t="s">
        <x:v>1261</x:v>
      </x:c>
      <x:c r="X292" s="3">
        <x:v>2</x:v>
      </x:c>
      <x:c r="Y292" s="3">
        <x:v>3</x:v>
      </x:c>
      <x:c r="Z292" s="2" t="s">
        <x:v>175</x:v>
      </x:c>
      <x:c r="AA292" s="2"/>
      <x:c r="AB292" s="2"/>
      <x:c r="AC292" s="2"/>
      <x:c r="AD292" s="2"/>
      <x:c r="AE292" s="2"/>
      <x:c r="AF292" s="2"/>
      <x:c r="AG292" s="2"/>
      <x:c r="AH292" s="2"/>
      <x:c r="AI292" s="4"/>
      <x:c r="AJ292" s="2"/>
      <x:c r="AK292" s="2" t="s">
        <x:v>176</x:v>
      </x:c>
      <x:c r="AL292" s="2" t="s">
        <x:v>571</x:v>
      </x:c>
      <x:c r="AM292" s="2">
        <x:v>142</x:v>
      </x:c>
      <x:c r="AN292" s="2">
        <x:v>142</x:v>
      </x:c>
    </x:row>
    <x:row r="293" ht="39">
      <x:c r="A293" s="2" t="s">
        <x:v>91</x:v>
      </x:c>
      <x:c r="B293" s="2" t="s">
        <x:v>14</x:v>
      </x:c>
      <x:c r="C293" s="3">
        <x:v>141</x:v>
      </x:c>
      <x:c r="D293" s="2" t="s">
        <x:v>166</x:v>
      </x:c>
      <x:c r="E293" s="2" t="s">
        <x:v>1104</x:v>
      </x:c>
      <x:c r="F293" s="2" t="s">
        <x:v>1011</x:v>
      </x:c>
      <x:c r="G293" s="2" t="s">
        <x:v>158</x:v>
      </x:c>
      <x:c r="H293" s="2" t="s">
        <x:v>618</x:v>
      </x:c>
      <x:c r="I293" s="2" t="s">
        <x:v>1260</x:v>
      </x:c>
      <x:c r="J293" s="2" t="s">
        <x:v>1013</x:v>
      </x:c>
      <x:c r="K293" s="2" t="n">
        <x:v>140</x:v>
      </x:c>
      <x:c r="L293" s="2" t="s">
        <x:v>1040</x:v>
      </x:c>
      <x:c r="M293" s="2" t="s">
        <x:v>1041</x:v>
      </x:c>
      <x:c r="N293" s="2">
        <x:v>4</x:v>
      </x:c>
      <x:c r="O293" s="2" t="s">
        <x:v>1016</x:v>
      </x:c>
      <x:c r="P293" s="2" t="s">
        <x:v>1017</x:v>
      </x:c>
      <x:c r="Q293" s="2"/>
      <x:c r="R293" s="3"/>
      <x:c r="S293" s="3"/>
      <x:c r="T293" s="2"/>
      <x:c r="U293" s="2"/>
      <x:c r="V293" s="2"/>
      <x:c r="W293" s="2" t="s">
        <x:v>1262</x:v>
      </x:c>
      <x:c r="X293" s="3">
        <x:v>2</x:v>
      </x:c>
      <x:c r="Y293" s="3">
        <x:v>1</x:v>
      </x:c>
      <x:c r="Z293" s="2" t="s">
        <x:v>191</x:v>
      </x:c>
      <x:c r="AA293" s="2"/>
      <x:c r="AB293" s="2"/>
      <x:c r="AC293" s="2"/>
      <x:c r="AD293" s="2"/>
      <x:c r="AE293" s="2"/>
      <x:c r="AF293" s="2"/>
      <x:c r="AG293" s="2"/>
      <x:c r="AH293" s="2"/>
      <x:c r="AI293" s="4"/>
      <x:c r="AJ293" s="2"/>
      <x:c r="AK293" s="2" t="s">
        <x:v>176</x:v>
      </x:c>
      <x:c r="AL293" s="2" t="s">
        <x:v>571</x:v>
      </x:c>
      <x:c r="AM293" s="2">
        <x:v>143</x:v>
      </x:c>
      <x:c r="AN293" s="2">
        <x:v>143</x:v>
      </x:c>
    </x:row>
    <x:row r="294" ht="39">
      <x:c r="A294" s="2" t="s">
        <x:v>91</x:v>
      </x:c>
      <x:c r="B294" s="2" t="s">
        <x:v>14</x:v>
      </x:c>
      <x:c r="C294" s="3">
        <x:v>142</x:v>
      </x:c>
      <x:c r="D294" s="2" t="s">
        <x:v>184</x:v>
      </x:c>
      <x:c r="E294" s="2" t="s">
        <x:v>1263</x:v>
      </x:c>
      <x:c r="F294" s="2" t="s">
        <x:v>1076</x:v>
      </x:c>
      <x:c r="G294" s="2" t="s">
        <x:v>1264</x:v>
      </x:c>
      <x:c r="H294" s="2" t="s">
        <x:v>1077</x:v>
      </x:c>
      <x:c r="I294" s="2" t="s">
        <x:v>1265</x:v>
      </x:c>
      <x:c r="J294" s="2" t="s">
        <x:v>1079</x:v>
      </x:c>
      <x:c r="K294" s="2"/>
      <x:c r="L294" s="2" t="s">
        <x:v>189</x:v>
      </x:c>
      <x:c r="M294" s="2" t="s">
        <x:v>1080</x:v>
      </x:c>
      <x:c r="N294" s="2">
        <x:v>6</x:v>
      </x:c>
      <x:c r="O294" s="2" t="s">
        <x:v>1081</x:v>
      </x:c>
      <x:c r="P294" s="2" t="s">
        <x:v>1082</x:v>
      </x:c>
      <x:c r="Q294" s="2"/>
      <x:c r="R294" s="3"/>
      <x:c r="S294" s="3"/>
      <x:c r="T294" s="2"/>
      <x:c r="U294" s="2"/>
      <x:c r="V294" s="2"/>
      <x:c r="W294" s="2" t="s">
        <x:v>1265</x:v>
      </x:c>
      <x:c r="X294" s="3">
        <x:v>3</x:v>
      </x:c>
      <x:c r="Y294" s="3">
        <x:v>3</x:v>
      </x:c>
      <x:c r="Z294" s="2" t="s">
        <x:v>1083</x:v>
      </x:c>
      <x:c r="AA294" s="2"/>
      <x:c r="AB294" s="2"/>
      <x:c r="AC294" s="2"/>
      <x:c r="AD294" s="2"/>
      <x:c r="AE294" s="2"/>
      <x:c r="AF294" s="2"/>
      <x:c r="AG294" s="2"/>
      <x:c r="AH294" s="2"/>
      <x:c r="AI294" s="4"/>
      <x:c r="AJ294" s="2"/>
      <x:c r="AK294" s="2" t="s">
        <x:v>176</x:v>
      </x:c>
      <x:c r="AL294" s="2" t="s">
        <x:v>571</x:v>
      </x:c>
      <x:c r="AM294" s="2">
        <x:v>144</x:v>
      </x:c>
      <x:c r="AN294" s="2">
        <x:v>144</x:v>
      </x:c>
    </x:row>
    <x:row r="295" ht="39">
      <x:c r="A295" s="2" t="s">
        <x:v>6</x:v>
      </x:c>
      <x:c r="B295" s="2" t="s">
        <x:v>14</x:v>
      </x:c>
      <x:c r="C295" s="3">
        <x:v>143</x:v>
      </x:c>
      <x:c r="D295" s="2" t="s">
        <x:v>1084</x:v>
      </x:c>
      <x:c r="E295" s="2" t="s">
        <x:v>1266</x:v>
      </x:c>
      <x:c r="F295" s="2" t="s">
        <x:v>1086</x:v>
      </x:c>
      <x:c r="G295" s="2"/>
      <x:c r="H295" s="2" t="s">
        <x:v>1077</x:v>
      </x:c>
      <x:c r="I295" s="2" t="s">
        <x:v>1265</x:v>
      </x:c>
      <x:c r="J295" s="2" t="s">
        <x:v>1087</x:v>
      </x:c>
      <x:c r="K295" s="2"/>
      <x:c r="L295" s="2" t="s">
        <x:v>1088</x:v>
      </x:c>
      <x:c r="M295" s="2" t="s">
        <x:v>1080</x:v>
      </x:c>
      <x:c r="N295" s="2">
        <x:v>6</x:v>
      </x:c>
      <x:c r="O295" s="2" t="s">
        <x:v>1089</x:v>
      </x:c>
      <x:c r="P295" s="2" t="s">
        <x:v>1082</x:v>
      </x:c>
      <x:c r="Q295" s="2"/>
      <x:c r="R295" s="3"/>
      <x:c r="S295" s="3"/>
      <x:c r="T295" s="2"/>
      <x:c r="U295" s="2"/>
      <x:c r="V295" s="2"/>
      <x:c r="W295" s="2" t="s">
        <x:v>1265</x:v>
      </x:c>
      <x:c r="X295" s="3">
        <x:v>2</x:v>
      </x:c>
      <x:c r="Y295" s="3">
        <x:v>2</x:v>
      </x:c>
      <x:c r="Z295" s="2" t="s">
        <x:v>1083</x:v>
      </x:c>
      <x:c r="AA295" s="2"/>
      <x:c r="AB295" s="2"/>
      <x:c r="AC295" s="2"/>
      <x:c r="AD295" s="2"/>
      <x:c r="AE295" s="2"/>
      <x:c r="AF295" s="2"/>
      <x:c r="AG295" s="2"/>
      <x:c r="AH295" s="2"/>
      <x:c r="AI295" s="4"/>
      <x:c r="AJ295" s="2"/>
      <x:c r="AK295" s="2" t="s">
        <x:v>176</x:v>
      </x:c>
      <x:c r="AL295" s="2" t="s">
        <x:v>571</x:v>
      </x:c>
      <x:c r="AM295" s="2">
        <x:v>145</x:v>
      </x:c>
      <x:c r="AN295" s="2">
        <x:v>145</x:v>
      </x:c>
    </x:row>
    <x:row r="296" ht="39">
      <x:c r="A296" s="2" t="s">
        <x:v>6</x:v>
      </x:c>
      <x:c r="B296" s="2" t="s">
        <x:v>14</x:v>
      </x:c>
      <x:c r="C296" s="3">
        <x:v>144</x:v>
      </x:c>
      <x:c r="D296" s="2" t="s">
        <x:v>166</x:v>
      </x:c>
      <x:c r="E296" s="2" t="s">
        <x:v>1007</x:v>
      </x:c>
      <x:c r="F296" s="2" t="s">
        <x:v>1090</x:v>
      </x:c>
      <x:c r="G296" s="2"/>
      <x:c r="H296" s="2" t="s">
        <x:v>1077</x:v>
      </x:c>
      <x:c r="I296" s="2" t="s">
        <x:v>1265</x:v>
      </x:c>
      <x:c r="J296" s="2" t="s">
        <x:v>1091</x:v>
      </x:c>
      <x:c r="K296" s="2"/>
      <x:c r="L296" s="2" t="s">
        <x:v>1092</x:v>
      </x:c>
      <x:c r="M296" s="2" t="s">
        <x:v>1080</x:v>
      </x:c>
      <x:c r="N296" s="2">
        <x:v>6</x:v>
      </x:c>
      <x:c r="O296" s="2" t="s">
        <x:v>1089</x:v>
      </x:c>
      <x:c r="P296" s="2" t="s">
        <x:v>1082</x:v>
      </x:c>
      <x:c r="Q296" s="2"/>
      <x:c r="R296" s="3"/>
      <x:c r="S296" s="3"/>
      <x:c r="T296" s="2"/>
      <x:c r="U296" s="2"/>
      <x:c r="V296" s="2"/>
      <x:c r="W296" s="2" t="s">
        <x:v>1265</x:v>
      </x:c>
      <x:c r="X296" s="3">
        <x:v>1</x:v>
      </x:c>
      <x:c r="Y296" s="3">
        <x:v>1</x:v>
      </x:c>
      <x:c r="Z296" s="2" t="s">
        <x:v>1083</x:v>
      </x:c>
      <x:c r="AA296" s="2"/>
      <x:c r="AB296" s="2"/>
      <x:c r="AC296" s="2"/>
      <x:c r="AD296" s="2"/>
      <x:c r="AE296" s="2"/>
      <x:c r="AF296" s="2"/>
      <x:c r="AG296" s="2"/>
      <x:c r="AH296" s="2"/>
      <x:c r="AI296" s="4"/>
      <x:c r="AJ296" s="2"/>
      <x:c r="AK296" s="2" t="s">
        <x:v>176</x:v>
      </x:c>
      <x:c r="AL296" s="2" t="s">
        <x:v>571</x:v>
      </x:c>
      <x:c r="AM296" s="2">
        <x:v>146</x:v>
      </x:c>
      <x:c r="AN296" s="2">
        <x:v>146</x:v>
      </x:c>
    </x:row>
    <x:row r="297" ht="39">
      <x:c r="A297" s="2" t="s">
        <x:v>6</x:v>
      </x:c>
      <x:c r="B297" s="2" t="s">
        <x:v>14</x:v>
      </x:c>
      <x:c r="C297" s="3">
        <x:v>145</x:v>
      </x:c>
      <x:c r="D297" s="2" t="s">
        <x:v>993</x:v>
      </x:c>
      <x:c r="E297" s="2" t="s">
        <x:v>997</x:v>
      </x:c>
      <x:c r="F297" s="2" t="s">
        <x:v>1094</x:v>
      </x:c>
      <x:c r="G297" s="2"/>
      <x:c r="H297" s="2" t="s">
        <x:v>1077</x:v>
      </x:c>
      <x:c r="I297" s="2" t="s">
        <x:v>1265</x:v>
      </x:c>
      <x:c r="J297" s="2" t="s">
        <x:v>1095</x:v>
      </x:c>
      <x:c r="K297" s="2"/>
      <x:c r="L297" s="2" t="s">
        <x:v>1096</x:v>
      </x:c>
      <x:c r="M297" s="2" t="s">
        <x:v>1080</x:v>
      </x:c>
      <x:c r="N297" s="2">
        <x:v>6</x:v>
      </x:c>
      <x:c r="O297" s="2" t="s">
        <x:v>1089</x:v>
      </x:c>
      <x:c r="P297" s="2" t="s">
        <x:v>1082</x:v>
      </x:c>
      <x:c r="Q297" s="2"/>
      <x:c r="R297" s="3"/>
      <x:c r="S297" s="3"/>
      <x:c r="T297" s="2"/>
      <x:c r="U297" s="2"/>
      <x:c r="V297" s="2"/>
      <x:c r="W297" s="2" t="s">
        <x:v>1265</x:v>
      </x:c>
      <x:c r="X297" s="3">
        <x:v>0</x:v>
      </x:c>
      <x:c r="Y297" s="3">
        <x:v>0</x:v>
      </x:c>
      <x:c r="Z297" s="2" t="s">
        <x:v>1083</x:v>
      </x:c>
      <x:c r="AA297" s="2"/>
      <x:c r="AB297" s="2"/>
      <x:c r="AC297" s="2"/>
      <x:c r="AD297" s="2"/>
      <x:c r="AE297" s="2"/>
      <x:c r="AF297" s="2"/>
      <x:c r="AG297" s="2"/>
      <x:c r="AH297" s="2"/>
      <x:c r="AI297" s="4"/>
      <x:c r="AJ297" s="2"/>
      <x:c r="AK297" s="2" t="s">
        <x:v>176</x:v>
      </x:c>
      <x:c r="AL297" s="2" t="s">
        <x:v>571</x:v>
      </x:c>
      <x:c r="AM297" s="2">
        <x:v>147</x:v>
      </x:c>
      <x:c r="AN297" s="2">
        <x:v>147</x:v>
      </x:c>
    </x:row>
    <x:row r="298" ht="39">
      <x:c r="A298" s="2" t="s">
        <x:v>91</x:v>
      </x:c>
      <x:c r="B298" s="2" t="s">
        <x:v>14</x:v>
      </x:c>
      <x:c r="C298" s="3">
        <x:v>146</x:v>
      </x:c>
      <x:c r="D298" s="2" t="s">
        <x:v>184</x:v>
      </x:c>
      <x:c r="E298" s="2" t="s">
        <x:v>1036</x:v>
      </x:c>
      <x:c r="F298" s="2" t="s">
        <x:v>1031</x:v>
      </x:c>
      <x:c r="G298" s="2" t="s">
        <x:v>158</x:v>
      </x:c>
      <x:c r="H298" s="2" t="s">
        <x:v>618</x:v>
      </x:c>
      <x:c r="I298" s="2" t="s">
        <x:v>1267</x:v>
      </x:c>
      <x:c r="J298" s="2" t="s">
        <x:v>1032</x:v>
      </x:c>
      <x:c r="K298" s="2"/>
      <x:c r="L298" s="2" t="s">
        <x:v>1038</x:v>
      </x:c>
      <x:c r="M298" s="2" t="s">
        <x:v>1015</x:v>
      </x:c>
      <x:c r="N298" s="2">
        <x:v>4</x:v>
      </x:c>
      <x:c r="O298" s="2" t="s">
        <x:v>1024</x:v>
      </x:c>
      <x:c r="P298" s="2" t="s">
        <x:v>1035</x:v>
      </x:c>
      <x:c r="Q298" s="2"/>
      <x:c r="R298" s="3"/>
      <x:c r="S298" s="3"/>
      <x:c r="T298" s="2"/>
      <x:c r="U298" s="2"/>
      <x:c r="V298" s="2"/>
      <x:c r="W298" s="2" t="s">
        <x:v>1268</x:v>
      </x:c>
      <x:c r="X298" s="3">
        <x:v>2</x:v>
      </x:c>
      <x:c r="Y298" s="3">
        <x:v>3</x:v>
      </x:c>
      <x:c r="Z298" s="2" t="s">
        <x:v>175</x:v>
      </x:c>
      <x:c r="AA298" s="2"/>
      <x:c r="AB298" s="2"/>
      <x:c r="AC298" s="2"/>
      <x:c r="AD298" s="2"/>
      <x:c r="AE298" s="2"/>
      <x:c r="AF298" s="2"/>
      <x:c r="AG298" s="2"/>
      <x:c r="AH298" s="2"/>
      <x:c r="AI298" s="4"/>
      <x:c r="AJ298" s="2"/>
      <x:c r="AK298" s="2" t="s">
        <x:v>176</x:v>
      </x:c>
      <x:c r="AL298" s="2" t="s">
        <x:v>571</x:v>
      </x:c>
      <x:c r="AM298" s="2">
        <x:v>148</x:v>
      </x:c>
      <x:c r="AN298" s="2">
        <x:v>148</x:v>
      </x:c>
    </x:row>
    <x:row r="299" ht="39">
      <x:c r="A299" s="2" t="s">
        <x:v>91</x:v>
      </x:c>
      <x:c r="B299" s="2" t="s">
        <x:v>14</x:v>
      </x:c>
      <x:c r="C299" s="3">
        <x:v>147</x:v>
      </x:c>
      <x:c r="D299" s="2" t="s">
        <x:v>166</x:v>
      </x:c>
      <x:c r="E299" s="2" t="s">
        <x:v>1036</x:v>
      </x:c>
      <x:c r="F299" s="2" t="s">
        <x:v>1011</x:v>
      </x:c>
      <x:c r="G299" s="2"/>
      <x:c r="H299" s="2" t="s">
        <x:v>618</x:v>
      </x:c>
      <x:c r="I299" s="2" t="s">
        <x:v>1267</x:v>
      </x:c>
      <x:c r="J299" s="2" t="s">
        <x:v>1013</x:v>
      </x:c>
      <x:c r="K299" s="2" t="n">
        <x:v>146</x:v>
      </x:c>
      <x:c r="L299" s="2" t="s">
        <x:v>1040</x:v>
      </x:c>
      <x:c r="M299" s="2" t="s">
        <x:v>1041</x:v>
      </x:c>
      <x:c r="N299" s="2">
        <x:v>4</x:v>
      </x:c>
      <x:c r="O299" s="2" t="s">
        <x:v>1016</x:v>
      </x:c>
      <x:c r="P299" s="2" t="s">
        <x:v>1017</x:v>
      </x:c>
      <x:c r="Q299" s="2"/>
      <x:c r="R299" s="3"/>
      <x:c r="S299" s="3"/>
      <x:c r="T299" s="2"/>
      <x:c r="U299" s="2"/>
      <x:c r="V299" s="2"/>
      <x:c r="W299" s="2" t="s">
        <x:v>1269</x:v>
      </x:c>
      <x:c r="X299" s="3">
        <x:v>2</x:v>
      </x:c>
      <x:c r="Y299" s="3">
        <x:v>1</x:v>
      </x:c>
      <x:c r="Z299" s="2" t="s">
        <x:v>191</x:v>
      </x:c>
      <x:c r="AA299" s="2"/>
      <x:c r="AB299" s="2"/>
      <x:c r="AC299" s="2"/>
      <x:c r="AD299" s="2"/>
      <x:c r="AE299" s="2"/>
      <x:c r="AF299" s="2"/>
      <x:c r="AG299" s="2"/>
      <x:c r="AH299" s="2"/>
      <x:c r="AI299" s="4"/>
      <x:c r="AJ299" s="2"/>
      <x:c r="AK299" s="2" t="s">
        <x:v>176</x:v>
      </x:c>
      <x:c r="AL299" s="2" t="s">
        <x:v>571</x:v>
      </x:c>
      <x:c r="AM299" s="2">
        <x:v>149</x:v>
      </x:c>
      <x:c r="AN299" s="2">
        <x:v>149</x:v>
      </x:c>
    </x:row>
    <x:row r="300" ht="39">
      <x:c r="A300" s="2" t="s">
        <x:v>91</x:v>
      </x:c>
      <x:c r="B300" s="2" t="s">
        <x:v>14</x:v>
      </x:c>
      <x:c r="C300" s="3">
        <x:v>148</x:v>
      </x:c>
      <x:c r="D300" s="2" t="s">
        <x:v>166</x:v>
      </x:c>
      <x:c r="E300" s="2" t="s">
        <x:v>1212</x:v>
      </x:c>
      <x:c r="F300" s="2" t="s">
        <x:v>1011</x:v>
      </x:c>
      <x:c r="G300" s="2" t="s">
        <x:v>158</x:v>
      </x:c>
      <x:c r="H300" s="2" t="s">
        <x:v>618</x:v>
      </x:c>
      <x:c r="I300" s="2" t="s">
        <x:v>1270</x:v>
      </x:c>
      <x:c r="J300" s="2" t="s">
        <x:v>1013</x:v>
      </x:c>
      <x:c r="K300" s="2"/>
      <x:c r="L300" s="2" t="s">
        <x:v>1171</x:v>
      </x:c>
      <x:c r="M300" s="2" t="s">
        <x:v>1107</x:v>
      </x:c>
      <x:c r="N300" s="2">
        <x:v>4</x:v>
      </x:c>
      <x:c r="O300" s="2" t="s">
        <x:v>1016</x:v>
      </x:c>
      <x:c r="P300" s="2" t="s">
        <x:v>1017</x:v>
      </x:c>
      <x:c r="Q300" s="2"/>
      <x:c r="R300" s="3"/>
      <x:c r="S300" s="3"/>
      <x:c r="T300" s="2"/>
      <x:c r="U300" s="2"/>
      <x:c r="V300" s="2"/>
      <x:c r="W300" s="2" t="s">
        <x:v>1271</x:v>
      </x:c>
      <x:c r="X300" s="3">
        <x:v>2</x:v>
      </x:c>
      <x:c r="Y300" s="3">
        <x:v>1</x:v>
      </x:c>
      <x:c r="Z300" s="2" t="s">
        <x:v>191</x:v>
      </x:c>
      <x:c r="AA300" s="2"/>
      <x:c r="AB300" s="2"/>
      <x:c r="AC300" s="2"/>
      <x:c r="AD300" s="2"/>
      <x:c r="AE300" s="2"/>
      <x:c r="AF300" s="2"/>
      <x:c r="AG300" s="2"/>
      <x:c r="AH300" s="2"/>
      <x:c r="AI300" s="4"/>
      <x:c r="AJ300" s="2"/>
      <x:c r="AK300" s="2" t="s">
        <x:v>176</x:v>
      </x:c>
      <x:c r="AL300" s="2" t="s">
        <x:v>571</x:v>
      </x:c>
      <x:c r="AM300" s="2">
        <x:v>150</x:v>
      </x:c>
      <x:c r="AN300" s="2">
        <x:v>150</x:v>
      </x:c>
    </x:row>
    <x:row r="301" ht="39">
      <x:c r="A301" s="2" t="s">
        <x:v>91</x:v>
      </x:c>
      <x:c r="B301" s="2" t="s">
        <x:v>14</x:v>
      </x:c>
      <x:c r="C301" s="3">
        <x:v>149</x:v>
      </x:c>
      <x:c r="D301" s="2" t="s">
        <x:v>184</x:v>
      </x:c>
      <x:c r="E301" s="2" t="s">
        <x:v>1212</x:v>
      </x:c>
      <x:c r="F301" s="2" t="s">
        <x:v>1031</x:v>
      </x:c>
      <x:c r="G301" s="2"/>
      <x:c r="H301" s="2" t="s">
        <x:v>618</x:v>
      </x:c>
      <x:c r="I301" s="2" t="s">
        <x:v>1270</x:v>
      </x:c>
      <x:c r="J301" s="2" t="s">
        <x:v>1032</x:v>
      </x:c>
      <x:c r="K301" s="2" t="n">
        <x:v>148</x:v>
      </x:c>
      <x:c r="L301" s="2" t="s">
        <x:v>1033</x:v>
      </x:c>
      <x:c r="M301" s="2" t="s">
        <x:v>1034</x:v>
      </x:c>
      <x:c r="N301" s="2">
        <x:v>4</x:v>
      </x:c>
      <x:c r="O301" s="2" t="s">
        <x:v>1024</x:v>
      </x:c>
      <x:c r="P301" s="2" t="s">
        <x:v>1035</x:v>
      </x:c>
      <x:c r="Q301" s="2"/>
      <x:c r="R301" s="3"/>
      <x:c r="S301" s="3"/>
      <x:c r="T301" s="2"/>
      <x:c r="U301" s="2"/>
      <x:c r="V301" s="2"/>
      <x:c r="W301" s="2" t="s">
        <x:v>1272</x:v>
      </x:c>
      <x:c r="X301" s="3">
        <x:v>2</x:v>
      </x:c>
      <x:c r="Y301" s="3">
        <x:v>3</x:v>
      </x:c>
      <x:c r="Z301" s="2" t="s">
        <x:v>175</x:v>
      </x:c>
      <x:c r="AA301" s="2"/>
      <x:c r="AB301" s="2"/>
      <x:c r="AC301" s="2"/>
      <x:c r="AD301" s="2"/>
      <x:c r="AE301" s="2"/>
      <x:c r="AF301" s="2"/>
      <x:c r="AG301" s="2"/>
      <x:c r="AH301" s="2"/>
      <x:c r="AI301" s="4"/>
      <x:c r="AJ301" s="2"/>
      <x:c r="AK301" s="2" t="s">
        <x:v>176</x:v>
      </x:c>
      <x:c r="AL301" s="2" t="s">
        <x:v>571</x:v>
      </x:c>
      <x:c r="AM301" s="2">
        <x:v>151</x:v>
      </x:c>
      <x:c r="AN301" s="2">
        <x:v>151</x:v>
      </x:c>
    </x:row>
    <x:row r="302" ht="39">
      <x:c r="A302" s="2" t="s">
        <x:v>91</x:v>
      </x:c>
      <x:c r="B302" s="2" t="s">
        <x:v>15</x:v>
      </x:c>
      <x:c r="C302" s="3">
        <x:v>0</x:v>
      </x:c>
      <x:c r="D302" s="2" t="s">
        <x:v>222</x:v>
      </x:c>
      <x:c r="E302" s="2" t="s">
        <x:v>223</x:v>
      </x:c>
      <x:c r="F302" s="2" t="s">
        <x:v>224</x:v>
      </x:c>
      <x:c r="G302" s="2" t="s">
        <x:v>1273</x:v>
      </x:c>
      <x:c r="H302" s="2" t="s">
        <x:v>96</x:v>
      </x:c>
      <x:c r="I302" s="2" t="s">
        <x:v>226</x:v>
      </x:c>
      <x:c r="J302" s="2" t="s">
        <x:v>227</x:v>
      </x:c>
      <x:c r="K302" s="2"/>
      <x:c r="L302" s="2"/>
      <x:c r="M302" s="2"/>
      <x:c r="N302" s="2" t="s">
        <x:v>228</x:v>
      </x:c>
      <x:c r="O302" s="2" t="s">
        <x:v>229</x:v>
      </x:c>
      <x:c r="P302" s="2" t="s">
        <x:v>230</x:v>
      </x:c>
      <x:c r="Q302" s="2"/>
      <x:c r="R302" s="3">
        <x:v>2</x:v>
      </x:c>
      <x:c r="S302" s="3"/>
      <x:c r="T302" s="2"/>
      <x:c r="U302" s="2"/>
      <x:c r="V302" s="2"/>
      <x:c r="W302" s="2" t="s">
        <x:v>231</x:v>
      </x:c>
      <x:c r="X302" s="3"/>
      <x:c r="Y302" s="3"/>
      <x:c r="Z302" s="2"/>
      <x:c r="AA302" s="2" t="s">
        <x:v>232</x:v>
      </x:c>
      <x:c r="AB302" s="2" t="s">
        <x:v>233</x:v>
      </x:c>
      <x:c r="AC302" s="2"/>
      <x:c r="AD302" s="2"/>
      <x:c r="AE302" s="2"/>
      <x:c r="AF302" s="2"/>
      <x:c r="AG302" s="2"/>
      <x:c r="AH302" s="2"/>
      <x:c r="AI302" s="4"/>
      <x:c r="AJ302" s="2"/>
      <x:c r="AK302" s="2" t="s">
        <x:v>234</x:v>
      </x:c>
      <x:c r="AL302" s="2" t="s">
        <x:v>1274</x:v>
      </x:c>
      <x:c r="AM302" s="2">
        <x:v>2</x:v>
      </x:c>
      <x:c r="AN302" s="2">
        <x:v>2</x:v>
      </x:c>
    </x:row>
    <x:row r="303" ht="39">
      <x:c r="A303" s="2" t="s">
        <x:v>6</x:v>
      </x:c>
      <x:c r="B303" s="2" t="s">
        <x:v>15</x:v>
      </x:c>
      <x:c r="C303" s="3">
        <x:v>1</x:v>
      </x:c>
      <x:c r="D303" s="2" t="s">
        <x:v>236</x:v>
      </x:c>
      <x:c r="E303" s="2" t="s">
        <x:v>223</x:v>
      </x:c>
      <x:c r="F303" s="2" t="s">
        <x:v>237</x:v>
      </x:c>
      <x:c r="G303" s="2"/>
      <x:c r="H303" s="2" t="s">
        <x:v>96</x:v>
      </x:c>
      <x:c r="I303" s="2" t="s">
        <x:v>239</x:v>
      </x:c>
      <x:c r="J303" s="2" t="s">
        <x:v>240</x:v>
      </x:c>
      <x:c r="K303" s="2"/>
      <x:c r="L303" s="2"/>
      <x:c r="M303" s="2"/>
      <x:c r="N303" s="2" t="s">
        <x:v>228</x:v>
      </x:c>
      <x:c r="O303" s="2" t="s">
        <x:v>241</x:v>
      </x:c>
      <x:c r="P303" s="2" t="s">
        <x:v>242</x:v>
      </x:c>
      <x:c r="Q303" s="2"/>
      <x:c r="R303" s="3">
        <x:v>2</x:v>
      </x:c>
      <x:c r="S303" s="3"/>
      <x:c r="T303" s="2"/>
      <x:c r="U303" s="2"/>
      <x:c r="V303" s="2"/>
      <x:c r="W303" s="2" t="s">
        <x:v>231</x:v>
      </x:c>
      <x:c r="X303" s="3"/>
      <x:c r="Y303" s="3"/>
      <x:c r="Z303" s="2"/>
      <x:c r="AA303" s="2" t="s">
        <x:v>243</x:v>
      </x:c>
      <x:c r="AB303" s="2" t="s">
        <x:v>244</x:v>
      </x:c>
      <x:c r="AC303" s="2"/>
      <x:c r="AD303" s="2"/>
      <x:c r="AE303" s="2"/>
      <x:c r="AF303" s="2"/>
      <x:c r="AG303" s="2"/>
      <x:c r="AH303" s="2"/>
      <x:c r="AI303" s="4"/>
      <x:c r="AJ303" s="2"/>
      <x:c r="AK303" s="2" t="s">
        <x:v>234</x:v>
      </x:c>
      <x:c r="AL303" s="2" t="s">
        <x:v>1274</x:v>
      </x:c>
      <x:c r="AM303" s="2">
        <x:v>3</x:v>
      </x:c>
      <x:c r="AN303" s="2">
        <x:v>3</x:v>
      </x:c>
    </x:row>
    <x:row r="304" ht="39">
      <x:c r="A304" s="2" t="s">
        <x:v>6</x:v>
      </x:c>
      <x:c r="B304" s="2" t="s">
        <x:v>15</x:v>
      </x:c>
      <x:c r="C304" s="3">
        <x:v>2</x:v>
      </x:c>
      <x:c r="D304" s="2" t="s">
        <x:v>245</x:v>
      </x:c>
      <x:c r="E304" s="2" t="s">
        <x:v>246</x:v>
      </x:c>
      <x:c r="F304" s="2" t="s">
        <x:v>247</x:v>
      </x:c>
      <x:c r="G304" s="2"/>
      <x:c r="H304" s="2" t="s">
        <x:v>96</x:v>
      </x:c>
      <x:c r="I304" s="2" t="s">
        <x:v>248</x:v>
      </x:c>
      <x:c r="J304" s="2" t="s">
        <x:v>249</x:v>
      </x:c>
      <x:c r="K304" s="2"/>
      <x:c r="L304" s="2"/>
      <x:c r="M304" s="2"/>
      <x:c r="N304" s="2" t="s">
        <x:v>228</x:v>
      </x:c>
      <x:c r="O304" s="2" t="s">
        <x:v>250</x:v>
      </x:c>
      <x:c r="P304" s="2" t="s">
        <x:v>251</x:v>
      </x:c>
      <x:c r="Q304" s="2"/>
      <x:c r="R304" s="3">
        <x:v>2</x:v>
      </x:c>
      <x:c r="S304" s="3"/>
      <x:c r="T304" s="2"/>
      <x:c r="U304" s="2"/>
      <x:c r="V304" s="2"/>
      <x:c r="W304" s="2" t="s">
        <x:v>231</x:v>
      </x:c>
      <x:c r="X304" s="3"/>
      <x:c r="Y304" s="3"/>
      <x:c r="Z304" s="2"/>
      <x:c r="AA304" s="2" t="s">
        <x:v>243</x:v>
      </x:c>
      <x:c r="AB304" s="2" t="s">
        <x:v>244</x:v>
      </x:c>
      <x:c r="AC304" s="2"/>
      <x:c r="AD304" s="2"/>
      <x:c r="AE304" s="2"/>
      <x:c r="AF304" s="2"/>
      <x:c r="AG304" s="2"/>
      <x:c r="AH304" s="2"/>
      <x:c r="AI304" s="4"/>
      <x:c r="AJ304" s="2"/>
      <x:c r="AK304" s="2" t="s">
        <x:v>234</x:v>
      </x:c>
      <x:c r="AL304" s="2" t="s">
        <x:v>1274</x:v>
      </x:c>
      <x:c r="AM304" s="2">
        <x:v>4</x:v>
      </x:c>
      <x:c r="AN304" s="2">
        <x:v>4</x:v>
      </x:c>
    </x:row>
    <x:row r="305" ht="39">
      <x:c r="A305" s="2" t="s">
        <x:v>6</x:v>
      </x:c>
      <x:c r="B305" s="2" t="s">
        <x:v>15</x:v>
      </x:c>
      <x:c r="C305" s="3">
        <x:v>3</x:v>
      </x:c>
      <x:c r="D305" s="2" t="s">
        <x:v>252</x:v>
      </x:c>
      <x:c r="E305" s="2" t="s">
        <x:v>253</x:v>
      </x:c>
      <x:c r="F305" s="2" t="s">
        <x:v>254</x:v>
      </x:c>
      <x:c r="G305" s="2" t="s">
        <x:v>1275</x:v>
      </x:c>
      <x:c r="H305" s="2" t="s">
        <x:v>96</x:v>
      </x:c>
      <x:c r="I305" s="2" t="s">
        <x:v>256</x:v>
      </x:c>
      <x:c r="J305" s="2" t="s">
        <x:v>257</x:v>
      </x:c>
      <x:c r="K305" s="2"/>
      <x:c r="L305" s="2"/>
      <x:c r="M305" s="2"/>
      <x:c r="N305" s="2" t="s">
        <x:v>228</x:v>
      </x:c>
      <x:c r="O305" s="2" t="s">
        <x:v>258</x:v>
      </x:c>
      <x:c r="P305" s="2" t="s">
        <x:v>259</x:v>
      </x:c>
      <x:c r="Q305" s="2"/>
      <x:c r="R305" s="3">
        <x:v>2</x:v>
      </x:c>
      <x:c r="S305" s="3"/>
      <x:c r="T305" s="2"/>
      <x:c r="U305" s="2"/>
      <x:c r="V305" s="2"/>
      <x:c r="W305" s="2" t="s">
        <x:v>231</x:v>
      </x:c>
      <x:c r="X305" s="3"/>
      <x:c r="Y305" s="3"/>
      <x:c r="Z305" s="2"/>
      <x:c r="AA305" s="2" t="s">
        <x:v>232</x:v>
      </x:c>
      <x:c r="AB305" s="2" t="s">
        <x:v>233</x:v>
      </x:c>
      <x:c r="AC305" s="2"/>
      <x:c r="AD305" s="2"/>
      <x:c r="AE305" s="2"/>
      <x:c r="AF305" s="2"/>
      <x:c r="AG305" s="2"/>
      <x:c r="AH305" s="2"/>
      <x:c r="AI305" s="4"/>
      <x:c r="AJ305" s="2"/>
      <x:c r="AK305" s="2" t="s">
        <x:v>234</x:v>
      </x:c>
      <x:c r="AL305" s="2" t="s">
        <x:v>1274</x:v>
      </x:c>
      <x:c r="AM305" s="2">
        <x:v>5</x:v>
      </x:c>
      <x:c r="AN305" s="2">
        <x:v>5</x:v>
      </x:c>
    </x:row>
    <x:row r="306" ht="39">
      <x:c r="A306" s="2" t="s">
        <x:v>91</x:v>
      </x:c>
      <x:c r="B306" s="2" t="s">
        <x:v>15</x:v>
      </x:c>
      <x:c r="C306" s="3">
        <x:v>4</x:v>
      </x:c>
      <x:c r="D306" s="2" t="s">
        <x:v>260</x:v>
      </x:c>
      <x:c r="E306" s="2" t="s">
        <x:v>261</x:v>
      </x:c>
      <x:c r="F306" s="2" t="s">
        <x:v>237</x:v>
      </x:c>
      <x:c r="G306" s="2" t="s">
        <x:v>1276</x:v>
      </x:c>
      <x:c r="H306" s="2" t="s">
        <x:v>96</x:v>
      </x:c>
      <x:c r="I306" s="2" t="s">
        <x:v>263</x:v>
      </x:c>
      <x:c r="J306" s="2" t="s">
        <x:v>264</x:v>
      </x:c>
      <x:c r="K306" s="2"/>
      <x:c r="L306" s="2"/>
      <x:c r="M306" s="2"/>
      <x:c r="N306" s="2" t="s">
        <x:v>228</x:v>
      </x:c>
      <x:c r="O306" s="2" t="s">
        <x:v>265</x:v>
      </x:c>
      <x:c r="P306" s="2" t="s">
        <x:v>266</x:v>
      </x:c>
      <x:c r="Q306" s="2"/>
      <x:c r="R306" s="3">
        <x:v>3</x:v>
      </x:c>
      <x:c r="S306" s="3"/>
      <x:c r="T306" s="2"/>
      <x:c r="U306" s="2"/>
      <x:c r="V306" s="2"/>
      <x:c r="W306" s="2" t="s">
        <x:v>231</x:v>
      </x:c>
      <x:c r="X306" s="3"/>
      <x:c r="Y306" s="3"/>
      <x:c r="Z306" s="2"/>
      <x:c r="AA306" s="2" t="s">
        <x:v>232</x:v>
      </x:c>
      <x:c r="AB306" s="2" t="s">
        <x:v>267</x:v>
      </x:c>
      <x:c r="AC306" s="2"/>
      <x:c r="AD306" s="2"/>
      <x:c r="AE306" s="2"/>
      <x:c r="AF306" s="2"/>
      <x:c r="AG306" s="2"/>
      <x:c r="AH306" s="2"/>
      <x:c r="AI306" s="4"/>
      <x:c r="AJ306" s="2"/>
      <x:c r="AK306" s="2" t="s">
        <x:v>234</x:v>
      </x:c>
      <x:c r="AL306" s="2" t="s">
        <x:v>1274</x:v>
      </x:c>
      <x:c r="AM306" s="2">
        <x:v>6</x:v>
      </x:c>
      <x:c r="AN306" s="2">
        <x:v>6</x:v>
      </x:c>
    </x:row>
    <x:row r="307" ht="39">
      <x:c r="A307" s="2" t="s">
        <x:v>6</x:v>
      </x:c>
      <x:c r="B307" s="2" t="s">
        <x:v>15</x:v>
      </x:c>
      <x:c r="C307" s="3">
        <x:v>5</x:v>
      </x:c>
      <x:c r="D307" s="2" t="s">
        <x:v>268</x:v>
      </x:c>
      <x:c r="E307" s="2" t="s">
        <x:v>269</x:v>
      </x:c>
      <x:c r="F307" s="2" t="s">
        <x:v>224</x:v>
      </x:c>
      <x:c r="G307" s="2"/>
      <x:c r="H307" s="2" t="s">
        <x:v>96</x:v>
      </x:c>
      <x:c r="I307" s="2" t="s">
        <x:v>271</x:v>
      </x:c>
      <x:c r="J307" s="2" t="s">
        <x:v>272</x:v>
      </x:c>
      <x:c r="K307" s="2"/>
      <x:c r="L307" s="2"/>
      <x:c r="M307" s="2"/>
      <x:c r="N307" s="2" t="s">
        <x:v>228</x:v>
      </x:c>
      <x:c r="O307" s="2" t="s">
        <x:v>273</x:v>
      </x:c>
      <x:c r="P307" s="2" t="s">
        <x:v>274</x:v>
      </x:c>
      <x:c r="Q307" s="2"/>
      <x:c r="R307" s="3">
        <x:v>3</x:v>
      </x:c>
      <x:c r="S307" s="3"/>
      <x:c r="T307" s="2"/>
      <x:c r="U307" s="2"/>
      <x:c r="V307" s="2"/>
      <x:c r="W307" s="2" t="s">
        <x:v>231</x:v>
      </x:c>
      <x:c r="X307" s="3"/>
      <x:c r="Y307" s="3"/>
      <x:c r="Z307" s="2"/>
      <x:c r="AA307" s="2" t="s">
        <x:v>275</x:v>
      </x:c>
      <x:c r="AB307" s="2" t="s">
        <x:v>276</x:v>
      </x:c>
      <x:c r="AC307" s="2"/>
      <x:c r="AD307" s="2"/>
      <x:c r="AE307" s="2"/>
      <x:c r="AF307" s="2"/>
      <x:c r="AG307" s="2"/>
      <x:c r="AH307" s="2"/>
      <x:c r="AI307" s="4"/>
      <x:c r="AJ307" s="2"/>
      <x:c r="AK307" s="2" t="s">
        <x:v>234</x:v>
      </x:c>
      <x:c r="AL307" s="2" t="s">
        <x:v>1274</x:v>
      </x:c>
      <x:c r="AM307" s="2">
        <x:v>7</x:v>
      </x:c>
      <x:c r="AN307" s="2">
        <x:v>7</x:v>
      </x:c>
    </x:row>
    <x:row r="308" ht="39">
      <x:c r="A308" s="2" t="s">
        <x:v>91</x:v>
      </x:c>
      <x:c r="B308" s="2" t="s">
        <x:v>15</x:v>
      </x:c>
      <x:c r="C308" s="3">
        <x:v>6</x:v>
      </x:c>
      <x:c r="D308" s="2" t="s">
        <x:v>277</x:v>
      </x:c>
      <x:c r="E308" s="2" t="s">
        <x:v>278</x:v>
      </x:c>
      <x:c r="F308" s="2" t="s">
        <x:v>254</x:v>
      </x:c>
      <x:c r="G308" s="2" t="s">
        <x:v>1277</x:v>
      </x:c>
      <x:c r="H308" s="2" t="s">
        <x:v>96</x:v>
      </x:c>
      <x:c r="I308" s="2" t="s">
        <x:v>280</x:v>
      </x:c>
      <x:c r="J308" s="2" t="s">
        <x:v>281</x:v>
      </x:c>
      <x:c r="K308" s="2"/>
      <x:c r="L308" s="2"/>
      <x:c r="M308" s="2"/>
      <x:c r="N308" s="2" t="s">
        <x:v>228</x:v>
      </x:c>
      <x:c r="O308" s="2" t="s">
        <x:v>282</x:v>
      </x:c>
      <x:c r="P308" s="2" t="s">
        <x:v>283</x:v>
      </x:c>
      <x:c r="Q308" s="2"/>
      <x:c r="R308" s="3">
        <x:v>3</x:v>
      </x:c>
      <x:c r="S308" s="3"/>
      <x:c r="T308" s="2"/>
      <x:c r="U308" s="2"/>
      <x:c r="V308" s="2"/>
      <x:c r="W308" s="2" t="s">
        <x:v>231</x:v>
      </x:c>
      <x:c r="X308" s="3"/>
      <x:c r="Y308" s="3"/>
      <x:c r="Z308" s="2"/>
      <x:c r="AA308" s="2" t="s">
        <x:v>275</x:v>
      </x:c>
      <x:c r="AB308" s="2" t="s">
        <x:v>284</x:v>
      </x:c>
      <x:c r="AC308" s="2"/>
      <x:c r="AD308" s="2"/>
      <x:c r="AE308" s="2"/>
      <x:c r="AF308" s="2"/>
      <x:c r="AG308" s="2"/>
      <x:c r="AH308" s="2"/>
      <x:c r="AI308" s="4"/>
      <x:c r="AJ308" s="2"/>
      <x:c r="AK308" s="2" t="s">
        <x:v>234</x:v>
      </x:c>
      <x:c r="AL308" s="2" t="s">
        <x:v>1274</x:v>
      </x:c>
      <x:c r="AM308" s="2">
        <x:v>8</x:v>
      </x:c>
      <x:c r="AN308" s="2">
        <x:v>8</x:v>
      </x:c>
    </x:row>
    <x:row r="309" ht="39">
      <x:c r="A309" s="2" t="s">
        <x:v>6</x:v>
      </x:c>
      <x:c r="B309" s="2" t="s">
        <x:v>15</x:v>
      </x:c>
      <x:c r="C309" s="3">
        <x:v>7</x:v>
      </x:c>
      <x:c r="D309" s="2" t="s">
        <x:v>285</x:v>
      </x:c>
      <x:c r="E309" s="2" t="s">
        <x:v>286</x:v>
      </x:c>
      <x:c r="F309" s="2" t="s">
        <x:v>247</x:v>
      </x:c>
      <x:c r="G309" s="2" t="s">
        <x:v>1278</x:v>
      </x:c>
      <x:c r="H309" s="2" t="s">
        <x:v>96</x:v>
      </x:c>
      <x:c r="I309" s="2" t="s">
        <x:v>288</x:v>
      </x:c>
      <x:c r="J309" s="2" t="s">
        <x:v>289</x:v>
      </x:c>
      <x:c r="K309" s="2"/>
      <x:c r="L309" s="2"/>
      <x:c r="M309" s="2"/>
      <x:c r="N309" s="2" t="s">
        <x:v>228</x:v>
      </x:c>
      <x:c r="O309" s="2" t="s">
        <x:v>290</x:v>
      </x:c>
      <x:c r="P309" s="2" t="s">
        <x:v>291</x:v>
      </x:c>
      <x:c r="Q309" s="2"/>
      <x:c r="R309" s="3">
        <x:v>3</x:v>
      </x:c>
      <x:c r="S309" s="3"/>
      <x:c r="T309" s="2"/>
      <x:c r="U309" s="2"/>
      <x:c r="V309" s="2"/>
      <x:c r="W309" s="2" t="s">
        <x:v>231</x:v>
      </x:c>
      <x:c r="X309" s="3"/>
      <x:c r="Y309" s="3"/>
      <x:c r="Z309" s="2"/>
      <x:c r="AA309" s="2" t="s">
        <x:v>232</x:v>
      </x:c>
      <x:c r="AB309" s="2" t="s">
        <x:v>292</x:v>
      </x:c>
      <x:c r="AC309" s="2"/>
      <x:c r="AD309" s="2"/>
      <x:c r="AE309" s="2"/>
      <x:c r="AF309" s="2"/>
      <x:c r="AG309" s="2"/>
      <x:c r="AH309" s="2"/>
      <x:c r="AI309" s="4"/>
      <x:c r="AJ309" s="2"/>
      <x:c r="AK309" s="2" t="s">
        <x:v>234</x:v>
      </x:c>
      <x:c r="AL309" s="2" t="s">
        <x:v>1274</x:v>
      </x:c>
      <x:c r="AM309" s="2">
        <x:v>9</x:v>
      </x:c>
      <x:c r="AN309" s="2">
        <x:v>9</x:v>
      </x:c>
    </x:row>
    <x:row r="310" ht="39">
      <x:c r="A310" s="2" t="s">
        <x:v>91</x:v>
      </x:c>
      <x:c r="B310" s="2" t="s">
        <x:v>15</x:v>
      </x:c>
      <x:c r="C310" s="3">
        <x:v>8</x:v>
      </x:c>
      <x:c r="D310" s="2" t="s">
        <x:v>293</x:v>
      </x:c>
      <x:c r="E310" s="2" t="s">
        <x:v>294</x:v>
      </x:c>
      <x:c r="F310" s="2" t="s">
        <x:v>224</x:v>
      </x:c>
      <x:c r="G310" s="2" t="s">
        <x:v>1279</x:v>
      </x:c>
      <x:c r="H310" s="2" t="s">
        <x:v>96</x:v>
      </x:c>
      <x:c r="I310" s="2" t="s">
        <x:v>296</x:v>
      </x:c>
      <x:c r="J310" s="2" t="s">
        <x:v>297</x:v>
      </x:c>
      <x:c r="K310" s="2"/>
      <x:c r="L310" s="2"/>
      <x:c r="M310" s="2"/>
      <x:c r="N310" s="2" t="s">
        <x:v>228</x:v>
      </x:c>
      <x:c r="O310" s="2" t="s">
        <x:v>298</x:v>
      </x:c>
      <x:c r="P310" s="2" t="s">
        <x:v>299</x:v>
      </x:c>
      <x:c r="Q310" s="2"/>
      <x:c r="R310" s="3">
        <x:v>4</x:v>
      </x:c>
      <x:c r="S310" s="3"/>
      <x:c r="T310" s="2"/>
      <x:c r="U310" s="2"/>
      <x:c r="V310" s="2"/>
      <x:c r="W310" s="2" t="s">
        <x:v>231</x:v>
      </x:c>
      <x:c r="X310" s="3"/>
      <x:c r="Y310" s="3"/>
      <x:c r="Z310" s="2"/>
      <x:c r="AA310" s="2" t="s">
        <x:v>232</x:v>
      </x:c>
      <x:c r="AB310" s="2" t="s">
        <x:v>300</x:v>
      </x:c>
      <x:c r="AC310" s="2"/>
      <x:c r="AD310" s="2"/>
      <x:c r="AE310" s="2"/>
      <x:c r="AF310" s="2"/>
      <x:c r="AG310" s="2"/>
      <x:c r="AH310" s="2"/>
      <x:c r="AI310" s="4"/>
      <x:c r="AJ310" s="2"/>
      <x:c r="AK310" s="2" t="s">
        <x:v>234</x:v>
      </x:c>
      <x:c r="AL310" s="2" t="s">
        <x:v>1274</x:v>
      </x:c>
      <x:c r="AM310" s="2">
        <x:v>10</x:v>
      </x:c>
      <x:c r="AN310" s="2">
        <x:v>10</x:v>
      </x:c>
    </x:row>
    <x:row r="311" ht="39">
      <x:c r="A311" s="2" t="s">
        <x:v>91</x:v>
      </x:c>
      <x:c r="B311" s="2" t="s">
        <x:v>15</x:v>
      </x:c>
      <x:c r="C311" s="3">
        <x:v>9</x:v>
      </x:c>
      <x:c r="D311" s="2" t="s">
        <x:v>236</x:v>
      </x:c>
      <x:c r="E311" s="2" t="s">
        <x:v>301</x:v>
      </x:c>
      <x:c r="F311" s="2" t="s">
        <x:v>237</x:v>
      </x:c>
      <x:c r="G311" s="2" t="s">
        <x:v>1280</x:v>
      </x:c>
      <x:c r="H311" s="2" t="s">
        <x:v>96</x:v>
      </x:c>
      <x:c r="I311" s="2" t="s">
        <x:v>303</x:v>
      </x:c>
      <x:c r="J311" s="2" t="s">
        <x:v>304</x:v>
      </x:c>
      <x:c r="K311" s="2"/>
      <x:c r="L311" s="2"/>
      <x:c r="M311" s="2"/>
      <x:c r="N311" s="2" t="s">
        <x:v>228</x:v>
      </x:c>
      <x:c r="O311" s="2" t="s">
        <x:v>305</x:v>
      </x:c>
      <x:c r="P311" s="2" t="s">
        <x:v>306</x:v>
      </x:c>
      <x:c r="Q311" s="2"/>
      <x:c r="R311" s="3">
        <x:v>4</x:v>
      </x:c>
      <x:c r="S311" s="3"/>
      <x:c r="T311" s="2"/>
      <x:c r="U311" s="2"/>
      <x:c r="V311" s="2"/>
      <x:c r="W311" s="2" t="s">
        <x:v>231</x:v>
      </x:c>
      <x:c r="X311" s="3"/>
      <x:c r="Y311" s="3"/>
      <x:c r="Z311" s="2"/>
      <x:c r="AA311" s="2" t="s">
        <x:v>243</x:v>
      </x:c>
      <x:c r="AB311" s="2" t="s">
        <x:v>244</x:v>
      </x:c>
      <x:c r="AC311" s="2"/>
      <x:c r="AD311" s="2"/>
      <x:c r="AE311" s="2"/>
      <x:c r="AF311" s="2"/>
      <x:c r="AG311" s="2"/>
      <x:c r="AH311" s="2"/>
      <x:c r="AI311" s="4"/>
      <x:c r="AJ311" s="2"/>
      <x:c r="AK311" s="2" t="s">
        <x:v>234</x:v>
      </x:c>
      <x:c r="AL311" s="2" t="s">
        <x:v>1274</x:v>
      </x:c>
      <x:c r="AM311" s="2">
        <x:v>11</x:v>
      </x:c>
      <x:c r="AN311" s="2">
        <x:v>11</x:v>
      </x:c>
    </x:row>
    <x:row r="312" ht="39">
      <x:c r="A312" s="2" t="s">
        <x:v>91</x:v>
      </x:c>
      <x:c r="B312" s="2" t="s">
        <x:v>15</x:v>
      </x:c>
      <x:c r="C312" s="3">
        <x:v>10</x:v>
      </x:c>
      <x:c r="D312" s="2" t="s">
        <x:v>1281</x:v>
      </x:c>
      <x:c r="E312" s="2" t="s">
        <x:v>1282</x:v>
      </x:c>
      <x:c r="F312" s="2" t="s">
        <x:v>254</x:v>
      </x:c>
      <x:c r="G312" s="2" t="s">
        <x:v>1283</x:v>
      </x:c>
      <x:c r="H312" s="2" t="s">
        <x:v>96</x:v>
      </x:c>
      <x:c r="I312" s="2" t="s">
        <x:v>1284</x:v>
      </x:c>
      <x:c r="J312" s="2" t="s">
        <x:v>1285</x:v>
      </x:c>
      <x:c r="K312" s="2"/>
      <x:c r="L312" s="2"/>
      <x:c r="M312" s="2"/>
      <x:c r="N312" s="2" t="s">
        <x:v>228</x:v>
      </x:c>
      <x:c r="O312" s="2" t="s">
        <x:v>1286</x:v>
      </x:c>
      <x:c r="P312" s="2" t="s">
        <x:v>1287</x:v>
      </x:c>
      <x:c r="Q312" s="2"/>
      <x:c r="R312" s="3">
        <x:v>4</x:v>
      </x:c>
      <x:c r="S312" s="3"/>
      <x:c r="T312" s="2"/>
      <x:c r="U312" s="2"/>
      <x:c r="V312" s="2"/>
      <x:c r="W312" s="2" t="s">
        <x:v>231</x:v>
      </x:c>
      <x:c r="X312" s="3"/>
      <x:c r="Y312" s="3"/>
      <x:c r="Z312" s="2"/>
      <x:c r="AA312" s="2" t="s">
        <x:v>243</x:v>
      </x:c>
      <x:c r="AB312" s="2" t="s">
        <x:v>244</x:v>
      </x:c>
      <x:c r="AC312" s="2"/>
      <x:c r="AD312" s="2"/>
      <x:c r="AE312" s="2"/>
      <x:c r="AF312" s="2"/>
      <x:c r="AG312" s="2"/>
      <x:c r="AH312" s="2"/>
      <x:c r="AI312" s="4"/>
      <x:c r="AJ312" s="2"/>
      <x:c r="AK312" s="2" t="s">
        <x:v>234</x:v>
      </x:c>
      <x:c r="AL312" s="2" t="s">
        <x:v>1274</x:v>
      </x:c>
      <x:c r="AM312" s="2">
        <x:v>12</x:v>
      </x:c>
      <x:c r="AN312" s="2">
        <x:v>12</x:v>
      </x:c>
    </x:row>
    <x:row r="313" ht="39">
      <x:c r="A313" s="2" t="s">
        <x:v>91</x:v>
      </x:c>
      <x:c r="B313" s="2" t="s">
        <x:v>15</x:v>
      </x:c>
      <x:c r="C313" s="3">
        <x:v>11</x:v>
      </x:c>
      <x:c r="D313" s="2" t="s">
        <x:v>1288</x:v>
      </x:c>
      <x:c r="E313" s="2" t="s">
        <x:v>1289</x:v>
      </x:c>
      <x:c r="F313" s="2" t="s">
        <x:v>247</x:v>
      </x:c>
      <x:c r="G313" s="2" t="s">
        <x:v>1290</x:v>
      </x:c>
      <x:c r="H313" s="2" t="s">
        <x:v>96</x:v>
      </x:c>
      <x:c r="I313" s="2" t="s">
        <x:v>1291</x:v>
      </x:c>
      <x:c r="J313" s="2" t="s">
        <x:v>1292</x:v>
      </x:c>
      <x:c r="K313" s="2"/>
      <x:c r="L313" s="2"/>
      <x:c r="M313" s="2"/>
      <x:c r="N313" s="2" t="s">
        <x:v>228</x:v>
      </x:c>
      <x:c r="O313" s="2" t="s">
        <x:v>1293</x:v>
      </x:c>
      <x:c r="P313" s="2" t="s">
        <x:v>1294</x:v>
      </x:c>
      <x:c r="Q313" s="2"/>
      <x:c r="R313" s="3">
        <x:v>4</x:v>
      </x:c>
      <x:c r="S313" s="3"/>
      <x:c r="T313" s="2"/>
      <x:c r="U313" s="2"/>
      <x:c r="V313" s="2"/>
      <x:c r="W313" s="2" t="s">
        <x:v>231</x:v>
      </x:c>
      <x:c r="X313" s="3"/>
      <x:c r="Y313" s="3"/>
      <x:c r="Z313" s="2"/>
      <x:c r="AA313" s="2" t="s">
        <x:v>232</x:v>
      </x:c>
      <x:c r="AB313" s="2" t="s">
        <x:v>300</x:v>
      </x:c>
      <x:c r="AC313" s="2"/>
      <x:c r="AD313" s="2"/>
      <x:c r="AE313" s="2"/>
      <x:c r="AF313" s="2"/>
      <x:c r="AG313" s="2"/>
      <x:c r="AH313" s="2"/>
      <x:c r="AI313" s="4"/>
      <x:c r="AJ313" s="2"/>
      <x:c r="AK313" s="2" t="s">
        <x:v>234</x:v>
      </x:c>
      <x:c r="AL313" s="2" t="s">
        <x:v>1274</x:v>
      </x:c>
      <x:c r="AM313" s="2">
        <x:v>13</x:v>
      </x:c>
      <x:c r="AN313" s="2">
        <x:v>13</x:v>
      </x:c>
    </x:row>
    <x:row r="314" ht="39">
      <x:c r="A314" s="2" t="s">
        <x:v>91</x:v>
      </x:c>
      <x:c r="B314" s="2" t="s">
        <x:v>15</x:v>
      </x:c>
      <x:c r="C314" s="3">
        <x:v>12</x:v>
      </x:c>
      <x:c r="D314" s="2" t="s">
        <x:v>1295</x:v>
      </x:c>
      <x:c r="E314" s="2" t="s">
        <x:v>1296</x:v>
      </x:c>
      <x:c r="F314" s="2" t="s">
        <x:v>254</x:v>
      </x:c>
      <x:c r="G314" s="2" t="s">
        <x:v>1290</x:v>
      </x:c>
      <x:c r="H314" s="2" t="s">
        <x:v>96</x:v>
      </x:c>
      <x:c r="I314" s="2" t="s">
        <x:v>1297</x:v>
      </x:c>
      <x:c r="J314" s="2" t="s">
        <x:v>1298</x:v>
      </x:c>
      <x:c r="K314" s="2"/>
      <x:c r="L314" s="2"/>
      <x:c r="M314" s="2"/>
      <x:c r="N314" s="2" t="s">
        <x:v>228</x:v>
      </x:c>
      <x:c r="O314" s="2" t="s">
        <x:v>1299</x:v>
      </x:c>
      <x:c r="P314" s="2" t="s">
        <x:v>1300</x:v>
      </x:c>
      <x:c r="Q314" s="2"/>
      <x:c r="R314" s="3">
        <x:v>4</x:v>
      </x:c>
      <x:c r="S314" s="3"/>
      <x:c r="T314" s="2"/>
      <x:c r="U314" s="2"/>
      <x:c r="V314" s="2"/>
      <x:c r="W314" s="2" t="s">
        <x:v>231</x:v>
      </x:c>
      <x:c r="X314" s="3"/>
      <x:c r="Y314" s="3"/>
      <x:c r="Z314" s="2"/>
      <x:c r="AA314" s="2" t="s">
        <x:v>232</x:v>
      </x:c>
      <x:c r="AB314" s="2" t="s">
        <x:v>292</x:v>
      </x:c>
      <x:c r="AC314" s="2"/>
      <x:c r="AD314" s="2"/>
      <x:c r="AE314" s="2"/>
      <x:c r="AF314" s="2"/>
      <x:c r="AG314" s="2"/>
      <x:c r="AH314" s="2"/>
      <x:c r="AI314" s="4"/>
      <x:c r="AJ314" s="2"/>
      <x:c r="AK314" s="2" t="s">
        <x:v>234</x:v>
      </x:c>
      <x:c r="AL314" s="2" t="s">
        <x:v>1274</x:v>
      </x:c>
      <x:c r="AM314" s="2">
        <x:v>14</x:v>
      </x:c>
      <x:c r="AN314" s="2">
        <x:v>14</x:v>
      </x:c>
    </x:row>
    <x:row r="315" ht="39">
      <x:c r="A315" s="2" t="s">
        <x:v>91</x:v>
      </x:c>
      <x:c r="B315" s="2" t="s">
        <x:v>15</x:v>
      </x:c>
      <x:c r="C315" s="3">
        <x:v>13</x:v>
      </x:c>
      <x:c r="D315" s="2" t="s">
        <x:v>1301</x:v>
      </x:c>
      <x:c r="E315" s="2" t="s">
        <x:v>1302</x:v>
      </x:c>
      <x:c r="F315" s="2" t="s">
        <x:v>247</x:v>
      </x:c>
      <x:c r="G315" s="2" t="s">
        <x:v>1303</x:v>
      </x:c>
      <x:c r="H315" s="2" t="s">
        <x:v>96</x:v>
      </x:c>
      <x:c r="I315" s="2" t="s">
        <x:v>1304</x:v>
      </x:c>
      <x:c r="J315" s="2" t="s">
        <x:v>1305</x:v>
      </x:c>
      <x:c r="K315" s="2"/>
      <x:c r="L315" s="2"/>
      <x:c r="M315" s="2"/>
      <x:c r="N315" s="2" t="s">
        <x:v>228</x:v>
      </x:c>
      <x:c r="O315" s="2" t="s">
        <x:v>1306</x:v>
      </x:c>
      <x:c r="P315" s="2" t="s">
        <x:v>1307</x:v>
      </x:c>
      <x:c r="Q315" s="2"/>
      <x:c r="R315" s="3">
        <x:v>4</x:v>
      </x:c>
      <x:c r="S315" s="3"/>
      <x:c r="T315" s="2"/>
      <x:c r="U315" s="2"/>
      <x:c r="V315" s="2"/>
      <x:c r="W315" s="2" t="s">
        <x:v>231</x:v>
      </x:c>
      <x:c r="X315" s="3"/>
      <x:c r="Y315" s="3"/>
      <x:c r="Z315" s="2"/>
      <x:c r="AA315" s="2" t="s">
        <x:v>243</x:v>
      </x:c>
      <x:c r="AB315" s="2" t="s">
        <x:v>267</x:v>
      </x:c>
      <x:c r="AC315" s="2"/>
      <x:c r="AD315" s="2"/>
      <x:c r="AE315" s="2"/>
      <x:c r="AF315" s="2"/>
      <x:c r="AG315" s="2"/>
      <x:c r="AH315" s="2"/>
      <x:c r="AI315" s="4"/>
      <x:c r="AJ315" s="2"/>
      <x:c r="AK315" s="2" t="s">
        <x:v>234</x:v>
      </x:c>
      <x:c r="AL315" s="2" t="s">
        <x:v>1274</x:v>
      </x:c>
      <x:c r="AM315" s="2">
        <x:v>15</x:v>
      </x:c>
      <x:c r="AN315" s="2">
        <x:v>15</x:v>
      </x:c>
    </x:row>
    <x:row r="316" ht="39">
      <x:c r="A316" s="2" t="s">
        <x:v>6</x:v>
      </x:c>
      <x:c r="B316" s="2" t="s">
        <x:v>15</x:v>
      </x:c>
      <x:c r="C316" s="3">
        <x:v>14</x:v>
      </x:c>
      <x:c r="D316" s="2" t="s">
        <x:v>1308</x:v>
      </x:c>
      <x:c r="E316" s="2" t="s">
        <x:v>1309</x:v>
      </x:c>
      <x:c r="F316" s="2" t="s">
        <x:v>247</x:v>
      </x:c>
      <x:c r="G316" s="2"/>
      <x:c r="H316" s="2" t="s">
        <x:v>96</x:v>
      </x:c>
      <x:c r="I316" s="2" t="s">
        <x:v>1310</x:v>
      </x:c>
      <x:c r="J316" s="2" t="s">
        <x:v>1311</x:v>
      </x:c>
      <x:c r="K316" s="2"/>
      <x:c r="L316" s="2"/>
      <x:c r="M316" s="2"/>
      <x:c r="N316" s="2" t="s">
        <x:v>228</x:v>
      </x:c>
      <x:c r="O316" s="2" t="s">
        <x:v>1312</x:v>
      </x:c>
      <x:c r="P316" s="2" t="s">
        <x:v>1313</x:v>
      </x:c>
      <x:c r="Q316" s="2"/>
      <x:c r="R316" s="3">
        <x:v>4</x:v>
      </x:c>
      <x:c r="S316" s="3"/>
      <x:c r="T316" s="2"/>
      <x:c r="U316" s="2"/>
      <x:c r="V316" s="2"/>
      <x:c r="W316" s="2" t="s">
        <x:v>231</x:v>
      </x:c>
      <x:c r="X316" s="3"/>
      <x:c r="Y316" s="3"/>
      <x:c r="Z316" s="2"/>
      <x:c r="AA316" s="2" t="s">
        <x:v>1314</x:v>
      </x:c>
      <x:c r="AB316" s="2" t="s">
        <x:v>1315</x:v>
      </x:c>
      <x:c r="AC316" s="2"/>
      <x:c r="AD316" s="2"/>
      <x:c r="AE316" s="2"/>
      <x:c r="AF316" s="2"/>
      <x:c r="AG316" s="2"/>
      <x:c r="AH316" s="2"/>
      <x:c r="AI316" s="4"/>
      <x:c r="AJ316" s="2"/>
      <x:c r="AK316" s="2" t="s">
        <x:v>234</x:v>
      </x:c>
      <x:c r="AL316" s="2" t="s">
        <x:v>1274</x:v>
      </x:c>
      <x:c r="AM316" s="2">
        <x:v>16</x:v>
      </x:c>
      <x:c r="AN316" s="2">
        <x:v>16</x:v>
      </x:c>
    </x:row>
    <x:row r="317" ht="39">
      <x:c r="A317" s="2" t="s">
        <x:v>91</x:v>
      </x:c>
      <x:c r="B317" s="2" t="s">
        <x:v>15</x:v>
      </x:c>
      <x:c r="C317" s="3">
        <x:v>15</x:v>
      </x:c>
      <x:c r="D317" s="2" t="s">
        <x:v>1316</x:v>
      </x:c>
      <x:c r="E317" s="2" t="s">
        <x:v>1317</x:v>
      </x:c>
      <x:c r="F317" s="2" t="s">
        <x:v>237</x:v>
      </x:c>
      <x:c r="G317" s="2" t="s">
        <x:v>1280</x:v>
      </x:c>
      <x:c r="H317" s="2" t="s">
        <x:v>96</x:v>
      </x:c>
      <x:c r="I317" s="2" t="s">
        <x:v>1318</x:v>
      </x:c>
      <x:c r="J317" s="2" t="s">
        <x:v>1319</x:v>
      </x:c>
      <x:c r="K317" s="2"/>
      <x:c r="L317" s="2"/>
      <x:c r="M317" s="2"/>
      <x:c r="N317" s="2" t="s">
        <x:v>228</x:v>
      </x:c>
      <x:c r="O317" s="2" t="s">
        <x:v>1320</x:v>
      </x:c>
      <x:c r="P317" s="2" t="s">
        <x:v>1321</x:v>
      </x:c>
      <x:c r="Q317" s="2"/>
      <x:c r="R317" s="3">
        <x:v>4</x:v>
      </x:c>
      <x:c r="S317" s="3"/>
      <x:c r="T317" s="2"/>
      <x:c r="U317" s="2"/>
      <x:c r="V317" s="2"/>
      <x:c r="W317" s="2" t="s">
        <x:v>231</x:v>
      </x:c>
      <x:c r="X317" s="3"/>
      <x:c r="Y317" s="3"/>
      <x:c r="Z317" s="2"/>
      <x:c r="AA317" s="2" t="s">
        <x:v>275</x:v>
      </x:c>
      <x:c r="AB317" s="2" t="s">
        <x:v>233</x:v>
      </x:c>
      <x:c r="AC317" s="2"/>
      <x:c r="AD317" s="2"/>
      <x:c r="AE317" s="2"/>
      <x:c r="AF317" s="2"/>
      <x:c r="AG317" s="2"/>
      <x:c r="AH317" s="2"/>
      <x:c r="AI317" s="4"/>
      <x:c r="AJ317" s="2"/>
      <x:c r="AK317" s="2" t="s">
        <x:v>234</x:v>
      </x:c>
      <x:c r="AL317" s="2" t="s">
        <x:v>1274</x:v>
      </x:c>
      <x:c r="AM317" s="2">
        <x:v>17</x:v>
      </x:c>
      <x:c r="AN317" s="2">
        <x:v>17</x:v>
      </x:c>
    </x:row>
    <x:row r="318" ht="39">
      <x:c r="A318" s="2" t="s">
        <x:v>91</x:v>
      </x:c>
      <x:c r="B318" s="2" t="s">
        <x:v>15</x:v>
      </x:c>
      <x:c r="C318" s="3">
        <x:v>16</x:v>
      </x:c>
      <x:c r="D318" s="2" t="s">
        <x:v>1322</x:v>
      </x:c>
      <x:c r="E318" s="2" t="s">
        <x:v>1323</x:v>
      </x:c>
      <x:c r="F318" s="2" t="s">
        <x:v>254</x:v>
      </x:c>
      <x:c r="G318" s="2" t="s">
        <x:v>1324</x:v>
      </x:c>
      <x:c r="H318" s="2" t="s">
        <x:v>96</x:v>
      </x:c>
      <x:c r="I318" s="2" t="s">
        <x:v>1325</x:v>
      </x:c>
      <x:c r="J318" s="2" t="s">
        <x:v>1326</x:v>
      </x:c>
      <x:c r="K318" s="2"/>
      <x:c r="L318" s="2"/>
      <x:c r="M318" s="2"/>
      <x:c r="N318" s="2" t="s">
        <x:v>228</x:v>
      </x:c>
      <x:c r="O318" s="2" t="s">
        <x:v>1327</x:v>
      </x:c>
      <x:c r="P318" s="2" t="s">
        <x:v>1328</x:v>
      </x:c>
      <x:c r="Q318" s="2"/>
      <x:c r="R318" s="3">
        <x:v>4</x:v>
      </x:c>
      <x:c r="S318" s="3"/>
      <x:c r="T318" s="2"/>
      <x:c r="U318" s="2"/>
      <x:c r="V318" s="2"/>
      <x:c r="W318" s="2" t="s">
        <x:v>231</x:v>
      </x:c>
      <x:c r="X318" s="3"/>
      <x:c r="Y318" s="3"/>
      <x:c r="Z318" s="2"/>
      <x:c r="AA318" s="2" t="s">
        <x:v>275</x:v>
      </x:c>
      <x:c r="AB318" s="2" t="s">
        <x:v>284</x:v>
      </x:c>
      <x:c r="AC318" s="2"/>
      <x:c r="AD318" s="2"/>
      <x:c r="AE318" s="2"/>
      <x:c r="AF318" s="2"/>
      <x:c r="AG318" s="2"/>
      <x:c r="AH318" s="2"/>
      <x:c r="AI318" s="4"/>
      <x:c r="AJ318" s="2"/>
      <x:c r="AK318" s="2" t="s">
        <x:v>234</x:v>
      </x:c>
      <x:c r="AL318" s="2" t="s">
        <x:v>1274</x:v>
      </x:c>
      <x:c r="AM318" s="2">
        <x:v>18</x:v>
      </x:c>
      <x:c r="AN318" s="2">
        <x:v>18</x:v>
      </x:c>
    </x:row>
    <x:row r="319" ht="39">
      <x:c r="A319" s="2" t="s">
        <x:v>6</x:v>
      </x:c>
      <x:c r="B319" s="2" t="s">
        <x:v>15</x:v>
      </x:c>
      <x:c r="C319" s="3">
        <x:v>17</x:v>
      </x:c>
      <x:c r="D319" s="2" t="s">
        <x:v>1329</x:v>
      </x:c>
      <x:c r="E319" s="2" t="s">
        <x:v>1330</x:v>
      </x:c>
      <x:c r="F319" s="2" t="s">
        <x:v>224</x:v>
      </x:c>
      <x:c r="G319" s="2"/>
      <x:c r="H319" s="2" t="s">
        <x:v>96</x:v>
      </x:c>
      <x:c r="I319" s="2" t="s">
        <x:v>1331</x:v>
      </x:c>
      <x:c r="J319" s="2" t="s">
        <x:v>1332</x:v>
      </x:c>
      <x:c r="K319" s="2"/>
      <x:c r="L319" s="2"/>
      <x:c r="M319" s="2"/>
      <x:c r="N319" s="2" t="s">
        <x:v>228</x:v>
      </x:c>
      <x:c r="O319" s="2" t="s">
        <x:v>1333</x:v>
      </x:c>
      <x:c r="P319" s="2" t="s">
        <x:v>1334</x:v>
      </x:c>
      <x:c r="Q319" s="2"/>
      <x:c r="R319" s="3">
        <x:v>4</x:v>
      </x:c>
      <x:c r="S319" s="3"/>
      <x:c r="T319" s="2"/>
      <x:c r="U319" s="2"/>
      <x:c r="V319" s="2"/>
      <x:c r="W319" s="2" t="s">
        <x:v>231</x:v>
      </x:c>
      <x:c r="X319" s="3"/>
      <x:c r="Y319" s="3"/>
      <x:c r="Z319" s="2"/>
      <x:c r="AA319" s="2" t="s">
        <x:v>1314</x:v>
      </x:c>
      <x:c r="AB319" s="2" t="s">
        <x:v>276</x:v>
      </x:c>
      <x:c r="AC319" s="2"/>
      <x:c r="AD319" s="2"/>
      <x:c r="AE319" s="2"/>
      <x:c r="AF319" s="2"/>
      <x:c r="AG319" s="2"/>
      <x:c r="AH319" s="2"/>
      <x:c r="AI319" s="4"/>
      <x:c r="AJ319" s="2"/>
      <x:c r="AK319" s="2" t="s">
        <x:v>234</x:v>
      </x:c>
      <x:c r="AL319" s="2" t="s">
        <x:v>1274</x:v>
      </x:c>
      <x:c r="AM319" s="2">
        <x:v>19</x:v>
      </x:c>
      <x:c r="AN319" s="2">
        <x:v>19</x:v>
      </x:c>
    </x:row>
    <x:row r="320" ht="39">
      <x:c r="A320" s="2" t="s">
        <x:v>6</x:v>
      </x:c>
      <x:c r="B320" s="2" t="s">
        <x:v>15</x:v>
      </x:c>
      <x:c r="C320" s="3">
        <x:v>18</x:v>
      </x:c>
      <x:c r="D320" s="2" t="s">
        <x:v>1335</x:v>
      </x:c>
      <x:c r="E320" s="2" t="s">
        <x:v>1289</x:v>
      </x:c>
      <x:c r="F320" s="2" t="s">
        <x:v>224</x:v>
      </x:c>
      <x:c r="G320" s="2"/>
      <x:c r="H320" s="2" t="s">
        <x:v>96</x:v>
      </x:c>
      <x:c r="I320" s="2" t="s">
        <x:v>1336</x:v>
      </x:c>
      <x:c r="J320" s="2" t="s">
        <x:v>1337</x:v>
      </x:c>
      <x:c r="K320" s="2"/>
      <x:c r="L320" s="2"/>
      <x:c r="M320" s="2"/>
      <x:c r="N320" s="2" t="s">
        <x:v>228</x:v>
      </x:c>
      <x:c r="O320" s="2" t="s">
        <x:v>1338</x:v>
      </x:c>
      <x:c r="P320" s="2" t="s">
        <x:v>1339</x:v>
      </x:c>
      <x:c r="Q320" s="2"/>
      <x:c r="R320" s="3">
        <x:v>4</x:v>
      </x:c>
      <x:c r="S320" s="3"/>
      <x:c r="T320" s="2"/>
      <x:c r="U320" s="2"/>
      <x:c r="V320" s="2"/>
      <x:c r="W320" s="2" t="s">
        <x:v>231</x:v>
      </x:c>
      <x:c r="X320" s="3"/>
      <x:c r="Y320" s="3"/>
      <x:c r="Z320" s="2"/>
      <x:c r="AA320" s="2" t="s">
        <x:v>1314</x:v>
      </x:c>
      <x:c r="AB320" s="2" t="s">
        <x:v>276</x:v>
      </x:c>
      <x:c r="AC320" s="2"/>
      <x:c r="AD320" s="2"/>
      <x:c r="AE320" s="2"/>
      <x:c r="AF320" s="2"/>
      <x:c r="AG320" s="2"/>
      <x:c r="AH320" s="2"/>
      <x:c r="AI320" s="4"/>
      <x:c r="AJ320" s="2"/>
      <x:c r="AK320" s="2" t="s">
        <x:v>234</x:v>
      </x:c>
      <x:c r="AL320" s="2" t="s">
        <x:v>1274</x:v>
      </x:c>
      <x:c r="AM320" s="2">
        <x:v>20</x:v>
      </x:c>
      <x:c r="AN320" s="2">
        <x:v>20</x:v>
      </x:c>
    </x:row>
    <x:row r="321" ht="39">
      <x:c r="A321" s="2" t="s">
        <x:v>6</x:v>
      </x:c>
      <x:c r="B321" s="2" t="s">
        <x:v>15</x:v>
      </x:c>
      <x:c r="C321" s="3">
        <x:v>19</x:v>
      </x:c>
      <x:c r="D321" s="2" t="s">
        <x:v>1340</x:v>
      </x:c>
      <x:c r="E321" s="2" t="s">
        <x:v>1341</x:v>
      </x:c>
      <x:c r="F321" s="2" t="s">
        <x:v>237</x:v>
      </x:c>
      <x:c r="G321" s="2"/>
      <x:c r="H321" s="2" t="s">
        <x:v>96</x:v>
      </x:c>
      <x:c r="I321" s="2" t="s">
        <x:v>1342</x:v>
      </x:c>
      <x:c r="J321" s="2" t="s">
        <x:v>1343</x:v>
      </x:c>
      <x:c r="K321" s="2"/>
      <x:c r="L321" s="2"/>
      <x:c r="M321" s="2"/>
      <x:c r="N321" s="2" t="s">
        <x:v>228</x:v>
      </x:c>
      <x:c r="O321" s="2" t="s">
        <x:v>1344</x:v>
      </x:c>
      <x:c r="P321" s="2" t="s">
        <x:v>1345</x:v>
      </x:c>
      <x:c r="Q321" s="2"/>
      <x:c r="R321" s="3">
        <x:v>4</x:v>
      </x:c>
      <x:c r="S321" s="3"/>
      <x:c r="T321" s="2"/>
      <x:c r="U321" s="2"/>
      <x:c r="V321" s="2"/>
      <x:c r="W321" s="2" t="s">
        <x:v>231</x:v>
      </x:c>
      <x:c r="X321" s="3"/>
      <x:c r="Y321" s="3"/>
      <x:c r="Z321" s="2"/>
      <x:c r="AA321" s="2" t="s">
        <x:v>275</x:v>
      </x:c>
      <x:c r="AB321" s="2" t="s">
        <x:v>284</x:v>
      </x:c>
      <x:c r="AC321" s="2"/>
      <x:c r="AD321" s="2"/>
      <x:c r="AE321" s="2"/>
      <x:c r="AF321" s="2"/>
      <x:c r="AG321" s="2"/>
      <x:c r="AH321" s="2"/>
      <x:c r="AI321" s="4"/>
      <x:c r="AJ321" s="2"/>
      <x:c r="AK321" s="2" t="s">
        <x:v>234</x:v>
      </x:c>
      <x:c r="AL321" s="2" t="s">
        <x:v>1274</x:v>
      </x:c>
      <x:c r="AM321" s="2">
        <x:v>21</x:v>
      </x:c>
      <x:c r="AN321" s="2">
        <x:v>21</x:v>
      </x:c>
    </x:row>
    <x:row r="322" ht="52">
      <x:c r="A322" s="2" t="s">
        <x:v>91</x:v>
      </x:c>
      <x:c r="B322" s="2" t="s">
        <x:v>15</x:v>
      </x:c>
      <x:c r="C322" s="3">
        <x:v>20</x:v>
      </x:c>
      <x:c r="D322" s="2" t="s">
        <x:v>1346</x:v>
      </x:c>
      <x:c r="E322" s="2" t="s">
        <x:v>1347</x:v>
      </x:c>
      <x:c r="F322" s="2" t="s">
        <x:v>237</x:v>
      </x:c>
      <x:c r="G322" s="2" t="s">
        <x:v>1277</x:v>
      </x:c>
      <x:c r="H322" s="2" t="s">
        <x:v>618</x:v>
      </x:c>
      <x:c r="I322" s="2" t="s">
        <x:v>1348</x:v>
      </x:c>
      <x:c r="J322" s="2" t="s">
        <x:v>1349</x:v>
      </x:c>
      <x:c r="K322" s="2"/>
      <x:c r="L322" s="2"/>
      <x:c r="M322" s="2"/>
      <x:c r="N322" s="2" t="s">
        <x:v>1350</x:v>
      </x:c>
      <x:c r="O322" s="2" t="s">
        <x:v>1351</x:v>
      </x:c>
      <x:c r="P322" s="2" t="s">
        <x:v>1352</x:v>
      </x:c>
      <x:c r="Q322" s="2"/>
      <x:c r="R322" s="3">
        <x:v>2</x:v>
      </x:c>
      <x:c r="S322" s="3"/>
      <x:c r="T322" s="2"/>
      <x:c r="U322" s="2"/>
      <x:c r="V322" s="2"/>
      <x:c r="W322" s="2" t="s">
        <x:v>1348</x:v>
      </x:c>
      <x:c r="X322" s="3"/>
      <x:c r="Y322" s="3"/>
      <x:c r="Z322" s="2"/>
      <x:c r="AA322" s="2" t="s">
        <x:v>232</x:v>
      </x:c>
      <x:c r="AB322" s="2" t="s">
        <x:v>292</x:v>
      </x:c>
      <x:c r="AC322" s="2"/>
      <x:c r="AD322" s="2"/>
      <x:c r="AE322" s="2"/>
      <x:c r="AF322" s="2"/>
      <x:c r="AG322" s="2"/>
      <x:c r="AH322" s="2"/>
      <x:c r="AI322" s="4"/>
      <x:c r="AJ322" s="2"/>
      <x:c r="AK322" s="2" t="s">
        <x:v>234</x:v>
      </x:c>
      <x:c r="AL322" s="2" t="s">
        <x:v>1274</x:v>
      </x:c>
      <x:c r="AM322" s="2">
        <x:v>22</x:v>
      </x:c>
      <x:c r="AN322" s="2">
        <x:v>22</x:v>
      </x:c>
    </x:row>
    <x:row r="323" ht="52">
      <x:c r="A323" s="2" t="s">
        <x:v>6</x:v>
      </x:c>
      <x:c r="B323" s="2" t="s">
        <x:v>15</x:v>
      </x:c>
      <x:c r="C323" s="3">
        <x:v>21</x:v>
      </x:c>
      <x:c r="D323" s="2" t="s">
        <x:v>1353</x:v>
      </x:c>
      <x:c r="E323" s="2" t="s">
        <x:v>1347</x:v>
      </x:c>
      <x:c r="F323" s="2" t="s">
        <x:v>237</x:v>
      </x:c>
      <x:c r="G323" s="2"/>
      <x:c r="H323" s="2" t="s">
        <x:v>627</x:v>
      </x:c>
      <x:c r="I323" s="2" t="s">
        <x:v>1348</x:v>
      </x:c>
      <x:c r="J323" s="2" t="s">
        <x:v>1354</x:v>
      </x:c>
      <x:c r="K323" s="2" t="n">
        <x:v>20</x:v>
      </x:c>
      <x:c r="L323" s="2"/>
      <x:c r="M323" s="2"/>
      <x:c r="N323" s="2" t="s">
        <x:v>1350</x:v>
      </x:c>
      <x:c r="O323" s="2" t="s">
        <x:v>1355</x:v>
      </x:c>
      <x:c r="P323" s="2" t="s">
        <x:v>1356</x:v>
      </x:c>
      <x:c r="Q323" s="2"/>
      <x:c r="R323" s="3">
        <x:v>2</x:v>
      </x:c>
      <x:c r="S323" s="3"/>
      <x:c r="T323" s="2"/>
      <x:c r="U323" s="2"/>
      <x:c r="V323" s="2"/>
      <x:c r="W323" s="2" t="s">
        <x:v>1348</x:v>
      </x:c>
      <x:c r="X323" s="3"/>
      <x:c r="Y323" s="3"/>
      <x:c r="Z323" s="2"/>
      <x:c r="AA323" s="2" t="s">
        <x:v>232</x:v>
      </x:c>
      <x:c r="AB323" s="2" t="s">
        <x:v>1357</x:v>
      </x:c>
      <x:c r="AC323" s="2"/>
      <x:c r="AD323" s="2"/>
      <x:c r="AE323" s="2"/>
      <x:c r="AF323" s="2"/>
      <x:c r="AG323" s="2"/>
      <x:c r="AH323" s="2"/>
      <x:c r="AI323" s="4"/>
      <x:c r="AJ323" s="2"/>
      <x:c r="AK323" s="2" t="s">
        <x:v>234</x:v>
      </x:c>
      <x:c r="AL323" s="2" t="s">
        <x:v>1274</x:v>
      </x:c>
      <x:c r="AM323" s="2">
        <x:v>23</x:v>
      </x:c>
      <x:c r="AN323" s="2">
        <x:v>23</x:v>
      </x:c>
    </x:row>
    <x:row r="324" ht="39">
      <x:c r="A324" s="2" t="s">
        <x:v>91</x:v>
      </x:c>
      <x:c r="B324" s="2" t="s">
        <x:v>15</x:v>
      </x:c>
      <x:c r="C324" s="3">
        <x:v>22</x:v>
      </x:c>
      <x:c r="D324" s="2" t="s">
        <x:v>1358</x:v>
      </x:c>
      <x:c r="E324" s="2" t="s">
        <x:v>1347</x:v>
      </x:c>
      <x:c r="F324" s="2" t="s">
        <x:v>237</x:v>
      </x:c>
      <x:c r="G324" s="2" t="s">
        <x:v>1277</x:v>
      </x:c>
      <x:c r="H324" s="2" t="s">
        <x:v>634</x:v>
      </x:c>
      <x:c r="I324" s="2" t="s">
        <x:v>1348</x:v>
      </x:c>
      <x:c r="J324" s="2" t="s">
        <x:v>1359</x:v>
      </x:c>
      <x:c r="K324" s="2" t="n">
        <x:v>20</x:v>
      </x:c>
      <x:c r="L324" s="2"/>
      <x:c r="M324" s="2"/>
      <x:c r="N324" s="2" t="s">
        <x:v>1350</x:v>
      </x:c>
      <x:c r="O324" s="2" t="s">
        <x:v>1355</x:v>
      </x:c>
      <x:c r="P324" s="2" t="s">
        <x:v>1360</x:v>
      </x:c>
      <x:c r="Q324" s="2"/>
      <x:c r="R324" s="3">
        <x:v>2</x:v>
      </x:c>
      <x:c r="S324" s="3"/>
      <x:c r="T324" s="2"/>
      <x:c r="U324" s="2"/>
      <x:c r="V324" s="2"/>
      <x:c r="W324" s="2" t="s">
        <x:v>1348</x:v>
      </x:c>
      <x:c r="X324" s="3"/>
      <x:c r="Y324" s="3"/>
      <x:c r="Z324" s="2"/>
      <x:c r="AA324" s="2" t="s">
        <x:v>232</x:v>
      </x:c>
      <x:c r="AB324" s="2" t="s">
        <x:v>1361</x:v>
      </x:c>
      <x:c r="AC324" s="2"/>
      <x:c r="AD324" s="2"/>
      <x:c r="AE324" s="2"/>
      <x:c r="AF324" s="2"/>
      <x:c r="AG324" s="2"/>
      <x:c r="AH324" s="2"/>
      <x:c r="AI324" s="4"/>
      <x:c r="AJ324" s="2"/>
      <x:c r="AK324" s="2" t="s">
        <x:v>234</x:v>
      </x:c>
      <x:c r="AL324" s="2" t="s">
        <x:v>1274</x:v>
      </x:c>
      <x:c r="AM324" s="2">
        <x:v>24</x:v>
      </x:c>
      <x:c r="AN324" s="2">
        <x:v>24</x:v>
      </x:c>
    </x:row>
    <x:row r="325" ht="39">
      <x:c r="A325" s="2" t="s">
        <x:v>6</x:v>
      </x:c>
      <x:c r="B325" s="2" t="s">
        <x:v>15</x:v>
      </x:c>
      <x:c r="C325" s="3">
        <x:v>23</x:v>
      </x:c>
      <x:c r="D325" s="2" t="s">
        <x:v>1362</x:v>
      </x:c>
      <x:c r="E325" s="2" t="s">
        <x:v>1347</x:v>
      </x:c>
      <x:c r="F325" s="2" t="s">
        <x:v>237</x:v>
      </x:c>
      <x:c r="G325" s="2"/>
      <x:c r="H325" s="2" t="s">
        <x:v>634</x:v>
      </x:c>
      <x:c r="I325" s="2" t="s">
        <x:v>1348</x:v>
      </x:c>
      <x:c r="J325" s="2" t="s">
        <x:v>1363</x:v>
      </x:c>
      <x:c r="K325" s="2" t="n">
        <x:v>20</x:v>
      </x:c>
      <x:c r="L325" s="2"/>
      <x:c r="M325" s="2"/>
      <x:c r="N325" s="2" t="s">
        <x:v>1350</x:v>
      </x:c>
      <x:c r="O325" s="2" t="s">
        <x:v>1355</x:v>
      </x:c>
      <x:c r="P325" s="2" t="s">
        <x:v>1364</x:v>
      </x:c>
      <x:c r="Q325" s="2"/>
      <x:c r="R325" s="3">
        <x:v>2</x:v>
      </x:c>
      <x:c r="S325" s="3"/>
      <x:c r="T325" s="2"/>
      <x:c r="U325" s="2"/>
      <x:c r="V325" s="2"/>
      <x:c r="W325" s="2" t="s">
        <x:v>1348</x:v>
      </x:c>
      <x:c r="X325" s="3"/>
      <x:c r="Y325" s="3"/>
      <x:c r="Z325" s="2"/>
      <x:c r="AA325" s="2" t="s">
        <x:v>232</x:v>
      </x:c>
      <x:c r="AB325" s="2" t="s">
        <x:v>1365</x:v>
      </x:c>
      <x:c r="AC325" s="2"/>
      <x:c r="AD325" s="2"/>
      <x:c r="AE325" s="2"/>
      <x:c r="AF325" s="2"/>
      <x:c r="AG325" s="2"/>
      <x:c r="AH325" s="2"/>
      <x:c r="AI325" s="4"/>
      <x:c r="AJ325" s="2"/>
      <x:c r="AK325" s="2" t="s">
        <x:v>234</x:v>
      </x:c>
      <x:c r="AL325" s="2" t="s">
        <x:v>1274</x:v>
      </x:c>
      <x:c r="AM325" s="2">
        <x:v>25</x:v>
      </x:c>
      <x:c r="AN325" s="2">
        <x:v>25</x:v>
      </x:c>
    </x:row>
    <x:row r="326" ht="39">
      <x:c r="A326" s="2" t="s">
        <x:v>6</x:v>
      </x:c>
      <x:c r="B326" s="2" t="s">
        <x:v>15</x:v>
      </x:c>
      <x:c r="C326" s="3">
        <x:v>24</x:v>
      </x:c>
      <x:c r="D326" s="2" t="s">
        <x:v>1366</x:v>
      </x:c>
      <x:c r="E326" s="2" t="s">
        <x:v>1347</x:v>
      </x:c>
      <x:c r="F326" s="2" t="s">
        <x:v>224</x:v>
      </x:c>
      <x:c r="G326" s="2"/>
      <x:c r="H326" s="2" t="s">
        <x:v>634</x:v>
      </x:c>
      <x:c r="I326" s="2" t="s">
        <x:v>1348</x:v>
      </x:c>
      <x:c r="J326" s="2" t="s">
        <x:v>1363</x:v>
      </x:c>
      <x:c r="K326" s="2" t="n">
        <x:v>20</x:v>
      </x:c>
      <x:c r="L326" s="2"/>
      <x:c r="M326" s="2"/>
      <x:c r="N326" s="2" t="s">
        <x:v>1350</x:v>
      </x:c>
      <x:c r="O326" s="2" t="s">
        <x:v>1355</x:v>
      </x:c>
      <x:c r="P326" s="2" t="s">
        <x:v>1364</x:v>
      </x:c>
      <x:c r="Q326" s="2"/>
      <x:c r="R326" s="3">
        <x:v>2</x:v>
      </x:c>
      <x:c r="S326" s="3"/>
      <x:c r="T326" s="2"/>
      <x:c r="U326" s="2"/>
      <x:c r="V326" s="2"/>
      <x:c r="W326" s="2" t="s">
        <x:v>1348</x:v>
      </x:c>
      <x:c r="X326" s="3"/>
      <x:c r="Y326" s="3"/>
      <x:c r="Z326" s="2"/>
      <x:c r="AA326" s="2" t="s">
        <x:v>243</x:v>
      </x:c>
      <x:c r="AB326" s="2" t="s">
        <x:v>1365</x:v>
      </x:c>
      <x:c r="AC326" s="2"/>
      <x:c r="AD326" s="2"/>
      <x:c r="AE326" s="2"/>
      <x:c r="AF326" s="2"/>
      <x:c r="AG326" s="2"/>
      <x:c r="AH326" s="2"/>
      <x:c r="AI326" s="4"/>
      <x:c r="AJ326" s="2"/>
      <x:c r="AK326" s="2" t="s">
        <x:v>234</x:v>
      </x:c>
      <x:c r="AL326" s="2" t="s">
        <x:v>1274</x:v>
      </x:c>
      <x:c r="AM326" s="2">
        <x:v>26</x:v>
      </x:c>
      <x:c r="AN326" s="2">
        <x:v>26</x:v>
      </x:c>
    </x:row>
    <x:row r="327" ht="39">
      <x:c r="A327" s="2" t="s">
        <x:v>6</x:v>
      </x:c>
      <x:c r="B327" s="2" t="s">
        <x:v>15</x:v>
      </x:c>
      <x:c r="C327" s="3">
        <x:v>25</x:v>
      </x:c>
      <x:c r="D327" s="2" t="s">
        <x:v>1367</x:v>
      </x:c>
      <x:c r="E327" s="2" t="s">
        <x:v>1347</x:v>
      </x:c>
      <x:c r="F327" s="2" t="s">
        <x:v>224</x:v>
      </x:c>
      <x:c r="G327" s="2"/>
      <x:c r="H327" s="2" t="s">
        <x:v>634</x:v>
      </x:c>
      <x:c r="I327" s="2" t="s">
        <x:v>1348</x:v>
      </x:c>
      <x:c r="J327" s="2" t="s">
        <x:v>1359</x:v>
      </x:c>
      <x:c r="K327" s="2" t="n">
        <x:v>20</x:v>
      </x:c>
      <x:c r="L327" s="2"/>
      <x:c r="M327" s="2"/>
      <x:c r="N327" s="2" t="s">
        <x:v>1350</x:v>
      </x:c>
      <x:c r="O327" s="2" t="s">
        <x:v>1355</x:v>
      </x:c>
      <x:c r="P327" s="2" t="s">
        <x:v>1360</x:v>
      </x:c>
      <x:c r="Q327" s="2"/>
      <x:c r="R327" s="3">
        <x:v>2</x:v>
      </x:c>
      <x:c r="S327" s="3"/>
      <x:c r="T327" s="2"/>
      <x:c r="U327" s="2"/>
      <x:c r="V327" s="2"/>
      <x:c r="W327" s="2" t="s">
        <x:v>1348</x:v>
      </x:c>
      <x:c r="X327" s="3"/>
      <x:c r="Y327" s="3"/>
      <x:c r="Z327" s="2"/>
      <x:c r="AA327" s="2" t="s">
        <x:v>243</x:v>
      </x:c>
      <x:c r="AB327" s="2" t="s">
        <x:v>1368</x:v>
      </x:c>
      <x:c r="AC327" s="2"/>
      <x:c r="AD327" s="2"/>
      <x:c r="AE327" s="2"/>
      <x:c r="AF327" s="2"/>
      <x:c r="AG327" s="2"/>
      <x:c r="AH327" s="2"/>
      <x:c r="AI327" s="4"/>
      <x:c r="AJ327" s="2"/>
      <x:c r="AK327" s="2" t="s">
        <x:v>234</x:v>
      </x:c>
      <x:c r="AL327" s="2" t="s">
        <x:v>1274</x:v>
      </x:c>
      <x:c r="AM327" s="2">
        <x:v>27</x:v>
      </x:c>
      <x:c r="AN327" s="2">
        <x:v>27</x:v>
      </x:c>
    </x:row>
    <x:row r="328" ht="52">
      <x:c r="A328" s="2" t="s">
        <x:v>6</x:v>
      </x:c>
      <x:c r="B328" s="2" t="s">
        <x:v>15</x:v>
      </x:c>
      <x:c r="C328" s="3">
        <x:v>26</x:v>
      </x:c>
      <x:c r="D328" s="2" t="s">
        <x:v>1369</x:v>
      </x:c>
      <x:c r="E328" s="2" t="s">
        <x:v>1347</x:v>
      </x:c>
      <x:c r="F328" s="2" t="s">
        <x:v>224</x:v>
      </x:c>
      <x:c r="G328" s="2"/>
      <x:c r="H328" s="2" t="s">
        <x:v>627</x:v>
      </x:c>
      <x:c r="I328" s="2" t="s">
        <x:v>1348</x:v>
      </x:c>
      <x:c r="J328" s="2" t="s">
        <x:v>1370</x:v>
      </x:c>
      <x:c r="K328" s="2" t="n">
        <x:v>20</x:v>
      </x:c>
      <x:c r="L328" s="2"/>
      <x:c r="M328" s="2"/>
      <x:c r="N328" s="2" t="s">
        <x:v>1350</x:v>
      </x:c>
      <x:c r="O328" s="2" t="s">
        <x:v>1355</x:v>
      </x:c>
      <x:c r="P328" s="2" t="s">
        <x:v>1356</x:v>
      </x:c>
      <x:c r="Q328" s="2"/>
      <x:c r="R328" s="3">
        <x:v>2</x:v>
      </x:c>
      <x:c r="S328" s="3"/>
      <x:c r="T328" s="2"/>
      <x:c r="U328" s="2"/>
      <x:c r="V328" s="2"/>
      <x:c r="W328" s="2" t="s">
        <x:v>1348</x:v>
      </x:c>
      <x:c r="X328" s="3"/>
      <x:c r="Y328" s="3"/>
      <x:c r="Z328" s="2"/>
      <x:c r="AA328" s="2" t="s">
        <x:v>243</x:v>
      </x:c>
      <x:c r="AB328" s="2" t="s">
        <x:v>1357</x:v>
      </x:c>
      <x:c r="AC328" s="2"/>
      <x:c r="AD328" s="2"/>
      <x:c r="AE328" s="2"/>
      <x:c r="AF328" s="2"/>
      <x:c r="AG328" s="2"/>
      <x:c r="AH328" s="2"/>
      <x:c r="AI328" s="4"/>
      <x:c r="AJ328" s="2"/>
      <x:c r="AK328" s="2" t="s">
        <x:v>234</x:v>
      </x:c>
      <x:c r="AL328" s="2" t="s">
        <x:v>1274</x:v>
      </x:c>
      <x:c r="AM328" s="2">
        <x:v>28</x:v>
      </x:c>
      <x:c r="AN328" s="2">
        <x:v>28</x:v>
      </x:c>
    </x:row>
    <x:row r="329" ht="52">
      <x:c r="A329" s="2" t="s">
        <x:v>6</x:v>
      </x:c>
      <x:c r="B329" s="2" t="s">
        <x:v>15</x:v>
      </x:c>
      <x:c r="C329" s="3">
        <x:v>27</x:v>
      </x:c>
      <x:c r="D329" s="2" t="s">
        <x:v>1281</x:v>
      </x:c>
      <x:c r="E329" s="2" t="s">
        <x:v>1347</x:v>
      </x:c>
      <x:c r="F329" s="2" t="s">
        <x:v>224</x:v>
      </x:c>
      <x:c r="G329" s="2"/>
      <x:c r="H329" s="2" t="s">
        <x:v>618</x:v>
      </x:c>
      <x:c r="I329" s="2" t="s">
        <x:v>1348</x:v>
      </x:c>
      <x:c r="J329" s="2" t="s">
        <x:v>1371</x:v>
      </x:c>
      <x:c r="K329" s="2" t="n">
        <x:v>20</x:v>
      </x:c>
      <x:c r="L329" s="2"/>
      <x:c r="M329" s="2"/>
      <x:c r="N329" s="2" t="s">
        <x:v>1350</x:v>
      </x:c>
      <x:c r="O329" s="2" t="s">
        <x:v>1355</x:v>
      </x:c>
      <x:c r="P329" s="2" t="s">
        <x:v>1352</x:v>
      </x:c>
      <x:c r="Q329" s="2"/>
      <x:c r="R329" s="3">
        <x:v>2</x:v>
      </x:c>
      <x:c r="S329" s="3"/>
      <x:c r="T329" s="2"/>
      <x:c r="U329" s="2"/>
      <x:c r="V329" s="2"/>
      <x:c r="W329" s="2" t="s">
        <x:v>1348</x:v>
      </x:c>
      <x:c r="X329" s="3"/>
      <x:c r="Y329" s="3"/>
      <x:c r="Z329" s="2"/>
      <x:c r="AA329" s="2" t="s">
        <x:v>243</x:v>
      </x:c>
      <x:c r="AB329" s="2" t="s">
        <x:v>244</x:v>
      </x:c>
      <x:c r="AC329" s="2"/>
      <x:c r="AD329" s="2"/>
      <x:c r="AE329" s="2"/>
      <x:c r="AF329" s="2"/>
      <x:c r="AG329" s="2"/>
      <x:c r="AH329" s="2"/>
      <x:c r="AI329" s="4"/>
      <x:c r="AJ329" s="2"/>
      <x:c r="AK329" s="2" t="s">
        <x:v>234</x:v>
      </x:c>
      <x:c r="AL329" s="2" t="s">
        <x:v>1274</x:v>
      </x:c>
      <x:c r="AM329" s="2">
        <x:v>29</x:v>
      </x:c>
      <x:c r="AN329" s="2">
        <x:v>29</x:v>
      </x:c>
    </x:row>
    <x:row r="330" ht="52">
      <x:c r="A330" s="2" t="s">
        <x:v>91</x:v>
      </x:c>
      <x:c r="B330" s="2" t="s">
        <x:v>15</x:v>
      </x:c>
      <x:c r="C330" s="3">
        <x:v>28</x:v>
      </x:c>
      <x:c r="D330" s="2" t="s">
        <x:v>1340</x:v>
      </x:c>
      <x:c r="E330" s="2" t="s">
        <x:v>1372</x:v>
      </x:c>
      <x:c r="F330" s="2" t="s">
        <x:v>237</x:v>
      </x:c>
      <x:c r="G330" s="2" t="s">
        <x:v>1373</x:v>
      </x:c>
      <x:c r="H330" s="2" t="s">
        <x:v>618</x:v>
      </x:c>
      <x:c r="I330" s="2" t="s">
        <x:v>1374</x:v>
      </x:c>
      <x:c r="J330" s="2" t="s">
        <x:v>1375</x:v>
      </x:c>
      <x:c r="K330" s="2"/>
      <x:c r="L330" s="2"/>
      <x:c r="M330" s="2"/>
      <x:c r="N330" s="2" t="s">
        <x:v>1350</x:v>
      </x:c>
      <x:c r="O330" s="2" t="s">
        <x:v>1351</x:v>
      </x:c>
      <x:c r="P330" s="2" t="s">
        <x:v>1352</x:v>
      </x:c>
      <x:c r="Q330" s="2"/>
      <x:c r="R330" s="3">
        <x:v>3</x:v>
      </x:c>
      <x:c r="S330" s="3"/>
      <x:c r="T330" s="2"/>
      <x:c r="U330" s="2"/>
      <x:c r="V330" s="2"/>
      <x:c r="W330" s="2" t="s">
        <x:v>1374</x:v>
      </x:c>
      <x:c r="X330" s="3"/>
      <x:c r="Y330" s="3"/>
      <x:c r="Z330" s="2"/>
      <x:c r="AA330" s="2" t="s">
        <x:v>275</x:v>
      </x:c>
      <x:c r="AB330" s="2" t="s">
        <x:v>284</x:v>
      </x:c>
      <x:c r="AC330" s="2"/>
      <x:c r="AD330" s="2"/>
      <x:c r="AE330" s="2"/>
      <x:c r="AF330" s="2"/>
      <x:c r="AG330" s="2"/>
      <x:c r="AH330" s="2"/>
      <x:c r="AI330" s="4"/>
      <x:c r="AJ330" s="2"/>
      <x:c r="AK330" s="2" t="s">
        <x:v>234</x:v>
      </x:c>
      <x:c r="AL330" s="2" t="s">
        <x:v>1274</x:v>
      </x:c>
      <x:c r="AM330" s="2">
        <x:v>30</x:v>
      </x:c>
      <x:c r="AN330" s="2">
        <x:v>30</x:v>
      </x:c>
    </x:row>
    <x:row r="331" ht="52">
      <x:c r="A331" s="2" t="s">
        <x:v>6</x:v>
      </x:c>
      <x:c r="B331" s="2" t="s">
        <x:v>15</x:v>
      </x:c>
      <x:c r="C331" s="3">
        <x:v>29</x:v>
      </x:c>
      <x:c r="D331" s="2" t="s">
        <x:v>1376</x:v>
      </x:c>
      <x:c r="E331" s="2" t="s">
        <x:v>1372</x:v>
      </x:c>
      <x:c r="F331" s="2" t="s">
        <x:v>237</x:v>
      </x:c>
      <x:c r="G331" s="2"/>
      <x:c r="H331" s="2" t="s">
        <x:v>627</x:v>
      </x:c>
      <x:c r="I331" s="2" t="s">
        <x:v>1374</x:v>
      </x:c>
      <x:c r="J331" s="2" t="s">
        <x:v>1377</x:v>
      </x:c>
      <x:c r="K331" s="2" t="n">
        <x:v>28</x:v>
      </x:c>
      <x:c r="L331" s="2"/>
      <x:c r="M331" s="2"/>
      <x:c r="N331" s="2" t="s">
        <x:v>1350</x:v>
      </x:c>
      <x:c r="O331" s="2" t="s">
        <x:v>1355</x:v>
      </x:c>
      <x:c r="P331" s="2" t="s">
        <x:v>1356</x:v>
      </x:c>
      <x:c r="Q331" s="2"/>
      <x:c r="R331" s="3">
        <x:v>3</x:v>
      </x:c>
      <x:c r="S331" s="3"/>
      <x:c r="T331" s="2"/>
      <x:c r="U331" s="2"/>
      <x:c r="V331" s="2"/>
      <x:c r="W331" s="2" t="s">
        <x:v>1374</x:v>
      </x:c>
      <x:c r="X331" s="3"/>
      <x:c r="Y331" s="3"/>
      <x:c r="Z331" s="2"/>
      <x:c r="AA331" s="2" t="s">
        <x:v>275</x:v>
      </x:c>
      <x:c r="AB331" s="2" t="s">
        <x:v>1357</x:v>
      </x:c>
      <x:c r="AC331" s="2"/>
      <x:c r="AD331" s="2"/>
      <x:c r="AE331" s="2"/>
      <x:c r="AF331" s="2"/>
      <x:c r="AG331" s="2"/>
      <x:c r="AH331" s="2"/>
      <x:c r="AI331" s="4"/>
      <x:c r="AJ331" s="2"/>
      <x:c r="AK331" s="2" t="s">
        <x:v>234</x:v>
      </x:c>
      <x:c r="AL331" s="2" t="s">
        <x:v>1274</x:v>
      </x:c>
      <x:c r="AM331" s="2">
        <x:v>31</x:v>
      </x:c>
      <x:c r="AN331" s="2">
        <x:v>31</x:v>
      </x:c>
    </x:row>
    <x:row r="332" ht="39">
      <x:c r="A332" s="2" t="s">
        <x:v>91</x:v>
      </x:c>
      <x:c r="B332" s="2" t="s">
        <x:v>15</x:v>
      </x:c>
      <x:c r="C332" s="3">
        <x:v>30</x:v>
      </x:c>
      <x:c r="D332" s="2" t="s">
        <x:v>1378</x:v>
      </x:c>
      <x:c r="E332" s="2" t="s">
        <x:v>1372</x:v>
      </x:c>
      <x:c r="F332" s="2" t="s">
        <x:v>237</x:v>
      </x:c>
      <x:c r="G332" s="2" t="s">
        <x:v>1373</x:v>
      </x:c>
      <x:c r="H332" s="2" t="s">
        <x:v>634</x:v>
      </x:c>
      <x:c r="I332" s="2" t="s">
        <x:v>1374</x:v>
      </x:c>
      <x:c r="J332" s="2" t="s">
        <x:v>1359</x:v>
      </x:c>
      <x:c r="K332" s="2" t="n">
        <x:v>28</x:v>
      </x:c>
      <x:c r="L332" s="2"/>
      <x:c r="M332" s="2"/>
      <x:c r="N332" s="2" t="s">
        <x:v>1350</x:v>
      </x:c>
      <x:c r="O332" s="2" t="s">
        <x:v>1355</x:v>
      </x:c>
      <x:c r="P332" s="2" t="s">
        <x:v>1360</x:v>
      </x:c>
      <x:c r="Q332" s="2"/>
      <x:c r="R332" s="3">
        <x:v>3</x:v>
      </x:c>
      <x:c r="S332" s="3"/>
      <x:c r="T332" s="2"/>
      <x:c r="U332" s="2"/>
      <x:c r="V332" s="2"/>
      <x:c r="W332" s="2" t="s">
        <x:v>1374</x:v>
      </x:c>
      <x:c r="X332" s="3"/>
      <x:c r="Y332" s="3"/>
      <x:c r="Z332" s="2"/>
      <x:c r="AA332" s="2" t="s">
        <x:v>275</x:v>
      </x:c>
      <x:c r="AB332" s="2" t="s">
        <x:v>1379</x:v>
      </x:c>
      <x:c r="AC332" s="2"/>
      <x:c r="AD332" s="2"/>
      <x:c r="AE332" s="2"/>
      <x:c r="AF332" s="2"/>
      <x:c r="AG332" s="2"/>
      <x:c r="AH332" s="2"/>
      <x:c r="AI332" s="4"/>
      <x:c r="AJ332" s="2"/>
      <x:c r="AK332" s="2" t="s">
        <x:v>234</x:v>
      </x:c>
      <x:c r="AL332" s="2" t="s">
        <x:v>1274</x:v>
      </x:c>
      <x:c r="AM332" s="2">
        <x:v>32</x:v>
      </x:c>
      <x:c r="AN332" s="2">
        <x:v>32</x:v>
      </x:c>
    </x:row>
    <x:row r="333" ht="39">
      <x:c r="A333" s="2" t="s">
        <x:v>91</x:v>
      </x:c>
      <x:c r="B333" s="2" t="s">
        <x:v>15</x:v>
      </x:c>
      <x:c r="C333" s="3">
        <x:v>31</x:v>
      </x:c>
      <x:c r="D333" s="2" t="s">
        <x:v>1380</x:v>
      </x:c>
      <x:c r="E333" s="2" t="s">
        <x:v>1372</x:v>
      </x:c>
      <x:c r="F333" s="2" t="s">
        <x:v>237</x:v>
      </x:c>
      <x:c r="G333" s="2" t="s">
        <x:v>1381</x:v>
      </x:c>
      <x:c r="H333" s="2" t="s">
        <x:v>634</x:v>
      </x:c>
      <x:c r="I333" s="2" t="s">
        <x:v>1374</x:v>
      </x:c>
      <x:c r="J333" s="2" t="s">
        <x:v>1363</x:v>
      </x:c>
      <x:c r="K333" s="2" t="n">
        <x:v>28</x:v>
      </x:c>
      <x:c r="L333" s="2"/>
      <x:c r="M333" s="2"/>
      <x:c r="N333" s="2" t="s">
        <x:v>1350</x:v>
      </x:c>
      <x:c r="O333" s="2" t="s">
        <x:v>1355</x:v>
      </x:c>
      <x:c r="P333" s="2" t="s">
        <x:v>1364</x:v>
      </x:c>
      <x:c r="Q333" s="2"/>
      <x:c r="R333" s="3">
        <x:v>3</x:v>
      </x:c>
      <x:c r="S333" s="3"/>
      <x:c r="T333" s="2"/>
      <x:c r="U333" s="2"/>
      <x:c r="V333" s="2"/>
      <x:c r="W333" s="2" t="s">
        <x:v>1374</x:v>
      </x:c>
      <x:c r="X333" s="3"/>
      <x:c r="Y333" s="3"/>
      <x:c r="Z333" s="2"/>
      <x:c r="AA333" s="2" t="s">
        <x:v>275</x:v>
      </x:c>
      <x:c r="AB333" s="2" t="s">
        <x:v>1365</x:v>
      </x:c>
      <x:c r="AC333" s="2"/>
      <x:c r="AD333" s="2"/>
      <x:c r="AE333" s="2"/>
      <x:c r="AF333" s="2"/>
      <x:c r="AG333" s="2"/>
      <x:c r="AH333" s="2"/>
      <x:c r="AI333" s="4"/>
      <x:c r="AJ333" s="2"/>
      <x:c r="AK333" s="2" t="s">
        <x:v>234</x:v>
      </x:c>
      <x:c r="AL333" s="2" t="s">
        <x:v>1274</x:v>
      </x:c>
      <x:c r="AM333" s="2">
        <x:v>33</x:v>
      </x:c>
      <x:c r="AN333" s="2">
        <x:v>33</x:v>
      </x:c>
    </x:row>
    <x:row r="334" ht="39">
      <x:c r="A334" s="2" t="s">
        <x:v>6</x:v>
      </x:c>
      <x:c r="B334" s="2" t="s">
        <x:v>15</x:v>
      </x:c>
      <x:c r="C334" s="3">
        <x:v>32</x:v>
      </x:c>
      <x:c r="D334" s="2" t="s">
        <x:v>1366</x:v>
      </x:c>
      <x:c r="E334" s="2" t="s">
        <x:v>1372</x:v>
      </x:c>
      <x:c r="F334" s="2" t="s">
        <x:v>224</x:v>
      </x:c>
      <x:c r="G334" s="2"/>
      <x:c r="H334" s="2" t="s">
        <x:v>634</x:v>
      </x:c>
      <x:c r="I334" s="2" t="s">
        <x:v>1374</x:v>
      </x:c>
      <x:c r="J334" s="2" t="s">
        <x:v>1363</x:v>
      </x:c>
      <x:c r="K334" s="2" t="n">
        <x:v>28</x:v>
      </x:c>
      <x:c r="L334" s="2"/>
      <x:c r="M334" s="2"/>
      <x:c r="N334" s="2" t="s">
        <x:v>1350</x:v>
      </x:c>
      <x:c r="O334" s="2" t="s">
        <x:v>1355</x:v>
      </x:c>
      <x:c r="P334" s="2" t="s">
        <x:v>1364</x:v>
      </x:c>
      <x:c r="Q334" s="2"/>
      <x:c r="R334" s="3">
        <x:v>3</x:v>
      </x:c>
      <x:c r="S334" s="3"/>
      <x:c r="T334" s="2"/>
      <x:c r="U334" s="2"/>
      <x:c r="V334" s="2"/>
      <x:c r="W334" s="2" t="s">
        <x:v>1374</x:v>
      </x:c>
      <x:c r="X334" s="3"/>
      <x:c r="Y334" s="3"/>
      <x:c r="Z334" s="2"/>
      <x:c r="AA334" s="2" t="s">
        <x:v>232</x:v>
      </x:c>
      <x:c r="AB334" s="2" t="s">
        <x:v>1365</x:v>
      </x:c>
      <x:c r="AC334" s="2"/>
      <x:c r="AD334" s="2"/>
      <x:c r="AE334" s="2"/>
      <x:c r="AF334" s="2"/>
      <x:c r="AG334" s="2"/>
      <x:c r="AH334" s="2"/>
      <x:c r="AI334" s="4"/>
      <x:c r="AJ334" s="2"/>
      <x:c r="AK334" s="2" t="s">
        <x:v>234</x:v>
      </x:c>
      <x:c r="AL334" s="2" t="s">
        <x:v>1274</x:v>
      </x:c>
      <x:c r="AM334" s="2">
        <x:v>34</x:v>
      </x:c>
      <x:c r="AN334" s="2">
        <x:v>34</x:v>
      </x:c>
    </x:row>
    <x:row r="335" ht="39">
      <x:c r="A335" s="2" t="s">
        <x:v>91</x:v>
      </x:c>
      <x:c r="B335" s="2" t="s">
        <x:v>15</x:v>
      </x:c>
      <x:c r="C335" s="3">
        <x:v>33</x:v>
      </x:c>
      <x:c r="D335" s="2" t="s">
        <x:v>1382</x:v>
      </x:c>
      <x:c r="E335" s="2" t="s">
        <x:v>1372</x:v>
      </x:c>
      <x:c r="F335" s="2" t="s">
        <x:v>224</x:v>
      </x:c>
      <x:c r="G335" s="2" t="s">
        <x:v>1383</x:v>
      </x:c>
      <x:c r="H335" s="2" t="s">
        <x:v>634</x:v>
      </x:c>
      <x:c r="I335" s="2" t="s">
        <x:v>1374</x:v>
      </x:c>
      <x:c r="J335" s="2" t="s">
        <x:v>1359</x:v>
      </x:c>
      <x:c r="K335" s="2" t="n">
        <x:v>28</x:v>
      </x:c>
      <x:c r="L335" s="2"/>
      <x:c r="M335" s="2"/>
      <x:c r="N335" s="2" t="s">
        <x:v>1350</x:v>
      </x:c>
      <x:c r="O335" s="2" t="s">
        <x:v>1355</x:v>
      </x:c>
      <x:c r="P335" s="2" t="s">
        <x:v>1360</x:v>
      </x:c>
      <x:c r="Q335" s="2"/>
      <x:c r="R335" s="3">
        <x:v>3</x:v>
      </x:c>
      <x:c r="S335" s="3"/>
      <x:c r="T335" s="2"/>
      <x:c r="U335" s="2"/>
      <x:c r="V335" s="2"/>
      <x:c r="W335" s="2" t="s">
        <x:v>1374</x:v>
      </x:c>
      <x:c r="X335" s="3"/>
      <x:c r="Y335" s="3"/>
      <x:c r="Z335" s="2"/>
      <x:c r="AA335" s="2" t="s">
        <x:v>232</x:v>
      </x:c>
      <x:c r="AB335" s="2" t="s">
        <x:v>1361</x:v>
      </x:c>
      <x:c r="AC335" s="2"/>
      <x:c r="AD335" s="2"/>
      <x:c r="AE335" s="2"/>
      <x:c r="AF335" s="2"/>
      <x:c r="AG335" s="2"/>
      <x:c r="AH335" s="2"/>
      <x:c r="AI335" s="4"/>
      <x:c r="AJ335" s="2"/>
      <x:c r="AK335" s="2" t="s">
        <x:v>234</x:v>
      </x:c>
      <x:c r="AL335" s="2" t="s">
        <x:v>1274</x:v>
      </x:c>
      <x:c r="AM335" s="2">
        <x:v>35</x:v>
      </x:c>
      <x:c r="AN335" s="2">
        <x:v>35</x:v>
      </x:c>
    </x:row>
    <x:row r="336" ht="52">
      <x:c r="A336" s="2" t="s">
        <x:v>91</x:v>
      </x:c>
      <x:c r="B336" s="2" t="s">
        <x:v>15</x:v>
      </x:c>
      <x:c r="C336" s="3">
        <x:v>34</x:v>
      </x:c>
      <x:c r="D336" s="2" t="s">
        <x:v>1384</x:v>
      </x:c>
      <x:c r="E336" s="2" t="s">
        <x:v>1372</x:v>
      </x:c>
      <x:c r="F336" s="2" t="s">
        <x:v>224</x:v>
      </x:c>
      <x:c r="G336" s="2" t="s">
        <x:v>1385</x:v>
      </x:c>
      <x:c r="H336" s="2" t="s">
        <x:v>627</x:v>
      </x:c>
      <x:c r="I336" s="2" t="s">
        <x:v>1374</x:v>
      </x:c>
      <x:c r="J336" s="2" t="s">
        <x:v>1386</x:v>
      </x:c>
      <x:c r="K336" s="2" t="n">
        <x:v>28</x:v>
      </x:c>
      <x:c r="L336" s="2"/>
      <x:c r="M336" s="2"/>
      <x:c r="N336" s="2" t="s">
        <x:v>1350</x:v>
      </x:c>
      <x:c r="O336" s="2" t="s">
        <x:v>1355</x:v>
      </x:c>
      <x:c r="P336" s="2" t="s">
        <x:v>1356</x:v>
      </x:c>
      <x:c r="Q336" s="2"/>
      <x:c r="R336" s="3">
        <x:v>3</x:v>
      </x:c>
      <x:c r="S336" s="3"/>
      <x:c r="T336" s="2"/>
      <x:c r="U336" s="2"/>
      <x:c r="V336" s="2"/>
      <x:c r="W336" s="2" t="s">
        <x:v>1374</x:v>
      </x:c>
      <x:c r="X336" s="3"/>
      <x:c r="Y336" s="3"/>
      <x:c r="Z336" s="2"/>
      <x:c r="AA336" s="2" t="s">
        <x:v>232</x:v>
      </x:c>
      <x:c r="AB336" s="2" t="s">
        <x:v>1357</x:v>
      </x:c>
      <x:c r="AC336" s="2"/>
      <x:c r="AD336" s="2"/>
      <x:c r="AE336" s="2"/>
      <x:c r="AF336" s="2"/>
      <x:c r="AG336" s="2"/>
      <x:c r="AH336" s="2"/>
      <x:c r="AI336" s="4"/>
      <x:c r="AJ336" s="2"/>
      <x:c r="AK336" s="2" t="s">
        <x:v>234</x:v>
      </x:c>
      <x:c r="AL336" s="2" t="s">
        <x:v>1274</x:v>
      </x:c>
      <x:c r="AM336" s="2">
        <x:v>36</x:v>
      </x:c>
      <x:c r="AN336" s="2">
        <x:v>36</x:v>
      </x:c>
    </x:row>
    <x:row r="337" ht="52">
      <x:c r="A337" s="2" t="s">
        <x:v>6</x:v>
      </x:c>
      <x:c r="B337" s="2" t="s">
        <x:v>15</x:v>
      </x:c>
      <x:c r="C337" s="3">
        <x:v>35</x:v>
      </x:c>
      <x:c r="D337" s="2" t="s">
        <x:v>1346</x:v>
      </x:c>
      <x:c r="E337" s="2" t="s">
        <x:v>1372</x:v>
      </x:c>
      <x:c r="F337" s="2" t="s">
        <x:v>224</x:v>
      </x:c>
      <x:c r="G337" s="2"/>
      <x:c r="H337" s="2" t="s">
        <x:v>618</x:v>
      </x:c>
      <x:c r="I337" s="2" t="s">
        <x:v>1374</x:v>
      </x:c>
      <x:c r="J337" s="2" t="s">
        <x:v>1387</x:v>
      </x:c>
      <x:c r="K337" s="2" t="n">
        <x:v>28</x:v>
      </x:c>
      <x:c r="L337" s="2"/>
      <x:c r="M337" s="2"/>
      <x:c r="N337" s="2" t="s">
        <x:v>1350</x:v>
      </x:c>
      <x:c r="O337" s="2" t="s">
        <x:v>1355</x:v>
      </x:c>
      <x:c r="P337" s="2" t="s">
        <x:v>1352</x:v>
      </x:c>
      <x:c r="Q337" s="2"/>
      <x:c r="R337" s="3">
        <x:v>3</x:v>
      </x:c>
      <x:c r="S337" s="3"/>
      <x:c r="T337" s="2"/>
      <x:c r="U337" s="2"/>
      <x:c r="V337" s="2"/>
      <x:c r="W337" s="2" t="s">
        <x:v>1374</x:v>
      </x:c>
      <x:c r="X337" s="3"/>
      <x:c r="Y337" s="3"/>
      <x:c r="Z337" s="2"/>
      <x:c r="AA337" s="2" t="s">
        <x:v>232</x:v>
      </x:c>
      <x:c r="AB337" s="2" t="s">
        <x:v>292</x:v>
      </x:c>
      <x:c r="AC337" s="2"/>
      <x:c r="AD337" s="2"/>
      <x:c r="AE337" s="2"/>
      <x:c r="AF337" s="2"/>
      <x:c r="AG337" s="2"/>
      <x:c r="AH337" s="2"/>
      <x:c r="AI337" s="4"/>
      <x:c r="AJ337" s="2"/>
      <x:c r="AK337" s="2" t="s">
        <x:v>234</x:v>
      </x:c>
      <x:c r="AL337" s="2" t="s">
        <x:v>1274</x:v>
      </x:c>
      <x:c r="AM337" s="2">
        <x:v>37</x:v>
      </x:c>
      <x:c r="AN337" s="2">
        <x:v>37</x:v>
      </x:c>
    </x:row>
    <x:row r="338" ht="52">
      <x:c r="A338" s="2" t="s">
        <x:v>91</x:v>
      </x:c>
      <x:c r="B338" s="2" t="s">
        <x:v>15</x:v>
      </x:c>
      <x:c r="C338" s="3">
        <x:v>36</x:v>
      </x:c>
      <x:c r="D338" s="2" t="s">
        <x:v>1388</x:v>
      </x:c>
      <x:c r="E338" s="2" t="s">
        <x:v>1389</x:v>
      </x:c>
      <x:c r="F338" s="2" t="s">
        <x:v>247</x:v>
      </x:c>
      <x:c r="G338" s="2" t="s">
        <x:v>1280</x:v>
      </x:c>
      <x:c r="H338" s="2" t="s">
        <x:v>618</x:v>
      </x:c>
      <x:c r="I338" s="2" t="s">
        <x:v>1390</x:v>
      </x:c>
      <x:c r="J338" s="2" t="s">
        <x:v>1391</x:v>
      </x:c>
      <x:c r="K338" s="2"/>
      <x:c r="L338" s="2"/>
      <x:c r="M338" s="2"/>
      <x:c r="N338" s="2" t="s">
        <x:v>1350</x:v>
      </x:c>
      <x:c r="O338" s="2" t="s">
        <x:v>1351</x:v>
      </x:c>
      <x:c r="P338" s="2" t="s">
        <x:v>1352</x:v>
      </x:c>
      <x:c r="Q338" s="2"/>
      <x:c r="R338" s="3">
        <x:v>2</x:v>
      </x:c>
      <x:c r="S338" s="3"/>
      <x:c r="T338" s="2"/>
      <x:c r="U338" s="2"/>
      <x:c r="V338" s="2"/>
      <x:c r="W338" s="2" t="s">
        <x:v>1390</x:v>
      </x:c>
      <x:c r="X338" s="3"/>
      <x:c r="Y338" s="3"/>
      <x:c r="Z338" s="2"/>
      <x:c r="AA338" s="2" t="s">
        <x:v>232</x:v>
      </x:c>
      <x:c r="AB338" s="2" t="s">
        <x:v>233</x:v>
      </x:c>
      <x:c r="AC338" s="2"/>
      <x:c r="AD338" s="2"/>
      <x:c r="AE338" s="2"/>
      <x:c r="AF338" s="2"/>
      <x:c r="AG338" s="2"/>
      <x:c r="AH338" s="2"/>
      <x:c r="AI338" s="4"/>
      <x:c r="AJ338" s="2"/>
      <x:c r="AK338" s="2" t="s">
        <x:v>234</x:v>
      </x:c>
      <x:c r="AL338" s="2" t="s">
        <x:v>1274</x:v>
      </x:c>
      <x:c r="AM338" s="2">
        <x:v>38</x:v>
      </x:c>
      <x:c r="AN338" s="2">
        <x:v>38</x:v>
      </x:c>
    </x:row>
    <x:row r="339" ht="52">
      <x:c r="A339" s="2" t="s">
        <x:v>6</x:v>
      </x:c>
      <x:c r="B339" s="2" t="s">
        <x:v>15</x:v>
      </x:c>
      <x:c r="C339" s="3">
        <x:v>37</x:v>
      </x:c>
      <x:c r="D339" s="2" t="s">
        <x:v>1392</x:v>
      </x:c>
      <x:c r="E339" s="2" t="s">
        <x:v>1389</x:v>
      </x:c>
      <x:c r="F339" s="2" t="s">
        <x:v>247</x:v>
      </x:c>
      <x:c r="G339" s="2"/>
      <x:c r="H339" s="2" t="s">
        <x:v>627</x:v>
      </x:c>
      <x:c r="I339" s="2" t="s">
        <x:v>1390</x:v>
      </x:c>
      <x:c r="J339" s="2" t="s">
        <x:v>1393</x:v>
      </x:c>
      <x:c r="K339" s="2" t="n">
        <x:v>36</x:v>
      </x:c>
      <x:c r="L339" s="2"/>
      <x:c r="M339" s="2"/>
      <x:c r="N339" s="2" t="s">
        <x:v>1350</x:v>
      </x:c>
      <x:c r="O339" s="2" t="s">
        <x:v>1355</x:v>
      </x:c>
      <x:c r="P339" s="2" t="s">
        <x:v>1356</x:v>
      </x:c>
      <x:c r="Q339" s="2"/>
      <x:c r="R339" s="3">
        <x:v>2</x:v>
      </x:c>
      <x:c r="S339" s="3"/>
      <x:c r="T339" s="2"/>
      <x:c r="U339" s="2"/>
      <x:c r="V339" s="2"/>
      <x:c r="W339" s="2" t="s">
        <x:v>1390</x:v>
      </x:c>
      <x:c r="X339" s="3"/>
      <x:c r="Y339" s="3"/>
      <x:c r="Z339" s="2"/>
      <x:c r="AA339" s="2" t="s">
        <x:v>232</x:v>
      </x:c>
      <x:c r="AB339" s="2" t="s">
        <x:v>1357</x:v>
      </x:c>
      <x:c r="AC339" s="2"/>
      <x:c r="AD339" s="2"/>
      <x:c r="AE339" s="2"/>
      <x:c r="AF339" s="2"/>
      <x:c r="AG339" s="2"/>
      <x:c r="AH339" s="2"/>
      <x:c r="AI339" s="4"/>
      <x:c r="AJ339" s="2"/>
      <x:c r="AK339" s="2" t="s">
        <x:v>234</x:v>
      </x:c>
      <x:c r="AL339" s="2" t="s">
        <x:v>1274</x:v>
      </x:c>
      <x:c r="AM339" s="2">
        <x:v>39</x:v>
      </x:c>
      <x:c r="AN339" s="2">
        <x:v>39</x:v>
      </x:c>
    </x:row>
    <x:row r="340" ht="39">
      <x:c r="A340" s="2" t="s">
        <x:v>91</x:v>
      </x:c>
      <x:c r="B340" s="2" t="s">
        <x:v>15</x:v>
      </x:c>
      <x:c r="C340" s="3">
        <x:v>38</x:v>
      </x:c>
      <x:c r="D340" s="2" t="s">
        <x:v>1394</x:v>
      </x:c>
      <x:c r="E340" s="2" t="s">
        <x:v>1389</x:v>
      </x:c>
      <x:c r="F340" s="2" t="s">
        <x:v>247</x:v>
      </x:c>
      <x:c r="G340" s="2" t="s">
        <x:v>1395</x:v>
      </x:c>
      <x:c r="H340" s="2" t="s">
        <x:v>634</x:v>
      </x:c>
      <x:c r="I340" s="2" t="s">
        <x:v>1390</x:v>
      </x:c>
      <x:c r="J340" s="2" t="s">
        <x:v>1359</x:v>
      </x:c>
      <x:c r="K340" s="2" t="n">
        <x:v>36</x:v>
      </x:c>
      <x:c r="L340" s="2"/>
      <x:c r="M340" s="2"/>
      <x:c r="N340" s="2" t="s">
        <x:v>1350</x:v>
      </x:c>
      <x:c r="O340" s="2" t="s">
        <x:v>1355</x:v>
      </x:c>
      <x:c r="P340" s="2" t="s">
        <x:v>1360</x:v>
      </x:c>
      <x:c r="Q340" s="2"/>
      <x:c r="R340" s="3">
        <x:v>2</x:v>
      </x:c>
      <x:c r="S340" s="3"/>
      <x:c r="T340" s="2"/>
      <x:c r="U340" s="2"/>
      <x:c r="V340" s="2"/>
      <x:c r="W340" s="2" t="s">
        <x:v>1390</x:v>
      </x:c>
      <x:c r="X340" s="3"/>
      <x:c r="Y340" s="3"/>
      <x:c r="Z340" s="2"/>
      <x:c r="AA340" s="2" t="s">
        <x:v>232</x:v>
      </x:c>
      <x:c r="AB340" s="2" t="s">
        <x:v>1396</x:v>
      </x:c>
      <x:c r="AC340" s="2"/>
      <x:c r="AD340" s="2"/>
      <x:c r="AE340" s="2"/>
      <x:c r="AF340" s="2"/>
      <x:c r="AG340" s="2"/>
      <x:c r="AH340" s="2"/>
      <x:c r="AI340" s="4"/>
      <x:c r="AJ340" s="2"/>
      <x:c r="AK340" s="2" t="s">
        <x:v>234</x:v>
      </x:c>
      <x:c r="AL340" s="2" t="s">
        <x:v>1274</x:v>
      </x:c>
      <x:c r="AM340" s="2">
        <x:v>40</x:v>
      </x:c>
      <x:c r="AN340" s="2">
        <x:v>40</x:v>
      </x:c>
    </x:row>
    <x:row r="341" ht="39">
      <x:c r="A341" s="2" t="s">
        <x:v>6</x:v>
      </x:c>
      <x:c r="B341" s="2" t="s">
        <x:v>15</x:v>
      </x:c>
      <x:c r="C341" s="3">
        <x:v>39</x:v>
      </x:c>
      <x:c r="D341" s="2" t="s">
        <x:v>1397</x:v>
      </x:c>
      <x:c r="E341" s="2" t="s">
        <x:v>1389</x:v>
      </x:c>
      <x:c r="F341" s="2" t="s">
        <x:v>247</x:v>
      </x:c>
      <x:c r="G341" s="2"/>
      <x:c r="H341" s="2" t="s">
        <x:v>634</x:v>
      </x:c>
      <x:c r="I341" s="2" t="s">
        <x:v>1390</x:v>
      </x:c>
      <x:c r="J341" s="2" t="s">
        <x:v>1363</x:v>
      </x:c>
      <x:c r="K341" s="2" t="n">
        <x:v>36</x:v>
      </x:c>
      <x:c r="L341" s="2"/>
      <x:c r="M341" s="2"/>
      <x:c r="N341" s="2" t="s">
        <x:v>1350</x:v>
      </x:c>
      <x:c r="O341" s="2" t="s">
        <x:v>1355</x:v>
      </x:c>
      <x:c r="P341" s="2" t="s">
        <x:v>1364</x:v>
      </x:c>
      <x:c r="Q341" s="2"/>
      <x:c r="R341" s="3">
        <x:v>2</x:v>
      </x:c>
      <x:c r="S341" s="3"/>
      <x:c r="T341" s="2"/>
      <x:c r="U341" s="2"/>
      <x:c r="V341" s="2"/>
      <x:c r="W341" s="2" t="s">
        <x:v>1390</x:v>
      </x:c>
      <x:c r="X341" s="3"/>
      <x:c r="Y341" s="3"/>
      <x:c r="Z341" s="2"/>
      <x:c r="AA341" s="2" t="s">
        <x:v>232</x:v>
      </x:c>
      <x:c r="AB341" s="2" t="s">
        <x:v>1365</x:v>
      </x:c>
      <x:c r="AC341" s="2"/>
      <x:c r="AD341" s="2"/>
      <x:c r="AE341" s="2"/>
      <x:c r="AF341" s="2"/>
      <x:c r="AG341" s="2"/>
      <x:c r="AH341" s="2"/>
      <x:c r="AI341" s="4"/>
      <x:c r="AJ341" s="2"/>
      <x:c r="AK341" s="2" t="s">
        <x:v>234</x:v>
      </x:c>
      <x:c r="AL341" s="2" t="s">
        <x:v>1274</x:v>
      </x:c>
      <x:c r="AM341" s="2">
        <x:v>41</x:v>
      </x:c>
      <x:c r="AN341" s="2">
        <x:v>41</x:v>
      </x:c>
    </x:row>
    <x:row r="342" ht="39">
      <x:c r="A342" s="2" t="s">
        <x:v>6</x:v>
      </x:c>
      <x:c r="B342" s="2" t="s">
        <x:v>15</x:v>
      </x:c>
      <x:c r="C342" s="3">
        <x:v>40</x:v>
      </x:c>
      <x:c r="D342" s="2" t="s">
        <x:v>1398</x:v>
      </x:c>
      <x:c r="E342" s="2" t="s">
        <x:v>1389</x:v>
      </x:c>
      <x:c r="F342" s="2" t="s">
        <x:v>254</x:v>
      </x:c>
      <x:c r="G342" s="2"/>
      <x:c r="H342" s="2" t="s">
        <x:v>634</x:v>
      </x:c>
      <x:c r="I342" s="2" t="s">
        <x:v>1390</x:v>
      </x:c>
      <x:c r="J342" s="2" t="s">
        <x:v>1363</x:v>
      </x:c>
      <x:c r="K342" s="2" t="n">
        <x:v>36</x:v>
      </x:c>
      <x:c r="L342" s="2"/>
      <x:c r="M342" s="2"/>
      <x:c r="N342" s="2" t="s">
        <x:v>1350</x:v>
      </x:c>
      <x:c r="O342" s="2" t="s">
        <x:v>1355</x:v>
      </x:c>
      <x:c r="P342" s="2" t="s">
        <x:v>1364</x:v>
      </x:c>
      <x:c r="Q342" s="2"/>
      <x:c r="R342" s="3">
        <x:v>2</x:v>
      </x:c>
      <x:c r="S342" s="3"/>
      <x:c r="T342" s="2"/>
      <x:c r="U342" s="2"/>
      <x:c r="V342" s="2"/>
      <x:c r="W342" s="2" t="s">
        <x:v>1390</x:v>
      </x:c>
      <x:c r="X342" s="3"/>
      <x:c r="Y342" s="3"/>
      <x:c r="Z342" s="2"/>
      <x:c r="AA342" s="2" t="s">
        <x:v>243</x:v>
      </x:c>
      <x:c r="AB342" s="2" t="s">
        <x:v>1365</x:v>
      </x:c>
      <x:c r="AC342" s="2"/>
      <x:c r="AD342" s="2"/>
      <x:c r="AE342" s="2"/>
      <x:c r="AF342" s="2"/>
      <x:c r="AG342" s="2"/>
      <x:c r="AH342" s="2"/>
      <x:c r="AI342" s="4"/>
      <x:c r="AJ342" s="2"/>
      <x:c r="AK342" s="2" t="s">
        <x:v>234</x:v>
      </x:c>
      <x:c r="AL342" s="2" t="s">
        <x:v>1274</x:v>
      </x:c>
      <x:c r="AM342" s="2">
        <x:v>42</x:v>
      </x:c>
      <x:c r="AN342" s="2">
        <x:v>42</x:v>
      </x:c>
    </x:row>
    <x:row r="343" ht="39">
      <x:c r="A343" s="2" t="s">
        <x:v>91</x:v>
      </x:c>
      <x:c r="B343" s="2" t="s">
        <x:v>15</x:v>
      </x:c>
      <x:c r="C343" s="3">
        <x:v>41</x:v>
      </x:c>
      <x:c r="D343" s="2" t="s">
        <x:v>1399</x:v>
      </x:c>
      <x:c r="E343" s="2" t="s">
        <x:v>1389</x:v>
      </x:c>
      <x:c r="F343" s="2" t="s">
        <x:v>254</x:v>
      </x:c>
      <x:c r="G343" s="2" t="s">
        <x:v>1400</x:v>
      </x:c>
      <x:c r="H343" s="2" t="s">
        <x:v>634</x:v>
      </x:c>
      <x:c r="I343" s="2" t="s">
        <x:v>1390</x:v>
      </x:c>
      <x:c r="J343" s="2" t="s">
        <x:v>1359</x:v>
      </x:c>
      <x:c r="K343" s="2" t="n">
        <x:v>36</x:v>
      </x:c>
      <x:c r="L343" s="2"/>
      <x:c r="M343" s="2"/>
      <x:c r="N343" s="2" t="s">
        <x:v>1350</x:v>
      </x:c>
      <x:c r="O343" s="2" t="s">
        <x:v>1355</x:v>
      </x:c>
      <x:c r="P343" s="2" t="s">
        <x:v>1360</x:v>
      </x:c>
      <x:c r="Q343" s="2"/>
      <x:c r="R343" s="3">
        <x:v>2</x:v>
      </x:c>
      <x:c r="S343" s="3"/>
      <x:c r="T343" s="2"/>
      <x:c r="U343" s="2"/>
      <x:c r="V343" s="2"/>
      <x:c r="W343" s="2" t="s">
        <x:v>1390</x:v>
      </x:c>
      <x:c r="X343" s="3"/>
      <x:c r="Y343" s="3"/>
      <x:c r="Z343" s="2"/>
      <x:c r="AA343" s="2" t="s">
        <x:v>243</x:v>
      </x:c>
      <x:c r="AB343" s="2" t="s">
        <x:v>1368</x:v>
      </x:c>
      <x:c r="AC343" s="2"/>
      <x:c r="AD343" s="2"/>
      <x:c r="AE343" s="2"/>
      <x:c r="AF343" s="2"/>
      <x:c r="AG343" s="2"/>
      <x:c r="AH343" s="2"/>
      <x:c r="AI343" s="4"/>
      <x:c r="AJ343" s="2"/>
      <x:c r="AK343" s="2" t="s">
        <x:v>234</x:v>
      </x:c>
      <x:c r="AL343" s="2" t="s">
        <x:v>1274</x:v>
      </x:c>
      <x:c r="AM343" s="2">
        <x:v>43</x:v>
      </x:c>
      <x:c r="AN343" s="2">
        <x:v>43</x:v>
      </x:c>
    </x:row>
    <x:row r="344" ht="52">
      <x:c r="A344" s="2" t="s">
        <x:v>6</x:v>
      </x:c>
      <x:c r="B344" s="2" t="s">
        <x:v>15</x:v>
      </x:c>
      <x:c r="C344" s="3">
        <x:v>42</x:v>
      </x:c>
      <x:c r="D344" s="2" t="s">
        <x:v>1401</x:v>
      </x:c>
      <x:c r="E344" s="2" t="s">
        <x:v>1389</x:v>
      </x:c>
      <x:c r="F344" s="2" t="s">
        <x:v>254</x:v>
      </x:c>
      <x:c r="G344" s="2"/>
      <x:c r="H344" s="2" t="s">
        <x:v>627</x:v>
      </x:c>
      <x:c r="I344" s="2" t="s">
        <x:v>1390</x:v>
      </x:c>
      <x:c r="J344" s="2" t="s">
        <x:v>1402</x:v>
      </x:c>
      <x:c r="K344" s="2" t="n">
        <x:v>36</x:v>
      </x:c>
      <x:c r="L344" s="2"/>
      <x:c r="M344" s="2"/>
      <x:c r="N344" s="2" t="s">
        <x:v>1350</x:v>
      </x:c>
      <x:c r="O344" s="2" t="s">
        <x:v>1355</x:v>
      </x:c>
      <x:c r="P344" s="2" t="s">
        <x:v>1356</x:v>
      </x:c>
      <x:c r="Q344" s="2"/>
      <x:c r="R344" s="3">
        <x:v>2</x:v>
      </x:c>
      <x:c r="S344" s="3"/>
      <x:c r="T344" s="2"/>
      <x:c r="U344" s="2"/>
      <x:c r="V344" s="2"/>
      <x:c r="W344" s="2" t="s">
        <x:v>1390</x:v>
      </x:c>
      <x:c r="X344" s="3"/>
      <x:c r="Y344" s="3"/>
      <x:c r="Z344" s="2"/>
      <x:c r="AA344" s="2" t="s">
        <x:v>243</x:v>
      </x:c>
      <x:c r="AB344" s="2" t="s">
        <x:v>1357</x:v>
      </x:c>
      <x:c r="AC344" s="2"/>
      <x:c r="AD344" s="2"/>
      <x:c r="AE344" s="2"/>
      <x:c r="AF344" s="2"/>
      <x:c r="AG344" s="2"/>
      <x:c r="AH344" s="2"/>
      <x:c r="AI344" s="4"/>
      <x:c r="AJ344" s="2"/>
      <x:c r="AK344" s="2" t="s">
        <x:v>234</x:v>
      </x:c>
      <x:c r="AL344" s="2" t="s">
        <x:v>1274</x:v>
      </x:c>
      <x:c r="AM344" s="2">
        <x:v>44</x:v>
      </x:c>
      <x:c r="AN344" s="2">
        <x:v>44</x:v>
      </x:c>
    </x:row>
    <x:row r="345" ht="52">
      <x:c r="A345" s="2" t="s">
        <x:v>6</x:v>
      </x:c>
      <x:c r="B345" s="2" t="s">
        <x:v>15</x:v>
      </x:c>
      <x:c r="C345" s="3">
        <x:v>43</x:v>
      </x:c>
      <x:c r="D345" s="2" t="s">
        <x:v>1281</x:v>
      </x:c>
      <x:c r="E345" s="2" t="s">
        <x:v>1389</x:v>
      </x:c>
      <x:c r="F345" s="2" t="s">
        <x:v>254</x:v>
      </x:c>
      <x:c r="G345" s="2"/>
      <x:c r="H345" s="2" t="s">
        <x:v>618</x:v>
      </x:c>
      <x:c r="I345" s="2" t="s">
        <x:v>1390</x:v>
      </x:c>
      <x:c r="J345" s="2" t="s">
        <x:v>1403</x:v>
      </x:c>
      <x:c r="K345" s="2" t="n">
        <x:v>36</x:v>
      </x:c>
      <x:c r="L345" s="2"/>
      <x:c r="M345" s="2"/>
      <x:c r="N345" s="2" t="s">
        <x:v>1350</x:v>
      </x:c>
      <x:c r="O345" s="2" t="s">
        <x:v>1355</x:v>
      </x:c>
      <x:c r="P345" s="2" t="s">
        <x:v>1352</x:v>
      </x:c>
      <x:c r="Q345" s="2"/>
      <x:c r="R345" s="3">
        <x:v>2</x:v>
      </x:c>
      <x:c r="S345" s="3"/>
      <x:c r="T345" s="2"/>
      <x:c r="U345" s="2"/>
      <x:c r="V345" s="2"/>
      <x:c r="W345" s="2" t="s">
        <x:v>1390</x:v>
      </x:c>
      <x:c r="X345" s="3"/>
      <x:c r="Y345" s="3"/>
      <x:c r="Z345" s="2"/>
      <x:c r="AA345" s="2" t="s">
        <x:v>243</x:v>
      </x:c>
      <x:c r="AB345" s="2" t="s">
        <x:v>244</x:v>
      </x:c>
      <x:c r="AC345" s="2"/>
      <x:c r="AD345" s="2"/>
      <x:c r="AE345" s="2"/>
      <x:c r="AF345" s="2"/>
      <x:c r="AG345" s="2"/>
      <x:c r="AH345" s="2"/>
      <x:c r="AI345" s="4"/>
      <x:c r="AJ345" s="2"/>
      <x:c r="AK345" s="2" t="s">
        <x:v>234</x:v>
      </x:c>
      <x:c r="AL345" s="2" t="s">
        <x:v>1274</x:v>
      </x:c>
      <x:c r="AM345" s="2">
        <x:v>45</x:v>
      </x:c>
      <x:c r="AN345" s="2">
        <x:v>45</x:v>
      </x:c>
    </x:row>
    <x:row r="346" ht="52">
      <x:c r="A346" s="2" t="s">
        <x:v>6</x:v>
      </x:c>
      <x:c r="B346" s="2" t="s">
        <x:v>15</x:v>
      </x:c>
      <x:c r="C346" s="3">
        <x:v>44</x:v>
      </x:c>
      <x:c r="D346" s="2" t="s">
        <x:v>1340</x:v>
      </x:c>
      <x:c r="E346" s="2" t="s">
        <x:v>1404</x:v>
      </x:c>
      <x:c r="F346" s="2" t="s">
        <x:v>247</x:v>
      </x:c>
      <x:c r="G346" s="2"/>
      <x:c r="H346" s="2" t="s">
        <x:v>618</x:v>
      </x:c>
      <x:c r="I346" s="2" t="s">
        <x:v>1405</x:v>
      </x:c>
      <x:c r="J346" s="2" t="s">
        <x:v>1406</x:v>
      </x:c>
      <x:c r="K346" s="2"/>
      <x:c r="L346" s="2"/>
      <x:c r="M346" s="2"/>
      <x:c r="N346" s="2" t="s">
        <x:v>1350</x:v>
      </x:c>
      <x:c r="O346" s="2" t="s">
        <x:v>1351</x:v>
      </x:c>
      <x:c r="P346" s="2" t="s">
        <x:v>1352</x:v>
      </x:c>
      <x:c r="Q346" s="2"/>
      <x:c r="R346" s="3">
        <x:v>3</x:v>
      </x:c>
      <x:c r="S346" s="3"/>
      <x:c r="T346" s="2"/>
      <x:c r="U346" s="2"/>
      <x:c r="V346" s="2"/>
      <x:c r="W346" s="2" t="s">
        <x:v>1405</x:v>
      </x:c>
      <x:c r="X346" s="3"/>
      <x:c r="Y346" s="3"/>
      <x:c r="Z346" s="2"/>
      <x:c r="AA346" s="2" t="s">
        <x:v>275</x:v>
      </x:c>
      <x:c r="AB346" s="2" t="s">
        <x:v>284</x:v>
      </x:c>
      <x:c r="AC346" s="2"/>
      <x:c r="AD346" s="2"/>
      <x:c r="AE346" s="2"/>
      <x:c r="AF346" s="2"/>
      <x:c r="AG346" s="2"/>
      <x:c r="AH346" s="2"/>
      <x:c r="AI346" s="4"/>
      <x:c r="AJ346" s="2"/>
      <x:c r="AK346" s="2" t="s">
        <x:v>234</x:v>
      </x:c>
      <x:c r="AL346" s="2" t="s">
        <x:v>1274</x:v>
      </x:c>
      <x:c r="AM346" s="2">
        <x:v>46</x:v>
      </x:c>
      <x:c r="AN346" s="2">
        <x:v>46</x:v>
      </x:c>
    </x:row>
    <x:row r="347" ht="52">
      <x:c r="A347" s="2" t="s">
        <x:v>6</x:v>
      </x:c>
      <x:c r="B347" s="2" t="s">
        <x:v>15</x:v>
      </x:c>
      <x:c r="C347" s="3">
        <x:v>45</x:v>
      </x:c>
      <x:c r="D347" s="2" t="s">
        <x:v>1407</x:v>
      </x:c>
      <x:c r="E347" s="2" t="s">
        <x:v>1404</x:v>
      </x:c>
      <x:c r="F347" s="2" t="s">
        <x:v>247</x:v>
      </x:c>
      <x:c r="G347" s="2"/>
      <x:c r="H347" s="2" t="s">
        <x:v>627</x:v>
      </x:c>
      <x:c r="I347" s="2" t="s">
        <x:v>1405</x:v>
      </x:c>
      <x:c r="J347" s="2" t="s">
        <x:v>1408</x:v>
      </x:c>
      <x:c r="K347" s="2" t="n">
        <x:v>44</x:v>
      </x:c>
      <x:c r="L347" s="2"/>
      <x:c r="M347" s="2"/>
      <x:c r="N347" s="2" t="s">
        <x:v>1350</x:v>
      </x:c>
      <x:c r="O347" s="2" t="s">
        <x:v>1355</x:v>
      </x:c>
      <x:c r="P347" s="2" t="s">
        <x:v>1356</x:v>
      </x:c>
      <x:c r="Q347" s="2"/>
      <x:c r="R347" s="3">
        <x:v>3</x:v>
      </x:c>
      <x:c r="S347" s="3"/>
      <x:c r="T347" s="2"/>
      <x:c r="U347" s="2"/>
      <x:c r="V347" s="2"/>
      <x:c r="W347" s="2" t="s">
        <x:v>1405</x:v>
      </x:c>
      <x:c r="X347" s="3"/>
      <x:c r="Y347" s="3"/>
      <x:c r="Z347" s="2"/>
      <x:c r="AA347" s="2" t="s">
        <x:v>275</x:v>
      </x:c>
      <x:c r="AB347" s="2" t="s">
        <x:v>1357</x:v>
      </x:c>
      <x:c r="AC347" s="2"/>
      <x:c r="AD347" s="2"/>
      <x:c r="AE347" s="2"/>
      <x:c r="AF347" s="2"/>
      <x:c r="AG347" s="2"/>
      <x:c r="AH347" s="2"/>
      <x:c r="AI347" s="4"/>
      <x:c r="AJ347" s="2"/>
      <x:c r="AK347" s="2" t="s">
        <x:v>234</x:v>
      </x:c>
      <x:c r="AL347" s="2" t="s">
        <x:v>1274</x:v>
      </x:c>
      <x:c r="AM347" s="2">
        <x:v>47</x:v>
      </x:c>
      <x:c r="AN347" s="2">
        <x:v>47</x:v>
      </x:c>
    </x:row>
    <x:row r="348" ht="39">
      <x:c r="A348" s="2" t="s">
        <x:v>6</x:v>
      </x:c>
      <x:c r="B348" s="2" t="s">
        <x:v>15</x:v>
      </x:c>
      <x:c r="C348" s="3">
        <x:v>46</x:v>
      </x:c>
      <x:c r="D348" s="2" t="s">
        <x:v>1409</x:v>
      </x:c>
      <x:c r="E348" s="2" t="s">
        <x:v>1404</x:v>
      </x:c>
      <x:c r="F348" s="2" t="s">
        <x:v>247</x:v>
      </x:c>
      <x:c r="G348" s="2"/>
      <x:c r="H348" s="2" t="s">
        <x:v>634</x:v>
      </x:c>
      <x:c r="I348" s="2" t="s">
        <x:v>1405</x:v>
      </x:c>
      <x:c r="J348" s="2" t="s">
        <x:v>1359</x:v>
      </x:c>
      <x:c r="K348" s="2" t="n">
        <x:v>44</x:v>
      </x:c>
      <x:c r="L348" s="2"/>
      <x:c r="M348" s="2"/>
      <x:c r="N348" s="2" t="s">
        <x:v>1350</x:v>
      </x:c>
      <x:c r="O348" s="2" t="s">
        <x:v>1355</x:v>
      </x:c>
      <x:c r="P348" s="2" t="s">
        <x:v>1360</x:v>
      </x:c>
      <x:c r="Q348" s="2"/>
      <x:c r="R348" s="3">
        <x:v>3</x:v>
      </x:c>
      <x:c r="S348" s="3"/>
      <x:c r="T348" s="2"/>
      <x:c r="U348" s="2"/>
      <x:c r="V348" s="2"/>
      <x:c r="W348" s="2" t="s">
        <x:v>1405</x:v>
      </x:c>
      <x:c r="X348" s="3"/>
      <x:c r="Y348" s="3"/>
      <x:c r="Z348" s="2"/>
      <x:c r="AA348" s="2" t="s">
        <x:v>275</x:v>
      </x:c>
      <x:c r="AB348" s="2" t="s">
        <x:v>1379</x:v>
      </x:c>
      <x:c r="AC348" s="2"/>
      <x:c r="AD348" s="2"/>
      <x:c r="AE348" s="2"/>
      <x:c r="AF348" s="2"/>
      <x:c r="AG348" s="2"/>
      <x:c r="AH348" s="2"/>
      <x:c r="AI348" s="4"/>
      <x:c r="AJ348" s="2"/>
      <x:c r="AK348" s="2" t="s">
        <x:v>234</x:v>
      </x:c>
      <x:c r="AL348" s="2" t="s">
        <x:v>1274</x:v>
      </x:c>
      <x:c r="AM348" s="2">
        <x:v>48</x:v>
      </x:c>
      <x:c r="AN348" s="2">
        <x:v>48</x:v>
      </x:c>
    </x:row>
    <x:row r="349" ht="39">
      <x:c r="A349" s="2" t="s">
        <x:v>6</x:v>
      </x:c>
      <x:c r="B349" s="2" t="s">
        <x:v>15</x:v>
      </x:c>
      <x:c r="C349" s="3">
        <x:v>47</x:v>
      </x:c>
      <x:c r="D349" s="2" t="s">
        <x:v>1410</x:v>
      </x:c>
      <x:c r="E349" s="2" t="s">
        <x:v>1404</x:v>
      </x:c>
      <x:c r="F349" s="2" t="s">
        <x:v>247</x:v>
      </x:c>
      <x:c r="G349" s="2"/>
      <x:c r="H349" s="2" t="s">
        <x:v>634</x:v>
      </x:c>
      <x:c r="I349" s="2" t="s">
        <x:v>1405</x:v>
      </x:c>
      <x:c r="J349" s="2" t="s">
        <x:v>1363</x:v>
      </x:c>
      <x:c r="K349" s="2" t="n">
        <x:v>44</x:v>
      </x:c>
      <x:c r="L349" s="2"/>
      <x:c r="M349" s="2"/>
      <x:c r="N349" s="2" t="s">
        <x:v>1350</x:v>
      </x:c>
      <x:c r="O349" s="2" t="s">
        <x:v>1355</x:v>
      </x:c>
      <x:c r="P349" s="2" t="s">
        <x:v>1364</x:v>
      </x:c>
      <x:c r="Q349" s="2"/>
      <x:c r="R349" s="3">
        <x:v>3</x:v>
      </x:c>
      <x:c r="S349" s="3"/>
      <x:c r="T349" s="2"/>
      <x:c r="U349" s="2"/>
      <x:c r="V349" s="2"/>
      <x:c r="W349" s="2" t="s">
        <x:v>1405</x:v>
      </x:c>
      <x:c r="X349" s="3"/>
      <x:c r="Y349" s="3"/>
      <x:c r="Z349" s="2"/>
      <x:c r="AA349" s="2" t="s">
        <x:v>275</x:v>
      </x:c>
      <x:c r="AB349" s="2" t="s">
        <x:v>1365</x:v>
      </x:c>
      <x:c r="AC349" s="2"/>
      <x:c r="AD349" s="2"/>
      <x:c r="AE349" s="2"/>
      <x:c r="AF349" s="2"/>
      <x:c r="AG349" s="2"/>
      <x:c r="AH349" s="2"/>
      <x:c r="AI349" s="4"/>
      <x:c r="AJ349" s="2"/>
      <x:c r="AK349" s="2" t="s">
        <x:v>234</x:v>
      </x:c>
      <x:c r="AL349" s="2" t="s">
        <x:v>1274</x:v>
      </x:c>
      <x:c r="AM349" s="2">
        <x:v>49</x:v>
      </x:c>
      <x:c r="AN349" s="2">
        <x:v>49</x:v>
      </x:c>
    </x:row>
    <x:row r="350" ht="39">
      <x:c r="A350" s="2" t="s">
        <x:v>6</x:v>
      </x:c>
      <x:c r="B350" s="2" t="s">
        <x:v>15</x:v>
      </x:c>
      <x:c r="C350" s="3">
        <x:v>48</x:v>
      </x:c>
      <x:c r="D350" s="2" t="s">
        <x:v>1398</x:v>
      </x:c>
      <x:c r="E350" s="2" t="s">
        <x:v>1404</x:v>
      </x:c>
      <x:c r="F350" s="2" t="s">
        <x:v>254</x:v>
      </x:c>
      <x:c r="G350" s="2"/>
      <x:c r="H350" s="2" t="s">
        <x:v>634</x:v>
      </x:c>
      <x:c r="I350" s="2" t="s">
        <x:v>1405</x:v>
      </x:c>
      <x:c r="J350" s="2" t="s">
        <x:v>1363</x:v>
      </x:c>
      <x:c r="K350" s="2" t="n">
        <x:v>44</x:v>
      </x:c>
      <x:c r="L350" s="2"/>
      <x:c r="M350" s="2"/>
      <x:c r="N350" s="2" t="s">
        <x:v>1350</x:v>
      </x:c>
      <x:c r="O350" s="2" t="s">
        <x:v>1355</x:v>
      </x:c>
      <x:c r="P350" s="2" t="s">
        <x:v>1364</x:v>
      </x:c>
      <x:c r="Q350" s="2"/>
      <x:c r="R350" s="3">
        <x:v>3</x:v>
      </x:c>
      <x:c r="S350" s="3"/>
      <x:c r="T350" s="2"/>
      <x:c r="U350" s="2"/>
      <x:c r="V350" s="2"/>
      <x:c r="W350" s="2" t="s">
        <x:v>1405</x:v>
      </x:c>
      <x:c r="X350" s="3"/>
      <x:c r="Y350" s="3"/>
      <x:c r="Z350" s="2"/>
      <x:c r="AA350" s="2" t="s">
        <x:v>232</x:v>
      </x:c>
      <x:c r="AB350" s="2" t="s">
        <x:v>1365</x:v>
      </x:c>
      <x:c r="AC350" s="2"/>
      <x:c r="AD350" s="2"/>
      <x:c r="AE350" s="2"/>
      <x:c r="AF350" s="2"/>
      <x:c r="AG350" s="2"/>
      <x:c r="AH350" s="2"/>
      <x:c r="AI350" s="4"/>
      <x:c r="AJ350" s="2"/>
      <x:c r="AK350" s="2" t="s">
        <x:v>234</x:v>
      </x:c>
      <x:c r="AL350" s="2" t="s">
        <x:v>1274</x:v>
      </x:c>
      <x:c r="AM350" s="2">
        <x:v>50</x:v>
      </x:c>
      <x:c r="AN350" s="2">
        <x:v>50</x:v>
      </x:c>
    </x:row>
    <x:row r="351" ht="39">
      <x:c r="A351" s="2" t="s">
        <x:v>91</x:v>
      </x:c>
      <x:c r="B351" s="2" t="s">
        <x:v>15</x:v>
      </x:c>
      <x:c r="C351" s="3">
        <x:v>49</x:v>
      </x:c>
      <x:c r="D351" s="2" t="s">
        <x:v>1411</x:v>
      </x:c>
      <x:c r="E351" s="2" t="s">
        <x:v>1404</x:v>
      </x:c>
      <x:c r="F351" s="2" t="s">
        <x:v>254</x:v>
      </x:c>
      <x:c r="G351" s="2" t="s">
        <x:v>1373</x:v>
      </x:c>
      <x:c r="H351" s="2" t="s">
        <x:v>634</x:v>
      </x:c>
      <x:c r="I351" s="2" t="s">
        <x:v>1405</x:v>
      </x:c>
      <x:c r="J351" s="2" t="s">
        <x:v>1359</x:v>
      </x:c>
      <x:c r="K351" s="2" t="n">
        <x:v>44</x:v>
      </x:c>
      <x:c r="L351" s="2"/>
      <x:c r="M351" s="2"/>
      <x:c r="N351" s="2" t="s">
        <x:v>1350</x:v>
      </x:c>
      <x:c r="O351" s="2" t="s">
        <x:v>1355</x:v>
      </x:c>
      <x:c r="P351" s="2" t="s">
        <x:v>1360</x:v>
      </x:c>
      <x:c r="Q351" s="2"/>
      <x:c r="R351" s="3">
        <x:v>3</x:v>
      </x:c>
      <x:c r="S351" s="3"/>
      <x:c r="T351" s="2"/>
      <x:c r="U351" s="2"/>
      <x:c r="V351" s="2"/>
      <x:c r="W351" s="2" t="s">
        <x:v>1405</x:v>
      </x:c>
      <x:c r="X351" s="3"/>
      <x:c r="Y351" s="3"/>
      <x:c r="Z351" s="2"/>
      <x:c r="AA351" s="2" t="s">
        <x:v>232</x:v>
      </x:c>
      <x:c r="AB351" s="2" t="s">
        <x:v>1361</x:v>
      </x:c>
      <x:c r="AC351" s="2"/>
      <x:c r="AD351" s="2"/>
      <x:c r="AE351" s="2"/>
      <x:c r="AF351" s="2"/>
      <x:c r="AG351" s="2"/>
      <x:c r="AH351" s="2"/>
      <x:c r="AI351" s="4"/>
      <x:c r="AJ351" s="2"/>
      <x:c r="AK351" s="2" t="s">
        <x:v>234</x:v>
      </x:c>
      <x:c r="AL351" s="2" t="s">
        <x:v>1274</x:v>
      </x:c>
      <x:c r="AM351" s="2">
        <x:v>51</x:v>
      </x:c>
      <x:c r="AN351" s="2">
        <x:v>51</x:v>
      </x:c>
    </x:row>
    <x:row r="352" ht="52">
      <x:c r="A352" s="2" t="s">
        <x:v>6</x:v>
      </x:c>
      <x:c r="B352" s="2" t="s">
        <x:v>15</x:v>
      </x:c>
      <x:c r="C352" s="3">
        <x:v>50</x:v>
      </x:c>
      <x:c r="D352" s="2" t="s">
        <x:v>1412</x:v>
      </x:c>
      <x:c r="E352" s="2" t="s">
        <x:v>1404</x:v>
      </x:c>
      <x:c r="F352" s="2" t="s">
        <x:v>254</x:v>
      </x:c>
      <x:c r="G352" s="2"/>
      <x:c r="H352" s="2" t="s">
        <x:v>627</x:v>
      </x:c>
      <x:c r="I352" s="2" t="s">
        <x:v>1405</x:v>
      </x:c>
      <x:c r="J352" s="2" t="s">
        <x:v>1413</x:v>
      </x:c>
      <x:c r="K352" s="2" t="n">
        <x:v>44</x:v>
      </x:c>
      <x:c r="L352" s="2"/>
      <x:c r="M352" s="2"/>
      <x:c r="N352" s="2" t="s">
        <x:v>1350</x:v>
      </x:c>
      <x:c r="O352" s="2" t="s">
        <x:v>1355</x:v>
      </x:c>
      <x:c r="P352" s="2" t="s">
        <x:v>1356</x:v>
      </x:c>
      <x:c r="Q352" s="2"/>
      <x:c r="R352" s="3">
        <x:v>3</x:v>
      </x:c>
      <x:c r="S352" s="3"/>
      <x:c r="T352" s="2"/>
      <x:c r="U352" s="2"/>
      <x:c r="V352" s="2"/>
      <x:c r="W352" s="2" t="s">
        <x:v>1405</x:v>
      </x:c>
      <x:c r="X352" s="3"/>
      <x:c r="Y352" s="3"/>
      <x:c r="Z352" s="2"/>
      <x:c r="AA352" s="2" t="s">
        <x:v>232</x:v>
      </x:c>
      <x:c r="AB352" s="2" t="s">
        <x:v>1357</x:v>
      </x:c>
      <x:c r="AC352" s="2"/>
      <x:c r="AD352" s="2"/>
      <x:c r="AE352" s="2"/>
      <x:c r="AF352" s="2"/>
      <x:c r="AG352" s="2"/>
      <x:c r="AH352" s="2"/>
      <x:c r="AI352" s="4"/>
      <x:c r="AJ352" s="2"/>
      <x:c r="AK352" s="2" t="s">
        <x:v>234</x:v>
      </x:c>
      <x:c r="AL352" s="2" t="s">
        <x:v>1274</x:v>
      </x:c>
      <x:c r="AM352" s="2">
        <x:v>52</x:v>
      </x:c>
      <x:c r="AN352" s="2">
        <x:v>52</x:v>
      </x:c>
    </x:row>
    <x:row r="353" ht="52">
      <x:c r="A353" s="2" t="s">
        <x:v>91</x:v>
      </x:c>
      <x:c r="B353" s="2" t="s">
        <x:v>15</x:v>
      </x:c>
      <x:c r="C353" s="3">
        <x:v>51</x:v>
      </x:c>
      <x:c r="D353" s="2" t="s">
        <x:v>1346</x:v>
      </x:c>
      <x:c r="E353" s="2" t="s">
        <x:v>1404</x:v>
      </x:c>
      <x:c r="F353" s="2" t="s">
        <x:v>254</x:v>
      </x:c>
      <x:c r="G353" s="2" t="s">
        <x:v>1273</x:v>
      </x:c>
      <x:c r="H353" s="2" t="s">
        <x:v>618</x:v>
      </x:c>
      <x:c r="I353" s="2" t="s">
        <x:v>1405</x:v>
      </x:c>
      <x:c r="J353" s="2" t="s">
        <x:v>1414</x:v>
      </x:c>
      <x:c r="K353" s="2" t="n">
        <x:v>44</x:v>
      </x:c>
      <x:c r="L353" s="2"/>
      <x:c r="M353" s="2"/>
      <x:c r="N353" s="2" t="s">
        <x:v>1350</x:v>
      </x:c>
      <x:c r="O353" s="2" t="s">
        <x:v>1355</x:v>
      </x:c>
      <x:c r="P353" s="2" t="s">
        <x:v>1352</x:v>
      </x:c>
      <x:c r="Q353" s="2"/>
      <x:c r="R353" s="3">
        <x:v>3</x:v>
      </x:c>
      <x:c r="S353" s="3"/>
      <x:c r="T353" s="2"/>
      <x:c r="U353" s="2"/>
      <x:c r="V353" s="2"/>
      <x:c r="W353" s="2" t="s">
        <x:v>1405</x:v>
      </x:c>
      <x:c r="X353" s="3"/>
      <x:c r="Y353" s="3"/>
      <x:c r="Z353" s="2"/>
      <x:c r="AA353" s="2" t="s">
        <x:v>232</x:v>
      </x:c>
      <x:c r="AB353" s="2" t="s">
        <x:v>292</x:v>
      </x:c>
      <x:c r="AC353" s="2"/>
      <x:c r="AD353" s="2"/>
      <x:c r="AE353" s="2"/>
      <x:c r="AF353" s="2"/>
      <x:c r="AG353" s="2"/>
      <x:c r="AH353" s="2"/>
      <x:c r="AI353" s="4"/>
      <x:c r="AJ353" s="2"/>
      <x:c r="AK353" s="2" t="s">
        <x:v>234</x:v>
      </x:c>
      <x:c r="AL353" s="2" t="s">
        <x:v>1274</x:v>
      </x:c>
      <x:c r="AM353" s="2">
        <x:v>53</x:v>
      </x:c>
      <x:c r="AN353" s="2">
        <x:v>53</x:v>
      </x:c>
    </x:row>
    <x:row r="354" ht="52">
      <x:c r="A354" s="2" t="s">
        <x:v>91</x:v>
      </x:c>
      <x:c r="B354" s="2" t="s">
        <x:v>15</x:v>
      </x:c>
      <x:c r="C354" s="3">
        <x:v>52</x:v>
      </x:c>
      <x:c r="D354" s="2" t="s">
        <x:v>1288</x:v>
      </x:c>
      <x:c r="E354" s="2" t="s">
        <x:v>1309</x:v>
      </x:c>
      <x:c r="F354" s="2" t="s">
        <x:v>237</x:v>
      </x:c>
      <x:c r="G354" s="2" t="s">
        <x:v>1415</x:v>
      </x:c>
      <x:c r="H354" s="2" t="s">
        <x:v>618</x:v>
      </x:c>
      <x:c r="I354" s="2" t="s">
        <x:v>1416</x:v>
      </x:c>
      <x:c r="J354" s="2" t="s">
        <x:v>1417</x:v>
      </x:c>
      <x:c r="K354" s="2"/>
      <x:c r="L354" s="2"/>
      <x:c r="M354" s="2"/>
      <x:c r="N354" s="2" t="s">
        <x:v>1350</x:v>
      </x:c>
      <x:c r="O354" s="2" t="s">
        <x:v>1351</x:v>
      </x:c>
      <x:c r="P354" s="2" t="s">
        <x:v>1352</x:v>
      </x:c>
      <x:c r="Q354" s="2"/>
      <x:c r="R354" s="3">
        <x:v>4</x:v>
      </x:c>
      <x:c r="S354" s="3"/>
      <x:c r="T354" s="2"/>
      <x:c r="U354" s="2"/>
      <x:c r="V354" s="2"/>
      <x:c r="W354" s="2" t="s">
        <x:v>1416</x:v>
      </x:c>
      <x:c r="X354" s="3"/>
      <x:c r="Y354" s="3"/>
      <x:c r="Z354" s="2"/>
      <x:c r="AA354" s="2" t="s">
        <x:v>232</x:v>
      </x:c>
      <x:c r="AB354" s="2" t="s">
        <x:v>300</x:v>
      </x:c>
      <x:c r="AC354" s="2"/>
      <x:c r="AD354" s="2"/>
      <x:c r="AE354" s="2"/>
      <x:c r="AF354" s="2"/>
      <x:c r="AG354" s="2"/>
      <x:c r="AH354" s="2"/>
      <x:c r="AI354" s="4"/>
      <x:c r="AJ354" s="2"/>
      <x:c r="AK354" s="2" t="s">
        <x:v>234</x:v>
      </x:c>
      <x:c r="AL354" s="2" t="s">
        <x:v>1274</x:v>
      </x:c>
      <x:c r="AM354" s="2">
        <x:v>54</x:v>
      </x:c>
      <x:c r="AN354" s="2">
        <x:v>54</x:v>
      </x:c>
    </x:row>
    <x:row r="355" ht="52">
      <x:c r="A355" s="2" t="s">
        <x:v>6</x:v>
      </x:c>
      <x:c r="B355" s="2" t="s">
        <x:v>15</x:v>
      </x:c>
      <x:c r="C355" s="3">
        <x:v>53</x:v>
      </x:c>
      <x:c r="D355" s="2" t="s">
        <x:v>1418</x:v>
      </x:c>
      <x:c r="E355" s="2" t="s">
        <x:v>1309</x:v>
      </x:c>
      <x:c r="F355" s="2" t="s">
        <x:v>237</x:v>
      </x:c>
      <x:c r="G355" s="2"/>
      <x:c r="H355" s="2" t="s">
        <x:v>627</x:v>
      </x:c>
      <x:c r="I355" s="2" t="s">
        <x:v>1416</x:v>
      </x:c>
      <x:c r="J355" s="2" t="s">
        <x:v>1419</x:v>
      </x:c>
      <x:c r="K355" s="2" t="n">
        <x:v>52</x:v>
      </x:c>
      <x:c r="L355" s="2"/>
      <x:c r="M355" s="2"/>
      <x:c r="N355" s="2" t="s">
        <x:v>1350</x:v>
      </x:c>
      <x:c r="O355" s="2" t="s">
        <x:v>1355</x:v>
      </x:c>
      <x:c r="P355" s="2" t="s">
        <x:v>1356</x:v>
      </x:c>
      <x:c r="Q355" s="2"/>
      <x:c r="R355" s="3">
        <x:v>4</x:v>
      </x:c>
      <x:c r="S355" s="3"/>
      <x:c r="T355" s="2"/>
      <x:c r="U355" s="2"/>
      <x:c r="V355" s="2"/>
      <x:c r="W355" s="2" t="s">
        <x:v>1416</x:v>
      </x:c>
      <x:c r="X355" s="3"/>
      <x:c r="Y355" s="3"/>
      <x:c r="Z355" s="2"/>
      <x:c r="AA355" s="2" t="s">
        <x:v>232</x:v>
      </x:c>
      <x:c r="AB355" s="2" t="s">
        <x:v>1357</x:v>
      </x:c>
      <x:c r="AC355" s="2"/>
      <x:c r="AD355" s="2"/>
      <x:c r="AE355" s="2"/>
      <x:c r="AF355" s="2"/>
      <x:c r="AG355" s="2"/>
      <x:c r="AH355" s="2"/>
      <x:c r="AI355" s="4"/>
      <x:c r="AJ355" s="2"/>
      <x:c r="AK355" s="2" t="s">
        <x:v>234</x:v>
      </x:c>
      <x:c r="AL355" s="2" t="s">
        <x:v>1274</x:v>
      </x:c>
      <x:c r="AM355" s="2">
        <x:v>55</x:v>
      </x:c>
      <x:c r="AN355" s="2">
        <x:v>55</x:v>
      </x:c>
    </x:row>
    <x:row r="356" ht="39">
      <x:c r="A356" s="2" t="s">
        <x:v>91</x:v>
      </x:c>
      <x:c r="B356" s="2" t="s">
        <x:v>15</x:v>
      </x:c>
      <x:c r="C356" s="3">
        <x:v>54</x:v>
      </x:c>
      <x:c r="D356" s="2" t="s">
        <x:v>1420</x:v>
      </x:c>
      <x:c r="E356" s="2" t="s">
        <x:v>1309</x:v>
      </x:c>
      <x:c r="F356" s="2" t="s">
        <x:v>237</x:v>
      </x:c>
      <x:c r="G356" s="2" t="s">
        <x:v>1373</x:v>
      </x:c>
      <x:c r="H356" s="2" t="s">
        <x:v>634</x:v>
      </x:c>
      <x:c r="I356" s="2" t="s">
        <x:v>1416</x:v>
      </x:c>
      <x:c r="J356" s="2" t="s">
        <x:v>1359</x:v>
      </x:c>
      <x:c r="K356" s="2" t="n">
        <x:v>52</x:v>
      </x:c>
      <x:c r="L356" s="2"/>
      <x:c r="M356" s="2"/>
      <x:c r="N356" s="2" t="s">
        <x:v>1350</x:v>
      </x:c>
      <x:c r="O356" s="2" t="s">
        <x:v>1355</x:v>
      </x:c>
      <x:c r="P356" s="2" t="s">
        <x:v>1360</x:v>
      </x:c>
      <x:c r="Q356" s="2"/>
      <x:c r="R356" s="3">
        <x:v>4</x:v>
      </x:c>
      <x:c r="S356" s="3"/>
      <x:c r="T356" s="2"/>
      <x:c r="U356" s="2"/>
      <x:c r="V356" s="2"/>
      <x:c r="W356" s="2" t="s">
        <x:v>1416</x:v>
      </x:c>
      <x:c r="X356" s="3"/>
      <x:c r="Y356" s="3"/>
      <x:c r="Z356" s="2"/>
      <x:c r="AA356" s="2" t="s">
        <x:v>232</x:v>
      </x:c>
      <x:c r="AB356" s="2" t="s">
        <x:v>1421</x:v>
      </x:c>
      <x:c r="AC356" s="2"/>
      <x:c r="AD356" s="2"/>
      <x:c r="AE356" s="2"/>
      <x:c r="AF356" s="2"/>
      <x:c r="AG356" s="2"/>
      <x:c r="AH356" s="2"/>
      <x:c r="AI356" s="4"/>
      <x:c r="AJ356" s="2"/>
      <x:c r="AK356" s="2" t="s">
        <x:v>234</x:v>
      </x:c>
      <x:c r="AL356" s="2" t="s">
        <x:v>1274</x:v>
      </x:c>
      <x:c r="AM356" s="2">
        <x:v>56</x:v>
      </x:c>
      <x:c r="AN356" s="2">
        <x:v>56</x:v>
      </x:c>
    </x:row>
    <x:row r="357" ht="39">
      <x:c r="A357" s="2" t="s">
        <x:v>91</x:v>
      </x:c>
      <x:c r="B357" s="2" t="s">
        <x:v>15</x:v>
      </x:c>
      <x:c r="C357" s="3">
        <x:v>55</x:v>
      </x:c>
      <x:c r="D357" s="2" t="s">
        <x:v>1422</x:v>
      </x:c>
      <x:c r="E357" s="2" t="s">
        <x:v>1309</x:v>
      </x:c>
      <x:c r="F357" s="2" t="s">
        <x:v>237</x:v>
      </x:c>
      <x:c r="G357" s="2" t="s">
        <x:v>1415</x:v>
      </x:c>
      <x:c r="H357" s="2" t="s">
        <x:v>634</x:v>
      </x:c>
      <x:c r="I357" s="2" t="s">
        <x:v>1416</x:v>
      </x:c>
      <x:c r="J357" s="2" t="s">
        <x:v>1363</x:v>
      </x:c>
      <x:c r="K357" s="2" t="n">
        <x:v>52</x:v>
      </x:c>
      <x:c r="L357" s="2"/>
      <x:c r="M357" s="2"/>
      <x:c r="N357" s="2" t="s">
        <x:v>1350</x:v>
      </x:c>
      <x:c r="O357" s="2" t="s">
        <x:v>1355</x:v>
      </x:c>
      <x:c r="P357" s="2" t="s">
        <x:v>1364</x:v>
      </x:c>
      <x:c r="Q357" s="2"/>
      <x:c r="R357" s="3">
        <x:v>4</x:v>
      </x:c>
      <x:c r="S357" s="3"/>
      <x:c r="T357" s="2"/>
      <x:c r="U357" s="2"/>
      <x:c r="V357" s="2"/>
      <x:c r="W357" s="2" t="s">
        <x:v>1416</x:v>
      </x:c>
      <x:c r="X357" s="3"/>
      <x:c r="Y357" s="3"/>
      <x:c r="Z357" s="2"/>
      <x:c r="AA357" s="2" t="s">
        <x:v>232</x:v>
      </x:c>
      <x:c r="AB357" s="2" t="s">
        <x:v>1365</x:v>
      </x:c>
      <x:c r="AC357" s="2"/>
      <x:c r="AD357" s="2"/>
      <x:c r="AE357" s="2"/>
      <x:c r="AF357" s="2"/>
      <x:c r="AG357" s="2"/>
      <x:c r="AH357" s="2"/>
      <x:c r="AI357" s="4"/>
      <x:c r="AJ357" s="2"/>
      <x:c r="AK357" s="2" t="s">
        <x:v>234</x:v>
      </x:c>
      <x:c r="AL357" s="2" t="s">
        <x:v>1274</x:v>
      </x:c>
      <x:c r="AM357" s="2">
        <x:v>57</x:v>
      </x:c>
      <x:c r="AN357" s="2">
        <x:v>57</x:v>
      </x:c>
    </x:row>
    <x:row r="358" ht="39">
      <x:c r="A358" s="2" t="s">
        <x:v>91</x:v>
      </x:c>
      <x:c r="B358" s="2" t="s">
        <x:v>15</x:v>
      </x:c>
      <x:c r="C358" s="3">
        <x:v>56</x:v>
      </x:c>
      <x:c r="D358" s="2" t="s">
        <x:v>1423</x:v>
      </x:c>
      <x:c r="E358" s="2" t="s">
        <x:v>1309</x:v>
      </x:c>
      <x:c r="F358" s="2" t="s">
        <x:v>224</x:v>
      </x:c>
      <x:c r="G358" s="2" t="s">
        <x:v>1424</x:v>
      </x:c>
      <x:c r="H358" s="2" t="s">
        <x:v>634</x:v>
      </x:c>
      <x:c r="I358" s="2" t="s">
        <x:v>1416</x:v>
      </x:c>
      <x:c r="J358" s="2" t="s">
        <x:v>1363</x:v>
      </x:c>
      <x:c r="K358" s="2" t="n">
        <x:v>52</x:v>
      </x:c>
      <x:c r="L358" s="2"/>
      <x:c r="M358" s="2"/>
      <x:c r="N358" s="2" t="s">
        <x:v>1350</x:v>
      </x:c>
      <x:c r="O358" s="2" t="s">
        <x:v>1355</x:v>
      </x:c>
      <x:c r="P358" s="2" t="s">
        <x:v>1364</x:v>
      </x:c>
      <x:c r="Q358" s="2"/>
      <x:c r="R358" s="3">
        <x:v>4</x:v>
      </x:c>
      <x:c r="S358" s="3"/>
      <x:c r="T358" s="2"/>
      <x:c r="U358" s="2"/>
      <x:c r="V358" s="2"/>
      <x:c r="W358" s="2" t="s">
        <x:v>1416</x:v>
      </x:c>
      <x:c r="X358" s="3"/>
      <x:c r="Y358" s="3"/>
      <x:c r="Z358" s="2"/>
      <x:c r="AA358" s="2" t="s">
        <x:v>243</x:v>
      </x:c>
      <x:c r="AB358" s="2" t="s">
        <x:v>1365</x:v>
      </x:c>
      <x:c r="AC358" s="2"/>
      <x:c r="AD358" s="2"/>
      <x:c r="AE358" s="2"/>
      <x:c r="AF358" s="2"/>
      <x:c r="AG358" s="2"/>
      <x:c r="AH358" s="2"/>
      <x:c r="AI358" s="4"/>
      <x:c r="AJ358" s="2"/>
      <x:c r="AK358" s="2" t="s">
        <x:v>234</x:v>
      </x:c>
      <x:c r="AL358" s="2" t="s">
        <x:v>1274</x:v>
      </x:c>
      <x:c r="AM358" s="2">
        <x:v>58</x:v>
      </x:c>
      <x:c r="AN358" s="2">
        <x:v>58</x:v>
      </x:c>
    </x:row>
    <x:row r="359" ht="39">
      <x:c r="A359" s="2" t="s">
        <x:v>91</x:v>
      </x:c>
      <x:c r="B359" s="2" t="s">
        <x:v>15</x:v>
      </x:c>
      <x:c r="C359" s="3">
        <x:v>57</x:v>
      </x:c>
      <x:c r="D359" s="2" t="s">
        <x:v>1425</x:v>
      </x:c>
      <x:c r="E359" s="2" t="s">
        <x:v>1309</x:v>
      </x:c>
      <x:c r="F359" s="2" t="s">
        <x:v>224</x:v>
      </x:c>
      <x:c r="G359" s="2" t="s">
        <x:v>1276</x:v>
      </x:c>
      <x:c r="H359" s="2" t="s">
        <x:v>634</x:v>
      </x:c>
      <x:c r="I359" s="2" t="s">
        <x:v>1416</x:v>
      </x:c>
      <x:c r="J359" s="2" t="s">
        <x:v>1359</x:v>
      </x:c>
      <x:c r="K359" s="2" t="n">
        <x:v>52</x:v>
      </x:c>
      <x:c r="L359" s="2"/>
      <x:c r="M359" s="2"/>
      <x:c r="N359" s="2" t="s">
        <x:v>1350</x:v>
      </x:c>
      <x:c r="O359" s="2" t="s">
        <x:v>1355</x:v>
      </x:c>
      <x:c r="P359" s="2" t="s">
        <x:v>1360</x:v>
      </x:c>
      <x:c r="Q359" s="2"/>
      <x:c r="R359" s="3">
        <x:v>4</x:v>
      </x:c>
      <x:c r="S359" s="3"/>
      <x:c r="T359" s="2"/>
      <x:c r="U359" s="2"/>
      <x:c r="V359" s="2"/>
      <x:c r="W359" s="2" t="s">
        <x:v>1416</x:v>
      </x:c>
      <x:c r="X359" s="3"/>
      <x:c r="Y359" s="3"/>
      <x:c r="Z359" s="2"/>
      <x:c r="AA359" s="2" t="s">
        <x:v>243</x:v>
      </x:c>
      <x:c r="AB359" s="2" t="s">
        <x:v>1368</x:v>
      </x:c>
      <x:c r="AC359" s="2"/>
      <x:c r="AD359" s="2"/>
      <x:c r="AE359" s="2"/>
      <x:c r="AF359" s="2"/>
      <x:c r="AG359" s="2"/>
      <x:c r="AH359" s="2"/>
      <x:c r="AI359" s="4"/>
      <x:c r="AJ359" s="2"/>
      <x:c r="AK359" s="2" t="s">
        <x:v>234</x:v>
      </x:c>
      <x:c r="AL359" s="2" t="s">
        <x:v>1274</x:v>
      </x:c>
      <x:c r="AM359" s="2">
        <x:v>59</x:v>
      </x:c>
      <x:c r="AN359" s="2">
        <x:v>59</x:v>
      </x:c>
    </x:row>
    <x:row r="360" ht="52">
      <x:c r="A360" s="2" t="s">
        <x:v>6</x:v>
      </x:c>
      <x:c r="B360" s="2" t="s">
        <x:v>15</x:v>
      </x:c>
      <x:c r="C360" s="3">
        <x:v>58</x:v>
      </x:c>
      <x:c r="D360" s="2" t="s">
        <x:v>1384</x:v>
      </x:c>
      <x:c r="E360" s="2" t="s">
        <x:v>1309</x:v>
      </x:c>
      <x:c r="F360" s="2" t="s">
        <x:v>224</x:v>
      </x:c>
      <x:c r="G360" s="2"/>
      <x:c r="H360" s="2" t="s">
        <x:v>627</x:v>
      </x:c>
      <x:c r="I360" s="2" t="s">
        <x:v>1416</x:v>
      </x:c>
      <x:c r="J360" s="2" t="s">
        <x:v>1426</x:v>
      </x:c>
      <x:c r="K360" s="2" t="n">
        <x:v>52</x:v>
      </x:c>
      <x:c r="L360" s="2"/>
      <x:c r="M360" s="2"/>
      <x:c r="N360" s="2" t="s">
        <x:v>1350</x:v>
      </x:c>
      <x:c r="O360" s="2" t="s">
        <x:v>1355</x:v>
      </x:c>
      <x:c r="P360" s="2" t="s">
        <x:v>1356</x:v>
      </x:c>
      <x:c r="Q360" s="2"/>
      <x:c r="R360" s="3">
        <x:v>4</x:v>
      </x:c>
      <x:c r="S360" s="3"/>
      <x:c r="T360" s="2"/>
      <x:c r="U360" s="2"/>
      <x:c r="V360" s="2"/>
      <x:c r="W360" s="2" t="s">
        <x:v>1416</x:v>
      </x:c>
      <x:c r="X360" s="3"/>
      <x:c r="Y360" s="3"/>
      <x:c r="Z360" s="2"/>
      <x:c r="AA360" s="2" t="s">
        <x:v>243</x:v>
      </x:c>
      <x:c r="AB360" s="2" t="s">
        <x:v>1357</x:v>
      </x:c>
      <x:c r="AC360" s="2"/>
      <x:c r="AD360" s="2"/>
      <x:c r="AE360" s="2"/>
      <x:c r="AF360" s="2"/>
      <x:c r="AG360" s="2"/>
      <x:c r="AH360" s="2"/>
      <x:c r="AI360" s="4"/>
      <x:c r="AJ360" s="2"/>
      <x:c r="AK360" s="2" t="s">
        <x:v>234</x:v>
      </x:c>
      <x:c r="AL360" s="2" t="s">
        <x:v>1274</x:v>
      </x:c>
      <x:c r="AM360" s="2">
        <x:v>60</x:v>
      </x:c>
      <x:c r="AN360" s="2">
        <x:v>60</x:v>
      </x:c>
    </x:row>
    <x:row r="361" ht="52">
      <x:c r="A361" s="2" t="s">
        <x:v>91</x:v>
      </x:c>
      <x:c r="B361" s="2" t="s">
        <x:v>15</x:v>
      </x:c>
      <x:c r="C361" s="3">
        <x:v>59</x:v>
      </x:c>
      <x:c r="D361" s="2" t="s">
        <x:v>1281</x:v>
      </x:c>
      <x:c r="E361" s="2" t="s">
        <x:v>1309</x:v>
      </x:c>
      <x:c r="F361" s="2" t="s">
        <x:v>224</x:v>
      </x:c>
      <x:c r="G361" s="2" t="s">
        <x:v>1276</x:v>
      </x:c>
      <x:c r="H361" s="2" t="s">
        <x:v>618</x:v>
      </x:c>
      <x:c r="I361" s="2" t="s">
        <x:v>1416</x:v>
      </x:c>
      <x:c r="J361" s="2" t="s">
        <x:v>1427</x:v>
      </x:c>
      <x:c r="K361" s="2" t="n">
        <x:v>52</x:v>
      </x:c>
      <x:c r="L361" s="2"/>
      <x:c r="M361" s="2"/>
      <x:c r="N361" s="2" t="s">
        <x:v>1350</x:v>
      </x:c>
      <x:c r="O361" s="2" t="s">
        <x:v>1355</x:v>
      </x:c>
      <x:c r="P361" s="2" t="s">
        <x:v>1352</x:v>
      </x:c>
      <x:c r="Q361" s="2"/>
      <x:c r="R361" s="3">
        <x:v>4</x:v>
      </x:c>
      <x:c r="S361" s="3"/>
      <x:c r="T361" s="2"/>
      <x:c r="U361" s="2"/>
      <x:c r="V361" s="2"/>
      <x:c r="W361" s="2" t="s">
        <x:v>1416</x:v>
      </x:c>
      <x:c r="X361" s="3"/>
      <x:c r="Y361" s="3"/>
      <x:c r="Z361" s="2"/>
      <x:c r="AA361" s="2" t="s">
        <x:v>243</x:v>
      </x:c>
      <x:c r="AB361" s="2" t="s">
        <x:v>244</x:v>
      </x:c>
      <x:c r="AC361" s="2"/>
      <x:c r="AD361" s="2"/>
      <x:c r="AE361" s="2"/>
      <x:c r="AF361" s="2"/>
      <x:c r="AG361" s="2"/>
      <x:c r="AH361" s="2"/>
      <x:c r="AI361" s="4"/>
      <x:c r="AJ361" s="2"/>
      <x:c r="AK361" s="2" t="s">
        <x:v>234</x:v>
      </x:c>
      <x:c r="AL361" s="2" t="s">
        <x:v>1274</x:v>
      </x:c>
      <x:c r="AM361" s="2">
        <x:v>61</x:v>
      </x:c>
      <x:c r="AN361" s="2">
        <x:v>61</x:v>
      </x:c>
    </x:row>
    <x:row r="362" ht="52">
      <x:c r="A362" s="2" t="s">
        <x:v>6</x:v>
      </x:c>
      <x:c r="B362" s="2" t="s">
        <x:v>15</x:v>
      </x:c>
      <x:c r="C362" s="3">
        <x:v>60</x:v>
      </x:c>
      <x:c r="D362" s="2" t="s">
        <x:v>1281</x:v>
      </x:c>
      <x:c r="E362" s="2" t="s">
        <x:v>1428</x:v>
      </x:c>
      <x:c r="F362" s="2" t="s">
        <x:v>224</x:v>
      </x:c>
      <x:c r="G362" s="2"/>
      <x:c r="H362" s="2" t="s">
        <x:v>618</x:v>
      </x:c>
      <x:c r="I362" s="2" t="s">
        <x:v>1429</x:v>
      </x:c>
      <x:c r="J362" s="2" t="s">
        <x:v>1371</x:v>
      </x:c>
      <x:c r="K362" s="2"/>
      <x:c r="L362" s="2"/>
      <x:c r="M362" s="2"/>
      <x:c r="N362" s="2" t="s">
        <x:v>1430</x:v>
      </x:c>
      <x:c r="O362" s="2" t="s">
        <x:v>1351</x:v>
      </x:c>
      <x:c r="P362" s="2" t="s">
        <x:v>1352</x:v>
      </x:c>
      <x:c r="Q362" s="2"/>
      <x:c r="R362" s="3">
        <x:v>2</x:v>
      </x:c>
      <x:c r="S362" s="3"/>
      <x:c r="T362" s="2"/>
      <x:c r="U362" s="2"/>
      <x:c r="V362" s="2"/>
      <x:c r="W362" s="2" t="s">
        <x:v>1429</x:v>
      </x:c>
      <x:c r="X362" s="3"/>
      <x:c r="Y362" s="3"/>
      <x:c r="Z362" s="2"/>
      <x:c r="AA362" s="2" t="s">
        <x:v>243</x:v>
      </x:c>
      <x:c r="AB362" s="2" t="s">
        <x:v>244</x:v>
      </x:c>
      <x:c r="AC362" s="2"/>
      <x:c r="AD362" s="2"/>
      <x:c r="AE362" s="2"/>
      <x:c r="AF362" s="2"/>
      <x:c r="AG362" s="2"/>
      <x:c r="AH362" s="2"/>
      <x:c r="AI362" s="4"/>
      <x:c r="AJ362" s="2"/>
      <x:c r="AK362" s="2" t="s">
        <x:v>234</x:v>
      </x:c>
      <x:c r="AL362" s="2" t="s">
        <x:v>1274</x:v>
      </x:c>
      <x:c r="AM362" s="2">
        <x:v>62</x:v>
      </x:c>
      <x:c r="AN362" s="2">
        <x:v>62</x:v>
      </x:c>
    </x:row>
    <x:row r="363" ht="52">
      <x:c r="A363" s="2" t="s">
        <x:v>6</x:v>
      </x:c>
      <x:c r="B363" s="2" t="s">
        <x:v>15</x:v>
      </x:c>
      <x:c r="C363" s="3">
        <x:v>61</x:v>
      </x:c>
      <x:c r="D363" s="2" t="s">
        <x:v>1431</x:v>
      </x:c>
      <x:c r="E363" s="2" t="s">
        <x:v>1428</x:v>
      </x:c>
      <x:c r="F363" s="2" t="s">
        <x:v>224</x:v>
      </x:c>
      <x:c r="G363" s="2"/>
      <x:c r="H363" s="2" t="s">
        <x:v>627</x:v>
      </x:c>
      <x:c r="I363" s="2" t="s">
        <x:v>1429</x:v>
      </x:c>
      <x:c r="J363" s="2" t="s">
        <x:v>1432</x:v>
      </x:c>
      <x:c r="K363" s="2" t="n">
        <x:v>60</x:v>
      </x:c>
      <x:c r="L363" s="2"/>
      <x:c r="M363" s="2"/>
      <x:c r="N363" s="2" t="s">
        <x:v>1430</x:v>
      </x:c>
      <x:c r="O363" s="2" t="s">
        <x:v>1355</x:v>
      </x:c>
      <x:c r="P363" s="2" t="s">
        <x:v>1356</x:v>
      </x:c>
      <x:c r="Q363" s="2"/>
      <x:c r="R363" s="3">
        <x:v>2</x:v>
      </x:c>
      <x:c r="S363" s="3"/>
      <x:c r="T363" s="2"/>
      <x:c r="U363" s="2"/>
      <x:c r="V363" s="2"/>
      <x:c r="W363" s="2" t="s">
        <x:v>1429</x:v>
      </x:c>
      <x:c r="X363" s="3"/>
      <x:c r="Y363" s="3"/>
      <x:c r="Z363" s="2"/>
      <x:c r="AA363" s="2" t="s">
        <x:v>243</x:v>
      </x:c>
      <x:c r="AB363" s="2" t="s">
        <x:v>1357</x:v>
      </x:c>
      <x:c r="AC363" s="2"/>
      <x:c r="AD363" s="2"/>
      <x:c r="AE363" s="2"/>
      <x:c r="AF363" s="2"/>
      <x:c r="AG363" s="2"/>
      <x:c r="AH363" s="2"/>
      <x:c r="AI363" s="4"/>
      <x:c r="AJ363" s="2"/>
      <x:c r="AK363" s="2" t="s">
        <x:v>234</x:v>
      </x:c>
      <x:c r="AL363" s="2" t="s">
        <x:v>1274</x:v>
      </x:c>
      <x:c r="AM363" s="2">
        <x:v>63</x:v>
      </x:c>
      <x:c r="AN363" s="2">
        <x:v>63</x:v>
      </x:c>
    </x:row>
    <x:row r="364" ht="52">
      <x:c r="A364" s="2" t="s">
        <x:v>6</x:v>
      </x:c>
      <x:c r="B364" s="2" t="s">
        <x:v>15</x:v>
      </x:c>
      <x:c r="C364" s="3">
        <x:v>62</x:v>
      </x:c>
      <x:c r="D364" s="2" t="s">
        <x:v>1433</x:v>
      </x:c>
      <x:c r="E364" s="2" t="s">
        <x:v>1428</x:v>
      </x:c>
      <x:c r="F364" s="2" t="s">
        <x:v>247</x:v>
      </x:c>
      <x:c r="G364" s="2"/>
      <x:c r="H364" s="2" t="s">
        <x:v>627</x:v>
      </x:c>
      <x:c r="I364" s="2" t="s">
        <x:v>1429</x:v>
      </x:c>
      <x:c r="J364" s="2" t="s">
        <x:v>1434</x:v>
      </x:c>
      <x:c r="K364" s="2" t="n">
        <x:v>60</x:v>
      </x:c>
      <x:c r="L364" s="2"/>
      <x:c r="M364" s="2"/>
      <x:c r="N364" s="2" t="s">
        <x:v>1430</x:v>
      </x:c>
      <x:c r="O364" s="2" t="s">
        <x:v>1355</x:v>
      </x:c>
      <x:c r="P364" s="2" t="s">
        <x:v>1356</x:v>
      </x:c>
      <x:c r="Q364" s="2"/>
      <x:c r="R364" s="3">
        <x:v>2</x:v>
      </x:c>
      <x:c r="S364" s="3"/>
      <x:c r="T364" s="2"/>
      <x:c r="U364" s="2"/>
      <x:c r="V364" s="2"/>
      <x:c r="W364" s="2" t="s">
        <x:v>1429</x:v>
      </x:c>
      <x:c r="X364" s="3"/>
      <x:c r="Y364" s="3"/>
      <x:c r="Z364" s="2"/>
      <x:c r="AA364" s="2" t="s">
        <x:v>232</x:v>
      </x:c>
      <x:c r="AB364" s="2" t="s">
        <x:v>1357</x:v>
      </x:c>
      <x:c r="AC364" s="2"/>
      <x:c r="AD364" s="2"/>
      <x:c r="AE364" s="2"/>
      <x:c r="AF364" s="2"/>
      <x:c r="AG364" s="2"/>
      <x:c r="AH364" s="2"/>
      <x:c r="AI364" s="4"/>
      <x:c r="AJ364" s="2"/>
      <x:c r="AK364" s="2" t="s">
        <x:v>234</x:v>
      </x:c>
      <x:c r="AL364" s="2" t="s">
        <x:v>1274</x:v>
      </x:c>
      <x:c r="AM364" s="2">
        <x:v>64</x:v>
      </x:c>
      <x:c r="AN364" s="2">
        <x:v>64</x:v>
      </x:c>
    </x:row>
    <x:row r="365" ht="52">
      <x:c r="A365" s="2" t="s">
        <x:v>91</x:v>
      </x:c>
      <x:c r="B365" s="2" t="s">
        <x:v>15</x:v>
      </x:c>
      <x:c r="C365" s="3">
        <x:v>63</x:v>
      </x:c>
      <x:c r="D365" s="2" t="s">
        <x:v>1388</x:v>
      </x:c>
      <x:c r="E365" s="2" t="s">
        <x:v>1428</x:v>
      </x:c>
      <x:c r="F365" s="2" t="s">
        <x:v>247</x:v>
      </x:c>
      <x:c r="G365" s="2" t="s">
        <x:v>1415</x:v>
      </x:c>
      <x:c r="H365" s="2" t="s">
        <x:v>618</x:v>
      </x:c>
      <x:c r="I365" s="2" t="s">
        <x:v>1429</x:v>
      </x:c>
      <x:c r="J365" s="2" t="s">
        <x:v>1391</x:v>
      </x:c>
      <x:c r="K365" s="2" t="n">
        <x:v>60</x:v>
      </x:c>
      <x:c r="L365" s="2"/>
      <x:c r="M365" s="2"/>
      <x:c r="N365" s="2" t="s">
        <x:v>1430</x:v>
      </x:c>
      <x:c r="O365" s="2" t="s">
        <x:v>1355</x:v>
      </x:c>
      <x:c r="P365" s="2" t="s">
        <x:v>1352</x:v>
      </x:c>
      <x:c r="Q365" s="2"/>
      <x:c r="R365" s="3">
        <x:v>2</x:v>
      </x:c>
      <x:c r="S365" s="3"/>
      <x:c r="T365" s="2"/>
      <x:c r="U365" s="2"/>
      <x:c r="V365" s="2"/>
      <x:c r="W365" s="2" t="s">
        <x:v>1429</x:v>
      </x:c>
      <x:c r="X365" s="3"/>
      <x:c r="Y365" s="3"/>
      <x:c r="Z365" s="2"/>
      <x:c r="AA365" s="2" t="s">
        <x:v>232</x:v>
      </x:c>
      <x:c r="AB365" s="2" t="s">
        <x:v>233</x:v>
      </x:c>
      <x:c r="AC365" s="2"/>
      <x:c r="AD365" s="2"/>
      <x:c r="AE365" s="2"/>
      <x:c r="AF365" s="2"/>
      <x:c r="AG365" s="2"/>
      <x:c r="AH365" s="2"/>
      <x:c r="AI365" s="4"/>
      <x:c r="AJ365" s="2"/>
      <x:c r="AK365" s="2" t="s">
        <x:v>234</x:v>
      </x:c>
      <x:c r="AL365" s="2" t="s">
        <x:v>1274</x:v>
      </x:c>
      <x:c r="AM365" s="2">
        <x:v>65</x:v>
      </x:c>
      <x:c r="AN365" s="2">
        <x:v>65</x:v>
      </x:c>
    </x:row>
    <x:row r="366" ht="52">
      <x:c r="A366" s="2" t="s">
        <x:v>91</x:v>
      </x:c>
      <x:c r="B366" s="2" t="s">
        <x:v>15</x:v>
      </x:c>
      <x:c r="C366" s="3">
        <x:v>64</x:v>
      </x:c>
      <x:c r="D366" s="2" t="s">
        <x:v>1346</x:v>
      </x:c>
      <x:c r="E366" s="2" t="s">
        <x:v>1435</x:v>
      </x:c>
      <x:c r="F366" s="2" t="s">
        <x:v>254</x:v>
      </x:c>
      <x:c r="G366" s="2" t="s">
        <x:v>1290</x:v>
      </x:c>
      <x:c r="H366" s="2" t="s">
        <x:v>618</x:v>
      </x:c>
      <x:c r="I366" s="2" t="s">
        <x:v>1436</x:v>
      </x:c>
      <x:c r="J366" s="2" t="s">
        <x:v>1414</x:v>
      </x:c>
      <x:c r="K366" s="2"/>
      <x:c r="L366" s="2"/>
      <x:c r="M366" s="2"/>
      <x:c r="N366" s="2" t="s">
        <x:v>1430</x:v>
      </x:c>
      <x:c r="O366" s="2" t="s">
        <x:v>1351</x:v>
      </x:c>
      <x:c r="P366" s="2" t="s">
        <x:v>1352</x:v>
      </x:c>
      <x:c r="Q366" s="2"/>
      <x:c r="R366" s="3">
        <x:v>3</x:v>
      </x:c>
      <x:c r="S366" s="3"/>
      <x:c r="T366" s="2"/>
      <x:c r="U366" s="2"/>
      <x:c r="V366" s="2"/>
      <x:c r="W366" s="2" t="s">
        <x:v>1436</x:v>
      </x:c>
      <x:c r="X366" s="3"/>
      <x:c r="Y366" s="3"/>
      <x:c r="Z366" s="2"/>
      <x:c r="AA366" s="2" t="s">
        <x:v>232</x:v>
      </x:c>
      <x:c r="AB366" s="2" t="s">
        <x:v>292</x:v>
      </x:c>
      <x:c r="AC366" s="2"/>
      <x:c r="AD366" s="2"/>
      <x:c r="AE366" s="2"/>
      <x:c r="AF366" s="2"/>
      <x:c r="AG366" s="2"/>
      <x:c r="AH366" s="2"/>
      <x:c r="AI366" s="4"/>
      <x:c r="AJ366" s="2"/>
      <x:c r="AK366" s="2" t="s">
        <x:v>234</x:v>
      </x:c>
      <x:c r="AL366" s="2" t="s">
        <x:v>1274</x:v>
      </x:c>
      <x:c r="AM366" s="2">
        <x:v>66</x:v>
      </x:c>
      <x:c r="AN366" s="2">
        <x:v>66</x:v>
      </x:c>
    </x:row>
    <x:row r="367" ht="52">
      <x:c r="A367" s="2" t="s">
        <x:v>6</x:v>
      </x:c>
      <x:c r="B367" s="2" t="s">
        <x:v>15</x:v>
      </x:c>
      <x:c r="C367" s="3">
        <x:v>65</x:v>
      </x:c>
      <x:c r="D367" s="2" t="s">
        <x:v>1401</x:v>
      </x:c>
      <x:c r="E367" s="2" t="s">
        <x:v>1435</x:v>
      </x:c>
      <x:c r="F367" s="2" t="s">
        <x:v>254</x:v>
      </x:c>
      <x:c r="G367" s="2"/>
      <x:c r="H367" s="2" t="s">
        <x:v>627</x:v>
      </x:c>
      <x:c r="I367" s="2" t="s">
        <x:v>1436</x:v>
      </x:c>
      <x:c r="J367" s="2" t="s">
        <x:v>1437</x:v>
      </x:c>
      <x:c r="K367" s="2" t="n">
        <x:v>64</x:v>
      </x:c>
      <x:c r="L367" s="2"/>
      <x:c r="M367" s="2"/>
      <x:c r="N367" s="2" t="s">
        <x:v>1430</x:v>
      </x:c>
      <x:c r="O367" s="2" t="s">
        <x:v>1355</x:v>
      </x:c>
      <x:c r="P367" s="2" t="s">
        <x:v>1356</x:v>
      </x:c>
      <x:c r="Q367" s="2"/>
      <x:c r="R367" s="3">
        <x:v>3</x:v>
      </x:c>
      <x:c r="S367" s="3"/>
      <x:c r="T367" s="2"/>
      <x:c r="U367" s="2"/>
      <x:c r="V367" s="2"/>
      <x:c r="W367" s="2" t="s">
        <x:v>1436</x:v>
      </x:c>
      <x:c r="X367" s="3"/>
      <x:c r="Y367" s="3"/>
      <x:c r="Z367" s="2"/>
      <x:c r="AA367" s="2" t="s">
        <x:v>232</x:v>
      </x:c>
      <x:c r="AB367" s="2" t="s">
        <x:v>1357</x:v>
      </x:c>
      <x:c r="AC367" s="2"/>
      <x:c r="AD367" s="2"/>
      <x:c r="AE367" s="2"/>
      <x:c r="AF367" s="2"/>
      <x:c r="AG367" s="2"/>
      <x:c r="AH367" s="2"/>
      <x:c r="AI367" s="4"/>
      <x:c r="AJ367" s="2"/>
      <x:c r="AK367" s="2" t="s">
        <x:v>234</x:v>
      </x:c>
      <x:c r="AL367" s="2" t="s">
        <x:v>1274</x:v>
      </x:c>
      <x:c r="AM367" s="2">
        <x:v>67</x:v>
      </x:c>
      <x:c r="AN367" s="2">
        <x:v>67</x:v>
      </x:c>
    </x:row>
    <x:row r="368" ht="52">
      <x:c r="A368" s="2" t="s">
        <x:v>6</x:v>
      </x:c>
      <x:c r="B368" s="2" t="s">
        <x:v>15</x:v>
      </x:c>
      <x:c r="C368" s="3">
        <x:v>66</x:v>
      </x:c>
      <x:c r="D368" s="2" t="s">
        <x:v>1418</x:v>
      </x:c>
      <x:c r="E368" s="2" t="s">
        <x:v>1435</x:v>
      </x:c>
      <x:c r="F368" s="2" t="s">
        <x:v>237</x:v>
      </x:c>
      <x:c r="G368" s="2"/>
      <x:c r="H368" s="2" t="s">
        <x:v>627</x:v>
      </x:c>
      <x:c r="I368" s="2" t="s">
        <x:v>1436</x:v>
      </x:c>
      <x:c r="J368" s="2" t="s">
        <x:v>1438</x:v>
      </x:c>
      <x:c r="K368" s="2" t="n">
        <x:v>64</x:v>
      </x:c>
      <x:c r="L368" s="2"/>
      <x:c r="M368" s="2"/>
      <x:c r="N368" s="2" t="s">
        <x:v>1430</x:v>
      </x:c>
      <x:c r="O368" s="2" t="s">
        <x:v>1355</x:v>
      </x:c>
      <x:c r="P368" s="2" t="s">
        <x:v>1356</x:v>
      </x:c>
      <x:c r="Q368" s="2"/>
      <x:c r="R368" s="3">
        <x:v>3</x:v>
      </x:c>
      <x:c r="S368" s="3"/>
      <x:c r="T368" s="2"/>
      <x:c r="U368" s="2"/>
      <x:c r="V368" s="2"/>
      <x:c r="W368" s="2" t="s">
        <x:v>1436</x:v>
      </x:c>
      <x:c r="X368" s="3"/>
      <x:c r="Y368" s="3"/>
      <x:c r="Z368" s="2"/>
      <x:c r="AA368" s="2" t="s">
        <x:v>275</x:v>
      </x:c>
      <x:c r="AB368" s="2" t="s">
        <x:v>1357</x:v>
      </x:c>
      <x:c r="AC368" s="2"/>
      <x:c r="AD368" s="2"/>
      <x:c r="AE368" s="2"/>
      <x:c r="AF368" s="2"/>
      <x:c r="AG368" s="2"/>
      <x:c r="AH368" s="2"/>
      <x:c r="AI368" s="4"/>
      <x:c r="AJ368" s="2"/>
      <x:c r="AK368" s="2" t="s">
        <x:v>234</x:v>
      </x:c>
      <x:c r="AL368" s="2" t="s">
        <x:v>1274</x:v>
      </x:c>
      <x:c r="AM368" s="2">
        <x:v>68</x:v>
      </x:c>
      <x:c r="AN368" s="2">
        <x:v>68</x:v>
      </x:c>
    </x:row>
    <x:row r="369" ht="52">
      <x:c r="A369" s="2" t="s">
        <x:v>6</x:v>
      </x:c>
      <x:c r="B369" s="2" t="s">
        <x:v>15</x:v>
      </x:c>
      <x:c r="C369" s="3">
        <x:v>67</x:v>
      </x:c>
      <x:c r="D369" s="2" t="s">
        <x:v>1340</x:v>
      </x:c>
      <x:c r="E369" s="2" t="s">
        <x:v>1435</x:v>
      </x:c>
      <x:c r="F369" s="2" t="s">
        <x:v>237</x:v>
      </x:c>
      <x:c r="G369" s="2"/>
      <x:c r="H369" s="2" t="s">
        <x:v>618</x:v>
      </x:c>
      <x:c r="I369" s="2" t="s">
        <x:v>1436</x:v>
      </x:c>
      <x:c r="J369" s="2" t="s">
        <x:v>1375</x:v>
      </x:c>
      <x:c r="K369" s="2" t="n">
        <x:v>64</x:v>
      </x:c>
      <x:c r="L369" s="2"/>
      <x:c r="M369" s="2"/>
      <x:c r="N369" s="2" t="s">
        <x:v>1430</x:v>
      </x:c>
      <x:c r="O369" s="2" t="s">
        <x:v>1355</x:v>
      </x:c>
      <x:c r="P369" s="2" t="s">
        <x:v>1352</x:v>
      </x:c>
      <x:c r="Q369" s="2"/>
      <x:c r="R369" s="3">
        <x:v>3</x:v>
      </x:c>
      <x:c r="S369" s="3"/>
      <x:c r="T369" s="2"/>
      <x:c r="U369" s="2"/>
      <x:c r="V369" s="2"/>
      <x:c r="W369" s="2" t="s">
        <x:v>1436</x:v>
      </x:c>
      <x:c r="X369" s="3"/>
      <x:c r="Y369" s="3"/>
      <x:c r="Z369" s="2"/>
      <x:c r="AA369" s="2" t="s">
        <x:v>275</x:v>
      </x:c>
      <x:c r="AB369" s="2" t="s">
        <x:v>284</x:v>
      </x:c>
      <x:c r="AC369" s="2"/>
      <x:c r="AD369" s="2"/>
      <x:c r="AE369" s="2"/>
      <x:c r="AF369" s="2"/>
      <x:c r="AG369" s="2"/>
      <x:c r="AH369" s="2"/>
      <x:c r="AI369" s="4"/>
      <x:c r="AJ369" s="2"/>
      <x:c r="AK369" s="2" t="s">
        <x:v>234</x:v>
      </x:c>
      <x:c r="AL369" s="2" t="s">
        <x:v>1274</x:v>
      </x:c>
      <x:c r="AM369" s="2">
        <x:v>69</x:v>
      </x:c>
      <x:c r="AN369" s="2">
        <x:v>69</x:v>
      </x:c>
    </x:row>
    <x:row r="370" ht="52">
      <x:c r="A370" s="2" t="s">
        <x:v>91</x:v>
      </x:c>
      <x:c r="B370" s="2" t="s">
        <x:v>15</x:v>
      </x:c>
      <x:c r="C370" s="3">
        <x:v>68</x:v>
      </x:c>
      <x:c r="D370" s="2" t="s">
        <x:v>1439</x:v>
      </x:c>
      <x:c r="E370" s="2" t="s">
        <x:v>1440</x:v>
      </x:c>
      <x:c r="F370" s="2" t="s">
        <x:v>254</x:v>
      </x:c>
      <x:c r="G370" s="2" t="s">
        <x:v>1373</x:v>
      </x:c>
      <x:c r="H370" s="2" t="s">
        <x:v>618</x:v>
      </x:c>
      <x:c r="I370" s="2" t="s">
        <x:v>1441</x:v>
      </x:c>
      <x:c r="J370" s="2" t="s">
        <x:v>1442</x:v>
      </x:c>
      <x:c r="K370" s="2"/>
      <x:c r="L370" s="2"/>
      <x:c r="M370" s="2"/>
      <x:c r="N370" s="2" t="s">
        <x:v>1430</x:v>
      </x:c>
      <x:c r="O370" s="2" t="s">
        <x:v>1351</x:v>
      </x:c>
      <x:c r="P370" s="2" t="s">
        <x:v>1352</x:v>
      </x:c>
      <x:c r="Q370" s="2"/>
      <x:c r="R370" s="3">
        <x:v>4</x:v>
      </x:c>
      <x:c r="S370" s="3"/>
      <x:c r="T370" s="2"/>
      <x:c r="U370" s="2"/>
      <x:c r="V370" s="2"/>
      <x:c r="W370" s="2" t="s">
        <x:v>1441</x:v>
      </x:c>
      <x:c r="X370" s="3"/>
      <x:c r="Y370" s="3"/>
      <x:c r="Z370" s="2"/>
      <x:c r="AA370" s="2" t="s">
        <x:v>1314</x:v>
      </x:c>
      <x:c r="AB370" s="2" t="s">
        <x:v>1315</x:v>
      </x:c>
      <x:c r="AC370" s="2"/>
      <x:c r="AD370" s="2"/>
      <x:c r="AE370" s="2"/>
      <x:c r="AF370" s="2"/>
      <x:c r="AG370" s="2"/>
      <x:c r="AH370" s="2"/>
      <x:c r="AI370" s="4"/>
      <x:c r="AJ370" s="2"/>
      <x:c r="AK370" s="2" t="s">
        <x:v>234</x:v>
      </x:c>
      <x:c r="AL370" s="2" t="s">
        <x:v>1274</x:v>
      </x:c>
      <x:c r="AM370" s="2">
        <x:v>70</x:v>
      </x:c>
      <x:c r="AN370" s="2">
        <x:v>70</x:v>
      </x:c>
    </x:row>
    <x:row r="371" ht="52">
      <x:c r="A371" s="2" t="s">
        <x:v>6</x:v>
      </x:c>
      <x:c r="B371" s="2" t="s">
        <x:v>15</x:v>
      </x:c>
      <x:c r="C371" s="3">
        <x:v>69</x:v>
      </x:c>
      <x:c r="D371" s="2" t="s">
        <x:v>1443</x:v>
      </x:c>
      <x:c r="E371" s="2" t="s">
        <x:v>1440</x:v>
      </x:c>
      <x:c r="F371" s="2" t="s">
        <x:v>254</x:v>
      </x:c>
      <x:c r="G371" s="2"/>
      <x:c r="H371" s="2" t="s">
        <x:v>627</x:v>
      </x:c>
      <x:c r="I371" s="2" t="s">
        <x:v>1441</x:v>
      </x:c>
      <x:c r="J371" s="2" t="s">
        <x:v>1444</x:v>
      </x:c>
      <x:c r="K371" s="2" t="n">
        <x:v>68</x:v>
      </x:c>
      <x:c r="L371" s="2"/>
      <x:c r="M371" s="2"/>
      <x:c r="N371" s="2" t="s">
        <x:v>1430</x:v>
      </x:c>
      <x:c r="O371" s="2" t="s">
        <x:v>1355</x:v>
      </x:c>
      <x:c r="P371" s="2" t="s">
        <x:v>1356</x:v>
      </x:c>
      <x:c r="Q371" s="2"/>
      <x:c r="R371" s="3">
        <x:v>4</x:v>
      </x:c>
      <x:c r="S371" s="3"/>
      <x:c r="T371" s="2"/>
      <x:c r="U371" s="2"/>
      <x:c r="V371" s="2"/>
      <x:c r="W371" s="2" t="s">
        <x:v>1441</x:v>
      </x:c>
      <x:c r="X371" s="3"/>
      <x:c r="Y371" s="3"/>
      <x:c r="Z371" s="2"/>
      <x:c r="AA371" s="2" t="s">
        <x:v>1314</x:v>
      </x:c>
      <x:c r="AB371" s="2" t="s">
        <x:v>1357</x:v>
      </x:c>
      <x:c r="AC371" s="2"/>
      <x:c r="AD371" s="2"/>
      <x:c r="AE371" s="2"/>
      <x:c r="AF371" s="2"/>
      <x:c r="AG371" s="2"/>
      <x:c r="AH371" s="2"/>
      <x:c r="AI371" s="4"/>
      <x:c r="AJ371" s="2"/>
      <x:c r="AK371" s="2" t="s">
        <x:v>234</x:v>
      </x:c>
      <x:c r="AL371" s="2" t="s">
        <x:v>1274</x:v>
      </x:c>
      <x:c r="AM371" s="2">
        <x:v>71</x:v>
      </x:c>
      <x:c r="AN371" s="2">
        <x:v>71</x:v>
      </x:c>
    </x:row>
    <x:row r="372" ht="52">
      <x:c r="A372" s="2" t="s">
        <x:v>6</x:v>
      </x:c>
      <x:c r="B372" s="2" t="s">
        <x:v>15</x:v>
      </x:c>
      <x:c r="C372" s="3">
        <x:v>70</x:v>
      </x:c>
      <x:c r="D372" s="2" t="s">
        <x:v>1407</x:v>
      </x:c>
      <x:c r="E372" s="2" t="s">
        <x:v>1440</x:v>
      </x:c>
      <x:c r="F372" s="2" t="s">
        <x:v>247</x:v>
      </x:c>
      <x:c r="G372" s="2"/>
      <x:c r="H372" s="2" t="s">
        <x:v>627</x:v>
      </x:c>
      <x:c r="I372" s="2" t="s">
        <x:v>1441</x:v>
      </x:c>
      <x:c r="J372" s="2" t="s">
        <x:v>1445</x:v>
      </x:c>
      <x:c r="K372" s="2" t="n">
        <x:v>68</x:v>
      </x:c>
      <x:c r="L372" s="2"/>
      <x:c r="M372" s="2"/>
      <x:c r="N372" s="2" t="s">
        <x:v>1430</x:v>
      </x:c>
      <x:c r="O372" s="2" t="s">
        <x:v>1355</x:v>
      </x:c>
      <x:c r="P372" s="2" t="s">
        <x:v>1356</x:v>
      </x:c>
      <x:c r="Q372" s="2"/>
      <x:c r="R372" s="3">
        <x:v>4</x:v>
      </x:c>
      <x:c r="S372" s="3"/>
      <x:c r="T372" s="2"/>
      <x:c r="U372" s="2"/>
      <x:c r="V372" s="2"/>
      <x:c r="W372" s="2" t="s">
        <x:v>1441</x:v>
      </x:c>
      <x:c r="X372" s="3"/>
      <x:c r="Y372" s="3"/>
      <x:c r="Z372" s="2"/>
      <x:c r="AA372" s="2" t="s">
        <x:v>275</x:v>
      </x:c>
      <x:c r="AB372" s="2" t="s">
        <x:v>1357</x:v>
      </x:c>
      <x:c r="AC372" s="2"/>
      <x:c r="AD372" s="2"/>
      <x:c r="AE372" s="2"/>
      <x:c r="AF372" s="2"/>
      <x:c r="AG372" s="2"/>
      <x:c r="AH372" s="2"/>
      <x:c r="AI372" s="4"/>
      <x:c r="AJ372" s="2"/>
      <x:c r="AK372" s="2" t="s">
        <x:v>234</x:v>
      </x:c>
      <x:c r="AL372" s="2" t="s">
        <x:v>1274</x:v>
      </x:c>
      <x:c r="AM372" s="2">
        <x:v>72</x:v>
      </x:c>
      <x:c r="AN372" s="2">
        <x:v>72</x:v>
      </x:c>
    </x:row>
    <x:row r="373" ht="52">
      <x:c r="A373" s="2" t="s">
        <x:v>91</x:v>
      </x:c>
      <x:c r="B373" s="2" t="s">
        <x:v>15</x:v>
      </x:c>
      <x:c r="C373" s="3">
        <x:v>71</x:v>
      </x:c>
      <x:c r="D373" s="2" t="s">
        <x:v>1340</x:v>
      </x:c>
      <x:c r="E373" s="2" t="s">
        <x:v>1440</x:v>
      </x:c>
      <x:c r="F373" s="2" t="s">
        <x:v>247</x:v>
      </x:c>
      <x:c r="G373" s="2" t="s">
        <x:v>1290</x:v>
      </x:c>
      <x:c r="H373" s="2" t="s">
        <x:v>618</x:v>
      </x:c>
      <x:c r="I373" s="2" t="s">
        <x:v>1441</x:v>
      </x:c>
      <x:c r="J373" s="2" t="s">
        <x:v>1446</x:v>
      </x:c>
      <x:c r="K373" s="2" t="n">
        <x:v>68</x:v>
      </x:c>
      <x:c r="L373" s="2"/>
      <x:c r="M373" s="2"/>
      <x:c r="N373" s="2" t="s">
        <x:v>1430</x:v>
      </x:c>
      <x:c r="O373" s="2" t="s">
        <x:v>1355</x:v>
      </x:c>
      <x:c r="P373" s="2" t="s">
        <x:v>1352</x:v>
      </x:c>
      <x:c r="Q373" s="2"/>
      <x:c r="R373" s="3">
        <x:v>4</x:v>
      </x:c>
      <x:c r="S373" s="3"/>
      <x:c r="T373" s="2"/>
      <x:c r="U373" s="2"/>
      <x:c r="V373" s="2"/>
      <x:c r="W373" s="2" t="s">
        <x:v>1441</x:v>
      </x:c>
      <x:c r="X373" s="3"/>
      <x:c r="Y373" s="3"/>
      <x:c r="Z373" s="2"/>
      <x:c r="AA373" s="2" t="s">
        <x:v>275</x:v>
      </x:c>
      <x:c r="AB373" s="2" t="s">
        <x:v>284</x:v>
      </x:c>
      <x:c r="AC373" s="2"/>
      <x:c r="AD373" s="2"/>
      <x:c r="AE373" s="2"/>
      <x:c r="AF373" s="2"/>
      <x:c r="AG373" s="2"/>
      <x:c r="AH373" s="2"/>
      <x:c r="AI373" s="4"/>
      <x:c r="AJ373" s="2"/>
      <x:c r="AK373" s="2" t="s">
        <x:v>234</x:v>
      </x:c>
      <x:c r="AL373" s="2" t="s">
        <x:v>1274</x:v>
      </x:c>
      <x:c r="AM373" s="2">
        <x:v>73</x:v>
      </x:c>
      <x:c r="AN373" s="2">
        <x:v>73</x:v>
      </x:c>
    </x:row>
    <x:row r="374" ht="52">
      <x:c r="A374" s="2" t="s">
        <x:v>91</x:v>
      </x:c>
      <x:c r="B374" s="2" t="s">
        <x:v>15</x:v>
      </x:c>
      <x:c r="C374" s="3">
        <x:v>72</x:v>
      </x:c>
      <x:c r="D374" s="2" t="s">
        <x:v>1388</x:v>
      </x:c>
      <x:c r="E374" s="2" t="s">
        <x:v>1447</x:v>
      </x:c>
      <x:c r="F374" s="2" t="s">
        <x:v>237</x:v>
      </x:c>
      <x:c r="G374" s="2" t="s">
        <x:v>1276</x:v>
      </x:c>
      <x:c r="H374" s="2" t="s">
        <x:v>618</x:v>
      </x:c>
      <x:c r="I374" s="2" t="s">
        <x:v>1448</x:v>
      </x:c>
      <x:c r="J374" s="2" t="s">
        <x:v>1349</x:v>
      </x:c>
      <x:c r="K374" s="2"/>
      <x:c r="L374" s="2"/>
      <x:c r="M374" s="2"/>
      <x:c r="N374" s="2" t="s">
        <x:v>1430</x:v>
      </x:c>
      <x:c r="O374" s="2" t="s">
        <x:v>1351</x:v>
      </x:c>
      <x:c r="P374" s="2" t="s">
        <x:v>1352</x:v>
      </x:c>
      <x:c r="Q374" s="2"/>
      <x:c r="R374" s="3">
        <x:v>2</x:v>
      </x:c>
      <x:c r="S374" s="3"/>
      <x:c r="T374" s="2"/>
      <x:c r="U374" s="2"/>
      <x:c r="V374" s="2"/>
      <x:c r="W374" s="2" t="s">
        <x:v>1448</x:v>
      </x:c>
      <x:c r="X374" s="3"/>
      <x:c r="Y374" s="3"/>
      <x:c r="Z374" s="2"/>
      <x:c r="AA374" s="2" t="s">
        <x:v>232</x:v>
      </x:c>
      <x:c r="AB374" s="2" t="s">
        <x:v>233</x:v>
      </x:c>
      <x:c r="AC374" s="2"/>
      <x:c r="AD374" s="2"/>
      <x:c r="AE374" s="2"/>
      <x:c r="AF374" s="2"/>
      <x:c r="AG374" s="2"/>
      <x:c r="AH374" s="2"/>
      <x:c r="AI374" s="4"/>
      <x:c r="AJ374" s="2"/>
      <x:c r="AK374" s="2" t="s">
        <x:v>234</x:v>
      </x:c>
      <x:c r="AL374" s="2" t="s">
        <x:v>1274</x:v>
      </x:c>
      <x:c r="AM374" s="2">
        <x:v>74</x:v>
      </x:c>
      <x:c r="AN374" s="2">
        <x:v>74</x:v>
      </x:c>
    </x:row>
    <x:row r="375" ht="52">
      <x:c r="A375" s="2" t="s">
        <x:v>6</x:v>
      </x:c>
      <x:c r="B375" s="2" t="s">
        <x:v>15</x:v>
      </x:c>
      <x:c r="C375" s="3">
        <x:v>73</x:v>
      </x:c>
      <x:c r="D375" s="2" t="s">
        <x:v>1353</x:v>
      </x:c>
      <x:c r="E375" s="2" t="s">
        <x:v>1447</x:v>
      </x:c>
      <x:c r="F375" s="2" t="s">
        <x:v>237</x:v>
      </x:c>
      <x:c r="G375" s="2"/>
      <x:c r="H375" s="2" t="s">
        <x:v>627</x:v>
      </x:c>
      <x:c r="I375" s="2" t="s">
        <x:v>1448</x:v>
      </x:c>
      <x:c r="J375" s="2" t="s">
        <x:v>1449</x:v>
      </x:c>
      <x:c r="K375" s="2" t="n">
        <x:v>72</x:v>
      </x:c>
      <x:c r="L375" s="2"/>
      <x:c r="M375" s="2"/>
      <x:c r="N375" s="2" t="s">
        <x:v>1430</x:v>
      </x:c>
      <x:c r="O375" s="2" t="s">
        <x:v>1355</x:v>
      </x:c>
      <x:c r="P375" s="2" t="s">
        <x:v>1356</x:v>
      </x:c>
      <x:c r="Q375" s="2"/>
      <x:c r="R375" s="3">
        <x:v>2</x:v>
      </x:c>
      <x:c r="S375" s="3"/>
      <x:c r="T375" s="2"/>
      <x:c r="U375" s="2"/>
      <x:c r="V375" s="2"/>
      <x:c r="W375" s="2" t="s">
        <x:v>1448</x:v>
      </x:c>
      <x:c r="X375" s="3"/>
      <x:c r="Y375" s="3"/>
      <x:c r="Z375" s="2"/>
      <x:c r="AA375" s="2" t="s">
        <x:v>232</x:v>
      </x:c>
      <x:c r="AB375" s="2" t="s">
        <x:v>1357</x:v>
      </x:c>
      <x:c r="AC375" s="2"/>
      <x:c r="AD375" s="2"/>
      <x:c r="AE375" s="2"/>
      <x:c r="AF375" s="2"/>
      <x:c r="AG375" s="2"/>
      <x:c r="AH375" s="2"/>
      <x:c r="AI375" s="4"/>
      <x:c r="AJ375" s="2"/>
      <x:c r="AK375" s="2" t="s">
        <x:v>234</x:v>
      </x:c>
      <x:c r="AL375" s="2" t="s">
        <x:v>1274</x:v>
      </x:c>
      <x:c r="AM375" s="2">
        <x:v>75</x:v>
      </x:c>
      <x:c r="AN375" s="2">
        <x:v>75</x:v>
      </x:c>
    </x:row>
    <x:row r="376" ht="52">
      <x:c r="A376" s="2" t="s">
        <x:v>6</x:v>
      </x:c>
      <x:c r="B376" s="2" t="s">
        <x:v>15</x:v>
      </x:c>
      <x:c r="C376" s="3">
        <x:v>74</x:v>
      </x:c>
      <x:c r="D376" s="2" t="s">
        <x:v>1401</x:v>
      </x:c>
      <x:c r="E376" s="2" t="s">
        <x:v>1447</x:v>
      </x:c>
      <x:c r="F376" s="2" t="s">
        <x:v>254</x:v>
      </x:c>
      <x:c r="G376" s="2"/>
      <x:c r="H376" s="2" t="s">
        <x:v>627</x:v>
      </x:c>
      <x:c r="I376" s="2" t="s">
        <x:v>1448</x:v>
      </x:c>
      <x:c r="J376" s="2" t="s">
        <x:v>1402</x:v>
      </x:c>
      <x:c r="K376" s="2" t="n">
        <x:v>72</x:v>
      </x:c>
      <x:c r="L376" s="2"/>
      <x:c r="M376" s="2"/>
      <x:c r="N376" s="2" t="s">
        <x:v>1430</x:v>
      </x:c>
      <x:c r="O376" s="2" t="s">
        <x:v>1355</x:v>
      </x:c>
      <x:c r="P376" s="2" t="s">
        <x:v>1356</x:v>
      </x:c>
      <x:c r="Q376" s="2"/>
      <x:c r="R376" s="3">
        <x:v>2</x:v>
      </x:c>
      <x:c r="S376" s="3"/>
      <x:c r="T376" s="2"/>
      <x:c r="U376" s="2"/>
      <x:c r="V376" s="2"/>
      <x:c r="W376" s="2" t="s">
        <x:v>1448</x:v>
      </x:c>
      <x:c r="X376" s="3"/>
      <x:c r="Y376" s="3"/>
      <x:c r="Z376" s="2"/>
      <x:c r="AA376" s="2" t="s">
        <x:v>243</x:v>
      </x:c>
      <x:c r="AB376" s="2" t="s">
        <x:v>1357</x:v>
      </x:c>
      <x:c r="AC376" s="2"/>
      <x:c r="AD376" s="2"/>
      <x:c r="AE376" s="2"/>
      <x:c r="AF376" s="2"/>
      <x:c r="AG376" s="2"/>
      <x:c r="AH376" s="2"/>
      <x:c r="AI376" s="4"/>
      <x:c r="AJ376" s="2"/>
      <x:c r="AK376" s="2" t="s">
        <x:v>234</x:v>
      </x:c>
      <x:c r="AL376" s="2" t="s">
        <x:v>1274</x:v>
      </x:c>
      <x:c r="AM376" s="2">
        <x:v>76</x:v>
      </x:c>
      <x:c r="AN376" s="2">
        <x:v>76</x:v>
      </x:c>
    </x:row>
    <x:row r="377" ht="52">
      <x:c r="A377" s="2" t="s">
        <x:v>6</x:v>
      </x:c>
      <x:c r="B377" s="2" t="s">
        <x:v>15</x:v>
      </x:c>
      <x:c r="C377" s="3">
        <x:v>75</x:v>
      </x:c>
      <x:c r="D377" s="2" t="s">
        <x:v>1281</x:v>
      </x:c>
      <x:c r="E377" s="2" t="s">
        <x:v>1447</x:v>
      </x:c>
      <x:c r="F377" s="2" t="s">
        <x:v>254</x:v>
      </x:c>
      <x:c r="G377" s="2"/>
      <x:c r="H377" s="2" t="s">
        <x:v>618</x:v>
      </x:c>
      <x:c r="I377" s="2" t="s">
        <x:v>1448</x:v>
      </x:c>
      <x:c r="J377" s="2" t="s">
        <x:v>1403</x:v>
      </x:c>
      <x:c r="K377" s="2" t="n">
        <x:v>72</x:v>
      </x:c>
      <x:c r="L377" s="2"/>
      <x:c r="M377" s="2"/>
      <x:c r="N377" s="2" t="s">
        <x:v>1430</x:v>
      </x:c>
      <x:c r="O377" s="2" t="s">
        <x:v>1355</x:v>
      </x:c>
      <x:c r="P377" s="2" t="s">
        <x:v>1352</x:v>
      </x:c>
      <x:c r="Q377" s="2"/>
      <x:c r="R377" s="3">
        <x:v>2</x:v>
      </x:c>
      <x:c r="S377" s="3"/>
      <x:c r="T377" s="2"/>
      <x:c r="U377" s="2"/>
      <x:c r="V377" s="2"/>
      <x:c r="W377" s="2" t="s">
        <x:v>1448</x:v>
      </x:c>
      <x:c r="X377" s="3"/>
      <x:c r="Y377" s="3"/>
      <x:c r="Z377" s="2"/>
      <x:c r="AA377" s="2" t="s">
        <x:v>243</x:v>
      </x:c>
      <x:c r="AB377" s="2" t="s">
        <x:v>244</x:v>
      </x:c>
      <x:c r="AC377" s="2"/>
      <x:c r="AD377" s="2"/>
      <x:c r="AE377" s="2"/>
      <x:c r="AF377" s="2"/>
      <x:c r="AG377" s="2"/>
      <x:c r="AH377" s="2"/>
      <x:c r="AI377" s="4"/>
      <x:c r="AJ377" s="2"/>
      <x:c r="AK377" s="2" t="s">
        <x:v>234</x:v>
      </x:c>
      <x:c r="AL377" s="2" t="s">
        <x:v>1274</x:v>
      </x:c>
      <x:c r="AM377" s="2">
        <x:v>77</x:v>
      </x:c>
      <x:c r="AN377" s="2">
        <x:v>77</x:v>
      </x:c>
    </x:row>
    <x:row r="378" ht="52">
      <x:c r="A378" s="2" t="s">
        <x:v>6</x:v>
      </x:c>
      <x:c r="B378" s="2" t="s">
        <x:v>15</x:v>
      </x:c>
      <x:c r="C378" s="3">
        <x:v>76</x:v>
      </x:c>
      <x:c r="D378" s="2" t="s">
        <x:v>1335</x:v>
      </x:c>
      <x:c r="E378" s="2" t="s">
        <x:v>1450</x:v>
      </x:c>
      <x:c r="F378" s="2" t="s">
        <x:v>247</x:v>
      </x:c>
      <x:c r="G378" s="2"/>
      <x:c r="H378" s="2" t="s">
        <x:v>618</x:v>
      </x:c>
      <x:c r="I378" s="2" t="s">
        <x:v>1451</x:v>
      </x:c>
      <x:c r="J378" s="2" t="s">
        <x:v>1406</x:v>
      </x:c>
      <x:c r="K378" s="2"/>
      <x:c r="L378" s="2"/>
      <x:c r="M378" s="2"/>
      <x:c r="N378" s="2" t="s">
        <x:v>1430</x:v>
      </x:c>
      <x:c r="O378" s="2" t="s">
        <x:v>1351</x:v>
      </x:c>
      <x:c r="P378" s="2" t="s">
        <x:v>1352</x:v>
      </x:c>
      <x:c r="Q378" s="2"/>
      <x:c r="R378" s="3">
        <x:v>3</x:v>
      </x:c>
      <x:c r="S378" s="3"/>
      <x:c r="T378" s="2"/>
      <x:c r="U378" s="2"/>
      <x:c r="V378" s="2"/>
      <x:c r="W378" s="2" t="s">
        <x:v>1451</x:v>
      </x:c>
      <x:c r="X378" s="3"/>
      <x:c r="Y378" s="3"/>
      <x:c r="Z378" s="2"/>
      <x:c r="AA378" s="2" t="s">
        <x:v>275</x:v>
      </x:c>
      <x:c r="AB378" s="2" t="s">
        <x:v>276</x:v>
      </x:c>
      <x:c r="AC378" s="2"/>
      <x:c r="AD378" s="2"/>
      <x:c r="AE378" s="2"/>
      <x:c r="AF378" s="2"/>
      <x:c r="AG378" s="2"/>
      <x:c r="AH378" s="2"/>
      <x:c r="AI378" s="4"/>
      <x:c r="AJ378" s="2"/>
      <x:c r="AK378" s="2" t="s">
        <x:v>234</x:v>
      </x:c>
      <x:c r="AL378" s="2" t="s">
        <x:v>1274</x:v>
      </x:c>
      <x:c r="AM378" s="2">
        <x:v>78</x:v>
      </x:c>
      <x:c r="AN378" s="2">
        <x:v>78</x:v>
      </x:c>
    </x:row>
    <x:row r="379" ht="52">
      <x:c r="A379" s="2" t="s">
        <x:v>6</x:v>
      </x:c>
      <x:c r="B379" s="2" t="s">
        <x:v>15</x:v>
      </x:c>
      <x:c r="C379" s="3">
        <x:v>77</x:v>
      </x:c>
      <x:c r="D379" s="2" t="s">
        <x:v>1407</x:v>
      </x:c>
      <x:c r="E379" s="2" t="s">
        <x:v>1450</x:v>
      </x:c>
      <x:c r="F379" s="2" t="s">
        <x:v>247</x:v>
      </x:c>
      <x:c r="G379" s="2"/>
      <x:c r="H379" s="2" t="s">
        <x:v>627</x:v>
      </x:c>
      <x:c r="I379" s="2" t="s">
        <x:v>1451</x:v>
      </x:c>
      <x:c r="J379" s="2" t="s">
        <x:v>1408</x:v>
      </x:c>
      <x:c r="K379" s="2" t="n">
        <x:v>76</x:v>
      </x:c>
      <x:c r="L379" s="2"/>
      <x:c r="M379" s="2"/>
      <x:c r="N379" s="2" t="s">
        <x:v>1430</x:v>
      </x:c>
      <x:c r="O379" s="2" t="s">
        <x:v>1355</x:v>
      </x:c>
      <x:c r="P379" s="2" t="s">
        <x:v>1356</x:v>
      </x:c>
      <x:c r="Q379" s="2"/>
      <x:c r="R379" s="3">
        <x:v>3</x:v>
      </x:c>
      <x:c r="S379" s="3"/>
      <x:c r="T379" s="2"/>
      <x:c r="U379" s="2"/>
      <x:c r="V379" s="2"/>
      <x:c r="W379" s="2" t="s">
        <x:v>1451</x:v>
      </x:c>
      <x:c r="X379" s="3"/>
      <x:c r="Y379" s="3"/>
      <x:c r="Z379" s="2"/>
      <x:c r="AA379" s="2" t="s">
        <x:v>275</x:v>
      </x:c>
      <x:c r="AB379" s="2" t="s">
        <x:v>1357</x:v>
      </x:c>
      <x:c r="AC379" s="2"/>
      <x:c r="AD379" s="2"/>
      <x:c r="AE379" s="2"/>
      <x:c r="AF379" s="2"/>
      <x:c r="AG379" s="2"/>
      <x:c r="AH379" s="2"/>
      <x:c r="AI379" s="4"/>
      <x:c r="AJ379" s="2"/>
      <x:c r="AK379" s="2" t="s">
        <x:v>234</x:v>
      </x:c>
      <x:c r="AL379" s="2" t="s">
        <x:v>1274</x:v>
      </x:c>
      <x:c r="AM379" s="2">
        <x:v>79</x:v>
      </x:c>
      <x:c r="AN379" s="2">
        <x:v>79</x:v>
      </x:c>
    </x:row>
    <x:row r="380" ht="52">
      <x:c r="A380" s="2" t="s">
        <x:v>6</x:v>
      </x:c>
      <x:c r="B380" s="2" t="s">
        <x:v>15</x:v>
      </x:c>
      <x:c r="C380" s="3">
        <x:v>78</x:v>
      </x:c>
      <x:c r="D380" s="2" t="s">
        <x:v>1384</x:v>
      </x:c>
      <x:c r="E380" s="2" t="s">
        <x:v>1450</x:v>
      </x:c>
      <x:c r="F380" s="2" t="s">
        <x:v>224</x:v>
      </x:c>
      <x:c r="G380" s="2"/>
      <x:c r="H380" s="2" t="s">
        <x:v>627</x:v>
      </x:c>
      <x:c r="I380" s="2" t="s">
        <x:v>1451</x:v>
      </x:c>
      <x:c r="J380" s="2" t="s">
        <x:v>1386</x:v>
      </x:c>
      <x:c r="K380" s="2" t="n">
        <x:v>76</x:v>
      </x:c>
      <x:c r="L380" s="2"/>
      <x:c r="M380" s="2"/>
      <x:c r="N380" s="2" t="s">
        <x:v>1430</x:v>
      </x:c>
      <x:c r="O380" s="2" t="s">
        <x:v>1355</x:v>
      </x:c>
      <x:c r="P380" s="2" t="s">
        <x:v>1356</x:v>
      </x:c>
      <x:c r="Q380" s="2"/>
      <x:c r="R380" s="3">
        <x:v>3</x:v>
      </x:c>
      <x:c r="S380" s="3"/>
      <x:c r="T380" s="2"/>
      <x:c r="U380" s="2"/>
      <x:c r="V380" s="2"/>
      <x:c r="W380" s="2" t="s">
        <x:v>1451</x:v>
      </x:c>
      <x:c r="X380" s="3"/>
      <x:c r="Y380" s="3"/>
      <x:c r="Z380" s="2"/>
      <x:c r="AA380" s="2" t="s">
        <x:v>232</x:v>
      </x:c>
      <x:c r="AB380" s="2" t="s">
        <x:v>1357</x:v>
      </x:c>
      <x:c r="AC380" s="2"/>
      <x:c r="AD380" s="2"/>
      <x:c r="AE380" s="2"/>
      <x:c r="AF380" s="2"/>
      <x:c r="AG380" s="2"/>
      <x:c r="AH380" s="2"/>
      <x:c r="AI380" s="4"/>
      <x:c r="AJ380" s="2"/>
      <x:c r="AK380" s="2" t="s">
        <x:v>234</x:v>
      </x:c>
      <x:c r="AL380" s="2" t="s">
        <x:v>1274</x:v>
      </x:c>
      <x:c r="AM380" s="2">
        <x:v>80</x:v>
      </x:c>
      <x:c r="AN380" s="2">
        <x:v>80</x:v>
      </x:c>
    </x:row>
    <x:row r="381" ht="52">
      <x:c r="A381" s="2" t="s">
        <x:v>91</x:v>
      </x:c>
      <x:c r="B381" s="2" t="s">
        <x:v>15</x:v>
      </x:c>
      <x:c r="C381" s="3">
        <x:v>79</x:v>
      </x:c>
      <x:c r="D381" s="2" t="s">
        <x:v>1346</x:v>
      </x:c>
      <x:c r="E381" s="2" t="s">
        <x:v>1450</x:v>
      </x:c>
      <x:c r="F381" s="2" t="s">
        <x:v>224</x:v>
      </x:c>
      <x:c r="G381" s="2" t="s">
        <x:v>1452</x:v>
      </x:c>
      <x:c r="H381" s="2" t="s">
        <x:v>618</x:v>
      </x:c>
      <x:c r="I381" s="2" t="s">
        <x:v>1451</x:v>
      </x:c>
      <x:c r="J381" s="2" t="s">
        <x:v>1387</x:v>
      </x:c>
      <x:c r="K381" s="2" t="n">
        <x:v>76</x:v>
      </x:c>
      <x:c r="L381" s="2"/>
      <x:c r="M381" s="2"/>
      <x:c r="N381" s="2" t="s">
        <x:v>1430</x:v>
      </x:c>
      <x:c r="O381" s="2" t="s">
        <x:v>1355</x:v>
      </x:c>
      <x:c r="P381" s="2" t="s">
        <x:v>1352</x:v>
      </x:c>
      <x:c r="Q381" s="2"/>
      <x:c r="R381" s="3">
        <x:v>3</x:v>
      </x:c>
      <x:c r="S381" s="3"/>
      <x:c r="T381" s="2"/>
      <x:c r="U381" s="2"/>
      <x:c r="V381" s="2"/>
      <x:c r="W381" s="2" t="s">
        <x:v>1451</x:v>
      </x:c>
      <x:c r="X381" s="3"/>
      <x:c r="Y381" s="3"/>
      <x:c r="Z381" s="2"/>
      <x:c r="AA381" s="2" t="s">
        <x:v>232</x:v>
      </x:c>
      <x:c r="AB381" s="2" t="s">
        <x:v>292</x:v>
      </x:c>
      <x:c r="AC381" s="2"/>
      <x:c r="AD381" s="2"/>
      <x:c r="AE381" s="2"/>
      <x:c r="AF381" s="2"/>
      <x:c r="AG381" s="2"/>
      <x:c r="AH381" s="2"/>
      <x:c r="AI381" s="4"/>
      <x:c r="AJ381" s="2"/>
      <x:c r="AK381" s="2" t="s">
        <x:v>234</x:v>
      </x:c>
      <x:c r="AL381" s="2" t="s">
        <x:v>1274</x:v>
      </x:c>
      <x:c r="AM381" s="2">
        <x:v>81</x:v>
      </x:c>
      <x:c r="AN381" s="2">
        <x:v>81</x:v>
      </x:c>
    </x:row>
    <x:row r="382" ht="52">
      <x:c r="A382" s="2" t="s">
        <x:v>91</x:v>
      </x:c>
      <x:c r="B382" s="2" t="s">
        <x:v>15</x:v>
      </x:c>
      <x:c r="C382" s="3">
        <x:v>80</x:v>
      </x:c>
      <x:c r="D382" s="2" t="s">
        <x:v>1388</x:v>
      </x:c>
      <x:c r="E382" s="2" t="s">
        <x:v>1347</x:v>
      </x:c>
      <x:c r="F382" s="2" t="s">
        <x:v>237</x:v>
      </x:c>
      <x:c r="G382" s="2" t="s">
        <x:v>1453</x:v>
      </x:c>
      <x:c r="H382" s="2" t="s">
        <x:v>618</x:v>
      </x:c>
      <x:c r="I382" s="2" t="s">
        <x:v>1454</x:v>
      </x:c>
      <x:c r="J382" s="2" t="s">
        <x:v>1349</x:v>
      </x:c>
      <x:c r="K382" s="2"/>
      <x:c r="L382" s="2"/>
      <x:c r="M382" s="2"/>
      <x:c r="N382" s="2" t="s">
        <x:v>1455</x:v>
      </x:c>
      <x:c r="O382" s="2" t="s">
        <x:v>1351</x:v>
      </x:c>
      <x:c r="P382" s="2" t="s">
        <x:v>1352</x:v>
      </x:c>
      <x:c r="Q382" s="2"/>
      <x:c r="R382" s="3">
        <x:v>2</x:v>
      </x:c>
      <x:c r="S382" s="3"/>
      <x:c r="T382" s="2"/>
      <x:c r="U382" s="2"/>
      <x:c r="V382" s="2"/>
      <x:c r="W382" s="2" t="s">
        <x:v>1454</x:v>
      </x:c>
      <x:c r="X382" s="3"/>
      <x:c r="Y382" s="3"/>
      <x:c r="Z382" s="2"/>
      <x:c r="AA382" s="2" t="s">
        <x:v>232</x:v>
      </x:c>
      <x:c r="AB382" s="2" t="s">
        <x:v>233</x:v>
      </x:c>
      <x:c r="AC382" s="2"/>
      <x:c r="AD382" s="2"/>
      <x:c r="AE382" s="2"/>
      <x:c r="AF382" s="2"/>
      <x:c r="AG382" s="2"/>
      <x:c r="AH382" s="2"/>
      <x:c r="AI382" s="4"/>
      <x:c r="AJ382" s="2"/>
      <x:c r="AK382" s="2" t="s">
        <x:v>234</x:v>
      </x:c>
      <x:c r="AL382" s="2" t="s">
        <x:v>1274</x:v>
      </x:c>
      <x:c r="AM382" s="2">
        <x:v>82</x:v>
      </x:c>
      <x:c r="AN382" s="2">
        <x:v>82</x:v>
      </x:c>
    </x:row>
    <x:row r="383" ht="52">
      <x:c r="A383" s="2" t="s">
        <x:v>91</x:v>
      </x:c>
      <x:c r="B383" s="2" t="s">
        <x:v>15</x:v>
      </x:c>
      <x:c r="C383" s="3">
        <x:v>81</x:v>
      </x:c>
      <x:c r="D383" s="2" t="s">
        <x:v>1281</x:v>
      </x:c>
      <x:c r="E383" s="2" t="s">
        <x:v>1347</x:v>
      </x:c>
      <x:c r="F383" s="2" t="s">
        <x:v>224</x:v>
      </x:c>
      <x:c r="G383" s="2" t="s">
        <x:v>1456</x:v>
      </x:c>
      <x:c r="H383" s="2" t="s">
        <x:v>618</x:v>
      </x:c>
      <x:c r="I383" s="2" t="s">
        <x:v>1454</x:v>
      </x:c>
      <x:c r="J383" s="2" t="s">
        <x:v>1371</x:v>
      </x:c>
      <x:c r="K383" s="2" t="n">
        <x:v>80</x:v>
      </x:c>
      <x:c r="L383" s="2"/>
      <x:c r="M383" s="2"/>
      <x:c r="N383" s="2" t="s">
        <x:v>1455</x:v>
      </x:c>
      <x:c r="O383" s="2" t="s">
        <x:v>1355</x:v>
      </x:c>
      <x:c r="P383" s="2" t="s">
        <x:v>1352</x:v>
      </x:c>
      <x:c r="Q383" s="2"/>
      <x:c r="R383" s="3">
        <x:v>2</x:v>
      </x:c>
      <x:c r="S383" s="3"/>
      <x:c r="T383" s="2"/>
      <x:c r="U383" s="2"/>
      <x:c r="V383" s="2"/>
      <x:c r="W383" s="2" t="s">
        <x:v>1454</x:v>
      </x:c>
      <x:c r="X383" s="3"/>
      <x:c r="Y383" s="3"/>
      <x:c r="Z383" s="2"/>
      <x:c r="AA383" s="2" t="s">
        <x:v>243</x:v>
      </x:c>
      <x:c r="AB383" s="2" t="s">
        <x:v>244</x:v>
      </x:c>
      <x:c r="AC383" s="2"/>
      <x:c r="AD383" s="2"/>
      <x:c r="AE383" s="2"/>
      <x:c r="AF383" s="2"/>
      <x:c r="AG383" s="2"/>
      <x:c r="AH383" s="2"/>
      <x:c r="AI383" s="4"/>
      <x:c r="AJ383" s="2"/>
      <x:c r="AK383" s="2" t="s">
        <x:v>234</x:v>
      </x:c>
      <x:c r="AL383" s="2" t="s">
        <x:v>1274</x:v>
      </x:c>
      <x:c r="AM383" s="2">
        <x:v>83</x:v>
      </x:c>
      <x:c r="AN383" s="2">
        <x:v>83</x:v>
      </x:c>
    </x:row>
    <x:row r="384" ht="52">
      <x:c r="A384" s="2" t="s">
        <x:v>6</x:v>
      </x:c>
      <x:c r="B384" s="2" t="s">
        <x:v>15</x:v>
      </x:c>
      <x:c r="C384" s="3">
        <x:v>82</x:v>
      </x:c>
      <x:c r="D384" s="2" t="s">
        <x:v>1335</x:v>
      </x:c>
      <x:c r="E384" s="2" t="s">
        <x:v>1457</x:v>
      </x:c>
      <x:c r="F384" s="2" t="s">
        <x:v>237</x:v>
      </x:c>
      <x:c r="G384" s="2"/>
      <x:c r="H384" s="2" t="s">
        <x:v>618</x:v>
      </x:c>
      <x:c r="I384" s="2" t="s">
        <x:v>1458</x:v>
      </x:c>
      <x:c r="J384" s="2" t="s">
        <x:v>1375</x:v>
      </x:c>
      <x:c r="K384" s="2"/>
      <x:c r="L384" s="2"/>
      <x:c r="M384" s="2"/>
      <x:c r="N384" s="2" t="s">
        <x:v>1455</x:v>
      </x:c>
      <x:c r="O384" s="2" t="s">
        <x:v>1351</x:v>
      </x:c>
      <x:c r="P384" s="2" t="s">
        <x:v>1352</x:v>
      </x:c>
      <x:c r="Q384" s="2"/>
      <x:c r="R384" s="3">
        <x:v>3</x:v>
      </x:c>
      <x:c r="S384" s="3"/>
      <x:c r="T384" s="2"/>
      <x:c r="U384" s="2"/>
      <x:c r="V384" s="2"/>
      <x:c r="W384" s="2" t="s">
        <x:v>1458</x:v>
      </x:c>
      <x:c r="X384" s="3"/>
      <x:c r="Y384" s="3"/>
      <x:c r="Z384" s="2"/>
      <x:c r="AA384" s="2" t="s">
        <x:v>275</x:v>
      </x:c>
      <x:c r="AB384" s="2" t="s">
        <x:v>276</x:v>
      </x:c>
      <x:c r="AC384" s="2"/>
      <x:c r="AD384" s="2"/>
      <x:c r="AE384" s="2"/>
      <x:c r="AF384" s="2"/>
      <x:c r="AG384" s="2"/>
      <x:c r="AH384" s="2"/>
      <x:c r="AI384" s="4"/>
      <x:c r="AJ384" s="2"/>
      <x:c r="AK384" s="2" t="s">
        <x:v>234</x:v>
      </x:c>
      <x:c r="AL384" s="2" t="s">
        <x:v>1274</x:v>
      </x:c>
      <x:c r="AM384" s="2">
        <x:v>84</x:v>
      </x:c>
      <x:c r="AN384" s="2">
        <x:v>84</x:v>
      </x:c>
    </x:row>
    <x:row r="385" ht="52">
      <x:c r="A385" s="2" t="s">
        <x:v>91</x:v>
      </x:c>
      <x:c r="B385" s="2" t="s">
        <x:v>15</x:v>
      </x:c>
      <x:c r="C385" s="3">
        <x:v>83</x:v>
      </x:c>
      <x:c r="D385" s="2" t="s">
        <x:v>1346</x:v>
      </x:c>
      <x:c r="E385" s="2" t="s">
        <x:v>1457</x:v>
      </x:c>
      <x:c r="F385" s="2" t="s">
        <x:v>224</x:v>
      </x:c>
      <x:c r="G385" s="2" t="s">
        <x:v>1290</x:v>
      </x:c>
      <x:c r="H385" s="2" t="s">
        <x:v>618</x:v>
      </x:c>
      <x:c r="I385" s="2" t="s">
        <x:v>1458</x:v>
      </x:c>
      <x:c r="J385" s="2" t="s">
        <x:v>1387</x:v>
      </x:c>
      <x:c r="K385" s="2" t="n">
        <x:v>82</x:v>
      </x:c>
      <x:c r="L385" s="2"/>
      <x:c r="M385" s="2"/>
      <x:c r="N385" s="2" t="s">
        <x:v>1455</x:v>
      </x:c>
      <x:c r="O385" s="2" t="s">
        <x:v>1355</x:v>
      </x:c>
      <x:c r="P385" s="2" t="s">
        <x:v>1352</x:v>
      </x:c>
      <x:c r="Q385" s="2"/>
      <x:c r="R385" s="3">
        <x:v>3</x:v>
      </x:c>
      <x:c r="S385" s="3"/>
      <x:c r="T385" s="2"/>
      <x:c r="U385" s="2"/>
      <x:c r="V385" s="2"/>
      <x:c r="W385" s="2" t="s">
        <x:v>1458</x:v>
      </x:c>
      <x:c r="X385" s="3"/>
      <x:c r="Y385" s="3"/>
      <x:c r="Z385" s="2"/>
      <x:c r="AA385" s="2" t="s">
        <x:v>232</x:v>
      </x:c>
      <x:c r="AB385" s="2" t="s">
        <x:v>292</x:v>
      </x:c>
      <x:c r="AC385" s="2"/>
      <x:c r="AD385" s="2"/>
      <x:c r="AE385" s="2"/>
      <x:c r="AF385" s="2"/>
      <x:c r="AG385" s="2"/>
      <x:c r="AH385" s="2"/>
      <x:c r="AI385" s="4"/>
      <x:c r="AJ385" s="2"/>
      <x:c r="AK385" s="2" t="s">
        <x:v>234</x:v>
      </x:c>
      <x:c r="AL385" s="2" t="s">
        <x:v>1274</x:v>
      </x:c>
      <x:c r="AM385" s="2">
        <x:v>85</x:v>
      </x:c>
      <x:c r="AN385" s="2">
        <x:v>85</x:v>
      </x:c>
    </x:row>
    <x:row r="386" ht="52">
      <x:c r="A386" s="2" t="s">
        <x:v>91</x:v>
      </x:c>
      <x:c r="B386" s="2" t="s">
        <x:v>15</x:v>
      </x:c>
      <x:c r="C386" s="3">
        <x:v>84</x:v>
      </x:c>
      <x:c r="D386" s="2" t="s">
        <x:v>1288</x:v>
      </x:c>
      <x:c r="E386" s="2" t="s">
        <x:v>1459</x:v>
      </x:c>
      <x:c r="F386" s="2" t="s">
        <x:v>237</x:v>
      </x:c>
      <x:c r="G386" s="2" t="s">
        <x:v>1276</x:v>
      </x:c>
      <x:c r="H386" s="2" t="s">
        <x:v>618</x:v>
      </x:c>
      <x:c r="I386" s="2" t="s">
        <x:v>1460</x:v>
      </x:c>
      <x:c r="J386" s="2" t="s">
        <x:v>1417</x:v>
      </x:c>
      <x:c r="K386" s="2"/>
      <x:c r="L386" s="2"/>
      <x:c r="M386" s="2"/>
      <x:c r="N386" s="2" t="s">
        <x:v>1455</x:v>
      </x:c>
      <x:c r="O386" s="2" t="s">
        <x:v>1351</x:v>
      </x:c>
      <x:c r="P386" s="2" t="s">
        <x:v>1352</x:v>
      </x:c>
      <x:c r="Q386" s="2"/>
      <x:c r="R386" s="3">
        <x:v>4</x:v>
      </x:c>
      <x:c r="S386" s="3"/>
      <x:c r="T386" s="2"/>
      <x:c r="U386" s="2"/>
      <x:c r="V386" s="2"/>
      <x:c r="W386" s="2" t="s">
        <x:v>1460</x:v>
      </x:c>
      <x:c r="X386" s="3"/>
      <x:c r="Y386" s="3"/>
      <x:c r="Z386" s="2"/>
      <x:c r="AA386" s="2" t="s">
        <x:v>232</x:v>
      </x:c>
      <x:c r="AB386" s="2" t="s">
        <x:v>300</x:v>
      </x:c>
      <x:c r="AC386" s="2"/>
      <x:c r="AD386" s="2"/>
      <x:c r="AE386" s="2"/>
      <x:c r="AF386" s="2"/>
      <x:c r="AG386" s="2"/>
      <x:c r="AH386" s="2"/>
      <x:c r="AI386" s="4"/>
      <x:c r="AJ386" s="2"/>
      <x:c r="AK386" s="2" t="s">
        <x:v>234</x:v>
      </x:c>
      <x:c r="AL386" s="2" t="s">
        <x:v>1274</x:v>
      </x:c>
      <x:c r="AM386" s="2">
        <x:v>86</x:v>
      </x:c>
      <x:c r="AN386" s="2">
        <x:v>86</x:v>
      </x:c>
    </x:row>
    <x:row r="387" ht="52">
      <x:c r="A387" s="2" t="s">
        <x:v>6</x:v>
      </x:c>
      <x:c r="B387" s="2" t="s">
        <x:v>15</x:v>
      </x:c>
      <x:c r="C387" s="3">
        <x:v>85</x:v>
      </x:c>
      <x:c r="D387" s="2" t="s">
        <x:v>1340</x:v>
      </x:c>
      <x:c r="E387" s="2" t="s">
        <x:v>1459</x:v>
      </x:c>
      <x:c r="F387" s="2" t="s">
        <x:v>247</x:v>
      </x:c>
      <x:c r="G387" s="2"/>
      <x:c r="H387" s="2" t="s">
        <x:v>618</x:v>
      </x:c>
      <x:c r="I387" s="2" t="s">
        <x:v>1460</x:v>
      </x:c>
      <x:c r="J387" s="2" t="s">
        <x:v>1446</x:v>
      </x:c>
      <x:c r="K387" s="2" t="n">
        <x:v>84</x:v>
      </x:c>
      <x:c r="L387" s="2"/>
      <x:c r="M387" s="2"/>
      <x:c r="N387" s="2" t="s">
        <x:v>1455</x:v>
      </x:c>
      <x:c r="O387" s="2" t="s">
        <x:v>1355</x:v>
      </x:c>
      <x:c r="P387" s="2" t="s">
        <x:v>1352</x:v>
      </x:c>
      <x:c r="Q387" s="2"/>
      <x:c r="R387" s="3">
        <x:v>4</x:v>
      </x:c>
      <x:c r="S387" s="3"/>
      <x:c r="T387" s="2"/>
      <x:c r="U387" s="2"/>
      <x:c r="V387" s="2"/>
      <x:c r="W387" s="2" t="s">
        <x:v>1460</x:v>
      </x:c>
      <x:c r="X387" s="3"/>
      <x:c r="Y387" s="3"/>
      <x:c r="Z387" s="2"/>
      <x:c r="AA387" s="2" t="s">
        <x:v>275</x:v>
      </x:c>
      <x:c r="AB387" s="2" t="s">
        <x:v>284</x:v>
      </x:c>
      <x:c r="AC387" s="2"/>
      <x:c r="AD387" s="2"/>
      <x:c r="AE387" s="2"/>
      <x:c r="AF387" s="2"/>
      <x:c r="AG387" s="2"/>
      <x:c r="AH387" s="2"/>
      <x:c r="AI387" s="4"/>
      <x:c r="AJ387" s="2"/>
      <x:c r="AK387" s="2" t="s">
        <x:v>234</x:v>
      </x:c>
      <x:c r="AL387" s="2" t="s">
        <x:v>1274</x:v>
      </x:c>
      <x:c r="AM387" s="2">
        <x:v>87</x:v>
      </x:c>
      <x:c r="AN387" s="2">
        <x:v>87</x:v>
      </x:c>
    </x:row>
    <x:row r="388" ht="52">
      <x:c r="A388" s="2" t="s">
        <x:v>6</x:v>
      </x:c>
      <x:c r="B388" s="2" t="s">
        <x:v>15</x:v>
      </x:c>
      <x:c r="C388" s="3">
        <x:v>86</x:v>
      </x:c>
      <x:c r="D388" s="2" t="s">
        <x:v>1281</x:v>
      </x:c>
      <x:c r="E388" s="2" t="s">
        <x:v>1447</x:v>
      </x:c>
      <x:c r="F388" s="2" t="s">
        <x:v>254</x:v>
      </x:c>
      <x:c r="G388" s="2"/>
      <x:c r="H388" s="2" t="s">
        <x:v>618</x:v>
      </x:c>
      <x:c r="I388" s="2" t="s">
        <x:v>1461</x:v>
      </x:c>
      <x:c r="J388" s="2" t="s">
        <x:v>1403</x:v>
      </x:c>
      <x:c r="K388" s="2"/>
      <x:c r="L388" s="2"/>
      <x:c r="M388" s="2"/>
      <x:c r="N388" s="2" t="s">
        <x:v>1455</x:v>
      </x:c>
      <x:c r="O388" s="2" t="s">
        <x:v>1351</x:v>
      </x:c>
      <x:c r="P388" s="2" t="s">
        <x:v>1352</x:v>
      </x:c>
      <x:c r="Q388" s="2"/>
      <x:c r="R388" s="3">
        <x:v>2</x:v>
      </x:c>
      <x:c r="S388" s="3"/>
      <x:c r="T388" s="2"/>
      <x:c r="U388" s="2"/>
      <x:c r="V388" s="2"/>
      <x:c r="W388" s="2" t="s">
        <x:v>1461</x:v>
      </x:c>
      <x:c r="X388" s="3"/>
      <x:c r="Y388" s="3"/>
      <x:c r="Z388" s="2"/>
      <x:c r="AA388" s="2" t="s">
        <x:v>243</x:v>
      </x:c>
      <x:c r="AB388" s="2" t="s">
        <x:v>244</x:v>
      </x:c>
      <x:c r="AC388" s="2"/>
      <x:c r="AD388" s="2"/>
      <x:c r="AE388" s="2"/>
      <x:c r="AF388" s="2"/>
      <x:c r="AG388" s="2"/>
      <x:c r="AH388" s="2"/>
      <x:c r="AI388" s="4"/>
      <x:c r="AJ388" s="2"/>
      <x:c r="AK388" s="2" t="s">
        <x:v>234</x:v>
      </x:c>
      <x:c r="AL388" s="2" t="s">
        <x:v>1274</x:v>
      </x:c>
      <x:c r="AM388" s="2">
        <x:v>88</x:v>
      </x:c>
      <x:c r="AN388" s="2">
        <x:v>88</x:v>
      </x:c>
    </x:row>
    <x:row r="389" ht="52">
      <x:c r="A389" s="2" t="s">
        <x:v>91</x:v>
      </x:c>
      <x:c r="B389" s="2" t="s">
        <x:v>15</x:v>
      </x:c>
      <x:c r="C389" s="3">
        <x:v>87</x:v>
      </x:c>
      <x:c r="D389" s="2" t="s">
        <x:v>1388</x:v>
      </x:c>
      <x:c r="E389" s="2" t="s">
        <x:v>1447</x:v>
      </x:c>
      <x:c r="F389" s="2" t="s">
        <x:v>237</x:v>
      </x:c>
      <x:c r="G389" s="2" t="s">
        <x:v>1276</x:v>
      </x:c>
      <x:c r="H389" s="2" t="s">
        <x:v>618</x:v>
      </x:c>
      <x:c r="I389" s="2" t="s">
        <x:v>1461</x:v>
      </x:c>
      <x:c r="J389" s="2" t="s">
        <x:v>1349</x:v>
      </x:c>
      <x:c r="K389" s="2" t="n">
        <x:v>86</x:v>
      </x:c>
      <x:c r="L389" s="2"/>
      <x:c r="M389" s="2"/>
      <x:c r="N389" s="2" t="s">
        <x:v>1455</x:v>
      </x:c>
      <x:c r="O389" s="2" t="s">
        <x:v>1355</x:v>
      </x:c>
      <x:c r="P389" s="2" t="s">
        <x:v>1352</x:v>
      </x:c>
      <x:c r="Q389" s="2"/>
      <x:c r="R389" s="3">
        <x:v>2</x:v>
      </x:c>
      <x:c r="S389" s="3"/>
      <x:c r="T389" s="2"/>
      <x:c r="U389" s="2"/>
      <x:c r="V389" s="2"/>
      <x:c r="W389" s="2" t="s">
        <x:v>1461</x:v>
      </x:c>
      <x:c r="X389" s="3"/>
      <x:c r="Y389" s="3"/>
      <x:c r="Z389" s="2"/>
      <x:c r="AA389" s="2" t="s">
        <x:v>232</x:v>
      </x:c>
      <x:c r="AB389" s="2" t="s">
        <x:v>233</x:v>
      </x:c>
      <x:c r="AC389" s="2"/>
      <x:c r="AD389" s="2"/>
      <x:c r="AE389" s="2"/>
      <x:c r="AF389" s="2"/>
      <x:c r="AG389" s="2"/>
      <x:c r="AH389" s="2"/>
      <x:c r="AI389" s="4"/>
      <x:c r="AJ389" s="2"/>
      <x:c r="AK389" s="2" t="s">
        <x:v>234</x:v>
      </x:c>
      <x:c r="AL389" s="2" t="s">
        <x:v>1274</x:v>
      </x:c>
      <x:c r="AM389" s="2">
        <x:v>89</x:v>
      </x:c>
      <x:c r="AN389" s="2">
        <x:v>89</x:v>
      </x:c>
    </x:row>
    <x:row r="390" ht="52">
      <x:c r="A390" s="2" t="s">
        <x:v>6</x:v>
      </x:c>
      <x:c r="B390" s="2" t="s">
        <x:v>15</x:v>
      </x:c>
      <x:c r="C390" s="3">
        <x:v>88</x:v>
      </x:c>
      <x:c r="D390" s="2" t="s">
        <x:v>1346</x:v>
      </x:c>
      <x:c r="E390" s="2" t="s">
        <x:v>1462</x:v>
      </x:c>
      <x:c r="F390" s="2" t="s">
        <x:v>224</x:v>
      </x:c>
      <x:c r="G390" s="2"/>
      <x:c r="H390" s="2" t="s">
        <x:v>618</x:v>
      </x:c>
      <x:c r="I390" s="2" t="s">
        <x:v>1463</x:v>
      </x:c>
      <x:c r="J390" s="2" t="s">
        <x:v>1387</x:v>
      </x:c>
      <x:c r="K390" s="2"/>
      <x:c r="L390" s="2"/>
      <x:c r="M390" s="2"/>
      <x:c r="N390" s="2" t="s">
        <x:v>1455</x:v>
      </x:c>
      <x:c r="O390" s="2" t="s">
        <x:v>1351</x:v>
      </x:c>
      <x:c r="P390" s="2" t="s">
        <x:v>1352</x:v>
      </x:c>
      <x:c r="Q390" s="2"/>
      <x:c r="R390" s="3">
        <x:v>3</x:v>
      </x:c>
      <x:c r="S390" s="3"/>
      <x:c r="T390" s="2"/>
      <x:c r="U390" s="2"/>
      <x:c r="V390" s="2"/>
      <x:c r="W390" s="2" t="s">
        <x:v>1463</x:v>
      </x:c>
      <x:c r="X390" s="3"/>
      <x:c r="Y390" s="3"/>
      <x:c r="Z390" s="2"/>
      <x:c r="AA390" s="2" t="s">
        <x:v>232</x:v>
      </x:c>
      <x:c r="AB390" s="2" t="s">
        <x:v>292</x:v>
      </x:c>
      <x:c r="AC390" s="2"/>
      <x:c r="AD390" s="2"/>
      <x:c r="AE390" s="2"/>
      <x:c r="AF390" s="2"/>
      <x:c r="AG390" s="2"/>
      <x:c r="AH390" s="2"/>
      <x:c r="AI390" s="4"/>
      <x:c r="AJ390" s="2"/>
      <x:c r="AK390" s="2" t="s">
        <x:v>234</x:v>
      </x:c>
      <x:c r="AL390" s="2" t="s">
        <x:v>1274</x:v>
      </x:c>
      <x:c r="AM390" s="2">
        <x:v>90</x:v>
      </x:c>
      <x:c r="AN390" s="2">
        <x:v>90</x:v>
      </x:c>
    </x:row>
    <x:row r="391" ht="52">
      <x:c r="A391" s="2" t="s">
        <x:v>91</x:v>
      </x:c>
      <x:c r="B391" s="2" t="s">
        <x:v>15</x:v>
      </x:c>
      <x:c r="C391" s="3">
        <x:v>89</x:v>
      </x:c>
      <x:c r="D391" s="2" t="s">
        <x:v>1335</x:v>
      </x:c>
      <x:c r="E391" s="2" t="s">
        <x:v>1462</x:v>
      </x:c>
      <x:c r="F391" s="2" t="s">
        <x:v>247</x:v>
      </x:c>
      <x:c r="G391" s="2" t="s">
        <x:v>1290</x:v>
      </x:c>
      <x:c r="H391" s="2" t="s">
        <x:v>618</x:v>
      </x:c>
      <x:c r="I391" s="2" t="s">
        <x:v>1463</x:v>
      </x:c>
      <x:c r="J391" s="2" t="s">
        <x:v>1406</x:v>
      </x:c>
      <x:c r="K391" s="2" t="n">
        <x:v>88</x:v>
      </x:c>
      <x:c r="L391" s="2"/>
      <x:c r="M391" s="2"/>
      <x:c r="N391" s="2" t="s">
        <x:v>1455</x:v>
      </x:c>
      <x:c r="O391" s="2" t="s">
        <x:v>1355</x:v>
      </x:c>
      <x:c r="P391" s="2" t="s">
        <x:v>1352</x:v>
      </x:c>
      <x:c r="Q391" s="2"/>
      <x:c r="R391" s="3">
        <x:v>3</x:v>
      </x:c>
      <x:c r="S391" s="3"/>
      <x:c r="T391" s="2"/>
      <x:c r="U391" s="2"/>
      <x:c r="V391" s="2"/>
      <x:c r="W391" s="2" t="s">
        <x:v>1463</x:v>
      </x:c>
      <x:c r="X391" s="3"/>
      <x:c r="Y391" s="3"/>
      <x:c r="Z391" s="2"/>
      <x:c r="AA391" s="2" t="s">
        <x:v>275</x:v>
      </x:c>
      <x:c r="AB391" s="2" t="s">
        <x:v>276</x:v>
      </x:c>
      <x:c r="AC391" s="2"/>
      <x:c r="AD391" s="2"/>
      <x:c r="AE391" s="2"/>
      <x:c r="AF391" s="2"/>
      <x:c r="AG391" s="2"/>
      <x:c r="AH391" s="2"/>
      <x:c r="AI391" s="4"/>
      <x:c r="AJ391" s="2"/>
      <x:c r="AK391" s="2" t="s">
        <x:v>234</x:v>
      </x:c>
      <x:c r="AL391" s="2" t="s">
        <x:v>1274</x:v>
      </x:c>
      <x:c r="AM391" s="2">
        <x:v>91</x:v>
      </x:c>
      <x:c r="AN391" s="2">
        <x:v>91</x:v>
      </x:c>
    </x:row>
    <x:row r="392" ht="52">
      <x:c r="A392" s="2" t="s">
        <x:v>91</x:v>
      </x:c>
      <x:c r="B392" s="2" t="s">
        <x:v>15</x:v>
      </x:c>
      <x:c r="C392" s="3">
        <x:v>90</x:v>
      </x:c>
      <x:c r="D392" s="2" t="s">
        <x:v>1439</x:v>
      </x:c>
      <x:c r="E392" s="2" t="s">
        <x:v>1317</x:v>
      </x:c>
      <x:c r="F392" s="2" t="s">
        <x:v>254</x:v>
      </x:c>
      <x:c r="G392" s="2" t="s">
        <x:v>1464</x:v>
      </x:c>
      <x:c r="H392" s="2" t="s">
        <x:v>618</x:v>
      </x:c>
      <x:c r="I392" s="2" t="s">
        <x:v>1465</x:v>
      </x:c>
      <x:c r="J392" s="2" t="s">
        <x:v>1442</x:v>
      </x:c>
      <x:c r="K392" s="2"/>
      <x:c r="L392" s="2"/>
      <x:c r="M392" s="2"/>
      <x:c r="N392" s="2" t="s">
        <x:v>1455</x:v>
      </x:c>
      <x:c r="O392" s="2" t="s">
        <x:v>1351</x:v>
      </x:c>
      <x:c r="P392" s="2" t="s">
        <x:v>1352</x:v>
      </x:c>
      <x:c r="Q392" s="2"/>
      <x:c r="R392" s="3">
        <x:v>4</x:v>
      </x:c>
      <x:c r="S392" s="3"/>
      <x:c r="T392" s="2"/>
      <x:c r="U392" s="2"/>
      <x:c r="V392" s="2"/>
      <x:c r="W392" s="2" t="s">
        <x:v>1465</x:v>
      </x:c>
      <x:c r="X392" s="3"/>
      <x:c r="Y392" s="3"/>
      <x:c r="Z392" s="2"/>
      <x:c r="AA392" s="2" t="s">
        <x:v>1314</x:v>
      </x:c>
      <x:c r="AB392" s="2" t="s">
        <x:v>1315</x:v>
      </x:c>
      <x:c r="AC392" s="2"/>
      <x:c r="AD392" s="2"/>
      <x:c r="AE392" s="2"/>
      <x:c r="AF392" s="2"/>
      <x:c r="AG392" s="2"/>
      <x:c r="AH392" s="2"/>
      <x:c r="AI392" s="4"/>
      <x:c r="AJ392" s="2"/>
      <x:c r="AK392" s="2" t="s">
        <x:v>234</x:v>
      </x:c>
      <x:c r="AL392" s="2" t="s">
        <x:v>1274</x:v>
      </x:c>
      <x:c r="AM392" s="2">
        <x:v>92</x:v>
      </x:c>
      <x:c r="AN392" s="2">
        <x:v>92</x:v>
      </x:c>
    </x:row>
    <x:row r="393" ht="52">
      <x:c r="A393" s="2" t="s">
        <x:v>91</x:v>
      </x:c>
      <x:c r="B393" s="2" t="s">
        <x:v>15</x:v>
      </x:c>
      <x:c r="C393" s="3">
        <x:v>91</x:v>
      </x:c>
      <x:c r="D393" s="2" t="s">
        <x:v>1466</x:v>
      </x:c>
      <x:c r="E393" s="2" t="s">
        <x:v>1317</x:v>
      </x:c>
      <x:c r="F393" s="2" t="s">
        <x:v>224</x:v>
      </x:c>
      <x:c r="G393" s="2" t="s">
        <x:v>1452</x:v>
      </x:c>
      <x:c r="H393" s="2" t="s">
        <x:v>618</x:v>
      </x:c>
      <x:c r="I393" s="2" t="s">
        <x:v>1465</x:v>
      </x:c>
      <x:c r="J393" s="2" t="s">
        <x:v>1427</x:v>
      </x:c>
      <x:c r="K393" s="2" t="n">
        <x:v>90</x:v>
      </x:c>
      <x:c r="L393" s="2"/>
      <x:c r="M393" s="2"/>
      <x:c r="N393" s="2" t="s">
        <x:v>1455</x:v>
      </x:c>
      <x:c r="O393" s="2" t="s">
        <x:v>1355</x:v>
      </x:c>
      <x:c r="P393" s="2" t="s">
        <x:v>1352</x:v>
      </x:c>
      <x:c r="Q393" s="2"/>
      <x:c r="R393" s="3">
        <x:v>4</x:v>
      </x:c>
      <x:c r="S393" s="3"/>
      <x:c r="T393" s="2"/>
      <x:c r="U393" s="2"/>
      <x:c r="V393" s="2"/>
      <x:c r="W393" s="2" t="s">
        <x:v>1465</x:v>
      </x:c>
      <x:c r="X393" s="3"/>
      <x:c r="Y393" s="3"/>
      <x:c r="Z393" s="2"/>
      <x:c r="AA393" s="2" t="s">
        <x:v>243</x:v>
      </x:c>
      <x:c r="AB393" s="2" t="s">
        <x:v>267</x:v>
      </x:c>
      <x:c r="AC393" s="2"/>
      <x:c r="AD393" s="2"/>
      <x:c r="AE393" s="2"/>
      <x:c r="AF393" s="2"/>
      <x:c r="AG393" s="2"/>
      <x:c r="AH393" s="2"/>
      <x:c r="AI393" s="4"/>
      <x:c r="AJ393" s="2"/>
      <x:c r="AK393" s="2" t="s">
        <x:v>234</x:v>
      </x:c>
      <x:c r="AL393" s="2" t="s">
        <x:v>1274</x:v>
      </x:c>
      <x:c r="AM393" s="2">
        <x:v>93</x:v>
      </x:c>
      <x:c r="AN393" s="2">
        <x:v>93</x:v>
      </x:c>
    </x:row>
    <x:row r="394" ht="52">
      <x:c r="A394" s="2" t="s">
        <x:v>91</x:v>
      </x:c>
      <x:c r="B394" s="2" t="s">
        <x:v>15</x:v>
      </x:c>
      <x:c r="C394" s="3">
        <x:v>92</x:v>
      </x:c>
      <x:c r="D394" s="2" t="s">
        <x:v>1388</x:v>
      </x:c>
      <x:c r="E394" s="2" t="s">
        <x:v>1428</x:v>
      </x:c>
      <x:c r="F394" s="2" t="s">
        <x:v>247</x:v>
      </x:c>
      <x:c r="G394" s="2" t="s">
        <x:v>1277</x:v>
      </x:c>
      <x:c r="H394" s="2" t="s">
        <x:v>618</x:v>
      </x:c>
      <x:c r="I394" s="2" t="s">
        <x:v>1467</x:v>
      </x:c>
      <x:c r="J394" s="2" t="s">
        <x:v>1391</x:v>
      </x:c>
      <x:c r="K394" s="2"/>
      <x:c r="L394" s="2"/>
      <x:c r="M394" s="2"/>
      <x:c r="N394" s="2" t="s">
        <x:v>1455</x:v>
      </x:c>
      <x:c r="O394" s="2" t="s">
        <x:v>1351</x:v>
      </x:c>
      <x:c r="P394" s="2" t="s">
        <x:v>1352</x:v>
      </x:c>
      <x:c r="Q394" s="2"/>
      <x:c r="R394" s="3">
        <x:v>2</x:v>
      </x:c>
      <x:c r="S394" s="3"/>
      <x:c r="T394" s="2"/>
      <x:c r="U394" s="2"/>
      <x:c r="V394" s="2"/>
      <x:c r="W394" s="2" t="s">
        <x:v>1467</x:v>
      </x:c>
      <x:c r="X394" s="3"/>
      <x:c r="Y394" s="3"/>
      <x:c r="Z394" s="2"/>
      <x:c r="AA394" s="2" t="s">
        <x:v>232</x:v>
      </x:c>
      <x:c r="AB394" s="2" t="s">
        <x:v>233</x:v>
      </x:c>
      <x:c r="AC394" s="2"/>
      <x:c r="AD394" s="2"/>
      <x:c r="AE394" s="2"/>
      <x:c r="AF394" s="2"/>
      <x:c r="AG394" s="2"/>
      <x:c r="AH394" s="2"/>
      <x:c r="AI394" s="4"/>
      <x:c r="AJ394" s="2"/>
      <x:c r="AK394" s="2" t="s">
        <x:v>234</x:v>
      </x:c>
      <x:c r="AL394" s="2" t="s">
        <x:v>1274</x:v>
      </x:c>
      <x:c r="AM394" s="2">
        <x:v>94</x:v>
      </x:c>
      <x:c r="AN394" s="2">
        <x:v>94</x:v>
      </x:c>
    </x:row>
    <x:row r="395" ht="52">
      <x:c r="A395" s="2" t="s">
        <x:v>6</x:v>
      </x:c>
      <x:c r="B395" s="2" t="s">
        <x:v>15</x:v>
      </x:c>
      <x:c r="C395" s="3">
        <x:v>93</x:v>
      </x:c>
      <x:c r="D395" s="2" t="s">
        <x:v>1335</x:v>
      </x:c>
      <x:c r="E395" s="2" t="s">
        <x:v>1428</x:v>
      </x:c>
      <x:c r="F395" s="2" t="s">
        <x:v>224</x:v>
      </x:c>
      <x:c r="G395" s="2"/>
      <x:c r="H395" s="2" t="s">
        <x:v>618</x:v>
      </x:c>
      <x:c r="I395" s="2" t="s">
        <x:v>1467</x:v>
      </x:c>
      <x:c r="J395" s="2" t="s">
        <x:v>1371</x:v>
      </x:c>
      <x:c r="K395" s="2" t="n">
        <x:v>92</x:v>
      </x:c>
      <x:c r="L395" s="2"/>
      <x:c r="M395" s="2"/>
      <x:c r="N395" s="2" t="s">
        <x:v>1455</x:v>
      </x:c>
      <x:c r="O395" s="2" t="s">
        <x:v>1355</x:v>
      </x:c>
      <x:c r="P395" s="2" t="s">
        <x:v>1352</x:v>
      </x:c>
      <x:c r="Q395" s="2"/>
      <x:c r="R395" s="3">
        <x:v>2</x:v>
      </x:c>
      <x:c r="S395" s="3"/>
      <x:c r="T395" s="2"/>
      <x:c r="U395" s="2"/>
      <x:c r="V395" s="2"/>
      <x:c r="W395" s="2" t="s">
        <x:v>1467</x:v>
      </x:c>
      <x:c r="X395" s="3"/>
      <x:c r="Y395" s="3"/>
      <x:c r="Z395" s="2"/>
      <x:c r="AA395" s="2" t="s">
        <x:v>243</x:v>
      </x:c>
      <x:c r="AB395" s="2" t="s">
        <x:v>276</x:v>
      </x:c>
      <x:c r="AC395" s="2"/>
      <x:c r="AD395" s="2"/>
      <x:c r="AE395" s="2"/>
      <x:c r="AF395" s="2"/>
      <x:c r="AG395" s="2"/>
      <x:c r="AH395" s="2"/>
      <x:c r="AI395" s="4"/>
      <x:c r="AJ395" s="2"/>
      <x:c r="AK395" s="2" t="s">
        <x:v>234</x:v>
      </x:c>
      <x:c r="AL395" s="2" t="s">
        <x:v>1274</x:v>
      </x:c>
      <x:c r="AM395" s="2">
        <x:v>95</x:v>
      </x:c>
      <x:c r="AN395" s="2">
        <x:v>95</x:v>
      </x:c>
    </x:row>
    <x:row r="396" ht="52">
      <x:c r="A396" s="2" t="s">
        <x:v>6</x:v>
      </x:c>
      <x:c r="B396" s="2" t="s">
        <x:v>15</x:v>
      </x:c>
      <x:c r="C396" s="3">
        <x:v>94</x:v>
      </x:c>
      <x:c r="D396" s="2" t="s">
        <x:v>1335</x:v>
      </x:c>
      <x:c r="E396" s="2" t="s">
        <x:v>1468</x:v>
      </x:c>
      <x:c r="F396" s="2" t="s">
        <x:v>237</x:v>
      </x:c>
      <x:c r="G396" s="2"/>
      <x:c r="H396" s="2" t="s">
        <x:v>618</x:v>
      </x:c>
      <x:c r="I396" s="2" t="s">
        <x:v>1469</x:v>
      </x:c>
      <x:c r="J396" s="2" t="s">
        <x:v>1375</x:v>
      </x:c>
      <x:c r="K396" s="2"/>
      <x:c r="L396" s="2"/>
      <x:c r="M396" s="2"/>
      <x:c r="N396" s="2" t="s">
        <x:v>1455</x:v>
      </x:c>
      <x:c r="O396" s="2" t="s">
        <x:v>1351</x:v>
      </x:c>
      <x:c r="P396" s="2" t="s">
        <x:v>1352</x:v>
      </x:c>
      <x:c r="Q396" s="2"/>
      <x:c r="R396" s="3">
        <x:v>3</x:v>
      </x:c>
      <x:c r="S396" s="3"/>
      <x:c r="T396" s="2"/>
      <x:c r="U396" s="2"/>
      <x:c r="V396" s="2"/>
      <x:c r="W396" s="2" t="s">
        <x:v>1469</x:v>
      </x:c>
      <x:c r="X396" s="3"/>
      <x:c r="Y396" s="3"/>
      <x:c r="Z396" s="2"/>
      <x:c r="AA396" s="2" t="s">
        <x:v>275</x:v>
      </x:c>
      <x:c r="AB396" s="2" t="s">
        <x:v>276</x:v>
      </x:c>
      <x:c r="AC396" s="2"/>
      <x:c r="AD396" s="2"/>
      <x:c r="AE396" s="2"/>
      <x:c r="AF396" s="2"/>
      <x:c r="AG396" s="2"/>
      <x:c r="AH396" s="2"/>
      <x:c r="AI396" s="4"/>
      <x:c r="AJ396" s="2"/>
      <x:c r="AK396" s="2" t="s">
        <x:v>234</x:v>
      </x:c>
      <x:c r="AL396" s="2" t="s">
        <x:v>1274</x:v>
      </x:c>
      <x:c r="AM396" s="2">
        <x:v>96</x:v>
      </x:c>
      <x:c r="AN396" s="2">
        <x:v>96</x:v>
      </x:c>
    </x:row>
    <x:row r="397" ht="52">
      <x:c r="A397" s="2" t="s">
        <x:v>91</x:v>
      </x:c>
      <x:c r="B397" s="2" t="s">
        <x:v>15</x:v>
      </x:c>
      <x:c r="C397" s="3">
        <x:v>95</x:v>
      </x:c>
      <x:c r="D397" s="2" t="s">
        <x:v>1466</x:v>
      </x:c>
      <x:c r="E397" s="2" t="s">
        <x:v>1468</x:v>
      </x:c>
      <x:c r="F397" s="2" t="s">
        <x:v>254</x:v>
      </x:c>
      <x:c r="G397" s="2" t="s">
        <x:v>1373</x:v>
      </x:c>
      <x:c r="H397" s="2" t="s">
        <x:v>618</x:v>
      </x:c>
      <x:c r="I397" s="2" t="s">
        <x:v>1469</x:v>
      </x:c>
      <x:c r="J397" s="2" t="s">
        <x:v>1414</x:v>
      </x:c>
      <x:c r="K397" s="2" t="n">
        <x:v>94</x:v>
      </x:c>
      <x:c r="L397" s="2"/>
      <x:c r="M397" s="2"/>
      <x:c r="N397" s="2" t="s">
        <x:v>1455</x:v>
      </x:c>
      <x:c r="O397" s="2" t="s">
        <x:v>1355</x:v>
      </x:c>
      <x:c r="P397" s="2" t="s">
        <x:v>1352</x:v>
      </x:c>
      <x:c r="Q397" s="2"/>
      <x:c r="R397" s="3">
        <x:v>3</x:v>
      </x:c>
      <x:c r="S397" s="3"/>
      <x:c r="T397" s="2"/>
      <x:c r="U397" s="2"/>
      <x:c r="V397" s="2"/>
      <x:c r="W397" s="2" t="s">
        <x:v>1469</x:v>
      </x:c>
      <x:c r="X397" s="3"/>
      <x:c r="Y397" s="3"/>
      <x:c r="Z397" s="2"/>
      <x:c r="AA397" s="2" t="s">
        <x:v>232</x:v>
      </x:c>
      <x:c r="AB397" s="2" t="s">
        <x:v>267</x:v>
      </x:c>
      <x:c r="AC397" s="2"/>
      <x:c r="AD397" s="2"/>
      <x:c r="AE397" s="2"/>
      <x:c r="AF397" s="2"/>
      <x:c r="AG397" s="2"/>
      <x:c r="AH397" s="2"/>
      <x:c r="AI397" s="4"/>
      <x:c r="AJ397" s="2"/>
      <x:c r="AK397" s="2" t="s">
        <x:v>234</x:v>
      </x:c>
      <x:c r="AL397" s="2" t="s">
        <x:v>1274</x:v>
      </x:c>
      <x:c r="AM397" s="2">
        <x:v>97</x:v>
      </x:c>
      <x:c r="AN397" s="2">
        <x:v>97</x:v>
      </x:c>
    </x:row>
    <x:row r="398" ht="52">
      <x:c r="A398" s="2" t="s">
        <x:v>91</x:v>
      </x:c>
      <x:c r="B398" s="2" t="s">
        <x:v>15</x:v>
      </x:c>
      <x:c r="C398" s="3">
        <x:v>96</x:v>
      </x:c>
      <x:c r="D398" s="2" t="s">
        <x:v>1288</x:v>
      </x:c>
      <x:c r="E398" s="2" t="s">
        <x:v>1470</x:v>
      </x:c>
      <x:c r="F398" s="2" t="s">
        <x:v>237</x:v>
      </x:c>
      <x:c r="G398" s="2" t="s">
        <x:v>1373</x:v>
      </x:c>
      <x:c r="H398" s="2" t="s">
        <x:v>618</x:v>
      </x:c>
      <x:c r="I398" s="2" t="s">
        <x:v>1471</x:v>
      </x:c>
      <x:c r="J398" s="2" t="s">
        <x:v>1417</x:v>
      </x:c>
      <x:c r="K398" s="2"/>
      <x:c r="L398" s="2"/>
      <x:c r="M398" s="2"/>
      <x:c r="N398" s="2" t="s">
        <x:v>1455</x:v>
      </x:c>
      <x:c r="O398" s="2" t="s">
        <x:v>1351</x:v>
      </x:c>
      <x:c r="P398" s="2" t="s">
        <x:v>1352</x:v>
      </x:c>
      <x:c r="Q398" s="2"/>
      <x:c r="R398" s="3">
        <x:v>4</x:v>
      </x:c>
      <x:c r="S398" s="3"/>
      <x:c r="T398" s="2"/>
      <x:c r="U398" s="2"/>
      <x:c r="V398" s="2"/>
      <x:c r="W398" s="2" t="s">
        <x:v>1471</x:v>
      </x:c>
      <x:c r="X398" s="3"/>
      <x:c r="Y398" s="3"/>
      <x:c r="Z398" s="2"/>
      <x:c r="AA398" s="2" t="s">
        <x:v>232</x:v>
      </x:c>
      <x:c r="AB398" s="2" t="s">
        <x:v>300</x:v>
      </x:c>
      <x:c r="AC398" s="2"/>
      <x:c r="AD398" s="2"/>
      <x:c r="AE398" s="2"/>
      <x:c r="AF398" s="2"/>
      <x:c r="AG398" s="2"/>
      <x:c r="AH398" s="2"/>
      <x:c r="AI398" s="4"/>
      <x:c r="AJ398" s="2"/>
      <x:c r="AK398" s="2" t="s">
        <x:v>234</x:v>
      </x:c>
      <x:c r="AL398" s="2" t="s">
        <x:v>1274</x:v>
      </x:c>
      <x:c r="AM398" s="2">
        <x:v>98</x:v>
      </x:c>
      <x:c r="AN398" s="2">
        <x:v>98</x:v>
      </x:c>
    </x:row>
    <x:row r="399" ht="52">
      <x:c r="A399" s="2" t="s">
        <x:v>91</x:v>
      </x:c>
      <x:c r="B399" s="2" t="s">
        <x:v>15</x:v>
      </x:c>
      <x:c r="C399" s="3">
        <x:v>97</x:v>
      </x:c>
      <x:c r="D399" s="2" t="s">
        <x:v>1439</x:v>
      </x:c>
      <x:c r="E399" s="2" t="s">
        <x:v>1470</x:v>
      </x:c>
      <x:c r="F399" s="2" t="s">
        <x:v>254</x:v>
      </x:c>
      <x:c r="G399" s="2" t="s">
        <x:v>1415</x:v>
      </x:c>
      <x:c r="H399" s="2" t="s">
        <x:v>618</x:v>
      </x:c>
      <x:c r="I399" s="2" t="s">
        <x:v>1471</x:v>
      </x:c>
      <x:c r="J399" s="2" t="s">
        <x:v>1442</x:v>
      </x:c>
      <x:c r="K399" s="2" t="n">
        <x:v>96</x:v>
      </x:c>
      <x:c r="L399" s="2"/>
      <x:c r="M399" s="2"/>
      <x:c r="N399" s="2" t="s">
        <x:v>1455</x:v>
      </x:c>
      <x:c r="O399" s="2" t="s">
        <x:v>1355</x:v>
      </x:c>
      <x:c r="P399" s="2" t="s">
        <x:v>1352</x:v>
      </x:c>
      <x:c r="Q399" s="2"/>
      <x:c r="R399" s="3">
        <x:v>4</x:v>
      </x:c>
      <x:c r="S399" s="3"/>
      <x:c r="T399" s="2"/>
      <x:c r="U399" s="2"/>
      <x:c r="V399" s="2"/>
      <x:c r="W399" s="2" t="s">
        <x:v>1471</x:v>
      </x:c>
      <x:c r="X399" s="3"/>
      <x:c r="Y399" s="3"/>
      <x:c r="Z399" s="2"/>
      <x:c r="AA399" s="2" t="s">
        <x:v>1314</x:v>
      </x:c>
      <x:c r="AB399" s="2" t="s">
        <x:v>1315</x:v>
      </x:c>
      <x:c r="AC399" s="2"/>
      <x:c r="AD399" s="2"/>
      <x:c r="AE399" s="2"/>
      <x:c r="AF399" s="2"/>
      <x:c r="AG399" s="2"/>
      <x:c r="AH399" s="2"/>
      <x:c r="AI399" s="4"/>
      <x:c r="AJ399" s="2"/>
      <x:c r="AK399" s="2" t="s">
        <x:v>234</x:v>
      </x:c>
      <x:c r="AL399" s="2" t="s">
        <x:v>1274</x:v>
      </x:c>
      <x:c r="AM399" s="2">
        <x:v>99</x:v>
      </x:c>
      <x:c r="AN399" s="2">
        <x:v>99</x:v>
      </x:c>
    </x:row>
    <x:row r="400" ht="52">
      <x:c r="A400" s="2" t="s">
        <x:v>91</x:v>
      </x:c>
      <x:c r="B400" s="2" t="s">
        <x:v>15</x:v>
      </x:c>
      <x:c r="C400" s="3">
        <x:v>98</x:v>
      </x:c>
      <x:c r="D400" s="2" t="s">
        <x:v>1335</x:v>
      </x:c>
      <x:c r="E400" s="2" t="s">
        <x:v>1389</x:v>
      </x:c>
      <x:c r="F400" s="2" t="s">
        <x:v>254</x:v>
      </x:c>
      <x:c r="G400" s="2" t="s">
        <x:v>1472</x:v>
      </x:c>
      <x:c r="H400" s="2" t="s">
        <x:v>618</x:v>
      </x:c>
      <x:c r="I400" s="2" t="s">
        <x:v>1473</x:v>
      </x:c>
      <x:c r="J400" s="2" t="s">
        <x:v>1403</x:v>
      </x:c>
      <x:c r="K400" s="2"/>
      <x:c r="L400" s="2"/>
      <x:c r="M400" s="2"/>
      <x:c r="N400" s="2" t="s">
        <x:v>1455</x:v>
      </x:c>
      <x:c r="O400" s="2" t="s">
        <x:v>1351</x:v>
      </x:c>
      <x:c r="P400" s="2" t="s">
        <x:v>1352</x:v>
      </x:c>
      <x:c r="Q400" s="2"/>
      <x:c r="R400" s="3">
        <x:v>2</x:v>
      </x:c>
      <x:c r="S400" s="3"/>
      <x:c r="T400" s="2"/>
      <x:c r="U400" s="2"/>
      <x:c r="V400" s="2"/>
      <x:c r="W400" s="2" t="s">
        <x:v>1473</x:v>
      </x:c>
      <x:c r="X400" s="3"/>
      <x:c r="Y400" s="3"/>
      <x:c r="Z400" s="2"/>
      <x:c r="AA400" s="2" t="s">
        <x:v>243</x:v>
      </x:c>
      <x:c r="AB400" s="2" t="s">
        <x:v>276</x:v>
      </x:c>
      <x:c r="AC400" s="2"/>
      <x:c r="AD400" s="2"/>
      <x:c r="AE400" s="2"/>
      <x:c r="AF400" s="2"/>
      <x:c r="AG400" s="2"/>
      <x:c r="AH400" s="2"/>
      <x:c r="AI400" s="4"/>
      <x:c r="AJ400" s="2"/>
      <x:c r="AK400" s="2" t="s">
        <x:v>234</x:v>
      </x:c>
      <x:c r="AL400" s="2" t="s">
        <x:v>1274</x:v>
      </x:c>
      <x:c r="AM400" s="2">
        <x:v>100</x:v>
      </x:c>
      <x:c r="AN400" s="2">
        <x:v>100</x:v>
      </x:c>
    </x:row>
    <x:row r="401" ht="52">
      <x:c r="A401" s="2" t="s">
        <x:v>91</x:v>
      </x:c>
      <x:c r="B401" s="2" t="s">
        <x:v>15</x:v>
      </x:c>
      <x:c r="C401" s="3">
        <x:v>99</x:v>
      </x:c>
      <x:c r="D401" s="2" t="s">
        <x:v>1388</x:v>
      </x:c>
      <x:c r="E401" s="2" t="s">
        <x:v>1389</x:v>
      </x:c>
      <x:c r="F401" s="2" t="s">
        <x:v>247</x:v>
      </x:c>
      <x:c r="G401" s="2" t="s">
        <x:v>1276</x:v>
      </x:c>
      <x:c r="H401" s="2" t="s">
        <x:v>618</x:v>
      </x:c>
      <x:c r="I401" s="2" t="s">
        <x:v>1473</x:v>
      </x:c>
      <x:c r="J401" s="2" t="s">
        <x:v>1391</x:v>
      </x:c>
      <x:c r="K401" s="2" t="n">
        <x:v>98</x:v>
      </x:c>
      <x:c r="L401" s="2"/>
      <x:c r="M401" s="2"/>
      <x:c r="N401" s="2" t="s">
        <x:v>1455</x:v>
      </x:c>
      <x:c r="O401" s="2" t="s">
        <x:v>1355</x:v>
      </x:c>
      <x:c r="P401" s="2" t="s">
        <x:v>1352</x:v>
      </x:c>
      <x:c r="Q401" s="2"/>
      <x:c r="R401" s="3">
        <x:v>2</x:v>
      </x:c>
      <x:c r="S401" s="3"/>
      <x:c r="T401" s="2"/>
      <x:c r="U401" s="2"/>
      <x:c r="V401" s="2"/>
      <x:c r="W401" s="2" t="s">
        <x:v>1473</x:v>
      </x:c>
      <x:c r="X401" s="3"/>
      <x:c r="Y401" s="3"/>
      <x:c r="Z401" s="2"/>
      <x:c r="AA401" s="2" t="s">
        <x:v>232</x:v>
      </x:c>
      <x:c r="AB401" s="2" t="s">
        <x:v>233</x:v>
      </x:c>
      <x:c r="AC401" s="2"/>
      <x:c r="AD401" s="2"/>
      <x:c r="AE401" s="2"/>
      <x:c r="AF401" s="2"/>
      <x:c r="AG401" s="2"/>
      <x:c r="AH401" s="2"/>
      <x:c r="AI401" s="4"/>
      <x:c r="AJ401" s="2"/>
      <x:c r="AK401" s="2" t="s">
        <x:v>234</x:v>
      </x:c>
      <x:c r="AL401" s="2" t="s">
        <x:v>1274</x:v>
      </x:c>
      <x:c r="AM401" s="2">
        <x:v>101</x:v>
      </x:c>
      <x:c r="AN401" s="2">
        <x:v>101</x:v>
      </x:c>
    </x:row>
    <x:row r="402" ht="52">
      <x:c r="A402" s="2" t="s">
        <x:v>6</x:v>
      </x:c>
      <x:c r="B402" s="2" t="s">
        <x:v>15</x:v>
      </x:c>
      <x:c r="C402" s="3">
        <x:v>100</x:v>
      </x:c>
      <x:c r="D402" s="2" t="s">
        <x:v>1466</x:v>
      </x:c>
      <x:c r="E402" s="2" t="s">
        <x:v>1474</x:v>
      </x:c>
      <x:c r="F402" s="2" t="s">
        <x:v>254</x:v>
      </x:c>
      <x:c r="G402" s="2"/>
      <x:c r="H402" s="2" t="s">
        <x:v>618</x:v>
      </x:c>
      <x:c r="I402" s="2" t="s">
        <x:v>1475</x:v>
      </x:c>
      <x:c r="J402" s="2" t="s">
        <x:v>1414</x:v>
      </x:c>
      <x:c r="K402" s="2"/>
      <x:c r="L402" s="2"/>
      <x:c r="M402" s="2"/>
      <x:c r="N402" s="2" t="s">
        <x:v>1455</x:v>
      </x:c>
      <x:c r="O402" s="2" t="s">
        <x:v>1351</x:v>
      </x:c>
      <x:c r="P402" s="2" t="s">
        <x:v>1352</x:v>
      </x:c>
      <x:c r="Q402" s="2"/>
      <x:c r="R402" s="3">
        <x:v>3</x:v>
      </x:c>
      <x:c r="S402" s="3"/>
      <x:c r="T402" s="2"/>
      <x:c r="U402" s="2"/>
      <x:c r="V402" s="2"/>
      <x:c r="W402" s="2" t="s">
        <x:v>1475</x:v>
      </x:c>
      <x:c r="X402" s="3"/>
      <x:c r="Y402" s="3"/>
      <x:c r="Z402" s="2"/>
      <x:c r="AA402" s="2" t="s">
        <x:v>232</x:v>
      </x:c>
      <x:c r="AB402" s="2" t="s">
        <x:v>267</x:v>
      </x:c>
      <x:c r="AC402" s="2"/>
      <x:c r="AD402" s="2"/>
      <x:c r="AE402" s="2"/>
      <x:c r="AF402" s="2"/>
      <x:c r="AG402" s="2"/>
      <x:c r="AH402" s="2"/>
      <x:c r="AI402" s="4"/>
      <x:c r="AJ402" s="2"/>
      <x:c r="AK402" s="2" t="s">
        <x:v>234</x:v>
      </x:c>
      <x:c r="AL402" s="2" t="s">
        <x:v>1274</x:v>
      </x:c>
      <x:c r="AM402" s="2">
        <x:v>102</x:v>
      </x:c>
      <x:c r="AN402" s="2">
        <x:v>102</x:v>
      </x:c>
    </x:row>
    <x:row r="403" ht="52">
      <x:c r="A403" s="2" t="s">
        <x:v>6</x:v>
      </x:c>
      <x:c r="B403" s="2" t="s">
        <x:v>15</x:v>
      </x:c>
      <x:c r="C403" s="3">
        <x:v>101</x:v>
      </x:c>
      <x:c r="D403" s="2" t="s">
        <x:v>1335</x:v>
      </x:c>
      <x:c r="E403" s="2" t="s">
        <x:v>1474</x:v>
      </x:c>
      <x:c r="F403" s="2" t="s">
        <x:v>247</x:v>
      </x:c>
      <x:c r="G403" s="2"/>
      <x:c r="H403" s="2" t="s">
        <x:v>618</x:v>
      </x:c>
      <x:c r="I403" s="2" t="s">
        <x:v>1475</x:v>
      </x:c>
      <x:c r="J403" s="2" t="s">
        <x:v>1406</x:v>
      </x:c>
      <x:c r="K403" s="2" t="n">
        <x:v>100</x:v>
      </x:c>
      <x:c r="L403" s="2"/>
      <x:c r="M403" s="2"/>
      <x:c r="N403" s="2" t="s">
        <x:v>1455</x:v>
      </x:c>
      <x:c r="O403" s="2" t="s">
        <x:v>1355</x:v>
      </x:c>
      <x:c r="P403" s="2" t="s">
        <x:v>1352</x:v>
      </x:c>
      <x:c r="Q403" s="2"/>
      <x:c r="R403" s="3">
        <x:v>3</x:v>
      </x:c>
      <x:c r="S403" s="3"/>
      <x:c r="T403" s="2"/>
      <x:c r="U403" s="2"/>
      <x:c r="V403" s="2"/>
      <x:c r="W403" s="2" t="s">
        <x:v>1475</x:v>
      </x:c>
      <x:c r="X403" s="3"/>
      <x:c r="Y403" s="3"/>
      <x:c r="Z403" s="2"/>
      <x:c r="AA403" s="2" t="s">
        <x:v>275</x:v>
      </x:c>
      <x:c r="AB403" s="2" t="s">
        <x:v>276</x:v>
      </x:c>
      <x:c r="AC403" s="2"/>
      <x:c r="AD403" s="2"/>
      <x:c r="AE403" s="2"/>
      <x:c r="AF403" s="2"/>
      <x:c r="AG403" s="2"/>
      <x:c r="AH403" s="2"/>
      <x:c r="AI403" s="4"/>
      <x:c r="AJ403" s="2"/>
      <x:c r="AK403" s="2" t="s">
        <x:v>234</x:v>
      </x:c>
      <x:c r="AL403" s="2" t="s">
        <x:v>1274</x:v>
      </x:c>
      <x:c r="AM403" s="2">
        <x:v>103</x:v>
      </x:c>
      <x:c r="AN403" s="2">
        <x:v>103</x:v>
      </x:c>
    </x:row>
    <x:row r="404" ht="52">
      <x:c r="A404" s="2" t="s">
        <x:v>6</x:v>
      </x:c>
      <x:c r="B404" s="2" t="s">
        <x:v>15</x:v>
      </x:c>
      <x:c r="C404" s="3">
        <x:v>102</x:v>
      </x:c>
      <x:c r="D404" s="2" t="s">
        <x:v>1340</x:v>
      </x:c>
      <x:c r="E404" s="2" t="s">
        <x:v>1476</x:v>
      </x:c>
      <x:c r="F404" s="2" t="s">
        <x:v>247</x:v>
      </x:c>
      <x:c r="G404" s="2"/>
      <x:c r="H404" s="2" t="s">
        <x:v>618</x:v>
      </x:c>
      <x:c r="I404" s="2" t="s">
        <x:v>1477</x:v>
      </x:c>
      <x:c r="J404" s="2" t="s">
        <x:v>1446</x:v>
      </x:c>
      <x:c r="K404" s="2"/>
      <x:c r="L404" s="2"/>
      <x:c r="M404" s="2"/>
      <x:c r="N404" s="2" t="s">
        <x:v>1455</x:v>
      </x:c>
      <x:c r="O404" s="2" t="s">
        <x:v>1351</x:v>
      </x:c>
      <x:c r="P404" s="2" t="s">
        <x:v>1352</x:v>
      </x:c>
      <x:c r="Q404" s="2"/>
      <x:c r="R404" s="3">
        <x:v>4</x:v>
      </x:c>
      <x:c r="S404" s="3"/>
      <x:c r="T404" s="2"/>
      <x:c r="U404" s="2"/>
      <x:c r="V404" s="2"/>
      <x:c r="W404" s="2" t="s">
        <x:v>1477</x:v>
      </x:c>
      <x:c r="X404" s="3"/>
      <x:c r="Y404" s="3"/>
      <x:c r="Z404" s="2"/>
      <x:c r="AA404" s="2" t="s">
        <x:v>275</x:v>
      </x:c>
      <x:c r="AB404" s="2" t="s">
        <x:v>284</x:v>
      </x:c>
      <x:c r="AC404" s="2"/>
      <x:c r="AD404" s="2"/>
      <x:c r="AE404" s="2"/>
      <x:c r="AF404" s="2"/>
      <x:c r="AG404" s="2"/>
      <x:c r="AH404" s="2"/>
      <x:c r="AI404" s="4"/>
      <x:c r="AJ404" s="2"/>
      <x:c r="AK404" s="2" t="s">
        <x:v>234</x:v>
      </x:c>
      <x:c r="AL404" s="2" t="s">
        <x:v>1274</x:v>
      </x:c>
      <x:c r="AM404" s="2">
        <x:v>104</x:v>
      </x:c>
      <x:c r="AN404" s="2">
        <x:v>104</x:v>
      </x:c>
    </x:row>
    <x:row r="405" ht="52">
      <x:c r="A405" s="2" t="s">
        <x:v>6</x:v>
      </x:c>
      <x:c r="B405" s="2" t="s">
        <x:v>15</x:v>
      </x:c>
      <x:c r="C405" s="3">
        <x:v>103</x:v>
      </x:c>
      <x:c r="D405" s="2" t="s">
        <x:v>1466</x:v>
      </x:c>
      <x:c r="E405" s="2" t="s">
        <x:v>1476</x:v>
      </x:c>
      <x:c r="F405" s="2" t="s">
        <x:v>224</x:v>
      </x:c>
      <x:c r="G405" s="2"/>
      <x:c r="H405" s="2" t="s">
        <x:v>618</x:v>
      </x:c>
      <x:c r="I405" s="2" t="s">
        <x:v>1477</x:v>
      </x:c>
      <x:c r="J405" s="2" t="s">
        <x:v>1427</x:v>
      </x:c>
      <x:c r="K405" s="2" t="n">
        <x:v>102</x:v>
      </x:c>
      <x:c r="L405" s="2"/>
      <x:c r="M405" s="2"/>
      <x:c r="N405" s="2" t="s">
        <x:v>1455</x:v>
      </x:c>
      <x:c r="O405" s="2" t="s">
        <x:v>1355</x:v>
      </x:c>
      <x:c r="P405" s="2" t="s">
        <x:v>1352</x:v>
      </x:c>
      <x:c r="Q405" s="2"/>
      <x:c r="R405" s="3">
        <x:v>4</x:v>
      </x:c>
      <x:c r="S405" s="3"/>
      <x:c r="T405" s="2"/>
      <x:c r="U405" s="2"/>
      <x:c r="V405" s="2"/>
      <x:c r="W405" s="2" t="s">
        <x:v>1477</x:v>
      </x:c>
      <x:c r="X405" s="3"/>
      <x:c r="Y405" s="3"/>
      <x:c r="Z405" s="2"/>
      <x:c r="AA405" s="2" t="s">
        <x:v>243</x:v>
      </x:c>
      <x:c r="AB405" s="2" t="s">
        <x:v>267</x:v>
      </x:c>
      <x:c r="AC405" s="2"/>
      <x:c r="AD405" s="2"/>
      <x:c r="AE405" s="2"/>
      <x:c r="AF405" s="2"/>
      <x:c r="AG405" s="2"/>
      <x:c r="AH405" s="2"/>
      <x:c r="AI405" s="4"/>
      <x:c r="AJ405" s="2"/>
      <x:c r="AK405" s="2" t="s">
        <x:v>234</x:v>
      </x:c>
      <x:c r="AL405" s="2" t="s">
        <x:v>1274</x:v>
      </x:c>
      <x:c r="AM405" s="2">
        <x:v>105</x:v>
      </x:c>
      <x:c r="AN405" s="2">
        <x:v>105</x:v>
      </x:c>
    </x:row>
    <x:row r="406" ht="52">
      <x:c r="A406" s="2" t="s">
        <x:v>91</x:v>
      </x:c>
      <x:c r="B406" s="2" t="s">
        <x:v>15</x:v>
      </x:c>
      <x:c r="C406" s="3">
        <x:v>104</x:v>
      </x:c>
      <x:c r="D406" s="2" t="s">
        <x:v>1288</x:v>
      </x:c>
      <x:c r="E406" s="2" t="s">
        <x:v>1478</x:v>
      </x:c>
      <x:c r="F406" s="2" t="s">
        <x:v>237</x:v>
      </x:c>
      <x:c r="G406" s="2" t="s">
        <x:v>1415</x:v>
      </x:c>
      <x:c r="H406" s="2" t="s">
        <x:v>618</x:v>
      </x:c>
      <x:c r="I406" s="2" t="s">
        <x:v>1479</x:v>
      </x:c>
      <x:c r="J406" s="2" t="s">
        <x:v>1417</x:v>
      </x:c>
      <x:c r="K406" s="2"/>
      <x:c r="L406" s="2"/>
      <x:c r="M406" s="2"/>
      <x:c r="N406" s="2" t="s">
        <x:v>1455</x:v>
      </x:c>
      <x:c r="O406" s="2" t="s">
        <x:v>1351</x:v>
      </x:c>
      <x:c r="P406" s="2" t="s">
        <x:v>1352</x:v>
      </x:c>
      <x:c r="Q406" s="2"/>
      <x:c r="R406" s="3">
        <x:v>4</x:v>
      </x:c>
      <x:c r="S406" s="3"/>
      <x:c r="T406" s="2"/>
      <x:c r="U406" s="2"/>
      <x:c r="V406" s="2"/>
      <x:c r="W406" s="2" t="s">
        <x:v>1479</x:v>
      </x:c>
      <x:c r="X406" s="3"/>
      <x:c r="Y406" s="3"/>
      <x:c r="Z406" s="2"/>
      <x:c r="AA406" s="2" t="s">
        <x:v>232</x:v>
      </x:c>
      <x:c r="AB406" s="2" t="s">
        <x:v>300</x:v>
      </x:c>
      <x:c r="AC406" s="2"/>
      <x:c r="AD406" s="2"/>
      <x:c r="AE406" s="2"/>
      <x:c r="AF406" s="2"/>
      <x:c r="AG406" s="2"/>
      <x:c r="AH406" s="2"/>
      <x:c r="AI406" s="4"/>
      <x:c r="AJ406" s="2"/>
      <x:c r="AK406" s="2" t="s">
        <x:v>234</x:v>
      </x:c>
      <x:c r="AL406" s="2" t="s">
        <x:v>1274</x:v>
      </x:c>
      <x:c r="AM406" s="2">
        <x:v>106</x:v>
      </x:c>
      <x:c r="AN406" s="2">
        <x:v>106</x:v>
      </x:c>
    </x:row>
    <x:row r="407" ht="52">
      <x:c r="A407" s="2" t="s">
        <x:v>6</x:v>
      </x:c>
      <x:c r="B407" s="2" t="s">
        <x:v>15</x:v>
      </x:c>
      <x:c r="C407" s="3">
        <x:v>105</x:v>
      </x:c>
      <x:c r="D407" s="2" t="s">
        <x:v>1466</x:v>
      </x:c>
      <x:c r="E407" s="2" t="s">
        <x:v>1478</x:v>
      </x:c>
      <x:c r="F407" s="2" t="s">
        <x:v>224</x:v>
      </x:c>
      <x:c r="G407" s="2"/>
      <x:c r="H407" s="2" t="s">
        <x:v>618</x:v>
      </x:c>
      <x:c r="I407" s="2" t="s">
        <x:v>1479</x:v>
      </x:c>
      <x:c r="J407" s="2" t="s">
        <x:v>1427</x:v>
      </x:c>
      <x:c r="K407" s="2" t="n">
        <x:v>104</x:v>
      </x:c>
      <x:c r="L407" s="2"/>
      <x:c r="M407" s="2"/>
      <x:c r="N407" s="2" t="s">
        <x:v>1455</x:v>
      </x:c>
      <x:c r="O407" s="2" t="s">
        <x:v>1355</x:v>
      </x:c>
      <x:c r="P407" s="2" t="s">
        <x:v>1352</x:v>
      </x:c>
      <x:c r="Q407" s="2"/>
      <x:c r="R407" s="3">
        <x:v>4</x:v>
      </x:c>
      <x:c r="S407" s="3"/>
      <x:c r="T407" s="2"/>
      <x:c r="U407" s="2"/>
      <x:c r="V407" s="2"/>
      <x:c r="W407" s="2" t="s">
        <x:v>1479</x:v>
      </x:c>
      <x:c r="X407" s="3"/>
      <x:c r="Y407" s="3"/>
      <x:c r="Z407" s="2"/>
      <x:c r="AA407" s="2" t="s">
        <x:v>243</x:v>
      </x:c>
      <x:c r="AB407" s="2" t="s">
        <x:v>267</x:v>
      </x:c>
      <x:c r="AC407" s="2"/>
      <x:c r="AD407" s="2"/>
      <x:c r="AE407" s="2"/>
      <x:c r="AF407" s="2"/>
      <x:c r="AG407" s="2"/>
      <x:c r="AH407" s="2"/>
      <x:c r="AI407" s="4"/>
      <x:c r="AJ407" s="2"/>
      <x:c r="AK407" s="2" t="s">
        <x:v>234</x:v>
      </x:c>
      <x:c r="AL407" s="2" t="s">
        <x:v>1274</x:v>
      </x:c>
      <x:c r="AM407" s="2">
        <x:v>107</x:v>
      </x:c>
      <x:c r="AN407" s="2">
        <x:v>107</x:v>
      </x:c>
    </x:row>
    <x:row r="408" ht="52">
      <x:c r="A408" s="2" t="s">
        <x:v>6</x:v>
      </x:c>
      <x:c r="B408" s="2" t="s">
        <x:v>15</x:v>
      </x:c>
      <x:c r="C408" s="3">
        <x:v>106</x:v>
      </x:c>
      <x:c r="D408" s="2" t="s">
        <x:v>1340</x:v>
      </x:c>
      <x:c r="E408" s="2" t="s">
        <x:v>1478</x:v>
      </x:c>
      <x:c r="F408" s="2" t="s">
        <x:v>247</x:v>
      </x:c>
      <x:c r="G408" s="2"/>
      <x:c r="H408" s="2" t="s">
        <x:v>618</x:v>
      </x:c>
      <x:c r="I408" s="2" t="s">
        <x:v>1480</x:v>
      </x:c>
      <x:c r="J408" s="2" t="s">
        <x:v>1446</x:v>
      </x:c>
      <x:c r="K408" s="2"/>
      <x:c r="L408" s="2"/>
      <x:c r="M408" s="2"/>
      <x:c r="N408" s="2" t="s">
        <x:v>1455</x:v>
      </x:c>
      <x:c r="O408" s="2" t="s">
        <x:v>1351</x:v>
      </x:c>
      <x:c r="P408" s="2" t="s">
        <x:v>1352</x:v>
      </x:c>
      <x:c r="Q408" s="2"/>
      <x:c r="R408" s="3">
        <x:v>4</x:v>
      </x:c>
      <x:c r="S408" s="3"/>
      <x:c r="T408" s="2"/>
      <x:c r="U408" s="2"/>
      <x:c r="V408" s="2"/>
      <x:c r="W408" s="2" t="s">
        <x:v>1480</x:v>
      </x:c>
      <x:c r="X408" s="3"/>
      <x:c r="Y408" s="3"/>
      <x:c r="Z408" s="2"/>
      <x:c r="AA408" s="2" t="s">
        <x:v>275</x:v>
      </x:c>
      <x:c r="AB408" s="2" t="s">
        <x:v>284</x:v>
      </x:c>
      <x:c r="AC408" s="2"/>
      <x:c r="AD408" s="2"/>
      <x:c r="AE408" s="2"/>
      <x:c r="AF408" s="2"/>
      <x:c r="AG408" s="2"/>
      <x:c r="AH408" s="2"/>
      <x:c r="AI408" s="4"/>
      <x:c r="AJ408" s="2"/>
      <x:c r="AK408" s="2" t="s">
        <x:v>234</x:v>
      </x:c>
      <x:c r="AL408" s="2" t="s">
        <x:v>1274</x:v>
      </x:c>
      <x:c r="AM408" s="2">
        <x:v>108</x:v>
      </x:c>
      <x:c r="AN408" s="2">
        <x:v>108</x:v>
      </x:c>
    </x:row>
    <x:row r="409" ht="52">
      <x:c r="A409" s="2" t="s">
        <x:v>91</x:v>
      </x:c>
      <x:c r="B409" s="2" t="s">
        <x:v>15</x:v>
      </x:c>
      <x:c r="C409" s="3">
        <x:v>107</x:v>
      </x:c>
      <x:c r="D409" s="2" t="s">
        <x:v>1288</x:v>
      </x:c>
      <x:c r="E409" s="2" t="s">
        <x:v>1478</x:v>
      </x:c>
      <x:c r="F409" s="2" t="s">
        <x:v>237</x:v>
      </x:c>
      <x:c r="G409" s="2" t="s">
        <x:v>1373</x:v>
      </x:c>
      <x:c r="H409" s="2" t="s">
        <x:v>618</x:v>
      </x:c>
      <x:c r="I409" s="2" t="s">
        <x:v>1480</x:v>
      </x:c>
      <x:c r="J409" s="2" t="s">
        <x:v>1417</x:v>
      </x:c>
      <x:c r="K409" s="2" t="n">
        <x:v>106</x:v>
      </x:c>
      <x:c r="L409" s="2"/>
      <x:c r="M409" s="2"/>
      <x:c r="N409" s="2" t="s">
        <x:v>1455</x:v>
      </x:c>
      <x:c r="O409" s="2" t="s">
        <x:v>1355</x:v>
      </x:c>
      <x:c r="P409" s="2" t="s">
        <x:v>1352</x:v>
      </x:c>
      <x:c r="Q409" s="2"/>
      <x:c r="R409" s="3">
        <x:v>4</x:v>
      </x:c>
      <x:c r="S409" s="3"/>
      <x:c r="T409" s="2"/>
      <x:c r="U409" s="2"/>
      <x:c r="V409" s="2"/>
      <x:c r="W409" s="2" t="s">
        <x:v>1480</x:v>
      </x:c>
      <x:c r="X409" s="3"/>
      <x:c r="Y409" s="3"/>
      <x:c r="Z409" s="2"/>
      <x:c r="AA409" s="2" t="s">
        <x:v>232</x:v>
      </x:c>
      <x:c r="AB409" s="2" t="s">
        <x:v>300</x:v>
      </x:c>
      <x:c r="AC409" s="2"/>
      <x:c r="AD409" s="2"/>
      <x:c r="AE409" s="2"/>
      <x:c r="AF409" s="2"/>
      <x:c r="AG409" s="2"/>
      <x:c r="AH409" s="2"/>
      <x:c r="AI409" s="4"/>
      <x:c r="AJ409" s="2"/>
      <x:c r="AK409" s="2" t="s">
        <x:v>234</x:v>
      </x:c>
      <x:c r="AL409" s="2" t="s">
        <x:v>1274</x:v>
      </x:c>
      <x:c r="AM409" s="2">
        <x:v>109</x:v>
      </x:c>
      <x:c r="AN409" s="2">
        <x:v>109</x:v>
      </x:c>
    </x:row>
    <x:row r="410" ht="52">
      <x:c r="A410" s="2" t="s">
        <x:v>6</x:v>
      </x:c>
      <x:c r="B410" s="2" t="s">
        <x:v>15</x:v>
      </x:c>
      <x:c r="C410" s="3">
        <x:v>108</x:v>
      </x:c>
      <x:c r="D410" s="2" t="s">
        <x:v>1466</x:v>
      </x:c>
      <x:c r="E410" s="2" t="s">
        <x:v>1478</x:v>
      </x:c>
      <x:c r="F410" s="2" t="s">
        <x:v>224</x:v>
      </x:c>
      <x:c r="G410" s="2"/>
      <x:c r="H410" s="2" t="s">
        <x:v>618</x:v>
      </x:c>
      <x:c r="I410" s="2" t="s">
        <x:v>1481</x:v>
      </x:c>
      <x:c r="J410" s="2" t="s">
        <x:v>1427</x:v>
      </x:c>
      <x:c r="K410" s="2"/>
      <x:c r="L410" s="2"/>
      <x:c r="M410" s="2"/>
      <x:c r="N410" s="2" t="s">
        <x:v>1455</x:v>
      </x:c>
      <x:c r="O410" s="2" t="s">
        <x:v>1351</x:v>
      </x:c>
      <x:c r="P410" s="2" t="s">
        <x:v>1352</x:v>
      </x:c>
      <x:c r="Q410" s="2"/>
      <x:c r="R410" s="3">
        <x:v>4</x:v>
      </x:c>
      <x:c r="S410" s="3"/>
      <x:c r="T410" s="2"/>
      <x:c r="U410" s="2"/>
      <x:c r="V410" s="2"/>
      <x:c r="W410" s="2" t="s">
        <x:v>1481</x:v>
      </x:c>
      <x:c r="X410" s="3"/>
      <x:c r="Y410" s="3"/>
      <x:c r="Z410" s="2"/>
      <x:c r="AA410" s="2" t="s">
        <x:v>243</x:v>
      </x:c>
      <x:c r="AB410" s="2" t="s">
        <x:v>267</x:v>
      </x:c>
      <x:c r="AC410" s="2"/>
      <x:c r="AD410" s="2"/>
      <x:c r="AE410" s="2"/>
      <x:c r="AF410" s="2"/>
      <x:c r="AG410" s="2"/>
      <x:c r="AH410" s="2"/>
      <x:c r="AI410" s="4"/>
      <x:c r="AJ410" s="2"/>
      <x:c r="AK410" s="2" t="s">
        <x:v>234</x:v>
      </x:c>
      <x:c r="AL410" s="2" t="s">
        <x:v>1274</x:v>
      </x:c>
      <x:c r="AM410" s="2">
        <x:v>110</x:v>
      </x:c>
      <x:c r="AN410" s="2">
        <x:v>110</x:v>
      </x:c>
    </x:row>
    <x:row r="411" ht="52">
      <x:c r="A411" s="2" t="s">
        <x:v>91</x:v>
      </x:c>
      <x:c r="B411" s="2" t="s">
        <x:v>15</x:v>
      </x:c>
      <x:c r="C411" s="3">
        <x:v>109</x:v>
      </x:c>
      <x:c r="D411" s="2" t="s">
        <x:v>1439</x:v>
      </x:c>
      <x:c r="E411" s="2" t="s">
        <x:v>1478</x:v>
      </x:c>
      <x:c r="F411" s="2" t="s">
        <x:v>254</x:v>
      </x:c>
      <x:c r="G411" s="2" t="s">
        <x:v>1482</x:v>
      </x:c>
      <x:c r="H411" s="2" t="s">
        <x:v>618</x:v>
      </x:c>
      <x:c r="I411" s="2" t="s">
        <x:v>1481</x:v>
      </x:c>
      <x:c r="J411" s="2" t="s">
        <x:v>1442</x:v>
      </x:c>
      <x:c r="K411" s="2" t="n">
        <x:v>108</x:v>
      </x:c>
      <x:c r="L411" s="2"/>
      <x:c r="M411" s="2"/>
      <x:c r="N411" s="2" t="s">
        <x:v>1455</x:v>
      </x:c>
      <x:c r="O411" s="2" t="s">
        <x:v>1355</x:v>
      </x:c>
      <x:c r="P411" s="2" t="s">
        <x:v>1352</x:v>
      </x:c>
      <x:c r="Q411" s="2"/>
      <x:c r="R411" s="3">
        <x:v>4</x:v>
      </x:c>
      <x:c r="S411" s="3"/>
      <x:c r="T411" s="2"/>
      <x:c r="U411" s="2"/>
      <x:c r="V411" s="2"/>
      <x:c r="W411" s="2" t="s">
        <x:v>1481</x:v>
      </x:c>
      <x:c r="X411" s="3"/>
      <x:c r="Y411" s="3"/>
      <x:c r="Z411" s="2"/>
      <x:c r="AA411" s="2" t="s">
        <x:v>1314</x:v>
      </x:c>
      <x:c r="AB411" s="2" t="s">
        <x:v>1315</x:v>
      </x:c>
      <x:c r="AC411" s="2"/>
      <x:c r="AD411" s="2"/>
      <x:c r="AE411" s="2"/>
      <x:c r="AF411" s="2"/>
      <x:c r="AG411" s="2"/>
      <x:c r="AH411" s="2"/>
      <x:c r="AI411" s="4"/>
      <x:c r="AJ411" s="2"/>
      <x:c r="AK411" s="2" t="s">
        <x:v>234</x:v>
      </x:c>
      <x:c r="AL411" s="2" t="s">
        <x:v>1274</x:v>
      </x:c>
      <x:c r="AM411" s="2">
        <x:v>111</x:v>
      </x:c>
      <x:c r="AN411" s="2">
        <x:v>111</x:v>
      </x:c>
    </x:row>
    <x:row r="412" ht="52">
      <x:c r="A412" s="2" t="s">
        <x:v>6</x:v>
      </x:c>
      <x:c r="B412" s="2" t="s">
        <x:v>15</x:v>
      </x:c>
      <x:c r="C412" s="3">
        <x:v>110</x:v>
      </x:c>
      <x:c r="D412" s="2" t="s">
        <x:v>1346</x:v>
      </x:c>
      <x:c r="E412" s="2" t="s">
        <x:v>1483</x:v>
      </x:c>
      <x:c r="F412" s="2" t="s">
        <x:v>368</x:v>
      </x:c>
      <x:c r="G412" s="2"/>
      <x:c r="H412" s="2" t="s">
        <x:v>1484</x:v>
      </x:c>
      <x:c r="I412" s="2" t="s">
        <x:v>1485</x:v>
      </x:c>
      <x:c r="J412" s="2" t="s">
        <x:v>1486</x:v>
      </x:c>
      <x:c r="K412" s="2"/>
      <x:c r="L412" s="2"/>
      <x:c r="M412" s="2"/>
      <x:c r="N412" s="2" t="s">
        <x:v>1487</x:v>
      </x:c>
      <x:c r="O412" s="2" t="s">
        <x:v>1351</x:v>
      </x:c>
      <x:c r="P412" s="2" t="s">
        <x:v>1488</x:v>
      </x:c>
      <x:c r="Q412" s="2"/>
      <x:c r="R412" s="3">
        <x:v>2</x:v>
      </x:c>
      <x:c r="S412" s="3"/>
      <x:c r="T412" s="2"/>
      <x:c r="U412" s="2"/>
      <x:c r="V412" s="2"/>
      <x:c r="W412" s="2" t="s">
        <x:v>1485</x:v>
      </x:c>
      <x:c r="X412" s="3"/>
      <x:c r="Y412" s="3"/>
      <x:c r="Z412" s="2"/>
      <x:c r="AA412" s="2" t="s">
        <x:v>232</x:v>
      </x:c>
      <x:c r="AB412" s="2" t="s">
        <x:v>292</x:v>
      </x:c>
      <x:c r="AC412" s="2"/>
      <x:c r="AD412" s="2"/>
      <x:c r="AE412" s="2"/>
      <x:c r="AF412" s="2"/>
      <x:c r="AG412" s="2"/>
      <x:c r="AH412" s="2"/>
      <x:c r="AI412" s="4"/>
      <x:c r="AJ412" s="2"/>
      <x:c r="AK412" s="2" t="s">
        <x:v>234</x:v>
      </x:c>
      <x:c r="AL412" s="2" t="s">
        <x:v>1274</x:v>
      </x:c>
      <x:c r="AM412" s="2">
        <x:v>112</x:v>
      </x:c>
      <x:c r="AN412" s="2">
        <x:v>112</x:v>
      </x:c>
    </x:row>
    <x:row r="413" ht="52">
      <x:c r="A413" s="2" t="s">
        <x:v>6</x:v>
      </x:c>
      <x:c r="B413" s="2" t="s">
        <x:v>15</x:v>
      </x:c>
      <x:c r="C413" s="3">
        <x:v>111</x:v>
      </x:c>
      <x:c r="D413" s="2" t="s">
        <x:v>1281</x:v>
      </x:c>
      <x:c r="E413" s="2" t="s">
        <x:v>1483</x:v>
      </x:c>
      <x:c r="F413" s="2" t="s">
        <x:v>237</x:v>
      </x:c>
      <x:c r="G413" s="2"/>
      <x:c r="H413" s="2" t="s">
        <x:v>1489</x:v>
      </x:c>
      <x:c r="I413" s="2" t="s">
        <x:v>1485</x:v>
      </x:c>
      <x:c r="J413" s="2" t="s">
        <x:v>1490</x:v>
      </x:c>
      <x:c r="K413" s="2" t="n">
        <x:v>110</x:v>
      </x:c>
      <x:c r="L413" s="2"/>
      <x:c r="M413" s="2"/>
      <x:c r="N413" s="2" t="s">
        <x:v>1487</x:v>
      </x:c>
      <x:c r="O413" s="2" t="s">
        <x:v>1355</x:v>
      </x:c>
      <x:c r="P413" s="2" t="s">
        <x:v>1491</x:v>
      </x:c>
      <x:c r="Q413" s="2"/>
      <x:c r="R413" s="3">
        <x:v>2</x:v>
      </x:c>
      <x:c r="S413" s="3"/>
      <x:c r="T413" s="2"/>
      <x:c r="U413" s="2"/>
      <x:c r="V413" s="2"/>
      <x:c r="W413" s="2" t="s">
        <x:v>1485</x:v>
      </x:c>
      <x:c r="X413" s="3"/>
      <x:c r="Y413" s="3"/>
      <x:c r="Z413" s="2"/>
      <x:c r="AA413" s="2" t="s">
        <x:v>243</x:v>
      </x:c>
      <x:c r="AB413" s="2" t="s">
        <x:v>244</x:v>
      </x:c>
      <x:c r="AC413" s="2"/>
      <x:c r="AD413" s="2"/>
      <x:c r="AE413" s="2"/>
      <x:c r="AF413" s="2"/>
      <x:c r="AG413" s="2"/>
      <x:c r="AH413" s="2"/>
      <x:c r="AI413" s="4"/>
      <x:c r="AJ413" s="2"/>
      <x:c r="AK413" s="2" t="s">
        <x:v>234</x:v>
      </x:c>
      <x:c r="AL413" s="2" t="s">
        <x:v>1274</x:v>
      </x:c>
      <x:c r="AM413" s="2">
        <x:v>113</x:v>
      </x:c>
      <x:c r="AN413" s="2">
        <x:v>113</x:v>
      </x:c>
    </x:row>
    <x:row r="414" ht="52">
      <x:c r="A414" s="2" t="s">
        <x:v>91</x:v>
      </x:c>
      <x:c r="B414" s="2" t="s">
        <x:v>15</x:v>
      </x:c>
      <x:c r="C414" s="3">
        <x:v>112</x:v>
      </x:c>
      <x:c r="D414" s="2" t="s">
        <x:v>1388</x:v>
      </x:c>
      <x:c r="E414" s="2" t="s">
        <x:v>1492</x:v>
      </x:c>
      <x:c r="F414" s="2" t="s">
        <x:v>224</x:v>
      </x:c>
      <x:c r="G414" s="2" t="s">
        <x:v>1493</x:v>
      </x:c>
      <x:c r="H414" s="2" t="s">
        <x:v>1489</x:v>
      </x:c>
      <x:c r="I414" s="2" t="s">
        <x:v>1494</x:v>
      </x:c>
      <x:c r="J414" s="2" t="s">
        <x:v>1495</x:v>
      </x:c>
      <x:c r="K414" s="2"/>
      <x:c r="L414" s="2"/>
      <x:c r="M414" s="2"/>
      <x:c r="N414" s="2" t="s">
        <x:v>1487</x:v>
      </x:c>
      <x:c r="O414" s="2" t="s">
        <x:v>1351</x:v>
      </x:c>
      <x:c r="P414" s="2" t="s">
        <x:v>1491</x:v>
      </x:c>
      <x:c r="Q414" s="2"/>
      <x:c r="R414" s="3">
        <x:v>2</x:v>
      </x:c>
      <x:c r="S414" s="3"/>
      <x:c r="T414" s="2"/>
      <x:c r="U414" s="2"/>
      <x:c r="V414" s="2"/>
      <x:c r="W414" s="2" t="s">
        <x:v>1494</x:v>
      </x:c>
      <x:c r="X414" s="3"/>
      <x:c r="Y414" s="3"/>
      <x:c r="Z414" s="2"/>
      <x:c r="AA414" s="2" t="s">
        <x:v>232</x:v>
      </x:c>
      <x:c r="AB414" s="2" t="s">
        <x:v>233</x:v>
      </x:c>
      <x:c r="AC414" s="2"/>
      <x:c r="AD414" s="2"/>
      <x:c r="AE414" s="2"/>
      <x:c r="AF414" s="2"/>
      <x:c r="AG414" s="2"/>
      <x:c r="AH414" s="2"/>
      <x:c r="AI414" s="4"/>
      <x:c r="AJ414" s="2"/>
      <x:c r="AK414" s="2" t="s">
        <x:v>234</x:v>
      </x:c>
      <x:c r="AL414" s="2" t="s">
        <x:v>1274</x:v>
      </x:c>
      <x:c r="AM414" s="2">
        <x:v>114</x:v>
      </x:c>
      <x:c r="AN414" s="2">
        <x:v>114</x:v>
      </x:c>
    </x:row>
    <x:row r="415" ht="52">
      <x:c r="A415" s="2" t="s">
        <x:v>6</x:v>
      </x:c>
      <x:c r="B415" s="2" t="s">
        <x:v>15</x:v>
      </x:c>
      <x:c r="C415" s="3">
        <x:v>113</x:v>
      </x:c>
      <x:c r="D415" s="2" t="s">
        <x:v>1335</x:v>
      </x:c>
      <x:c r="E415" s="2" t="s">
        <x:v>1492</x:v>
      </x:c>
      <x:c r="F415" s="2" t="s">
        <x:v>368</x:v>
      </x:c>
      <x:c r="G415" s="2"/>
      <x:c r="H415" s="2" t="s">
        <x:v>1484</x:v>
      </x:c>
      <x:c r="I415" s="2" t="s">
        <x:v>1494</x:v>
      </x:c>
      <x:c r="J415" s="2" t="s">
        <x:v>1486</x:v>
      </x:c>
      <x:c r="K415" s="2" t="n">
        <x:v>112</x:v>
      </x:c>
      <x:c r="L415" s="2"/>
      <x:c r="M415" s="2"/>
      <x:c r="N415" s="2" t="s">
        <x:v>1487</x:v>
      </x:c>
      <x:c r="O415" s="2" t="s">
        <x:v>1355</x:v>
      </x:c>
      <x:c r="P415" s="2" t="s">
        <x:v>1488</x:v>
      </x:c>
      <x:c r="Q415" s="2"/>
      <x:c r="R415" s="3">
        <x:v>2</x:v>
      </x:c>
      <x:c r="S415" s="3"/>
      <x:c r="T415" s="2"/>
      <x:c r="U415" s="2"/>
      <x:c r="V415" s="2"/>
      <x:c r="W415" s="2" t="s">
        <x:v>1494</x:v>
      </x:c>
      <x:c r="X415" s="3"/>
      <x:c r="Y415" s="3"/>
      <x:c r="Z415" s="2"/>
      <x:c r="AA415" s="2" t="s">
        <x:v>243</x:v>
      </x:c>
      <x:c r="AB415" s="2" t="s">
        <x:v>276</x:v>
      </x:c>
      <x:c r="AC415" s="2"/>
      <x:c r="AD415" s="2"/>
      <x:c r="AE415" s="2"/>
      <x:c r="AF415" s="2"/>
      <x:c r="AG415" s="2"/>
      <x:c r="AH415" s="2"/>
      <x:c r="AI415" s="4"/>
      <x:c r="AJ415" s="2"/>
      <x:c r="AK415" s="2" t="s">
        <x:v>234</x:v>
      </x:c>
      <x:c r="AL415" s="2" t="s">
        <x:v>1274</x:v>
      </x:c>
      <x:c r="AM415" s="2">
        <x:v>115</x:v>
      </x:c>
      <x:c r="AN415" s="2">
        <x:v>115</x:v>
      </x:c>
    </x:row>
    <x:row r="416" ht="52">
      <x:c r="A416" s="2" t="s">
        <x:v>91</x:v>
      </x:c>
      <x:c r="B416" s="2" t="s">
        <x:v>15</x:v>
      </x:c>
      <x:c r="C416" s="3">
        <x:v>114</x:v>
      </x:c>
      <x:c r="D416" s="2" t="s">
        <x:v>1466</x:v>
      </x:c>
      <x:c r="E416" s="2" t="s">
        <x:v>1496</x:v>
      </x:c>
      <x:c r="F416" s="2" t="s">
        <x:v>368</x:v>
      </x:c>
      <x:c r="G416" s="2" t="s">
        <x:v>1497</x:v>
      </x:c>
      <x:c r="H416" s="2" t="s">
        <x:v>1484</x:v>
      </x:c>
      <x:c r="I416" s="2" t="s">
        <x:v>1498</x:v>
      </x:c>
      <x:c r="J416" s="2" t="s">
        <x:v>1486</x:v>
      </x:c>
      <x:c r="K416" s="2"/>
      <x:c r="L416" s="2"/>
      <x:c r="M416" s="2"/>
      <x:c r="N416" s="2" t="s">
        <x:v>1487</x:v>
      </x:c>
      <x:c r="O416" s="2" t="s">
        <x:v>1351</x:v>
      </x:c>
      <x:c r="P416" s="2" t="s">
        <x:v>1488</x:v>
      </x:c>
      <x:c r="Q416" s="2"/>
      <x:c r="R416" s="3">
        <x:v>3</x:v>
      </x:c>
      <x:c r="S416" s="3"/>
      <x:c r="T416" s="2"/>
      <x:c r="U416" s="2"/>
      <x:c r="V416" s="2"/>
      <x:c r="W416" s="2" t="s">
        <x:v>1498</x:v>
      </x:c>
      <x:c r="X416" s="3"/>
      <x:c r="Y416" s="3"/>
      <x:c r="Z416" s="2"/>
      <x:c r="AA416" s="2" t="s">
        <x:v>232</x:v>
      </x:c>
      <x:c r="AB416" s="2" t="s">
        <x:v>267</x:v>
      </x:c>
      <x:c r="AC416" s="2"/>
      <x:c r="AD416" s="2"/>
      <x:c r="AE416" s="2"/>
      <x:c r="AF416" s="2"/>
      <x:c r="AG416" s="2"/>
      <x:c r="AH416" s="2"/>
      <x:c r="AI416" s="4"/>
      <x:c r="AJ416" s="2"/>
      <x:c r="AK416" s="2" t="s">
        <x:v>234</x:v>
      </x:c>
      <x:c r="AL416" s="2" t="s">
        <x:v>1274</x:v>
      </x:c>
      <x:c r="AM416" s="2">
        <x:v>116</x:v>
      </x:c>
      <x:c r="AN416" s="2">
        <x:v>116</x:v>
      </x:c>
    </x:row>
    <x:row r="417" ht="52">
      <x:c r="A417" s="2" t="s">
        <x:v>6</x:v>
      </x:c>
      <x:c r="B417" s="2" t="s">
        <x:v>15</x:v>
      </x:c>
      <x:c r="C417" s="3">
        <x:v>115</x:v>
      </x:c>
      <x:c r="D417" s="2" t="s">
        <x:v>1335</x:v>
      </x:c>
      <x:c r="E417" s="2" t="s">
        <x:v>1496</x:v>
      </x:c>
      <x:c r="F417" s="2" t="s">
        <x:v>224</x:v>
      </x:c>
      <x:c r="G417" s="2"/>
      <x:c r="H417" s="2" t="s">
        <x:v>1489</x:v>
      </x:c>
      <x:c r="I417" s="2" t="s">
        <x:v>1498</x:v>
      </x:c>
      <x:c r="J417" s="2" t="s">
        <x:v>1499</x:v>
      </x:c>
      <x:c r="K417" s="2" t="n">
        <x:v>114</x:v>
      </x:c>
      <x:c r="L417" s="2"/>
      <x:c r="M417" s="2"/>
      <x:c r="N417" s="2" t="s">
        <x:v>1487</x:v>
      </x:c>
      <x:c r="O417" s="2" t="s">
        <x:v>1355</x:v>
      </x:c>
      <x:c r="P417" s="2" t="s">
        <x:v>1491</x:v>
      </x:c>
      <x:c r="Q417" s="2"/>
      <x:c r="R417" s="3">
        <x:v>3</x:v>
      </x:c>
      <x:c r="S417" s="3"/>
      <x:c r="T417" s="2"/>
      <x:c r="U417" s="2"/>
      <x:c r="V417" s="2"/>
      <x:c r="W417" s="2" t="s">
        <x:v>1498</x:v>
      </x:c>
      <x:c r="X417" s="3"/>
      <x:c r="Y417" s="3"/>
      <x:c r="Z417" s="2"/>
      <x:c r="AA417" s="2" t="s">
        <x:v>275</x:v>
      </x:c>
      <x:c r="AB417" s="2" t="s">
        <x:v>276</x:v>
      </x:c>
      <x:c r="AC417" s="2"/>
      <x:c r="AD417" s="2"/>
      <x:c r="AE417" s="2"/>
      <x:c r="AF417" s="2"/>
      <x:c r="AG417" s="2"/>
      <x:c r="AH417" s="2"/>
      <x:c r="AI417" s="4"/>
      <x:c r="AJ417" s="2"/>
      <x:c r="AK417" s="2" t="s">
        <x:v>234</x:v>
      </x:c>
      <x:c r="AL417" s="2" t="s">
        <x:v>1274</x:v>
      </x:c>
      <x:c r="AM417" s="2">
        <x:v>117</x:v>
      </x:c>
      <x:c r="AN417" s="2">
        <x:v>117</x:v>
      </x:c>
    </x:row>
    <x:row r="418" ht="52">
      <x:c r="A418" s="2" t="s">
        <x:v>91</x:v>
      </x:c>
      <x:c r="B418" s="2" t="s">
        <x:v>15</x:v>
      </x:c>
      <x:c r="C418" s="3">
        <x:v>116</x:v>
      </x:c>
      <x:c r="D418" s="2" t="s">
        <x:v>1466</x:v>
      </x:c>
      <x:c r="E418" s="2" t="s">
        <x:v>1500</x:v>
      </x:c>
      <x:c r="F418" s="2" t="s">
        <x:v>237</x:v>
      </x:c>
      <x:c r="G418" s="2" t="s">
        <x:v>1276</x:v>
      </x:c>
      <x:c r="H418" s="2" t="s">
        <x:v>1489</x:v>
      </x:c>
      <x:c r="I418" s="2" t="s">
        <x:v>1501</x:v>
      </x:c>
      <x:c r="J418" s="2" t="s">
        <x:v>1502</x:v>
      </x:c>
      <x:c r="K418" s="2"/>
      <x:c r="L418" s="2"/>
      <x:c r="M418" s="2"/>
      <x:c r="N418" s="2" t="s">
        <x:v>1487</x:v>
      </x:c>
      <x:c r="O418" s="2" t="s">
        <x:v>1351</x:v>
      </x:c>
      <x:c r="P418" s="2" t="s">
        <x:v>1491</x:v>
      </x:c>
      <x:c r="Q418" s="2"/>
      <x:c r="R418" s="3">
        <x:v>3</x:v>
      </x:c>
      <x:c r="S418" s="3"/>
      <x:c r="T418" s="2"/>
      <x:c r="U418" s="2"/>
      <x:c r="V418" s="2"/>
      <x:c r="W418" s="2" t="s">
        <x:v>1501</x:v>
      </x:c>
      <x:c r="X418" s="3"/>
      <x:c r="Y418" s="3"/>
      <x:c r="Z418" s="2"/>
      <x:c r="AA418" s="2" t="s">
        <x:v>232</x:v>
      </x:c>
      <x:c r="AB418" s="2" t="s">
        <x:v>267</x:v>
      </x:c>
      <x:c r="AC418" s="2"/>
      <x:c r="AD418" s="2"/>
      <x:c r="AE418" s="2"/>
      <x:c r="AF418" s="2"/>
      <x:c r="AG418" s="2"/>
      <x:c r="AH418" s="2"/>
      <x:c r="AI418" s="4"/>
      <x:c r="AJ418" s="2"/>
      <x:c r="AK418" s="2" t="s">
        <x:v>234</x:v>
      </x:c>
      <x:c r="AL418" s="2" t="s">
        <x:v>1274</x:v>
      </x:c>
      <x:c r="AM418" s="2">
        <x:v>118</x:v>
      </x:c>
      <x:c r="AN418" s="2">
        <x:v>118</x:v>
      </x:c>
    </x:row>
    <x:row r="419" ht="52">
      <x:c r="A419" s="2" t="s">
        <x:v>6</x:v>
      </x:c>
      <x:c r="B419" s="2" t="s">
        <x:v>15</x:v>
      </x:c>
      <x:c r="C419" s="3">
        <x:v>117</x:v>
      </x:c>
      <x:c r="D419" s="2" t="s">
        <x:v>1340</x:v>
      </x:c>
      <x:c r="E419" s="2" t="s">
        <x:v>1500</x:v>
      </x:c>
      <x:c r="F419" s="2" t="s">
        <x:v>368</x:v>
      </x:c>
      <x:c r="G419" s="2"/>
      <x:c r="H419" s="2" t="s">
        <x:v>1484</x:v>
      </x:c>
      <x:c r="I419" s="2" t="s">
        <x:v>1501</x:v>
      </x:c>
      <x:c r="J419" s="2" t="s">
        <x:v>1486</x:v>
      </x:c>
      <x:c r="K419" s="2" t="n">
        <x:v>116</x:v>
      </x:c>
      <x:c r="L419" s="2"/>
      <x:c r="M419" s="2"/>
      <x:c r="N419" s="2" t="s">
        <x:v>1487</x:v>
      </x:c>
      <x:c r="O419" s="2" t="s">
        <x:v>1355</x:v>
      </x:c>
      <x:c r="P419" s="2" t="s">
        <x:v>1488</x:v>
      </x:c>
      <x:c r="Q419" s="2"/>
      <x:c r="R419" s="3">
        <x:v>3</x:v>
      </x:c>
      <x:c r="S419" s="3"/>
      <x:c r="T419" s="2"/>
      <x:c r="U419" s="2"/>
      <x:c r="V419" s="2"/>
      <x:c r="W419" s="2" t="s">
        <x:v>1501</x:v>
      </x:c>
      <x:c r="X419" s="3"/>
      <x:c r="Y419" s="3"/>
      <x:c r="Z419" s="2"/>
      <x:c r="AA419" s="2" t="s">
        <x:v>275</x:v>
      </x:c>
      <x:c r="AB419" s="2" t="s">
        <x:v>284</x:v>
      </x:c>
      <x:c r="AC419" s="2"/>
      <x:c r="AD419" s="2"/>
      <x:c r="AE419" s="2"/>
      <x:c r="AF419" s="2"/>
      <x:c r="AG419" s="2"/>
      <x:c r="AH419" s="2"/>
      <x:c r="AI419" s="4"/>
      <x:c r="AJ419" s="2"/>
      <x:c r="AK419" s="2" t="s">
        <x:v>234</x:v>
      </x:c>
      <x:c r="AL419" s="2" t="s">
        <x:v>1274</x:v>
      </x:c>
      <x:c r="AM419" s="2">
        <x:v>119</x:v>
      </x:c>
      <x:c r="AN419" s="2">
        <x:v>119</x:v>
      </x:c>
    </x:row>
    <x:row r="420" ht="52">
      <x:c r="A420" s="2" t="s">
        <x:v>91</x:v>
      </x:c>
      <x:c r="B420" s="2" t="s">
        <x:v>15</x:v>
      </x:c>
      <x:c r="C420" s="3">
        <x:v>118</x:v>
      </x:c>
      <x:c r="D420" s="2" t="s">
        <x:v>1346</x:v>
      </x:c>
      <x:c r="E420" s="2" t="s">
        <x:v>1503</x:v>
      </x:c>
      <x:c r="F420" s="2" t="s">
        <x:v>368</x:v>
      </x:c>
      <x:c r="G420" s="2" t="s">
        <x:v>1373</x:v>
      </x:c>
      <x:c r="H420" s="2" t="s">
        <x:v>1484</x:v>
      </x:c>
      <x:c r="I420" s="2" t="s">
        <x:v>1504</x:v>
      </x:c>
      <x:c r="J420" s="2" t="s">
        <x:v>1486</x:v>
      </x:c>
      <x:c r="K420" s="2"/>
      <x:c r="L420" s="2"/>
      <x:c r="M420" s="2"/>
      <x:c r="N420" s="2" t="s">
        <x:v>1487</x:v>
      </x:c>
      <x:c r="O420" s="2" t="s">
        <x:v>1351</x:v>
      </x:c>
      <x:c r="P420" s="2" t="s">
        <x:v>1488</x:v>
      </x:c>
      <x:c r="Q420" s="2"/>
      <x:c r="R420" s="3">
        <x:v>4</x:v>
      </x:c>
      <x:c r="S420" s="3"/>
      <x:c r="T420" s="2"/>
      <x:c r="U420" s="2"/>
      <x:c r="V420" s="2"/>
      <x:c r="W420" s="2" t="s">
        <x:v>1504</x:v>
      </x:c>
      <x:c r="X420" s="3"/>
      <x:c r="Y420" s="3"/>
      <x:c r="Z420" s="2"/>
      <x:c r="AA420" s="2" t="s">
        <x:v>232</x:v>
      </x:c>
      <x:c r="AB420" s="2" t="s">
        <x:v>292</x:v>
      </x:c>
      <x:c r="AC420" s="2"/>
      <x:c r="AD420" s="2"/>
      <x:c r="AE420" s="2"/>
      <x:c r="AF420" s="2"/>
      <x:c r="AG420" s="2"/>
      <x:c r="AH420" s="2"/>
      <x:c r="AI420" s="4"/>
      <x:c r="AJ420" s="2"/>
      <x:c r="AK420" s="2" t="s">
        <x:v>234</x:v>
      </x:c>
      <x:c r="AL420" s="2" t="s">
        <x:v>1274</x:v>
      </x:c>
      <x:c r="AM420" s="2">
        <x:v>120</x:v>
      </x:c>
      <x:c r="AN420" s="2">
        <x:v>120</x:v>
      </x:c>
    </x:row>
    <x:row r="421" ht="52">
      <x:c r="A421" s="2" t="s">
        <x:v>6</x:v>
      </x:c>
      <x:c r="B421" s="2" t="s">
        <x:v>15</x:v>
      </x:c>
      <x:c r="C421" s="3">
        <x:v>119</x:v>
      </x:c>
      <x:c r="D421" s="2" t="s">
        <x:v>1466</x:v>
      </x:c>
      <x:c r="E421" s="2" t="s">
        <x:v>1503</x:v>
      </x:c>
      <x:c r="F421" s="2" t="s">
        <x:v>247</x:v>
      </x:c>
      <x:c r="G421" s="2"/>
      <x:c r="H421" s="2" t="s">
        <x:v>1489</x:v>
      </x:c>
      <x:c r="I421" s="2" t="s">
        <x:v>1504</x:v>
      </x:c>
      <x:c r="J421" s="2" t="s">
        <x:v>1505</x:v>
      </x:c>
      <x:c r="K421" s="2" t="n">
        <x:v>118</x:v>
      </x:c>
      <x:c r="L421" s="2"/>
      <x:c r="M421" s="2"/>
      <x:c r="N421" s="2" t="s">
        <x:v>1487</x:v>
      </x:c>
      <x:c r="O421" s="2" t="s">
        <x:v>1355</x:v>
      </x:c>
      <x:c r="P421" s="2" t="s">
        <x:v>1491</x:v>
      </x:c>
      <x:c r="Q421" s="2"/>
      <x:c r="R421" s="3">
        <x:v>4</x:v>
      </x:c>
      <x:c r="S421" s="3"/>
      <x:c r="T421" s="2"/>
      <x:c r="U421" s="2"/>
      <x:c r="V421" s="2"/>
      <x:c r="W421" s="2" t="s">
        <x:v>1504</x:v>
      </x:c>
      <x:c r="X421" s="3"/>
      <x:c r="Y421" s="3"/>
      <x:c r="Z421" s="2"/>
      <x:c r="AA421" s="2" t="s">
        <x:v>243</x:v>
      </x:c>
      <x:c r="AB421" s="2" t="s">
        <x:v>267</x:v>
      </x:c>
      <x:c r="AC421" s="2"/>
      <x:c r="AD421" s="2"/>
      <x:c r="AE421" s="2"/>
      <x:c r="AF421" s="2"/>
      <x:c r="AG421" s="2"/>
      <x:c r="AH421" s="2"/>
      <x:c r="AI421" s="4"/>
      <x:c r="AJ421" s="2"/>
      <x:c r="AK421" s="2" t="s">
        <x:v>234</x:v>
      </x:c>
      <x:c r="AL421" s="2" t="s">
        <x:v>1274</x:v>
      </x:c>
      <x:c r="AM421" s="2">
        <x:v>121</x:v>
      </x:c>
      <x:c r="AN421" s="2">
        <x:v>121</x:v>
      </x:c>
    </x:row>
    <x:row r="422" ht="52">
      <x:c r="A422" s="2" t="s">
        <x:v>6</x:v>
      </x:c>
      <x:c r="B422" s="2" t="s">
        <x:v>15</x:v>
      </x:c>
      <x:c r="C422" s="3">
        <x:v>120</x:v>
      </x:c>
      <x:c r="D422" s="2" t="s">
        <x:v>1340</x:v>
      </x:c>
      <x:c r="E422" s="2" t="s">
        <x:v>1506</x:v>
      </x:c>
      <x:c r="F422" s="2" t="s">
        <x:v>237</x:v>
      </x:c>
      <x:c r="G422" s="2"/>
      <x:c r="H422" s="2" t="s">
        <x:v>1489</x:v>
      </x:c>
      <x:c r="I422" s="2" t="s">
        <x:v>1507</x:v>
      </x:c>
      <x:c r="J422" s="2" t="s">
        <x:v>1508</x:v>
      </x:c>
      <x:c r="K422" s="2"/>
      <x:c r="L422" s="2"/>
      <x:c r="M422" s="2"/>
      <x:c r="N422" s="2" t="s">
        <x:v>1487</x:v>
      </x:c>
      <x:c r="O422" s="2" t="s">
        <x:v>1351</x:v>
      </x:c>
      <x:c r="P422" s="2" t="s">
        <x:v>1491</x:v>
      </x:c>
      <x:c r="Q422" s="2"/>
      <x:c r="R422" s="3">
        <x:v>4</x:v>
      </x:c>
      <x:c r="S422" s="3"/>
      <x:c r="T422" s="2"/>
      <x:c r="U422" s="2"/>
      <x:c r="V422" s="2"/>
      <x:c r="W422" s="2" t="s">
        <x:v>1507</x:v>
      </x:c>
      <x:c r="X422" s="3"/>
      <x:c r="Y422" s="3"/>
      <x:c r="Z422" s="2"/>
      <x:c r="AA422" s="2" t="s">
        <x:v>275</x:v>
      </x:c>
      <x:c r="AB422" s="2" t="s">
        <x:v>284</x:v>
      </x:c>
      <x:c r="AC422" s="2"/>
      <x:c r="AD422" s="2"/>
      <x:c r="AE422" s="2"/>
      <x:c r="AF422" s="2"/>
      <x:c r="AG422" s="2"/>
      <x:c r="AH422" s="2"/>
      <x:c r="AI422" s="4"/>
      <x:c r="AJ422" s="2"/>
      <x:c r="AK422" s="2" t="s">
        <x:v>234</x:v>
      </x:c>
      <x:c r="AL422" s="2" t="s">
        <x:v>1274</x:v>
      </x:c>
      <x:c r="AM422" s="2">
        <x:v>122</x:v>
      </x:c>
      <x:c r="AN422" s="2">
        <x:v>122</x:v>
      </x:c>
    </x:row>
    <x:row r="423" ht="52">
      <x:c r="A423" s="2" t="s">
        <x:v>6</x:v>
      </x:c>
      <x:c r="B423" s="2" t="s">
        <x:v>15</x:v>
      </x:c>
      <x:c r="C423" s="3">
        <x:v>121</x:v>
      </x:c>
      <x:c r="D423" s="2" t="s">
        <x:v>1466</x:v>
      </x:c>
      <x:c r="E423" s="2" t="s">
        <x:v>1506</x:v>
      </x:c>
      <x:c r="F423" s="2" t="s">
        <x:v>368</x:v>
      </x:c>
      <x:c r="G423" s="2"/>
      <x:c r="H423" s="2" t="s">
        <x:v>1484</x:v>
      </x:c>
      <x:c r="I423" s="2" t="s">
        <x:v>1507</x:v>
      </x:c>
      <x:c r="J423" s="2" t="s">
        <x:v>1486</x:v>
      </x:c>
      <x:c r="K423" s="2" t="n">
        <x:v>120</x:v>
      </x:c>
      <x:c r="L423" s="2"/>
      <x:c r="M423" s="2"/>
      <x:c r="N423" s="2" t="s">
        <x:v>1487</x:v>
      </x:c>
      <x:c r="O423" s="2" t="s">
        <x:v>1355</x:v>
      </x:c>
      <x:c r="P423" s="2" t="s">
        <x:v>1488</x:v>
      </x:c>
      <x:c r="Q423" s="2"/>
      <x:c r="R423" s="3">
        <x:v>4</x:v>
      </x:c>
      <x:c r="S423" s="3"/>
      <x:c r="T423" s="2"/>
      <x:c r="U423" s="2"/>
      <x:c r="V423" s="2"/>
      <x:c r="W423" s="2" t="s">
        <x:v>1507</x:v>
      </x:c>
      <x:c r="X423" s="3"/>
      <x:c r="Y423" s="3"/>
      <x:c r="Z423" s="2"/>
      <x:c r="AA423" s="2" t="s">
        <x:v>243</x:v>
      </x:c>
      <x:c r="AB423" s="2" t="s">
        <x:v>267</x:v>
      </x:c>
      <x:c r="AC423" s="2"/>
      <x:c r="AD423" s="2"/>
      <x:c r="AE423" s="2"/>
      <x:c r="AF423" s="2"/>
      <x:c r="AG423" s="2"/>
      <x:c r="AH423" s="2"/>
      <x:c r="AI423" s="4"/>
      <x:c r="AJ423" s="2"/>
      <x:c r="AK423" s="2" t="s">
        <x:v>234</x:v>
      </x:c>
      <x:c r="AL423" s="2" t="s">
        <x:v>1274</x:v>
      </x:c>
      <x:c r="AM423" s="2">
        <x:v>123</x:v>
      </x:c>
      <x:c r="AN423" s="2">
        <x:v>123</x:v>
      </x:c>
    </x:row>
    <x:row r="424" ht="52">
      <x:c r="A424" s="2" t="s">
        <x:v>6</x:v>
      </x:c>
      <x:c r="B424" s="2" t="s">
        <x:v>15</x:v>
      </x:c>
      <x:c r="C424" s="3">
        <x:v>122</x:v>
      </x:c>
      <x:c r="D424" s="2" t="s">
        <x:v>1281</x:v>
      </x:c>
      <x:c r="E424" s="2" t="s">
        <x:v>1509</x:v>
      </x:c>
      <x:c r="F424" s="2" t="s">
        <x:v>368</x:v>
      </x:c>
      <x:c r="G424" s="2"/>
      <x:c r="H424" s="2" t="s">
        <x:v>1484</x:v>
      </x:c>
      <x:c r="I424" s="2" t="s">
        <x:v>1510</x:v>
      </x:c>
      <x:c r="J424" s="2" t="s">
        <x:v>1486</x:v>
      </x:c>
      <x:c r="K424" s="2"/>
      <x:c r="L424" s="2"/>
      <x:c r="M424" s="2"/>
      <x:c r="N424" s="2" t="s">
        <x:v>1487</x:v>
      </x:c>
      <x:c r="O424" s="2" t="s">
        <x:v>1351</x:v>
      </x:c>
      <x:c r="P424" s="2" t="s">
        <x:v>1488</x:v>
      </x:c>
      <x:c r="Q424" s="2"/>
      <x:c r="R424" s="3">
        <x:v>4</x:v>
      </x:c>
      <x:c r="S424" s="3"/>
      <x:c r="T424" s="2"/>
      <x:c r="U424" s="2"/>
      <x:c r="V424" s="2"/>
      <x:c r="W424" s="2" t="s">
        <x:v>1510</x:v>
      </x:c>
      <x:c r="X424" s="3"/>
      <x:c r="Y424" s="3"/>
      <x:c r="Z424" s="2"/>
      <x:c r="AA424" s="2" t="s">
        <x:v>243</x:v>
      </x:c>
      <x:c r="AB424" s="2" t="s">
        <x:v>244</x:v>
      </x:c>
      <x:c r="AC424" s="2"/>
      <x:c r="AD424" s="2"/>
      <x:c r="AE424" s="2"/>
      <x:c r="AF424" s="2"/>
      <x:c r="AG424" s="2"/>
      <x:c r="AH424" s="2"/>
      <x:c r="AI424" s="4"/>
      <x:c r="AJ424" s="2"/>
      <x:c r="AK424" s="2" t="s">
        <x:v>234</x:v>
      </x:c>
      <x:c r="AL424" s="2" t="s">
        <x:v>1274</x:v>
      </x:c>
      <x:c r="AM424" s="2">
        <x:v>124</x:v>
      </x:c>
      <x:c r="AN424" s="2">
        <x:v>124</x:v>
      </x:c>
    </x:row>
    <x:row r="425" ht="52">
      <x:c r="A425" s="2" t="s">
        <x:v>6</x:v>
      </x:c>
      <x:c r="B425" s="2" t="s">
        <x:v>15</x:v>
      </x:c>
      <x:c r="C425" s="3">
        <x:v>123</x:v>
      </x:c>
      <x:c r="D425" s="2" t="s">
        <x:v>1335</x:v>
      </x:c>
      <x:c r="E425" s="2" t="s">
        <x:v>1509</x:v>
      </x:c>
      <x:c r="F425" s="2" t="s">
        <x:v>224</x:v>
      </x:c>
      <x:c r="G425" s="2"/>
      <x:c r="H425" s="2" t="s">
        <x:v>1489</x:v>
      </x:c>
      <x:c r="I425" s="2" t="s">
        <x:v>1510</x:v>
      </x:c>
      <x:c r="J425" s="2" t="s">
        <x:v>1511</x:v>
      </x:c>
      <x:c r="K425" s="2" t="n">
        <x:v>122</x:v>
      </x:c>
      <x:c r="L425" s="2"/>
      <x:c r="M425" s="2"/>
      <x:c r="N425" s="2" t="s">
        <x:v>1487</x:v>
      </x:c>
      <x:c r="O425" s="2" t="s">
        <x:v>1355</x:v>
      </x:c>
      <x:c r="P425" s="2" t="s">
        <x:v>1491</x:v>
      </x:c>
      <x:c r="Q425" s="2"/>
      <x:c r="R425" s="3">
        <x:v>4</x:v>
      </x:c>
      <x:c r="S425" s="3"/>
      <x:c r="T425" s="2"/>
      <x:c r="U425" s="2"/>
      <x:c r="V425" s="2"/>
      <x:c r="W425" s="2" t="s">
        <x:v>1510</x:v>
      </x:c>
      <x:c r="X425" s="3"/>
      <x:c r="Y425" s="3"/>
      <x:c r="Z425" s="2"/>
      <x:c r="AA425" s="2" t="s">
        <x:v>1314</x:v>
      </x:c>
      <x:c r="AB425" s="2" t="s">
        <x:v>276</x:v>
      </x:c>
      <x:c r="AC425" s="2"/>
      <x:c r="AD425" s="2"/>
      <x:c r="AE425" s="2"/>
      <x:c r="AF425" s="2"/>
      <x:c r="AG425" s="2"/>
      <x:c r="AH425" s="2"/>
      <x:c r="AI425" s="4"/>
      <x:c r="AJ425" s="2"/>
      <x:c r="AK425" s="2" t="s">
        <x:v>234</x:v>
      </x:c>
      <x:c r="AL425" s="2" t="s">
        <x:v>1274</x:v>
      </x:c>
      <x:c r="AM425" s="2">
        <x:v>125</x:v>
      </x:c>
      <x:c r="AN425" s="2">
        <x:v>125</x:v>
      </x:c>
    </x:row>
    <x:row r="426" ht="52">
      <x:c r="A426" s="2" t="s">
        <x:v>91</x:v>
      </x:c>
      <x:c r="B426" s="2" t="s">
        <x:v>15</x:v>
      </x:c>
      <x:c r="C426" s="3">
        <x:v>124</x:v>
      </x:c>
      <x:c r="D426" s="2" t="s">
        <x:v>1281</x:v>
      </x:c>
      <x:c r="E426" s="2" t="s">
        <x:v>1512</x:v>
      </x:c>
      <x:c r="F426" s="2" t="s">
        <x:v>254</x:v>
      </x:c>
      <x:c r="G426" s="2" t="s">
        <x:v>1513</x:v>
      </x:c>
      <x:c r="H426" s="2" t="s">
        <x:v>1489</x:v>
      </x:c>
      <x:c r="I426" s="2" t="s">
        <x:v>1514</x:v>
      </x:c>
      <x:c r="J426" s="2" t="s">
        <x:v>1515</x:v>
      </x:c>
      <x:c r="K426" s="2"/>
      <x:c r="L426" s="2"/>
      <x:c r="M426" s="2"/>
      <x:c r="N426" s="2" t="s">
        <x:v>1487</x:v>
      </x:c>
      <x:c r="O426" s="2" t="s">
        <x:v>1351</x:v>
      </x:c>
      <x:c r="P426" s="2" t="s">
        <x:v>1491</x:v>
      </x:c>
      <x:c r="Q426" s="2"/>
      <x:c r="R426" s="3">
        <x:v>4</x:v>
      </x:c>
      <x:c r="S426" s="3"/>
      <x:c r="T426" s="2"/>
      <x:c r="U426" s="2"/>
      <x:c r="V426" s="2"/>
      <x:c r="W426" s="2" t="s">
        <x:v>1514</x:v>
      </x:c>
      <x:c r="X426" s="3"/>
      <x:c r="Y426" s="3"/>
      <x:c r="Z426" s="2"/>
      <x:c r="AA426" s="2" t="s">
        <x:v>243</x:v>
      </x:c>
      <x:c r="AB426" s="2" t="s">
        <x:v>244</x:v>
      </x:c>
      <x:c r="AC426" s="2"/>
      <x:c r="AD426" s="2"/>
      <x:c r="AE426" s="2"/>
      <x:c r="AF426" s="2"/>
      <x:c r="AG426" s="2"/>
      <x:c r="AH426" s="2"/>
      <x:c r="AI426" s="4"/>
      <x:c r="AJ426" s="2"/>
      <x:c r="AK426" s="2" t="s">
        <x:v>234</x:v>
      </x:c>
      <x:c r="AL426" s="2" t="s">
        <x:v>1274</x:v>
      </x:c>
      <x:c r="AM426" s="2">
        <x:v>126</x:v>
      </x:c>
      <x:c r="AN426" s="2">
        <x:v>126</x:v>
      </x:c>
    </x:row>
    <x:row r="427" ht="52">
      <x:c r="A427" s="2" t="s">
        <x:v>91</x:v>
      </x:c>
      <x:c r="B427" s="2" t="s">
        <x:v>15</x:v>
      </x:c>
      <x:c r="C427" s="3">
        <x:v>125</x:v>
      </x:c>
      <x:c r="D427" s="2" t="s">
        <x:v>1388</x:v>
      </x:c>
      <x:c r="E427" s="2" t="s">
        <x:v>1512</x:v>
      </x:c>
      <x:c r="F427" s="2" t="s">
        <x:v>368</x:v>
      </x:c>
      <x:c r="G427" s="2" t="s">
        <x:v>1276</x:v>
      </x:c>
      <x:c r="H427" s="2" t="s">
        <x:v>1484</x:v>
      </x:c>
      <x:c r="I427" s="2" t="s">
        <x:v>1514</x:v>
      </x:c>
      <x:c r="J427" s="2" t="s">
        <x:v>1486</x:v>
      </x:c>
      <x:c r="K427" s="2" t="n">
        <x:v>124</x:v>
      </x:c>
      <x:c r="L427" s="2"/>
      <x:c r="M427" s="2"/>
      <x:c r="N427" s="2" t="s">
        <x:v>1487</x:v>
      </x:c>
      <x:c r="O427" s="2" t="s">
        <x:v>1355</x:v>
      </x:c>
      <x:c r="P427" s="2" t="s">
        <x:v>1488</x:v>
      </x:c>
      <x:c r="Q427" s="2"/>
      <x:c r="R427" s="3">
        <x:v>4</x:v>
      </x:c>
      <x:c r="S427" s="3"/>
      <x:c r="T427" s="2"/>
      <x:c r="U427" s="2"/>
      <x:c r="V427" s="2"/>
      <x:c r="W427" s="2" t="s">
        <x:v>1514</x:v>
      </x:c>
      <x:c r="X427" s="3"/>
      <x:c r="Y427" s="3"/>
      <x:c r="Z427" s="2"/>
      <x:c r="AA427" s="2" t="s">
        <x:v>275</x:v>
      </x:c>
      <x:c r="AB427" s="2" t="s">
        <x:v>233</x:v>
      </x:c>
      <x:c r="AC427" s="2"/>
      <x:c r="AD427" s="2"/>
      <x:c r="AE427" s="2"/>
      <x:c r="AF427" s="2"/>
      <x:c r="AG427" s="2"/>
      <x:c r="AH427" s="2"/>
      <x:c r="AI427" s="4"/>
      <x:c r="AJ427" s="2"/>
      <x:c r="AK427" s="2" t="s">
        <x:v>234</x:v>
      </x:c>
      <x:c r="AL427" s="2" t="s">
        <x:v>1274</x:v>
      </x:c>
      <x:c r="AM427" s="2">
        <x:v>127</x:v>
      </x:c>
      <x:c r="AN427" s="2">
        <x:v>127</x:v>
      </x:c>
    </x:row>
    <x:row r="428" ht="52">
      <x:c r="A428" s="2" t="s">
        <x:v>6</x:v>
      </x:c>
      <x:c r="B428" s="2" t="s">
        <x:v>15</x:v>
      </x:c>
      <x:c r="C428" s="3">
        <x:v>126</x:v>
      </x:c>
      <x:c r="D428" s="2" t="s">
        <x:v>1335</x:v>
      </x:c>
      <x:c r="E428" s="2" t="s">
        <x:v>1516</x:v>
      </x:c>
      <x:c r="F428" s="2" t="s">
        <x:v>368</x:v>
      </x:c>
      <x:c r="G428" s="2"/>
      <x:c r="H428" s="2" t="s">
        <x:v>1484</x:v>
      </x:c>
      <x:c r="I428" s="2" t="s">
        <x:v>1517</x:v>
      </x:c>
      <x:c r="J428" s="2" t="s">
        <x:v>1486</x:v>
      </x:c>
      <x:c r="K428" s="2"/>
      <x:c r="L428" s="2"/>
      <x:c r="M428" s="2"/>
      <x:c r="N428" s="2" t="s">
        <x:v>1487</x:v>
      </x:c>
      <x:c r="O428" s="2" t="s">
        <x:v>1351</x:v>
      </x:c>
      <x:c r="P428" s="2" t="s">
        <x:v>1488</x:v>
      </x:c>
      <x:c r="Q428" s="2"/>
      <x:c r="R428" s="3">
        <x:v>4</x:v>
      </x:c>
      <x:c r="S428" s="3"/>
      <x:c r="T428" s="2"/>
      <x:c r="U428" s="2"/>
      <x:c r="V428" s="2"/>
      <x:c r="W428" s="2" t="s">
        <x:v>1517</x:v>
      </x:c>
      <x:c r="X428" s="3"/>
      <x:c r="Y428" s="3"/>
      <x:c r="Z428" s="2"/>
      <x:c r="AA428" s="2" t="s">
        <x:v>1314</x:v>
      </x:c>
      <x:c r="AB428" s="2" t="s">
        <x:v>276</x:v>
      </x:c>
      <x:c r="AC428" s="2"/>
      <x:c r="AD428" s="2"/>
      <x:c r="AE428" s="2"/>
      <x:c r="AF428" s="2"/>
      <x:c r="AG428" s="2"/>
      <x:c r="AH428" s="2"/>
      <x:c r="AI428" s="4"/>
      <x:c r="AJ428" s="2"/>
      <x:c r="AK428" s="2" t="s">
        <x:v>234</x:v>
      </x:c>
      <x:c r="AL428" s="2" t="s">
        <x:v>1274</x:v>
      </x:c>
      <x:c r="AM428" s="2">
        <x:v>128</x:v>
      </x:c>
      <x:c r="AN428" s="2">
        <x:v>128</x:v>
      </x:c>
    </x:row>
    <x:row r="429" ht="52">
      <x:c r="A429" s="2" t="s">
        <x:v>6</x:v>
      </x:c>
      <x:c r="B429" s="2" t="s">
        <x:v>15</x:v>
      </x:c>
      <x:c r="C429" s="3">
        <x:v>127</x:v>
      </x:c>
      <x:c r="D429" s="2" t="s">
        <x:v>1281</x:v>
      </x:c>
      <x:c r="E429" s="2" t="s">
        <x:v>1516</x:v>
      </x:c>
      <x:c r="F429" s="2" t="s">
        <x:v>247</x:v>
      </x:c>
      <x:c r="G429" s="2" t="s">
        <x:v>1518</x:v>
      </x:c>
      <x:c r="H429" s="2" t="s">
        <x:v>1489</x:v>
      </x:c>
      <x:c r="I429" s="2" t="s">
        <x:v>1517</x:v>
      </x:c>
      <x:c r="J429" s="2" t="s">
        <x:v>1519</x:v>
      </x:c>
      <x:c r="K429" s="2" t="n">
        <x:v>126</x:v>
      </x:c>
      <x:c r="L429" s="2"/>
      <x:c r="M429" s="2"/>
      <x:c r="N429" s="2" t="s">
        <x:v>1487</x:v>
      </x:c>
      <x:c r="O429" s="2" t="s">
        <x:v>1355</x:v>
      </x:c>
      <x:c r="P429" s="2" t="s">
        <x:v>1491</x:v>
      </x:c>
      <x:c r="Q429" s="2"/>
      <x:c r="R429" s="3">
        <x:v>4</x:v>
      </x:c>
      <x:c r="S429" s="3"/>
      <x:c r="T429" s="2"/>
      <x:c r="U429" s="2"/>
      <x:c r="V429" s="2"/>
      <x:c r="W429" s="2" t="s">
        <x:v>1517</x:v>
      </x:c>
      <x:c r="X429" s="3"/>
      <x:c r="Y429" s="3"/>
      <x:c r="Z429" s="2"/>
      <x:c r="AA429" s="2" t="s">
        <x:v>243</x:v>
      </x:c>
      <x:c r="AB429" s="2" t="s">
        <x:v>244</x:v>
      </x:c>
      <x:c r="AC429" s="2"/>
      <x:c r="AD429" s="2"/>
      <x:c r="AE429" s="2"/>
      <x:c r="AF429" s="2"/>
      <x:c r="AG429" s="2"/>
      <x:c r="AH429" s="2"/>
      <x:c r="AI429" s="4"/>
      <x:c r="AJ429" s="2"/>
      <x:c r="AK429" s="2" t="s">
        <x:v>234</x:v>
      </x:c>
      <x:c r="AL429" s="2" t="s">
        <x:v>1274</x:v>
      </x:c>
      <x:c r="AM429" s="2">
        <x:v>129</x:v>
      </x:c>
      <x:c r="AN429" s="2">
        <x:v>129</x:v>
      </x:c>
    </x:row>
    <x:row r="430" ht="52">
      <x:c r="A430" s="2" t="s">
        <x:v>91</x:v>
      </x:c>
      <x:c r="B430" s="2" t="s">
        <x:v>15</x:v>
      </x:c>
      <x:c r="C430" s="3">
        <x:v>128</x:v>
      </x:c>
      <x:c r="D430" s="2" t="s">
        <x:v>1340</x:v>
      </x:c>
      <x:c r="E430" s="2" t="s">
        <x:v>1520</x:v>
      </x:c>
      <x:c r="F430" s="2" t="s">
        <x:v>254</x:v>
      </x:c>
      <x:c r="G430" s="2" t="s">
        <x:v>1493</x:v>
      </x:c>
      <x:c r="H430" s="2" t="s">
        <x:v>1489</x:v>
      </x:c>
      <x:c r="I430" s="2" t="s">
        <x:v>1521</x:v>
      </x:c>
      <x:c r="J430" s="2" t="s">
        <x:v>1522</x:v>
      </x:c>
      <x:c r="K430" s="2"/>
      <x:c r="L430" s="2"/>
      <x:c r="M430" s="2"/>
      <x:c r="N430" s="2" t="s">
        <x:v>1487</x:v>
      </x:c>
      <x:c r="O430" s="2" t="s">
        <x:v>1351</x:v>
      </x:c>
      <x:c r="P430" s="2" t="s">
        <x:v>1491</x:v>
      </x:c>
      <x:c r="Q430" s="2"/>
      <x:c r="R430" s="3">
        <x:v>4</x:v>
      </x:c>
      <x:c r="S430" s="3"/>
      <x:c r="T430" s="2"/>
      <x:c r="U430" s="2"/>
      <x:c r="V430" s="2"/>
      <x:c r="W430" s="2" t="s">
        <x:v>1521</x:v>
      </x:c>
      <x:c r="X430" s="3"/>
      <x:c r="Y430" s="3"/>
      <x:c r="Z430" s="2"/>
      <x:c r="AA430" s="2" t="s">
        <x:v>275</x:v>
      </x:c>
      <x:c r="AB430" s="2" t="s">
        <x:v>284</x:v>
      </x:c>
      <x:c r="AC430" s="2"/>
      <x:c r="AD430" s="2"/>
      <x:c r="AE430" s="2"/>
      <x:c r="AF430" s="2"/>
      <x:c r="AG430" s="2"/>
      <x:c r="AH430" s="2"/>
      <x:c r="AI430" s="4"/>
      <x:c r="AJ430" s="2"/>
      <x:c r="AK430" s="2" t="s">
        <x:v>234</x:v>
      </x:c>
      <x:c r="AL430" s="2" t="s">
        <x:v>1274</x:v>
      </x:c>
      <x:c r="AM430" s="2">
        <x:v>130</x:v>
      </x:c>
      <x:c r="AN430" s="2">
        <x:v>130</x:v>
      </x:c>
    </x:row>
    <x:row r="431" ht="52">
      <x:c r="A431" s="2" t="s">
        <x:v>6</x:v>
      </x:c>
      <x:c r="B431" s="2" t="s">
        <x:v>15</x:v>
      </x:c>
      <x:c r="C431" s="3">
        <x:v>129</x:v>
      </x:c>
      <x:c r="D431" s="2" t="s">
        <x:v>1439</x:v>
      </x:c>
      <x:c r="E431" s="2" t="s">
        <x:v>1520</x:v>
      </x:c>
      <x:c r="F431" s="2" t="s">
        <x:v>368</x:v>
      </x:c>
      <x:c r="G431" s="2"/>
      <x:c r="H431" s="2" t="s">
        <x:v>1484</x:v>
      </x:c>
      <x:c r="I431" s="2" t="s">
        <x:v>1521</x:v>
      </x:c>
      <x:c r="J431" s="2" t="s">
        <x:v>1486</x:v>
      </x:c>
      <x:c r="K431" s="2" t="n">
        <x:v>128</x:v>
      </x:c>
      <x:c r="L431" s="2"/>
      <x:c r="M431" s="2"/>
      <x:c r="N431" s="2" t="s">
        <x:v>1487</x:v>
      </x:c>
      <x:c r="O431" s="2" t="s">
        <x:v>1355</x:v>
      </x:c>
      <x:c r="P431" s="2" t="s">
        <x:v>1488</x:v>
      </x:c>
      <x:c r="Q431" s="2"/>
      <x:c r="R431" s="3">
        <x:v>4</x:v>
      </x:c>
      <x:c r="S431" s="3"/>
      <x:c r="T431" s="2"/>
      <x:c r="U431" s="2"/>
      <x:c r="V431" s="2"/>
      <x:c r="W431" s="2" t="s">
        <x:v>1521</x:v>
      </x:c>
      <x:c r="X431" s="3"/>
      <x:c r="Y431" s="3"/>
      <x:c r="Z431" s="2"/>
      <x:c r="AA431" s="2" t="s">
        <x:v>1314</x:v>
      </x:c>
      <x:c r="AB431" s="2" t="s">
        <x:v>1315</x:v>
      </x:c>
      <x:c r="AC431" s="2"/>
      <x:c r="AD431" s="2"/>
      <x:c r="AE431" s="2"/>
      <x:c r="AF431" s="2"/>
      <x:c r="AG431" s="2"/>
      <x:c r="AH431" s="2"/>
      <x:c r="AI431" s="4"/>
      <x:c r="AJ431" s="2"/>
      <x:c r="AK431" s="2" t="s">
        <x:v>234</x:v>
      </x:c>
      <x:c r="AL431" s="2" t="s">
        <x:v>1274</x:v>
      </x:c>
      <x:c r="AM431" s="2">
        <x:v>131</x:v>
      </x:c>
      <x:c r="AN431" s="2">
        <x:v>131</x:v>
      </x:c>
    </x:row>
    <x:row r="432" ht="39">
      <x:c r="A432" s="2" t="s">
        <x:v>91</x:v>
      </x:c>
      <x:c r="B432" s="2" t="s">
        <x:v>15</x:v>
      </x:c>
      <x:c r="C432" s="3">
        <x:v>130</x:v>
      </x:c>
      <x:c r="D432" s="2" t="s">
        <x:v>1439</x:v>
      </x:c>
      <x:c r="E432" s="2" t="s">
        <x:v>1523</x:v>
      </x:c>
      <x:c r="F432" s="2" t="s">
        <x:v>1524</x:v>
      </x:c>
      <x:c r="G432" s="2" t="s">
        <x:v>1452</x:v>
      </x:c>
      <x:c r="H432" s="2" t="s">
        <x:v>1525</x:v>
      </x:c>
      <x:c r="I432" s="2" t="s">
        <x:v>1526</x:v>
      </x:c>
      <x:c r="J432" s="2" t="s">
        <x:v>1527</x:v>
      </x:c>
      <x:c r="K432" s="2"/>
      <x:c r="L432" s="2"/>
      <x:c r="M432" s="2"/>
      <x:c r="N432" s="2" t="s">
        <x:v>1528</x:v>
      </x:c>
      <x:c r="O432" s="2" t="s">
        <x:v>1351</x:v>
      </x:c>
      <x:c r="P432" s="2" t="s">
        <x:v>1529</x:v>
      </x:c>
      <x:c r="Q432" s="2"/>
      <x:c r="R432" s="3">
        <x:v>3</x:v>
      </x:c>
      <x:c r="S432" s="3"/>
      <x:c r="T432" s="2"/>
      <x:c r="U432" s="2"/>
      <x:c r="V432" s="2"/>
      <x:c r="W432" s="2" t="s">
        <x:v>1526</x:v>
      </x:c>
      <x:c r="X432" s="3"/>
      <x:c r="Y432" s="3"/>
      <x:c r="Z432" s="2"/>
      <x:c r="AA432" s="2" t="s">
        <x:v>632</x:v>
      </x:c>
      <x:c r="AB432" s="2" t="s">
        <x:v>1315</x:v>
      </x:c>
      <x:c r="AC432" s="2"/>
      <x:c r="AD432" s="2"/>
      <x:c r="AE432" s="2"/>
      <x:c r="AF432" s="2"/>
      <x:c r="AG432" s="2"/>
      <x:c r="AH432" s="2"/>
      <x:c r="AI432" s="4"/>
      <x:c r="AJ432" s="2"/>
      <x:c r="AK432" s="2" t="s">
        <x:v>234</x:v>
      </x:c>
      <x:c r="AL432" s="2" t="s">
        <x:v>1274</x:v>
      </x:c>
      <x:c r="AM432" s="2">
        <x:v>132</x:v>
      </x:c>
      <x:c r="AN432" s="2">
        <x:v>132</x:v>
      </x:c>
    </x:row>
    <x:row r="433" ht="39">
      <x:c r="A433" s="2" t="s">
        <x:v>91</x:v>
      </x:c>
      <x:c r="B433" s="2" t="s">
        <x:v>15</x:v>
      </x:c>
      <x:c r="C433" s="3">
        <x:v>131</x:v>
      </x:c>
      <x:c r="D433" s="2" t="s">
        <x:v>1288</x:v>
      </x:c>
      <x:c r="E433" s="2" t="s">
        <x:v>1523</x:v>
      </x:c>
      <x:c r="F433" s="2" t="s">
        <x:v>1524</x:v>
      </x:c>
      <x:c r="G433" s="2" t="s">
        <x:v>1277</x:v>
      </x:c>
      <x:c r="H433" s="2" t="s">
        <x:v>1525</x:v>
      </x:c>
      <x:c r="I433" s="2" t="s">
        <x:v>1526</x:v>
      </x:c>
      <x:c r="J433" s="2" t="s">
        <x:v>1527</x:v>
      </x:c>
      <x:c r="K433" s="2" t="n">
        <x:v>130</x:v>
      </x:c>
      <x:c r="L433" s="2"/>
      <x:c r="M433" s="2"/>
      <x:c r="N433" s="2" t="s">
        <x:v>1528</x:v>
      </x:c>
      <x:c r="O433" s="2" t="s">
        <x:v>1530</x:v>
      </x:c>
      <x:c r="P433" s="2" t="s">
        <x:v>1529</x:v>
      </x:c>
      <x:c r="Q433" s="2"/>
      <x:c r="R433" s="3">
        <x:v>3</x:v>
      </x:c>
      <x:c r="S433" s="3"/>
      <x:c r="T433" s="2"/>
      <x:c r="U433" s="2"/>
      <x:c r="V433" s="2"/>
      <x:c r="W433" s="2" t="s">
        <x:v>1526</x:v>
      </x:c>
      <x:c r="X433" s="3"/>
      <x:c r="Y433" s="3"/>
      <x:c r="Z433" s="2"/>
      <x:c r="AA433" s="2" t="s">
        <x:v>632</x:v>
      </x:c>
      <x:c r="AB433" s="2" t="s">
        <x:v>300</x:v>
      </x:c>
      <x:c r="AC433" s="2"/>
      <x:c r="AD433" s="2"/>
      <x:c r="AE433" s="2"/>
      <x:c r="AF433" s="2"/>
      <x:c r="AG433" s="2"/>
      <x:c r="AH433" s="2"/>
      <x:c r="AI433" s="4"/>
      <x:c r="AJ433" s="2"/>
      <x:c r="AK433" s="2" t="s">
        <x:v>234</x:v>
      </x:c>
      <x:c r="AL433" s="2" t="s">
        <x:v>1274</x:v>
      </x:c>
      <x:c r="AM433" s="2">
        <x:v>133</x:v>
      </x:c>
      <x:c r="AN433" s="2">
        <x:v>133</x:v>
      </x:c>
    </x:row>
    <x:row r="434" ht="39">
      <x:c r="A434" s="2" t="s">
        <x:v>91</x:v>
      </x:c>
      <x:c r="B434" s="2" t="s">
        <x:v>15</x:v>
      </x:c>
      <x:c r="C434" s="3">
        <x:v>132</x:v>
      </x:c>
      <x:c r="D434" s="2" t="s">
        <x:v>1288</x:v>
      </x:c>
      <x:c r="E434" s="2" t="s">
        <x:v>1531</x:v>
      </x:c>
      <x:c r="F434" s="2" t="s">
        <x:v>1524</x:v>
      </x:c>
      <x:c r="G434" s="2" t="s">
        <x:v>1373</x:v>
      </x:c>
      <x:c r="H434" s="2" t="s">
        <x:v>1525</x:v>
      </x:c>
      <x:c r="I434" s="2" t="s">
        <x:v>1532</x:v>
      </x:c>
      <x:c r="J434" s="2" t="s">
        <x:v>1527</x:v>
      </x:c>
      <x:c r="K434" s="2"/>
      <x:c r="L434" s="2"/>
      <x:c r="M434" s="2"/>
      <x:c r="N434" s="2" t="s">
        <x:v>1528</x:v>
      </x:c>
      <x:c r="O434" s="2" t="s">
        <x:v>1351</x:v>
      </x:c>
      <x:c r="P434" s="2" t="s">
        <x:v>1529</x:v>
      </x:c>
      <x:c r="Q434" s="2"/>
      <x:c r="R434" s="3">
        <x:v>3</x:v>
      </x:c>
      <x:c r="S434" s="3"/>
      <x:c r="T434" s="2"/>
      <x:c r="U434" s="2"/>
      <x:c r="V434" s="2"/>
      <x:c r="W434" s="2" t="s">
        <x:v>1532</x:v>
      </x:c>
      <x:c r="X434" s="3"/>
      <x:c r="Y434" s="3"/>
      <x:c r="Z434" s="2"/>
      <x:c r="AA434" s="2" t="s">
        <x:v>632</x:v>
      </x:c>
      <x:c r="AB434" s="2" t="s">
        <x:v>300</x:v>
      </x:c>
      <x:c r="AC434" s="2"/>
      <x:c r="AD434" s="2"/>
      <x:c r="AE434" s="2"/>
      <x:c r="AF434" s="2"/>
      <x:c r="AG434" s="2"/>
      <x:c r="AH434" s="2"/>
      <x:c r="AI434" s="4"/>
      <x:c r="AJ434" s="2"/>
      <x:c r="AK434" s="2" t="s">
        <x:v>234</x:v>
      </x:c>
      <x:c r="AL434" s="2" t="s">
        <x:v>1274</x:v>
      </x:c>
      <x:c r="AM434" s="2">
        <x:v>134</x:v>
      </x:c>
      <x:c r="AN434" s="2">
        <x:v>134</x:v>
      </x:c>
    </x:row>
    <x:row r="435" ht="39">
      <x:c r="A435" s="2" t="s">
        <x:v>91</x:v>
      </x:c>
      <x:c r="B435" s="2" t="s">
        <x:v>15</x:v>
      </x:c>
      <x:c r="C435" s="3">
        <x:v>133</x:v>
      </x:c>
      <x:c r="D435" s="2" t="s">
        <x:v>1439</x:v>
      </x:c>
      <x:c r="E435" s="2" t="s">
        <x:v>1531</x:v>
      </x:c>
      <x:c r="F435" s="2" t="s">
        <x:v>1524</x:v>
      </x:c>
      <x:c r="G435" s="2" t="s">
        <x:v>1415</x:v>
      </x:c>
      <x:c r="H435" s="2" t="s">
        <x:v>1525</x:v>
      </x:c>
      <x:c r="I435" s="2" t="s">
        <x:v>1532</x:v>
      </x:c>
      <x:c r="J435" s="2" t="s">
        <x:v>1527</x:v>
      </x:c>
      <x:c r="K435" s="2" t="n">
        <x:v>132</x:v>
      </x:c>
      <x:c r="L435" s="2"/>
      <x:c r="M435" s="2"/>
      <x:c r="N435" s="2" t="s">
        <x:v>1528</x:v>
      </x:c>
      <x:c r="O435" s="2" t="s">
        <x:v>1530</x:v>
      </x:c>
      <x:c r="P435" s="2" t="s">
        <x:v>1529</x:v>
      </x:c>
      <x:c r="Q435" s="2"/>
      <x:c r="R435" s="3">
        <x:v>3</x:v>
      </x:c>
      <x:c r="S435" s="3"/>
      <x:c r="T435" s="2"/>
      <x:c r="U435" s="2"/>
      <x:c r="V435" s="2"/>
      <x:c r="W435" s="2" t="s">
        <x:v>1532</x:v>
      </x:c>
      <x:c r="X435" s="3"/>
      <x:c r="Y435" s="3"/>
      <x:c r="Z435" s="2"/>
      <x:c r="AA435" s="2" t="s">
        <x:v>632</x:v>
      </x:c>
      <x:c r="AB435" s="2" t="s">
        <x:v>1315</x:v>
      </x:c>
      <x:c r="AC435" s="2"/>
      <x:c r="AD435" s="2"/>
      <x:c r="AE435" s="2"/>
      <x:c r="AF435" s="2"/>
      <x:c r="AG435" s="2"/>
      <x:c r="AH435" s="2"/>
      <x:c r="AI435" s="4"/>
      <x:c r="AJ435" s="2"/>
      <x:c r="AK435" s="2" t="s">
        <x:v>234</x:v>
      </x:c>
      <x:c r="AL435" s="2" t="s">
        <x:v>1274</x:v>
      </x:c>
      <x:c r="AM435" s="2">
        <x:v>135</x:v>
      </x:c>
      <x:c r="AN435" s="2">
        <x:v>135</x:v>
      </x:c>
    </x:row>
    <x:row r="436" ht="39">
      <x:c r="A436" s="2" t="s">
        <x:v>91</x:v>
      </x:c>
      <x:c r="B436" s="2" t="s">
        <x:v>15</x:v>
      </x:c>
      <x:c r="C436" s="3">
        <x:v>134</x:v>
      </x:c>
      <x:c r="D436" s="2" t="s">
        <x:v>1439</x:v>
      </x:c>
      <x:c r="E436" s="2" t="s">
        <x:v>1533</x:v>
      </x:c>
      <x:c r="F436" s="2" t="s">
        <x:v>1524</x:v>
      </x:c>
      <x:c r="G436" s="2" t="s">
        <x:v>1280</x:v>
      </x:c>
      <x:c r="H436" s="2" t="s">
        <x:v>1525</x:v>
      </x:c>
      <x:c r="I436" s="2" t="s">
        <x:v>1534</x:v>
      </x:c>
      <x:c r="J436" s="2" t="s">
        <x:v>1527</x:v>
      </x:c>
      <x:c r="K436" s="2"/>
      <x:c r="L436" s="2"/>
      <x:c r="M436" s="2"/>
      <x:c r="N436" s="2" t="s">
        <x:v>1528</x:v>
      </x:c>
      <x:c r="O436" s="2" t="s">
        <x:v>1351</x:v>
      </x:c>
      <x:c r="P436" s="2" t="s">
        <x:v>1529</x:v>
      </x:c>
      <x:c r="Q436" s="2"/>
      <x:c r="R436" s="3">
        <x:v>3</x:v>
      </x:c>
      <x:c r="S436" s="3"/>
      <x:c r="T436" s="2"/>
      <x:c r="U436" s="2"/>
      <x:c r="V436" s="2"/>
      <x:c r="W436" s="2" t="s">
        <x:v>1534</x:v>
      </x:c>
      <x:c r="X436" s="3"/>
      <x:c r="Y436" s="3"/>
      <x:c r="Z436" s="2"/>
      <x:c r="AA436" s="2" t="s">
        <x:v>632</x:v>
      </x:c>
      <x:c r="AB436" s="2" t="s">
        <x:v>1315</x:v>
      </x:c>
      <x:c r="AC436" s="2"/>
      <x:c r="AD436" s="2"/>
      <x:c r="AE436" s="2"/>
      <x:c r="AF436" s="2"/>
      <x:c r="AG436" s="2"/>
      <x:c r="AH436" s="2"/>
      <x:c r="AI436" s="4"/>
      <x:c r="AJ436" s="2"/>
      <x:c r="AK436" s="2" t="s">
        <x:v>234</x:v>
      </x:c>
      <x:c r="AL436" s="2" t="s">
        <x:v>1274</x:v>
      </x:c>
      <x:c r="AM436" s="2">
        <x:v>136</x:v>
      </x:c>
      <x:c r="AN436" s="2">
        <x:v>136</x:v>
      </x:c>
    </x:row>
    <x:row r="437" ht="39">
      <x:c r="A437" s="2" t="s">
        <x:v>91</x:v>
      </x:c>
      <x:c r="B437" s="2" t="s">
        <x:v>15</x:v>
      </x:c>
      <x:c r="C437" s="3">
        <x:v>135</x:v>
      </x:c>
      <x:c r="D437" s="2" t="s">
        <x:v>1288</x:v>
      </x:c>
      <x:c r="E437" s="2" t="s">
        <x:v>1533</x:v>
      </x:c>
      <x:c r="F437" s="2" t="s">
        <x:v>1524</x:v>
      </x:c>
      <x:c r="G437" s="2" t="s">
        <x:v>1273</x:v>
      </x:c>
      <x:c r="H437" s="2" t="s">
        <x:v>1525</x:v>
      </x:c>
      <x:c r="I437" s="2" t="s">
        <x:v>1534</x:v>
      </x:c>
      <x:c r="J437" s="2" t="s">
        <x:v>1527</x:v>
      </x:c>
      <x:c r="K437" s="2" t="n">
        <x:v>134</x:v>
      </x:c>
      <x:c r="L437" s="2"/>
      <x:c r="M437" s="2"/>
      <x:c r="N437" s="2" t="s">
        <x:v>1528</x:v>
      </x:c>
      <x:c r="O437" s="2" t="s">
        <x:v>1530</x:v>
      </x:c>
      <x:c r="P437" s="2" t="s">
        <x:v>1529</x:v>
      </x:c>
      <x:c r="Q437" s="2"/>
      <x:c r="R437" s="3">
        <x:v>3</x:v>
      </x:c>
      <x:c r="S437" s="3"/>
      <x:c r="T437" s="2"/>
      <x:c r="U437" s="2"/>
      <x:c r="V437" s="2"/>
      <x:c r="W437" s="2" t="s">
        <x:v>1534</x:v>
      </x:c>
      <x:c r="X437" s="3"/>
      <x:c r="Y437" s="3"/>
      <x:c r="Z437" s="2"/>
      <x:c r="AA437" s="2" t="s">
        <x:v>632</x:v>
      </x:c>
      <x:c r="AB437" s="2" t="s">
        <x:v>300</x:v>
      </x:c>
      <x:c r="AC437" s="2"/>
      <x:c r="AD437" s="2"/>
      <x:c r="AE437" s="2"/>
      <x:c r="AF437" s="2"/>
      <x:c r="AG437" s="2"/>
      <x:c r="AH437" s="2"/>
      <x:c r="AI437" s="4"/>
      <x:c r="AJ437" s="2"/>
      <x:c r="AK437" s="2" t="s">
        <x:v>234</x:v>
      </x:c>
      <x:c r="AL437" s="2" t="s">
        <x:v>1274</x:v>
      </x:c>
      <x:c r="AM437" s="2">
        <x:v>137</x:v>
      </x:c>
      <x:c r="AN437" s="2">
        <x:v>137</x:v>
      </x:c>
    </x:row>
    <x:row r="438" ht="39">
      <x:c r="A438" s="2" t="s">
        <x:v>91</x:v>
      </x:c>
      <x:c r="B438" s="2" t="s">
        <x:v>15</x:v>
      </x:c>
      <x:c r="C438" s="3">
        <x:v>136</x:v>
      </x:c>
      <x:c r="D438" s="2" t="s">
        <x:v>1288</x:v>
      </x:c>
      <x:c r="E438" s="2" t="s">
        <x:v>1535</x:v>
      </x:c>
      <x:c r="F438" s="2" t="s">
        <x:v>1524</x:v>
      </x:c>
      <x:c r="G438" s="2" t="s">
        <x:v>1280</x:v>
      </x:c>
      <x:c r="H438" s="2" t="s">
        <x:v>1525</x:v>
      </x:c>
      <x:c r="I438" s="2" t="s">
        <x:v>1536</x:v>
      </x:c>
      <x:c r="J438" s="2" t="s">
        <x:v>1527</x:v>
      </x:c>
      <x:c r="K438" s="2"/>
      <x:c r="L438" s="2"/>
      <x:c r="M438" s="2"/>
      <x:c r="N438" s="2" t="s">
        <x:v>1528</x:v>
      </x:c>
      <x:c r="O438" s="2" t="s">
        <x:v>1351</x:v>
      </x:c>
      <x:c r="P438" s="2" t="s">
        <x:v>1529</x:v>
      </x:c>
      <x:c r="Q438" s="2"/>
      <x:c r="R438" s="3">
        <x:v>3</x:v>
      </x:c>
      <x:c r="S438" s="3"/>
      <x:c r="T438" s="2"/>
      <x:c r="U438" s="2"/>
      <x:c r="V438" s="2"/>
      <x:c r="W438" s="2" t="s">
        <x:v>1536</x:v>
      </x:c>
      <x:c r="X438" s="3"/>
      <x:c r="Y438" s="3"/>
      <x:c r="Z438" s="2"/>
      <x:c r="AA438" s="2" t="s">
        <x:v>632</x:v>
      </x:c>
      <x:c r="AB438" s="2" t="s">
        <x:v>300</x:v>
      </x:c>
      <x:c r="AC438" s="2"/>
      <x:c r="AD438" s="2"/>
      <x:c r="AE438" s="2"/>
      <x:c r="AF438" s="2"/>
      <x:c r="AG438" s="2"/>
      <x:c r="AH438" s="2"/>
      <x:c r="AI438" s="4"/>
      <x:c r="AJ438" s="2"/>
      <x:c r="AK438" s="2" t="s">
        <x:v>234</x:v>
      </x:c>
      <x:c r="AL438" s="2" t="s">
        <x:v>1274</x:v>
      </x:c>
      <x:c r="AM438" s="2">
        <x:v>138</x:v>
      </x:c>
      <x:c r="AN438" s="2">
        <x:v>138</x:v>
      </x:c>
    </x:row>
    <x:row r="439" ht="39">
      <x:c r="A439" s="2" t="s">
        <x:v>91</x:v>
      </x:c>
      <x:c r="B439" s="2" t="s">
        <x:v>15</x:v>
      </x:c>
      <x:c r="C439" s="3">
        <x:v>137</x:v>
      </x:c>
      <x:c r="D439" s="2" t="s">
        <x:v>1439</x:v>
      </x:c>
      <x:c r="E439" s="2" t="s">
        <x:v>1535</x:v>
      </x:c>
      <x:c r="F439" s="2" t="s">
        <x:v>1524</x:v>
      </x:c>
      <x:c r="G439" s="2" t="s">
        <x:v>1537</x:v>
      </x:c>
      <x:c r="H439" s="2" t="s">
        <x:v>1525</x:v>
      </x:c>
      <x:c r="I439" s="2" t="s">
        <x:v>1536</x:v>
      </x:c>
      <x:c r="J439" s="2" t="s">
        <x:v>1527</x:v>
      </x:c>
      <x:c r="K439" s="2" t="n">
        <x:v>136</x:v>
      </x:c>
      <x:c r="L439" s="2"/>
      <x:c r="M439" s="2"/>
      <x:c r="N439" s="2" t="s">
        <x:v>1528</x:v>
      </x:c>
      <x:c r="O439" s="2" t="s">
        <x:v>1530</x:v>
      </x:c>
      <x:c r="P439" s="2" t="s">
        <x:v>1529</x:v>
      </x:c>
      <x:c r="Q439" s="2"/>
      <x:c r="R439" s="3">
        <x:v>3</x:v>
      </x:c>
      <x:c r="S439" s="3"/>
      <x:c r="T439" s="2"/>
      <x:c r="U439" s="2"/>
      <x:c r="V439" s="2"/>
      <x:c r="W439" s="2" t="s">
        <x:v>1536</x:v>
      </x:c>
      <x:c r="X439" s="3"/>
      <x:c r="Y439" s="3"/>
      <x:c r="Z439" s="2"/>
      <x:c r="AA439" s="2" t="s">
        <x:v>632</x:v>
      </x:c>
      <x:c r="AB439" s="2" t="s">
        <x:v>1315</x:v>
      </x:c>
      <x:c r="AC439" s="2"/>
      <x:c r="AD439" s="2"/>
      <x:c r="AE439" s="2"/>
      <x:c r="AF439" s="2"/>
      <x:c r="AG439" s="2"/>
      <x:c r="AH439" s="2"/>
      <x:c r="AI439" s="4"/>
      <x:c r="AJ439" s="2"/>
      <x:c r="AK439" s="2" t="s">
        <x:v>234</x:v>
      </x:c>
      <x:c r="AL439" s="2" t="s">
        <x:v>1274</x:v>
      </x:c>
      <x:c r="AM439" s="2">
        <x:v>139</x:v>
      </x:c>
      <x:c r="AN439" s="2">
        <x:v>139</x:v>
      </x:c>
    </x:row>
    <x:row r="440" ht="39">
      <x:c r="A440" s="2" t="s">
        <x:v>91</x:v>
      </x:c>
      <x:c r="B440" s="2" t="s">
        <x:v>15</x:v>
      </x:c>
      <x:c r="C440" s="3">
        <x:v>138</x:v>
      </x:c>
      <x:c r="D440" s="2" t="s">
        <x:v>1439</x:v>
      </x:c>
      <x:c r="E440" s="2" t="s">
        <x:v>261</x:v>
      </x:c>
      <x:c r="F440" s="2" t="s">
        <x:v>1524</x:v>
      </x:c>
      <x:c r="G440" s="2" t="s">
        <x:v>1415</x:v>
      </x:c>
      <x:c r="H440" s="2" t="s">
        <x:v>1525</x:v>
      </x:c>
      <x:c r="I440" s="2" t="s">
        <x:v>1538</x:v>
      </x:c>
      <x:c r="J440" s="2" t="s">
        <x:v>1527</x:v>
      </x:c>
      <x:c r="K440" s="2"/>
      <x:c r="L440" s="2"/>
      <x:c r="M440" s="2"/>
      <x:c r="N440" s="2" t="s">
        <x:v>1528</x:v>
      </x:c>
      <x:c r="O440" s="2" t="s">
        <x:v>1351</x:v>
      </x:c>
      <x:c r="P440" s="2" t="s">
        <x:v>1529</x:v>
      </x:c>
      <x:c r="Q440" s="2"/>
      <x:c r="R440" s="3">
        <x:v>3</x:v>
      </x:c>
      <x:c r="S440" s="3"/>
      <x:c r="T440" s="2"/>
      <x:c r="U440" s="2"/>
      <x:c r="V440" s="2"/>
      <x:c r="W440" s="2" t="s">
        <x:v>1538</x:v>
      </x:c>
      <x:c r="X440" s="3"/>
      <x:c r="Y440" s="3"/>
      <x:c r="Z440" s="2"/>
      <x:c r="AA440" s="2" t="s">
        <x:v>632</x:v>
      </x:c>
      <x:c r="AB440" s="2" t="s">
        <x:v>1315</x:v>
      </x:c>
      <x:c r="AC440" s="2"/>
      <x:c r="AD440" s="2"/>
      <x:c r="AE440" s="2"/>
      <x:c r="AF440" s="2"/>
      <x:c r="AG440" s="2"/>
      <x:c r="AH440" s="2"/>
      <x:c r="AI440" s="4"/>
      <x:c r="AJ440" s="2"/>
      <x:c r="AK440" s="2" t="s">
        <x:v>234</x:v>
      </x:c>
      <x:c r="AL440" s="2" t="s">
        <x:v>1274</x:v>
      </x:c>
      <x:c r="AM440" s="2">
        <x:v>140</x:v>
      </x:c>
      <x:c r="AN440" s="2">
        <x:v>140</x:v>
      </x:c>
    </x:row>
    <x:row r="441" ht="39">
      <x:c r="A441" s="2" t="s">
        <x:v>91</x:v>
      </x:c>
      <x:c r="B441" s="2" t="s">
        <x:v>15</x:v>
      </x:c>
      <x:c r="C441" s="3">
        <x:v>139</x:v>
      </x:c>
      <x:c r="D441" s="2" t="s">
        <x:v>1288</x:v>
      </x:c>
      <x:c r="E441" s="2" t="s">
        <x:v>261</x:v>
      </x:c>
      <x:c r="F441" s="2" t="s">
        <x:v>1524</x:v>
      </x:c>
      <x:c r="G441" s="2" t="s">
        <x:v>1280</x:v>
      </x:c>
      <x:c r="H441" s="2" t="s">
        <x:v>1525</x:v>
      </x:c>
      <x:c r="I441" s="2" t="s">
        <x:v>1538</x:v>
      </x:c>
      <x:c r="J441" s="2" t="s">
        <x:v>1527</x:v>
      </x:c>
      <x:c r="K441" s="2" t="n">
        <x:v>138</x:v>
      </x:c>
      <x:c r="L441" s="2"/>
      <x:c r="M441" s="2"/>
      <x:c r="N441" s="2" t="s">
        <x:v>1528</x:v>
      </x:c>
      <x:c r="O441" s="2" t="s">
        <x:v>1530</x:v>
      </x:c>
      <x:c r="P441" s="2" t="s">
        <x:v>1529</x:v>
      </x:c>
      <x:c r="Q441" s="2"/>
      <x:c r="R441" s="3">
        <x:v>3</x:v>
      </x:c>
      <x:c r="S441" s="3"/>
      <x:c r="T441" s="2"/>
      <x:c r="U441" s="2"/>
      <x:c r="V441" s="2"/>
      <x:c r="W441" s="2" t="s">
        <x:v>1538</x:v>
      </x:c>
      <x:c r="X441" s="3"/>
      <x:c r="Y441" s="3"/>
      <x:c r="Z441" s="2"/>
      <x:c r="AA441" s="2" t="s">
        <x:v>632</x:v>
      </x:c>
      <x:c r="AB441" s="2" t="s">
        <x:v>300</x:v>
      </x:c>
      <x:c r="AC441" s="2"/>
      <x:c r="AD441" s="2"/>
      <x:c r="AE441" s="2"/>
      <x:c r="AF441" s="2"/>
      <x:c r="AG441" s="2"/>
      <x:c r="AH441" s="2"/>
      <x:c r="AI441" s="4"/>
      <x:c r="AJ441" s="2"/>
      <x:c r="AK441" s="2" t="s">
        <x:v>234</x:v>
      </x:c>
      <x:c r="AL441" s="2" t="s">
        <x:v>1274</x:v>
      </x:c>
      <x:c r="AM441" s="2">
        <x:v>141</x:v>
      </x:c>
      <x:c r="AN441" s="2">
        <x:v>141</x:v>
      </x:c>
    </x:row>
    <x:row r="442" ht="39">
      <x:c r="A442" s="2" t="s">
        <x:v>91</x:v>
      </x:c>
      <x:c r="B442" s="2" t="s">
        <x:v>15</x:v>
      </x:c>
      <x:c r="C442" s="3">
        <x:v>140</x:v>
      </x:c>
      <x:c r="D442" s="2" t="s">
        <x:v>1466</x:v>
      </x:c>
      <x:c r="E442" s="2" t="s">
        <x:v>1347</x:v>
      </x:c>
      <x:c r="F442" s="2" t="s">
        <x:v>1524</x:v>
      </x:c>
      <x:c r="G442" s="2" t="s">
        <x:v>1539</x:v>
      </x:c>
      <x:c r="H442" s="2" t="s">
        <x:v>1525</x:v>
      </x:c>
      <x:c r="I442" s="2" t="s">
        <x:v>1540</x:v>
      </x:c>
      <x:c r="J442" s="2" t="s">
        <x:v>1541</x:v>
      </x:c>
      <x:c r="K442" s="2"/>
      <x:c r="L442" s="2"/>
      <x:c r="M442" s="2"/>
      <x:c r="N442" s="2" t="s">
        <x:v>1528</x:v>
      </x:c>
      <x:c r="O442" s="2" t="s">
        <x:v>1351</x:v>
      </x:c>
      <x:c r="P442" s="2" t="s">
        <x:v>1529</x:v>
      </x:c>
      <x:c r="Q442" s="2"/>
      <x:c r="R442" s="3">
        <x:v>2</x:v>
      </x:c>
      <x:c r="S442" s="3"/>
      <x:c r="T442" s="2"/>
      <x:c r="U442" s="2"/>
      <x:c r="V442" s="2"/>
      <x:c r="W442" s="2" t="s">
        <x:v>1540</x:v>
      </x:c>
      <x:c r="X442" s="3"/>
      <x:c r="Y442" s="3"/>
      <x:c r="Z442" s="2"/>
      <x:c r="AA442" s="2" t="s">
        <x:v>632</x:v>
      </x:c>
      <x:c r="AB442" s="2" t="s">
        <x:v>267</x:v>
      </x:c>
      <x:c r="AC442" s="2"/>
      <x:c r="AD442" s="2"/>
      <x:c r="AE442" s="2"/>
      <x:c r="AF442" s="2"/>
      <x:c r="AG442" s="2"/>
      <x:c r="AH442" s="2"/>
      <x:c r="AI442" s="4"/>
      <x:c r="AJ442" s="2"/>
      <x:c r="AK442" s="2" t="s">
        <x:v>234</x:v>
      </x:c>
      <x:c r="AL442" s="2" t="s">
        <x:v>1274</x:v>
      </x:c>
      <x:c r="AM442" s="2">
        <x:v>142</x:v>
      </x:c>
      <x:c r="AN442" s="2">
        <x:v>142</x:v>
      </x:c>
    </x:row>
    <x:row r="443" ht="39">
      <x:c r="A443" s="2" t="s">
        <x:v>91</x:v>
      </x:c>
      <x:c r="B443" s="2" t="s">
        <x:v>15</x:v>
      </x:c>
      <x:c r="C443" s="3">
        <x:v>141</x:v>
      </x:c>
      <x:c r="D443" s="2" t="s">
        <x:v>1340</x:v>
      </x:c>
      <x:c r="E443" s="2" t="s">
        <x:v>1347</x:v>
      </x:c>
      <x:c r="F443" s="2" t="s">
        <x:v>1524</x:v>
      </x:c>
      <x:c r="G443" s="2" t="s">
        <x:v>1539</x:v>
      </x:c>
      <x:c r="H443" s="2" t="s">
        <x:v>1525</x:v>
      </x:c>
      <x:c r="I443" s="2" t="s">
        <x:v>1540</x:v>
      </x:c>
      <x:c r="J443" s="2" t="s">
        <x:v>1541</x:v>
      </x:c>
      <x:c r="K443" s="2" t="n">
        <x:v>140</x:v>
      </x:c>
      <x:c r="L443" s="2"/>
      <x:c r="M443" s="2"/>
      <x:c r="N443" s="2" t="s">
        <x:v>1528</x:v>
      </x:c>
      <x:c r="O443" s="2" t="s">
        <x:v>1530</x:v>
      </x:c>
      <x:c r="P443" s="2" t="s">
        <x:v>1529</x:v>
      </x:c>
      <x:c r="Q443" s="2"/>
      <x:c r="R443" s="3">
        <x:v>2</x:v>
      </x:c>
      <x:c r="S443" s="3"/>
      <x:c r="T443" s="2"/>
      <x:c r="U443" s="2"/>
      <x:c r="V443" s="2"/>
      <x:c r="W443" s="2" t="s">
        <x:v>1540</x:v>
      </x:c>
      <x:c r="X443" s="3"/>
      <x:c r="Y443" s="3"/>
      <x:c r="Z443" s="2"/>
      <x:c r="AA443" s="2" t="s">
        <x:v>632</x:v>
      </x:c>
      <x:c r="AB443" s="2" t="s">
        <x:v>284</x:v>
      </x:c>
      <x:c r="AC443" s="2"/>
      <x:c r="AD443" s="2"/>
      <x:c r="AE443" s="2"/>
      <x:c r="AF443" s="2"/>
      <x:c r="AG443" s="2"/>
      <x:c r="AH443" s="2"/>
      <x:c r="AI443" s="4"/>
      <x:c r="AJ443" s="2"/>
      <x:c r="AK443" s="2" t="s">
        <x:v>234</x:v>
      </x:c>
      <x:c r="AL443" s="2" t="s">
        <x:v>1274</x:v>
      </x:c>
      <x:c r="AM443" s="2">
        <x:v>143</x:v>
      </x:c>
      <x:c r="AN443" s="2">
        <x:v>143</x:v>
      </x:c>
    </x:row>
    <x:row r="444" ht="39">
      <x:c r="A444" s="2" t="s">
        <x:v>91</x:v>
      </x:c>
      <x:c r="B444" s="2" t="s">
        <x:v>15</x:v>
      </x:c>
      <x:c r="C444" s="3">
        <x:v>142</x:v>
      </x:c>
      <x:c r="D444" s="2" t="s">
        <x:v>1340</x:v>
      </x:c>
      <x:c r="E444" s="2" t="s">
        <x:v>1389</x:v>
      </x:c>
      <x:c r="F444" s="2" t="s">
        <x:v>1524</x:v>
      </x:c>
      <x:c r="G444" s="2" t="s">
        <x:v>1280</x:v>
      </x:c>
      <x:c r="H444" s="2" t="s">
        <x:v>1525</x:v>
      </x:c>
      <x:c r="I444" s="2" t="s">
        <x:v>1542</x:v>
      </x:c>
      <x:c r="J444" s="2" t="s">
        <x:v>1541</x:v>
      </x:c>
      <x:c r="K444" s="2"/>
      <x:c r="L444" s="2"/>
      <x:c r="M444" s="2"/>
      <x:c r="N444" s="2" t="s">
        <x:v>1528</x:v>
      </x:c>
      <x:c r="O444" s="2" t="s">
        <x:v>1351</x:v>
      </x:c>
      <x:c r="P444" s="2" t="s">
        <x:v>1529</x:v>
      </x:c>
      <x:c r="Q444" s="2"/>
      <x:c r="R444" s="3">
        <x:v>2</x:v>
      </x:c>
      <x:c r="S444" s="3"/>
      <x:c r="T444" s="2"/>
      <x:c r="U444" s="2"/>
      <x:c r="V444" s="2"/>
      <x:c r="W444" s="2" t="s">
        <x:v>1542</x:v>
      </x:c>
      <x:c r="X444" s="3"/>
      <x:c r="Y444" s="3"/>
      <x:c r="Z444" s="2"/>
      <x:c r="AA444" s="2" t="s">
        <x:v>632</x:v>
      </x:c>
      <x:c r="AB444" s="2" t="s">
        <x:v>284</x:v>
      </x:c>
      <x:c r="AC444" s="2"/>
      <x:c r="AD444" s="2"/>
      <x:c r="AE444" s="2"/>
      <x:c r="AF444" s="2"/>
      <x:c r="AG444" s="2"/>
      <x:c r="AH444" s="2"/>
      <x:c r="AI444" s="4"/>
      <x:c r="AJ444" s="2"/>
      <x:c r="AK444" s="2" t="s">
        <x:v>234</x:v>
      </x:c>
      <x:c r="AL444" s="2" t="s">
        <x:v>1274</x:v>
      </x:c>
      <x:c r="AM444" s="2">
        <x:v>144</x:v>
      </x:c>
      <x:c r="AN444" s="2">
        <x:v>144</x:v>
      </x:c>
    </x:row>
    <x:row r="445" ht="39">
      <x:c r="A445" s="2" t="s">
        <x:v>91</x:v>
      </x:c>
      <x:c r="B445" s="2" t="s">
        <x:v>15</x:v>
      </x:c>
      <x:c r="C445" s="3">
        <x:v>143</x:v>
      </x:c>
      <x:c r="D445" s="2" t="s">
        <x:v>1466</x:v>
      </x:c>
      <x:c r="E445" s="2" t="s">
        <x:v>1389</x:v>
      </x:c>
      <x:c r="F445" s="2" t="s">
        <x:v>1524</x:v>
      </x:c>
      <x:c r="G445" s="2" t="s">
        <x:v>1280</x:v>
      </x:c>
      <x:c r="H445" s="2" t="s">
        <x:v>1525</x:v>
      </x:c>
      <x:c r="I445" s="2" t="s">
        <x:v>1542</x:v>
      </x:c>
      <x:c r="J445" s="2" t="s">
        <x:v>1541</x:v>
      </x:c>
      <x:c r="K445" s="2" t="n">
        <x:v>142</x:v>
      </x:c>
      <x:c r="L445" s="2"/>
      <x:c r="M445" s="2"/>
      <x:c r="N445" s="2" t="s">
        <x:v>1528</x:v>
      </x:c>
      <x:c r="O445" s="2" t="s">
        <x:v>1530</x:v>
      </x:c>
      <x:c r="P445" s="2" t="s">
        <x:v>1529</x:v>
      </x:c>
      <x:c r="Q445" s="2"/>
      <x:c r="R445" s="3">
        <x:v>2</x:v>
      </x:c>
      <x:c r="S445" s="3"/>
      <x:c r="T445" s="2"/>
      <x:c r="U445" s="2"/>
      <x:c r="V445" s="2"/>
      <x:c r="W445" s="2" t="s">
        <x:v>1542</x:v>
      </x:c>
      <x:c r="X445" s="3"/>
      <x:c r="Y445" s="3"/>
      <x:c r="Z445" s="2"/>
      <x:c r="AA445" s="2" t="s">
        <x:v>632</x:v>
      </x:c>
      <x:c r="AB445" s="2" t="s">
        <x:v>267</x:v>
      </x:c>
      <x:c r="AC445" s="2"/>
      <x:c r="AD445" s="2"/>
      <x:c r="AE445" s="2"/>
      <x:c r="AF445" s="2"/>
      <x:c r="AG445" s="2"/>
      <x:c r="AH445" s="2"/>
      <x:c r="AI445" s="4"/>
      <x:c r="AJ445" s="2"/>
      <x:c r="AK445" s="2" t="s">
        <x:v>234</x:v>
      </x:c>
      <x:c r="AL445" s="2" t="s">
        <x:v>1274</x:v>
      </x:c>
      <x:c r="AM445" s="2">
        <x:v>145</x:v>
      </x:c>
      <x:c r="AN445" s="2">
        <x:v>145</x:v>
      </x:c>
    </x:row>
    <x:row r="446" ht="39">
      <x:c r="A446" s="2" t="s">
        <x:v>91</x:v>
      </x:c>
      <x:c r="B446" s="2" t="s">
        <x:v>15</x:v>
      </x:c>
      <x:c r="C446" s="3">
        <x:v>144</x:v>
      </x:c>
      <x:c r="D446" s="2" t="s">
        <x:v>1466</x:v>
      </x:c>
      <x:c r="E446" s="2" t="s">
        <x:v>1543</x:v>
      </x:c>
      <x:c r="F446" s="2" t="s">
        <x:v>1524</x:v>
      </x:c>
      <x:c r="G446" s="2" t="s">
        <x:v>1452</x:v>
      </x:c>
      <x:c r="H446" s="2" t="s">
        <x:v>1525</x:v>
      </x:c>
      <x:c r="I446" s="2" t="s">
        <x:v>1544</x:v>
      </x:c>
      <x:c r="J446" s="2" t="s">
        <x:v>1541</x:v>
      </x:c>
      <x:c r="K446" s="2"/>
      <x:c r="L446" s="2"/>
      <x:c r="M446" s="2"/>
      <x:c r="N446" s="2" t="s">
        <x:v>1528</x:v>
      </x:c>
      <x:c r="O446" s="2" t="s">
        <x:v>1351</x:v>
      </x:c>
      <x:c r="P446" s="2" t="s">
        <x:v>1529</x:v>
      </x:c>
      <x:c r="Q446" s="2"/>
      <x:c r="R446" s="3">
        <x:v>2</x:v>
      </x:c>
      <x:c r="S446" s="3"/>
      <x:c r="T446" s="2"/>
      <x:c r="U446" s="2"/>
      <x:c r="V446" s="2"/>
      <x:c r="W446" s="2" t="s">
        <x:v>1544</x:v>
      </x:c>
      <x:c r="X446" s="3"/>
      <x:c r="Y446" s="3"/>
      <x:c r="Z446" s="2"/>
      <x:c r="AA446" s="2" t="s">
        <x:v>632</x:v>
      </x:c>
      <x:c r="AB446" s="2" t="s">
        <x:v>267</x:v>
      </x:c>
      <x:c r="AC446" s="2"/>
      <x:c r="AD446" s="2"/>
      <x:c r="AE446" s="2"/>
      <x:c r="AF446" s="2"/>
      <x:c r="AG446" s="2"/>
      <x:c r="AH446" s="2"/>
      <x:c r="AI446" s="4"/>
      <x:c r="AJ446" s="2"/>
      <x:c r="AK446" s="2" t="s">
        <x:v>234</x:v>
      </x:c>
      <x:c r="AL446" s="2" t="s">
        <x:v>1274</x:v>
      </x:c>
      <x:c r="AM446" s="2">
        <x:v>146</x:v>
      </x:c>
      <x:c r="AN446" s="2">
        <x:v>146</x:v>
      </x:c>
    </x:row>
    <x:row r="447" ht="39">
      <x:c r="A447" s="2" t="s">
        <x:v>91</x:v>
      </x:c>
      <x:c r="B447" s="2" t="s">
        <x:v>15</x:v>
      </x:c>
      <x:c r="C447" s="3">
        <x:v>145</x:v>
      </x:c>
      <x:c r="D447" s="2" t="s">
        <x:v>1340</x:v>
      </x:c>
      <x:c r="E447" s="2" t="s">
        <x:v>1543</x:v>
      </x:c>
      <x:c r="F447" s="2" t="s">
        <x:v>1524</x:v>
      </x:c>
      <x:c r="G447" s="2" t="s">
        <x:v>1545</x:v>
      </x:c>
      <x:c r="H447" s="2" t="s">
        <x:v>1525</x:v>
      </x:c>
      <x:c r="I447" s="2" t="s">
        <x:v>1544</x:v>
      </x:c>
      <x:c r="J447" s="2" t="s">
        <x:v>1541</x:v>
      </x:c>
      <x:c r="K447" s="2" t="n">
        <x:v>144</x:v>
      </x:c>
      <x:c r="L447" s="2"/>
      <x:c r="M447" s="2"/>
      <x:c r="N447" s="2" t="s">
        <x:v>1528</x:v>
      </x:c>
      <x:c r="O447" s="2" t="s">
        <x:v>1530</x:v>
      </x:c>
      <x:c r="P447" s="2" t="s">
        <x:v>1529</x:v>
      </x:c>
      <x:c r="Q447" s="2"/>
      <x:c r="R447" s="3">
        <x:v>2</x:v>
      </x:c>
      <x:c r="S447" s="3"/>
      <x:c r="T447" s="2"/>
      <x:c r="U447" s="2"/>
      <x:c r="V447" s="2"/>
      <x:c r="W447" s="2" t="s">
        <x:v>1544</x:v>
      </x:c>
      <x:c r="X447" s="3"/>
      <x:c r="Y447" s="3"/>
      <x:c r="Z447" s="2"/>
      <x:c r="AA447" s="2" t="s">
        <x:v>632</x:v>
      </x:c>
      <x:c r="AB447" s="2" t="s">
        <x:v>284</x:v>
      </x:c>
      <x:c r="AC447" s="2"/>
      <x:c r="AD447" s="2"/>
      <x:c r="AE447" s="2"/>
      <x:c r="AF447" s="2"/>
      <x:c r="AG447" s="2"/>
      <x:c r="AH447" s="2"/>
      <x:c r="AI447" s="4"/>
      <x:c r="AJ447" s="2"/>
      <x:c r="AK447" s="2" t="s">
        <x:v>234</x:v>
      </x:c>
      <x:c r="AL447" s="2" t="s">
        <x:v>1274</x:v>
      </x:c>
      <x:c r="AM447" s="2">
        <x:v>147</x:v>
      </x:c>
      <x:c r="AN447" s="2">
        <x:v>147</x:v>
      </x:c>
    </x:row>
    <x:row r="448" ht="39">
      <x:c r="A448" s="2" t="s">
        <x:v>91</x:v>
      </x:c>
      <x:c r="B448" s="2" t="s">
        <x:v>15</x:v>
      </x:c>
      <x:c r="C448" s="3">
        <x:v>146</x:v>
      </x:c>
      <x:c r="D448" s="2" t="s">
        <x:v>1340</x:v>
      </x:c>
      <x:c r="E448" s="2" t="s">
        <x:v>253</x:v>
      </x:c>
      <x:c r="F448" s="2" t="s">
        <x:v>1524</x:v>
      </x:c>
      <x:c r="G448" s="2" t="s">
        <x:v>1290</x:v>
      </x:c>
      <x:c r="H448" s="2" t="s">
        <x:v>1525</x:v>
      </x:c>
      <x:c r="I448" s="2" t="s">
        <x:v>1546</x:v>
      </x:c>
      <x:c r="J448" s="2" t="s">
        <x:v>1541</x:v>
      </x:c>
      <x:c r="K448" s="2"/>
      <x:c r="L448" s="2"/>
      <x:c r="M448" s="2"/>
      <x:c r="N448" s="2" t="s">
        <x:v>1528</x:v>
      </x:c>
      <x:c r="O448" s="2" t="s">
        <x:v>1351</x:v>
      </x:c>
      <x:c r="P448" s="2" t="s">
        <x:v>1529</x:v>
      </x:c>
      <x:c r="Q448" s="2"/>
      <x:c r="R448" s="3">
        <x:v>2</x:v>
      </x:c>
      <x:c r="S448" s="3"/>
      <x:c r="T448" s="2"/>
      <x:c r="U448" s="2"/>
      <x:c r="V448" s="2"/>
      <x:c r="W448" s="2" t="s">
        <x:v>1546</x:v>
      </x:c>
      <x:c r="X448" s="3"/>
      <x:c r="Y448" s="3"/>
      <x:c r="Z448" s="2"/>
      <x:c r="AA448" s="2" t="s">
        <x:v>632</x:v>
      </x:c>
      <x:c r="AB448" s="2" t="s">
        <x:v>284</x:v>
      </x:c>
      <x:c r="AC448" s="2"/>
      <x:c r="AD448" s="2"/>
      <x:c r="AE448" s="2"/>
      <x:c r="AF448" s="2"/>
      <x:c r="AG448" s="2"/>
      <x:c r="AH448" s="2"/>
      <x:c r="AI448" s="4"/>
      <x:c r="AJ448" s="2"/>
      <x:c r="AK448" s="2" t="s">
        <x:v>234</x:v>
      </x:c>
      <x:c r="AL448" s="2" t="s">
        <x:v>1274</x:v>
      </x:c>
      <x:c r="AM448" s="2">
        <x:v>148</x:v>
      </x:c>
      <x:c r="AN448" s="2">
        <x:v>148</x:v>
      </x:c>
    </x:row>
    <x:row r="449" ht="39">
      <x:c r="A449" s="2" t="s">
        <x:v>91</x:v>
      </x:c>
      <x:c r="B449" s="2" t="s">
        <x:v>15</x:v>
      </x:c>
      <x:c r="C449" s="3">
        <x:v>147</x:v>
      </x:c>
      <x:c r="D449" s="2" t="s">
        <x:v>1466</x:v>
      </x:c>
      <x:c r="E449" s="2" t="s">
        <x:v>253</x:v>
      </x:c>
      <x:c r="F449" s="2" t="s">
        <x:v>1524</x:v>
      </x:c>
      <x:c r="G449" s="2" t="s">
        <x:v>1276</x:v>
      </x:c>
      <x:c r="H449" s="2" t="s">
        <x:v>1525</x:v>
      </x:c>
      <x:c r="I449" s="2" t="s">
        <x:v>1546</x:v>
      </x:c>
      <x:c r="J449" s="2" t="s">
        <x:v>1541</x:v>
      </x:c>
      <x:c r="K449" s="2" t="n">
        <x:v>146</x:v>
      </x:c>
      <x:c r="L449" s="2"/>
      <x:c r="M449" s="2"/>
      <x:c r="N449" s="2" t="s">
        <x:v>1528</x:v>
      </x:c>
      <x:c r="O449" s="2" t="s">
        <x:v>1530</x:v>
      </x:c>
      <x:c r="P449" s="2" t="s">
        <x:v>1529</x:v>
      </x:c>
      <x:c r="Q449" s="2"/>
      <x:c r="R449" s="3">
        <x:v>2</x:v>
      </x:c>
      <x:c r="S449" s="3"/>
      <x:c r="T449" s="2"/>
      <x:c r="U449" s="2"/>
      <x:c r="V449" s="2"/>
      <x:c r="W449" s="2" t="s">
        <x:v>1546</x:v>
      </x:c>
      <x:c r="X449" s="3"/>
      <x:c r="Y449" s="3"/>
      <x:c r="Z449" s="2"/>
      <x:c r="AA449" s="2" t="s">
        <x:v>632</x:v>
      </x:c>
      <x:c r="AB449" s="2" t="s">
        <x:v>267</x:v>
      </x:c>
      <x:c r="AC449" s="2"/>
      <x:c r="AD449" s="2"/>
      <x:c r="AE449" s="2"/>
      <x:c r="AF449" s="2"/>
      <x:c r="AG449" s="2"/>
      <x:c r="AH449" s="2"/>
      <x:c r="AI449" s="4"/>
      <x:c r="AJ449" s="2"/>
      <x:c r="AK449" s="2" t="s">
        <x:v>234</x:v>
      </x:c>
      <x:c r="AL449" s="2" t="s">
        <x:v>1274</x:v>
      </x:c>
      <x:c r="AM449" s="2">
        <x:v>149</x:v>
      </x:c>
      <x:c r="AN449" s="2">
        <x:v>149</x:v>
      </x:c>
    </x:row>
    <x:row r="450" ht="39">
      <x:c r="A450" s="2" t="s">
        <x:v>91</x:v>
      </x:c>
      <x:c r="B450" s="2" t="s">
        <x:v>15</x:v>
      </x:c>
      <x:c r="C450" s="3">
        <x:v>148</x:v>
      </x:c>
      <x:c r="D450" s="2" t="s">
        <x:v>1466</x:v>
      </x:c>
      <x:c r="E450" s="2" t="s">
        <x:v>246</x:v>
      </x:c>
      <x:c r="F450" s="2" t="s">
        <x:v>1524</x:v>
      </x:c>
      <x:c r="G450" s="2" t="s">
        <x:v>1273</x:v>
      </x:c>
      <x:c r="H450" s="2" t="s">
        <x:v>1525</x:v>
      </x:c>
      <x:c r="I450" s="2" t="s">
        <x:v>1547</x:v>
      </x:c>
      <x:c r="J450" s="2" t="s">
        <x:v>1541</x:v>
      </x:c>
      <x:c r="K450" s="2"/>
      <x:c r="L450" s="2"/>
      <x:c r="M450" s="2"/>
      <x:c r="N450" s="2" t="s">
        <x:v>1528</x:v>
      </x:c>
      <x:c r="O450" s="2" t="s">
        <x:v>1351</x:v>
      </x:c>
      <x:c r="P450" s="2" t="s">
        <x:v>1529</x:v>
      </x:c>
      <x:c r="Q450" s="2"/>
      <x:c r="R450" s="3">
        <x:v>2</x:v>
      </x:c>
      <x:c r="S450" s="3"/>
      <x:c r="T450" s="2"/>
      <x:c r="U450" s="2"/>
      <x:c r="V450" s="2"/>
      <x:c r="W450" s="2" t="s">
        <x:v>1547</x:v>
      </x:c>
      <x:c r="X450" s="3"/>
      <x:c r="Y450" s="3"/>
      <x:c r="Z450" s="2"/>
      <x:c r="AA450" s="2" t="s">
        <x:v>632</x:v>
      </x:c>
      <x:c r="AB450" s="2" t="s">
        <x:v>267</x:v>
      </x:c>
      <x:c r="AC450" s="2"/>
      <x:c r="AD450" s="2"/>
      <x:c r="AE450" s="2"/>
      <x:c r="AF450" s="2"/>
      <x:c r="AG450" s="2"/>
      <x:c r="AH450" s="2"/>
      <x:c r="AI450" s="4"/>
      <x:c r="AJ450" s="2"/>
      <x:c r="AK450" s="2" t="s">
        <x:v>234</x:v>
      </x:c>
      <x:c r="AL450" s="2" t="s">
        <x:v>1274</x:v>
      </x:c>
      <x:c r="AM450" s="2">
        <x:v>150</x:v>
      </x:c>
      <x:c r="AN450" s="2">
        <x:v>150</x:v>
      </x:c>
    </x:row>
    <x:row r="451" ht="39">
      <x:c r="A451" s="2" t="s">
        <x:v>91</x:v>
      </x:c>
      <x:c r="B451" s="2" t="s">
        <x:v>15</x:v>
      </x:c>
      <x:c r="C451" s="3">
        <x:v>149</x:v>
      </x:c>
      <x:c r="D451" s="2" t="s">
        <x:v>1340</x:v>
      </x:c>
      <x:c r="E451" s="2" t="s">
        <x:v>246</x:v>
      </x:c>
      <x:c r="F451" s="2" t="s">
        <x:v>1524</x:v>
      </x:c>
      <x:c r="G451" s="2" t="s">
        <x:v>1548</x:v>
      </x:c>
      <x:c r="H451" s="2" t="s">
        <x:v>1525</x:v>
      </x:c>
      <x:c r="I451" s="2" t="s">
        <x:v>1547</x:v>
      </x:c>
      <x:c r="J451" s="2" t="s">
        <x:v>1541</x:v>
      </x:c>
      <x:c r="K451" s="2" t="n">
        <x:v>148</x:v>
      </x:c>
      <x:c r="L451" s="2"/>
      <x:c r="M451" s="2"/>
      <x:c r="N451" s="2" t="s">
        <x:v>1528</x:v>
      </x:c>
      <x:c r="O451" s="2" t="s">
        <x:v>1530</x:v>
      </x:c>
      <x:c r="P451" s="2" t="s">
        <x:v>1529</x:v>
      </x:c>
      <x:c r="Q451" s="2"/>
      <x:c r="R451" s="3">
        <x:v>2</x:v>
      </x:c>
      <x:c r="S451" s="3"/>
      <x:c r="T451" s="2"/>
      <x:c r="U451" s="2"/>
      <x:c r="V451" s="2"/>
      <x:c r="W451" s="2" t="s">
        <x:v>1547</x:v>
      </x:c>
      <x:c r="X451" s="3"/>
      <x:c r="Y451" s="3"/>
      <x:c r="Z451" s="2"/>
      <x:c r="AA451" s="2" t="s">
        <x:v>632</x:v>
      </x:c>
      <x:c r="AB451" s="2" t="s">
        <x:v>284</x:v>
      </x:c>
      <x:c r="AC451" s="2"/>
      <x:c r="AD451" s="2"/>
      <x:c r="AE451" s="2"/>
      <x:c r="AF451" s="2"/>
      <x:c r="AG451" s="2"/>
      <x:c r="AH451" s="2"/>
      <x:c r="AI451" s="4"/>
      <x:c r="AJ451" s="2"/>
      <x:c r="AK451" s="2" t="s">
        <x:v>234</x:v>
      </x:c>
      <x:c r="AL451" s="2" t="s">
        <x:v>1274</x:v>
      </x:c>
      <x:c r="AM451" s="2">
        <x:v>151</x:v>
      </x:c>
      <x:c r="AN451" s="2">
        <x:v>151</x:v>
      </x:c>
    </x:row>
    <x:row r="452" ht="39">
      <x:c r="A452" s="2" t="s">
        <x:v>91</x:v>
      </x:c>
      <x:c r="B452" s="2" t="s">
        <x:v>16</x:v>
      </x:c>
      <x:c r="C452" s="3">
        <x:v>0</x:v>
      </x:c>
      <x:c r="D452" s="2" t="s">
        <x:v>307</x:v>
      </x:c>
      <x:c r="E452" s="2" t="s">
        <x:v>308</x:v>
      </x:c>
      <x:c r="F452" s="2" t="s">
        <x:v>309</x:v>
      </x:c>
      <x:c r="G452" s="2" t="s">
        <x:v>1549</x:v>
      </x:c>
      <x:c r="H452" s="2" t="s">
        <x:v>96</x:v>
      </x:c>
      <x:c r="I452" s="2" t="s">
        <x:v>311</x:v>
      </x:c>
      <x:c r="J452" s="2" t="s">
        <x:v>312</x:v>
      </x:c>
      <x:c r="K452" s="2"/>
      <x:c r="L452" s="2" t="s">
        <x:v>313</x:v>
      </x:c>
      <x:c r="M452" s="2"/>
      <x:c r="N452" s="2"/>
      <x:c r="O452" s="2" t="s">
        <x:v>314</x:v>
      </x:c>
      <x:c r="P452" s="2" t="s">
        <x:v>315</x:v>
      </x:c>
      <x:c r="Q452" s="2"/>
      <x:c r="R452" s="3">
        <x:v>3</x:v>
      </x:c>
      <x:c r="S452" s="3"/>
      <x:c r="T452" s="2"/>
      <x:c r="U452" s="2"/>
      <x:c r="V452" s="2"/>
      <x:c r="W452" s="2"/>
      <x:c r="X452" s="3"/>
      <x:c r="Y452" s="3"/>
      <x:c r="Z452" s="2"/>
      <x:c r="AA452" s="2"/>
      <x:c r="AB452" s="2"/>
      <x:c r="AC452" s="2" t="s">
        <x:v>316</x:v>
      </x:c>
      <x:c r="AD452" s="2" t="s">
        <x:v>317</x:v>
      </x:c>
      <x:c r="AE452" s="2" t="s">
        <x:v>318</x:v>
      </x:c>
      <x:c r="AF452" s="2" t="s">
        <x:v>319</x:v>
      </x:c>
      <x:c r="AG452" s="2"/>
      <x:c r="AH452" s="2"/>
      <x:c r="AI452" s="4"/>
      <x:c r="AJ452" s="2"/>
      <x:c r="AK452" s="2" t="s">
        <x:v>320</x:v>
      </x:c>
      <x:c r="AL452" s="2" t="s">
        <x:v>1550</x:v>
      </x:c>
      <x:c r="AM452" s="2">
        <x:v>2</x:v>
      </x:c>
      <x:c r="AN452" s="2">
        <x:v>2</x:v>
      </x:c>
    </x:row>
    <x:row r="453" ht="39">
      <x:c r="A453" s="2" t="s">
        <x:v>91</x:v>
      </x:c>
      <x:c r="B453" s="2" t="s">
        <x:v>16</x:v>
      </x:c>
      <x:c r="C453" s="3">
        <x:v>1</x:v>
      </x:c>
      <x:c r="D453" s="2" t="s">
        <x:v>321</x:v>
      </x:c>
      <x:c r="E453" s="2" t="s">
        <x:v>308</x:v>
      </x:c>
      <x:c r="F453" s="2" t="s">
        <x:v>322</x:v>
      </x:c>
      <x:c r="G453" s="2" t="s">
        <x:v>1551</x:v>
      </x:c>
      <x:c r="H453" s="2" t="s">
        <x:v>96</x:v>
      </x:c>
      <x:c r="I453" s="2" t="s">
        <x:v>311</x:v>
      </x:c>
      <x:c r="J453" s="2" t="s">
        <x:v>312</x:v>
      </x:c>
      <x:c r="K453" s="2" t="n">
        <x:v>0</x:v>
      </x:c>
      <x:c r="L453" s="2" t="s">
        <x:v>323</x:v>
      </x:c>
      <x:c r="M453" s="2"/>
      <x:c r="N453" s="2"/>
      <x:c r="O453" s="2" t="s">
        <x:v>324</x:v>
      </x:c>
      <x:c r="P453" s="2" t="s">
        <x:v>325</x:v>
      </x:c>
      <x:c r="Q453" s="2"/>
      <x:c r="R453" s="3">
        <x:v>3</x:v>
      </x:c>
      <x:c r="S453" s="3"/>
      <x:c r="T453" s="2"/>
      <x:c r="U453" s="2"/>
      <x:c r="V453" s="2"/>
      <x:c r="W453" s="2"/>
      <x:c r="X453" s="3"/>
      <x:c r="Y453" s="3"/>
      <x:c r="Z453" s="2"/>
      <x:c r="AA453" s="2"/>
      <x:c r="AB453" s="2"/>
      <x:c r="AC453" s="2" t="s">
        <x:v>326</x:v>
      </x:c>
      <x:c r="AD453" s="2" t="s">
        <x:v>317</x:v>
      </x:c>
      <x:c r="AE453" s="2" t="s">
        <x:v>318</x:v>
      </x:c>
      <x:c r="AF453" s="2" t="s">
        <x:v>319</x:v>
      </x:c>
      <x:c r="AG453" s="2"/>
      <x:c r="AH453" s="2"/>
      <x:c r="AI453" s="4"/>
      <x:c r="AJ453" s="2"/>
      <x:c r="AK453" s="2" t="s">
        <x:v>320</x:v>
      </x:c>
      <x:c r="AL453" s="2" t="s">
        <x:v>1550</x:v>
      </x:c>
      <x:c r="AM453" s="2">
        <x:v>3</x:v>
      </x:c>
      <x:c r="AN453" s="2">
        <x:v>3</x:v>
      </x:c>
    </x:row>
    <x:row r="454" ht="39">
      <x:c r="A454" s="2" t="s">
        <x:v>6</x:v>
      </x:c>
      <x:c r="B454" s="2" t="s">
        <x:v>16</x:v>
      </x:c>
      <x:c r="C454" s="3">
        <x:v>2</x:v>
      </x:c>
      <x:c r="D454" s="2" t="s">
        <x:v>327</x:v>
      </x:c>
      <x:c r="E454" s="2" t="s">
        <x:v>308</x:v>
      </x:c>
      <x:c r="F454" s="2" t="s">
        <x:v>328</x:v>
      </x:c>
      <x:c r="G454" s="2" t="s">
        <x:v>1551</x:v>
      </x:c>
      <x:c r="H454" s="2" t="s">
        <x:v>96</x:v>
      </x:c>
      <x:c r="I454" s="2" t="s">
        <x:v>311</x:v>
      </x:c>
      <x:c r="J454" s="2" t="s">
        <x:v>312</x:v>
      </x:c>
      <x:c r="K454" s="2" t="n">
        <x:v>0</x:v>
      </x:c>
      <x:c r="L454" s="2" t="s">
        <x:v>330</x:v>
      </x:c>
      <x:c r="M454" s="2"/>
      <x:c r="N454" s="2"/>
      <x:c r="O454" s="2" t="s">
        <x:v>324</x:v>
      </x:c>
      <x:c r="P454" s="2" t="s">
        <x:v>331</x:v>
      </x:c>
      <x:c r="Q454" s="2"/>
      <x:c r="R454" s="3">
        <x:v>3</x:v>
      </x:c>
      <x:c r="S454" s="3"/>
      <x:c r="T454" s="2"/>
      <x:c r="U454" s="2"/>
      <x:c r="V454" s="2"/>
      <x:c r="W454" s="2"/>
      <x:c r="X454" s="3"/>
      <x:c r="Y454" s="3"/>
      <x:c r="Z454" s="2"/>
      <x:c r="AA454" s="2"/>
      <x:c r="AB454" s="2"/>
      <x:c r="AC454" s="2" t="s">
        <x:v>316</x:v>
      </x:c>
      <x:c r="AD454" s="2" t="s">
        <x:v>318</x:v>
      </x:c>
      <x:c r="AE454" s="2" t="s">
        <x:v>317</x:v>
      </x:c>
      <x:c r="AF454" s="2" t="s">
        <x:v>319</x:v>
      </x:c>
      <x:c r="AG454" s="2"/>
      <x:c r="AH454" s="2"/>
      <x:c r="AI454" s="4"/>
      <x:c r="AJ454" s="2"/>
      <x:c r="AK454" s="2" t="s">
        <x:v>320</x:v>
      </x:c>
      <x:c r="AL454" s="2" t="s">
        <x:v>1550</x:v>
      </x:c>
      <x:c r="AM454" s="2">
        <x:v>4</x:v>
      </x:c>
      <x:c r="AN454" s="2">
        <x:v>4</x:v>
      </x:c>
    </x:row>
    <x:row r="455" ht="39">
      <x:c r="A455" s="2" t="s">
        <x:v>91</x:v>
      </x:c>
      <x:c r="B455" s="2" t="s">
        <x:v>16</x:v>
      </x:c>
      <x:c r="C455" s="3">
        <x:v>3</x:v>
      </x:c>
      <x:c r="D455" s="2" t="s">
        <x:v>332</x:v>
      </x:c>
      <x:c r="E455" s="2" t="s">
        <x:v>308</x:v>
      </x:c>
      <x:c r="F455" s="2" t="s">
        <x:v>333</x:v>
      </x:c>
      <x:c r="G455" s="2" t="s">
        <x:v>1552</x:v>
      </x:c>
      <x:c r="H455" s="2" t="s">
        <x:v>96</x:v>
      </x:c>
      <x:c r="I455" s="2" t="s">
        <x:v>311</x:v>
      </x:c>
      <x:c r="J455" s="2" t="s">
        <x:v>312</x:v>
      </x:c>
      <x:c r="K455" s="2" t="n">
        <x:v>0</x:v>
      </x:c>
      <x:c r="L455" s="2" t="s">
        <x:v>335</x:v>
      </x:c>
      <x:c r="M455" s="2"/>
      <x:c r="N455" s="2"/>
      <x:c r="O455" s="2" t="s">
        <x:v>324</x:v>
      </x:c>
      <x:c r="P455" s="2" t="s">
        <x:v>336</x:v>
      </x:c>
      <x:c r="Q455" s="2"/>
      <x:c r="R455" s="3">
        <x:v>3</x:v>
      </x:c>
      <x:c r="S455" s="3"/>
      <x:c r="T455" s="2"/>
      <x:c r="U455" s="2"/>
      <x:c r="V455" s="2"/>
      <x:c r="W455" s="2"/>
      <x:c r="X455" s="3"/>
      <x:c r="Y455" s="3"/>
      <x:c r="Z455" s="2"/>
      <x:c r="AA455" s="2"/>
      <x:c r="AB455" s="2"/>
      <x:c r="AC455" s="2" t="s">
        <x:v>326</x:v>
      </x:c>
      <x:c r="AD455" s="2" t="s">
        <x:v>318</x:v>
      </x:c>
      <x:c r="AE455" s="2" t="s">
        <x:v>317</x:v>
      </x:c>
      <x:c r="AF455" s="2" t="s">
        <x:v>319</x:v>
      </x:c>
      <x:c r="AG455" s="2"/>
      <x:c r="AH455" s="2"/>
      <x:c r="AI455" s="4"/>
      <x:c r="AJ455" s="2"/>
      <x:c r="AK455" s="2" t="s">
        <x:v>320</x:v>
      </x:c>
      <x:c r="AL455" s="2" t="s">
        <x:v>1550</x:v>
      </x:c>
      <x:c r="AM455" s="2">
        <x:v>5</x:v>
      </x:c>
      <x:c r="AN455" s="2">
        <x:v>5</x:v>
      </x:c>
    </x:row>
    <x:row r="456" ht="39">
      <x:c r="A456" s="2" t="s">
        <x:v>6</x:v>
      </x:c>
      <x:c r="B456" s="2" t="s">
        <x:v>16</x:v>
      </x:c>
      <x:c r="C456" s="3">
        <x:v>4</x:v>
      </x:c>
      <x:c r="D456" s="2" t="s">
        <x:v>337</x:v>
      </x:c>
      <x:c r="E456" s="2" t="s">
        <x:v>338</x:v>
      </x:c>
      <x:c r="F456" s="2" t="s">
        <x:v>339</x:v>
      </x:c>
      <x:c r="G456" s="2"/>
      <x:c r="H456" s="2" t="s">
        <x:v>96</x:v>
      </x:c>
      <x:c r="I456" s="2" t="s">
        <x:v>341</x:v>
      </x:c>
      <x:c r="J456" s="2" t="s">
        <x:v>312</x:v>
      </x:c>
      <x:c r="K456" s="2"/>
      <x:c r="L456" s="2" t="s">
        <x:v>342</x:v>
      </x:c>
      <x:c r="M456" s="2"/>
      <x:c r="N456" s="2"/>
      <x:c r="O456" s="2" t="s">
        <x:v>314</x:v>
      </x:c>
      <x:c r="P456" s="2" t="s">
        <x:v>343</x:v>
      </x:c>
      <x:c r="Q456" s="2"/>
      <x:c r="R456" s="3">
        <x:v>4</x:v>
      </x:c>
      <x:c r="S456" s="3"/>
      <x:c r="T456" s="2"/>
      <x:c r="U456" s="2"/>
      <x:c r="V456" s="2"/>
      <x:c r="W456" s="2"/>
      <x:c r="X456" s="3"/>
      <x:c r="Y456" s="3"/>
      <x:c r="Z456" s="2"/>
      <x:c r="AA456" s="2"/>
      <x:c r="AB456" s="2"/>
      <x:c r="AC456" s="2" t="s">
        <x:v>316</x:v>
      </x:c>
      <x:c r="AD456" s="2" t="s">
        <x:v>317</x:v>
      </x:c>
      <x:c r="AE456" s="2" t="s">
        <x:v>344</x:v>
      </x:c>
      <x:c r="AF456" s="2" t="s">
        <x:v>319</x:v>
      </x:c>
      <x:c r="AG456" s="2"/>
      <x:c r="AH456" s="2"/>
      <x:c r="AI456" s="4"/>
      <x:c r="AJ456" s="2"/>
      <x:c r="AK456" s="2" t="s">
        <x:v>320</x:v>
      </x:c>
      <x:c r="AL456" s="2" t="s">
        <x:v>1550</x:v>
      </x:c>
      <x:c r="AM456" s="2">
        <x:v>6</x:v>
      </x:c>
      <x:c r="AN456" s="2">
        <x:v>6</x:v>
      </x:c>
    </x:row>
    <x:row r="457" ht="39">
      <x:c r="A457" s="2" t="s">
        <x:v>91</x:v>
      </x:c>
      <x:c r="B457" s="2" t="s">
        <x:v>16</x:v>
      </x:c>
      <x:c r="C457" s="3">
        <x:v>5</x:v>
      </x:c>
      <x:c r="D457" s="2" t="s">
        <x:v>345</x:v>
      </x:c>
      <x:c r="E457" s="2" t="s">
        <x:v>338</x:v>
      </x:c>
      <x:c r="F457" s="2" t="s">
        <x:v>346</x:v>
      </x:c>
      <x:c r="G457" s="2" t="s">
        <x:v>1553</x:v>
      </x:c>
      <x:c r="H457" s="2" t="s">
        <x:v>96</x:v>
      </x:c>
      <x:c r="I457" s="2" t="s">
        <x:v>341</x:v>
      </x:c>
      <x:c r="J457" s="2" t="s">
        <x:v>312</x:v>
      </x:c>
      <x:c r="K457" s="2" t="n">
        <x:v>4</x:v>
      </x:c>
      <x:c r="L457" s="2" t="s">
        <x:v>348</x:v>
      </x:c>
      <x:c r="M457" s="2"/>
      <x:c r="N457" s="2"/>
      <x:c r="O457" s="2" t="s">
        <x:v>324</x:v>
      </x:c>
      <x:c r="P457" s="2" t="s">
        <x:v>349</x:v>
      </x:c>
      <x:c r="Q457" s="2"/>
      <x:c r="R457" s="3">
        <x:v>4</x:v>
      </x:c>
      <x:c r="S457" s="3"/>
      <x:c r="T457" s="2"/>
      <x:c r="U457" s="2"/>
      <x:c r="V457" s="2"/>
      <x:c r="W457" s="2"/>
      <x:c r="X457" s="3"/>
      <x:c r="Y457" s="3"/>
      <x:c r="Z457" s="2"/>
      <x:c r="AA457" s="2"/>
      <x:c r="AB457" s="2"/>
      <x:c r="AC457" s="2" t="s">
        <x:v>326</x:v>
      </x:c>
      <x:c r="AD457" s="2" t="s">
        <x:v>317</x:v>
      </x:c>
      <x:c r="AE457" s="2" t="s">
        <x:v>344</x:v>
      </x:c>
      <x:c r="AF457" s="2" t="s">
        <x:v>319</x:v>
      </x:c>
      <x:c r="AG457" s="2"/>
      <x:c r="AH457" s="2"/>
      <x:c r="AI457" s="4"/>
      <x:c r="AJ457" s="2"/>
      <x:c r="AK457" s="2" t="s">
        <x:v>320</x:v>
      </x:c>
      <x:c r="AL457" s="2" t="s">
        <x:v>1550</x:v>
      </x:c>
      <x:c r="AM457" s="2">
        <x:v>7</x:v>
      </x:c>
      <x:c r="AN457" s="2">
        <x:v>7</x:v>
      </x:c>
    </x:row>
    <x:row r="458" ht="39">
      <x:c r="A458" s="2" t="s">
        <x:v>6</x:v>
      </x:c>
      <x:c r="B458" s="2" t="s">
        <x:v>16</x:v>
      </x:c>
      <x:c r="C458" s="3">
        <x:v>6</x:v>
      </x:c>
      <x:c r="D458" s="2" t="s">
        <x:v>350</x:v>
      </x:c>
      <x:c r="E458" s="2" t="s">
        <x:v>338</x:v>
      </x:c>
      <x:c r="F458" s="2" t="s">
        <x:v>351</x:v>
      </x:c>
      <x:c r="G458" s="2"/>
      <x:c r="H458" s="2" t="s">
        <x:v>96</x:v>
      </x:c>
      <x:c r="I458" s="2" t="s">
        <x:v>341</x:v>
      </x:c>
      <x:c r="J458" s="2" t="s">
        <x:v>312</x:v>
      </x:c>
      <x:c r="K458" s="2" t="n">
        <x:v>4</x:v>
      </x:c>
      <x:c r="L458" s="2" t="s">
        <x:v>353</x:v>
      </x:c>
      <x:c r="M458" s="2"/>
      <x:c r="N458" s="2"/>
      <x:c r="O458" s="2" t="s">
        <x:v>324</x:v>
      </x:c>
      <x:c r="P458" s="2" t="s">
        <x:v>354</x:v>
      </x:c>
      <x:c r="Q458" s="2"/>
      <x:c r="R458" s="3">
        <x:v>4</x:v>
      </x:c>
      <x:c r="S458" s="3"/>
      <x:c r="T458" s="2"/>
      <x:c r="U458" s="2"/>
      <x:c r="V458" s="2"/>
      <x:c r="W458" s="2"/>
      <x:c r="X458" s="3"/>
      <x:c r="Y458" s="3"/>
      <x:c r="Z458" s="2"/>
      <x:c r="AA458" s="2"/>
      <x:c r="AB458" s="2"/>
      <x:c r="AC458" s="2" t="s">
        <x:v>316</x:v>
      </x:c>
      <x:c r="AD458" s="2" t="s">
        <x:v>344</x:v>
      </x:c>
      <x:c r="AE458" s="2" t="s">
        <x:v>317</x:v>
      </x:c>
      <x:c r="AF458" s="2" t="s">
        <x:v>319</x:v>
      </x:c>
      <x:c r="AG458" s="2"/>
      <x:c r="AH458" s="2"/>
      <x:c r="AI458" s="4"/>
      <x:c r="AJ458" s="2"/>
      <x:c r="AK458" s="2" t="s">
        <x:v>320</x:v>
      </x:c>
      <x:c r="AL458" s="2" t="s">
        <x:v>1550</x:v>
      </x:c>
      <x:c r="AM458" s="2">
        <x:v>8</x:v>
      </x:c>
      <x:c r="AN458" s="2">
        <x:v>8</x:v>
      </x:c>
    </x:row>
    <x:row r="459" ht="39">
      <x:c r="A459" s="2" t="s">
        <x:v>6</x:v>
      </x:c>
      <x:c r="B459" s="2" t="s">
        <x:v>16</x:v>
      </x:c>
      <x:c r="C459" s="3">
        <x:v>7</x:v>
      </x:c>
      <x:c r="D459" s="2" t="s">
        <x:v>355</x:v>
      </x:c>
      <x:c r="E459" s="2" t="s">
        <x:v>338</x:v>
      </x:c>
      <x:c r="F459" s="2" t="s">
        <x:v>356</x:v>
      </x:c>
      <x:c r="G459" s="2"/>
      <x:c r="H459" s="2" t="s">
        <x:v>96</x:v>
      </x:c>
      <x:c r="I459" s="2" t="s">
        <x:v>341</x:v>
      </x:c>
      <x:c r="J459" s="2" t="s">
        <x:v>312</x:v>
      </x:c>
      <x:c r="K459" s="2" t="n">
        <x:v>4</x:v>
      </x:c>
      <x:c r="L459" s="2" t="s">
        <x:v>357</x:v>
      </x:c>
      <x:c r="M459" s="2"/>
      <x:c r="N459" s="2"/>
      <x:c r="O459" s="2" t="s">
        <x:v>324</x:v>
      </x:c>
      <x:c r="P459" s="2" t="s">
        <x:v>358</x:v>
      </x:c>
      <x:c r="Q459" s="2"/>
      <x:c r="R459" s="3">
        <x:v>4</x:v>
      </x:c>
      <x:c r="S459" s="3"/>
      <x:c r="T459" s="2"/>
      <x:c r="U459" s="2"/>
      <x:c r="V459" s="2"/>
      <x:c r="W459" s="2"/>
      <x:c r="X459" s="3"/>
      <x:c r="Y459" s="3"/>
      <x:c r="Z459" s="2"/>
      <x:c r="AA459" s="2"/>
      <x:c r="AB459" s="2"/>
      <x:c r="AC459" s="2" t="s">
        <x:v>326</x:v>
      </x:c>
      <x:c r="AD459" s="2" t="s">
        <x:v>344</x:v>
      </x:c>
      <x:c r="AE459" s="2" t="s">
        <x:v>317</x:v>
      </x:c>
      <x:c r="AF459" s="2" t="s">
        <x:v>319</x:v>
      </x:c>
      <x:c r="AG459" s="2"/>
      <x:c r="AH459" s="2"/>
      <x:c r="AI459" s="4"/>
      <x:c r="AJ459" s="2"/>
      <x:c r="AK459" s="2" t="s">
        <x:v>320</x:v>
      </x:c>
      <x:c r="AL459" s="2" t="s">
        <x:v>1550</x:v>
      </x:c>
      <x:c r="AM459" s="2">
        <x:v>9</x:v>
      </x:c>
      <x:c r="AN459" s="2">
        <x:v>9</x:v>
      </x:c>
    </x:row>
    <x:row r="460" ht="39">
      <x:c r="A460" s="2" t="s">
        <x:v>6</x:v>
      </x:c>
      <x:c r="B460" s="2" t="s">
        <x:v>16</x:v>
      </x:c>
      <x:c r="C460" s="3">
        <x:v>8</x:v>
      </x:c>
      <x:c r="D460" s="2" t="s">
        <x:v>359</x:v>
      </x:c>
      <x:c r="E460" s="2" t="s">
        <x:v>360</x:v>
      </x:c>
      <x:c r="F460" s="2" t="s">
        <x:v>361</x:v>
      </x:c>
      <x:c r="G460" s="2"/>
      <x:c r="H460" s="2" t="s">
        <x:v>96</x:v>
      </x:c>
      <x:c r="I460" s="2" t="s">
        <x:v>363</x:v>
      </x:c>
      <x:c r="J460" s="2" t="s">
        <x:v>364</x:v>
      </x:c>
      <x:c r="K460" s="2"/>
      <x:c r="L460" s="2" t="s">
        <x:v>365</x:v>
      </x:c>
      <x:c r="M460" s="2"/>
      <x:c r="N460" s="2"/>
      <x:c r="O460" s="2" t="s">
        <x:v>314</x:v>
      </x:c>
      <x:c r="P460" s="2" t="s">
        <x:v>366</x:v>
      </x:c>
      <x:c r="Q460" s="2"/>
      <x:c r="R460" s="3">
        <x:v>3</x:v>
      </x:c>
      <x:c r="S460" s="3"/>
      <x:c r="T460" s="2"/>
      <x:c r="U460" s="2"/>
      <x:c r="V460" s="2"/>
      <x:c r="W460" s="2"/>
      <x:c r="X460" s="3"/>
      <x:c r="Y460" s="3"/>
      <x:c r="Z460" s="2"/>
      <x:c r="AA460" s="2"/>
      <x:c r="AB460" s="2"/>
      <x:c r="AC460" s="2" t="s">
        <x:v>367</x:v>
      </x:c>
      <x:c r="AD460" s="2" t="s">
        <x:v>368</x:v>
      </x:c>
      <x:c r="AE460" s="2" t="s">
        <x:v>318</x:v>
      </x:c>
      <x:c r="AF460" s="2" t="s">
        <x:v>319</x:v>
      </x:c>
      <x:c r="AG460" s="2"/>
      <x:c r="AH460" s="2"/>
      <x:c r="AI460" s="4"/>
      <x:c r="AJ460" s="2"/>
      <x:c r="AK460" s="2" t="s">
        <x:v>320</x:v>
      </x:c>
      <x:c r="AL460" s="2" t="s">
        <x:v>1550</x:v>
      </x:c>
      <x:c r="AM460" s="2">
        <x:v>10</x:v>
      </x:c>
      <x:c r="AN460" s="2">
        <x:v>10</x:v>
      </x:c>
    </x:row>
    <x:row r="461" ht="39">
      <x:c r="A461" s="2" t="s">
        <x:v>6</x:v>
      </x:c>
      <x:c r="B461" s="2" t="s">
        <x:v>16</x:v>
      </x:c>
      <x:c r="C461" s="3">
        <x:v>9</x:v>
      </x:c>
      <x:c r="D461" s="2" t="s">
        <x:v>369</x:v>
      </x:c>
      <x:c r="E461" s="2" t="s">
        <x:v>360</x:v>
      </x:c>
      <x:c r="F461" s="2" t="s">
        <x:v>370</x:v>
      </x:c>
      <x:c r="G461" s="2"/>
      <x:c r="H461" s="2" t="s">
        <x:v>96</x:v>
      </x:c>
      <x:c r="I461" s="2" t="s">
        <x:v>363</x:v>
      </x:c>
      <x:c r="J461" s="2" t="s">
        <x:v>364</x:v>
      </x:c>
      <x:c r="K461" s="2" t="n">
        <x:v>8</x:v>
      </x:c>
      <x:c r="L461" s="2" t="s">
        <x:v>372</x:v>
      </x:c>
      <x:c r="M461" s="2"/>
      <x:c r="N461" s="2"/>
      <x:c r="O461" s="2" t="s">
        <x:v>324</x:v>
      </x:c>
      <x:c r="P461" s="2" t="s">
        <x:v>373</x:v>
      </x:c>
      <x:c r="Q461" s="2"/>
      <x:c r="R461" s="3">
        <x:v>3</x:v>
      </x:c>
      <x:c r="S461" s="3"/>
      <x:c r="T461" s="2"/>
      <x:c r="U461" s="2"/>
      <x:c r="V461" s="2"/>
      <x:c r="W461" s="2"/>
      <x:c r="X461" s="3"/>
      <x:c r="Y461" s="3"/>
      <x:c r="Z461" s="2"/>
      <x:c r="AA461" s="2"/>
      <x:c r="AB461" s="2"/>
      <x:c r="AC461" s="2" t="s">
        <x:v>374</x:v>
      </x:c>
      <x:c r="AD461" s="2" t="s">
        <x:v>368</x:v>
      </x:c>
      <x:c r="AE461" s="2" t="s">
        <x:v>318</x:v>
      </x:c>
      <x:c r="AF461" s="2" t="s">
        <x:v>319</x:v>
      </x:c>
      <x:c r="AG461" s="2"/>
      <x:c r="AH461" s="2"/>
      <x:c r="AI461" s="4"/>
      <x:c r="AJ461" s="2"/>
      <x:c r="AK461" s="2" t="s">
        <x:v>320</x:v>
      </x:c>
      <x:c r="AL461" s="2" t="s">
        <x:v>1550</x:v>
      </x:c>
      <x:c r="AM461" s="2">
        <x:v>11</x:v>
      </x:c>
      <x:c r="AN461" s="2">
        <x:v>11</x:v>
      </x:c>
    </x:row>
    <x:row r="462" ht="39">
      <x:c r="A462" s="2" t="s">
        <x:v>6</x:v>
      </x:c>
      <x:c r="B462" s="2" t="s">
        <x:v>16</x:v>
      </x:c>
      <x:c r="C462" s="3">
        <x:v>10</x:v>
      </x:c>
      <x:c r="D462" s="2" t="s">
        <x:v>375</x:v>
      </x:c>
      <x:c r="E462" s="2" t="s">
        <x:v>360</x:v>
      </x:c>
      <x:c r="F462" s="2" t="s">
        <x:v>376</x:v>
      </x:c>
      <x:c r="G462" s="2"/>
      <x:c r="H462" s="2" t="s">
        <x:v>96</x:v>
      </x:c>
      <x:c r="I462" s="2" t="s">
        <x:v>363</x:v>
      </x:c>
      <x:c r="J462" s="2" t="s">
        <x:v>364</x:v>
      </x:c>
      <x:c r="K462" s="2" t="n">
        <x:v>8</x:v>
      </x:c>
      <x:c r="L462" s="2" t="s">
        <x:v>378</x:v>
      </x:c>
      <x:c r="M462" s="2"/>
      <x:c r="N462" s="2"/>
      <x:c r="O462" s="2" t="s">
        <x:v>324</x:v>
      </x:c>
      <x:c r="P462" s="2" t="s">
        <x:v>379</x:v>
      </x:c>
      <x:c r="Q462" s="2"/>
      <x:c r="R462" s="3">
        <x:v>3</x:v>
      </x:c>
      <x:c r="S462" s="3"/>
      <x:c r="T462" s="2"/>
      <x:c r="U462" s="2"/>
      <x:c r="V462" s="2"/>
      <x:c r="W462" s="2"/>
      <x:c r="X462" s="3"/>
      <x:c r="Y462" s="3"/>
      <x:c r="Z462" s="2"/>
      <x:c r="AA462" s="2"/>
      <x:c r="AB462" s="2"/>
      <x:c r="AC462" s="2" t="s">
        <x:v>367</x:v>
      </x:c>
      <x:c r="AD462" s="2" t="s">
        <x:v>318</x:v>
      </x:c>
      <x:c r="AE462" s="2" t="s">
        <x:v>368</x:v>
      </x:c>
      <x:c r="AF462" s="2" t="s">
        <x:v>319</x:v>
      </x:c>
      <x:c r="AG462" s="2"/>
      <x:c r="AH462" s="2"/>
      <x:c r="AI462" s="4"/>
      <x:c r="AJ462" s="2"/>
      <x:c r="AK462" s="2" t="s">
        <x:v>320</x:v>
      </x:c>
      <x:c r="AL462" s="2" t="s">
        <x:v>1550</x:v>
      </x:c>
      <x:c r="AM462" s="2">
        <x:v>12</x:v>
      </x:c>
      <x:c r="AN462" s="2">
        <x:v>12</x:v>
      </x:c>
    </x:row>
    <x:row r="463" ht="39">
      <x:c r="A463" s="2" t="s">
        <x:v>6</x:v>
      </x:c>
      <x:c r="B463" s="2" t="s">
        <x:v>16</x:v>
      </x:c>
      <x:c r="C463" s="3">
        <x:v>11</x:v>
      </x:c>
      <x:c r="D463" s="2" t="s">
        <x:v>380</x:v>
      </x:c>
      <x:c r="E463" s="2" t="s">
        <x:v>360</x:v>
      </x:c>
      <x:c r="F463" s="2" t="s">
        <x:v>381</x:v>
      </x:c>
      <x:c r="G463" s="2"/>
      <x:c r="H463" s="2" t="s">
        <x:v>96</x:v>
      </x:c>
      <x:c r="I463" s="2" t="s">
        <x:v>363</x:v>
      </x:c>
      <x:c r="J463" s="2" t="s">
        <x:v>364</x:v>
      </x:c>
      <x:c r="K463" s="2" t="n">
        <x:v>8</x:v>
      </x:c>
      <x:c r="L463" s="2" t="s">
        <x:v>382</x:v>
      </x:c>
      <x:c r="M463" s="2"/>
      <x:c r="N463" s="2"/>
      <x:c r="O463" s="2" t="s">
        <x:v>324</x:v>
      </x:c>
      <x:c r="P463" s="2" t="s">
        <x:v>383</x:v>
      </x:c>
      <x:c r="Q463" s="2"/>
      <x:c r="R463" s="3">
        <x:v>3</x:v>
      </x:c>
      <x:c r="S463" s="3"/>
      <x:c r="T463" s="2"/>
      <x:c r="U463" s="2"/>
      <x:c r="V463" s="2"/>
      <x:c r="W463" s="2"/>
      <x:c r="X463" s="3"/>
      <x:c r="Y463" s="3"/>
      <x:c r="Z463" s="2"/>
      <x:c r="AA463" s="2"/>
      <x:c r="AB463" s="2"/>
      <x:c r="AC463" s="2" t="s">
        <x:v>374</x:v>
      </x:c>
      <x:c r="AD463" s="2" t="s">
        <x:v>318</x:v>
      </x:c>
      <x:c r="AE463" s="2" t="s">
        <x:v>368</x:v>
      </x:c>
      <x:c r="AF463" s="2" t="s">
        <x:v>319</x:v>
      </x:c>
      <x:c r="AG463" s="2"/>
      <x:c r="AH463" s="2"/>
      <x:c r="AI463" s="4"/>
      <x:c r="AJ463" s="2"/>
      <x:c r="AK463" s="2" t="s">
        <x:v>320</x:v>
      </x:c>
      <x:c r="AL463" s="2" t="s">
        <x:v>1550</x:v>
      </x:c>
      <x:c r="AM463" s="2">
        <x:v>13</x:v>
      </x:c>
      <x:c r="AN463" s="2">
        <x:v>13</x:v>
      </x:c>
    </x:row>
    <x:row r="464" ht="39">
      <x:c r="A464" s="2" t="s">
        <x:v>6</x:v>
      </x:c>
      <x:c r="B464" s="2" t="s">
        <x:v>16</x:v>
      </x:c>
      <x:c r="C464" s="3">
        <x:v>12</x:v>
      </x:c>
      <x:c r="D464" s="2" t="s">
        <x:v>1554</x:v>
      </x:c>
      <x:c r="E464" s="2" t="s">
        <x:v>1555</x:v>
      </x:c>
      <x:c r="F464" s="2" t="s">
        <x:v>1556</x:v>
      </x:c>
      <x:c r="G464" s="2"/>
      <x:c r="H464" s="2" t="s">
        <x:v>96</x:v>
      </x:c>
      <x:c r="I464" s="2" t="s">
        <x:v>1557</x:v>
      </x:c>
      <x:c r="J464" s="2" t="s">
        <x:v>364</x:v>
      </x:c>
      <x:c r="K464" s="2"/>
      <x:c r="L464" s="2" t="s">
        <x:v>1558</x:v>
      </x:c>
      <x:c r="M464" s="2"/>
      <x:c r="N464" s="2"/>
      <x:c r="O464" s="2" t="s">
        <x:v>314</x:v>
      </x:c>
      <x:c r="P464" s="2" t="s">
        <x:v>1559</x:v>
      </x:c>
      <x:c r="Q464" s="2"/>
      <x:c r="R464" s="3">
        <x:v>4</x:v>
      </x:c>
      <x:c r="S464" s="3"/>
      <x:c r="T464" s="2"/>
      <x:c r="U464" s="2"/>
      <x:c r="V464" s="2"/>
      <x:c r="W464" s="2"/>
      <x:c r="X464" s="3"/>
      <x:c r="Y464" s="3"/>
      <x:c r="Z464" s="2"/>
      <x:c r="AA464" s="2"/>
      <x:c r="AB464" s="2"/>
      <x:c r="AC464" s="2" t="s">
        <x:v>367</x:v>
      </x:c>
      <x:c r="AD464" s="2" t="s">
        <x:v>368</x:v>
      </x:c>
      <x:c r="AE464" s="2" t="s">
        <x:v>344</x:v>
      </x:c>
      <x:c r="AF464" s="2" t="s">
        <x:v>319</x:v>
      </x:c>
      <x:c r="AG464" s="2"/>
      <x:c r="AH464" s="2"/>
      <x:c r="AI464" s="4"/>
      <x:c r="AJ464" s="2"/>
      <x:c r="AK464" s="2" t="s">
        <x:v>320</x:v>
      </x:c>
      <x:c r="AL464" s="2" t="s">
        <x:v>1550</x:v>
      </x:c>
      <x:c r="AM464" s="2">
        <x:v>14</x:v>
      </x:c>
      <x:c r="AN464" s="2">
        <x:v>14</x:v>
      </x:c>
    </x:row>
    <x:row r="465" ht="39">
      <x:c r="A465" s="2" t="s">
        <x:v>91</x:v>
      </x:c>
      <x:c r="B465" s="2" t="s">
        <x:v>16</x:v>
      </x:c>
      <x:c r="C465" s="3">
        <x:v>13</x:v>
      </x:c>
      <x:c r="D465" s="2" t="s">
        <x:v>1560</x:v>
      </x:c>
      <x:c r="E465" s="2" t="s">
        <x:v>1555</x:v>
      </x:c>
      <x:c r="F465" s="2" t="s">
        <x:v>1561</x:v>
      </x:c>
      <x:c r="G465" s="2" t="s">
        <x:v>1562</x:v>
      </x:c>
      <x:c r="H465" s="2" t="s">
        <x:v>96</x:v>
      </x:c>
      <x:c r="I465" s="2" t="s">
        <x:v>1557</x:v>
      </x:c>
      <x:c r="J465" s="2" t="s">
        <x:v>364</x:v>
      </x:c>
      <x:c r="K465" s="2" t="n">
        <x:v>12</x:v>
      </x:c>
      <x:c r="L465" s="2" t="s">
        <x:v>1563</x:v>
      </x:c>
      <x:c r="M465" s="2"/>
      <x:c r="N465" s="2"/>
      <x:c r="O465" s="2" t="s">
        <x:v>324</x:v>
      </x:c>
      <x:c r="P465" s="2" t="s">
        <x:v>1564</x:v>
      </x:c>
      <x:c r="Q465" s="2"/>
      <x:c r="R465" s="3">
        <x:v>4</x:v>
      </x:c>
      <x:c r="S465" s="3"/>
      <x:c r="T465" s="2"/>
      <x:c r="U465" s="2"/>
      <x:c r="V465" s="2"/>
      <x:c r="W465" s="2"/>
      <x:c r="X465" s="3"/>
      <x:c r="Y465" s="3"/>
      <x:c r="Z465" s="2"/>
      <x:c r="AA465" s="2"/>
      <x:c r="AB465" s="2"/>
      <x:c r="AC465" s="2" t="s">
        <x:v>374</x:v>
      </x:c>
      <x:c r="AD465" s="2" t="s">
        <x:v>368</x:v>
      </x:c>
      <x:c r="AE465" s="2" t="s">
        <x:v>344</x:v>
      </x:c>
      <x:c r="AF465" s="2" t="s">
        <x:v>319</x:v>
      </x:c>
      <x:c r="AG465" s="2"/>
      <x:c r="AH465" s="2"/>
      <x:c r="AI465" s="4"/>
      <x:c r="AJ465" s="2"/>
      <x:c r="AK465" s="2" t="s">
        <x:v>320</x:v>
      </x:c>
      <x:c r="AL465" s="2" t="s">
        <x:v>1550</x:v>
      </x:c>
      <x:c r="AM465" s="2">
        <x:v>15</x:v>
      </x:c>
      <x:c r="AN465" s="2">
        <x:v>15</x:v>
      </x:c>
    </x:row>
    <x:row r="466" ht="39">
      <x:c r="A466" s="2" t="s">
        <x:v>91</x:v>
      </x:c>
      <x:c r="B466" s="2" t="s">
        <x:v>16</x:v>
      </x:c>
      <x:c r="C466" s="3">
        <x:v>14</x:v>
      </x:c>
      <x:c r="D466" s="2" t="s">
        <x:v>1565</x:v>
      </x:c>
      <x:c r="E466" s="2" t="s">
        <x:v>1555</x:v>
      </x:c>
      <x:c r="F466" s="2" t="s">
        <x:v>1566</x:v>
      </x:c>
      <x:c r="G466" s="2" t="s">
        <x:v>1567</x:v>
      </x:c>
      <x:c r="H466" s="2" t="s">
        <x:v>96</x:v>
      </x:c>
      <x:c r="I466" s="2" t="s">
        <x:v>1557</x:v>
      </x:c>
      <x:c r="J466" s="2" t="s">
        <x:v>364</x:v>
      </x:c>
      <x:c r="K466" s="2" t="n">
        <x:v>12</x:v>
      </x:c>
      <x:c r="L466" s="2" t="s">
        <x:v>1568</x:v>
      </x:c>
      <x:c r="M466" s="2"/>
      <x:c r="N466" s="2"/>
      <x:c r="O466" s="2" t="s">
        <x:v>324</x:v>
      </x:c>
      <x:c r="P466" s="2" t="s">
        <x:v>1569</x:v>
      </x:c>
      <x:c r="Q466" s="2"/>
      <x:c r="R466" s="3">
        <x:v>4</x:v>
      </x:c>
      <x:c r="S466" s="3"/>
      <x:c r="T466" s="2"/>
      <x:c r="U466" s="2"/>
      <x:c r="V466" s="2"/>
      <x:c r="W466" s="2"/>
      <x:c r="X466" s="3"/>
      <x:c r="Y466" s="3"/>
      <x:c r="Z466" s="2"/>
      <x:c r="AA466" s="2"/>
      <x:c r="AB466" s="2"/>
      <x:c r="AC466" s="2" t="s">
        <x:v>367</x:v>
      </x:c>
      <x:c r="AD466" s="2" t="s">
        <x:v>344</x:v>
      </x:c>
      <x:c r="AE466" s="2" t="s">
        <x:v>368</x:v>
      </x:c>
      <x:c r="AF466" s="2" t="s">
        <x:v>319</x:v>
      </x:c>
      <x:c r="AG466" s="2"/>
      <x:c r="AH466" s="2"/>
      <x:c r="AI466" s="4"/>
      <x:c r="AJ466" s="2"/>
      <x:c r="AK466" s="2" t="s">
        <x:v>320</x:v>
      </x:c>
      <x:c r="AL466" s="2" t="s">
        <x:v>1550</x:v>
      </x:c>
      <x:c r="AM466" s="2">
        <x:v>16</x:v>
      </x:c>
      <x:c r="AN466" s="2">
        <x:v>16</x:v>
      </x:c>
    </x:row>
    <x:row r="467" ht="39">
      <x:c r="A467" s="2" t="s">
        <x:v>6</x:v>
      </x:c>
      <x:c r="B467" s="2" t="s">
        <x:v>16</x:v>
      </x:c>
      <x:c r="C467" s="3">
        <x:v>15</x:v>
      </x:c>
      <x:c r="D467" s="2" t="s">
        <x:v>1570</x:v>
      </x:c>
      <x:c r="E467" s="2" t="s">
        <x:v>1555</x:v>
      </x:c>
      <x:c r="F467" s="2" t="s">
        <x:v>1571</x:v>
      </x:c>
      <x:c r="G467" s="2"/>
      <x:c r="H467" s="2" t="s">
        <x:v>96</x:v>
      </x:c>
      <x:c r="I467" s="2" t="s">
        <x:v>1557</x:v>
      </x:c>
      <x:c r="J467" s="2" t="s">
        <x:v>364</x:v>
      </x:c>
      <x:c r="K467" s="2" t="n">
        <x:v>12</x:v>
      </x:c>
      <x:c r="L467" s="2" t="s">
        <x:v>1572</x:v>
      </x:c>
      <x:c r="M467" s="2"/>
      <x:c r="N467" s="2"/>
      <x:c r="O467" s="2" t="s">
        <x:v>324</x:v>
      </x:c>
      <x:c r="P467" s="2" t="s">
        <x:v>1573</x:v>
      </x:c>
      <x:c r="Q467" s="2"/>
      <x:c r="R467" s="3">
        <x:v>4</x:v>
      </x:c>
      <x:c r="S467" s="3"/>
      <x:c r="T467" s="2"/>
      <x:c r="U467" s="2"/>
      <x:c r="V467" s="2"/>
      <x:c r="W467" s="2"/>
      <x:c r="X467" s="3"/>
      <x:c r="Y467" s="3"/>
      <x:c r="Z467" s="2"/>
      <x:c r="AA467" s="2"/>
      <x:c r="AB467" s="2"/>
      <x:c r="AC467" s="2" t="s">
        <x:v>374</x:v>
      </x:c>
      <x:c r="AD467" s="2" t="s">
        <x:v>344</x:v>
      </x:c>
      <x:c r="AE467" s="2" t="s">
        <x:v>368</x:v>
      </x:c>
      <x:c r="AF467" s="2" t="s">
        <x:v>319</x:v>
      </x:c>
      <x:c r="AG467" s="2"/>
      <x:c r="AH467" s="2"/>
      <x:c r="AI467" s="4"/>
      <x:c r="AJ467" s="2"/>
      <x:c r="AK467" s="2" t="s">
        <x:v>320</x:v>
      </x:c>
      <x:c r="AL467" s="2" t="s">
        <x:v>1550</x:v>
      </x:c>
      <x:c r="AM467" s="2">
        <x:v>17</x:v>
      </x:c>
      <x:c r="AN467" s="2">
        <x:v>17</x:v>
      </x:c>
    </x:row>
    <x:row r="468" ht="39">
      <x:c r="A468" s="2" t="s">
        <x:v>6</x:v>
      </x:c>
      <x:c r="B468" s="2" t="s">
        <x:v>16</x:v>
      </x:c>
      <x:c r="C468" s="3">
        <x:v>16</x:v>
      </x:c>
      <x:c r="D468" s="2" t="s">
        <x:v>1574</x:v>
      </x:c>
      <x:c r="E468" s="2" t="s">
        <x:v>1575</x:v>
      </x:c>
      <x:c r="F468" s="2" t="s">
        <x:v>1576</x:v>
      </x:c>
      <x:c r="G468" s="2"/>
      <x:c r="H468" s="2" t="s">
        <x:v>96</x:v>
      </x:c>
      <x:c r="I468" s="2" t="s">
        <x:v>1577</x:v>
      </x:c>
      <x:c r="J468" s="2" t="s">
        <x:v>1578</x:v>
      </x:c>
      <x:c r="K468" s="2"/>
      <x:c r="L468" s="2" t="s">
        <x:v>1579</x:v>
      </x:c>
      <x:c r="M468" s="2"/>
      <x:c r="N468" s="2"/>
      <x:c r="O468" s="2" t="s">
        <x:v>314</x:v>
      </x:c>
      <x:c r="P468" s="2" t="s">
        <x:v>1580</x:v>
      </x:c>
      <x:c r="Q468" s="2"/>
      <x:c r="R468" s="3">
        <x:v>4</x:v>
      </x:c>
      <x:c r="S468" s="3"/>
      <x:c r="T468" s="2"/>
      <x:c r="U468" s="2"/>
      <x:c r="V468" s="2"/>
      <x:c r="W468" s="2"/>
      <x:c r="X468" s="3"/>
      <x:c r="Y468" s="3"/>
      <x:c r="Z468" s="2"/>
      <x:c r="AA468" s="2"/>
      <x:c r="AB468" s="2"/>
      <x:c r="AC468" s="2" t="s">
        <x:v>367</x:v>
      </x:c>
      <x:c r="AD468" s="2" t="s">
        <x:v>317</x:v>
      </x:c>
      <x:c r="AE468" s="2" t="s">
        <x:v>318</x:v>
      </x:c>
      <x:c r="AF468" s="2" t="s">
        <x:v>319</x:v>
      </x:c>
      <x:c r="AG468" s="2"/>
      <x:c r="AH468" s="2"/>
      <x:c r="AI468" s="4"/>
      <x:c r="AJ468" s="2"/>
      <x:c r="AK468" s="2" t="s">
        <x:v>320</x:v>
      </x:c>
      <x:c r="AL468" s="2" t="s">
        <x:v>1550</x:v>
      </x:c>
      <x:c r="AM468" s="2">
        <x:v>18</x:v>
      </x:c>
      <x:c r="AN468" s="2">
        <x:v>18</x:v>
      </x:c>
    </x:row>
    <x:row r="469" ht="39">
      <x:c r="A469" s="2" t="s">
        <x:v>6</x:v>
      </x:c>
      <x:c r="B469" s="2" t="s">
        <x:v>16</x:v>
      </x:c>
      <x:c r="C469" s="3">
        <x:v>17</x:v>
      </x:c>
      <x:c r="D469" s="2" t="s">
        <x:v>1581</x:v>
      </x:c>
      <x:c r="E469" s="2" t="s">
        <x:v>1575</x:v>
      </x:c>
      <x:c r="F469" s="2" t="s">
        <x:v>1582</x:v>
      </x:c>
      <x:c r="G469" s="2"/>
      <x:c r="H469" s="2" t="s">
        <x:v>96</x:v>
      </x:c>
      <x:c r="I469" s="2" t="s">
        <x:v>1577</x:v>
      </x:c>
      <x:c r="J469" s="2" t="s">
        <x:v>1578</x:v>
      </x:c>
      <x:c r="K469" s="2" t="n">
        <x:v>16</x:v>
      </x:c>
      <x:c r="L469" s="2" t="s">
        <x:v>1583</x:v>
      </x:c>
      <x:c r="M469" s="2"/>
      <x:c r="N469" s="2"/>
      <x:c r="O469" s="2" t="s">
        <x:v>324</x:v>
      </x:c>
      <x:c r="P469" s="2" t="s">
        <x:v>1584</x:v>
      </x:c>
      <x:c r="Q469" s="2"/>
      <x:c r="R469" s="3">
        <x:v>4</x:v>
      </x:c>
      <x:c r="S469" s="3"/>
      <x:c r="T469" s="2"/>
      <x:c r="U469" s="2"/>
      <x:c r="V469" s="2"/>
      <x:c r="W469" s="2"/>
      <x:c r="X469" s="3"/>
      <x:c r="Y469" s="3"/>
      <x:c r="Z469" s="2"/>
      <x:c r="AA469" s="2"/>
      <x:c r="AB469" s="2"/>
      <x:c r="AC469" s="2" t="s">
        <x:v>374</x:v>
      </x:c>
      <x:c r="AD469" s="2" t="s">
        <x:v>318</x:v>
      </x:c>
      <x:c r="AE469" s="2" t="s">
        <x:v>317</x:v>
      </x:c>
      <x:c r="AF469" s="2" t="s">
        <x:v>319</x:v>
      </x:c>
      <x:c r="AG469" s="2"/>
      <x:c r="AH469" s="2"/>
      <x:c r="AI469" s="4"/>
      <x:c r="AJ469" s="2"/>
      <x:c r="AK469" s="2" t="s">
        <x:v>320</x:v>
      </x:c>
      <x:c r="AL469" s="2" t="s">
        <x:v>1550</x:v>
      </x:c>
      <x:c r="AM469" s="2">
        <x:v>19</x:v>
      </x:c>
      <x:c r="AN469" s="2">
        <x:v>19</x:v>
      </x:c>
    </x:row>
    <x:row r="470" ht="39">
      <x:c r="A470" s="2" t="s">
        <x:v>6</x:v>
      </x:c>
      <x:c r="B470" s="2" t="s">
        <x:v>16</x:v>
      </x:c>
      <x:c r="C470" s="3">
        <x:v>18</x:v>
      </x:c>
      <x:c r="D470" s="2" t="s">
        <x:v>1585</x:v>
      </x:c>
      <x:c r="E470" s="2" t="s">
        <x:v>1575</x:v>
      </x:c>
      <x:c r="F470" s="2" t="s">
        <x:v>1586</x:v>
      </x:c>
      <x:c r="G470" s="2"/>
      <x:c r="H470" s="2" t="s">
        <x:v>96</x:v>
      </x:c>
      <x:c r="I470" s="2" t="s">
        <x:v>1577</x:v>
      </x:c>
      <x:c r="J470" s="2" t="s">
        <x:v>1578</x:v>
      </x:c>
      <x:c r="K470" s="2" t="n">
        <x:v>16</x:v>
      </x:c>
      <x:c r="L470" s="2" t="s">
        <x:v>1587</x:v>
      </x:c>
      <x:c r="M470" s="2"/>
      <x:c r="N470" s="2"/>
      <x:c r="O470" s="2" t="s">
        <x:v>324</x:v>
      </x:c>
      <x:c r="P470" s="2" t="s">
        <x:v>1588</x:v>
      </x:c>
      <x:c r="Q470" s="2"/>
      <x:c r="R470" s="3">
        <x:v>4</x:v>
      </x:c>
      <x:c r="S470" s="3"/>
      <x:c r="T470" s="2"/>
      <x:c r="U470" s="2"/>
      <x:c r="V470" s="2"/>
      <x:c r="W470" s="2"/>
      <x:c r="X470" s="3"/>
      <x:c r="Y470" s="3"/>
      <x:c r="Z470" s="2"/>
      <x:c r="AA470" s="2"/>
      <x:c r="AB470" s="2"/>
      <x:c r="AC470" s="2" t="s">
        <x:v>316</x:v>
      </x:c>
      <x:c r="AD470" s="2" t="s">
        <x:v>368</x:v>
      </x:c>
      <x:c r="AE470" s="2" t="s">
        <x:v>344</x:v>
      </x:c>
      <x:c r="AF470" s="2" t="s">
        <x:v>319</x:v>
      </x:c>
      <x:c r="AG470" s="2"/>
      <x:c r="AH470" s="2"/>
      <x:c r="AI470" s="4"/>
      <x:c r="AJ470" s="2"/>
      <x:c r="AK470" s="2" t="s">
        <x:v>320</x:v>
      </x:c>
      <x:c r="AL470" s="2" t="s">
        <x:v>1550</x:v>
      </x:c>
      <x:c r="AM470" s="2">
        <x:v>20</x:v>
      </x:c>
      <x:c r="AN470" s="2">
        <x:v>20</x:v>
      </x:c>
    </x:row>
    <x:row r="471" ht="39">
      <x:c r="A471" s="2" t="s">
        <x:v>6</x:v>
      </x:c>
      <x:c r="B471" s="2" t="s">
        <x:v>16</x:v>
      </x:c>
      <x:c r="C471" s="3">
        <x:v>19</x:v>
      </x:c>
      <x:c r="D471" s="2" t="s">
        <x:v>1589</x:v>
      </x:c>
      <x:c r="E471" s="2" t="s">
        <x:v>1575</x:v>
      </x:c>
      <x:c r="F471" s="2" t="s">
        <x:v>1590</x:v>
      </x:c>
      <x:c r="G471" s="2"/>
      <x:c r="H471" s="2" t="s">
        <x:v>96</x:v>
      </x:c>
      <x:c r="I471" s="2" t="s">
        <x:v>1577</x:v>
      </x:c>
      <x:c r="J471" s="2" t="s">
        <x:v>1578</x:v>
      </x:c>
      <x:c r="K471" s="2" t="n">
        <x:v>16</x:v>
      </x:c>
      <x:c r="L471" s="2" t="s">
        <x:v>1591</x:v>
      </x:c>
      <x:c r="M471" s="2"/>
      <x:c r="N471" s="2"/>
      <x:c r="O471" s="2" t="s">
        <x:v>324</x:v>
      </x:c>
      <x:c r="P471" s="2" t="s">
        <x:v>1592</x:v>
      </x:c>
      <x:c r="Q471" s="2"/>
      <x:c r="R471" s="3">
        <x:v>4</x:v>
      </x:c>
      <x:c r="S471" s="3"/>
      <x:c r="T471" s="2"/>
      <x:c r="U471" s="2"/>
      <x:c r="V471" s="2"/>
      <x:c r="W471" s="2"/>
      <x:c r="X471" s="3"/>
      <x:c r="Y471" s="3"/>
      <x:c r="Z471" s="2"/>
      <x:c r="AA471" s="2"/>
      <x:c r="AB471" s="2"/>
      <x:c r="AC471" s="2" t="s">
        <x:v>326</x:v>
      </x:c>
      <x:c r="AD471" s="2" t="s">
        <x:v>344</x:v>
      </x:c>
      <x:c r="AE471" s="2" t="s">
        <x:v>368</x:v>
      </x:c>
      <x:c r="AF471" s="2" t="s">
        <x:v>319</x:v>
      </x:c>
      <x:c r="AG471" s="2"/>
      <x:c r="AH471" s="2"/>
      <x:c r="AI471" s="4"/>
      <x:c r="AJ471" s="2"/>
      <x:c r="AK471" s="2" t="s">
        <x:v>320</x:v>
      </x:c>
      <x:c r="AL471" s="2" t="s">
        <x:v>1550</x:v>
      </x:c>
      <x:c r="AM471" s="2">
        <x:v>21</x:v>
      </x:c>
      <x:c r="AN471" s="2">
        <x:v>21</x:v>
      </x:c>
    </x:row>
    <x:row r="472" ht="52">
      <x:c r="A472" s="2" t="s">
        <x:v>91</x:v>
      </x:c>
      <x:c r="B472" s="2" t="s">
        <x:v>16</x:v>
      </x:c>
      <x:c r="C472" s="3">
        <x:v>20</x:v>
      </x:c>
      <x:c r="D472" s="2" t="s">
        <x:v>1593</x:v>
      </x:c>
      <x:c r="E472" s="2" t="s">
        <x:v>1594</x:v>
      </x:c>
      <x:c r="F472" s="2" t="s">
        <x:v>1595</x:v>
      </x:c>
      <x:c r="G472" s="2" t="s">
        <x:v>1596</x:v>
      </x:c>
      <x:c r="H472" s="2" t="s">
        <x:v>618</x:v>
      </x:c>
      <x:c r="I472" s="2" t="s">
        <x:v>1597</x:v>
      </x:c>
      <x:c r="J472" s="2" t="s">
        <x:v>1598</x:v>
      </x:c>
      <x:c r="K472" s="2"/>
      <x:c r="L472" s="2" t="s">
        <x:v>1599</x:v>
      </x:c>
      <x:c r="M472" s="2"/>
      <x:c r="N472" s="2"/>
      <x:c r="O472" s="2" t="s">
        <x:v>1600</x:v>
      </x:c>
      <x:c r="P472" s="2" t="s">
        <x:v>1601</x:v>
      </x:c>
      <x:c r="Q472" s="2"/>
      <x:c r="R472" s="3">
        <x:v>3</x:v>
      </x:c>
      <x:c r="S472" s="3"/>
      <x:c r="T472" s="2"/>
      <x:c r="U472" s="2"/>
      <x:c r="V472" s="2"/>
      <x:c r="W472" s="2"/>
      <x:c r="X472" s="3"/>
      <x:c r="Y472" s="3"/>
      <x:c r="Z472" s="2"/>
      <x:c r="AA472" s="2"/>
      <x:c r="AB472" s="2"/>
      <x:c r="AC472" s="2" t="s">
        <x:v>316</x:v>
      </x:c>
      <x:c r="AD472" s="2" t="s">
        <x:v>317</x:v>
      </x:c>
      <x:c r="AE472" s="2" t="s">
        <x:v>368</x:v>
      </x:c>
      <x:c r="AF472" s="2" t="s">
        <x:v>319</x:v>
      </x:c>
      <x:c r="AG472" s="2"/>
      <x:c r="AH472" s="2"/>
      <x:c r="AI472" s="4"/>
      <x:c r="AJ472" s="2"/>
      <x:c r="AK472" s="2" t="s">
        <x:v>320</x:v>
      </x:c>
      <x:c r="AL472" s="2" t="s">
        <x:v>1550</x:v>
      </x:c>
      <x:c r="AM472" s="2">
        <x:v>22</x:v>
      </x:c>
      <x:c r="AN472" s="2">
        <x:v>22</x:v>
      </x:c>
    </x:row>
    <x:row r="473" ht="52">
      <x:c r="A473" s="2" t="s">
        <x:v>6</x:v>
      </x:c>
      <x:c r="B473" s="2" t="s">
        <x:v>16</x:v>
      </x:c>
      <x:c r="C473" s="3">
        <x:v>21</x:v>
      </x:c>
      <x:c r="D473" s="2" t="s">
        <x:v>1602</x:v>
      </x:c>
      <x:c r="E473" s="2" t="s">
        <x:v>1594</x:v>
      </x:c>
      <x:c r="F473" s="2" t="s">
        <x:v>1603</x:v>
      </x:c>
      <x:c r="G473" s="2"/>
      <x:c r="H473" s="2" t="s">
        <x:v>618</x:v>
      </x:c>
      <x:c r="I473" s="2" t="s">
        <x:v>1597</x:v>
      </x:c>
      <x:c r="J473" s="2" t="s">
        <x:v>1598</x:v>
      </x:c>
      <x:c r="K473" s="2" t="n">
        <x:v>20</x:v>
      </x:c>
      <x:c r="L473" s="2" t="s">
        <x:v>1604</x:v>
      </x:c>
      <x:c r="M473" s="2"/>
      <x:c r="N473" s="2"/>
      <x:c r="O473" s="2" t="s">
        <x:v>1605</x:v>
      </x:c>
      <x:c r="P473" s="2" t="s">
        <x:v>1606</x:v>
      </x:c>
      <x:c r="Q473" s="2"/>
      <x:c r="R473" s="3">
        <x:v>3</x:v>
      </x:c>
      <x:c r="S473" s="3"/>
      <x:c r="T473" s="2"/>
      <x:c r="U473" s="2"/>
      <x:c r="V473" s="2"/>
      <x:c r="W473" s="2"/>
      <x:c r="X473" s="3"/>
      <x:c r="Y473" s="3"/>
      <x:c r="Z473" s="2"/>
      <x:c r="AA473" s="2"/>
      <x:c r="AB473" s="2"/>
      <x:c r="AC473" s="2" t="s">
        <x:v>326</x:v>
      </x:c>
      <x:c r="AD473" s="2" t="s">
        <x:v>317</x:v>
      </x:c>
      <x:c r="AE473" s="2" t="s">
        <x:v>368</x:v>
      </x:c>
      <x:c r="AF473" s="2" t="s">
        <x:v>319</x:v>
      </x:c>
      <x:c r="AG473" s="2"/>
      <x:c r="AH473" s="2"/>
      <x:c r="AI473" s="4"/>
      <x:c r="AJ473" s="2"/>
      <x:c r="AK473" s="2" t="s">
        <x:v>320</x:v>
      </x:c>
      <x:c r="AL473" s="2" t="s">
        <x:v>1550</x:v>
      </x:c>
      <x:c r="AM473" s="2">
        <x:v>23</x:v>
      </x:c>
      <x:c r="AN473" s="2">
        <x:v>23</x:v>
      </x:c>
    </x:row>
    <x:row r="474" ht="52">
      <x:c r="A474" s="2" t="s">
        <x:v>6</x:v>
      </x:c>
      <x:c r="B474" s="2" t="s">
        <x:v>16</x:v>
      </x:c>
      <x:c r="C474" s="3">
        <x:v>22</x:v>
      </x:c>
      <x:c r="D474" s="2" t="s">
        <x:v>1607</x:v>
      </x:c>
      <x:c r="E474" s="2" t="s">
        <x:v>1594</x:v>
      </x:c>
      <x:c r="F474" s="2" t="s">
        <x:v>1608</x:v>
      </x:c>
      <x:c r="G474" s="2"/>
      <x:c r="H474" s="2" t="s">
        <x:v>618</x:v>
      </x:c>
      <x:c r="I474" s="2" t="s">
        <x:v>1597</x:v>
      </x:c>
      <x:c r="J474" s="2" t="s">
        <x:v>1598</x:v>
      </x:c>
      <x:c r="K474" s="2" t="n">
        <x:v>20</x:v>
      </x:c>
      <x:c r="L474" s="2" t="s">
        <x:v>1609</x:v>
      </x:c>
      <x:c r="M474" s="2"/>
      <x:c r="N474" s="2"/>
      <x:c r="O474" s="2" t="s">
        <x:v>1605</x:v>
      </x:c>
      <x:c r="P474" s="2" t="s">
        <x:v>1610</x:v>
      </x:c>
      <x:c r="Q474" s="2"/>
      <x:c r="R474" s="3">
        <x:v>3</x:v>
      </x:c>
      <x:c r="S474" s="3"/>
      <x:c r="T474" s="2"/>
      <x:c r="U474" s="2"/>
      <x:c r="V474" s="2"/>
      <x:c r="W474" s="2"/>
      <x:c r="X474" s="3"/>
      <x:c r="Y474" s="3"/>
      <x:c r="Z474" s="2"/>
      <x:c r="AA474" s="2"/>
      <x:c r="AB474" s="2"/>
      <x:c r="AC474" s="2" t="s">
        <x:v>316</x:v>
      </x:c>
      <x:c r="AD474" s="2" t="s">
        <x:v>368</x:v>
      </x:c>
      <x:c r="AE474" s="2" t="s">
        <x:v>317</x:v>
      </x:c>
      <x:c r="AF474" s="2" t="s">
        <x:v>319</x:v>
      </x:c>
      <x:c r="AG474" s="2"/>
      <x:c r="AH474" s="2"/>
      <x:c r="AI474" s="4"/>
      <x:c r="AJ474" s="2"/>
      <x:c r="AK474" s="2" t="s">
        <x:v>320</x:v>
      </x:c>
      <x:c r="AL474" s="2" t="s">
        <x:v>1550</x:v>
      </x:c>
      <x:c r="AM474" s="2">
        <x:v>24</x:v>
      </x:c>
      <x:c r="AN474" s="2">
        <x:v>24</x:v>
      </x:c>
    </x:row>
    <x:row r="475" ht="52">
      <x:c r="A475" s="2" t="s">
        <x:v>6</x:v>
      </x:c>
      <x:c r="B475" s="2" t="s">
        <x:v>16</x:v>
      </x:c>
      <x:c r="C475" s="3">
        <x:v>23</x:v>
      </x:c>
      <x:c r="D475" s="2" t="s">
        <x:v>1611</x:v>
      </x:c>
      <x:c r="E475" s="2" t="s">
        <x:v>1594</x:v>
      </x:c>
      <x:c r="F475" s="2" t="s">
        <x:v>1612</x:v>
      </x:c>
      <x:c r="G475" s="2"/>
      <x:c r="H475" s="2" t="s">
        <x:v>618</x:v>
      </x:c>
      <x:c r="I475" s="2" t="s">
        <x:v>1597</x:v>
      </x:c>
      <x:c r="J475" s="2" t="s">
        <x:v>1598</x:v>
      </x:c>
      <x:c r="K475" s="2" t="n">
        <x:v>20</x:v>
      </x:c>
      <x:c r="L475" s="2" t="s">
        <x:v>1613</x:v>
      </x:c>
      <x:c r="M475" s="2"/>
      <x:c r="N475" s="2"/>
      <x:c r="O475" s="2" t="s">
        <x:v>1605</x:v>
      </x:c>
      <x:c r="P475" s="2" t="s">
        <x:v>1614</x:v>
      </x:c>
      <x:c r="Q475" s="2"/>
      <x:c r="R475" s="3">
        <x:v>3</x:v>
      </x:c>
      <x:c r="S475" s="3"/>
      <x:c r="T475" s="2"/>
      <x:c r="U475" s="2"/>
      <x:c r="V475" s="2"/>
      <x:c r="W475" s="2"/>
      <x:c r="X475" s="3"/>
      <x:c r="Y475" s="3"/>
      <x:c r="Z475" s="2"/>
      <x:c r="AA475" s="2"/>
      <x:c r="AB475" s="2"/>
      <x:c r="AC475" s="2" t="s">
        <x:v>326</x:v>
      </x:c>
      <x:c r="AD475" s="2" t="s">
        <x:v>368</x:v>
      </x:c>
      <x:c r="AE475" s="2" t="s">
        <x:v>317</x:v>
      </x:c>
      <x:c r="AF475" s="2" t="s">
        <x:v>319</x:v>
      </x:c>
      <x:c r="AG475" s="2"/>
      <x:c r="AH475" s="2"/>
      <x:c r="AI475" s="4"/>
      <x:c r="AJ475" s="2"/>
      <x:c r="AK475" s="2" t="s">
        <x:v>320</x:v>
      </x:c>
      <x:c r="AL475" s="2" t="s">
        <x:v>1550</x:v>
      </x:c>
      <x:c r="AM475" s="2">
        <x:v>25</x:v>
      </x:c>
      <x:c r="AN475" s="2">
        <x:v>25</x:v>
      </x:c>
    </x:row>
    <x:row r="476" ht="52">
      <x:c r="A476" s="2" t="s">
        <x:v>6</x:v>
      </x:c>
      <x:c r="B476" s="2" t="s">
        <x:v>16</x:v>
      </x:c>
      <x:c r="C476" s="3">
        <x:v>24</x:v>
      </x:c>
      <x:c r="D476" s="2" t="s">
        <x:v>1593</x:v>
      </x:c>
      <x:c r="E476" s="2" t="s">
        <x:v>1615</x:v>
      </x:c>
      <x:c r="F476" s="2" t="s">
        <x:v>1595</x:v>
      </x:c>
      <x:c r="G476" s="2"/>
      <x:c r="H476" s="2" t="s">
        <x:v>618</x:v>
      </x:c>
      <x:c r="I476" s="2" t="s">
        <x:v>1616</x:v>
      </x:c>
      <x:c r="J476" s="2" t="s">
        <x:v>1598</x:v>
      </x:c>
      <x:c r="K476" s="2"/>
      <x:c r="L476" s="2" t="s">
        <x:v>1617</x:v>
      </x:c>
      <x:c r="M476" s="2"/>
      <x:c r="N476" s="2"/>
      <x:c r="O476" s="2" t="s">
        <x:v>1600</x:v>
      </x:c>
      <x:c r="P476" s="2" t="s">
        <x:v>1618</x:v>
      </x:c>
      <x:c r="Q476" s="2"/>
      <x:c r="R476" s="3">
        <x:v>4</x:v>
      </x:c>
      <x:c r="S476" s="3"/>
      <x:c r="T476" s="2"/>
      <x:c r="U476" s="2"/>
      <x:c r="V476" s="2"/>
      <x:c r="W476" s="2"/>
      <x:c r="X476" s="3"/>
      <x:c r="Y476" s="3"/>
      <x:c r="Z476" s="2"/>
      <x:c r="AA476" s="2"/>
      <x:c r="AB476" s="2"/>
      <x:c r="AC476" s="2" t="s">
        <x:v>316</x:v>
      </x:c>
      <x:c r="AD476" s="2" t="s">
        <x:v>317</x:v>
      </x:c>
      <x:c r="AE476" s="2" t="s">
        <x:v>368</x:v>
      </x:c>
      <x:c r="AF476" s="2" t="s">
        <x:v>319</x:v>
      </x:c>
      <x:c r="AG476" s="2"/>
      <x:c r="AH476" s="2"/>
      <x:c r="AI476" s="4"/>
      <x:c r="AJ476" s="2"/>
      <x:c r="AK476" s="2" t="s">
        <x:v>320</x:v>
      </x:c>
      <x:c r="AL476" s="2" t="s">
        <x:v>1550</x:v>
      </x:c>
      <x:c r="AM476" s="2">
        <x:v>26</x:v>
      </x:c>
      <x:c r="AN476" s="2">
        <x:v>26</x:v>
      </x:c>
    </x:row>
    <x:row r="477" ht="52">
      <x:c r="A477" s="2" t="s">
        <x:v>6</x:v>
      </x:c>
      <x:c r="B477" s="2" t="s">
        <x:v>16</x:v>
      </x:c>
      <x:c r="C477" s="3">
        <x:v>25</x:v>
      </x:c>
      <x:c r="D477" s="2" t="s">
        <x:v>1602</x:v>
      </x:c>
      <x:c r="E477" s="2" t="s">
        <x:v>1615</x:v>
      </x:c>
      <x:c r="F477" s="2" t="s">
        <x:v>1603</x:v>
      </x:c>
      <x:c r="G477" s="2"/>
      <x:c r="H477" s="2" t="s">
        <x:v>618</x:v>
      </x:c>
      <x:c r="I477" s="2" t="s">
        <x:v>1616</x:v>
      </x:c>
      <x:c r="J477" s="2" t="s">
        <x:v>1598</x:v>
      </x:c>
      <x:c r="K477" s="2" t="n">
        <x:v>24</x:v>
      </x:c>
      <x:c r="L477" s="2" t="s">
        <x:v>1619</x:v>
      </x:c>
      <x:c r="M477" s="2"/>
      <x:c r="N477" s="2"/>
      <x:c r="O477" s="2" t="s">
        <x:v>1605</x:v>
      </x:c>
      <x:c r="P477" s="2" t="s">
        <x:v>1620</x:v>
      </x:c>
      <x:c r="Q477" s="2"/>
      <x:c r="R477" s="3">
        <x:v>4</x:v>
      </x:c>
      <x:c r="S477" s="3"/>
      <x:c r="T477" s="2"/>
      <x:c r="U477" s="2"/>
      <x:c r="V477" s="2"/>
      <x:c r="W477" s="2"/>
      <x:c r="X477" s="3"/>
      <x:c r="Y477" s="3"/>
      <x:c r="Z477" s="2"/>
      <x:c r="AA477" s="2"/>
      <x:c r="AB477" s="2"/>
      <x:c r="AC477" s="2" t="s">
        <x:v>326</x:v>
      </x:c>
      <x:c r="AD477" s="2" t="s">
        <x:v>317</x:v>
      </x:c>
      <x:c r="AE477" s="2" t="s">
        <x:v>368</x:v>
      </x:c>
      <x:c r="AF477" s="2" t="s">
        <x:v>319</x:v>
      </x:c>
      <x:c r="AG477" s="2"/>
      <x:c r="AH477" s="2"/>
      <x:c r="AI477" s="4"/>
      <x:c r="AJ477" s="2"/>
      <x:c r="AK477" s="2" t="s">
        <x:v>320</x:v>
      </x:c>
      <x:c r="AL477" s="2" t="s">
        <x:v>1550</x:v>
      </x:c>
      <x:c r="AM477" s="2">
        <x:v>27</x:v>
      </x:c>
      <x:c r="AN477" s="2">
        <x:v>27</x:v>
      </x:c>
    </x:row>
    <x:row r="478" ht="52">
      <x:c r="A478" s="2" t="s">
        <x:v>6</x:v>
      </x:c>
      <x:c r="B478" s="2" t="s">
        <x:v>16</x:v>
      </x:c>
      <x:c r="C478" s="3">
        <x:v>26</x:v>
      </x:c>
      <x:c r="D478" s="2" t="s">
        <x:v>1607</x:v>
      </x:c>
      <x:c r="E478" s="2" t="s">
        <x:v>1615</x:v>
      </x:c>
      <x:c r="F478" s="2" t="s">
        <x:v>1608</x:v>
      </x:c>
      <x:c r="G478" s="2"/>
      <x:c r="H478" s="2" t="s">
        <x:v>618</x:v>
      </x:c>
      <x:c r="I478" s="2" t="s">
        <x:v>1616</x:v>
      </x:c>
      <x:c r="J478" s="2" t="s">
        <x:v>1598</x:v>
      </x:c>
      <x:c r="K478" s="2" t="n">
        <x:v>24</x:v>
      </x:c>
      <x:c r="L478" s="2" t="s">
        <x:v>1621</x:v>
      </x:c>
      <x:c r="M478" s="2"/>
      <x:c r="N478" s="2"/>
      <x:c r="O478" s="2" t="s">
        <x:v>1605</x:v>
      </x:c>
      <x:c r="P478" s="2" t="s">
        <x:v>1622</x:v>
      </x:c>
      <x:c r="Q478" s="2"/>
      <x:c r="R478" s="3">
        <x:v>4</x:v>
      </x:c>
      <x:c r="S478" s="3"/>
      <x:c r="T478" s="2"/>
      <x:c r="U478" s="2"/>
      <x:c r="V478" s="2"/>
      <x:c r="W478" s="2"/>
      <x:c r="X478" s="3"/>
      <x:c r="Y478" s="3"/>
      <x:c r="Z478" s="2"/>
      <x:c r="AA478" s="2"/>
      <x:c r="AB478" s="2"/>
      <x:c r="AC478" s="2" t="s">
        <x:v>316</x:v>
      </x:c>
      <x:c r="AD478" s="2" t="s">
        <x:v>368</x:v>
      </x:c>
      <x:c r="AE478" s="2" t="s">
        <x:v>317</x:v>
      </x:c>
      <x:c r="AF478" s="2" t="s">
        <x:v>319</x:v>
      </x:c>
      <x:c r="AG478" s="2"/>
      <x:c r="AH478" s="2"/>
      <x:c r="AI478" s="4"/>
      <x:c r="AJ478" s="2"/>
      <x:c r="AK478" s="2" t="s">
        <x:v>320</x:v>
      </x:c>
      <x:c r="AL478" s="2" t="s">
        <x:v>1550</x:v>
      </x:c>
      <x:c r="AM478" s="2">
        <x:v>28</x:v>
      </x:c>
      <x:c r="AN478" s="2">
        <x:v>28</x:v>
      </x:c>
    </x:row>
    <x:row r="479" ht="52">
      <x:c r="A479" s="2" t="s">
        <x:v>6</x:v>
      </x:c>
      <x:c r="B479" s="2" t="s">
        <x:v>16</x:v>
      </x:c>
      <x:c r="C479" s="3">
        <x:v>27</x:v>
      </x:c>
      <x:c r="D479" s="2" t="s">
        <x:v>1611</x:v>
      </x:c>
      <x:c r="E479" s="2" t="s">
        <x:v>1615</x:v>
      </x:c>
      <x:c r="F479" s="2" t="s">
        <x:v>1612</x:v>
      </x:c>
      <x:c r="G479" s="2" t="s">
        <x:v>1623</x:v>
      </x:c>
      <x:c r="H479" s="2" t="s">
        <x:v>618</x:v>
      </x:c>
      <x:c r="I479" s="2" t="s">
        <x:v>1616</x:v>
      </x:c>
      <x:c r="J479" s="2" t="s">
        <x:v>1598</x:v>
      </x:c>
      <x:c r="K479" s="2" t="n">
        <x:v>24</x:v>
      </x:c>
      <x:c r="L479" s="2" t="s">
        <x:v>1624</x:v>
      </x:c>
      <x:c r="M479" s="2"/>
      <x:c r="N479" s="2"/>
      <x:c r="O479" s="2" t="s">
        <x:v>1605</x:v>
      </x:c>
      <x:c r="P479" s="2" t="s">
        <x:v>1625</x:v>
      </x:c>
      <x:c r="Q479" s="2"/>
      <x:c r="R479" s="3">
        <x:v>4</x:v>
      </x:c>
      <x:c r="S479" s="3"/>
      <x:c r="T479" s="2"/>
      <x:c r="U479" s="2"/>
      <x:c r="V479" s="2"/>
      <x:c r="W479" s="2"/>
      <x:c r="X479" s="3"/>
      <x:c r="Y479" s="3"/>
      <x:c r="Z479" s="2"/>
      <x:c r="AA479" s="2"/>
      <x:c r="AB479" s="2"/>
      <x:c r="AC479" s="2" t="s">
        <x:v>326</x:v>
      </x:c>
      <x:c r="AD479" s="2" t="s">
        <x:v>368</x:v>
      </x:c>
      <x:c r="AE479" s="2" t="s">
        <x:v>317</x:v>
      </x:c>
      <x:c r="AF479" s="2" t="s">
        <x:v>319</x:v>
      </x:c>
      <x:c r="AG479" s="2"/>
      <x:c r="AH479" s="2"/>
      <x:c r="AI479" s="4"/>
      <x:c r="AJ479" s="2"/>
      <x:c r="AK479" s="2" t="s">
        <x:v>320</x:v>
      </x:c>
      <x:c r="AL479" s="2" t="s">
        <x:v>1550</x:v>
      </x:c>
      <x:c r="AM479" s="2">
        <x:v>29</x:v>
      </x:c>
      <x:c r="AN479" s="2">
        <x:v>29</x:v>
      </x:c>
    </x:row>
    <x:row r="480" ht="52">
      <x:c r="A480" s="2" t="s">
        <x:v>6</x:v>
      </x:c>
      <x:c r="B480" s="2" t="s">
        <x:v>16</x:v>
      </x:c>
      <x:c r="C480" s="3">
        <x:v>28</x:v>
      </x:c>
      <x:c r="D480" s="2" t="s">
        <x:v>1593</x:v>
      </x:c>
      <x:c r="E480" s="2" t="s">
        <x:v>1594</x:v>
      </x:c>
      <x:c r="F480" s="2" t="s">
        <x:v>1595</x:v>
      </x:c>
      <x:c r="G480" s="2"/>
      <x:c r="H480" s="2" t="s">
        <x:v>618</x:v>
      </x:c>
      <x:c r="I480" s="2" t="s">
        <x:v>1626</x:v>
      </x:c>
      <x:c r="J480" s="2" t="s">
        <x:v>1598</x:v>
      </x:c>
      <x:c r="K480" s="2"/>
      <x:c r="L480" s="2" t="s">
        <x:v>1627</x:v>
      </x:c>
      <x:c r="M480" s="2"/>
      <x:c r="N480" s="2"/>
      <x:c r="O480" s="2" t="s">
        <x:v>1600</x:v>
      </x:c>
      <x:c r="P480" s="2" t="s">
        <x:v>1628</x:v>
      </x:c>
      <x:c r="Q480" s="2"/>
      <x:c r="R480" s="3">
        <x:v>3</x:v>
      </x:c>
      <x:c r="S480" s="3"/>
      <x:c r="T480" s="2"/>
      <x:c r="U480" s="2"/>
      <x:c r="V480" s="2"/>
      <x:c r="W480" s="2"/>
      <x:c r="X480" s="3"/>
      <x:c r="Y480" s="3"/>
      <x:c r="Z480" s="2"/>
      <x:c r="AA480" s="2"/>
      <x:c r="AB480" s="2"/>
      <x:c r="AC480" s="2" t="s">
        <x:v>316</x:v>
      </x:c>
      <x:c r="AD480" s="2" t="s">
        <x:v>317</x:v>
      </x:c>
      <x:c r="AE480" s="2" t="s">
        <x:v>368</x:v>
      </x:c>
      <x:c r="AF480" s="2" t="s">
        <x:v>319</x:v>
      </x:c>
      <x:c r="AG480" s="2"/>
      <x:c r="AH480" s="2"/>
      <x:c r="AI480" s="4"/>
      <x:c r="AJ480" s="2"/>
      <x:c r="AK480" s="2" t="s">
        <x:v>320</x:v>
      </x:c>
      <x:c r="AL480" s="2" t="s">
        <x:v>1550</x:v>
      </x:c>
      <x:c r="AM480" s="2">
        <x:v>30</x:v>
      </x:c>
      <x:c r="AN480" s="2">
        <x:v>30</x:v>
      </x:c>
    </x:row>
    <x:row r="481" ht="52">
      <x:c r="A481" s="2" t="s">
        <x:v>91</x:v>
      </x:c>
      <x:c r="B481" s="2" t="s">
        <x:v>16</x:v>
      </x:c>
      <x:c r="C481" s="3">
        <x:v>29</x:v>
      </x:c>
      <x:c r="D481" s="2" t="s">
        <x:v>1602</x:v>
      </x:c>
      <x:c r="E481" s="2" t="s">
        <x:v>1594</x:v>
      </x:c>
      <x:c r="F481" s="2" t="s">
        <x:v>1603</x:v>
      </x:c>
      <x:c r="G481" s="2" t="s">
        <x:v>1629</x:v>
      </x:c>
      <x:c r="H481" s="2" t="s">
        <x:v>618</x:v>
      </x:c>
      <x:c r="I481" s="2" t="s">
        <x:v>1626</x:v>
      </x:c>
      <x:c r="J481" s="2" t="s">
        <x:v>1598</x:v>
      </x:c>
      <x:c r="K481" s="2" t="n">
        <x:v>28</x:v>
      </x:c>
      <x:c r="L481" s="2" t="s">
        <x:v>1630</x:v>
      </x:c>
      <x:c r="M481" s="2"/>
      <x:c r="N481" s="2"/>
      <x:c r="O481" s="2" t="s">
        <x:v>1605</x:v>
      </x:c>
      <x:c r="P481" s="2" t="s">
        <x:v>1631</x:v>
      </x:c>
      <x:c r="Q481" s="2"/>
      <x:c r="R481" s="3">
        <x:v>3</x:v>
      </x:c>
      <x:c r="S481" s="3"/>
      <x:c r="T481" s="2"/>
      <x:c r="U481" s="2"/>
      <x:c r="V481" s="2"/>
      <x:c r="W481" s="2"/>
      <x:c r="X481" s="3"/>
      <x:c r="Y481" s="3"/>
      <x:c r="Z481" s="2"/>
      <x:c r="AA481" s="2"/>
      <x:c r="AB481" s="2"/>
      <x:c r="AC481" s="2" t="s">
        <x:v>326</x:v>
      </x:c>
      <x:c r="AD481" s="2" t="s">
        <x:v>317</x:v>
      </x:c>
      <x:c r="AE481" s="2" t="s">
        <x:v>368</x:v>
      </x:c>
      <x:c r="AF481" s="2" t="s">
        <x:v>319</x:v>
      </x:c>
      <x:c r="AG481" s="2"/>
      <x:c r="AH481" s="2"/>
      <x:c r="AI481" s="4"/>
      <x:c r="AJ481" s="2"/>
      <x:c r="AK481" s="2" t="s">
        <x:v>320</x:v>
      </x:c>
      <x:c r="AL481" s="2" t="s">
        <x:v>1550</x:v>
      </x:c>
      <x:c r="AM481" s="2">
        <x:v>31</x:v>
      </x:c>
      <x:c r="AN481" s="2">
        <x:v>31</x:v>
      </x:c>
    </x:row>
    <x:row r="482" ht="52">
      <x:c r="A482" s="2" t="s">
        <x:v>6</x:v>
      </x:c>
      <x:c r="B482" s="2" t="s">
        <x:v>16</x:v>
      </x:c>
      <x:c r="C482" s="3">
        <x:v>30</x:v>
      </x:c>
      <x:c r="D482" s="2" t="s">
        <x:v>1607</x:v>
      </x:c>
      <x:c r="E482" s="2" t="s">
        <x:v>1594</x:v>
      </x:c>
      <x:c r="F482" s="2" t="s">
        <x:v>1608</x:v>
      </x:c>
      <x:c r="G482" s="2"/>
      <x:c r="H482" s="2" t="s">
        <x:v>618</x:v>
      </x:c>
      <x:c r="I482" s="2" t="s">
        <x:v>1626</x:v>
      </x:c>
      <x:c r="J482" s="2" t="s">
        <x:v>1598</x:v>
      </x:c>
      <x:c r="K482" s="2" t="n">
        <x:v>28</x:v>
      </x:c>
      <x:c r="L482" s="2" t="s">
        <x:v>1632</x:v>
      </x:c>
      <x:c r="M482" s="2"/>
      <x:c r="N482" s="2"/>
      <x:c r="O482" s="2" t="s">
        <x:v>1605</x:v>
      </x:c>
      <x:c r="P482" s="2" t="s">
        <x:v>1633</x:v>
      </x:c>
      <x:c r="Q482" s="2"/>
      <x:c r="R482" s="3">
        <x:v>3</x:v>
      </x:c>
      <x:c r="S482" s="3"/>
      <x:c r="T482" s="2"/>
      <x:c r="U482" s="2"/>
      <x:c r="V482" s="2"/>
      <x:c r="W482" s="2"/>
      <x:c r="X482" s="3"/>
      <x:c r="Y482" s="3"/>
      <x:c r="Z482" s="2"/>
      <x:c r="AA482" s="2"/>
      <x:c r="AB482" s="2"/>
      <x:c r="AC482" s="2" t="s">
        <x:v>316</x:v>
      </x:c>
      <x:c r="AD482" s="2" t="s">
        <x:v>368</x:v>
      </x:c>
      <x:c r="AE482" s="2" t="s">
        <x:v>317</x:v>
      </x:c>
      <x:c r="AF482" s="2" t="s">
        <x:v>319</x:v>
      </x:c>
      <x:c r="AG482" s="2"/>
      <x:c r="AH482" s="2"/>
      <x:c r="AI482" s="4"/>
      <x:c r="AJ482" s="2"/>
      <x:c r="AK482" s="2" t="s">
        <x:v>320</x:v>
      </x:c>
      <x:c r="AL482" s="2" t="s">
        <x:v>1550</x:v>
      </x:c>
      <x:c r="AM482" s="2">
        <x:v>32</x:v>
      </x:c>
      <x:c r="AN482" s="2">
        <x:v>32</x:v>
      </x:c>
    </x:row>
    <x:row r="483" ht="52">
      <x:c r="A483" s="2" t="s">
        <x:v>6</x:v>
      </x:c>
      <x:c r="B483" s="2" t="s">
        <x:v>16</x:v>
      </x:c>
      <x:c r="C483" s="3">
        <x:v>31</x:v>
      </x:c>
      <x:c r="D483" s="2" t="s">
        <x:v>1611</x:v>
      </x:c>
      <x:c r="E483" s="2" t="s">
        <x:v>1594</x:v>
      </x:c>
      <x:c r="F483" s="2" t="s">
        <x:v>1612</x:v>
      </x:c>
      <x:c r="G483" s="2"/>
      <x:c r="H483" s="2" t="s">
        <x:v>618</x:v>
      </x:c>
      <x:c r="I483" s="2" t="s">
        <x:v>1626</x:v>
      </x:c>
      <x:c r="J483" s="2" t="s">
        <x:v>1598</x:v>
      </x:c>
      <x:c r="K483" s="2" t="n">
        <x:v>28</x:v>
      </x:c>
      <x:c r="L483" s="2" t="s">
        <x:v>1634</x:v>
      </x:c>
      <x:c r="M483" s="2"/>
      <x:c r="N483" s="2"/>
      <x:c r="O483" s="2" t="s">
        <x:v>1605</x:v>
      </x:c>
      <x:c r="P483" s="2" t="s">
        <x:v>1635</x:v>
      </x:c>
      <x:c r="Q483" s="2"/>
      <x:c r="R483" s="3">
        <x:v>3</x:v>
      </x:c>
      <x:c r="S483" s="3"/>
      <x:c r="T483" s="2"/>
      <x:c r="U483" s="2"/>
      <x:c r="V483" s="2"/>
      <x:c r="W483" s="2"/>
      <x:c r="X483" s="3"/>
      <x:c r="Y483" s="3"/>
      <x:c r="Z483" s="2"/>
      <x:c r="AA483" s="2"/>
      <x:c r="AB483" s="2"/>
      <x:c r="AC483" s="2" t="s">
        <x:v>326</x:v>
      </x:c>
      <x:c r="AD483" s="2" t="s">
        <x:v>368</x:v>
      </x:c>
      <x:c r="AE483" s="2" t="s">
        <x:v>317</x:v>
      </x:c>
      <x:c r="AF483" s="2" t="s">
        <x:v>319</x:v>
      </x:c>
      <x:c r="AG483" s="2"/>
      <x:c r="AH483" s="2"/>
      <x:c r="AI483" s="4"/>
      <x:c r="AJ483" s="2"/>
      <x:c r="AK483" s="2" t="s">
        <x:v>320</x:v>
      </x:c>
      <x:c r="AL483" s="2" t="s">
        <x:v>1550</x:v>
      </x:c>
      <x:c r="AM483" s="2">
        <x:v>33</x:v>
      </x:c>
      <x:c r="AN483" s="2">
        <x:v>33</x:v>
      </x:c>
    </x:row>
    <x:row r="484" ht="52">
      <x:c r="A484" s="2" t="s">
        <x:v>91</x:v>
      </x:c>
      <x:c r="B484" s="2" t="s">
        <x:v>16</x:v>
      </x:c>
      <x:c r="C484" s="3">
        <x:v>32</x:v>
      </x:c>
      <x:c r="D484" s="2" t="s">
        <x:v>1636</x:v>
      </x:c>
      <x:c r="E484" s="2" t="s">
        <x:v>1615</x:v>
      </x:c>
      <x:c r="F484" s="2" t="s">
        <x:v>1637</x:v>
      </x:c>
      <x:c r="G484" s="2" t="s">
        <x:v>1638</x:v>
      </x:c>
      <x:c r="H484" s="2" t="s">
        <x:v>618</x:v>
      </x:c>
      <x:c r="I484" s="2" t="s">
        <x:v>1639</x:v>
      </x:c>
      <x:c r="J484" s="2" t="s">
        <x:v>1598</x:v>
      </x:c>
      <x:c r="K484" s="2"/>
      <x:c r="L484" s="2" t="s">
        <x:v>1640</x:v>
      </x:c>
      <x:c r="M484" s="2"/>
      <x:c r="N484" s="2"/>
      <x:c r="O484" s="2" t="s">
        <x:v>1600</x:v>
      </x:c>
      <x:c r="P484" s="2" t="s">
        <x:v>1641</x:v>
      </x:c>
      <x:c r="Q484" s="2"/>
      <x:c r="R484" s="3">
        <x:v>4</x:v>
      </x:c>
      <x:c r="S484" s="3"/>
      <x:c r="T484" s="2"/>
      <x:c r="U484" s="2"/>
      <x:c r="V484" s="2"/>
      <x:c r="W484" s="2"/>
      <x:c r="X484" s="3"/>
      <x:c r="Y484" s="3"/>
      <x:c r="Z484" s="2"/>
      <x:c r="AA484" s="2"/>
      <x:c r="AB484" s="2"/>
      <x:c r="AC484" s="2" t="s">
        <x:v>367</x:v>
      </x:c>
      <x:c r="AD484" s="2" t="s">
        <x:v>317</x:v>
      </x:c>
      <x:c r="AE484" s="2" t="s">
        <x:v>368</x:v>
      </x:c>
      <x:c r="AF484" s="2" t="s">
        <x:v>319</x:v>
      </x:c>
      <x:c r="AG484" s="2"/>
      <x:c r="AH484" s="2"/>
      <x:c r="AI484" s="4"/>
      <x:c r="AJ484" s="2"/>
      <x:c r="AK484" s="2" t="s">
        <x:v>320</x:v>
      </x:c>
      <x:c r="AL484" s="2" t="s">
        <x:v>1550</x:v>
      </x:c>
      <x:c r="AM484" s="2">
        <x:v>34</x:v>
      </x:c>
      <x:c r="AN484" s="2">
        <x:v>34</x:v>
      </x:c>
    </x:row>
    <x:row r="485" ht="52">
      <x:c r="A485" s="2" t="s">
        <x:v>6</x:v>
      </x:c>
      <x:c r="B485" s="2" t="s">
        <x:v>16</x:v>
      </x:c>
      <x:c r="C485" s="3">
        <x:v>33</x:v>
      </x:c>
      <x:c r="D485" s="2" t="s">
        <x:v>1642</x:v>
      </x:c>
      <x:c r="E485" s="2" t="s">
        <x:v>1615</x:v>
      </x:c>
      <x:c r="F485" s="2" t="s">
        <x:v>1643</x:v>
      </x:c>
      <x:c r="G485" s="2"/>
      <x:c r="H485" s="2" t="s">
        <x:v>618</x:v>
      </x:c>
      <x:c r="I485" s="2" t="s">
        <x:v>1639</x:v>
      </x:c>
      <x:c r="J485" s="2" t="s">
        <x:v>1598</x:v>
      </x:c>
      <x:c r="K485" s="2" t="n">
        <x:v>32</x:v>
      </x:c>
      <x:c r="L485" s="2" t="s">
        <x:v>1644</x:v>
      </x:c>
      <x:c r="M485" s="2"/>
      <x:c r="N485" s="2"/>
      <x:c r="O485" s="2" t="s">
        <x:v>1605</x:v>
      </x:c>
      <x:c r="P485" s="2" t="s">
        <x:v>1645</x:v>
      </x:c>
      <x:c r="Q485" s="2"/>
      <x:c r="R485" s="3">
        <x:v>4</x:v>
      </x:c>
      <x:c r="S485" s="3"/>
      <x:c r="T485" s="2"/>
      <x:c r="U485" s="2"/>
      <x:c r="V485" s="2"/>
      <x:c r="W485" s="2"/>
      <x:c r="X485" s="3"/>
      <x:c r="Y485" s="3"/>
      <x:c r="Z485" s="2"/>
      <x:c r="AA485" s="2"/>
      <x:c r="AB485" s="2"/>
      <x:c r="AC485" s="2" t="s">
        <x:v>374</x:v>
      </x:c>
      <x:c r="AD485" s="2" t="s">
        <x:v>317</x:v>
      </x:c>
      <x:c r="AE485" s="2" t="s">
        <x:v>368</x:v>
      </x:c>
      <x:c r="AF485" s="2" t="s">
        <x:v>319</x:v>
      </x:c>
      <x:c r="AG485" s="2"/>
      <x:c r="AH485" s="2"/>
      <x:c r="AI485" s="4"/>
      <x:c r="AJ485" s="2"/>
      <x:c r="AK485" s="2" t="s">
        <x:v>320</x:v>
      </x:c>
      <x:c r="AL485" s="2" t="s">
        <x:v>1550</x:v>
      </x:c>
      <x:c r="AM485" s="2">
        <x:v>35</x:v>
      </x:c>
      <x:c r="AN485" s="2">
        <x:v>35</x:v>
      </x:c>
    </x:row>
    <x:row r="486" ht="52">
      <x:c r="A486" s="2" t="s">
        <x:v>6</x:v>
      </x:c>
      <x:c r="B486" s="2" t="s">
        <x:v>16</x:v>
      </x:c>
      <x:c r="C486" s="3">
        <x:v>34</x:v>
      </x:c>
      <x:c r="D486" s="2" t="s">
        <x:v>1646</x:v>
      </x:c>
      <x:c r="E486" s="2" t="s">
        <x:v>1615</x:v>
      </x:c>
      <x:c r="F486" s="2" t="s">
        <x:v>1647</x:v>
      </x:c>
      <x:c r="G486" s="2" t="s">
        <x:v>1648</x:v>
      </x:c>
      <x:c r="H486" s="2" t="s">
        <x:v>618</x:v>
      </x:c>
      <x:c r="I486" s="2" t="s">
        <x:v>1639</x:v>
      </x:c>
      <x:c r="J486" s="2" t="s">
        <x:v>1598</x:v>
      </x:c>
      <x:c r="K486" s="2" t="n">
        <x:v>32</x:v>
      </x:c>
      <x:c r="L486" s="2" t="s">
        <x:v>1649</x:v>
      </x:c>
      <x:c r="M486" s="2"/>
      <x:c r="N486" s="2"/>
      <x:c r="O486" s="2" t="s">
        <x:v>1605</x:v>
      </x:c>
      <x:c r="P486" s="2" t="s">
        <x:v>1650</x:v>
      </x:c>
      <x:c r="Q486" s="2"/>
      <x:c r="R486" s="3">
        <x:v>4</x:v>
      </x:c>
      <x:c r="S486" s="3"/>
      <x:c r="T486" s="2"/>
      <x:c r="U486" s="2"/>
      <x:c r="V486" s="2"/>
      <x:c r="W486" s="2"/>
      <x:c r="X486" s="3"/>
      <x:c r="Y486" s="3"/>
      <x:c r="Z486" s="2"/>
      <x:c r="AA486" s="2"/>
      <x:c r="AB486" s="2"/>
      <x:c r="AC486" s="2" t="s">
        <x:v>367</x:v>
      </x:c>
      <x:c r="AD486" s="2" t="s">
        <x:v>368</x:v>
      </x:c>
      <x:c r="AE486" s="2" t="s">
        <x:v>317</x:v>
      </x:c>
      <x:c r="AF486" s="2" t="s">
        <x:v>319</x:v>
      </x:c>
      <x:c r="AG486" s="2"/>
      <x:c r="AH486" s="2"/>
      <x:c r="AI486" s="4"/>
      <x:c r="AJ486" s="2"/>
      <x:c r="AK486" s="2" t="s">
        <x:v>320</x:v>
      </x:c>
      <x:c r="AL486" s="2" t="s">
        <x:v>1550</x:v>
      </x:c>
      <x:c r="AM486" s="2">
        <x:v>36</x:v>
      </x:c>
      <x:c r="AN486" s="2">
        <x:v>36</x:v>
      </x:c>
    </x:row>
    <x:row r="487" ht="52">
      <x:c r="A487" s="2" t="s">
        <x:v>6</x:v>
      </x:c>
      <x:c r="B487" s="2" t="s">
        <x:v>16</x:v>
      </x:c>
      <x:c r="C487" s="3">
        <x:v>35</x:v>
      </x:c>
      <x:c r="D487" s="2" t="s">
        <x:v>1651</x:v>
      </x:c>
      <x:c r="E487" s="2" t="s">
        <x:v>1615</x:v>
      </x:c>
      <x:c r="F487" s="2" t="s">
        <x:v>1652</x:v>
      </x:c>
      <x:c r="G487" s="2"/>
      <x:c r="H487" s="2" t="s">
        <x:v>618</x:v>
      </x:c>
      <x:c r="I487" s="2" t="s">
        <x:v>1639</x:v>
      </x:c>
      <x:c r="J487" s="2" t="s">
        <x:v>1598</x:v>
      </x:c>
      <x:c r="K487" s="2" t="n">
        <x:v>32</x:v>
      </x:c>
      <x:c r="L487" s="2" t="s">
        <x:v>1653</x:v>
      </x:c>
      <x:c r="M487" s="2"/>
      <x:c r="N487" s="2"/>
      <x:c r="O487" s="2" t="s">
        <x:v>1605</x:v>
      </x:c>
      <x:c r="P487" s="2" t="s">
        <x:v>1654</x:v>
      </x:c>
      <x:c r="Q487" s="2"/>
      <x:c r="R487" s="3">
        <x:v>4</x:v>
      </x:c>
      <x:c r="S487" s="3"/>
      <x:c r="T487" s="2"/>
      <x:c r="U487" s="2"/>
      <x:c r="V487" s="2"/>
      <x:c r="W487" s="2"/>
      <x:c r="X487" s="3"/>
      <x:c r="Y487" s="3"/>
      <x:c r="Z487" s="2"/>
      <x:c r="AA487" s="2"/>
      <x:c r="AB487" s="2"/>
      <x:c r="AC487" s="2" t="s">
        <x:v>374</x:v>
      </x:c>
      <x:c r="AD487" s="2" t="s">
        <x:v>368</x:v>
      </x:c>
      <x:c r="AE487" s="2" t="s">
        <x:v>317</x:v>
      </x:c>
      <x:c r="AF487" s="2" t="s">
        <x:v>319</x:v>
      </x:c>
      <x:c r="AG487" s="2"/>
      <x:c r="AH487" s="2"/>
      <x:c r="AI487" s="4"/>
      <x:c r="AJ487" s="2"/>
      <x:c r="AK487" s="2" t="s">
        <x:v>320</x:v>
      </x:c>
      <x:c r="AL487" s="2" t="s">
        <x:v>1550</x:v>
      </x:c>
      <x:c r="AM487" s="2">
        <x:v>37</x:v>
      </x:c>
      <x:c r="AN487" s="2">
        <x:v>37</x:v>
      </x:c>
    </x:row>
    <x:row r="488" ht="52">
      <x:c r="A488" s="2" t="s">
        <x:v>6</x:v>
      </x:c>
      <x:c r="B488" s="2" t="s">
        <x:v>16</x:v>
      </x:c>
      <x:c r="C488" s="3">
        <x:v>36</x:v>
      </x:c>
      <x:c r="D488" s="2" t="s">
        <x:v>1636</x:v>
      </x:c>
      <x:c r="E488" s="2" t="s">
        <x:v>1594</x:v>
      </x:c>
      <x:c r="F488" s="2" t="s">
        <x:v>1637</x:v>
      </x:c>
      <x:c r="G488" s="2"/>
      <x:c r="H488" s="2" t="s">
        <x:v>618</x:v>
      </x:c>
      <x:c r="I488" s="2" t="s">
        <x:v>1655</x:v>
      </x:c>
      <x:c r="J488" s="2" t="s">
        <x:v>1598</x:v>
      </x:c>
      <x:c r="K488" s="2"/>
      <x:c r="L488" s="2" t="s">
        <x:v>1656</x:v>
      </x:c>
      <x:c r="M488" s="2"/>
      <x:c r="N488" s="2"/>
      <x:c r="O488" s="2" t="s">
        <x:v>1600</x:v>
      </x:c>
      <x:c r="P488" s="2" t="s">
        <x:v>1657</x:v>
      </x:c>
      <x:c r="Q488" s="2"/>
      <x:c r="R488" s="3">
        <x:v>3</x:v>
      </x:c>
      <x:c r="S488" s="3"/>
      <x:c r="T488" s="2"/>
      <x:c r="U488" s="2"/>
      <x:c r="V488" s="2"/>
      <x:c r="W488" s="2"/>
      <x:c r="X488" s="3"/>
      <x:c r="Y488" s="3"/>
      <x:c r="Z488" s="2"/>
      <x:c r="AA488" s="2"/>
      <x:c r="AB488" s="2"/>
      <x:c r="AC488" s="2" t="s">
        <x:v>367</x:v>
      </x:c>
      <x:c r="AD488" s="2" t="s">
        <x:v>317</x:v>
      </x:c>
      <x:c r="AE488" s="2" t="s">
        <x:v>368</x:v>
      </x:c>
      <x:c r="AF488" s="2" t="s">
        <x:v>319</x:v>
      </x:c>
      <x:c r="AG488" s="2"/>
      <x:c r="AH488" s="2"/>
      <x:c r="AI488" s="4"/>
      <x:c r="AJ488" s="2"/>
      <x:c r="AK488" s="2" t="s">
        <x:v>320</x:v>
      </x:c>
      <x:c r="AL488" s="2" t="s">
        <x:v>1550</x:v>
      </x:c>
      <x:c r="AM488" s="2">
        <x:v>38</x:v>
      </x:c>
      <x:c r="AN488" s="2">
        <x:v>38</x:v>
      </x:c>
    </x:row>
    <x:row r="489" ht="52">
      <x:c r="A489" s="2" t="s">
        <x:v>6</x:v>
      </x:c>
      <x:c r="B489" s="2" t="s">
        <x:v>16</x:v>
      </x:c>
      <x:c r="C489" s="3">
        <x:v>37</x:v>
      </x:c>
      <x:c r="D489" s="2" t="s">
        <x:v>1642</x:v>
      </x:c>
      <x:c r="E489" s="2" t="s">
        <x:v>1594</x:v>
      </x:c>
      <x:c r="F489" s="2" t="s">
        <x:v>1643</x:v>
      </x:c>
      <x:c r="G489" s="2"/>
      <x:c r="H489" s="2" t="s">
        <x:v>618</x:v>
      </x:c>
      <x:c r="I489" s="2" t="s">
        <x:v>1655</x:v>
      </x:c>
      <x:c r="J489" s="2" t="s">
        <x:v>1598</x:v>
      </x:c>
      <x:c r="K489" s="2" t="n">
        <x:v>36</x:v>
      </x:c>
      <x:c r="L489" s="2" t="s">
        <x:v>1658</x:v>
      </x:c>
      <x:c r="M489" s="2"/>
      <x:c r="N489" s="2"/>
      <x:c r="O489" s="2" t="s">
        <x:v>1605</x:v>
      </x:c>
      <x:c r="P489" s="2" t="s">
        <x:v>1659</x:v>
      </x:c>
      <x:c r="Q489" s="2"/>
      <x:c r="R489" s="3">
        <x:v>3</x:v>
      </x:c>
      <x:c r="S489" s="3"/>
      <x:c r="T489" s="2"/>
      <x:c r="U489" s="2"/>
      <x:c r="V489" s="2"/>
      <x:c r="W489" s="2"/>
      <x:c r="X489" s="3"/>
      <x:c r="Y489" s="3"/>
      <x:c r="Z489" s="2"/>
      <x:c r="AA489" s="2"/>
      <x:c r="AB489" s="2"/>
      <x:c r="AC489" s="2" t="s">
        <x:v>374</x:v>
      </x:c>
      <x:c r="AD489" s="2" t="s">
        <x:v>317</x:v>
      </x:c>
      <x:c r="AE489" s="2" t="s">
        <x:v>368</x:v>
      </x:c>
      <x:c r="AF489" s="2" t="s">
        <x:v>319</x:v>
      </x:c>
      <x:c r="AG489" s="2"/>
      <x:c r="AH489" s="2"/>
      <x:c r="AI489" s="4"/>
      <x:c r="AJ489" s="2"/>
      <x:c r="AK489" s="2" t="s">
        <x:v>320</x:v>
      </x:c>
      <x:c r="AL489" s="2" t="s">
        <x:v>1550</x:v>
      </x:c>
      <x:c r="AM489" s="2">
        <x:v>39</x:v>
      </x:c>
      <x:c r="AN489" s="2">
        <x:v>39</x:v>
      </x:c>
    </x:row>
    <x:row r="490" ht="52">
      <x:c r="A490" s="2" t="s">
        <x:v>6</x:v>
      </x:c>
      <x:c r="B490" s="2" t="s">
        <x:v>16</x:v>
      </x:c>
      <x:c r="C490" s="3">
        <x:v>38</x:v>
      </x:c>
      <x:c r="D490" s="2" t="s">
        <x:v>1646</x:v>
      </x:c>
      <x:c r="E490" s="2" t="s">
        <x:v>1594</x:v>
      </x:c>
      <x:c r="F490" s="2" t="s">
        <x:v>1647</x:v>
      </x:c>
      <x:c r="G490" s="2"/>
      <x:c r="H490" s="2" t="s">
        <x:v>618</x:v>
      </x:c>
      <x:c r="I490" s="2" t="s">
        <x:v>1655</x:v>
      </x:c>
      <x:c r="J490" s="2" t="s">
        <x:v>1598</x:v>
      </x:c>
      <x:c r="K490" s="2" t="n">
        <x:v>36</x:v>
      </x:c>
      <x:c r="L490" s="2" t="s">
        <x:v>1660</x:v>
      </x:c>
      <x:c r="M490" s="2"/>
      <x:c r="N490" s="2"/>
      <x:c r="O490" s="2" t="s">
        <x:v>1605</x:v>
      </x:c>
      <x:c r="P490" s="2" t="s">
        <x:v>1661</x:v>
      </x:c>
      <x:c r="Q490" s="2"/>
      <x:c r="R490" s="3">
        <x:v>3</x:v>
      </x:c>
      <x:c r="S490" s="3"/>
      <x:c r="T490" s="2"/>
      <x:c r="U490" s="2"/>
      <x:c r="V490" s="2"/>
      <x:c r="W490" s="2"/>
      <x:c r="X490" s="3"/>
      <x:c r="Y490" s="3"/>
      <x:c r="Z490" s="2"/>
      <x:c r="AA490" s="2"/>
      <x:c r="AB490" s="2"/>
      <x:c r="AC490" s="2" t="s">
        <x:v>367</x:v>
      </x:c>
      <x:c r="AD490" s="2" t="s">
        <x:v>368</x:v>
      </x:c>
      <x:c r="AE490" s="2" t="s">
        <x:v>317</x:v>
      </x:c>
      <x:c r="AF490" s="2" t="s">
        <x:v>319</x:v>
      </x:c>
      <x:c r="AG490" s="2"/>
      <x:c r="AH490" s="2"/>
      <x:c r="AI490" s="4"/>
      <x:c r="AJ490" s="2"/>
      <x:c r="AK490" s="2" t="s">
        <x:v>320</x:v>
      </x:c>
      <x:c r="AL490" s="2" t="s">
        <x:v>1550</x:v>
      </x:c>
      <x:c r="AM490" s="2">
        <x:v>40</x:v>
      </x:c>
      <x:c r="AN490" s="2">
        <x:v>40</x:v>
      </x:c>
    </x:row>
    <x:row r="491" ht="52">
      <x:c r="A491" s="2" t="s">
        <x:v>6</x:v>
      </x:c>
      <x:c r="B491" s="2" t="s">
        <x:v>16</x:v>
      </x:c>
      <x:c r="C491" s="3">
        <x:v>39</x:v>
      </x:c>
      <x:c r="D491" s="2" t="s">
        <x:v>1651</x:v>
      </x:c>
      <x:c r="E491" s="2" t="s">
        <x:v>1594</x:v>
      </x:c>
      <x:c r="F491" s="2" t="s">
        <x:v>1652</x:v>
      </x:c>
      <x:c r="G491" s="2"/>
      <x:c r="H491" s="2" t="s">
        <x:v>618</x:v>
      </x:c>
      <x:c r="I491" s="2" t="s">
        <x:v>1655</x:v>
      </x:c>
      <x:c r="J491" s="2" t="s">
        <x:v>1598</x:v>
      </x:c>
      <x:c r="K491" s="2" t="n">
        <x:v>36</x:v>
      </x:c>
      <x:c r="L491" s="2" t="s">
        <x:v>1662</x:v>
      </x:c>
      <x:c r="M491" s="2"/>
      <x:c r="N491" s="2"/>
      <x:c r="O491" s="2" t="s">
        <x:v>1605</x:v>
      </x:c>
      <x:c r="P491" s="2" t="s">
        <x:v>1663</x:v>
      </x:c>
      <x:c r="Q491" s="2"/>
      <x:c r="R491" s="3">
        <x:v>3</x:v>
      </x:c>
      <x:c r="S491" s="3"/>
      <x:c r="T491" s="2"/>
      <x:c r="U491" s="2"/>
      <x:c r="V491" s="2"/>
      <x:c r="W491" s="2"/>
      <x:c r="X491" s="3"/>
      <x:c r="Y491" s="3"/>
      <x:c r="Z491" s="2"/>
      <x:c r="AA491" s="2"/>
      <x:c r="AB491" s="2"/>
      <x:c r="AC491" s="2" t="s">
        <x:v>374</x:v>
      </x:c>
      <x:c r="AD491" s="2" t="s">
        <x:v>368</x:v>
      </x:c>
      <x:c r="AE491" s="2" t="s">
        <x:v>317</x:v>
      </x:c>
      <x:c r="AF491" s="2" t="s">
        <x:v>319</x:v>
      </x:c>
      <x:c r="AG491" s="2"/>
      <x:c r="AH491" s="2"/>
      <x:c r="AI491" s="4"/>
      <x:c r="AJ491" s="2"/>
      <x:c r="AK491" s="2" t="s">
        <x:v>320</x:v>
      </x:c>
      <x:c r="AL491" s="2" t="s">
        <x:v>1550</x:v>
      </x:c>
      <x:c r="AM491" s="2">
        <x:v>41</x:v>
      </x:c>
      <x:c r="AN491" s="2">
        <x:v>41</x:v>
      </x:c>
    </x:row>
    <x:row r="492" ht="52">
      <x:c r="A492" s="2" t="s">
        <x:v>6</x:v>
      </x:c>
      <x:c r="B492" s="2" t="s">
        <x:v>16</x:v>
      </x:c>
      <x:c r="C492" s="3">
        <x:v>40</x:v>
      </x:c>
      <x:c r="D492" s="2" t="s">
        <x:v>1636</x:v>
      </x:c>
      <x:c r="E492" s="2" t="s">
        <x:v>1615</x:v>
      </x:c>
      <x:c r="F492" s="2" t="s">
        <x:v>1637</x:v>
      </x:c>
      <x:c r="G492" s="2"/>
      <x:c r="H492" s="2" t="s">
        <x:v>618</x:v>
      </x:c>
      <x:c r="I492" s="2" t="s">
        <x:v>1664</x:v>
      </x:c>
      <x:c r="J492" s="2" t="s">
        <x:v>1598</x:v>
      </x:c>
      <x:c r="K492" s="2"/>
      <x:c r="L492" s="2" t="s">
        <x:v>1640</x:v>
      </x:c>
      <x:c r="M492" s="2"/>
      <x:c r="N492" s="2"/>
      <x:c r="O492" s="2" t="s">
        <x:v>1600</x:v>
      </x:c>
      <x:c r="P492" s="2" t="s">
        <x:v>1641</x:v>
      </x:c>
      <x:c r="Q492" s="2"/>
      <x:c r="R492" s="3">
        <x:v>4</x:v>
      </x:c>
      <x:c r="S492" s="3"/>
      <x:c r="T492" s="2"/>
      <x:c r="U492" s="2"/>
      <x:c r="V492" s="2"/>
      <x:c r="W492" s="2"/>
      <x:c r="X492" s="3"/>
      <x:c r="Y492" s="3"/>
      <x:c r="Z492" s="2"/>
      <x:c r="AA492" s="2"/>
      <x:c r="AB492" s="2"/>
      <x:c r="AC492" s="2" t="s">
        <x:v>367</x:v>
      </x:c>
      <x:c r="AD492" s="2" t="s">
        <x:v>317</x:v>
      </x:c>
      <x:c r="AE492" s="2" t="s">
        <x:v>368</x:v>
      </x:c>
      <x:c r="AF492" s="2" t="s">
        <x:v>319</x:v>
      </x:c>
      <x:c r="AG492" s="2"/>
      <x:c r="AH492" s="2"/>
      <x:c r="AI492" s="4"/>
      <x:c r="AJ492" s="2"/>
      <x:c r="AK492" s="2" t="s">
        <x:v>320</x:v>
      </x:c>
      <x:c r="AL492" s="2" t="s">
        <x:v>1550</x:v>
      </x:c>
      <x:c r="AM492" s="2">
        <x:v>42</x:v>
      </x:c>
      <x:c r="AN492" s="2">
        <x:v>42</x:v>
      </x:c>
    </x:row>
    <x:row r="493" ht="52">
      <x:c r="A493" s="2" t="s">
        <x:v>6</x:v>
      </x:c>
      <x:c r="B493" s="2" t="s">
        <x:v>16</x:v>
      </x:c>
      <x:c r="C493" s="3">
        <x:v>41</x:v>
      </x:c>
      <x:c r="D493" s="2" t="s">
        <x:v>1642</x:v>
      </x:c>
      <x:c r="E493" s="2" t="s">
        <x:v>1615</x:v>
      </x:c>
      <x:c r="F493" s="2" t="s">
        <x:v>1643</x:v>
      </x:c>
      <x:c r="G493" s="2"/>
      <x:c r="H493" s="2" t="s">
        <x:v>618</x:v>
      </x:c>
      <x:c r="I493" s="2" t="s">
        <x:v>1664</x:v>
      </x:c>
      <x:c r="J493" s="2" t="s">
        <x:v>1598</x:v>
      </x:c>
      <x:c r="K493" s="2" t="n">
        <x:v>40</x:v>
      </x:c>
      <x:c r="L493" s="2" t="s">
        <x:v>1665</x:v>
      </x:c>
      <x:c r="M493" s="2"/>
      <x:c r="N493" s="2"/>
      <x:c r="O493" s="2" t="s">
        <x:v>1605</x:v>
      </x:c>
      <x:c r="P493" s="2" t="s">
        <x:v>1666</x:v>
      </x:c>
      <x:c r="Q493" s="2"/>
      <x:c r="R493" s="3">
        <x:v>4</x:v>
      </x:c>
      <x:c r="S493" s="3"/>
      <x:c r="T493" s="2"/>
      <x:c r="U493" s="2"/>
      <x:c r="V493" s="2"/>
      <x:c r="W493" s="2"/>
      <x:c r="X493" s="3"/>
      <x:c r="Y493" s="3"/>
      <x:c r="Z493" s="2"/>
      <x:c r="AA493" s="2"/>
      <x:c r="AB493" s="2"/>
      <x:c r="AC493" s="2" t="s">
        <x:v>374</x:v>
      </x:c>
      <x:c r="AD493" s="2" t="s">
        <x:v>317</x:v>
      </x:c>
      <x:c r="AE493" s="2" t="s">
        <x:v>368</x:v>
      </x:c>
      <x:c r="AF493" s="2" t="s">
        <x:v>319</x:v>
      </x:c>
      <x:c r="AG493" s="2"/>
      <x:c r="AH493" s="2"/>
      <x:c r="AI493" s="4"/>
      <x:c r="AJ493" s="2"/>
      <x:c r="AK493" s="2" t="s">
        <x:v>320</x:v>
      </x:c>
      <x:c r="AL493" s="2" t="s">
        <x:v>1550</x:v>
      </x:c>
      <x:c r="AM493" s="2">
        <x:v>43</x:v>
      </x:c>
      <x:c r="AN493" s="2">
        <x:v>43</x:v>
      </x:c>
    </x:row>
    <x:row r="494" ht="52">
      <x:c r="A494" s="2" t="s">
        <x:v>6</x:v>
      </x:c>
      <x:c r="B494" s="2" t="s">
        <x:v>16</x:v>
      </x:c>
      <x:c r="C494" s="3">
        <x:v>42</x:v>
      </x:c>
      <x:c r="D494" s="2" t="s">
        <x:v>1646</x:v>
      </x:c>
      <x:c r="E494" s="2" t="s">
        <x:v>1615</x:v>
      </x:c>
      <x:c r="F494" s="2" t="s">
        <x:v>1647</x:v>
      </x:c>
      <x:c r="G494" s="2"/>
      <x:c r="H494" s="2" t="s">
        <x:v>618</x:v>
      </x:c>
      <x:c r="I494" s="2" t="s">
        <x:v>1664</x:v>
      </x:c>
      <x:c r="J494" s="2" t="s">
        <x:v>1598</x:v>
      </x:c>
      <x:c r="K494" s="2" t="n">
        <x:v>40</x:v>
      </x:c>
      <x:c r="L494" s="2" t="s">
        <x:v>1649</x:v>
      </x:c>
      <x:c r="M494" s="2"/>
      <x:c r="N494" s="2"/>
      <x:c r="O494" s="2" t="s">
        <x:v>1605</x:v>
      </x:c>
      <x:c r="P494" s="2" t="s">
        <x:v>1650</x:v>
      </x:c>
      <x:c r="Q494" s="2"/>
      <x:c r="R494" s="3">
        <x:v>4</x:v>
      </x:c>
      <x:c r="S494" s="3"/>
      <x:c r="T494" s="2"/>
      <x:c r="U494" s="2"/>
      <x:c r="V494" s="2"/>
      <x:c r="W494" s="2"/>
      <x:c r="X494" s="3"/>
      <x:c r="Y494" s="3"/>
      <x:c r="Z494" s="2"/>
      <x:c r="AA494" s="2"/>
      <x:c r="AB494" s="2"/>
      <x:c r="AC494" s="2" t="s">
        <x:v>367</x:v>
      </x:c>
      <x:c r="AD494" s="2" t="s">
        <x:v>368</x:v>
      </x:c>
      <x:c r="AE494" s="2" t="s">
        <x:v>317</x:v>
      </x:c>
      <x:c r="AF494" s="2" t="s">
        <x:v>319</x:v>
      </x:c>
      <x:c r="AG494" s="2"/>
      <x:c r="AH494" s="2"/>
      <x:c r="AI494" s="4"/>
      <x:c r="AJ494" s="2"/>
      <x:c r="AK494" s="2" t="s">
        <x:v>320</x:v>
      </x:c>
      <x:c r="AL494" s="2" t="s">
        <x:v>1550</x:v>
      </x:c>
      <x:c r="AM494" s="2">
        <x:v>44</x:v>
      </x:c>
      <x:c r="AN494" s="2">
        <x:v>44</x:v>
      </x:c>
    </x:row>
    <x:row r="495" ht="52">
      <x:c r="A495" s="2" t="s">
        <x:v>6</x:v>
      </x:c>
      <x:c r="B495" s="2" t="s">
        <x:v>16</x:v>
      </x:c>
      <x:c r="C495" s="3">
        <x:v>43</x:v>
      </x:c>
      <x:c r="D495" s="2" t="s">
        <x:v>1651</x:v>
      </x:c>
      <x:c r="E495" s="2" t="s">
        <x:v>1615</x:v>
      </x:c>
      <x:c r="F495" s="2" t="s">
        <x:v>1652</x:v>
      </x:c>
      <x:c r="G495" s="2"/>
      <x:c r="H495" s="2" t="s">
        <x:v>618</x:v>
      </x:c>
      <x:c r="I495" s="2" t="s">
        <x:v>1664</x:v>
      </x:c>
      <x:c r="J495" s="2" t="s">
        <x:v>1598</x:v>
      </x:c>
      <x:c r="K495" s="2" t="n">
        <x:v>40</x:v>
      </x:c>
      <x:c r="L495" s="2" t="s">
        <x:v>1653</x:v>
      </x:c>
      <x:c r="M495" s="2"/>
      <x:c r="N495" s="2"/>
      <x:c r="O495" s="2" t="s">
        <x:v>1605</x:v>
      </x:c>
      <x:c r="P495" s="2" t="s">
        <x:v>1654</x:v>
      </x:c>
      <x:c r="Q495" s="2"/>
      <x:c r="R495" s="3">
        <x:v>4</x:v>
      </x:c>
      <x:c r="S495" s="3"/>
      <x:c r="T495" s="2"/>
      <x:c r="U495" s="2"/>
      <x:c r="V495" s="2"/>
      <x:c r="W495" s="2"/>
      <x:c r="X495" s="3"/>
      <x:c r="Y495" s="3"/>
      <x:c r="Z495" s="2"/>
      <x:c r="AA495" s="2"/>
      <x:c r="AB495" s="2"/>
      <x:c r="AC495" s="2" t="s">
        <x:v>374</x:v>
      </x:c>
      <x:c r="AD495" s="2" t="s">
        <x:v>368</x:v>
      </x:c>
      <x:c r="AE495" s="2" t="s">
        <x:v>317</x:v>
      </x:c>
      <x:c r="AF495" s="2" t="s">
        <x:v>319</x:v>
      </x:c>
      <x:c r="AG495" s="2"/>
      <x:c r="AH495" s="2"/>
      <x:c r="AI495" s="4"/>
      <x:c r="AJ495" s="2"/>
      <x:c r="AK495" s="2" t="s">
        <x:v>320</x:v>
      </x:c>
      <x:c r="AL495" s="2" t="s">
        <x:v>1550</x:v>
      </x:c>
      <x:c r="AM495" s="2">
        <x:v>45</x:v>
      </x:c>
      <x:c r="AN495" s="2">
        <x:v>45</x:v>
      </x:c>
    </x:row>
    <x:row r="496" ht="52">
      <x:c r="A496" s="2" t="s">
        <x:v>6</x:v>
      </x:c>
      <x:c r="B496" s="2" t="s">
        <x:v>16</x:v>
      </x:c>
      <x:c r="C496" s="3">
        <x:v>44</x:v>
      </x:c>
      <x:c r="D496" s="2" t="s">
        <x:v>1593</x:v>
      </x:c>
      <x:c r="E496" s="2" t="s">
        <x:v>1594</x:v>
      </x:c>
      <x:c r="F496" s="2" t="s">
        <x:v>1595</x:v>
      </x:c>
      <x:c r="G496" s="2"/>
      <x:c r="H496" s="2" t="s">
        <x:v>618</x:v>
      </x:c>
      <x:c r="I496" s="2" t="s">
        <x:v>1667</x:v>
      </x:c>
      <x:c r="J496" s="2" t="s">
        <x:v>1668</x:v>
      </x:c>
      <x:c r="K496" s="2"/>
      <x:c r="L496" s="2" t="s">
        <x:v>1599</x:v>
      </x:c>
      <x:c r="M496" s="2"/>
      <x:c r="N496" s="2"/>
      <x:c r="O496" s="2" t="s">
        <x:v>1600</x:v>
      </x:c>
      <x:c r="P496" s="2" t="s">
        <x:v>1669</x:v>
      </x:c>
      <x:c r="Q496" s="2"/>
      <x:c r="R496" s="3">
        <x:v>3</x:v>
      </x:c>
      <x:c r="S496" s="3"/>
      <x:c r="T496" s="2"/>
      <x:c r="U496" s="2"/>
      <x:c r="V496" s="2"/>
      <x:c r="W496" s="2"/>
      <x:c r="X496" s="3"/>
      <x:c r="Y496" s="3"/>
      <x:c r="Z496" s="2"/>
      <x:c r="AA496" s="2"/>
      <x:c r="AB496" s="2"/>
      <x:c r="AC496" s="2" t="s">
        <x:v>316</x:v>
      </x:c>
      <x:c r="AD496" s="2" t="s">
        <x:v>317</x:v>
      </x:c>
      <x:c r="AE496" s="2" t="s">
        <x:v>368</x:v>
      </x:c>
      <x:c r="AF496" s="2" t="s">
        <x:v>319</x:v>
      </x:c>
      <x:c r="AG496" s="2"/>
      <x:c r="AH496" s="2"/>
      <x:c r="AI496" s="4"/>
      <x:c r="AJ496" s="2"/>
      <x:c r="AK496" s="2" t="s">
        <x:v>320</x:v>
      </x:c>
      <x:c r="AL496" s="2" t="s">
        <x:v>1550</x:v>
      </x:c>
      <x:c r="AM496" s="2">
        <x:v>46</x:v>
      </x:c>
      <x:c r="AN496" s="2">
        <x:v>46</x:v>
      </x:c>
    </x:row>
    <x:row r="497" ht="39">
      <x:c r="A497" s="2" t="s">
        <x:v>6</x:v>
      </x:c>
      <x:c r="B497" s="2" t="s">
        <x:v>16</x:v>
      </x:c>
      <x:c r="C497" s="3">
        <x:v>45</x:v>
      </x:c>
      <x:c r="D497" s="2" t="s">
        <x:v>1670</x:v>
      </x:c>
      <x:c r="E497" s="2" t="s">
        <x:v>1594</x:v>
      </x:c>
      <x:c r="F497" s="2" t="s">
        <x:v>1671</x:v>
      </x:c>
      <x:c r="G497" s="2" t="s">
        <x:v>1672</x:v>
      </x:c>
      <x:c r="H497" s="2" t="s">
        <x:v>627</x:v>
      </x:c>
      <x:c r="I497" s="2" t="s">
        <x:v>1667</x:v>
      </x:c>
      <x:c r="J497" s="2" t="s">
        <x:v>1673</x:v>
      </x:c>
      <x:c r="K497" s="2" t="n">
        <x:v>44</x:v>
      </x:c>
      <x:c r="L497" s="2" t="s">
        <x:v>1599</x:v>
      </x:c>
      <x:c r="M497" s="2"/>
      <x:c r="N497" s="2"/>
      <x:c r="O497" s="2" t="s">
        <x:v>1674</x:v>
      </x:c>
      <x:c r="P497" s="2" t="s">
        <x:v>1675</x:v>
      </x:c>
      <x:c r="Q497" s="2"/>
      <x:c r="R497" s="3">
        <x:v>3</x:v>
      </x:c>
      <x:c r="S497" s="3"/>
      <x:c r="T497" s="2"/>
      <x:c r="U497" s="2"/>
      <x:c r="V497" s="2"/>
      <x:c r="W497" s="2"/>
      <x:c r="X497" s="3"/>
      <x:c r="Y497" s="3"/>
      <x:c r="Z497" s="2"/>
      <x:c r="AA497" s="2"/>
      <x:c r="AB497" s="2"/>
      <x:c r="AC497" s="2" t="s">
        <x:v>316</x:v>
      </x:c>
      <x:c r="AD497" s="2" t="s">
        <x:v>317</x:v>
      </x:c>
      <x:c r="AE497" s="2" t="s">
        <x:v>368</x:v>
      </x:c>
      <x:c r="AF497" s="2" t="s">
        <x:v>319</x:v>
      </x:c>
      <x:c r="AG497" s="2"/>
      <x:c r="AH497" s="2"/>
      <x:c r="AI497" s="4"/>
      <x:c r="AJ497" s="2"/>
      <x:c r="AK497" s="2" t="s">
        <x:v>320</x:v>
      </x:c>
      <x:c r="AL497" s="2" t="s">
        <x:v>1550</x:v>
      </x:c>
      <x:c r="AM497" s="2">
        <x:v>47</x:v>
      </x:c>
      <x:c r="AN497" s="2">
        <x:v>47</x:v>
      </x:c>
    </x:row>
    <x:row r="498" ht="39">
      <x:c r="A498" s="2" t="s">
        <x:v>91</x:v>
      </x:c>
      <x:c r="B498" s="2" t="s">
        <x:v>16</x:v>
      </x:c>
      <x:c r="C498" s="3">
        <x:v>46</x:v>
      </x:c>
      <x:c r="D498" s="2" t="s">
        <x:v>1676</x:v>
      </x:c>
      <x:c r="E498" s="2" t="s">
        <x:v>1594</x:v>
      </x:c>
      <x:c r="F498" s="2" t="s">
        <x:v>1595</x:v>
      </x:c>
      <x:c r="G498" s="2" t="s">
        <x:v>1672</x:v>
      </x:c>
      <x:c r="H498" s="2" t="s">
        <x:v>634</x:v>
      </x:c>
      <x:c r="I498" s="2" t="s">
        <x:v>1667</x:v>
      </x:c>
      <x:c r="J498" s="2" t="s">
        <x:v>1677</x:v>
      </x:c>
      <x:c r="K498" s="2" t="n">
        <x:v>44</x:v>
      </x:c>
      <x:c r="L498" s="2" t="s">
        <x:v>1599</x:v>
      </x:c>
      <x:c r="M498" s="2"/>
      <x:c r="N498" s="2"/>
      <x:c r="O498" s="2" t="s">
        <x:v>1678</x:v>
      </x:c>
      <x:c r="P498" s="2" t="s">
        <x:v>1679</x:v>
      </x:c>
      <x:c r="Q498" s="2"/>
      <x:c r="R498" s="3">
        <x:v>3</x:v>
      </x:c>
      <x:c r="S498" s="3"/>
      <x:c r="T498" s="2"/>
      <x:c r="U498" s="2"/>
      <x:c r="V498" s="2"/>
      <x:c r="W498" s="2"/>
      <x:c r="X498" s="3"/>
      <x:c r="Y498" s="3"/>
      <x:c r="Z498" s="2"/>
      <x:c r="AA498" s="2"/>
      <x:c r="AB498" s="2"/>
      <x:c r="AC498" s="2" t="s">
        <x:v>316</x:v>
      </x:c>
      <x:c r="AD498" s="2" t="s">
        <x:v>317</x:v>
      </x:c>
      <x:c r="AE498" s="2" t="s">
        <x:v>368</x:v>
      </x:c>
      <x:c r="AF498" s="2" t="s">
        <x:v>319</x:v>
      </x:c>
      <x:c r="AG498" s="2"/>
      <x:c r="AH498" s="2"/>
      <x:c r="AI498" s="4"/>
      <x:c r="AJ498" s="2"/>
      <x:c r="AK498" s="2" t="s">
        <x:v>320</x:v>
      </x:c>
      <x:c r="AL498" s="2" t="s">
        <x:v>1550</x:v>
      </x:c>
      <x:c r="AM498" s="2">
        <x:v>48</x:v>
      </x:c>
      <x:c r="AN498" s="2">
        <x:v>48</x:v>
      </x:c>
    </x:row>
    <x:row r="499" ht="39">
      <x:c r="A499" s="2" t="s">
        <x:v>6</x:v>
      </x:c>
      <x:c r="B499" s="2" t="s">
        <x:v>16</x:v>
      </x:c>
      <x:c r="C499" s="3">
        <x:v>47</x:v>
      </x:c>
      <x:c r="D499" s="2" t="s">
        <x:v>1680</x:v>
      </x:c>
      <x:c r="E499" s="2" t="s">
        <x:v>1594</x:v>
      </x:c>
      <x:c r="F499" s="2" t="s">
        <x:v>1671</x:v>
      </x:c>
      <x:c r="G499" s="2" t="s">
        <x:v>1672</x:v>
      </x:c>
      <x:c r="H499" s="2" t="s">
        <x:v>634</x:v>
      </x:c>
      <x:c r="I499" s="2" t="s">
        <x:v>1667</x:v>
      </x:c>
      <x:c r="J499" s="2" t="s">
        <x:v>1363</x:v>
      </x:c>
      <x:c r="K499" s="2" t="n">
        <x:v>44</x:v>
      </x:c>
      <x:c r="L499" s="2" t="s">
        <x:v>1599</x:v>
      </x:c>
      <x:c r="M499" s="2"/>
      <x:c r="N499" s="2"/>
      <x:c r="O499" s="2" t="s">
        <x:v>1681</x:v>
      </x:c>
      <x:c r="P499" s="2" t="s">
        <x:v>1682</x:v>
      </x:c>
      <x:c r="Q499" s="2"/>
      <x:c r="R499" s="3">
        <x:v>3</x:v>
      </x:c>
      <x:c r="S499" s="3"/>
      <x:c r="T499" s="2"/>
      <x:c r="U499" s="2"/>
      <x:c r="V499" s="2"/>
      <x:c r="W499" s="2"/>
      <x:c r="X499" s="3"/>
      <x:c r="Y499" s="3"/>
      <x:c r="Z499" s="2"/>
      <x:c r="AA499" s="2"/>
      <x:c r="AB499" s="2"/>
      <x:c r="AC499" s="2" t="s">
        <x:v>316</x:v>
      </x:c>
      <x:c r="AD499" s="2" t="s">
        <x:v>317</x:v>
      </x:c>
      <x:c r="AE499" s="2" t="s">
        <x:v>368</x:v>
      </x:c>
      <x:c r="AF499" s="2" t="s">
        <x:v>319</x:v>
      </x:c>
      <x:c r="AG499" s="2"/>
      <x:c r="AH499" s="2"/>
      <x:c r="AI499" s="4"/>
      <x:c r="AJ499" s="2"/>
      <x:c r="AK499" s="2" t="s">
        <x:v>320</x:v>
      </x:c>
      <x:c r="AL499" s="2" t="s">
        <x:v>1550</x:v>
      </x:c>
      <x:c r="AM499" s="2">
        <x:v>49</x:v>
      </x:c>
      <x:c r="AN499" s="2">
        <x:v>49</x:v>
      </x:c>
    </x:row>
    <x:row r="500" ht="52">
      <x:c r="A500" s="2" t="s">
        <x:v>6</x:v>
      </x:c>
      <x:c r="B500" s="2" t="s">
        <x:v>16</x:v>
      </x:c>
      <x:c r="C500" s="3">
        <x:v>48</x:v>
      </x:c>
      <x:c r="D500" s="2" t="s">
        <x:v>1593</x:v>
      </x:c>
      <x:c r="E500" s="2" t="s">
        <x:v>1615</x:v>
      </x:c>
      <x:c r="F500" s="2" t="s">
        <x:v>1595</x:v>
      </x:c>
      <x:c r="G500" s="2"/>
      <x:c r="H500" s="2" t="s">
        <x:v>618</x:v>
      </x:c>
      <x:c r="I500" s="2" t="s">
        <x:v>1683</x:v>
      </x:c>
      <x:c r="J500" s="2" t="s">
        <x:v>1668</x:v>
      </x:c>
      <x:c r="K500" s="2"/>
      <x:c r="L500" s="2" t="s">
        <x:v>1617</x:v>
      </x:c>
      <x:c r="M500" s="2"/>
      <x:c r="N500" s="2"/>
      <x:c r="O500" s="2" t="s">
        <x:v>1600</x:v>
      </x:c>
      <x:c r="P500" s="2" t="s">
        <x:v>1684</x:v>
      </x:c>
      <x:c r="Q500" s="2"/>
      <x:c r="R500" s="3">
        <x:v>4</x:v>
      </x:c>
      <x:c r="S500" s="3"/>
      <x:c r="T500" s="2"/>
      <x:c r="U500" s="2"/>
      <x:c r="V500" s="2"/>
      <x:c r="W500" s="2"/>
      <x:c r="X500" s="3"/>
      <x:c r="Y500" s="3"/>
      <x:c r="Z500" s="2"/>
      <x:c r="AA500" s="2"/>
      <x:c r="AB500" s="2"/>
      <x:c r="AC500" s="2" t="s">
        <x:v>316</x:v>
      </x:c>
      <x:c r="AD500" s="2" t="s">
        <x:v>317</x:v>
      </x:c>
      <x:c r="AE500" s="2" t="s">
        <x:v>368</x:v>
      </x:c>
      <x:c r="AF500" s="2" t="s">
        <x:v>319</x:v>
      </x:c>
      <x:c r="AG500" s="2"/>
      <x:c r="AH500" s="2"/>
      <x:c r="AI500" s="4"/>
      <x:c r="AJ500" s="2"/>
      <x:c r="AK500" s="2" t="s">
        <x:v>320</x:v>
      </x:c>
      <x:c r="AL500" s="2" t="s">
        <x:v>1550</x:v>
      </x:c>
      <x:c r="AM500" s="2">
        <x:v>50</x:v>
      </x:c>
      <x:c r="AN500" s="2">
        <x:v>50</x:v>
      </x:c>
    </x:row>
    <x:row r="501" ht="39">
      <x:c r="A501" s="2" t="s">
        <x:v>6</x:v>
      </x:c>
      <x:c r="B501" s="2" t="s">
        <x:v>16</x:v>
      </x:c>
      <x:c r="C501" s="3">
        <x:v>49</x:v>
      </x:c>
      <x:c r="D501" s="2" t="s">
        <x:v>1685</x:v>
      </x:c>
      <x:c r="E501" s="2" t="s">
        <x:v>1615</x:v>
      </x:c>
      <x:c r="F501" s="2" t="s">
        <x:v>1671</x:v>
      </x:c>
      <x:c r="G501" s="2" t="s">
        <x:v>1686</x:v>
      </x:c>
      <x:c r="H501" s="2" t="s">
        <x:v>627</x:v>
      </x:c>
      <x:c r="I501" s="2" t="s">
        <x:v>1683</x:v>
      </x:c>
      <x:c r="J501" s="2" t="s">
        <x:v>1673</x:v>
      </x:c>
      <x:c r="K501" s="2" t="n">
        <x:v>48</x:v>
      </x:c>
      <x:c r="L501" s="2" t="s">
        <x:v>1617</x:v>
      </x:c>
      <x:c r="M501" s="2"/>
      <x:c r="N501" s="2"/>
      <x:c r="O501" s="2" t="s">
        <x:v>1674</x:v>
      </x:c>
      <x:c r="P501" s="2" t="s">
        <x:v>1687</x:v>
      </x:c>
      <x:c r="Q501" s="2"/>
      <x:c r="R501" s="3">
        <x:v>4</x:v>
      </x:c>
      <x:c r="S501" s="3"/>
      <x:c r="T501" s="2"/>
      <x:c r="U501" s="2"/>
      <x:c r="V501" s="2"/>
      <x:c r="W501" s="2"/>
      <x:c r="X501" s="3"/>
      <x:c r="Y501" s="3"/>
      <x:c r="Z501" s="2"/>
      <x:c r="AA501" s="2"/>
      <x:c r="AB501" s="2"/>
      <x:c r="AC501" s="2" t="s">
        <x:v>316</x:v>
      </x:c>
      <x:c r="AD501" s="2" t="s">
        <x:v>317</x:v>
      </x:c>
      <x:c r="AE501" s="2" t="s">
        <x:v>368</x:v>
      </x:c>
      <x:c r="AF501" s="2" t="s">
        <x:v>319</x:v>
      </x:c>
      <x:c r="AG501" s="2"/>
      <x:c r="AH501" s="2"/>
      <x:c r="AI501" s="4"/>
      <x:c r="AJ501" s="2"/>
      <x:c r="AK501" s="2" t="s">
        <x:v>320</x:v>
      </x:c>
      <x:c r="AL501" s="2" t="s">
        <x:v>1550</x:v>
      </x:c>
      <x:c r="AM501" s="2">
        <x:v>51</x:v>
      </x:c>
      <x:c r="AN501" s="2">
        <x:v>51</x:v>
      </x:c>
    </x:row>
    <x:row r="502" ht="39">
      <x:c r="A502" s="2" t="s">
        <x:v>91</x:v>
      </x:c>
      <x:c r="B502" s="2" t="s">
        <x:v>16</x:v>
      </x:c>
      <x:c r="C502" s="3">
        <x:v>50</x:v>
      </x:c>
      <x:c r="D502" s="2" t="s">
        <x:v>1676</x:v>
      </x:c>
      <x:c r="E502" s="2" t="s">
        <x:v>1615</x:v>
      </x:c>
      <x:c r="F502" s="2" t="s">
        <x:v>1595</x:v>
      </x:c>
      <x:c r="G502" s="2" t="s">
        <x:v>1688</x:v>
      </x:c>
      <x:c r="H502" s="2" t="s">
        <x:v>634</x:v>
      </x:c>
      <x:c r="I502" s="2" t="s">
        <x:v>1683</x:v>
      </x:c>
      <x:c r="J502" s="2" t="s">
        <x:v>1677</x:v>
      </x:c>
      <x:c r="K502" s="2" t="n">
        <x:v>48</x:v>
      </x:c>
      <x:c r="L502" s="2" t="s">
        <x:v>1617</x:v>
      </x:c>
      <x:c r="M502" s="2"/>
      <x:c r="N502" s="2"/>
      <x:c r="O502" s="2" t="s">
        <x:v>1678</x:v>
      </x:c>
      <x:c r="P502" s="2" t="s">
        <x:v>1679</x:v>
      </x:c>
      <x:c r="Q502" s="2"/>
      <x:c r="R502" s="3">
        <x:v>4</x:v>
      </x:c>
      <x:c r="S502" s="3"/>
      <x:c r="T502" s="2"/>
      <x:c r="U502" s="2"/>
      <x:c r="V502" s="2"/>
      <x:c r="W502" s="2"/>
      <x:c r="X502" s="3"/>
      <x:c r="Y502" s="3"/>
      <x:c r="Z502" s="2"/>
      <x:c r="AA502" s="2"/>
      <x:c r="AB502" s="2"/>
      <x:c r="AC502" s="2" t="s">
        <x:v>316</x:v>
      </x:c>
      <x:c r="AD502" s="2" t="s">
        <x:v>317</x:v>
      </x:c>
      <x:c r="AE502" s="2" t="s">
        <x:v>368</x:v>
      </x:c>
      <x:c r="AF502" s="2" t="s">
        <x:v>319</x:v>
      </x:c>
      <x:c r="AG502" s="2"/>
      <x:c r="AH502" s="2"/>
      <x:c r="AI502" s="4"/>
      <x:c r="AJ502" s="2"/>
      <x:c r="AK502" s="2" t="s">
        <x:v>320</x:v>
      </x:c>
      <x:c r="AL502" s="2" t="s">
        <x:v>1550</x:v>
      </x:c>
      <x:c r="AM502" s="2">
        <x:v>52</x:v>
      </x:c>
      <x:c r="AN502" s="2">
        <x:v>52</x:v>
      </x:c>
    </x:row>
    <x:row r="503" ht="39">
      <x:c r="A503" s="2" t="s">
        <x:v>91</x:v>
      </x:c>
      <x:c r="B503" s="2" t="s">
        <x:v>16</x:v>
      </x:c>
      <x:c r="C503" s="3">
        <x:v>51</x:v>
      </x:c>
      <x:c r="D503" s="2" t="s">
        <x:v>1680</x:v>
      </x:c>
      <x:c r="E503" s="2" t="s">
        <x:v>1615</x:v>
      </x:c>
      <x:c r="F503" s="2" t="s">
        <x:v>1671</x:v>
      </x:c>
      <x:c r="G503" s="2" t="s">
        <x:v>1689</x:v>
      </x:c>
      <x:c r="H503" s="2" t="s">
        <x:v>634</x:v>
      </x:c>
      <x:c r="I503" s="2" t="s">
        <x:v>1683</x:v>
      </x:c>
      <x:c r="J503" s="2" t="s">
        <x:v>1363</x:v>
      </x:c>
      <x:c r="K503" s="2" t="n">
        <x:v>48</x:v>
      </x:c>
      <x:c r="L503" s="2" t="s">
        <x:v>1617</x:v>
      </x:c>
      <x:c r="M503" s="2"/>
      <x:c r="N503" s="2"/>
      <x:c r="O503" s="2" t="s">
        <x:v>1681</x:v>
      </x:c>
      <x:c r="P503" s="2" t="s">
        <x:v>1690</x:v>
      </x:c>
      <x:c r="Q503" s="2"/>
      <x:c r="R503" s="3">
        <x:v>4</x:v>
      </x:c>
      <x:c r="S503" s="3"/>
      <x:c r="T503" s="2"/>
      <x:c r="U503" s="2"/>
      <x:c r="V503" s="2"/>
      <x:c r="W503" s="2"/>
      <x:c r="X503" s="3"/>
      <x:c r="Y503" s="3"/>
      <x:c r="Z503" s="2"/>
      <x:c r="AA503" s="2"/>
      <x:c r="AB503" s="2"/>
      <x:c r="AC503" s="2" t="s">
        <x:v>316</x:v>
      </x:c>
      <x:c r="AD503" s="2" t="s">
        <x:v>317</x:v>
      </x:c>
      <x:c r="AE503" s="2" t="s">
        <x:v>368</x:v>
      </x:c>
      <x:c r="AF503" s="2" t="s">
        <x:v>319</x:v>
      </x:c>
      <x:c r="AG503" s="2"/>
      <x:c r="AH503" s="2"/>
      <x:c r="AI503" s="4"/>
      <x:c r="AJ503" s="2"/>
      <x:c r="AK503" s="2" t="s">
        <x:v>320</x:v>
      </x:c>
      <x:c r="AL503" s="2" t="s">
        <x:v>1550</x:v>
      </x:c>
      <x:c r="AM503" s="2">
        <x:v>53</x:v>
      </x:c>
      <x:c r="AN503" s="2">
        <x:v>53</x:v>
      </x:c>
    </x:row>
    <x:row r="504" ht="52">
      <x:c r="A504" s="2" t="s">
        <x:v>6</x:v>
      </x:c>
      <x:c r="B504" s="2" t="s">
        <x:v>16</x:v>
      </x:c>
      <x:c r="C504" s="3">
        <x:v>52</x:v>
      </x:c>
      <x:c r="D504" s="2" t="s">
        <x:v>1607</x:v>
      </x:c>
      <x:c r="E504" s="2" t="s">
        <x:v>1691</x:v>
      </x:c>
      <x:c r="F504" s="2" t="s">
        <x:v>1608</x:v>
      </x:c>
      <x:c r="G504" s="2" t="s">
        <x:v>1692</x:v>
      </x:c>
      <x:c r="H504" s="2" t="s">
        <x:v>618</x:v>
      </x:c>
      <x:c r="I504" s="2" t="s">
        <x:v>1693</x:v>
      </x:c>
      <x:c r="J504" s="2" t="s">
        <x:v>1668</x:v>
      </x:c>
      <x:c r="K504" s="2"/>
      <x:c r="L504" s="2" t="s">
        <x:v>1609</x:v>
      </x:c>
      <x:c r="M504" s="2"/>
      <x:c r="N504" s="2"/>
      <x:c r="O504" s="2" t="s">
        <x:v>1600</x:v>
      </x:c>
      <x:c r="P504" s="2" t="s">
        <x:v>1694</x:v>
      </x:c>
      <x:c r="Q504" s="2"/>
      <x:c r="R504" s="3">
        <x:v>3</x:v>
      </x:c>
      <x:c r="S504" s="3"/>
      <x:c r="T504" s="2"/>
      <x:c r="U504" s="2"/>
      <x:c r="V504" s="2"/>
      <x:c r="W504" s="2"/>
      <x:c r="X504" s="3"/>
      <x:c r="Y504" s="3"/>
      <x:c r="Z504" s="2"/>
      <x:c r="AA504" s="2"/>
      <x:c r="AB504" s="2"/>
      <x:c r="AC504" s="2" t="s">
        <x:v>316</x:v>
      </x:c>
      <x:c r="AD504" s="2" t="s">
        <x:v>368</x:v>
      </x:c>
      <x:c r="AE504" s="2" t="s">
        <x:v>317</x:v>
      </x:c>
      <x:c r="AF504" s="2" t="s">
        <x:v>319</x:v>
      </x:c>
      <x:c r="AG504" s="2"/>
      <x:c r="AH504" s="2"/>
      <x:c r="AI504" s="4"/>
      <x:c r="AJ504" s="2"/>
      <x:c r="AK504" s="2" t="s">
        <x:v>320</x:v>
      </x:c>
      <x:c r="AL504" s="2" t="s">
        <x:v>1550</x:v>
      </x:c>
      <x:c r="AM504" s="2">
        <x:v>54</x:v>
      </x:c>
      <x:c r="AN504" s="2">
        <x:v>54</x:v>
      </x:c>
    </x:row>
    <x:row r="505" ht="39">
      <x:c r="A505" s="2" t="s">
        <x:v>6</x:v>
      </x:c>
      <x:c r="B505" s="2" t="s">
        <x:v>16</x:v>
      </x:c>
      <x:c r="C505" s="3">
        <x:v>53</x:v>
      </x:c>
      <x:c r="D505" s="2" t="s">
        <x:v>1695</x:v>
      </x:c>
      <x:c r="E505" s="2" t="s">
        <x:v>1691</x:v>
      </x:c>
      <x:c r="F505" s="2" t="s">
        <x:v>1696</x:v>
      </x:c>
      <x:c r="G505" s="2" t="s">
        <x:v>1697</x:v>
      </x:c>
      <x:c r="H505" s="2" t="s">
        <x:v>627</x:v>
      </x:c>
      <x:c r="I505" s="2" t="s">
        <x:v>1693</x:v>
      </x:c>
      <x:c r="J505" s="2" t="s">
        <x:v>1673</x:v>
      </x:c>
      <x:c r="K505" s="2" t="n">
        <x:v>52</x:v>
      </x:c>
      <x:c r="L505" s="2" t="s">
        <x:v>1609</x:v>
      </x:c>
      <x:c r="M505" s="2"/>
      <x:c r="N505" s="2"/>
      <x:c r="O505" s="2" t="s">
        <x:v>1674</x:v>
      </x:c>
      <x:c r="P505" s="2" t="s">
        <x:v>1698</x:v>
      </x:c>
      <x:c r="Q505" s="2"/>
      <x:c r="R505" s="3">
        <x:v>3</x:v>
      </x:c>
      <x:c r="S505" s="3"/>
      <x:c r="T505" s="2"/>
      <x:c r="U505" s="2"/>
      <x:c r="V505" s="2"/>
      <x:c r="W505" s="2"/>
      <x:c r="X505" s="3"/>
      <x:c r="Y505" s="3"/>
      <x:c r="Z505" s="2"/>
      <x:c r="AA505" s="2"/>
      <x:c r="AB505" s="2"/>
      <x:c r="AC505" s="2" t="s">
        <x:v>316</x:v>
      </x:c>
      <x:c r="AD505" s="2" t="s">
        <x:v>368</x:v>
      </x:c>
      <x:c r="AE505" s="2" t="s">
        <x:v>317</x:v>
      </x:c>
      <x:c r="AF505" s="2" t="s">
        <x:v>319</x:v>
      </x:c>
      <x:c r="AG505" s="2"/>
      <x:c r="AH505" s="2"/>
      <x:c r="AI505" s="4"/>
      <x:c r="AJ505" s="2"/>
      <x:c r="AK505" s="2" t="s">
        <x:v>320</x:v>
      </x:c>
      <x:c r="AL505" s="2" t="s">
        <x:v>1550</x:v>
      </x:c>
      <x:c r="AM505" s="2">
        <x:v>55</x:v>
      </x:c>
      <x:c r="AN505" s="2">
        <x:v>55</x:v>
      </x:c>
    </x:row>
    <x:row r="506" ht="39">
      <x:c r="A506" s="2" t="s">
        <x:v>91</x:v>
      </x:c>
      <x:c r="B506" s="2" t="s">
        <x:v>16</x:v>
      </x:c>
      <x:c r="C506" s="3">
        <x:v>54</x:v>
      </x:c>
      <x:c r="D506" s="2" t="s">
        <x:v>1699</x:v>
      </x:c>
      <x:c r="E506" s="2" t="s">
        <x:v>1691</x:v>
      </x:c>
      <x:c r="F506" s="2" t="s">
        <x:v>1608</x:v>
      </x:c>
      <x:c r="G506" s="2" t="s">
        <x:v>1686</x:v>
      </x:c>
      <x:c r="H506" s="2" t="s">
        <x:v>634</x:v>
      </x:c>
      <x:c r="I506" s="2" t="s">
        <x:v>1693</x:v>
      </x:c>
      <x:c r="J506" s="2" t="s">
        <x:v>1677</x:v>
      </x:c>
      <x:c r="K506" s="2" t="n">
        <x:v>52</x:v>
      </x:c>
      <x:c r="L506" s="2" t="s">
        <x:v>1609</x:v>
      </x:c>
      <x:c r="M506" s="2"/>
      <x:c r="N506" s="2"/>
      <x:c r="O506" s="2" t="s">
        <x:v>1678</x:v>
      </x:c>
      <x:c r="P506" s="2" t="s">
        <x:v>1679</x:v>
      </x:c>
      <x:c r="Q506" s="2"/>
      <x:c r="R506" s="3">
        <x:v>3</x:v>
      </x:c>
      <x:c r="S506" s="3"/>
      <x:c r="T506" s="2"/>
      <x:c r="U506" s="2"/>
      <x:c r="V506" s="2"/>
      <x:c r="W506" s="2"/>
      <x:c r="X506" s="3"/>
      <x:c r="Y506" s="3"/>
      <x:c r="Z506" s="2"/>
      <x:c r="AA506" s="2"/>
      <x:c r="AB506" s="2"/>
      <x:c r="AC506" s="2" t="s">
        <x:v>316</x:v>
      </x:c>
      <x:c r="AD506" s="2" t="s">
        <x:v>368</x:v>
      </x:c>
      <x:c r="AE506" s="2" t="s">
        <x:v>317</x:v>
      </x:c>
      <x:c r="AF506" s="2" t="s">
        <x:v>319</x:v>
      </x:c>
      <x:c r="AG506" s="2"/>
      <x:c r="AH506" s="2"/>
      <x:c r="AI506" s="4"/>
      <x:c r="AJ506" s="2"/>
      <x:c r="AK506" s="2" t="s">
        <x:v>320</x:v>
      </x:c>
      <x:c r="AL506" s="2" t="s">
        <x:v>1550</x:v>
      </x:c>
      <x:c r="AM506" s="2">
        <x:v>56</x:v>
      </x:c>
      <x:c r="AN506" s="2">
        <x:v>56</x:v>
      </x:c>
    </x:row>
    <x:row r="507" ht="39">
      <x:c r="A507" s="2" t="s">
        <x:v>6</x:v>
      </x:c>
      <x:c r="B507" s="2" t="s">
        <x:v>16</x:v>
      </x:c>
      <x:c r="C507" s="3">
        <x:v>55</x:v>
      </x:c>
      <x:c r="D507" s="2" t="s">
        <x:v>1700</x:v>
      </x:c>
      <x:c r="E507" s="2" t="s">
        <x:v>1691</x:v>
      </x:c>
      <x:c r="F507" s="2" t="s">
        <x:v>1696</x:v>
      </x:c>
      <x:c r="G507" s="2"/>
      <x:c r="H507" s="2" t="s">
        <x:v>634</x:v>
      </x:c>
      <x:c r="I507" s="2" t="s">
        <x:v>1693</x:v>
      </x:c>
      <x:c r="J507" s="2" t="s">
        <x:v>1363</x:v>
      </x:c>
      <x:c r="K507" s="2" t="n">
        <x:v>52</x:v>
      </x:c>
      <x:c r="L507" s="2" t="s">
        <x:v>1609</x:v>
      </x:c>
      <x:c r="M507" s="2"/>
      <x:c r="N507" s="2"/>
      <x:c r="O507" s="2" t="s">
        <x:v>1681</x:v>
      </x:c>
      <x:c r="P507" s="2" t="s">
        <x:v>1701</x:v>
      </x:c>
      <x:c r="Q507" s="2"/>
      <x:c r="R507" s="3">
        <x:v>3</x:v>
      </x:c>
      <x:c r="S507" s="3"/>
      <x:c r="T507" s="2"/>
      <x:c r="U507" s="2"/>
      <x:c r="V507" s="2"/>
      <x:c r="W507" s="2"/>
      <x:c r="X507" s="3"/>
      <x:c r="Y507" s="3"/>
      <x:c r="Z507" s="2"/>
      <x:c r="AA507" s="2"/>
      <x:c r="AB507" s="2"/>
      <x:c r="AC507" s="2" t="s">
        <x:v>316</x:v>
      </x:c>
      <x:c r="AD507" s="2" t="s">
        <x:v>368</x:v>
      </x:c>
      <x:c r="AE507" s="2" t="s">
        <x:v>317</x:v>
      </x:c>
      <x:c r="AF507" s="2" t="s">
        <x:v>319</x:v>
      </x:c>
      <x:c r="AG507" s="2"/>
      <x:c r="AH507" s="2"/>
      <x:c r="AI507" s="4"/>
      <x:c r="AJ507" s="2"/>
      <x:c r="AK507" s="2" t="s">
        <x:v>320</x:v>
      </x:c>
      <x:c r="AL507" s="2" t="s">
        <x:v>1550</x:v>
      </x:c>
      <x:c r="AM507" s="2">
        <x:v>57</x:v>
      </x:c>
      <x:c r="AN507" s="2">
        <x:v>57</x:v>
      </x:c>
    </x:row>
    <x:row r="508" ht="52">
      <x:c r="A508" s="2" t="s">
        <x:v>91</x:v>
      </x:c>
      <x:c r="B508" s="2" t="s">
        <x:v>16</x:v>
      </x:c>
      <x:c r="C508" s="3">
        <x:v>56</x:v>
      </x:c>
      <x:c r="D508" s="2" t="s">
        <x:v>1602</x:v>
      </x:c>
      <x:c r="E508" s="2" t="s">
        <x:v>1615</x:v>
      </x:c>
      <x:c r="F508" s="2" t="s">
        <x:v>1603</x:v>
      </x:c>
      <x:c r="G508" s="2" t="s">
        <x:v>1702</x:v>
      </x:c>
      <x:c r="H508" s="2" t="s">
        <x:v>618</x:v>
      </x:c>
      <x:c r="I508" s="2" t="s">
        <x:v>1703</x:v>
      </x:c>
      <x:c r="J508" s="2" t="s">
        <x:v>1668</x:v>
      </x:c>
      <x:c r="K508" s="2"/>
      <x:c r="L508" s="2" t="s">
        <x:v>1704</x:v>
      </x:c>
      <x:c r="M508" s="2"/>
      <x:c r="N508" s="2"/>
      <x:c r="O508" s="2" t="s">
        <x:v>1600</x:v>
      </x:c>
      <x:c r="P508" s="2" t="s">
        <x:v>1705</x:v>
      </x:c>
      <x:c r="Q508" s="2"/>
      <x:c r="R508" s="3">
        <x:v>4</x:v>
      </x:c>
      <x:c r="S508" s="3"/>
      <x:c r="T508" s="2"/>
      <x:c r="U508" s="2"/>
      <x:c r="V508" s="2"/>
      <x:c r="W508" s="2"/>
      <x:c r="X508" s="3"/>
      <x:c r="Y508" s="3"/>
      <x:c r="Z508" s="2"/>
      <x:c r="AA508" s="2"/>
      <x:c r="AB508" s="2"/>
      <x:c r="AC508" s="2" t="s">
        <x:v>326</x:v>
      </x:c>
      <x:c r="AD508" s="2" t="s">
        <x:v>317</x:v>
      </x:c>
      <x:c r="AE508" s="2" t="s">
        <x:v>368</x:v>
      </x:c>
      <x:c r="AF508" s="2" t="s">
        <x:v>319</x:v>
      </x:c>
      <x:c r="AG508" s="2"/>
      <x:c r="AH508" s="2"/>
      <x:c r="AI508" s="4"/>
      <x:c r="AJ508" s="2"/>
      <x:c r="AK508" s="2" t="s">
        <x:v>320</x:v>
      </x:c>
      <x:c r="AL508" s="2" t="s">
        <x:v>1550</x:v>
      </x:c>
      <x:c r="AM508" s="2">
        <x:v>58</x:v>
      </x:c>
      <x:c r="AN508" s="2">
        <x:v>58</x:v>
      </x:c>
    </x:row>
    <x:row r="509" ht="52">
      <x:c r="A509" s="2" t="s">
        <x:v>6</x:v>
      </x:c>
      <x:c r="B509" s="2" t="s">
        <x:v>16</x:v>
      </x:c>
      <x:c r="C509" s="3">
        <x:v>57</x:v>
      </x:c>
      <x:c r="D509" s="2" t="s">
        <x:v>1670</x:v>
      </x:c>
      <x:c r="E509" s="2" t="s">
        <x:v>1615</x:v>
      </x:c>
      <x:c r="F509" s="2" t="s">
        <x:v>1671</x:v>
      </x:c>
      <x:c r="G509" s="2" t="s">
        <x:v>1706</x:v>
      </x:c>
      <x:c r="H509" s="2" t="s">
        <x:v>627</x:v>
      </x:c>
      <x:c r="I509" s="2" t="s">
        <x:v>1703</x:v>
      </x:c>
      <x:c r="J509" s="2" t="s">
        <x:v>1673</x:v>
      </x:c>
      <x:c r="K509" s="2" t="n">
        <x:v>56</x:v>
      </x:c>
      <x:c r="L509" s="2" t="s">
        <x:v>1704</x:v>
      </x:c>
      <x:c r="M509" s="2"/>
      <x:c r="N509" s="2"/>
      <x:c r="O509" s="2" t="s">
        <x:v>1674</x:v>
      </x:c>
      <x:c r="P509" s="2" t="s">
        <x:v>1707</x:v>
      </x:c>
      <x:c r="Q509" s="2"/>
      <x:c r="R509" s="3">
        <x:v>4</x:v>
      </x:c>
      <x:c r="S509" s="3"/>
      <x:c r="T509" s="2"/>
      <x:c r="U509" s="2"/>
      <x:c r="V509" s="2"/>
      <x:c r="W509" s="2"/>
      <x:c r="X509" s="3"/>
      <x:c r="Y509" s="3"/>
      <x:c r="Z509" s="2"/>
      <x:c r="AA509" s="2"/>
      <x:c r="AB509" s="2"/>
      <x:c r="AC509" s="2" t="s">
        <x:v>326</x:v>
      </x:c>
      <x:c r="AD509" s="2" t="s">
        <x:v>317</x:v>
      </x:c>
      <x:c r="AE509" s="2" t="s">
        <x:v>368</x:v>
      </x:c>
      <x:c r="AF509" s="2" t="s">
        <x:v>319</x:v>
      </x:c>
      <x:c r="AG509" s="2"/>
      <x:c r="AH509" s="2"/>
      <x:c r="AI509" s="4"/>
      <x:c r="AJ509" s="2"/>
      <x:c r="AK509" s="2" t="s">
        <x:v>320</x:v>
      </x:c>
      <x:c r="AL509" s="2" t="s">
        <x:v>1550</x:v>
      </x:c>
      <x:c r="AM509" s="2">
        <x:v>59</x:v>
      </x:c>
      <x:c r="AN509" s="2">
        <x:v>59</x:v>
      </x:c>
    </x:row>
    <x:row r="510" ht="39">
      <x:c r="A510" s="2" t="s">
        <x:v>91</x:v>
      </x:c>
      <x:c r="B510" s="2" t="s">
        <x:v>16</x:v>
      </x:c>
      <x:c r="C510" s="3">
        <x:v>58</x:v>
      </x:c>
      <x:c r="D510" s="2" t="s">
        <x:v>1708</x:v>
      </x:c>
      <x:c r="E510" s="2" t="s">
        <x:v>1615</x:v>
      </x:c>
      <x:c r="F510" s="2" t="s">
        <x:v>1603</x:v>
      </x:c>
      <x:c r="G510" s="2" t="s">
        <x:v>1709</x:v>
      </x:c>
      <x:c r="H510" s="2" t="s">
        <x:v>634</x:v>
      </x:c>
      <x:c r="I510" s="2" t="s">
        <x:v>1703</x:v>
      </x:c>
      <x:c r="J510" s="2" t="s">
        <x:v>1677</x:v>
      </x:c>
      <x:c r="K510" s="2" t="n">
        <x:v>56</x:v>
      </x:c>
      <x:c r="L510" s="2" t="s">
        <x:v>1704</x:v>
      </x:c>
      <x:c r="M510" s="2"/>
      <x:c r="N510" s="2"/>
      <x:c r="O510" s="2" t="s">
        <x:v>1678</x:v>
      </x:c>
      <x:c r="P510" s="2" t="s">
        <x:v>1679</x:v>
      </x:c>
      <x:c r="Q510" s="2"/>
      <x:c r="R510" s="3">
        <x:v>4</x:v>
      </x:c>
      <x:c r="S510" s="3"/>
      <x:c r="T510" s="2"/>
      <x:c r="U510" s="2"/>
      <x:c r="V510" s="2"/>
      <x:c r="W510" s="2"/>
      <x:c r="X510" s="3"/>
      <x:c r="Y510" s="3"/>
      <x:c r="Z510" s="2"/>
      <x:c r="AA510" s="2"/>
      <x:c r="AB510" s="2"/>
      <x:c r="AC510" s="2" t="s">
        <x:v>326</x:v>
      </x:c>
      <x:c r="AD510" s="2" t="s">
        <x:v>317</x:v>
      </x:c>
      <x:c r="AE510" s="2" t="s">
        <x:v>368</x:v>
      </x:c>
      <x:c r="AF510" s="2" t="s">
        <x:v>319</x:v>
      </x:c>
      <x:c r="AG510" s="2"/>
      <x:c r="AH510" s="2"/>
      <x:c r="AI510" s="4"/>
      <x:c r="AJ510" s="2"/>
      <x:c r="AK510" s="2" t="s">
        <x:v>320</x:v>
      </x:c>
      <x:c r="AL510" s="2" t="s">
        <x:v>1550</x:v>
      </x:c>
      <x:c r="AM510" s="2">
        <x:v>60</x:v>
      </x:c>
      <x:c r="AN510" s="2">
        <x:v>60</x:v>
      </x:c>
    </x:row>
    <x:row r="511" ht="39">
      <x:c r="A511" s="2" t="s">
        <x:v>91</x:v>
      </x:c>
      <x:c r="B511" s="2" t="s">
        <x:v>16</x:v>
      </x:c>
      <x:c r="C511" s="3">
        <x:v>59</x:v>
      </x:c>
      <x:c r="D511" s="2" t="s">
        <x:v>1680</x:v>
      </x:c>
      <x:c r="E511" s="2" t="s">
        <x:v>1615</x:v>
      </x:c>
      <x:c r="F511" s="2" t="s">
        <x:v>1671</x:v>
      </x:c>
      <x:c r="G511" s="2" t="s">
        <x:v>1710</x:v>
      </x:c>
      <x:c r="H511" s="2" t="s">
        <x:v>634</x:v>
      </x:c>
      <x:c r="I511" s="2" t="s">
        <x:v>1703</x:v>
      </x:c>
      <x:c r="J511" s="2" t="s">
        <x:v>1363</x:v>
      </x:c>
      <x:c r="K511" s="2" t="n">
        <x:v>56</x:v>
      </x:c>
      <x:c r="L511" s="2" t="s">
        <x:v>1704</x:v>
      </x:c>
      <x:c r="M511" s="2"/>
      <x:c r="N511" s="2"/>
      <x:c r="O511" s="2" t="s">
        <x:v>1681</x:v>
      </x:c>
      <x:c r="P511" s="2" t="s">
        <x:v>1711</x:v>
      </x:c>
      <x:c r="Q511" s="2"/>
      <x:c r="R511" s="3">
        <x:v>4</x:v>
      </x:c>
      <x:c r="S511" s="3"/>
      <x:c r="T511" s="2"/>
      <x:c r="U511" s="2"/>
      <x:c r="V511" s="2"/>
      <x:c r="W511" s="2"/>
      <x:c r="X511" s="3"/>
      <x:c r="Y511" s="3"/>
      <x:c r="Z511" s="2"/>
      <x:c r="AA511" s="2"/>
      <x:c r="AB511" s="2"/>
      <x:c r="AC511" s="2" t="s">
        <x:v>326</x:v>
      </x:c>
      <x:c r="AD511" s="2" t="s">
        <x:v>317</x:v>
      </x:c>
      <x:c r="AE511" s="2" t="s">
        <x:v>368</x:v>
      </x:c>
      <x:c r="AF511" s="2" t="s">
        <x:v>319</x:v>
      </x:c>
      <x:c r="AG511" s="2"/>
      <x:c r="AH511" s="2"/>
      <x:c r="AI511" s="4"/>
      <x:c r="AJ511" s="2"/>
      <x:c r="AK511" s="2" t="s">
        <x:v>320</x:v>
      </x:c>
      <x:c r="AL511" s="2" t="s">
        <x:v>1550</x:v>
      </x:c>
      <x:c r="AM511" s="2">
        <x:v>61</x:v>
      </x:c>
      <x:c r="AN511" s="2">
        <x:v>61</x:v>
      </x:c>
    </x:row>
    <x:row r="512" ht="52">
      <x:c r="A512" s="2" t="s">
        <x:v>91</x:v>
      </x:c>
      <x:c r="B512" s="2" t="s">
        <x:v>16</x:v>
      </x:c>
      <x:c r="C512" s="3">
        <x:v>60</x:v>
      </x:c>
      <x:c r="D512" s="2" t="s">
        <x:v>1611</x:v>
      </x:c>
      <x:c r="E512" s="2" t="s">
        <x:v>1691</x:v>
      </x:c>
      <x:c r="F512" s="2" t="s">
        <x:v>1612</x:v>
      </x:c>
      <x:c r="G512" s="2" t="s">
        <x:v>1712</x:v>
      </x:c>
      <x:c r="H512" s="2" t="s">
        <x:v>618</x:v>
      </x:c>
      <x:c r="I512" s="2" t="s">
        <x:v>1713</x:v>
      </x:c>
      <x:c r="J512" s="2" t="s">
        <x:v>1668</x:v>
      </x:c>
      <x:c r="K512" s="2"/>
      <x:c r="L512" s="2" t="s">
        <x:v>1613</x:v>
      </x:c>
      <x:c r="M512" s="2"/>
      <x:c r="N512" s="2"/>
      <x:c r="O512" s="2" t="s">
        <x:v>1600</x:v>
      </x:c>
      <x:c r="P512" s="2" t="s">
        <x:v>1714</x:v>
      </x:c>
      <x:c r="Q512" s="2"/>
      <x:c r="R512" s="3">
        <x:v>3</x:v>
      </x:c>
      <x:c r="S512" s="3"/>
      <x:c r="T512" s="2"/>
      <x:c r="U512" s="2"/>
      <x:c r="V512" s="2"/>
      <x:c r="W512" s="2"/>
      <x:c r="X512" s="3"/>
      <x:c r="Y512" s="3"/>
      <x:c r="Z512" s="2"/>
      <x:c r="AA512" s="2"/>
      <x:c r="AB512" s="2"/>
      <x:c r="AC512" s="2" t="s">
        <x:v>326</x:v>
      </x:c>
      <x:c r="AD512" s="2" t="s">
        <x:v>368</x:v>
      </x:c>
      <x:c r="AE512" s="2" t="s">
        <x:v>317</x:v>
      </x:c>
      <x:c r="AF512" s="2" t="s">
        <x:v>319</x:v>
      </x:c>
      <x:c r="AG512" s="2"/>
      <x:c r="AH512" s="2"/>
      <x:c r="AI512" s="4"/>
      <x:c r="AJ512" s="2"/>
      <x:c r="AK512" s="2" t="s">
        <x:v>320</x:v>
      </x:c>
      <x:c r="AL512" s="2" t="s">
        <x:v>1550</x:v>
      </x:c>
      <x:c r="AM512" s="2">
        <x:v>62</x:v>
      </x:c>
      <x:c r="AN512" s="2">
        <x:v>62</x:v>
      </x:c>
    </x:row>
    <x:row r="513" ht="39">
      <x:c r="A513" s="2" t="s">
        <x:v>91</x:v>
      </x:c>
      <x:c r="B513" s="2" t="s">
        <x:v>16</x:v>
      </x:c>
      <x:c r="C513" s="3">
        <x:v>61</x:v>
      </x:c>
      <x:c r="D513" s="2" t="s">
        <x:v>1715</x:v>
      </x:c>
      <x:c r="E513" s="2" t="s">
        <x:v>1691</x:v>
      </x:c>
      <x:c r="F513" s="2" t="s">
        <x:v>1696</x:v>
      </x:c>
      <x:c r="G513" s="2" t="s">
        <x:v>1716</x:v>
      </x:c>
      <x:c r="H513" s="2" t="s">
        <x:v>627</x:v>
      </x:c>
      <x:c r="I513" s="2" t="s">
        <x:v>1713</x:v>
      </x:c>
      <x:c r="J513" s="2" t="s">
        <x:v>1673</x:v>
      </x:c>
      <x:c r="K513" s="2" t="n">
        <x:v>60</x:v>
      </x:c>
      <x:c r="L513" s="2" t="s">
        <x:v>1613</x:v>
      </x:c>
      <x:c r="M513" s="2"/>
      <x:c r="N513" s="2"/>
      <x:c r="O513" s="2" t="s">
        <x:v>1674</x:v>
      </x:c>
      <x:c r="P513" s="2" t="s">
        <x:v>1717</x:v>
      </x:c>
      <x:c r="Q513" s="2"/>
      <x:c r="R513" s="3">
        <x:v>3</x:v>
      </x:c>
      <x:c r="S513" s="3"/>
      <x:c r="T513" s="2"/>
      <x:c r="U513" s="2"/>
      <x:c r="V513" s="2"/>
      <x:c r="W513" s="2"/>
      <x:c r="X513" s="3"/>
      <x:c r="Y513" s="3"/>
      <x:c r="Z513" s="2"/>
      <x:c r="AA513" s="2"/>
      <x:c r="AB513" s="2"/>
      <x:c r="AC513" s="2" t="s">
        <x:v>326</x:v>
      </x:c>
      <x:c r="AD513" s="2" t="s">
        <x:v>368</x:v>
      </x:c>
      <x:c r="AE513" s="2" t="s">
        <x:v>317</x:v>
      </x:c>
      <x:c r="AF513" s="2" t="s">
        <x:v>319</x:v>
      </x:c>
      <x:c r="AG513" s="2"/>
      <x:c r="AH513" s="2"/>
      <x:c r="AI513" s="4"/>
      <x:c r="AJ513" s="2"/>
      <x:c r="AK513" s="2" t="s">
        <x:v>320</x:v>
      </x:c>
      <x:c r="AL513" s="2" t="s">
        <x:v>1550</x:v>
      </x:c>
      <x:c r="AM513" s="2">
        <x:v>63</x:v>
      </x:c>
      <x:c r="AN513" s="2">
        <x:v>63</x:v>
      </x:c>
    </x:row>
    <x:row r="514" ht="39">
      <x:c r="A514" s="2" t="s">
        <x:v>6</x:v>
      </x:c>
      <x:c r="B514" s="2" t="s">
        <x:v>16</x:v>
      </x:c>
      <x:c r="C514" s="3">
        <x:v>62</x:v>
      </x:c>
      <x:c r="D514" s="2" t="s">
        <x:v>1718</x:v>
      </x:c>
      <x:c r="E514" s="2" t="s">
        <x:v>1691</x:v>
      </x:c>
      <x:c r="F514" s="2" t="s">
        <x:v>1612</x:v>
      </x:c>
      <x:c r="G514" s="2"/>
      <x:c r="H514" s="2" t="s">
        <x:v>634</x:v>
      </x:c>
      <x:c r="I514" s="2" t="s">
        <x:v>1713</x:v>
      </x:c>
      <x:c r="J514" s="2" t="s">
        <x:v>1677</x:v>
      </x:c>
      <x:c r="K514" s="2" t="n">
        <x:v>60</x:v>
      </x:c>
      <x:c r="L514" s="2" t="s">
        <x:v>1613</x:v>
      </x:c>
      <x:c r="M514" s="2"/>
      <x:c r="N514" s="2"/>
      <x:c r="O514" s="2" t="s">
        <x:v>1678</x:v>
      </x:c>
      <x:c r="P514" s="2" t="s">
        <x:v>1679</x:v>
      </x:c>
      <x:c r="Q514" s="2"/>
      <x:c r="R514" s="3">
        <x:v>3</x:v>
      </x:c>
      <x:c r="S514" s="3"/>
      <x:c r="T514" s="2"/>
      <x:c r="U514" s="2"/>
      <x:c r="V514" s="2"/>
      <x:c r="W514" s="2"/>
      <x:c r="X514" s="3"/>
      <x:c r="Y514" s="3"/>
      <x:c r="Z514" s="2"/>
      <x:c r="AA514" s="2"/>
      <x:c r="AB514" s="2"/>
      <x:c r="AC514" s="2" t="s">
        <x:v>326</x:v>
      </x:c>
      <x:c r="AD514" s="2" t="s">
        <x:v>368</x:v>
      </x:c>
      <x:c r="AE514" s="2" t="s">
        <x:v>317</x:v>
      </x:c>
      <x:c r="AF514" s="2" t="s">
        <x:v>319</x:v>
      </x:c>
      <x:c r="AG514" s="2"/>
      <x:c r="AH514" s="2"/>
      <x:c r="AI514" s="4"/>
      <x:c r="AJ514" s="2"/>
      <x:c r="AK514" s="2" t="s">
        <x:v>320</x:v>
      </x:c>
      <x:c r="AL514" s="2" t="s">
        <x:v>1550</x:v>
      </x:c>
      <x:c r="AM514" s="2">
        <x:v>64</x:v>
      </x:c>
      <x:c r="AN514" s="2">
        <x:v>64</x:v>
      </x:c>
    </x:row>
    <x:row r="515" ht="39">
      <x:c r="A515" s="2" t="s">
        <x:v>91</x:v>
      </x:c>
      <x:c r="B515" s="2" t="s">
        <x:v>16</x:v>
      </x:c>
      <x:c r="C515" s="3">
        <x:v>63</x:v>
      </x:c>
      <x:c r="D515" s="2" t="s">
        <x:v>1700</x:v>
      </x:c>
      <x:c r="E515" s="2" t="s">
        <x:v>1691</x:v>
      </x:c>
      <x:c r="F515" s="2" t="s">
        <x:v>1696</x:v>
      </x:c>
      <x:c r="G515" s="2" t="s">
        <x:v>1719</x:v>
      </x:c>
      <x:c r="H515" s="2" t="s">
        <x:v>634</x:v>
      </x:c>
      <x:c r="I515" s="2" t="s">
        <x:v>1713</x:v>
      </x:c>
      <x:c r="J515" s="2" t="s">
        <x:v>1363</x:v>
      </x:c>
      <x:c r="K515" s="2" t="n">
        <x:v>60</x:v>
      </x:c>
      <x:c r="L515" s="2" t="s">
        <x:v>1613</x:v>
      </x:c>
      <x:c r="M515" s="2"/>
      <x:c r="N515" s="2"/>
      <x:c r="O515" s="2" t="s">
        <x:v>1681</x:v>
      </x:c>
      <x:c r="P515" s="2" t="s">
        <x:v>1720</x:v>
      </x:c>
      <x:c r="Q515" s="2"/>
      <x:c r="R515" s="3">
        <x:v>3</x:v>
      </x:c>
      <x:c r="S515" s="3"/>
      <x:c r="T515" s="2"/>
      <x:c r="U515" s="2"/>
      <x:c r="V515" s="2"/>
      <x:c r="W515" s="2"/>
      <x:c r="X515" s="3"/>
      <x:c r="Y515" s="3"/>
      <x:c r="Z515" s="2"/>
      <x:c r="AA515" s="2"/>
      <x:c r="AB515" s="2"/>
      <x:c r="AC515" s="2" t="s">
        <x:v>326</x:v>
      </x:c>
      <x:c r="AD515" s="2" t="s">
        <x:v>368</x:v>
      </x:c>
      <x:c r="AE515" s="2" t="s">
        <x:v>317</x:v>
      </x:c>
      <x:c r="AF515" s="2" t="s">
        <x:v>319</x:v>
      </x:c>
      <x:c r="AG515" s="2"/>
      <x:c r="AH515" s="2"/>
      <x:c r="AI515" s="4"/>
      <x:c r="AJ515" s="2"/>
      <x:c r="AK515" s="2" t="s">
        <x:v>320</x:v>
      </x:c>
      <x:c r="AL515" s="2" t="s">
        <x:v>1550</x:v>
      </x:c>
      <x:c r="AM515" s="2">
        <x:v>65</x:v>
      </x:c>
      <x:c r="AN515" s="2">
        <x:v>65</x:v>
      </x:c>
    </x:row>
    <x:row r="516" ht="52">
      <x:c r="A516" s="2" t="s">
        <x:v>91</x:v>
      </x:c>
      <x:c r="B516" s="2" t="s">
        <x:v>16</x:v>
      </x:c>
      <x:c r="C516" s="3">
        <x:v>64</x:v>
      </x:c>
      <x:c r="D516" s="2" t="s">
        <x:v>1611</x:v>
      </x:c>
      <x:c r="E516" s="2" t="s">
        <x:v>1721</x:v>
      </x:c>
      <x:c r="F516" s="2" t="s">
        <x:v>1612</x:v>
      </x:c>
      <x:c r="G516" s="2" t="s">
        <x:v>1722</x:v>
      </x:c>
      <x:c r="H516" s="2" t="s">
        <x:v>618</x:v>
      </x:c>
      <x:c r="I516" s="2" t="s">
        <x:v>1723</x:v>
      </x:c>
      <x:c r="J516" s="2" t="s">
        <x:v>1668</x:v>
      </x:c>
      <x:c r="K516" s="2"/>
      <x:c r="L516" s="2" t="s">
        <x:v>1624</x:v>
      </x:c>
      <x:c r="M516" s="2"/>
      <x:c r="N516" s="2"/>
      <x:c r="O516" s="2" t="s">
        <x:v>1600</x:v>
      </x:c>
      <x:c r="P516" s="2" t="s">
        <x:v>1724</x:v>
      </x:c>
      <x:c r="Q516" s="2"/>
      <x:c r="R516" s="3">
        <x:v>4</x:v>
      </x:c>
      <x:c r="S516" s="3"/>
      <x:c r="T516" s="2"/>
      <x:c r="U516" s="2"/>
      <x:c r="V516" s="2"/>
      <x:c r="W516" s="2"/>
      <x:c r="X516" s="3"/>
      <x:c r="Y516" s="3"/>
      <x:c r="Z516" s="2"/>
      <x:c r="AA516" s="2"/>
      <x:c r="AB516" s="2"/>
      <x:c r="AC516" s="2" t="s">
        <x:v>326</x:v>
      </x:c>
      <x:c r="AD516" s="2" t="s">
        <x:v>368</x:v>
      </x:c>
      <x:c r="AE516" s="2" t="s">
        <x:v>317</x:v>
      </x:c>
      <x:c r="AF516" s="2" t="s">
        <x:v>319</x:v>
      </x:c>
      <x:c r="AG516" s="2"/>
      <x:c r="AH516" s="2"/>
      <x:c r="AI516" s="4"/>
      <x:c r="AJ516" s="2"/>
      <x:c r="AK516" s="2" t="s">
        <x:v>320</x:v>
      </x:c>
      <x:c r="AL516" s="2" t="s">
        <x:v>1550</x:v>
      </x:c>
      <x:c r="AM516" s="2">
        <x:v>66</x:v>
      </x:c>
      <x:c r="AN516" s="2">
        <x:v>66</x:v>
      </x:c>
    </x:row>
    <x:row r="517" ht="39">
      <x:c r="A517" s="2" t="s">
        <x:v>6</x:v>
      </x:c>
      <x:c r="B517" s="2" t="s">
        <x:v>16</x:v>
      </x:c>
      <x:c r="C517" s="3">
        <x:v>65</x:v>
      </x:c>
      <x:c r="D517" s="2" t="s">
        <x:v>1725</x:v>
      </x:c>
      <x:c r="E517" s="2" t="s">
        <x:v>1721</x:v>
      </x:c>
      <x:c r="F517" s="2" t="s">
        <x:v>1696</x:v>
      </x:c>
      <x:c r="G517" s="2" t="s">
        <x:v>1726</x:v>
      </x:c>
      <x:c r="H517" s="2" t="s">
        <x:v>627</x:v>
      </x:c>
      <x:c r="I517" s="2" t="s">
        <x:v>1723</x:v>
      </x:c>
      <x:c r="J517" s="2" t="s">
        <x:v>1673</x:v>
      </x:c>
      <x:c r="K517" s="2" t="n">
        <x:v>64</x:v>
      </x:c>
      <x:c r="L517" s="2" t="s">
        <x:v>1624</x:v>
      </x:c>
      <x:c r="M517" s="2"/>
      <x:c r="N517" s="2"/>
      <x:c r="O517" s="2" t="s">
        <x:v>1674</x:v>
      </x:c>
      <x:c r="P517" s="2" t="s">
        <x:v>1727</x:v>
      </x:c>
      <x:c r="Q517" s="2"/>
      <x:c r="R517" s="3">
        <x:v>4</x:v>
      </x:c>
      <x:c r="S517" s="3"/>
      <x:c r="T517" s="2"/>
      <x:c r="U517" s="2"/>
      <x:c r="V517" s="2"/>
      <x:c r="W517" s="2"/>
      <x:c r="X517" s="3"/>
      <x:c r="Y517" s="3"/>
      <x:c r="Z517" s="2"/>
      <x:c r="AA517" s="2"/>
      <x:c r="AB517" s="2"/>
      <x:c r="AC517" s="2" t="s">
        <x:v>326</x:v>
      </x:c>
      <x:c r="AD517" s="2" t="s">
        <x:v>368</x:v>
      </x:c>
      <x:c r="AE517" s="2" t="s">
        <x:v>317</x:v>
      </x:c>
      <x:c r="AF517" s="2" t="s">
        <x:v>319</x:v>
      </x:c>
      <x:c r="AG517" s="2"/>
      <x:c r="AH517" s="2"/>
      <x:c r="AI517" s="4"/>
      <x:c r="AJ517" s="2"/>
      <x:c r="AK517" s="2" t="s">
        <x:v>320</x:v>
      </x:c>
      <x:c r="AL517" s="2" t="s">
        <x:v>1550</x:v>
      </x:c>
      <x:c r="AM517" s="2">
        <x:v>67</x:v>
      </x:c>
      <x:c r="AN517" s="2">
        <x:v>67</x:v>
      </x:c>
    </x:row>
    <x:row r="518" ht="39">
      <x:c r="A518" s="2" t="s">
        <x:v>6</x:v>
      </x:c>
      <x:c r="B518" s="2" t="s">
        <x:v>16</x:v>
      </x:c>
      <x:c r="C518" s="3">
        <x:v>66</x:v>
      </x:c>
      <x:c r="D518" s="2" t="s">
        <x:v>1718</x:v>
      </x:c>
      <x:c r="E518" s="2" t="s">
        <x:v>1721</x:v>
      </x:c>
      <x:c r="F518" s="2" t="s">
        <x:v>1612</x:v>
      </x:c>
      <x:c r="G518" s="2"/>
      <x:c r="H518" s="2" t="s">
        <x:v>634</x:v>
      </x:c>
      <x:c r="I518" s="2" t="s">
        <x:v>1723</x:v>
      </x:c>
      <x:c r="J518" s="2" t="s">
        <x:v>1677</x:v>
      </x:c>
      <x:c r="K518" s="2" t="n">
        <x:v>64</x:v>
      </x:c>
      <x:c r="L518" s="2" t="s">
        <x:v>1624</x:v>
      </x:c>
      <x:c r="M518" s="2"/>
      <x:c r="N518" s="2"/>
      <x:c r="O518" s="2" t="s">
        <x:v>1678</x:v>
      </x:c>
      <x:c r="P518" s="2" t="s">
        <x:v>1679</x:v>
      </x:c>
      <x:c r="Q518" s="2"/>
      <x:c r="R518" s="3">
        <x:v>4</x:v>
      </x:c>
      <x:c r="S518" s="3"/>
      <x:c r="T518" s="2"/>
      <x:c r="U518" s="2"/>
      <x:c r="V518" s="2"/>
      <x:c r="W518" s="2"/>
      <x:c r="X518" s="3"/>
      <x:c r="Y518" s="3"/>
      <x:c r="Z518" s="2"/>
      <x:c r="AA518" s="2"/>
      <x:c r="AB518" s="2"/>
      <x:c r="AC518" s="2" t="s">
        <x:v>326</x:v>
      </x:c>
      <x:c r="AD518" s="2" t="s">
        <x:v>368</x:v>
      </x:c>
      <x:c r="AE518" s="2" t="s">
        <x:v>317</x:v>
      </x:c>
      <x:c r="AF518" s="2" t="s">
        <x:v>319</x:v>
      </x:c>
      <x:c r="AG518" s="2"/>
      <x:c r="AH518" s="2"/>
      <x:c r="AI518" s="4"/>
      <x:c r="AJ518" s="2"/>
      <x:c r="AK518" s="2" t="s">
        <x:v>320</x:v>
      </x:c>
      <x:c r="AL518" s="2" t="s">
        <x:v>1550</x:v>
      </x:c>
      <x:c r="AM518" s="2">
        <x:v>68</x:v>
      </x:c>
      <x:c r="AN518" s="2">
        <x:v>68</x:v>
      </x:c>
    </x:row>
    <x:row r="519" ht="39">
      <x:c r="A519" s="2" t="s">
        <x:v>6</x:v>
      </x:c>
      <x:c r="B519" s="2" t="s">
        <x:v>16</x:v>
      </x:c>
      <x:c r="C519" s="3">
        <x:v>67</x:v>
      </x:c>
      <x:c r="D519" s="2" t="s">
        <x:v>1700</x:v>
      </x:c>
      <x:c r="E519" s="2" t="s">
        <x:v>1721</x:v>
      </x:c>
      <x:c r="F519" s="2" t="s">
        <x:v>1696</x:v>
      </x:c>
      <x:c r="G519" s="2" t="s">
        <x:v>1728</x:v>
      </x:c>
      <x:c r="H519" s="2" t="s">
        <x:v>634</x:v>
      </x:c>
      <x:c r="I519" s="2" t="s">
        <x:v>1723</x:v>
      </x:c>
      <x:c r="J519" s="2" t="s">
        <x:v>1363</x:v>
      </x:c>
      <x:c r="K519" s="2" t="n">
        <x:v>64</x:v>
      </x:c>
      <x:c r="L519" s="2" t="s">
        <x:v>1624</x:v>
      </x:c>
      <x:c r="M519" s="2"/>
      <x:c r="N519" s="2"/>
      <x:c r="O519" s="2" t="s">
        <x:v>1681</x:v>
      </x:c>
      <x:c r="P519" s="2" t="s">
        <x:v>1729</x:v>
      </x:c>
      <x:c r="Q519" s="2"/>
      <x:c r="R519" s="3">
        <x:v>4</x:v>
      </x:c>
      <x:c r="S519" s="3"/>
      <x:c r="T519" s="2"/>
      <x:c r="U519" s="2"/>
      <x:c r="V519" s="2"/>
      <x:c r="W519" s="2"/>
      <x:c r="X519" s="3"/>
      <x:c r="Y519" s="3"/>
      <x:c r="Z519" s="2"/>
      <x:c r="AA519" s="2"/>
      <x:c r="AB519" s="2"/>
      <x:c r="AC519" s="2" t="s">
        <x:v>326</x:v>
      </x:c>
      <x:c r="AD519" s="2" t="s">
        <x:v>368</x:v>
      </x:c>
      <x:c r="AE519" s="2" t="s">
        <x:v>317</x:v>
      </x:c>
      <x:c r="AF519" s="2" t="s">
        <x:v>319</x:v>
      </x:c>
      <x:c r="AG519" s="2"/>
      <x:c r="AH519" s="2"/>
      <x:c r="AI519" s="4"/>
      <x:c r="AJ519" s="2"/>
      <x:c r="AK519" s="2" t="s">
        <x:v>320</x:v>
      </x:c>
      <x:c r="AL519" s="2" t="s">
        <x:v>1550</x:v>
      </x:c>
      <x:c r="AM519" s="2">
        <x:v>69</x:v>
      </x:c>
      <x:c r="AN519" s="2">
        <x:v>69</x:v>
      </x:c>
    </x:row>
    <x:row r="520" ht="52">
      <x:c r="A520" s="2" t="s">
        <x:v>6</x:v>
      </x:c>
      <x:c r="B520" s="2" t="s">
        <x:v>16</x:v>
      </x:c>
      <x:c r="C520" s="3">
        <x:v>68</x:v>
      </x:c>
      <x:c r="D520" s="2" t="s">
        <x:v>1636</x:v>
      </x:c>
      <x:c r="E520" s="2" t="s">
        <x:v>1594</x:v>
      </x:c>
      <x:c r="F520" s="2" t="s">
        <x:v>1637</x:v>
      </x:c>
      <x:c r="G520" s="2"/>
      <x:c r="H520" s="2" t="s">
        <x:v>618</x:v>
      </x:c>
      <x:c r="I520" s="2" t="s">
        <x:v>1730</x:v>
      </x:c>
      <x:c r="J520" s="2" t="s">
        <x:v>1668</x:v>
      </x:c>
      <x:c r="K520" s="2"/>
      <x:c r="L520" s="2" t="s">
        <x:v>1731</x:v>
      </x:c>
      <x:c r="M520" s="2"/>
      <x:c r="N520" s="2"/>
      <x:c r="O520" s="2" t="s">
        <x:v>1600</x:v>
      </x:c>
      <x:c r="P520" s="2" t="s">
        <x:v>1732</x:v>
      </x:c>
      <x:c r="Q520" s="2"/>
      <x:c r="R520" s="3">
        <x:v>3</x:v>
      </x:c>
      <x:c r="S520" s="3"/>
      <x:c r="T520" s="2"/>
      <x:c r="U520" s="2"/>
      <x:c r="V520" s="2"/>
      <x:c r="W520" s="2"/>
      <x:c r="X520" s="3"/>
      <x:c r="Y520" s="3"/>
      <x:c r="Z520" s="2"/>
      <x:c r="AA520" s="2"/>
      <x:c r="AB520" s="2"/>
      <x:c r="AC520" s="2" t="s">
        <x:v>367</x:v>
      </x:c>
      <x:c r="AD520" s="2" t="s">
        <x:v>317</x:v>
      </x:c>
      <x:c r="AE520" s="2" t="s">
        <x:v>368</x:v>
      </x:c>
      <x:c r="AF520" s="2" t="s">
        <x:v>319</x:v>
      </x:c>
      <x:c r="AG520" s="2"/>
      <x:c r="AH520" s="2"/>
      <x:c r="AI520" s="4"/>
      <x:c r="AJ520" s="2"/>
      <x:c r="AK520" s="2" t="s">
        <x:v>320</x:v>
      </x:c>
      <x:c r="AL520" s="2" t="s">
        <x:v>1550</x:v>
      </x:c>
      <x:c r="AM520" s="2">
        <x:v>70</x:v>
      </x:c>
      <x:c r="AN520" s="2">
        <x:v>70</x:v>
      </x:c>
    </x:row>
    <x:row r="521" ht="39">
      <x:c r="A521" s="2" t="s">
        <x:v>6</x:v>
      </x:c>
      <x:c r="B521" s="2" t="s">
        <x:v>16</x:v>
      </x:c>
      <x:c r="C521" s="3">
        <x:v>69</x:v>
      </x:c>
      <x:c r="D521" s="2" t="s">
        <x:v>1670</x:v>
      </x:c>
      <x:c r="E521" s="2" t="s">
        <x:v>1594</x:v>
      </x:c>
      <x:c r="F521" s="2" t="s">
        <x:v>1671</x:v>
      </x:c>
      <x:c r="G521" s="2"/>
      <x:c r="H521" s="2" t="s">
        <x:v>627</x:v>
      </x:c>
      <x:c r="I521" s="2" t="s">
        <x:v>1730</x:v>
      </x:c>
      <x:c r="J521" s="2" t="s">
        <x:v>1673</x:v>
      </x:c>
      <x:c r="K521" s="2" t="n">
        <x:v>68</x:v>
      </x:c>
      <x:c r="L521" s="2" t="s">
        <x:v>1731</x:v>
      </x:c>
      <x:c r="M521" s="2"/>
      <x:c r="N521" s="2"/>
      <x:c r="O521" s="2" t="s">
        <x:v>1674</x:v>
      </x:c>
      <x:c r="P521" s="2" t="s">
        <x:v>1733</x:v>
      </x:c>
      <x:c r="Q521" s="2"/>
      <x:c r="R521" s="3">
        <x:v>3</x:v>
      </x:c>
      <x:c r="S521" s="3"/>
      <x:c r="T521" s="2"/>
      <x:c r="U521" s="2"/>
      <x:c r="V521" s="2"/>
      <x:c r="W521" s="2"/>
      <x:c r="X521" s="3"/>
      <x:c r="Y521" s="3"/>
      <x:c r="Z521" s="2"/>
      <x:c r="AA521" s="2"/>
      <x:c r="AB521" s="2"/>
      <x:c r="AC521" s="2" t="s">
        <x:v>367</x:v>
      </x:c>
      <x:c r="AD521" s="2" t="s">
        <x:v>317</x:v>
      </x:c>
      <x:c r="AE521" s="2" t="s">
        <x:v>368</x:v>
      </x:c>
      <x:c r="AF521" s="2" t="s">
        <x:v>319</x:v>
      </x:c>
      <x:c r="AG521" s="2"/>
      <x:c r="AH521" s="2"/>
      <x:c r="AI521" s="4"/>
      <x:c r="AJ521" s="2"/>
      <x:c r="AK521" s="2" t="s">
        <x:v>320</x:v>
      </x:c>
      <x:c r="AL521" s="2" t="s">
        <x:v>1550</x:v>
      </x:c>
      <x:c r="AM521" s="2">
        <x:v>71</x:v>
      </x:c>
      <x:c r="AN521" s="2">
        <x:v>71</x:v>
      </x:c>
    </x:row>
    <x:row r="522" ht="39">
      <x:c r="A522" s="2" t="s">
        <x:v>6</x:v>
      </x:c>
      <x:c r="B522" s="2" t="s">
        <x:v>16</x:v>
      </x:c>
      <x:c r="C522" s="3">
        <x:v>70</x:v>
      </x:c>
      <x:c r="D522" s="2" t="s">
        <x:v>1734</x:v>
      </x:c>
      <x:c r="E522" s="2" t="s">
        <x:v>1594</x:v>
      </x:c>
      <x:c r="F522" s="2" t="s">
        <x:v>1637</x:v>
      </x:c>
      <x:c r="G522" s="2"/>
      <x:c r="H522" s="2" t="s">
        <x:v>634</x:v>
      </x:c>
      <x:c r="I522" s="2" t="s">
        <x:v>1730</x:v>
      </x:c>
      <x:c r="J522" s="2" t="s">
        <x:v>1677</x:v>
      </x:c>
      <x:c r="K522" s="2" t="n">
        <x:v>68</x:v>
      </x:c>
      <x:c r="L522" s="2" t="s">
        <x:v>1731</x:v>
      </x:c>
      <x:c r="M522" s="2"/>
      <x:c r="N522" s="2"/>
      <x:c r="O522" s="2" t="s">
        <x:v>1678</x:v>
      </x:c>
      <x:c r="P522" s="2" t="s">
        <x:v>1679</x:v>
      </x:c>
      <x:c r="Q522" s="2"/>
      <x:c r="R522" s="3">
        <x:v>3</x:v>
      </x:c>
      <x:c r="S522" s="3"/>
      <x:c r="T522" s="2"/>
      <x:c r="U522" s="2"/>
      <x:c r="V522" s="2"/>
      <x:c r="W522" s="2"/>
      <x:c r="X522" s="3"/>
      <x:c r="Y522" s="3"/>
      <x:c r="Z522" s="2"/>
      <x:c r="AA522" s="2"/>
      <x:c r="AB522" s="2"/>
      <x:c r="AC522" s="2" t="s">
        <x:v>367</x:v>
      </x:c>
      <x:c r="AD522" s="2" t="s">
        <x:v>317</x:v>
      </x:c>
      <x:c r="AE522" s="2" t="s">
        <x:v>368</x:v>
      </x:c>
      <x:c r="AF522" s="2" t="s">
        <x:v>319</x:v>
      </x:c>
      <x:c r="AG522" s="2"/>
      <x:c r="AH522" s="2"/>
      <x:c r="AI522" s="4"/>
      <x:c r="AJ522" s="2"/>
      <x:c r="AK522" s="2" t="s">
        <x:v>320</x:v>
      </x:c>
      <x:c r="AL522" s="2" t="s">
        <x:v>1550</x:v>
      </x:c>
      <x:c r="AM522" s="2">
        <x:v>72</x:v>
      </x:c>
      <x:c r="AN522" s="2">
        <x:v>72</x:v>
      </x:c>
    </x:row>
    <x:row r="523" ht="39">
      <x:c r="A523" s="2" t="s">
        <x:v>6</x:v>
      </x:c>
      <x:c r="B523" s="2" t="s">
        <x:v>16</x:v>
      </x:c>
      <x:c r="C523" s="3">
        <x:v>71</x:v>
      </x:c>
      <x:c r="D523" s="2" t="s">
        <x:v>1680</x:v>
      </x:c>
      <x:c r="E523" s="2" t="s">
        <x:v>1594</x:v>
      </x:c>
      <x:c r="F523" s="2" t="s">
        <x:v>1671</x:v>
      </x:c>
      <x:c r="G523" s="2" t="s">
        <x:v>1735</x:v>
      </x:c>
      <x:c r="H523" s="2" t="s">
        <x:v>634</x:v>
      </x:c>
      <x:c r="I523" s="2" t="s">
        <x:v>1730</x:v>
      </x:c>
      <x:c r="J523" s="2" t="s">
        <x:v>1363</x:v>
      </x:c>
      <x:c r="K523" s="2" t="n">
        <x:v>68</x:v>
      </x:c>
      <x:c r="L523" s="2" t="s">
        <x:v>1731</x:v>
      </x:c>
      <x:c r="M523" s="2"/>
      <x:c r="N523" s="2"/>
      <x:c r="O523" s="2" t="s">
        <x:v>1681</x:v>
      </x:c>
      <x:c r="P523" s="2" t="s">
        <x:v>1736</x:v>
      </x:c>
      <x:c r="Q523" s="2"/>
      <x:c r="R523" s="3">
        <x:v>3</x:v>
      </x:c>
      <x:c r="S523" s="3"/>
      <x:c r="T523" s="2"/>
      <x:c r="U523" s="2"/>
      <x:c r="V523" s="2"/>
      <x:c r="W523" s="2"/>
      <x:c r="X523" s="3"/>
      <x:c r="Y523" s="3"/>
      <x:c r="Z523" s="2"/>
      <x:c r="AA523" s="2"/>
      <x:c r="AB523" s="2"/>
      <x:c r="AC523" s="2" t="s">
        <x:v>367</x:v>
      </x:c>
      <x:c r="AD523" s="2" t="s">
        <x:v>317</x:v>
      </x:c>
      <x:c r="AE523" s="2" t="s">
        <x:v>368</x:v>
      </x:c>
      <x:c r="AF523" s="2" t="s">
        <x:v>319</x:v>
      </x:c>
      <x:c r="AG523" s="2"/>
      <x:c r="AH523" s="2"/>
      <x:c r="AI523" s="4"/>
      <x:c r="AJ523" s="2"/>
      <x:c r="AK523" s="2" t="s">
        <x:v>320</x:v>
      </x:c>
      <x:c r="AL523" s="2" t="s">
        <x:v>1550</x:v>
      </x:c>
      <x:c r="AM523" s="2">
        <x:v>73</x:v>
      </x:c>
      <x:c r="AN523" s="2">
        <x:v>73</x:v>
      </x:c>
    </x:row>
    <x:row r="524" ht="52">
      <x:c r="A524" s="2" t="s">
        <x:v>6</x:v>
      </x:c>
      <x:c r="B524" s="2" t="s">
        <x:v>16</x:v>
      </x:c>
      <x:c r="C524" s="3">
        <x:v>72</x:v>
      </x:c>
      <x:c r="D524" s="2" t="s">
        <x:v>1646</x:v>
      </x:c>
      <x:c r="E524" s="2" t="s">
        <x:v>1721</x:v>
      </x:c>
      <x:c r="F524" s="2" t="s">
        <x:v>1647</x:v>
      </x:c>
      <x:c r="G524" s="2"/>
      <x:c r="H524" s="2" t="s">
        <x:v>618</x:v>
      </x:c>
      <x:c r="I524" s="2" t="s">
        <x:v>1737</x:v>
      </x:c>
      <x:c r="J524" s="2" t="s">
        <x:v>1668</x:v>
      </x:c>
      <x:c r="K524" s="2"/>
      <x:c r="L524" s="2" t="s">
        <x:v>1649</x:v>
      </x:c>
      <x:c r="M524" s="2"/>
      <x:c r="N524" s="2"/>
      <x:c r="O524" s="2" t="s">
        <x:v>1600</x:v>
      </x:c>
      <x:c r="P524" s="2" t="s">
        <x:v>1738</x:v>
      </x:c>
      <x:c r="Q524" s="2"/>
      <x:c r="R524" s="3">
        <x:v>4</x:v>
      </x:c>
      <x:c r="S524" s="3"/>
      <x:c r="T524" s="2"/>
      <x:c r="U524" s="2"/>
      <x:c r="V524" s="2"/>
      <x:c r="W524" s="2"/>
      <x:c r="X524" s="3"/>
      <x:c r="Y524" s="3"/>
      <x:c r="Z524" s="2"/>
      <x:c r="AA524" s="2"/>
      <x:c r="AB524" s="2"/>
      <x:c r="AC524" s="2" t="s">
        <x:v>367</x:v>
      </x:c>
      <x:c r="AD524" s="2" t="s">
        <x:v>368</x:v>
      </x:c>
      <x:c r="AE524" s="2" t="s">
        <x:v>317</x:v>
      </x:c>
      <x:c r="AF524" s="2" t="s">
        <x:v>319</x:v>
      </x:c>
      <x:c r="AG524" s="2"/>
      <x:c r="AH524" s="2"/>
      <x:c r="AI524" s="4"/>
      <x:c r="AJ524" s="2"/>
      <x:c r="AK524" s="2" t="s">
        <x:v>320</x:v>
      </x:c>
      <x:c r="AL524" s="2" t="s">
        <x:v>1550</x:v>
      </x:c>
      <x:c r="AM524" s="2">
        <x:v>74</x:v>
      </x:c>
      <x:c r="AN524" s="2">
        <x:v>74</x:v>
      </x:c>
    </x:row>
    <x:row r="525" ht="39">
      <x:c r="A525" s="2" t="s">
        <x:v>6</x:v>
      </x:c>
      <x:c r="B525" s="2" t="s">
        <x:v>16</x:v>
      </x:c>
      <x:c r="C525" s="3">
        <x:v>73</x:v>
      </x:c>
      <x:c r="D525" s="2" t="s">
        <x:v>1725</x:v>
      </x:c>
      <x:c r="E525" s="2" t="s">
        <x:v>1721</x:v>
      </x:c>
      <x:c r="F525" s="2" t="s">
        <x:v>1696</x:v>
      </x:c>
      <x:c r="G525" s="2" t="s">
        <x:v>1739</x:v>
      </x:c>
      <x:c r="H525" s="2" t="s">
        <x:v>627</x:v>
      </x:c>
      <x:c r="I525" s="2" t="s">
        <x:v>1737</x:v>
      </x:c>
      <x:c r="J525" s="2" t="s">
        <x:v>1673</x:v>
      </x:c>
      <x:c r="K525" s="2" t="n">
        <x:v>72</x:v>
      </x:c>
      <x:c r="L525" s="2" t="s">
        <x:v>1649</x:v>
      </x:c>
      <x:c r="M525" s="2"/>
      <x:c r="N525" s="2"/>
      <x:c r="O525" s="2" t="s">
        <x:v>1674</x:v>
      </x:c>
      <x:c r="P525" s="2" t="s">
        <x:v>1740</x:v>
      </x:c>
      <x:c r="Q525" s="2"/>
      <x:c r="R525" s="3">
        <x:v>4</x:v>
      </x:c>
      <x:c r="S525" s="3"/>
      <x:c r="T525" s="2"/>
      <x:c r="U525" s="2"/>
      <x:c r="V525" s="2"/>
      <x:c r="W525" s="2"/>
      <x:c r="X525" s="3"/>
      <x:c r="Y525" s="3"/>
      <x:c r="Z525" s="2"/>
      <x:c r="AA525" s="2"/>
      <x:c r="AB525" s="2"/>
      <x:c r="AC525" s="2" t="s">
        <x:v>367</x:v>
      </x:c>
      <x:c r="AD525" s="2" t="s">
        <x:v>368</x:v>
      </x:c>
      <x:c r="AE525" s="2" t="s">
        <x:v>317</x:v>
      </x:c>
      <x:c r="AF525" s="2" t="s">
        <x:v>319</x:v>
      </x:c>
      <x:c r="AG525" s="2"/>
      <x:c r="AH525" s="2"/>
      <x:c r="AI525" s="4"/>
      <x:c r="AJ525" s="2"/>
      <x:c r="AK525" s="2" t="s">
        <x:v>320</x:v>
      </x:c>
      <x:c r="AL525" s="2" t="s">
        <x:v>1550</x:v>
      </x:c>
      <x:c r="AM525" s="2">
        <x:v>75</x:v>
      </x:c>
      <x:c r="AN525" s="2">
        <x:v>75</x:v>
      </x:c>
    </x:row>
    <x:row r="526" ht="39">
      <x:c r="A526" s="2" t="s">
        <x:v>6</x:v>
      </x:c>
      <x:c r="B526" s="2" t="s">
        <x:v>16</x:v>
      </x:c>
      <x:c r="C526" s="3">
        <x:v>74</x:v>
      </x:c>
      <x:c r="D526" s="2" t="s">
        <x:v>1741</x:v>
      </x:c>
      <x:c r="E526" s="2" t="s">
        <x:v>1721</x:v>
      </x:c>
      <x:c r="F526" s="2" t="s">
        <x:v>1647</x:v>
      </x:c>
      <x:c r="G526" s="2"/>
      <x:c r="H526" s="2" t="s">
        <x:v>634</x:v>
      </x:c>
      <x:c r="I526" s="2" t="s">
        <x:v>1737</x:v>
      </x:c>
      <x:c r="J526" s="2" t="s">
        <x:v>1677</x:v>
      </x:c>
      <x:c r="K526" s="2" t="n">
        <x:v>72</x:v>
      </x:c>
      <x:c r="L526" s="2" t="s">
        <x:v>1649</x:v>
      </x:c>
      <x:c r="M526" s="2"/>
      <x:c r="N526" s="2"/>
      <x:c r="O526" s="2" t="s">
        <x:v>1678</x:v>
      </x:c>
      <x:c r="P526" s="2" t="s">
        <x:v>1679</x:v>
      </x:c>
      <x:c r="Q526" s="2"/>
      <x:c r="R526" s="3">
        <x:v>4</x:v>
      </x:c>
      <x:c r="S526" s="3"/>
      <x:c r="T526" s="2"/>
      <x:c r="U526" s="2"/>
      <x:c r="V526" s="2"/>
      <x:c r="W526" s="2"/>
      <x:c r="X526" s="3"/>
      <x:c r="Y526" s="3"/>
      <x:c r="Z526" s="2"/>
      <x:c r="AA526" s="2"/>
      <x:c r="AB526" s="2"/>
      <x:c r="AC526" s="2" t="s">
        <x:v>367</x:v>
      </x:c>
      <x:c r="AD526" s="2" t="s">
        <x:v>368</x:v>
      </x:c>
      <x:c r="AE526" s="2" t="s">
        <x:v>317</x:v>
      </x:c>
      <x:c r="AF526" s="2" t="s">
        <x:v>319</x:v>
      </x:c>
      <x:c r="AG526" s="2"/>
      <x:c r="AH526" s="2"/>
      <x:c r="AI526" s="4"/>
      <x:c r="AJ526" s="2"/>
      <x:c r="AK526" s="2" t="s">
        <x:v>320</x:v>
      </x:c>
      <x:c r="AL526" s="2" t="s">
        <x:v>1550</x:v>
      </x:c>
      <x:c r="AM526" s="2">
        <x:v>76</x:v>
      </x:c>
      <x:c r="AN526" s="2">
        <x:v>76</x:v>
      </x:c>
    </x:row>
    <x:row r="527" ht="39">
      <x:c r="A527" s="2" t="s">
        <x:v>6</x:v>
      </x:c>
      <x:c r="B527" s="2" t="s">
        <x:v>16</x:v>
      </x:c>
      <x:c r="C527" s="3">
        <x:v>75</x:v>
      </x:c>
      <x:c r="D527" s="2" t="s">
        <x:v>1700</x:v>
      </x:c>
      <x:c r="E527" s="2" t="s">
        <x:v>1721</x:v>
      </x:c>
      <x:c r="F527" s="2" t="s">
        <x:v>1696</x:v>
      </x:c>
      <x:c r="G527" s="2" t="s">
        <x:v>1742</x:v>
      </x:c>
      <x:c r="H527" s="2" t="s">
        <x:v>634</x:v>
      </x:c>
      <x:c r="I527" s="2" t="s">
        <x:v>1737</x:v>
      </x:c>
      <x:c r="J527" s="2" t="s">
        <x:v>1363</x:v>
      </x:c>
      <x:c r="K527" s="2" t="n">
        <x:v>72</x:v>
      </x:c>
      <x:c r="L527" s="2" t="s">
        <x:v>1649</x:v>
      </x:c>
      <x:c r="M527" s="2"/>
      <x:c r="N527" s="2"/>
      <x:c r="O527" s="2" t="s">
        <x:v>1681</x:v>
      </x:c>
      <x:c r="P527" s="2" t="s">
        <x:v>1743</x:v>
      </x:c>
      <x:c r="Q527" s="2"/>
      <x:c r="R527" s="3">
        <x:v>4</x:v>
      </x:c>
      <x:c r="S527" s="3"/>
      <x:c r="T527" s="2"/>
      <x:c r="U527" s="2"/>
      <x:c r="V527" s="2"/>
      <x:c r="W527" s="2"/>
      <x:c r="X527" s="3"/>
      <x:c r="Y527" s="3"/>
      <x:c r="Z527" s="2"/>
      <x:c r="AA527" s="2"/>
      <x:c r="AB527" s="2"/>
      <x:c r="AC527" s="2" t="s">
        <x:v>367</x:v>
      </x:c>
      <x:c r="AD527" s="2" t="s">
        <x:v>368</x:v>
      </x:c>
      <x:c r="AE527" s="2" t="s">
        <x:v>317</x:v>
      </x:c>
      <x:c r="AF527" s="2" t="s">
        <x:v>319</x:v>
      </x:c>
      <x:c r="AG527" s="2"/>
      <x:c r="AH527" s="2"/>
      <x:c r="AI527" s="4"/>
      <x:c r="AJ527" s="2"/>
      <x:c r="AK527" s="2" t="s">
        <x:v>320</x:v>
      </x:c>
      <x:c r="AL527" s="2" t="s">
        <x:v>1550</x:v>
      </x:c>
      <x:c r="AM527" s="2">
        <x:v>77</x:v>
      </x:c>
      <x:c r="AN527" s="2">
        <x:v>77</x:v>
      </x:c>
    </x:row>
    <x:row r="528" ht="52">
      <x:c r="A528" s="2" t="s">
        <x:v>6</x:v>
      </x:c>
      <x:c r="B528" s="2" t="s">
        <x:v>16</x:v>
      </x:c>
      <x:c r="C528" s="3">
        <x:v>76</x:v>
      </x:c>
      <x:c r="D528" s="2" t="s">
        <x:v>1642</x:v>
      </x:c>
      <x:c r="E528" s="2" t="s">
        <x:v>1594</x:v>
      </x:c>
      <x:c r="F528" s="2" t="s">
        <x:v>1643</x:v>
      </x:c>
      <x:c r="G528" s="2"/>
      <x:c r="H528" s="2" t="s">
        <x:v>618</x:v>
      </x:c>
      <x:c r="I528" s="2" t="s">
        <x:v>1744</x:v>
      </x:c>
      <x:c r="J528" s="2" t="s">
        <x:v>1668</x:v>
      </x:c>
      <x:c r="K528" s="2"/>
      <x:c r="L528" s="2" t="s">
        <x:v>1745</x:v>
      </x:c>
      <x:c r="M528" s="2"/>
      <x:c r="N528" s="2"/>
      <x:c r="O528" s="2" t="s">
        <x:v>1600</x:v>
      </x:c>
      <x:c r="P528" s="2" t="s">
        <x:v>1746</x:v>
      </x:c>
      <x:c r="Q528" s="2"/>
      <x:c r="R528" s="3">
        <x:v>3</x:v>
      </x:c>
      <x:c r="S528" s="3"/>
      <x:c r="T528" s="2"/>
      <x:c r="U528" s="2"/>
      <x:c r="V528" s="2"/>
      <x:c r="W528" s="2"/>
      <x:c r="X528" s="3"/>
      <x:c r="Y528" s="3"/>
      <x:c r="Z528" s="2"/>
      <x:c r="AA528" s="2"/>
      <x:c r="AB528" s="2"/>
      <x:c r="AC528" s="2" t="s">
        <x:v>374</x:v>
      </x:c>
      <x:c r="AD528" s="2" t="s">
        <x:v>317</x:v>
      </x:c>
      <x:c r="AE528" s="2" t="s">
        <x:v>368</x:v>
      </x:c>
      <x:c r="AF528" s="2" t="s">
        <x:v>319</x:v>
      </x:c>
      <x:c r="AG528" s="2"/>
      <x:c r="AH528" s="2"/>
      <x:c r="AI528" s="4"/>
      <x:c r="AJ528" s="2"/>
      <x:c r="AK528" s="2" t="s">
        <x:v>320</x:v>
      </x:c>
      <x:c r="AL528" s="2" t="s">
        <x:v>1550</x:v>
      </x:c>
      <x:c r="AM528" s="2">
        <x:v>78</x:v>
      </x:c>
      <x:c r="AN528" s="2">
        <x:v>78</x:v>
      </x:c>
    </x:row>
    <x:row r="529" ht="39">
      <x:c r="A529" s="2" t="s">
        <x:v>6</x:v>
      </x:c>
      <x:c r="B529" s="2" t="s">
        <x:v>16</x:v>
      </x:c>
      <x:c r="C529" s="3">
        <x:v>77</x:v>
      </x:c>
      <x:c r="D529" s="2" t="s">
        <x:v>1670</x:v>
      </x:c>
      <x:c r="E529" s="2" t="s">
        <x:v>1594</x:v>
      </x:c>
      <x:c r="F529" s="2" t="s">
        <x:v>1671</x:v>
      </x:c>
      <x:c r="G529" s="2"/>
      <x:c r="H529" s="2" t="s">
        <x:v>627</x:v>
      </x:c>
      <x:c r="I529" s="2" t="s">
        <x:v>1744</x:v>
      </x:c>
      <x:c r="J529" s="2" t="s">
        <x:v>1673</x:v>
      </x:c>
      <x:c r="K529" s="2" t="n">
        <x:v>76</x:v>
      </x:c>
      <x:c r="L529" s="2" t="s">
        <x:v>1745</x:v>
      </x:c>
      <x:c r="M529" s="2"/>
      <x:c r="N529" s="2"/>
      <x:c r="O529" s="2" t="s">
        <x:v>1674</x:v>
      </x:c>
      <x:c r="P529" s="2" t="s">
        <x:v>1747</x:v>
      </x:c>
      <x:c r="Q529" s="2"/>
      <x:c r="R529" s="3">
        <x:v>3</x:v>
      </x:c>
      <x:c r="S529" s="3"/>
      <x:c r="T529" s="2"/>
      <x:c r="U529" s="2"/>
      <x:c r="V529" s="2"/>
      <x:c r="W529" s="2"/>
      <x:c r="X529" s="3"/>
      <x:c r="Y529" s="3"/>
      <x:c r="Z529" s="2"/>
      <x:c r="AA529" s="2"/>
      <x:c r="AB529" s="2"/>
      <x:c r="AC529" s="2" t="s">
        <x:v>374</x:v>
      </x:c>
      <x:c r="AD529" s="2" t="s">
        <x:v>317</x:v>
      </x:c>
      <x:c r="AE529" s="2" t="s">
        <x:v>368</x:v>
      </x:c>
      <x:c r="AF529" s="2" t="s">
        <x:v>319</x:v>
      </x:c>
      <x:c r="AG529" s="2"/>
      <x:c r="AH529" s="2"/>
      <x:c r="AI529" s="4"/>
      <x:c r="AJ529" s="2"/>
      <x:c r="AK529" s="2" t="s">
        <x:v>320</x:v>
      </x:c>
      <x:c r="AL529" s="2" t="s">
        <x:v>1550</x:v>
      </x:c>
      <x:c r="AM529" s="2">
        <x:v>79</x:v>
      </x:c>
      <x:c r="AN529" s="2">
        <x:v>79</x:v>
      </x:c>
    </x:row>
    <x:row r="530" ht="39">
      <x:c r="A530" s="2" t="s">
        <x:v>6</x:v>
      </x:c>
      <x:c r="B530" s="2" t="s">
        <x:v>16</x:v>
      </x:c>
      <x:c r="C530" s="3">
        <x:v>78</x:v>
      </x:c>
      <x:c r="D530" s="2" t="s">
        <x:v>1748</x:v>
      </x:c>
      <x:c r="E530" s="2" t="s">
        <x:v>1594</x:v>
      </x:c>
      <x:c r="F530" s="2" t="s">
        <x:v>1643</x:v>
      </x:c>
      <x:c r="G530" s="2"/>
      <x:c r="H530" s="2" t="s">
        <x:v>634</x:v>
      </x:c>
      <x:c r="I530" s="2" t="s">
        <x:v>1744</x:v>
      </x:c>
      <x:c r="J530" s="2" t="s">
        <x:v>1677</x:v>
      </x:c>
      <x:c r="K530" s="2" t="n">
        <x:v>76</x:v>
      </x:c>
      <x:c r="L530" s="2" t="s">
        <x:v>1745</x:v>
      </x:c>
      <x:c r="M530" s="2"/>
      <x:c r="N530" s="2"/>
      <x:c r="O530" s="2" t="s">
        <x:v>1678</x:v>
      </x:c>
      <x:c r="P530" s="2" t="s">
        <x:v>1679</x:v>
      </x:c>
      <x:c r="Q530" s="2"/>
      <x:c r="R530" s="3">
        <x:v>3</x:v>
      </x:c>
      <x:c r="S530" s="3"/>
      <x:c r="T530" s="2"/>
      <x:c r="U530" s="2"/>
      <x:c r="V530" s="2"/>
      <x:c r="W530" s="2"/>
      <x:c r="X530" s="3"/>
      <x:c r="Y530" s="3"/>
      <x:c r="Z530" s="2"/>
      <x:c r="AA530" s="2"/>
      <x:c r="AB530" s="2"/>
      <x:c r="AC530" s="2" t="s">
        <x:v>374</x:v>
      </x:c>
      <x:c r="AD530" s="2" t="s">
        <x:v>317</x:v>
      </x:c>
      <x:c r="AE530" s="2" t="s">
        <x:v>368</x:v>
      </x:c>
      <x:c r="AF530" s="2" t="s">
        <x:v>319</x:v>
      </x:c>
      <x:c r="AG530" s="2"/>
      <x:c r="AH530" s="2"/>
      <x:c r="AI530" s="4"/>
      <x:c r="AJ530" s="2"/>
      <x:c r="AK530" s="2" t="s">
        <x:v>320</x:v>
      </x:c>
      <x:c r="AL530" s="2" t="s">
        <x:v>1550</x:v>
      </x:c>
      <x:c r="AM530" s="2">
        <x:v>80</x:v>
      </x:c>
      <x:c r="AN530" s="2">
        <x:v>80</x:v>
      </x:c>
    </x:row>
    <x:row r="531" ht="39">
      <x:c r="A531" s="2" t="s">
        <x:v>6</x:v>
      </x:c>
      <x:c r="B531" s="2" t="s">
        <x:v>16</x:v>
      </x:c>
      <x:c r="C531" s="3">
        <x:v>79</x:v>
      </x:c>
      <x:c r="D531" s="2" t="s">
        <x:v>1680</x:v>
      </x:c>
      <x:c r="E531" s="2" t="s">
        <x:v>1594</x:v>
      </x:c>
      <x:c r="F531" s="2" t="s">
        <x:v>1671</x:v>
      </x:c>
      <x:c r="G531" s="2" t="s">
        <x:v>1749</x:v>
      </x:c>
      <x:c r="H531" s="2" t="s">
        <x:v>634</x:v>
      </x:c>
      <x:c r="I531" s="2" t="s">
        <x:v>1744</x:v>
      </x:c>
      <x:c r="J531" s="2" t="s">
        <x:v>1363</x:v>
      </x:c>
      <x:c r="K531" s="2" t="n">
        <x:v>76</x:v>
      </x:c>
      <x:c r="L531" s="2" t="s">
        <x:v>1745</x:v>
      </x:c>
      <x:c r="M531" s="2"/>
      <x:c r="N531" s="2"/>
      <x:c r="O531" s="2" t="s">
        <x:v>1681</x:v>
      </x:c>
      <x:c r="P531" s="2" t="s">
        <x:v>1750</x:v>
      </x:c>
      <x:c r="Q531" s="2"/>
      <x:c r="R531" s="3">
        <x:v>3</x:v>
      </x:c>
      <x:c r="S531" s="3"/>
      <x:c r="T531" s="2"/>
      <x:c r="U531" s="2"/>
      <x:c r="V531" s="2"/>
      <x:c r="W531" s="2"/>
      <x:c r="X531" s="3"/>
      <x:c r="Y531" s="3"/>
      <x:c r="Z531" s="2"/>
      <x:c r="AA531" s="2"/>
      <x:c r="AB531" s="2"/>
      <x:c r="AC531" s="2" t="s">
        <x:v>374</x:v>
      </x:c>
      <x:c r="AD531" s="2" t="s">
        <x:v>317</x:v>
      </x:c>
      <x:c r="AE531" s="2" t="s">
        <x:v>368</x:v>
      </x:c>
      <x:c r="AF531" s="2" t="s">
        <x:v>319</x:v>
      </x:c>
      <x:c r="AG531" s="2"/>
      <x:c r="AH531" s="2"/>
      <x:c r="AI531" s="4"/>
      <x:c r="AJ531" s="2"/>
      <x:c r="AK531" s="2" t="s">
        <x:v>320</x:v>
      </x:c>
      <x:c r="AL531" s="2" t="s">
        <x:v>1550</x:v>
      </x:c>
      <x:c r="AM531" s="2">
        <x:v>81</x:v>
      </x:c>
      <x:c r="AN531" s="2">
        <x:v>81</x:v>
      </x:c>
    </x:row>
    <x:row r="532" ht="52">
      <x:c r="A532" s="2" t="s">
        <x:v>6</x:v>
      </x:c>
      <x:c r="B532" s="2" t="s">
        <x:v>16</x:v>
      </x:c>
      <x:c r="C532" s="3">
        <x:v>80</x:v>
      </x:c>
      <x:c r="D532" s="2" t="s">
        <x:v>1651</x:v>
      </x:c>
      <x:c r="E532" s="2" t="s">
        <x:v>1721</x:v>
      </x:c>
      <x:c r="F532" s="2" t="s">
        <x:v>1652</x:v>
      </x:c>
      <x:c r="G532" s="2" t="s">
        <x:v>1751</x:v>
      </x:c>
      <x:c r="H532" s="2" t="s">
        <x:v>618</x:v>
      </x:c>
      <x:c r="I532" s="2" t="s">
        <x:v>1752</x:v>
      </x:c>
      <x:c r="J532" s="2" t="s">
        <x:v>1668</x:v>
      </x:c>
      <x:c r="K532" s="2"/>
      <x:c r="L532" s="2" t="s">
        <x:v>1653</x:v>
      </x:c>
      <x:c r="M532" s="2"/>
      <x:c r="N532" s="2"/>
      <x:c r="O532" s="2" t="s">
        <x:v>1600</x:v>
      </x:c>
      <x:c r="P532" s="2" t="s">
        <x:v>1753</x:v>
      </x:c>
      <x:c r="Q532" s="2"/>
      <x:c r="R532" s="3">
        <x:v>4</x:v>
      </x:c>
      <x:c r="S532" s="3"/>
      <x:c r="T532" s="2"/>
      <x:c r="U532" s="2"/>
      <x:c r="V532" s="2"/>
      <x:c r="W532" s="2"/>
      <x:c r="X532" s="3"/>
      <x:c r="Y532" s="3"/>
      <x:c r="Z532" s="2"/>
      <x:c r="AA532" s="2"/>
      <x:c r="AB532" s="2"/>
      <x:c r="AC532" s="2" t="s">
        <x:v>374</x:v>
      </x:c>
      <x:c r="AD532" s="2" t="s">
        <x:v>368</x:v>
      </x:c>
      <x:c r="AE532" s="2" t="s">
        <x:v>317</x:v>
      </x:c>
      <x:c r="AF532" s="2" t="s">
        <x:v>319</x:v>
      </x:c>
      <x:c r="AG532" s="2"/>
      <x:c r="AH532" s="2"/>
      <x:c r="AI532" s="4"/>
      <x:c r="AJ532" s="2"/>
      <x:c r="AK532" s="2" t="s">
        <x:v>320</x:v>
      </x:c>
      <x:c r="AL532" s="2" t="s">
        <x:v>1550</x:v>
      </x:c>
      <x:c r="AM532" s="2">
        <x:v>82</x:v>
      </x:c>
      <x:c r="AN532" s="2">
        <x:v>82</x:v>
      </x:c>
    </x:row>
    <x:row r="533" ht="39">
      <x:c r="A533" s="2" t="s">
        <x:v>6</x:v>
      </x:c>
      <x:c r="B533" s="2" t="s">
        <x:v>16</x:v>
      </x:c>
      <x:c r="C533" s="3">
        <x:v>81</x:v>
      </x:c>
      <x:c r="D533" s="2" t="s">
        <x:v>1695</x:v>
      </x:c>
      <x:c r="E533" s="2" t="s">
        <x:v>1721</x:v>
      </x:c>
      <x:c r="F533" s="2" t="s">
        <x:v>1696</x:v>
      </x:c>
      <x:c r="G533" s="2"/>
      <x:c r="H533" s="2" t="s">
        <x:v>627</x:v>
      </x:c>
      <x:c r="I533" s="2" t="s">
        <x:v>1752</x:v>
      </x:c>
      <x:c r="J533" s="2" t="s">
        <x:v>1673</x:v>
      </x:c>
      <x:c r="K533" s="2" t="n">
        <x:v>80</x:v>
      </x:c>
      <x:c r="L533" s="2" t="s">
        <x:v>1653</x:v>
      </x:c>
      <x:c r="M533" s="2"/>
      <x:c r="N533" s="2"/>
      <x:c r="O533" s="2" t="s">
        <x:v>1674</x:v>
      </x:c>
      <x:c r="P533" s="2" t="s">
        <x:v>1754</x:v>
      </x:c>
      <x:c r="Q533" s="2"/>
      <x:c r="R533" s="3">
        <x:v>4</x:v>
      </x:c>
      <x:c r="S533" s="3"/>
      <x:c r="T533" s="2"/>
      <x:c r="U533" s="2"/>
      <x:c r="V533" s="2"/>
      <x:c r="W533" s="2"/>
      <x:c r="X533" s="3"/>
      <x:c r="Y533" s="3"/>
      <x:c r="Z533" s="2"/>
      <x:c r="AA533" s="2"/>
      <x:c r="AB533" s="2"/>
      <x:c r="AC533" s="2" t="s">
        <x:v>374</x:v>
      </x:c>
      <x:c r="AD533" s="2" t="s">
        <x:v>368</x:v>
      </x:c>
      <x:c r="AE533" s="2" t="s">
        <x:v>317</x:v>
      </x:c>
      <x:c r="AF533" s="2" t="s">
        <x:v>319</x:v>
      </x:c>
      <x:c r="AG533" s="2"/>
      <x:c r="AH533" s="2"/>
      <x:c r="AI533" s="4"/>
      <x:c r="AJ533" s="2"/>
      <x:c r="AK533" s="2" t="s">
        <x:v>320</x:v>
      </x:c>
      <x:c r="AL533" s="2" t="s">
        <x:v>1550</x:v>
      </x:c>
      <x:c r="AM533" s="2">
        <x:v>83</x:v>
      </x:c>
      <x:c r="AN533" s="2">
        <x:v>83</x:v>
      </x:c>
    </x:row>
    <x:row r="534" ht="39">
      <x:c r="A534" s="2" t="s">
        <x:v>91</x:v>
      </x:c>
      <x:c r="B534" s="2" t="s">
        <x:v>16</x:v>
      </x:c>
      <x:c r="C534" s="3">
        <x:v>82</x:v>
      </x:c>
      <x:c r="D534" s="2" t="s">
        <x:v>1755</x:v>
      </x:c>
      <x:c r="E534" s="2" t="s">
        <x:v>1721</x:v>
      </x:c>
      <x:c r="F534" s="2" t="s">
        <x:v>1652</x:v>
      </x:c>
      <x:c r="G534" s="2" t="s">
        <x:v>1756</x:v>
      </x:c>
      <x:c r="H534" s="2" t="s">
        <x:v>634</x:v>
      </x:c>
      <x:c r="I534" s="2" t="s">
        <x:v>1752</x:v>
      </x:c>
      <x:c r="J534" s="2" t="s">
        <x:v>1677</x:v>
      </x:c>
      <x:c r="K534" s="2" t="n">
        <x:v>80</x:v>
      </x:c>
      <x:c r="L534" s="2" t="s">
        <x:v>1653</x:v>
      </x:c>
      <x:c r="M534" s="2"/>
      <x:c r="N534" s="2"/>
      <x:c r="O534" s="2" t="s">
        <x:v>1678</x:v>
      </x:c>
      <x:c r="P534" s="2" t="s">
        <x:v>1679</x:v>
      </x:c>
      <x:c r="Q534" s="2"/>
      <x:c r="R534" s="3">
        <x:v>4</x:v>
      </x:c>
      <x:c r="S534" s="3"/>
      <x:c r="T534" s="2"/>
      <x:c r="U534" s="2"/>
      <x:c r="V534" s="2"/>
      <x:c r="W534" s="2"/>
      <x:c r="X534" s="3"/>
      <x:c r="Y534" s="3"/>
      <x:c r="Z534" s="2"/>
      <x:c r="AA534" s="2"/>
      <x:c r="AB534" s="2"/>
      <x:c r="AC534" s="2" t="s">
        <x:v>374</x:v>
      </x:c>
      <x:c r="AD534" s="2" t="s">
        <x:v>368</x:v>
      </x:c>
      <x:c r="AE534" s="2" t="s">
        <x:v>317</x:v>
      </x:c>
      <x:c r="AF534" s="2" t="s">
        <x:v>319</x:v>
      </x:c>
      <x:c r="AG534" s="2"/>
      <x:c r="AH534" s="2"/>
      <x:c r="AI534" s="4"/>
      <x:c r="AJ534" s="2"/>
      <x:c r="AK534" s="2" t="s">
        <x:v>320</x:v>
      </x:c>
      <x:c r="AL534" s="2" t="s">
        <x:v>1550</x:v>
      </x:c>
      <x:c r="AM534" s="2">
        <x:v>84</x:v>
      </x:c>
      <x:c r="AN534" s="2">
        <x:v>84</x:v>
      </x:c>
    </x:row>
    <x:row r="535" ht="39">
      <x:c r="A535" s="2" t="s">
        <x:v>6</x:v>
      </x:c>
      <x:c r="B535" s="2" t="s">
        <x:v>16</x:v>
      </x:c>
      <x:c r="C535" s="3">
        <x:v>83</x:v>
      </x:c>
      <x:c r="D535" s="2" t="s">
        <x:v>1700</x:v>
      </x:c>
      <x:c r="E535" s="2" t="s">
        <x:v>1721</x:v>
      </x:c>
      <x:c r="F535" s="2" t="s">
        <x:v>1696</x:v>
      </x:c>
      <x:c r="G535" s="2" t="s">
        <x:v>1756</x:v>
      </x:c>
      <x:c r="H535" s="2" t="s">
        <x:v>634</x:v>
      </x:c>
      <x:c r="I535" s="2" t="s">
        <x:v>1752</x:v>
      </x:c>
      <x:c r="J535" s="2" t="s">
        <x:v>1363</x:v>
      </x:c>
      <x:c r="K535" s="2" t="n">
        <x:v>80</x:v>
      </x:c>
      <x:c r="L535" s="2" t="s">
        <x:v>1653</x:v>
      </x:c>
      <x:c r="M535" s="2"/>
      <x:c r="N535" s="2"/>
      <x:c r="O535" s="2" t="s">
        <x:v>1681</x:v>
      </x:c>
      <x:c r="P535" s="2" t="s">
        <x:v>1757</x:v>
      </x:c>
      <x:c r="Q535" s="2"/>
      <x:c r="R535" s="3">
        <x:v>4</x:v>
      </x:c>
      <x:c r="S535" s="3"/>
      <x:c r="T535" s="2"/>
      <x:c r="U535" s="2"/>
      <x:c r="V535" s="2"/>
      <x:c r="W535" s="2"/>
      <x:c r="X535" s="3"/>
      <x:c r="Y535" s="3"/>
      <x:c r="Z535" s="2"/>
      <x:c r="AA535" s="2"/>
      <x:c r="AB535" s="2"/>
      <x:c r="AC535" s="2" t="s">
        <x:v>374</x:v>
      </x:c>
      <x:c r="AD535" s="2" t="s">
        <x:v>368</x:v>
      </x:c>
      <x:c r="AE535" s="2" t="s">
        <x:v>317</x:v>
      </x:c>
      <x:c r="AF535" s="2" t="s">
        <x:v>319</x:v>
      </x:c>
      <x:c r="AG535" s="2"/>
      <x:c r="AH535" s="2"/>
      <x:c r="AI535" s="4"/>
      <x:c r="AJ535" s="2"/>
      <x:c r="AK535" s="2" t="s">
        <x:v>320</x:v>
      </x:c>
      <x:c r="AL535" s="2" t="s">
        <x:v>1550</x:v>
      </x:c>
      <x:c r="AM535" s="2">
        <x:v>85</x:v>
      </x:c>
      <x:c r="AN535" s="2">
        <x:v>85</x:v>
      </x:c>
    </x:row>
    <x:row r="536" ht="52">
      <x:c r="A536" s="2" t="s">
        <x:v>91</x:v>
      </x:c>
      <x:c r="B536" s="2" t="s">
        <x:v>16</x:v>
      </x:c>
      <x:c r="C536" s="3">
        <x:v>84</x:v>
      </x:c>
      <x:c r="D536" s="2" t="s">
        <x:v>1593</x:v>
      </x:c>
      <x:c r="E536" s="2" t="s">
        <x:v>1758</x:v>
      </x:c>
      <x:c r="F536" s="2" t="s">
        <x:v>1595</x:v>
      </x:c>
      <x:c r="G536" s="2" t="s">
        <x:v>1759</x:v>
      </x:c>
      <x:c r="H536" s="2" t="s">
        <x:v>618</x:v>
      </x:c>
      <x:c r="I536" s="2" t="s">
        <x:v>1760</x:v>
      </x:c>
      <x:c r="J536" s="2" t="s">
        <x:v>1668</x:v>
      </x:c>
      <x:c r="K536" s="2"/>
      <x:c r="L536" s="2" t="s">
        <x:v>1617</x:v>
      </x:c>
      <x:c r="M536" s="2"/>
      <x:c r="N536" s="2"/>
      <x:c r="O536" s="2" t="s">
        <x:v>1600</x:v>
      </x:c>
      <x:c r="P536" s="2" t="s">
        <x:v>1684</x:v>
      </x:c>
      <x:c r="Q536" s="2"/>
      <x:c r="R536" s="3">
        <x:v>4</x:v>
      </x:c>
      <x:c r="S536" s="3"/>
      <x:c r="T536" s="2"/>
      <x:c r="U536" s="2"/>
      <x:c r="V536" s="2"/>
      <x:c r="W536" s="2"/>
      <x:c r="X536" s="3"/>
      <x:c r="Y536" s="3"/>
      <x:c r="Z536" s="2"/>
      <x:c r="AA536" s="2"/>
      <x:c r="AB536" s="2"/>
      <x:c r="AC536" s="2" t="s">
        <x:v>316</x:v>
      </x:c>
      <x:c r="AD536" s="2" t="s">
        <x:v>317</x:v>
      </x:c>
      <x:c r="AE536" s="2" t="s">
        <x:v>368</x:v>
      </x:c>
      <x:c r="AF536" s="2" t="s">
        <x:v>319</x:v>
      </x:c>
      <x:c r="AG536" s="2"/>
      <x:c r="AH536" s="2"/>
      <x:c r="AI536" s="4"/>
      <x:c r="AJ536" s="2"/>
      <x:c r="AK536" s="2" t="s">
        <x:v>320</x:v>
      </x:c>
      <x:c r="AL536" s="2" t="s">
        <x:v>1550</x:v>
      </x:c>
      <x:c r="AM536" s="2">
        <x:v>86</x:v>
      </x:c>
      <x:c r="AN536" s="2">
        <x:v>86</x:v>
      </x:c>
    </x:row>
    <x:row r="537" ht="39">
      <x:c r="A537" s="2" t="s">
        <x:v>6</x:v>
      </x:c>
      <x:c r="B537" s="2" t="s">
        <x:v>16</x:v>
      </x:c>
      <x:c r="C537" s="3">
        <x:v>85</x:v>
      </x:c>
      <x:c r="D537" s="2" t="s">
        <x:v>1685</x:v>
      </x:c>
      <x:c r="E537" s="2" t="s">
        <x:v>1758</x:v>
      </x:c>
      <x:c r="F537" s="2" t="s">
        <x:v>1671</x:v>
      </x:c>
      <x:c r="G537" s="2" t="s">
        <x:v>1761</x:v>
      </x:c>
      <x:c r="H537" s="2" t="s">
        <x:v>627</x:v>
      </x:c>
      <x:c r="I537" s="2" t="s">
        <x:v>1760</x:v>
      </x:c>
      <x:c r="J537" s="2" t="s">
        <x:v>1673</x:v>
      </x:c>
      <x:c r="K537" s="2" t="n">
        <x:v>84</x:v>
      </x:c>
      <x:c r="L537" s="2" t="s">
        <x:v>1617</x:v>
      </x:c>
      <x:c r="M537" s="2"/>
      <x:c r="N537" s="2"/>
      <x:c r="O537" s="2" t="s">
        <x:v>1674</x:v>
      </x:c>
      <x:c r="P537" s="2" t="s">
        <x:v>1687</x:v>
      </x:c>
      <x:c r="Q537" s="2"/>
      <x:c r="R537" s="3">
        <x:v>4</x:v>
      </x:c>
      <x:c r="S537" s="3"/>
      <x:c r="T537" s="2"/>
      <x:c r="U537" s="2"/>
      <x:c r="V537" s="2"/>
      <x:c r="W537" s="2"/>
      <x:c r="X537" s="3"/>
      <x:c r="Y537" s="3"/>
      <x:c r="Z537" s="2"/>
      <x:c r="AA537" s="2"/>
      <x:c r="AB537" s="2"/>
      <x:c r="AC537" s="2" t="s">
        <x:v>316</x:v>
      </x:c>
      <x:c r="AD537" s="2" t="s">
        <x:v>317</x:v>
      </x:c>
      <x:c r="AE537" s="2" t="s">
        <x:v>368</x:v>
      </x:c>
      <x:c r="AF537" s="2" t="s">
        <x:v>319</x:v>
      </x:c>
      <x:c r="AG537" s="2"/>
      <x:c r="AH537" s="2"/>
      <x:c r="AI537" s="4"/>
      <x:c r="AJ537" s="2"/>
      <x:c r="AK537" s="2" t="s">
        <x:v>320</x:v>
      </x:c>
      <x:c r="AL537" s="2" t="s">
        <x:v>1550</x:v>
      </x:c>
      <x:c r="AM537" s="2">
        <x:v>87</x:v>
      </x:c>
      <x:c r="AN537" s="2">
        <x:v>87</x:v>
      </x:c>
    </x:row>
    <x:row r="538" ht="52">
      <x:c r="A538" s="2" t="s">
        <x:v>91</x:v>
      </x:c>
      <x:c r="B538" s="2" t="s">
        <x:v>16</x:v>
      </x:c>
      <x:c r="C538" s="3">
        <x:v>86</x:v>
      </x:c>
      <x:c r="D538" s="2" t="s">
        <x:v>1607</x:v>
      </x:c>
      <x:c r="E538" s="2" t="s">
        <x:v>1762</x:v>
      </x:c>
      <x:c r="F538" s="2" t="s">
        <x:v>1608</x:v>
      </x:c>
      <x:c r="G538" s="2" t="s">
        <x:v>1763</x:v>
      </x:c>
      <x:c r="H538" s="2" t="s">
        <x:v>618</x:v>
      </x:c>
      <x:c r="I538" s="2" t="s">
        <x:v>1764</x:v>
      </x:c>
      <x:c r="J538" s="2" t="s">
        <x:v>1668</x:v>
      </x:c>
      <x:c r="K538" s="2"/>
      <x:c r="L538" s="2" t="s">
        <x:v>1632</x:v>
      </x:c>
      <x:c r="M538" s="2"/>
      <x:c r="N538" s="2"/>
      <x:c r="O538" s="2" t="s">
        <x:v>1600</x:v>
      </x:c>
      <x:c r="P538" s="2" t="s">
        <x:v>1765</x:v>
      </x:c>
      <x:c r="Q538" s="2"/>
      <x:c r="R538" s="3">
        <x:v>3</x:v>
      </x:c>
      <x:c r="S538" s="3"/>
      <x:c r="T538" s="2"/>
      <x:c r="U538" s="2"/>
      <x:c r="V538" s="2"/>
      <x:c r="W538" s="2"/>
      <x:c r="X538" s="3"/>
      <x:c r="Y538" s="3"/>
      <x:c r="Z538" s="2"/>
      <x:c r="AA538" s="2"/>
      <x:c r="AB538" s="2"/>
      <x:c r="AC538" s="2" t="s">
        <x:v>316</x:v>
      </x:c>
      <x:c r="AD538" s="2" t="s">
        <x:v>368</x:v>
      </x:c>
      <x:c r="AE538" s="2" t="s">
        <x:v>317</x:v>
      </x:c>
      <x:c r="AF538" s="2" t="s">
        <x:v>319</x:v>
      </x:c>
      <x:c r="AG538" s="2"/>
      <x:c r="AH538" s="2"/>
      <x:c r="AI538" s="4"/>
      <x:c r="AJ538" s="2"/>
      <x:c r="AK538" s="2" t="s">
        <x:v>320</x:v>
      </x:c>
      <x:c r="AL538" s="2" t="s">
        <x:v>1550</x:v>
      </x:c>
      <x:c r="AM538" s="2">
        <x:v>88</x:v>
      </x:c>
      <x:c r="AN538" s="2">
        <x:v>88</x:v>
      </x:c>
    </x:row>
    <x:row r="539" ht="39">
      <x:c r="A539" s="2" t="s">
        <x:v>6</x:v>
      </x:c>
      <x:c r="B539" s="2" t="s">
        <x:v>16</x:v>
      </x:c>
      <x:c r="C539" s="3">
        <x:v>87</x:v>
      </x:c>
      <x:c r="D539" s="2" t="s">
        <x:v>1725</x:v>
      </x:c>
      <x:c r="E539" s="2" t="s">
        <x:v>1762</x:v>
      </x:c>
      <x:c r="F539" s="2" t="s">
        <x:v>1696</x:v>
      </x:c>
      <x:c r="G539" s="2" t="s">
        <x:v>1766</x:v>
      </x:c>
      <x:c r="H539" s="2" t="s">
        <x:v>627</x:v>
      </x:c>
      <x:c r="I539" s="2" t="s">
        <x:v>1764</x:v>
      </x:c>
      <x:c r="J539" s="2" t="s">
        <x:v>1673</x:v>
      </x:c>
      <x:c r="K539" s="2" t="n">
        <x:v>86</x:v>
      </x:c>
      <x:c r="L539" s="2" t="s">
        <x:v>1632</x:v>
      </x:c>
      <x:c r="M539" s="2"/>
      <x:c r="N539" s="2"/>
      <x:c r="O539" s="2" t="s">
        <x:v>1674</x:v>
      </x:c>
      <x:c r="P539" s="2" t="s">
        <x:v>1767</x:v>
      </x:c>
      <x:c r="Q539" s="2"/>
      <x:c r="R539" s="3">
        <x:v>3</x:v>
      </x:c>
      <x:c r="S539" s="3"/>
      <x:c r="T539" s="2"/>
      <x:c r="U539" s="2"/>
      <x:c r="V539" s="2"/>
      <x:c r="W539" s="2"/>
      <x:c r="X539" s="3"/>
      <x:c r="Y539" s="3"/>
      <x:c r="Z539" s="2"/>
      <x:c r="AA539" s="2"/>
      <x:c r="AB539" s="2"/>
      <x:c r="AC539" s="2" t="s">
        <x:v>316</x:v>
      </x:c>
      <x:c r="AD539" s="2" t="s">
        <x:v>368</x:v>
      </x:c>
      <x:c r="AE539" s="2" t="s">
        <x:v>317</x:v>
      </x:c>
      <x:c r="AF539" s="2" t="s">
        <x:v>319</x:v>
      </x:c>
      <x:c r="AG539" s="2"/>
      <x:c r="AH539" s="2"/>
      <x:c r="AI539" s="4"/>
      <x:c r="AJ539" s="2"/>
      <x:c r="AK539" s="2" t="s">
        <x:v>320</x:v>
      </x:c>
      <x:c r="AL539" s="2" t="s">
        <x:v>1550</x:v>
      </x:c>
      <x:c r="AM539" s="2">
        <x:v>89</x:v>
      </x:c>
      <x:c r="AN539" s="2">
        <x:v>89</x:v>
      </x:c>
    </x:row>
    <x:row r="540" ht="52">
      <x:c r="A540" s="2" t="s">
        <x:v>91</x:v>
      </x:c>
      <x:c r="B540" s="2" t="s">
        <x:v>16</x:v>
      </x:c>
      <x:c r="C540" s="3">
        <x:v>88</x:v>
      </x:c>
      <x:c r="D540" s="2" t="s">
        <x:v>1602</x:v>
      </x:c>
      <x:c r="E540" s="2" t="s">
        <x:v>1594</x:v>
      </x:c>
      <x:c r="F540" s="2" t="s">
        <x:v>1603</x:v>
      </x:c>
      <x:c r="G540" s="2" t="s">
        <x:v>1768</x:v>
      </x:c>
      <x:c r="H540" s="2" t="s">
        <x:v>618</x:v>
      </x:c>
      <x:c r="I540" s="2" t="s">
        <x:v>1769</x:v>
      </x:c>
      <x:c r="J540" s="2" t="s">
        <x:v>1668</x:v>
      </x:c>
      <x:c r="K540" s="2"/>
      <x:c r="L540" s="2" t="s">
        <x:v>1604</x:v>
      </x:c>
      <x:c r="M540" s="2"/>
      <x:c r="N540" s="2"/>
      <x:c r="O540" s="2" t="s">
        <x:v>1600</x:v>
      </x:c>
      <x:c r="P540" s="2" t="s">
        <x:v>1770</x:v>
      </x:c>
      <x:c r="Q540" s="2"/>
      <x:c r="R540" s="3">
        <x:v>3</x:v>
      </x:c>
      <x:c r="S540" s="3"/>
      <x:c r="T540" s="2"/>
      <x:c r="U540" s="2"/>
      <x:c r="V540" s="2"/>
      <x:c r="W540" s="2"/>
      <x:c r="X540" s="3"/>
      <x:c r="Y540" s="3"/>
      <x:c r="Z540" s="2"/>
      <x:c r="AA540" s="2"/>
      <x:c r="AB540" s="2"/>
      <x:c r="AC540" s="2" t="s">
        <x:v>326</x:v>
      </x:c>
      <x:c r="AD540" s="2" t="s">
        <x:v>317</x:v>
      </x:c>
      <x:c r="AE540" s="2" t="s">
        <x:v>368</x:v>
      </x:c>
      <x:c r="AF540" s="2" t="s">
        <x:v>319</x:v>
      </x:c>
      <x:c r="AG540" s="2"/>
      <x:c r="AH540" s="2"/>
      <x:c r="AI540" s="4"/>
      <x:c r="AJ540" s="2"/>
      <x:c r="AK540" s="2" t="s">
        <x:v>320</x:v>
      </x:c>
      <x:c r="AL540" s="2" t="s">
        <x:v>1550</x:v>
      </x:c>
      <x:c r="AM540" s="2">
        <x:v>90</x:v>
      </x:c>
      <x:c r="AN540" s="2">
        <x:v>90</x:v>
      </x:c>
    </x:row>
    <x:row r="541" ht="39">
      <x:c r="A541" s="2" t="s">
        <x:v>6</x:v>
      </x:c>
      <x:c r="B541" s="2" t="s">
        <x:v>16</x:v>
      </x:c>
      <x:c r="C541" s="3">
        <x:v>89</x:v>
      </x:c>
      <x:c r="D541" s="2" t="s">
        <x:v>1670</x:v>
      </x:c>
      <x:c r="E541" s="2" t="s">
        <x:v>1594</x:v>
      </x:c>
      <x:c r="F541" s="2" t="s">
        <x:v>1671</x:v>
      </x:c>
      <x:c r="G541" s="2" t="s">
        <x:v>1771</x:v>
      </x:c>
      <x:c r="H541" s="2" t="s">
        <x:v>627</x:v>
      </x:c>
      <x:c r="I541" s="2" t="s">
        <x:v>1769</x:v>
      </x:c>
      <x:c r="J541" s="2" t="s">
        <x:v>1673</x:v>
      </x:c>
      <x:c r="K541" s="2" t="n">
        <x:v>88</x:v>
      </x:c>
      <x:c r="L541" s="2" t="s">
        <x:v>1604</x:v>
      </x:c>
      <x:c r="M541" s="2"/>
      <x:c r="N541" s="2"/>
      <x:c r="O541" s="2" t="s">
        <x:v>1674</x:v>
      </x:c>
      <x:c r="P541" s="2" t="s">
        <x:v>1772</x:v>
      </x:c>
      <x:c r="Q541" s="2"/>
      <x:c r="R541" s="3">
        <x:v>3</x:v>
      </x:c>
      <x:c r="S541" s="3"/>
      <x:c r="T541" s="2"/>
      <x:c r="U541" s="2"/>
      <x:c r="V541" s="2"/>
      <x:c r="W541" s="2"/>
      <x:c r="X541" s="3"/>
      <x:c r="Y541" s="3"/>
      <x:c r="Z541" s="2"/>
      <x:c r="AA541" s="2"/>
      <x:c r="AB541" s="2"/>
      <x:c r="AC541" s="2" t="s">
        <x:v>326</x:v>
      </x:c>
      <x:c r="AD541" s="2" t="s">
        <x:v>317</x:v>
      </x:c>
      <x:c r="AE541" s="2" t="s">
        <x:v>368</x:v>
      </x:c>
      <x:c r="AF541" s="2" t="s">
        <x:v>319</x:v>
      </x:c>
      <x:c r="AG541" s="2"/>
      <x:c r="AH541" s="2"/>
      <x:c r="AI541" s="4"/>
      <x:c r="AJ541" s="2"/>
      <x:c r="AK541" s="2" t="s">
        <x:v>320</x:v>
      </x:c>
      <x:c r="AL541" s="2" t="s">
        <x:v>1550</x:v>
      </x:c>
      <x:c r="AM541" s="2">
        <x:v>91</x:v>
      </x:c>
      <x:c r="AN541" s="2">
        <x:v>91</x:v>
      </x:c>
    </x:row>
    <x:row r="542" ht="52">
      <x:c r="A542" s="2" t="s">
        <x:v>6</x:v>
      </x:c>
      <x:c r="B542" s="2" t="s">
        <x:v>16</x:v>
      </x:c>
      <x:c r="C542" s="3">
        <x:v>90</x:v>
      </x:c>
      <x:c r="D542" s="2" t="s">
        <x:v>1611</x:v>
      </x:c>
      <x:c r="E542" s="2" t="s">
        <x:v>1721</x:v>
      </x:c>
      <x:c r="F542" s="2" t="s">
        <x:v>1612</x:v>
      </x:c>
      <x:c r="G542" s="2" t="s">
        <x:v>1773</x:v>
      </x:c>
      <x:c r="H542" s="2" t="s">
        <x:v>618</x:v>
      </x:c>
      <x:c r="I542" s="2" t="s">
        <x:v>1774</x:v>
      </x:c>
      <x:c r="J542" s="2" t="s">
        <x:v>1668</x:v>
      </x:c>
      <x:c r="K542" s="2"/>
      <x:c r="L542" s="2" t="s">
        <x:v>1624</x:v>
      </x:c>
      <x:c r="M542" s="2"/>
      <x:c r="N542" s="2"/>
      <x:c r="O542" s="2" t="s">
        <x:v>1600</x:v>
      </x:c>
      <x:c r="P542" s="2" t="s">
        <x:v>1724</x:v>
      </x:c>
      <x:c r="Q542" s="2"/>
      <x:c r="R542" s="3">
        <x:v>4</x:v>
      </x:c>
      <x:c r="S542" s="3"/>
      <x:c r="T542" s="2"/>
      <x:c r="U542" s="2"/>
      <x:c r="V542" s="2"/>
      <x:c r="W542" s="2"/>
      <x:c r="X542" s="3"/>
      <x:c r="Y542" s="3"/>
      <x:c r="Z542" s="2"/>
      <x:c r="AA542" s="2"/>
      <x:c r="AB542" s="2"/>
      <x:c r="AC542" s="2" t="s">
        <x:v>326</x:v>
      </x:c>
      <x:c r="AD542" s="2" t="s">
        <x:v>368</x:v>
      </x:c>
      <x:c r="AE542" s="2" t="s">
        <x:v>317</x:v>
      </x:c>
      <x:c r="AF542" s="2" t="s">
        <x:v>319</x:v>
      </x:c>
      <x:c r="AG542" s="2"/>
      <x:c r="AH542" s="2"/>
      <x:c r="AI542" s="4"/>
      <x:c r="AJ542" s="2"/>
      <x:c r="AK542" s="2" t="s">
        <x:v>320</x:v>
      </x:c>
      <x:c r="AL542" s="2" t="s">
        <x:v>1550</x:v>
      </x:c>
      <x:c r="AM542" s="2">
        <x:v>92</x:v>
      </x:c>
      <x:c r="AN542" s="2">
        <x:v>92</x:v>
      </x:c>
    </x:row>
    <x:row r="543" ht="39">
      <x:c r="A543" s="2" t="s">
        <x:v>6</x:v>
      </x:c>
      <x:c r="B543" s="2" t="s">
        <x:v>16</x:v>
      </x:c>
      <x:c r="C543" s="3">
        <x:v>91</x:v>
      </x:c>
      <x:c r="D543" s="2" t="s">
        <x:v>1725</x:v>
      </x:c>
      <x:c r="E543" s="2" t="s">
        <x:v>1721</x:v>
      </x:c>
      <x:c r="F543" s="2" t="s">
        <x:v>1696</x:v>
      </x:c>
      <x:c r="G543" s="2" t="s">
        <x:v>1771</x:v>
      </x:c>
      <x:c r="H543" s="2" t="s">
        <x:v>627</x:v>
      </x:c>
      <x:c r="I543" s="2" t="s">
        <x:v>1774</x:v>
      </x:c>
      <x:c r="J543" s="2" t="s">
        <x:v>1673</x:v>
      </x:c>
      <x:c r="K543" s="2" t="n">
        <x:v>90</x:v>
      </x:c>
      <x:c r="L543" s="2" t="s">
        <x:v>1624</x:v>
      </x:c>
      <x:c r="M543" s="2"/>
      <x:c r="N543" s="2"/>
      <x:c r="O543" s="2" t="s">
        <x:v>1674</x:v>
      </x:c>
      <x:c r="P543" s="2" t="s">
        <x:v>1727</x:v>
      </x:c>
      <x:c r="Q543" s="2"/>
      <x:c r="R543" s="3">
        <x:v>4</x:v>
      </x:c>
      <x:c r="S543" s="3"/>
      <x:c r="T543" s="2"/>
      <x:c r="U543" s="2"/>
      <x:c r="V543" s="2"/>
      <x:c r="W543" s="2"/>
      <x:c r="X543" s="3"/>
      <x:c r="Y543" s="3"/>
      <x:c r="Z543" s="2"/>
      <x:c r="AA543" s="2"/>
      <x:c r="AB543" s="2"/>
      <x:c r="AC543" s="2" t="s">
        <x:v>326</x:v>
      </x:c>
      <x:c r="AD543" s="2" t="s">
        <x:v>368</x:v>
      </x:c>
      <x:c r="AE543" s="2" t="s">
        <x:v>317</x:v>
      </x:c>
      <x:c r="AF543" s="2" t="s">
        <x:v>319</x:v>
      </x:c>
      <x:c r="AG543" s="2"/>
      <x:c r="AH543" s="2"/>
      <x:c r="AI543" s="4"/>
      <x:c r="AJ543" s="2"/>
      <x:c r="AK543" s="2" t="s">
        <x:v>320</x:v>
      </x:c>
      <x:c r="AL543" s="2" t="s">
        <x:v>1550</x:v>
      </x:c>
      <x:c r="AM543" s="2">
        <x:v>93</x:v>
      </x:c>
      <x:c r="AN543" s="2">
        <x:v>93</x:v>
      </x:c>
    </x:row>
    <x:row r="544" ht="52">
      <x:c r="A544" s="2" t="s">
        <x:v>91</x:v>
      </x:c>
      <x:c r="B544" s="2" t="s">
        <x:v>16</x:v>
      </x:c>
      <x:c r="C544" s="3">
        <x:v>92</x:v>
      </x:c>
      <x:c r="D544" s="2" t="s">
        <x:v>1636</x:v>
      </x:c>
      <x:c r="E544" s="2" t="s">
        <x:v>1758</x:v>
      </x:c>
      <x:c r="F544" s="2" t="s">
        <x:v>1637</x:v>
      </x:c>
      <x:c r="G544" s="2" t="s">
        <x:v>1775</x:v>
      </x:c>
      <x:c r="H544" s="2" t="s">
        <x:v>618</x:v>
      </x:c>
      <x:c r="I544" s="2" t="s">
        <x:v>1776</x:v>
      </x:c>
      <x:c r="J544" s="2" t="s">
        <x:v>1668</x:v>
      </x:c>
      <x:c r="K544" s="2"/>
      <x:c r="L544" s="2" t="s">
        <x:v>1640</x:v>
      </x:c>
      <x:c r="M544" s="2"/>
      <x:c r="N544" s="2"/>
      <x:c r="O544" s="2" t="s">
        <x:v>1600</x:v>
      </x:c>
      <x:c r="P544" s="2" t="s">
        <x:v>1777</x:v>
      </x:c>
      <x:c r="Q544" s="2"/>
      <x:c r="R544" s="3">
        <x:v>4</x:v>
      </x:c>
      <x:c r="S544" s="3"/>
      <x:c r="T544" s="2"/>
      <x:c r="U544" s="2"/>
      <x:c r="V544" s="2"/>
      <x:c r="W544" s="2"/>
      <x:c r="X544" s="3"/>
      <x:c r="Y544" s="3"/>
      <x:c r="Z544" s="2"/>
      <x:c r="AA544" s="2"/>
      <x:c r="AB544" s="2"/>
      <x:c r="AC544" s="2" t="s">
        <x:v>367</x:v>
      </x:c>
      <x:c r="AD544" s="2" t="s">
        <x:v>317</x:v>
      </x:c>
      <x:c r="AE544" s="2" t="s">
        <x:v>368</x:v>
      </x:c>
      <x:c r="AF544" s="2" t="s">
        <x:v>319</x:v>
      </x:c>
      <x:c r="AG544" s="2"/>
      <x:c r="AH544" s="2"/>
      <x:c r="AI544" s="4"/>
      <x:c r="AJ544" s="2"/>
      <x:c r="AK544" s="2" t="s">
        <x:v>320</x:v>
      </x:c>
      <x:c r="AL544" s="2" t="s">
        <x:v>1550</x:v>
      </x:c>
      <x:c r="AM544" s="2">
        <x:v>94</x:v>
      </x:c>
      <x:c r="AN544" s="2">
        <x:v>94</x:v>
      </x:c>
    </x:row>
    <x:row r="545" ht="39">
      <x:c r="A545" s="2" t="s">
        <x:v>6</x:v>
      </x:c>
      <x:c r="B545" s="2" t="s">
        <x:v>16</x:v>
      </x:c>
      <x:c r="C545" s="3">
        <x:v>93</x:v>
      </x:c>
      <x:c r="D545" s="2" t="s">
        <x:v>1778</x:v>
      </x:c>
      <x:c r="E545" s="2" t="s">
        <x:v>1758</x:v>
      </x:c>
      <x:c r="F545" s="2" t="s">
        <x:v>1671</x:v>
      </x:c>
      <x:c r="G545" s="2" t="s">
        <x:v>1779</x:v>
      </x:c>
      <x:c r="H545" s="2" t="s">
        <x:v>627</x:v>
      </x:c>
      <x:c r="I545" s="2" t="s">
        <x:v>1776</x:v>
      </x:c>
      <x:c r="J545" s="2" t="s">
        <x:v>1673</x:v>
      </x:c>
      <x:c r="K545" s="2" t="n">
        <x:v>92</x:v>
      </x:c>
      <x:c r="L545" s="2" t="s">
        <x:v>1640</x:v>
      </x:c>
      <x:c r="M545" s="2"/>
      <x:c r="N545" s="2"/>
      <x:c r="O545" s="2" t="s">
        <x:v>1674</x:v>
      </x:c>
      <x:c r="P545" s="2" t="s">
        <x:v>1780</x:v>
      </x:c>
      <x:c r="Q545" s="2"/>
      <x:c r="R545" s="3">
        <x:v>4</x:v>
      </x:c>
      <x:c r="S545" s="3"/>
      <x:c r="T545" s="2"/>
      <x:c r="U545" s="2"/>
      <x:c r="V545" s="2"/>
      <x:c r="W545" s="2"/>
      <x:c r="X545" s="3"/>
      <x:c r="Y545" s="3"/>
      <x:c r="Z545" s="2"/>
      <x:c r="AA545" s="2"/>
      <x:c r="AB545" s="2"/>
      <x:c r="AC545" s="2" t="s">
        <x:v>367</x:v>
      </x:c>
      <x:c r="AD545" s="2" t="s">
        <x:v>317</x:v>
      </x:c>
      <x:c r="AE545" s="2" t="s">
        <x:v>368</x:v>
      </x:c>
      <x:c r="AF545" s="2" t="s">
        <x:v>319</x:v>
      </x:c>
      <x:c r="AG545" s="2"/>
      <x:c r="AH545" s="2"/>
      <x:c r="AI545" s="4"/>
      <x:c r="AJ545" s="2"/>
      <x:c r="AK545" s="2" t="s">
        <x:v>320</x:v>
      </x:c>
      <x:c r="AL545" s="2" t="s">
        <x:v>1550</x:v>
      </x:c>
      <x:c r="AM545" s="2">
        <x:v>95</x:v>
      </x:c>
      <x:c r="AN545" s="2">
        <x:v>95</x:v>
      </x:c>
    </x:row>
    <x:row r="546" ht="52">
      <x:c r="A546" s="2" t="s">
        <x:v>6</x:v>
      </x:c>
      <x:c r="B546" s="2" t="s">
        <x:v>16</x:v>
      </x:c>
      <x:c r="C546" s="3">
        <x:v>94</x:v>
      </x:c>
      <x:c r="D546" s="2" t="s">
        <x:v>1646</x:v>
      </x:c>
      <x:c r="E546" s="2" t="s">
        <x:v>1762</x:v>
      </x:c>
      <x:c r="F546" s="2" t="s">
        <x:v>1647</x:v>
      </x:c>
      <x:c r="G546" s="2" t="s">
        <x:v>1781</x:v>
      </x:c>
      <x:c r="H546" s="2" t="s">
        <x:v>618</x:v>
      </x:c>
      <x:c r="I546" s="2" t="s">
        <x:v>1782</x:v>
      </x:c>
      <x:c r="J546" s="2" t="s">
        <x:v>1668</x:v>
      </x:c>
      <x:c r="K546" s="2"/>
      <x:c r="L546" s="2" t="s">
        <x:v>1783</x:v>
      </x:c>
      <x:c r="M546" s="2"/>
      <x:c r="N546" s="2"/>
      <x:c r="O546" s="2" t="s">
        <x:v>1600</x:v>
      </x:c>
      <x:c r="P546" s="2" t="s">
        <x:v>1784</x:v>
      </x:c>
      <x:c r="Q546" s="2"/>
      <x:c r="R546" s="3">
        <x:v>3</x:v>
      </x:c>
      <x:c r="S546" s="3"/>
      <x:c r="T546" s="2"/>
      <x:c r="U546" s="2"/>
      <x:c r="V546" s="2"/>
      <x:c r="W546" s="2"/>
      <x:c r="X546" s="3"/>
      <x:c r="Y546" s="3"/>
      <x:c r="Z546" s="2"/>
      <x:c r="AA546" s="2"/>
      <x:c r="AB546" s="2"/>
      <x:c r="AC546" s="2" t="s">
        <x:v>367</x:v>
      </x:c>
      <x:c r="AD546" s="2" t="s">
        <x:v>368</x:v>
      </x:c>
      <x:c r="AE546" s="2" t="s">
        <x:v>317</x:v>
      </x:c>
      <x:c r="AF546" s="2" t="s">
        <x:v>319</x:v>
      </x:c>
      <x:c r="AG546" s="2"/>
      <x:c r="AH546" s="2"/>
      <x:c r="AI546" s="4"/>
      <x:c r="AJ546" s="2"/>
      <x:c r="AK546" s="2" t="s">
        <x:v>320</x:v>
      </x:c>
      <x:c r="AL546" s="2" t="s">
        <x:v>1550</x:v>
      </x:c>
      <x:c r="AM546" s="2">
        <x:v>96</x:v>
      </x:c>
      <x:c r="AN546" s="2">
        <x:v>96</x:v>
      </x:c>
    </x:row>
    <x:row r="547" ht="39">
      <x:c r="A547" s="2" t="s">
        <x:v>6</x:v>
      </x:c>
      <x:c r="B547" s="2" t="s">
        <x:v>16</x:v>
      </x:c>
      <x:c r="C547" s="3">
        <x:v>95</x:v>
      </x:c>
      <x:c r="D547" s="2" t="s">
        <x:v>1695</x:v>
      </x:c>
      <x:c r="E547" s="2" t="s">
        <x:v>1762</x:v>
      </x:c>
      <x:c r="F547" s="2" t="s">
        <x:v>1696</x:v>
      </x:c>
      <x:c r="G547" s="2" t="s">
        <x:v>1756</x:v>
      </x:c>
      <x:c r="H547" s="2" t="s">
        <x:v>627</x:v>
      </x:c>
      <x:c r="I547" s="2" t="s">
        <x:v>1782</x:v>
      </x:c>
      <x:c r="J547" s="2" t="s">
        <x:v>1673</x:v>
      </x:c>
      <x:c r="K547" s="2" t="n">
        <x:v>94</x:v>
      </x:c>
      <x:c r="L547" s="2" t="s">
        <x:v>1783</x:v>
      </x:c>
      <x:c r="M547" s="2"/>
      <x:c r="N547" s="2"/>
      <x:c r="O547" s="2" t="s">
        <x:v>1674</x:v>
      </x:c>
      <x:c r="P547" s="2" t="s">
        <x:v>1785</x:v>
      </x:c>
      <x:c r="Q547" s="2"/>
      <x:c r="R547" s="3">
        <x:v>3</x:v>
      </x:c>
      <x:c r="S547" s="3"/>
      <x:c r="T547" s="2"/>
      <x:c r="U547" s="2"/>
      <x:c r="V547" s="2"/>
      <x:c r="W547" s="2"/>
      <x:c r="X547" s="3"/>
      <x:c r="Y547" s="3"/>
      <x:c r="Z547" s="2"/>
      <x:c r="AA547" s="2"/>
      <x:c r="AB547" s="2"/>
      <x:c r="AC547" s="2" t="s">
        <x:v>367</x:v>
      </x:c>
      <x:c r="AD547" s="2" t="s">
        <x:v>368</x:v>
      </x:c>
      <x:c r="AE547" s="2" t="s">
        <x:v>317</x:v>
      </x:c>
      <x:c r="AF547" s="2" t="s">
        <x:v>319</x:v>
      </x:c>
      <x:c r="AG547" s="2"/>
      <x:c r="AH547" s="2"/>
      <x:c r="AI547" s="4"/>
      <x:c r="AJ547" s="2"/>
      <x:c r="AK547" s="2" t="s">
        <x:v>320</x:v>
      </x:c>
      <x:c r="AL547" s="2" t="s">
        <x:v>1550</x:v>
      </x:c>
      <x:c r="AM547" s="2">
        <x:v>97</x:v>
      </x:c>
      <x:c r="AN547" s="2">
        <x:v>97</x:v>
      </x:c>
    </x:row>
    <x:row r="548" ht="52">
      <x:c r="A548" s="2" t="s">
        <x:v>6</x:v>
      </x:c>
      <x:c r="B548" s="2" t="s">
        <x:v>16</x:v>
      </x:c>
      <x:c r="C548" s="3">
        <x:v>96</x:v>
      </x:c>
      <x:c r="D548" s="2" t="s">
        <x:v>1646</x:v>
      </x:c>
      <x:c r="E548" s="2" t="s">
        <x:v>1786</x:v>
      </x:c>
      <x:c r="F548" s="2" t="s">
        <x:v>1647</x:v>
      </x:c>
      <x:c r="G548" s="2"/>
      <x:c r="H548" s="2" t="s">
        <x:v>618</x:v>
      </x:c>
      <x:c r="I548" s="2" t="s">
        <x:v>1787</x:v>
      </x:c>
      <x:c r="J548" s="2" t="s">
        <x:v>1668</x:v>
      </x:c>
      <x:c r="K548" s="2"/>
      <x:c r="L548" s="2" t="s">
        <x:v>1649</x:v>
      </x:c>
      <x:c r="M548" s="2"/>
      <x:c r="N548" s="2"/>
      <x:c r="O548" s="2" t="s">
        <x:v>1600</x:v>
      </x:c>
      <x:c r="P548" s="2" t="s">
        <x:v>1738</x:v>
      </x:c>
      <x:c r="Q548" s="2"/>
      <x:c r="R548" s="3">
        <x:v>4</x:v>
      </x:c>
      <x:c r="S548" s="3"/>
      <x:c r="T548" s="2"/>
      <x:c r="U548" s="2"/>
      <x:c r="V548" s="2"/>
      <x:c r="W548" s="2"/>
      <x:c r="X548" s="3"/>
      <x:c r="Y548" s="3"/>
      <x:c r="Z548" s="2"/>
      <x:c r="AA548" s="2"/>
      <x:c r="AB548" s="2"/>
      <x:c r="AC548" s="2" t="s">
        <x:v>367</x:v>
      </x:c>
      <x:c r="AD548" s="2" t="s">
        <x:v>368</x:v>
      </x:c>
      <x:c r="AE548" s="2" t="s">
        <x:v>317</x:v>
      </x:c>
      <x:c r="AF548" s="2" t="s">
        <x:v>319</x:v>
      </x:c>
      <x:c r="AG548" s="2"/>
      <x:c r="AH548" s="2"/>
      <x:c r="AI548" s="4"/>
      <x:c r="AJ548" s="2"/>
      <x:c r="AK548" s="2" t="s">
        <x:v>320</x:v>
      </x:c>
      <x:c r="AL548" s="2" t="s">
        <x:v>1550</x:v>
      </x:c>
      <x:c r="AM548" s="2">
        <x:v>98</x:v>
      </x:c>
      <x:c r="AN548" s="2">
        <x:v>98</x:v>
      </x:c>
    </x:row>
    <x:row r="549" ht="39">
      <x:c r="A549" s="2" t="s">
        <x:v>6</x:v>
      </x:c>
      <x:c r="B549" s="2" t="s">
        <x:v>16</x:v>
      </x:c>
      <x:c r="C549" s="3">
        <x:v>97</x:v>
      </x:c>
      <x:c r="D549" s="2" t="s">
        <x:v>1725</x:v>
      </x:c>
      <x:c r="E549" s="2" t="s">
        <x:v>1786</x:v>
      </x:c>
      <x:c r="F549" s="2" t="s">
        <x:v>1696</x:v>
      </x:c>
      <x:c r="G549" s="2" t="s">
        <x:v>1788</x:v>
      </x:c>
      <x:c r="H549" s="2" t="s">
        <x:v>627</x:v>
      </x:c>
      <x:c r="I549" s="2" t="s">
        <x:v>1787</x:v>
      </x:c>
      <x:c r="J549" s="2" t="s">
        <x:v>1673</x:v>
      </x:c>
      <x:c r="K549" s="2" t="n">
        <x:v>96</x:v>
      </x:c>
      <x:c r="L549" s="2" t="s">
        <x:v>1649</x:v>
      </x:c>
      <x:c r="M549" s="2"/>
      <x:c r="N549" s="2"/>
      <x:c r="O549" s="2" t="s">
        <x:v>1674</x:v>
      </x:c>
      <x:c r="P549" s="2" t="s">
        <x:v>1740</x:v>
      </x:c>
      <x:c r="Q549" s="2"/>
      <x:c r="R549" s="3">
        <x:v>4</x:v>
      </x:c>
      <x:c r="S549" s="3"/>
      <x:c r="T549" s="2"/>
      <x:c r="U549" s="2"/>
      <x:c r="V549" s="2"/>
      <x:c r="W549" s="2"/>
      <x:c r="X549" s="3"/>
      <x:c r="Y549" s="3"/>
      <x:c r="Z549" s="2"/>
      <x:c r="AA549" s="2"/>
      <x:c r="AB549" s="2"/>
      <x:c r="AC549" s="2" t="s">
        <x:v>367</x:v>
      </x:c>
      <x:c r="AD549" s="2" t="s">
        <x:v>368</x:v>
      </x:c>
      <x:c r="AE549" s="2" t="s">
        <x:v>317</x:v>
      </x:c>
      <x:c r="AF549" s="2" t="s">
        <x:v>319</x:v>
      </x:c>
      <x:c r="AG549" s="2"/>
      <x:c r="AH549" s="2"/>
      <x:c r="AI549" s="4"/>
      <x:c r="AJ549" s="2"/>
      <x:c r="AK549" s="2" t="s">
        <x:v>320</x:v>
      </x:c>
      <x:c r="AL549" s="2" t="s">
        <x:v>1550</x:v>
      </x:c>
      <x:c r="AM549" s="2">
        <x:v>99</x:v>
      </x:c>
      <x:c r="AN549" s="2">
        <x:v>99</x:v>
      </x:c>
    </x:row>
    <x:row r="550" ht="52">
      <x:c r="A550" s="2" t="s">
        <x:v>6</x:v>
      </x:c>
      <x:c r="B550" s="2" t="s">
        <x:v>16</x:v>
      </x:c>
      <x:c r="C550" s="3">
        <x:v>98</x:v>
      </x:c>
      <x:c r="D550" s="2" t="s">
        <x:v>1642</x:v>
      </x:c>
      <x:c r="E550" s="2" t="s">
        <x:v>1789</x:v>
      </x:c>
      <x:c r="F550" s="2" t="s">
        <x:v>1643</x:v>
      </x:c>
      <x:c r="G550" s="2"/>
      <x:c r="H550" s="2" t="s">
        <x:v>618</x:v>
      </x:c>
      <x:c r="I550" s="2" t="s">
        <x:v>1790</x:v>
      </x:c>
      <x:c r="J550" s="2" t="s">
        <x:v>1668</x:v>
      </x:c>
      <x:c r="K550" s="2"/>
      <x:c r="L550" s="2" t="s">
        <x:v>1658</x:v>
      </x:c>
      <x:c r="M550" s="2"/>
      <x:c r="N550" s="2"/>
      <x:c r="O550" s="2" t="s">
        <x:v>1600</x:v>
      </x:c>
      <x:c r="P550" s="2" t="s">
        <x:v>1791</x:v>
      </x:c>
      <x:c r="Q550" s="2"/>
      <x:c r="R550" s="3">
        <x:v>3</x:v>
      </x:c>
      <x:c r="S550" s="3"/>
      <x:c r="T550" s="2"/>
      <x:c r="U550" s="2"/>
      <x:c r="V550" s="2"/>
      <x:c r="W550" s="2"/>
      <x:c r="X550" s="3"/>
      <x:c r="Y550" s="3"/>
      <x:c r="Z550" s="2"/>
      <x:c r="AA550" s="2"/>
      <x:c r="AB550" s="2"/>
      <x:c r="AC550" s="2" t="s">
        <x:v>374</x:v>
      </x:c>
      <x:c r="AD550" s="2" t="s">
        <x:v>317</x:v>
      </x:c>
      <x:c r="AE550" s="2" t="s">
        <x:v>368</x:v>
      </x:c>
      <x:c r="AF550" s="2" t="s">
        <x:v>319</x:v>
      </x:c>
      <x:c r="AG550" s="2"/>
      <x:c r="AH550" s="2"/>
      <x:c r="AI550" s="4"/>
      <x:c r="AJ550" s="2"/>
      <x:c r="AK550" s="2" t="s">
        <x:v>320</x:v>
      </x:c>
      <x:c r="AL550" s="2" t="s">
        <x:v>1550</x:v>
      </x:c>
      <x:c r="AM550" s="2">
        <x:v>100</x:v>
      </x:c>
      <x:c r="AN550" s="2">
        <x:v>100</x:v>
      </x:c>
    </x:row>
    <x:row r="551" ht="39">
      <x:c r="A551" s="2" t="s">
        <x:v>6</x:v>
      </x:c>
      <x:c r="B551" s="2" t="s">
        <x:v>16</x:v>
      </x:c>
      <x:c r="C551" s="3">
        <x:v>99</x:v>
      </x:c>
      <x:c r="D551" s="2" t="s">
        <x:v>1685</x:v>
      </x:c>
      <x:c r="E551" s="2" t="s">
        <x:v>1789</x:v>
      </x:c>
      <x:c r="F551" s="2" t="s">
        <x:v>1671</x:v>
      </x:c>
      <x:c r="G551" s="2" t="s">
        <x:v>1756</x:v>
      </x:c>
      <x:c r="H551" s="2" t="s">
        <x:v>627</x:v>
      </x:c>
      <x:c r="I551" s="2" t="s">
        <x:v>1790</x:v>
      </x:c>
      <x:c r="J551" s="2" t="s">
        <x:v>1673</x:v>
      </x:c>
      <x:c r="K551" s="2" t="n">
        <x:v>98</x:v>
      </x:c>
      <x:c r="L551" s="2" t="s">
        <x:v>1658</x:v>
      </x:c>
      <x:c r="M551" s="2"/>
      <x:c r="N551" s="2"/>
      <x:c r="O551" s="2" t="s">
        <x:v>1674</x:v>
      </x:c>
      <x:c r="P551" s="2" t="s">
        <x:v>1792</x:v>
      </x:c>
      <x:c r="Q551" s="2"/>
      <x:c r="R551" s="3">
        <x:v>3</x:v>
      </x:c>
      <x:c r="S551" s="3"/>
      <x:c r="T551" s="2"/>
      <x:c r="U551" s="2"/>
      <x:c r="V551" s="2"/>
      <x:c r="W551" s="2"/>
      <x:c r="X551" s="3"/>
      <x:c r="Y551" s="3"/>
      <x:c r="Z551" s="2"/>
      <x:c r="AA551" s="2"/>
      <x:c r="AB551" s="2"/>
      <x:c r="AC551" s="2" t="s">
        <x:v>374</x:v>
      </x:c>
      <x:c r="AD551" s="2" t="s">
        <x:v>317</x:v>
      </x:c>
      <x:c r="AE551" s="2" t="s">
        <x:v>368</x:v>
      </x:c>
      <x:c r="AF551" s="2" t="s">
        <x:v>319</x:v>
      </x:c>
      <x:c r="AG551" s="2"/>
      <x:c r="AH551" s="2"/>
      <x:c r="AI551" s="4"/>
      <x:c r="AJ551" s="2"/>
      <x:c r="AK551" s="2" t="s">
        <x:v>320</x:v>
      </x:c>
      <x:c r="AL551" s="2" t="s">
        <x:v>1550</x:v>
      </x:c>
      <x:c r="AM551" s="2">
        <x:v>101</x:v>
      </x:c>
      <x:c r="AN551" s="2">
        <x:v>101</x:v>
      </x:c>
    </x:row>
    <x:row r="552" ht="52">
      <x:c r="A552" s="2" t="s">
        <x:v>91</x:v>
      </x:c>
      <x:c r="B552" s="2" t="s">
        <x:v>16</x:v>
      </x:c>
      <x:c r="C552" s="3">
        <x:v>100</x:v>
      </x:c>
      <x:c r="D552" s="2" t="s">
        <x:v>1642</x:v>
      </x:c>
      <x:c r="E552" s="2" t="s">
        <x:v>1758</x:v>
      </x:c>
      <x:c r="F552" s="2" t="s">
        <x:v>1643</x:v>
      </x:c>
      <x:c r="G552" s="2" t="s">
        <x:v>1793</x:v>
      </x:c>
      <x:c r="H552" s="2" t="s">
        <x:v>618</x:v>
      </x:c>
      <x:c r="I552" s="2" t="s">
        <x:v>1794</x:v>
      </x:c>
      <x:c r="J552" s="2" t="s">
        <x:v>1668</x:v>
      </x:c>
      <x:c r="K552" s="2"/>
      <x:c r="L552" s="2" t="s">
        <x:v>1644</x:v>
      </x:c>
      <x:c r="M552" s="2"/>
      <x:c r="N552" s="2"/>
      <x:c r="O552" s="2" t="s">
        <x:v>1600</x:v>
      </x:c>
      <x:c r="P552" s="2" t="s">
        <x:v>1795</x:v>
      </x:c>
      <x:c r="Q552" s="2"/>
      <x:c r="R552" s="3">
        <x:v>4</x:v>
      </x:c>
      <x:c r="S552" s="3"/>
      <x:c r="T552" s="2"/>
      <x:c r="U552" s="2"/>
      <x:c r="V552" s="2"/>
      <x:c r="W552" s="2"/>
      <x:c r="X552" s="3"/>
      <x:c r="Y552" s="3"/>
      <x:c r="Z552" s="2"/>
      <x:c r="AA552" s="2"/>
      <x:c r="AB552" s="2"/>
      <x:c r="AC552" s="2" t="s">
        <x:v>374</x:v>
      </x:c>
      <x:c r="AD552" s="2" t="s">
        <x:v>317</x:v>
      </x:c>
      <x:c r="AE552" s="2" t="s">
        <x:v>368</x:v>
      </x:c>
      <x:c r="AF552" s="2" t="s">
        <x:v>319</x:v>
      </x:c>
      <x:c r="AG552" s="2"/>
      <x:c r="AH552" s="2"/>
      <x:c r="AI552" s="4"/>
      <x:c r="AJ552" s="2"/>
      <x:c r="AK552" s="2" t="s">
        <x:v>320</x:v>
      </x:c>
      <x:c r="AL552" s="2" t="s">
        <x:v>1550</x:v>
      </x:c>
      <x:c r="AM552" s="2">
        <x:v>102</x:v>
      </x:c>
      <x:c r="AN552" s="2">
        <x:v>102</x:v>
      </x:c>
    </x:row>
    <x:row r="553" ht="65">
      <x:c r="A553" s="2" t="s">
        <x:v>91</x:v>
      </x:c>
      <x:c r="B553" s="2" t="s">
        <x:v>16</x:v>
      </x:c>
      <x:c r="C553" s="3">
        <x:v>101</x:v>
      </x:c>
      <x:c r="D553" s="2" t="s">
        <x:v>1778</x:v>
      </x:c>
      <x:c r="E553" s="2" t="s">
        <x:v>1758</x:v>
      </x:c>
      <x:c r="F553" s="2" t="s">
        <x:v>1671</x:v>
      </x:c>
      <x:c r="G553" s="2" t="s">
        <x:v>1796</x:v>
      </x:c>
      <x:c r="H553" s="2" t="s">
        <x:v>627</x:v>
      </x:c>
      <x:c r="I553" s="2" t="s">
        <x:v>1794</x:v>
      </x:c>
      <x:c r="J553" s="2" t="s">
        <x:v>1673</x:v>
      </x:c>
      <x:c r="K553" s="2" t="n">
        <x:v>100</x:v>
      </x:c>
      <x:c r="L553" s="2" t="s">
        <x:v>1644</x:v>
      </x:c>
      <x:c r="M553" s="2"/>
      <x:c r="N553" s="2"/>
      <x:c r="O553" s="2" t="s">
        <x:v>1674</x:v>
      </x:c>
      <x:c r="P553" s="2" t="s">
        <x:v>1797</x:v>
      </x:c>
      <x:c r="Q553" s="2"/>
      <x:c r="R553" s="3">
        <x:v>4</x:v>
      </x:c>
      <x:c r="S553" s="3"/>
      <x:c r="T553" s="2"/>
      <x:c r="U553" s="2"/>
      <x:c r="V553" s="2"/>
      <x:c r="W553" s="2"/>
      <x:c r="X553" s="3"/>
      <x:c r="Y553" s="3"/>
      <x:c r="Z553" s="2"/>
      <x:c r="AA553" s="2"/>
      <x:c r="AB553" s="2"/>
      <x:c r="AC553" s="2" t="s">
        <x:v>374</x:v>
      </x:c>
      <x:c r="AD553" s="2" t="s">
        <x:v>317</x:v>
      </x:c>
      <x:c r="AE553" s="2" t="s">
        <x:v>368</x:v>
      </x:c>
      <x:c r="AF553" s="2" t="s">
        <x:v>319</x:v>
      </x:c>
      <x:c r="AG553" s="2"/>
      <x:c r="AH553" s="2"/>
      <x:c r="AI553" s="4"/>
      <x:c r="AJ553" s="2"/>
      <x:c r="AK553" s="2" t="s">
        <x:v>320</x:v>
      </x:c>
      <x:c r="AL553" s="2" t="s">
        <x:v>1550</x:v>
      </x:c>
      <x:c r="AM553" s="2">
        <x:v>103</x:v>
      </x:c>
      <x:c r="AN553" s="2">
        <x:v>103</x:v>
      </x:c>
    </x:row>
    <x:row r="554" ht="52">
      <x:c r="A554" s="2" t="s">
        <x:v>6</x:v>
      </x:c>
      <x:c r="B554" s="2" t="s">
        <x:v>16</x:v>
      </x:c>
      <x:c r="C554" s="3">
        <x:v>102</x:v>
      </x:c>
      <x:c r="D554" s="2" t="s">
        <x:v>1651</x:v>
      </x:c>
      <x:c r="E554" s="2" t="s">
        <x:v>1762</x:v>
      </x:c>
      <x:c r="F554" s="2" t="s">
        <x:v>1652</x:v>
      </x:c>
      <x:c r="G554" s="2"/>
      <x:c r="H554" s="2" t="s">
        <x:v>618</x:v>
      </x:c>
      <x:c r="I554" s="2" t="s">
        <x:v>1798</x:v>
      </x:c>
      <x:c r="J554" s="2" t="s">
        <x:v>1668</x:v>
      </x:c>
      <x:c r="K554" s="2"/>
      <x:c r="L554" s="2" t="s">
        <x:v>1799</x:v>
      </x:c>
      <x:c r="M554" s="2"/>
      <x:c r="N554" s="2"/>
      <x:c r="O554" s="2" t="s">
        <x:v>1600</x:v>
      </x:c>
      <x:c r="P554" s="2" t="s">
        <x:v>1800</x:v>
      </x:c>
      <x:c r="Q554" s="2"/>
      <x:c r="R554" s="3">
        <x:v>3</x:v>
      </x:c>
      <x:c r="S554" s="3"/>
      <x:c r="T554" s="2"/>
      <x:c r="U554" s="2"/>
      <x:c r="V554" s="2"/>
      <x:c r="W554" s="2"/>
      <x:c r="X554" s="3"/>
      <x:c r="Y554" s="3"/>
      <x:c r="Z554" s="2"/>
      <x:c r="AA554" s="2"/>
      <x:c r="AB554" s="2"/>
      <x:c r="AC554" s="2" t="s">
        <x:v>374</x:v>
      </x:c>
      <x:c r="AD554" s="2" t="s">
        <x:v>368</x:v>
      </x:c>
      <x:c r="AE554" s="2" t="s">
        <x:v>317</x:v>
      </x:c>
      <x:c r="AF554" s="2" t="s">
        <x:v>319</x:v>
      </x:c>
      <x:c r="AG554" s="2"/>
      <x:c r="AH554" s="2"/>
      <x:c r="AI554" s="4"/>
      <x:c r="AJ554" s="2"/>
      <x:c r="AK554" s="2" t="s">
        <x:v>320</x:v>
      </x:c>
      <x:c r="AL554" s="2" t="s">
        <x:v>1550</x:v>
      </x:c>
      <x:c r="AM554" s="2">
        <x:v>104</x:v>
      </x:c>
      <x:c r="AN554" s="2">
        <x:v>104</x:v>
      </x:c>
    </x:row>
    <x:row r="555" ht="39">
      <x:c r="A555" s="2" t="s">
        <x:v>91</x:v>
      </x:c>
      <x:c r="B555" s="2" t="s">
        <x:v>16</x:v>
      </x:c>
      <x:c r="C555" s="3">
        <x:v>103</x:v>
      </x:c>
      <x:c r="D555" s="2" t="s">
        <x:v>1715</x:v>
      </x:c>
      <x:c r="E555" s="2" t="s">
        <x:v>1762</x:v>
      </x:c>
      <x:c r="F555" s="2" t="s">
        <x:v>1696</x:v>
      </x:c>
      <x:c r="G555" s="2" t="s">
        <x:v>1801</x:v>
      </x:c>
      <x:c r="H555" s="2" t="s">
        <x:v>627</x:v>
      </x:c>
      <x:c r="I555" s="2" t="s">
        <x:v>1798</x:v>
      </x:c>
      <x:c r="J555" s="2" t="s">
        <x:v>1673</x:v>
      </x:c>
      <x:c r="K555" s="2" t="n">
        <x:v>102</x:v>
      </x:c>
      <x:c r="L555" s="2" t="s">
        <x:v>1799</x:v>
      </x:c>
      <x:c r="M555" s="2"/>
      <x:c r="N555" s="2"/>
      <x:c r="O555" s="2" t="s">
        <x:v>1674</x:v>
      </x:c>
      <x:c r="P555" s="2" t="s">
        <x:v>1802</x:v>
      </x:c>
      <x:c r="Q555" s="2"/>
      <x:c r="R555" s="3">
        <x:v>3</x:v>
      </x:c>
      <x:c r="S555" s="3"/>
      <x:c r="T555" s="2"/>
      <x:c r="U555" s="2"/>
      <x:c r="V555" s="2"/>
      <x:c r="W555" s="2"/>
      <x:c r="X555" s="3"/>
      <x:c r="Y555" s="3"/>
      <x:c r="Z555" s="2"/>
      <x:c r="AA555" s="2"/>
      <x:c r="AB555" s="2"/>
      <x:c r="AC555" s="2" t="s">
        <x:v>374</x:v>
      </x:c>
      <x:c r="AD555" s="2" t="s">
        <x:v>368</x:v>
      </x:c>
      <x:c r="AE555" s="2" t="s">
        <x:v>317</x:v>
      </x:c>
      <x:c r="AF555" s="2" t="s">
        <x:v>319</x:v>
      </x:c>
      <x:c r="AG555" s="2"/>
      <x:c r="AH555" s="2"/>
      <x:c r="AI555" s="4"/>
      <x:c r="AJ555" s="2"/>
      <x:c r="AK555" s="2" t="s">
        <x:v>320</x:v>
      </x:c>
      <x:c r="AL555" s="2" t="s">
        <x:v>1550</x:v>
      </x:c>
      <x:c r="AM555" s="2">
        <x:v>105</x:v>
      </x:c>
      <x:c r="AN555" s="2">
        <x:v>105</x:v>
      </x:c>
    </x:row>
    <x:row r="556" ht="52">
      <x:c r="A556" s="2" t="s">
        <x:v>6</x:v>
      </x:c>
      <x:c r="B556" s="2" t="s">
        <x:v>16</x:v>
      </x:c>
      <x:c r="C556" s="3">
        <x:v>104</x:v>
      </x:c>
      <x:c r="D556" s="2" t="s">
        <x:v>1593</x:v>
      </x:c>
      <x:c r="E556" s="2" t="s">
        <x:v>1594</x:v>
      </x:c>
      <x:c r="F556" s="2" t="s">
        <x:v>1595</x:v>
      </x:c>
      <x:c r="G556" s="2" t="s">
        <x:v>1803</x:v>
      </x:c>
      <x:c r="H556" s="2" t="s">
        <x:v>618</x:v>
      </x:c>
      <x:c r="I556" s="2" t="s">
        <x:v>1804</x:v>
      </x:c>
      <x:c r="J556" s="2" t="s">
        <x:v>1668</x:v>
      </x:c>
      <x:c r="K556" s="2"/>
      <x:c r="L556" s="2" t="s">
        <x:v>1627</x:v>
      </x:c>
      <x:c r="M556" s="2"/>
      <x:c r="N556" s="2"/>
      <x:c r="O556" s="2" t="s">
        <x:v>1600</x:v>
      </x:c>
      <x:c r="P556" s="2" t="s">
        <x:v>1805</x:v>
      </x:c>
      <x:c r="Q556" s="2"/>
      <x:c r="R556" s="3">
        <x:v>3</x:v>
      </x:c>
      <x:c r="S556" s="3"/>
      <x:c r="T556" s="2"/>
      <x:c r="U556" s="2"/>
      <x:c r="V556" s="2"/>
      <x:c r="W556" s="2"/>
      <x:c r="X556" s="3"/>
      <x:c r="Y556" s="3"/>
      <x:c r="Z556" s="2"/>
      <x:c r="AA556" s="2"/>
      <x:c r="AB556" s="2"/>
      <x:c r="AC556" s="2" t="s">
        <x:v>316</x:v>
      </x:c>
      <x:c r="AD556" s="2" t="s">
        <x:v>317</x:v>
      </x:c>
      <x:c r="AE556" s="2" t="s">
        <x:v>368</x:v>
      </x:c>
      <x:c r="AF556" s="2" t="s">
        <x:v>319</x:v>
      </x:c>
      <x:c r="AG556" s="2"/>
      <x:c r="AH556" s="2"/>
      <x:c r="AI556" s="4"/>
      <x:c r="AJ556" s="2"/>
      <x:c r="AK556" s="2" t="s">
        <x:v>320</x:v>
      </x:c>
      <x:c r="AL556" s="2" t="s">
        <x:v>1550</x:v>
      </x:c>
      <x:c r="AM556" s="2">
        <x:v>106</x:v>
      </x:c>
      <x:c r="AN556" s="2">
        <x:v>106</x:v>
      </x:c>
    </x:row>
    <x:row r="557" ht="52">
      <x:c r="A557" s="2" t="s">
        <x:v>6</x:v>
      </x:c>
      <x:c r="B557" s="2" t="s">
        <x:v>16</x:v>
      </x:c>
      <x:c r="C557" s="3">
        <x:v>105</x:v>
      </x:c>
      <x:c r="D557" s="2" t="s">
        <x:v>1607</x:v>
      </x:c>
      <x:c r="E557" s="2" t="s">
        <x:v>1721</x:v>
      </x:c>
      <x:c r="F557" s="2" t="s">
        <x:v>1608</x:v>
      </x:c>
      <x:c r="G557" s="2"/>
      <x:c r="H557" s="2" t="s">
        <x:v>618</x:v>
      </x:c>
      <x:c r="I557" s="2" t="s">
        <x:v>1806</x:v>
      </x:c>
      <x:c r="J557" s="2" t="s">
        <x:v>1668</x:v>
      </x:c>
      <x:c r="K557" s="2"/>
      <x:c r="L557" s="2" t="s">
        <x:v>1621</x:v>
      </x:c>
      <x:c r="M557" s="2"/>
      <x:c r="N557" s="2"/>
      <x:c r="O557" s="2" t="s">
        <x:v>1600</x:v>
      </x:c>
      <x:c r="P557" s="2" t="s">
        <x:v>1807</x:v>
      </x:c>
      <x:c r="Q557" s="2"/>
      <x:c r="R557" s="3">
        <x:v>4</x:v>
      </x:c>
      <x:c r="S557" s="3"/>
      <x:c r="T557" s="2"/>
      <x:c r="U557" s="2"/>
      <x:c r="V557" s="2"/>
      <x:c r="W557" s="2"/>
      <x:c r="X557" s="3"/>
      <x:c r="Y557" s="3"/>
      <x:c r="Z557" s="2"/>
      <x:c r="AA557" s="2"/>
      <x:c r="AB557" s="2"/>
      <x:c r="AC557" s="2" t="s">
        <x:v>316</x:v>
      </x:c>
      <x:c r="AD557" s="2" t="s">
        <x:v>368</x:v>
      </x:c>
      <x:c r="AE557" s="2" t="s">
        <x:v>317</x:v>
      </x:c>
      <x:c r="AF557" s="2" t="s">
        <x:v>319</x:v>
      </x:c>
      <x:c r="AG557" s="2"/>
      <x:c r="AH557" s="2"/>
      <x:c r="AI557" s="4"/>
      <x:c r="AJ557" s="2"/>
      <x:c r="AK557" s="2" t="s">
        <x:v>320</x:v>
      </x:c>
      <x:c r="AL557" s="2" t="s">
        <x:v>1550</x:v>
      </x:c>
      <x:c r="AM557" s="2">
        <x:v>107</x:v>
      </x:c>
      <x:c r="AN557" s="2">
        <x:v>107</x:v>
      </x:c>
    </x:row>
    <x:row r="558" ht="52">
      <x:c r="A558" s="2" t="s">
        <x:v>6</x:v>
      </x:c>
      <x:c r="B558" s="2" t="s">
        <x:v>16</x:v>
      </x:c>
      <x:c r="C558" s="3">
        <x:v>106</x:v>
      </x:c>
      <x:c r="D558" s="2" t="s">
        <x:v>1602</x:v>
      </x:c>
      <x:c r="E558" s="2" t="s">
        <x:v>1758</x:v>
      </x:c>
      <x:c r="F558" s="2" t="s">
        <x:v>1603</x:v>
      </x:c>
      <x:c r="G558" s="2"/>
      <x:c r="H558" s="2" t="s">
        <x:v>618</x:v>
      </x:c>
      <x:c r="I558" s="2" t="s">
        <x:v>1808</x:v>
      </x:c>
      <x:c r="J558" s="2" t="s">
        <x:v>1668</x:v>
      </x:c>
      <x:c r="K558" s="2"/>
      <x:c r="L558" s="2" t="s">
        <x:v>1619</x:v>
      </x:c>
      <x:c r="M558" s="2"/>
      <x:c r="N558" s="2"/>
      <x:c r="O558" s="2" t="s">
        <x:v>1600</x:v>
      </x:c>
      <x:c r="P558" s="2" t="s">
        <x:v>1809</x:v>
      </x:c>
      <x:c r="Q558" s="2"/>
      <x:c r="R558" s="3">
        <x:v>4</x:v>
      </x:c>
      <x:c r="S558" s="3"/>
      <x:c r="T558" s="2"/>
      <x:c r="U558" s="2"/>
      <x:c r="V558" s="2"/>
      <x:c r="W558" s="2"/>
      <x:c r="X558" s="3"/>
      <x:c r="Y558" s="3"/>
      <x:c r="Z558" s="2"/>
      <x:c r="AA558" s="2"/>
      <x:c r="AB558" s="2"/>
      <x:c r="AC558" s="2" t="s">
        <x:v>326</x:v>
      </x:c>
      <x:c r="AD558" s="2" t="s">
        <x:v>317</x:v>
      </x:c>
      <x:c r="AE558" s="2" t="s">
        <x:v>368</x:v>
      </x:c>
      <x:c r="AF558" s="2" t="s">
        <x:v>319</x:v>
      </x:c>
      <x:c r="AG558" s="2"/>
      <x:c r="AH558" s="2"/>
      <x:c r="AI558" s="4"/>
      <x:c r="AJ558" s="2"/>
      <x:c r="AK558" s="2" t="s">
        <x:v>320</x:v>
      </x:c>
      <x:c r="AL558" s="2" t="s">
        <x:v>1550</x:v>
      </x:c>
      <x:c r="AM558" s="2">
        <x:v>108</x:v>
      </x:c>
      <x:c r="AN558" s="2">
        <x:v>108</x:v>
      </x:c>
    </x:row>
    <x:row r="559" ht="52">
      <x:c r="A559" s="2" t="s">
        <x:v>6</x:v>
      </x:c>
      <x:c r="B559" s="2" t="s">
        <x:v>16</x:v>
      </x:c>
      <x:c r="C559" s="3">
        <x:v>107</x:v>
      </x:c>
      <x:c r="D559" s="2" t="s">
        <x:v>1611</x:v>
      </x:c>
      <x:c r="E559" s="2" t="s">
        <x:v>1762</x:v>
      </x:c>
      <x:c r="F559" s="2" t="s">
        <x:v>1612</x:v>
      </x:c>
      <x:c r="G559" s="2"/>
      <x:c r="H559" s="2" t="s">
        <x:v>618</x:v>
      </x:c>
      <x:c r="I559" s="2" t="s">
        <x:v>1810</x:v>
      </x:c>
      <x:c r="J559" s="2" t="s">
        <x:v>1668</x:v>
      </x:c>
      <x:c r="K559" s="2"/>
      <x:c r="L559" s="2" t="s">
        <x:v>1634</x:v>
      </x:c>
      <x:c r="M559" s="2"/>
      <x:c r="N559" s="2"/>
      <x:c r="O559" s="2" t="s">
        <x:v>1600</x:v>
      </x:c>
      <x:c r="P559" s="2" t="s">
        <x:v>1811</x:v>
      </x:c>
      <x:c r="Q559" s="2"/>
      <x:c r="R559" s="3">
        <x:v>3</x:v>
      </x:c>
      <x:c r="S559" s="3"/>
      <x:c r="T559" s="2"/>
      <x:c r="U559" s="2"/>
      <x:c r="V559" s="2"/>
      <x:c r="W559" s="2"/>
      <x:c r="X559" s="3"/>
      <x:c r="Y559" s="3"/>
      <x:c r="Z559" s="2"/>
      <x:c r="AA559" s="2"/>
      <x:c r="AB559" s="2"/>
      <x:c r="AC559" s="2" t="s">
        <x:v>326</x:v>
      </x:c>
      <x:c r="AD559" s="2" t="s">
        <x:v>368</x:v>
      </x:c>
      <x:c r="AE559" s="2" t="s">
        <x:v>317</x:v>
      </x:c>
      <x:c r="AF559" s="2" t="s">
        <x:v>319</x:v>
      </x:c>
      <x:c r="AG559" s="2"/>
      <x:c r="AH559" s="2"/>
      <x:c r="AI559" s="4"/>
      <x:c r="AJ559" s="2"/>
      <x:c r="AK559" s="2" t="s">
        <x:v>320</x:v>
      </x:c>
      <x:c r="AL559" s="2" t="s">
        <x:v>1550</x:v>
      </x:c>
      <x:c r="AM559" s="2">
        <x:v>109</x:v>
      </x:c>
      <x:c r="AN559" s="2">
        <x:v>109</x:v>
      </x:c>
    </x:row>
    <x:row r="560" ht="52">
      <x:c r="A560" s="2" t="s">
        <x:v>6</x:v>
      </x:c>
      <x:c r="B560" s="2" t="s">
        <x:v>16</x:v>
      </x:c>
      <x:c r="C560" s="3">
        <x:v>108</x:v>
      </x:c>
      <x:c r="D560" s="2" t="s">
        <x:v>1636</x:v>
      </x:c>
      <x:c r="E560" s="2" t="s">
        <x:v>1594</x:v>
      </x:c>
      <x:c r="F560" s="2" t="s">
        <x:v>1637</x:v>
      </x:c>
      <x:c r="G560" s="2"/>
      <x:c r="H560" s="2" t="s">
        <x:v>618</x:v>
      </x:c>
      <x:c r="I560" s="2" t="s">
        <x:v>1812</x:v>
      </x:c>
      <x:c r="J560" s="2" t="s">
        <x:v>1668</x:v>
      </x:c>
      <x:c r="K560" s="2"/>
      <x:c r="L560" s="2" t="s">
        <x:v>1656</x:v>
      </x:c>
      <x:c r="M560" s="2"/>
      <x:c r="N560" s="2"/>
      <x:c r="O560" s="2" t="s">
        <x:v>1600</x:v>
      </x:c>
      <x:c r="P560" s="2" t="s">
        <x:v>1813</x:v>
      </x:c>
      <x:c r="Q560" s="2"/>
      <x:c r="R560" s="3">
        <x:v>3</x:v>
      </x:c>
      <x:c r="S560" s="3"/>
      <x:c r="T560" s="2"/>
      <x:c r="U560" s="2"/>
      <x:c r="V560" s="2"/>
      <x:c r="W560" s="2"/>
      <x:c r="X560" s="3"/>
      <x:c r="Y560" s="3"/>
      <x:c r="Z560" s="2"/>
      <x:c r="AA560" s="2"/>
      <x:c r="AB560" s="2"/>
      <x:c r="AC560" s="2" t="s">
        <x:v>367</x:v>
      </x:c>
      <x:c r="AD560" s="2" t="s">
        <x:v>317</x:v>
      </x:c>
      <x:c r="AE560" s="2" t="s">
        <x:v>368</x:v>
      </x:c>
      <x:c r="AF560" s="2" t="s">
        <x:v>319</x:v>
      </x:c>
      <x:c r="AG560" s="2"/>
      <x:c r="AH560" s="2"/>
      <x:c r="AI560" s="4"/>
      <x:c r="AJ560" s="2"/>
      <x:c r="AK560" s="2" t="s">
        <x:v>320</x:v>
      </x:c>
      <x:c r="AL560" s="2" t="s">
        <x:v>1550</x:v>
      </x:c>
      <x:c r="AM560" s="2">
        <x:v>110</x:v>
      </x:c>
      <x:c r="AN560" s="2">
        <x:v>110</x:v>
      </x:c>
    </x:row>
    <x:row r="561" ht="52">
      <x:c r="A561" s="2" t="s">
        <x:v>6</x:v>
      </x:c>
      <x:c r="B561" s="2" t="s">
        <x:v>16</x:v>
      </x:c>
      <x:c r="C561" s="3">
        <x:v>109</x:v>
      </x:c>
      <x:c r="D561" s="2" t="s">
        <x:v>1651</x:v>
      </x:c>
      <x:c r="E561" s="2" t="s">
        <x:v>1721</x:v>
      </x:c>
      <x:c r="F561" s="2" t="s">
        <x:v>1652</x:v>
      </x:c>
      <x:c r="G561" s="2" t="s">
        <x:v>1814</x:v>
      </x:c>
      <x:c r="H561" s="2" t="s">
        <x:v>618</x:v>
      </x:c>
      <x:c r="I561" s="2" t="s">
        <x:v>1815</x:v>
      </x:c>
      <x:c r="J561" s="2" t="s">
        <x:v>1668</x:v>
      </x:c>
      <x:c r="K561" s="2"/>
      <x:c r="L561" s="2" t="s">
        <x:v>1653</x:v>
      </x:c>
      <x:c r="M561" s="2"/>
      <x:c r="N561" s="2"/>
      <x:c r="O561" s="2" t="s">
        <x:v>1600</x:v>
      </x:c>
      <x:c r="P561" s="2" t="s">
        <x:v>1753</x:v>
      </x:c>
      <x:c r="Q561" s="2"/>
      <x:c r="R561" s="3">
        <x:v>4</x:v>
      </x:c>
      <x:c r="S561" s="3"/>
      <x:c r="T561" s="2"/>
      <x:c r="U561" s="2"/>
      <x:c r="V561" s="2"/>
      <x:c r="W561" s="2"/>
      <x:c r="X561" s="3"/>
      <x:c r="Y561" s="3"/>
      <x:c r="Z561" s="2"/>
      <x:c r="AA561" s="2"/>
      <x:c r="AB561" s="2"/>
      <x:c r="AC561" s="2" t="s">
        <x:v>374</x:v>
      </x:c>
      <x:c r="AD561" s="2" t="s">
        <x:v>368</x:v>
      </x:c>
      <x:c r="AE561" s="2" t="s">
        <x:v>317</x:v>
      </x:c>
      <x:c r="AF561" s="2" t="s">
        <x:v>319</x:v>
      </x:c>
      <x:c r="AG561" s="2"/>
      <x:c r="AH561" s="2"/>
      <x:c r="AI561" s="4"/>
      <x:c r="AJ561" s="2"/>
      <x:c r="AK561" s="2" t="s">
        <x:v>320</x:v>
      </x:c>
      <x:c r="AL561" s="2" t="s">
        <x:v>1550</x:v>
      </x:c>
      <x:c r="AM561" s="2">
        <x:v>111</x:v>
      </x:c>
      <x:c r="AN561" s="2">
        <x:v>111</x:v>
      </x:c>
    </x:row>
    <x:row r="562" ht="52">
      <x:c r="A562" s="2" t="s">
        <x:v>6</x:v>
      </x:c>
      <x:c r="B562" s="2" t="s">
        <x:v>16</x:v>
      </x:c>
      <x:c r="C562" s="3">
        <x:v>110</x:v>
      </x:c>
      <x:c r="D562" s="2" t="s">
        <x:v>1816</x:v>
      </x:c>
      <x:c r="E562" s="2" t="s">
        <x:v>1817</x:v>
      </x:c>
      <x:c r="F562" s="2" t="s">
        <x:v>1818</x:v>
      </x:c>
      <x:c r="G562" s="2"/>
      <x:c r="H562" s="2" t="s">
        <x:v>1819</x:v>
      </x:c>
      <x:c r="I562" s="2" t="s">
        <x:v>1820</x:v>
      </x:c>
      <x:c r="J562" s="2" t="s">
        <x:v>1821</x:v>
      </x:c>
      <x:c r="K562" s="2"/>
      <x:c r="L562" s="2" t="s">
        <x:v>1822</x:v>
      </x:c>
      <x:c r="M562" s="2"/>
      <x:c r="N562" s="2"/>
      <x:c r="O562" s="2" t="s">
        <x:v>1600</x:v>
      </x:c>
      <x:c r="P562" s="2" t="s">
        <x:v>1823</x:v>
      </x:c>
      <x:c r="Q562" s="2"/>
      <x:c r="R562" s="3">
        <x:v>3</x:v>
      </x:c>
      <x:c r="S562" s="3"/>
      <x:c r="T562" s="2"/>
      <x:c r="U562" s="2"/>
      <x:c r="V562" s="2"/>
      <x:c r="W562" s="2"/>
      <x:c r="X562" s="3"/>
      <x:c r="Y562" s="3"/>
      <x:c r="Z562" s="2"/>
      <x:c r="AA562" s="2"/>
      <x:c r="AB562" s="2"/>
      <x:c r="AC562" s="2" t="s">
        <x:v>316</x:v>
      </x:c>
      <x:c r="AD562" s="2" t="s">
        <x:v>480</x:v>
      </x:c>
      <x:c r="AE562" s="2" t="s">
        <x:v>318</x:v>
      </x:c>
      <x:c r="AF562" s="2" t="s">
        <x:v>1824</x:v>
      </x:c>
      <x:c r="AG562" s="2"/>
      <x:c r="AH562" s="2"/>
      <x:c r="AI562" s="4"/>
      <x:c r="AJ562" s="2"/>
      <x:c r="AK562" s="2" t="s">
        <x:v>320</x:v>
      </x:c>
      <x:c r="AL562" s="2" t="s">
        <x:v>1550</x:v>
      </x:c>
      <x:c r="AM562" s="2">
        <x:v>112</x:v>
      </x:c>
      <x:c r="AN562" s="2">
        <x:v>112</x:v>
      </x:c>
    </x:row>
    <x:row r="563" ht="52">
      <x:c r="A563" s="2" t="s">
        <x:v>6</x:v>
      </x:c>
      <x:c r="B563" s="2" t="s">
        <x:v>16</x:v>
      </x:c>
      <x:c r="C563" s="3">
        <x:v>111</x:v>
      </x:c>
      <x:c r="D563" s="2" t="s">
        <x:v>1825</x:v>
      </x:c>
      <x:c r="E563" s="2" t="s">
        <x:v>1817</x:v>
      </x:c>
      <x:c r="F563" s="2" t="s">
        <x:v>1826</x:v>
      </x:c>
      <x:c r="G563" s="2" t="s">
        <x:v>1827</x:v>
      </x:c>
      <x:c r="H563" s="2" t="s">
        <x:v>1819</x:v>
      </x:c>
      <x:c r="I563" s="2" t="s">
        <x:v>1820</x:v>
      </x:c>
      <x:c r="J563" s="2" t="s">
        <x:v>1821</x:v>
      </x:c>
      <x:c r="K563" s="2" t="n">
        <x:v>110</x:v>
      </x:c>
      <x:c r="L563" s="2" t="s">
        <x:v>1828</x:v>
      </x:c>
      <x:c r="M563" s="2"/>
      <x:c r="N563" s="2"/>
      <x:c r="O563" s="2" t="s">
        <x:v>1829</x:v>
      </x:c>
      <x:c r="P563" s="2" t="s">
        <x:v>1823</x:v>
      </x:c>
      <x:c r="Q563" s="2"/>
      <x:c r="R563" s="3">
        <x:v>3</x:v>
      </x:c>
      <x:c r="S563" s="3"/>
      <x:c r="T563" s="2"/>
      <x:c r="U563" s="2"/>
      <x:c r="V563" s="2"/>
      <x:c r="W563" s="2"/>
      <x:c r="X563" s="3"/>
      <x:c r="Y563" s="3"/>
      <x:c r="Z563" s="2"/>
      <x:c r="AA563" s="2"/>
      <x:c r="AB563" s="2"/>
      <x:c r="AC563" s="2" t="s">
        <x:v>326</x:v>
      </x:c>
      <x:c r="AD563" s="2" t="s">
        <x:v>480</x:v>
      </x:c>
      <x:c r="AE563" s="2" t="s">
        <x:v>318</x:v>
      </x:c>
      <x:c r="AF563" s="2" t="s">
        <x:v>1824</x:v>
      </x:c>
      <x:c r="AG563" s="2"/>
      <x:c r="AH563" s="2"/>
      <x:c r="AI563" s="4"/>
      <x:c r="AJ563" s="2"/>
      <x:c r="AK563" s="2" t="s">
        <x:v>320</x:v>
      </x:c>
      <x:c r="AL563" s="2" t="s">
        <x:v>1550</x:v>
      </x:c>
      <x:c r="AM563" s="2">
        <x:v>113</x:v>
      </x:c>
      <x:c r="AN563" s="2">
        <x:v>113</x:v>
      </x:c>
    </x:row>
    <x:row r="564" ht="52">
      <x:c r="A564" s="2" t="s">
        <x:v>91</x:v>
      </x:c>
      <x:c r="B564" s="2" t="s">
        <x:v>16</x:v>
      </x:c>
      <x:c r="C564" s="3">
        <x:v>112</x:v>
      </x:c>
      <x:c r="D564" s="2" t="s">
        <x:v>1830</x:v>
      </x:c>
      <x:c r="E564" s="2" t="s">
        <x:v>1817</x:v>
      </x:c>
      <x:c r="F564" s="2" t="s">
        <x:v>1831</x:v>
      </x:c>
      <x:c r="G564" s="2" t="s">
        <x:v>1832</x:v>
      </x:c>
      <x:c r="H564" s="2" t="s">
        <x:v>1819</x:v>
      </x:c>
      <x:c r="I564" s="2" t="s">
        <x:v>1820</x:v>
      </x:c>
      <x:c r="J564" s="2" t="s">
        <x:v>1821</x:v>
      </x:c>
      <x:c r="K564" s="2" t="n">
        <x:v>110</x:v>
      </x:c>
      <x:c r="L564" s="2" t="s">
        <x:v>1833</x:v>
      </x:c>
      <x:c r="M564" s="2"/>
      <x:c r="N564" s="2"/>
      <x:c r="O564" s="2" t="s">
        <x:v>1829</x:v>
      </x:c>
      <x:c r="P564" s="2" t="s">
        <x:v>1834</x:v>
      </x:c>
      <x:c r="Q564" s="2"/>
      <x:c r="R564" s="3">
        <x:v>3</x:v>
      </x:c>
      <x:c r="S564" s="3"/>
      <x:c r="T564" s="2"/>
      <x:c r="U564" s="2"/>
      <x:c r="V564" s="2"/>
      <x:c r="W564" s="2"/>
      <x:c r="X564" s="3"/>
      <x:c r="Y564" s="3"/>
      <x:c r="Z564" s="2"/>
      <x:c r="AA564" s="2"/>
      <x:c r="AB564" s="2"/>
      <x:c r="AC564" s="2" t="s">
        <x:v>316</x:v>
      </x:c>
      <x:c r="AD564" s="2" t="s">
        <x:v>318</x:v>
      </x:c>
      <x:c r="AE564" s="2" t="s">
        <x:v>480</x:v>
      </x:c>
      <x:c r="AF564" s="2" t="s">
        <x:v>1835</x:v>
      </x:c>
      <x:c r="AG564" s="2"/>
      <x:c r="AH564" s="2"/>
      <x:c r="AI564" s="4"/>
      <x:c r="AJ564" s="2"/>
      <x:c r="AK564" s="2" t="s">
        <x:v>320</x:v>
      </x:c>
      <x:c r="AL564" s="2" t="s">
        <x:v>1550</x:v>
      </x:c>
      <x:c r="AM564" s="2">
        <x:v>114</x:v>
      </x:c>
      <x:c r="AN564" s="2">
        <x:v>114</x:v>
      </x:c>
    </x:row>
    <x:row r="565" ht="52">
      <x:c r="A565" s="2" t="s">
        <x:v>91</x:v>
      </x:c>
      <x:c r="B565" s="2" t="s">
        <x:v>16</x:v>
      </x:c>
      <x:c r="C565" s="3">
        <x:v>113</x:v>
      </x:c>
      <x:c r="D565" s="2" t="s">
        <x:v>1836</x:v>
      </x:c>
      <x:c r="E565" s="2" t="s">
        <x:v>1817</x:v>
      </x:c>
      <x:c r="F565" s="2" t="s">
        <x:v>1837</x:v>
      </x:c>
      <x:c r="G565" s="2" t="s">
        <x:v>1838</x:v>
      </x:c>
      <x:c r="H565" s="2" t="s">
        <x:v>1819</x:v>
      </x:c>
      <x:c r="I565" s="2" t="s">
        <x:v>1820</x:v>
      </x:c>
      <x:c r="J565" s="2" t="s">
        <x:v>1821</x:v>
      </x:c>
      <x:c r="K565" s="2" t="n">
        <x:v>110</x:v>
      </x:c>
      <x:c r="L565" s="2" t="s">
        <x:v>1839</x:v>
      </x:c>
      <x:c r="M565" s="2"/>
      <x:c r="N565" s="2"/>
      <x:c r="O565" s="2" t="s">
        <x:v>1829</x:v>
      </x:c>
      <x:c r="P565" s="2" t="s">
        <x:v>1834</x:v>
      </x:c>
      <x:c r="Q565" s="2"/>
      <x:c r="R565" s="3">
        <x:v>3</x:v>
      </x:c>
      <x:c r="S565" s="3"/>
      <x:c r="T565" s="2"/>
      <x:c r="U565" s="2"/>
      <x:c r="V565" s="2"/>
      <x:c r="W565" s="2"/>
      <x:c r="X565" s="3"/>
      <x:c r="Y565" s="3"/>
      <x:c r="Z565" s="2"/>
      <x:c r="AA565" s="2"/>
      <x:c r="AB565" s="2"/>
      <x:c r="AC565" s="2" t="s">
        <x:v>326</x:v>
      </x:c>
      <x:c r="AD565" s="2" t="s">
        <x:v>318</x:v>
      </x:c>
      <x:c r="AE565" s="2" t="s">
        <x:v>480</x:v>
      </x:c>
      <x:c r="AF565" s="2" t="s">
        <x:v>1835</x:v>
      </x:c>
      <x:c r="AG565" s="2"/>
      <x:c r="AH565" s="2"/>
      <x:c r="AI565" s="4"/>
      <x:c r="AJ565" s="2"/>
      <x:c r="AK565" s="2" t="s">
        <x:v>320</x:v>
      </x:c>
      <x:c r="AL565" s="2" t="s">
        <x:v>1550</x:v>
      </x:c>
      <x:c r="AM565" s="2">
        <x:v>115</x:v>
      </x:c>
      <x:c r="AN565" s="2">
        <x:v>115</x:v>
      </x:c>
    </x:row>
    <x:row r="566" ht="52">
      <x:c r="A566" s="2" t="s">
        <x:v>6</x:v>
      </x:c>
      <x:c r="B566" s="2" t="s">
        <x:v>16</x:v>
      </x:c>
      <x:c r="C566" s="3">
        <x:v>114</x:v>
      </x:c>
      <x:c r="D566" s="2" t="s">
        <x:v>1840</x:v>
      </x:c>
      <x:c r="E566" s="2" t="s">
        <x:v>1841</x:v>
      </x:c>
      <x:c r="F566" s="2" t="s">
        <x:v>1842</x:v>
      </x:c>
      <x:c r="G566" s="2"/>
      <x:c r="H566" s="2" t="s">
        <x:v>1819</x:v>
      </x:c>
      <x:c r="I566" s="2" t="s">
        <x:v>1843</x:v>
      </x:c>
      <x:c r="J566" s="2" t="s">
        <x:v>1821</x:v>
      </x:c>
      <x:c r="K566" s="2"/>
      <x:c r="L566" s="2" t="s">
        <x:v>1844</x:v>
      </x:c>
      <x:c r="M566" s="2"/>
      <x:c r="N566" s="2"/>
      <x:c r="O566" s="2" t="s">
        <x:v>1600</x:v>
      </x:c>
      <x:c r="P566" s="2" t="s">
        <x:v>1823</x:v>
      </x:c>
      <x:c r="Q566" s="2"/>
      <x:c r="R566" s="3">
        <x:v>4</x:v>
      </x:c>
      <x:c r="S566" s="3"/>
      <x:c r="T566" s="2"/>
      <x:c r="U566" s="2"/>
      <x:c r="V566" s="2"/>
      <x:c r="W566" s="2"/>
      <x:c r="X566" s="3"/>
      <x:c r="Y566" s="3"/>
      <x:c r="Z566" s="2"/>
      <x:c r="AA566" s="2"/>
      <x:c r="AB566" s="2"/>
      <x:c r="AC566" s="2" t="s">
        <x:v>316</x:v>
      </x:c>
      <x:c r="AD566" s="2" t="s">
        <x:v>480</x:v>
      </x:c>
      <x:c r="AE566" s="2" t="s">
        <x:v>344</x:v>
      </x:c>
      <x:c r="AF566" s="2" t="s">
        <x:v>1824</x:v>
      </x:c>
      <x:c r="AG566" s="2"/>
      <x:c r="AH566" s="2"/>
      <x:c r="AI566" s="4"/>
      <x:c r="AJ566" s="2"/>
      <x:c r="AK566" s="2" t="s">
        <x:v>320</x:v>
      </x:c>
      <x:c r="AL566" s="2" t="s">
        <x:v>1550</x:v>
      </x:c>
      <x:c r="AM566" s="2">
        <x:v>116</x:v>
      </x:c>
      <x:c r="AN566" s="2">
        <x:v>116</x:v>
      </x:c>
    </x:row>
    <x:row r="567" ht="52">
      <x:c r="A567" s="2" t="s">
        <x:v>6</x:v>
      </x:c>
      <x:c r="B567" s="2" t="s">
        <x:v>16</x:v>
      </x:c>
      <x:c r="C567" s="3">
        <x:v>115</x:v>
      </x:c>
      <x:c r="D567" s="2" t="s">
        <x:v>1845</x:v>
      </x:c>
      <x:c r="E567" s="2" t="s">
        <x:v>1841</x:v>
      </x:c>
      <x:c r="F567" s="2" t="s">
        <x:v>1846</x:v>
      </x:c>
      <x:c r="G567" s="2"/>
      <x:c r="H567" s="2" t="s">
        <x:v>1819</x:v>
      </x:c>
      <x:c r="I567" s="2" t="s">
        <x:v>1843</x:v>
      </x:c>
      <x:c r="J567" s="2" t="s">
        <x:v>1821</x:v>
      </x:c>
      <x:c r="K567" s="2" t="n">
        <x:v>114</x:v>
      </x:c>
      <x:c r="L567" s="2" t="s">
        <x:v>1847</x:v>
      </x:c>
      <x:c r="M567" s="2"/>
      <x:c r="N567" s="2"/>
      <x:c r="O567" s="2" t="s">
        <x:v>1829</x:v>
      </x:c>
      <x:c r="P567" s="2" t="s">
        <x:v>1823</x:v>
      </x:c>
      <x:c r="Q567" s="2"/>
      <x:c r="R567" s="3">
        <x:v>4</x:v>
      </x:c>
      <x:c r="S567" s="3"/>
      <x:c r="T567" s="2"/>
      <x:c r="U567" s="2"/>
      <x:c r="V567" s="2"/>
      <x:c r="W567" s="2"/>
      <x:c r="X567" s="3"/>
      <x:c r="Y567" s="3"/>
      <x:c r="Z567" s="2"/>
      <x:c r="AA567" s="2"/>
      <x:c r="AB567" s="2"/>
      <x:c r="AC567" s="2" t="s">
        <x:v>326</x:v>
      </x:c>
      <x:c r="AD567" s="2" t="s">
        <x:v>480</x:v>
      </x:c>
      <x:c r="AE567" s="2" t="s">
        <x:v>344</x:v>
      </x:c>
      <x:c r="AF567" s="2" t="s">
        <x:v>1824</x:v>
      </x:c>
      <x:c r="AG567" s="2"/>
      <x:c r="AH567" s="2"/>
      <x:c r="AI567" s="4"/>
      <x:c r="AJ567" s="2"/>
      <x:c r="AK567" s="2" t="s">
        <x:v>320</x:v>
      </x:c>
      <x:c r="AL567" s="2" t="s">
        <x:v>1550</x:v>
      </x:c>
      <x:c r="AM567" s="2">
        <x:v>117</x:v>
      </x:c>
      <x:c r="AN567" s="2">
        <x:v>117</x:v>
      </x:c>
    </x:row>
    <x:row r="568" ht="52">
      <x:c r="A568" s="2" t="s">
        <x:v>6</x:v>
      </x:c>
      <x:c r="B568" s="2" t="s">
        <x:v>16</x:v>
      </x:c>
      <x:c r="C568" s="3">
        <x:v>116</x:v>
      </x:c>
      <x:c r="D568" s="2" t="s">
        <x:v>1848</x:v>
      </x:c>
      <x:c r="E568" s="2" t="s">
        <x:v>1841</x:v>
      </x:c>
      <x:c r="F568" s="2" t="s">
        <x:v>1849</x:v>
      </x:c>
      <x:c r="G568" s="2"/>
      <x:c r="H568" s="2" t="s">
        <x:v>1819</x:v>
      </x:c>
      <x:c r="I568" s="2" t="s">
        <x:v>1843</x:v>
      </x:c>
      <x:c r="J568" s="2" t="s">
        <x:v>1821</x:v>
      </x:c>
      <x:c r="K568" s="2" t="n">
        <x:v>114</x:v>
      </x:c>
      <x:c r="L568" s="2" t="s">
        <x:v>1850</x:v>
      </x:c>
      <x:c r="M568" s="2"/>
      <x:c r="N568" s="2"/>
      <x:c r="O568" s="2" t="s">
        <x:v>1829</x:v>
      </x:c>
      <x:c r="P568" s="2" t="s">
        <x:v>1834</x:v>
      </x:c>
      <x:c r="Q568" s="2"/>
      <x:c r="R568" s="3">
        <x:v>4</x:v>
      </x:c>
      <x:c r="S568" s="3"/>
      <x:c r="T568" s="2"/>
      <x:c r="U568" s="2"/>
      <x:c r="V568" s="2"/>
      <x:c r="W568" s="2"/>
      <x:c r="X568" s="3"/>
      <x:c r="Y568" s="3"/>
      <x:c r="Z568" s="2"/>
      <x:c r="AA568" s="2"/>
      <x:c r="AB568" s="2"/>
      <x:c r="AC568" s="2" t="s">
        <x:v>316</x:v>
      </x:c>
      <x:c r="AD568" s="2" t="s">
        <x:v>344</x:v>
      </x:c>
      <x:c r="AE568" s="2" t="s">
        <x:v>480</x:v>
      </x:c>
      <x:c r="AF568" s="2" t="s">
        <x:v>1835</x:v>
      </x:c>
      <x:c r="AG568" s="2"/>
      <x:c r="AH568" s="2"/>
      <x:c r="AI568" s="4"/>
      <x:c r="AJ568" s="2"/>
      <x:c r="AK568" s="2" t="s">
        <x:v>320</x:v>
      </x:c>
      <x:c r="AL568" s="2" t="s">
        <x:v>1550</x:v>
      </x:c>
      <x:c r="AM568" s="2">
        <x:v>118</x:v>
      </x:c>
      <x:c r="AN568" s="2">
        <x:v>118</x:v>
      </x:c>
    </x:row>
    <x:row r="569" ht="52">
      <x:c r="A569" s="2" t="s">
        <x:v>91</x:v>
      </x:c>
      <x:c r="B569" s="2" t="s">
        <x:v>16</x:v>
      </x:c>
      <x:c r="C569" s="3">
        <x:v>117</x:v>
      </x:c>
      <x:c r="D569" s="2" t="s">
        <x:v>1851</x:v>
      </x:c>
      <x:c r="E569" s="2" t="s">
        <x:v>1841</x:v>
      </x:c>
      <x:c r="F569" s="2" t="s">
        <x:v>1852</x:v>
      </x:c>
      <x:c r="G569" s="2" t="s">
        <x:v>1853</x:v>
      </x:c>
      <x:c r="H569" s="2" t="s">
        <x:v>1819</x:v>
      </x:c>
      <x:c r="I569" s="2" t="s">
        <x:v>1843</x:v>
      </x:c>
      <x:c r="J569" s="2" t="s">
        <x:v>1821</x:v>
      </x:c>
      <x:c r="K569" s="2" t="n">
        <x:v>114</x:v>
      </x:c>
      <x:c r="L569" s="2" t="s">
        <x:v>1854</x:v>
      </x:c>
      <x:c r="M569" s="2"/>
      <x:c r="N569" s="2"/>
      <x:c r="O569" s="2" t="s">
        <x:v>1829</x:v>
      </x:c>
      <x:c r="P569" s="2" t="s">
        <x:v>1834</x:v>
      </x:c>
      <x:c r="Q569" s="2"/>
      <x:c r="R569" s="3">
        <x:v>4</x:v>
      </x:c>
      <x:c r="S569" s="3"/>
      <x:c r="T569" s="2"/>
      <x:c r="U569" s="2"/>
      <x:c r="V569" s="2"/>
      <x:c r="W569" s="2"/>
      <x:c r="X569" s="3"/>
      <x:c r="Y569" s="3"/>
      <x:c r="Z569" s="2"/>
      <x:c r="AA569" s="2"/>
      <x:c r="AB569" s="2"/>
      <x:c r="AC569" s="2" t="s">
        <x:v>326</x:v>
      </x:c>
      <x:c r="AD569" s="2" t="s">
        <x:v>344</x:v>
      </x:c>
      <x:c r="AE569" s="2" t="s">
        <x:v>480</x:v>
      </x:c>
      <x:c r="AF569" s="2" t="s">
        <x:v>1835</x:v>
      </x:c>
      <x:c r="AG569" s="2"/>
      <x:c r="AH569" s="2"/>
      <x:c r="AI569" s="4"/>
      <x:c r="AJ569" s="2"/>
      <x:c r="AK569" s="2" t="s">
        <x:v>320</x:v>
      </x:c>
      <x:c r="AL569" s="2" t="s">
        <x:v>1550</x:v>
      </x:c>
      <x:c r="AM569" s="2">
        <x:v>119</x:v>
      </x:c>
      <x:c r="AN569" s="2">
        <x:v>119</x:v>
      </x:c>
    </x:row>
    <x:row r="570" ht="52">
      <x:c r="A570" s="2" t="s">
        <x:v>6</x:v>
      </x:c>
      <x:c r="B570" s="2" t="s">
        <x:v>16</x:v>
      </x:c>
      <x:c r="C570" s="3">
        <x:v>118</x:v>
      </x:c>
      <x:c r="D570" s="2" t="s">
        <x:v>1855</x:v>
      </x:c>
      <x:c r="E570" s="2" t="s">
        <x:v>1856</x:v>
      </x:c>
      <x:c r="F570" s="2" t="s">
        <x:v>1857</x:v>
      </x:c>
      <x:c r="G570" s="2"/>
      <x:c r="H570" s="2" t="s">
        <x:v>1819</x:v>
      </x:c>
      <x:c r="I570" s="2" t="s">
        <x:v>1858</x:v>
      </x:c>
      <x:c r="J570" s="2" t="s">
        <x:v>1859</x:v>
      </x:c>
      <x:c r="K570" s="2"/>
      <x:c r="L570" s="2" t="s">
        <x:v>1860</x:v>
      </x:c>
      <x:c r="M570" s="2"/>
      <x:c r="N570" s="2"/>
      <x:c r="O570" s="2" t="s">
        <x:v>1600</x:v>
      </x:c>
      <x:c r="P570" s="2" t="s">
        <x:v>1823</x:v>
      </x:c>
      <x:c r="Q570" s="2"/>
      <x:c r="R570" s="3">
        <x:v>3</x:v>
      </x:c>
      <x:c r="S570" s="3"/>
      <x:c r="T570" s="2"/>
      <x:c r="U570" s="2"/>
      <x:c r="V570" s="2"/>
      <x:c r="W570" s="2"/>
      <x:c r="X570" s="3"/>
      <x:c r="Y570" s="3"/>
      <x:c r="Z570" s="2"/>
      <x:c r="AA570" s="2"/>
      <x:c r="AB570" s="2"/>
      <x:c r="AC570" s="2" t="s">
        <x:v>367</x:v>
      </x:c>
      <x:c r="AD570" s="2" t="s">
        <x:v>480</x:v>
      </x:c>
      <x:c r="AE570" s="2" t="s">
        <x:v>317</x:v>
      </x:c>
      <x:c r="AF570" s="2" t="s">
        <x:v>1824</x:v>
      </x:c>
      <x:c r="AG570" s="2"/>
      <x:c r="AH570" s="2"/>
      <x:c r="AI570" s="4"/>
      <x:c r="AJ570" s="2"/>
      <x:c r="AK570" s="2" t="s">
        <x:v>320</x:v>
      </x:c>
      <x:c r="AL570" s="2" t="s">
        <x:v>1550</x:v>
      </x:c>
      <x:c r="AM570" s="2">
        <x:v>120</x:v>
      </x:c>
      <x:c r="AN570" s="2">
        <x:v>120</x:v>
      </x:c>
    </x:row>
    <x:row r="571" ht="52">
      <x:c r="A571" s="2" t="s">
        <x:v>6</x:v>
      </x:c>
      <x:c r="B571" s="2" t="s">
        <x:v>16</x:v>
      </x:c>
      <x:c r="C571" s="3">
        <x:v>119</x:v>
      </x:c>
      <x:c r="D571" s="2" t="s">
        <x:v>1861</x:v>
      </x:c>
      <x:c r="E571" s="2" t="s">
        <x:v>1856</x:v>
      </x:c>
      <x:c r="F571" s="2" t="s">
        <x:v>1862</x:v>
      </x:c>
      <x:c r="G571" s="2"/>
      <x:c r="H571" s="2" t="s">
        <x:v>1819</x:v>
      </x:c>
      <x:c r="I571" s="2" t="s">
        <x:v>1858</x:v>
      </x:c>
      <x:c r="J571" s="2" t="s">
        <x:v>1859</x:v>
      </x:c>
      <x:c r="K571" s="2" t="n">
        <x:v>118</x:v>
      </x:c>
      <x:c r="L571" s="2" t="s">
        <x:v>1863</x:v>
      </x:c>
      <x:c r="M571" s="2"/>
      <x:c r="N571" s="2"/>
      <x:c r="O571" s="2" t="s">
        <x:v>1829</x:v>
      </x:c>
      <x:c r="P571" s="2" t="s">
        <x:v>1823</x:v>
      </x:c>
      <x:c r="Q571" s="2"/>
      <x:c r="R571" s="3">
        <x:v>3</x:v>
      </x:c>
      <x:c r="S571" s="3"/>
      <x:c r="T571" s="2"/>
      <x:c r="U571" s="2"/>
      <x:c r="V571" s="2"/>
      <x:c r="W571" s="2"/>
      <x:c r="X571" s="3"/>
      <x:c r="Y571" s="3"/>
      <x:c r="Z571" s="2"/>
      <x:c r="AA571" s="2"/>
      <x:c r="AB571" s="2"/>
      <x:c r="AC571" s="2" t="s">
        <x:v>374</x:v>
      </x:c>
      <x:c r="AD571" s="2" t="s">
        <x:v>480</x:v>
      </x:c>
      <x:c r="AE571" s="2" t="s">
        <x:v>317</x:v>
      </x:c>
      <x:c r="AF571" s="2" t="s">
        <x:v>1824</x:v>
      </x:c>
      <x:c r="AG571" s="2"/>
      <x:c r="AH571" s="2"/>
      <x:c r="AI571" s="4"/>
      <x:c r="AJ571" s="2"/>
      <x:c r="AK571" s="2" t="s">
        <x:v>320</x:v>
      </x:c>
      <x:c r="AL571" s="2" t="s">
        <x:v>1550</x:v>
      </x:c>
      <x:c r="AM571" s="2">
        <x:v>121</x:v>
      </x:c>
      <x:c r="AN571" s="2">
        <x:v>121</x:v>
      </x:c>
    </x:row>
    <x:row r="572" ht="52">
      <x:c r="A572" s="2" t="s">
        <x:v>6</x:v>
      </x:c>
      <x:c r="B572" s="2" t="s">
        <x:v>16</x:v>
      </x:c>
      <x:c r="C572" s="3">
        <x:v>120</x:v>
      </x:c>
      <x:c r="D572" s="2" t="s">
        <x:v>1864</x:v>
      </x:c>
      <x:c r="E572" s="2" t="s">
        <x:v>1856</x:v>
      </x:c>
      <x:c r="F572" s="2" t="s">
        <x:v>1865</x:v>
      </x:c>
      <x:c r="G572" s="2" t="s">
        <x:v>1866</x:v>
      </x:c>
      <x:c r="H572" s="2" t="s">
        <x:v>1819</x:v>
      </x:c>
      <x:c r="I572" s="2" t="s">
        <x:v>1858</x:v>
      </x:c>
      <x:c r="J572" s="2" t="s">
        <x:v>1859</x:v>
      </x:c>
      <x:c r="K572" s="2" t="n">
        <x:v>118</x:v>
      </x:c>
      <x:c r="L572" s="2" t="s">
        <x:v>1867</x:v>
      </x:c>
      <x:c r="M572" s="2"/>
      <x:c r="N572" s="2"/>
      <x:c r="O572" s="2" t="s">
        <x:v>1829</x:v>
      </x:c>
      <x:c r="P572" s="2" t="s">
        <x:v>1834</x:v>
      </x:c>
      <x:c r="Q572" s="2"/>
      <x:c r="R572" s="3">
        <x:v>3</x:v>
      </x:c>
      <x:c r="S572" s="3"/>
      <x:c r="T572" s="2"/>
      <x:c r="U572" s="2"/>
      <x:c r="V572" s="2"/>
      <x:c r="W572" s="2"/>
      <x:c r="X572" s="3"/>
      <x:c r="Y572" s="3"/>
      <x:c r="Z572" s="2"/>
      <x:c r="AA572" s="2"/>
      <x:c r="AB572" s="2"/>
      <x:c r="AC572" s="2" t="s">
        <x:v>367</x:v>
      </x:c>
      <x:c r="AD572" s="2" t="s">
        <x:v>317</x:v>
      </x:c>
      <x:c r="AE572" s="2" t="s">
        <x:v>480</x:v>
      </x:c>
      <x:c r="AF572" s="2" t="s">
        <x:v>1835</x:v>
      </x:c>
      <x:c r="AG572" s="2"/>
      <x:c r="AH572" s="2"/>
      <x:c r="AI572" s="4"/>
      <x:c r="AJ572" s="2"/>
      <x:c r="AK572" s="2" t="s">
        <x:v>320</x:v>
      </x:c>
      <x:c r="AL572" s="2" t="s">
        <x:v>1550</x:v>
      </x:c>
      <x:c r="AM572" s="2">
        <x:v>122</x:v>
      </x:c>
      <x:c r="AN572" s="2">
        <x:v>122</x:v>
      </x:c>
    </x:row>
    <x:row r="573" ht="52">
      <x:c r="A573" s="2" t="s">
        <x:v>6</x:v>
      </x:c>
      <x:c r="B573" s="2" t="s">
        <x:v>16</x:v>
      </x:c>
      <x:c r="C573" s="3">
        <x:v>121</x:v>
      </x:c>
      <x:c r="D573" s="2" t="s">
        <x:v>1868</x:v>
      </x:c>
      <x:c r="E573" s="2" t="s">
        <x:v>1856</x:v>
      </x:c>
      <x:c r="F573" s="2" t="s">
        <x:v>1869</x:v>
      </x:c>
      <x:c r="G573" s="2"/>
      <x:c r="H573" s="2" t="s">
        <x:v>1819</x:v>
      </x:c>
      <x:c r="I573" s="2" t="s">
        <x:v>1858</x:v>
      </x:c>
      <x:c r="J573" s="2" t="s">
        <x:v>1859</x:v>
      </x:c>
      <x:c r="K573" s="2" t="n">
        <x:v>118</x:v>
      </x:c>
      <x:c r="L573" s="2" t="s">
        <x:v>1870</x:v>
      </x:c>
      <x:c r="M573" s="2"/>
      <x:c r="N573" s="2"/>
      <x:c r="O573" s="2" t="s">
        <x:v>1829</x:v>
      </x:c>
      <x:c r="P573" s="2" t="s">
        <x:v>1834</x:v>
      </x:c>
      <x:c r="Q573" s="2"/>
      <x:c r="R573" s="3">
        <x:v>3</x:v>
      </x:c>
      <x:c r="S573" s="3"/>
      <x:c r="T573" s="2"/>
      <x:c r="U573" s="2"/>
      <x:c r="V573" s="2"/>
      <x:c r="W573" s="2"/>
      <x:c r="X573" s="3"/>
      <x:c r="Y573" s="3"/>
      <x:c r="Z573" s="2"/>
      <x:c r="AA573" s="2"/>
      <x:c r="AB573" s="2"/>
      <x:c r="AC573" s="2" t="s">
        <x:v>374</x:v>
      </x:c>
      <x:c r="AD573" s="2" t="s">
        <x:v>317</x:v>
      </x:c>
      <x:c r="AE573" s="2" t="s">
        <x:v>480</x:v>
      </x:c>
      <x:c r="AF573" s="2" t="s">
        <x:v>1835</x:v>
      </x:c>
      <x:c r="AG573" s="2"/>
      <x:c r="AH573" s="2"/>
      <x:c r="AI573" s="4"/>
      <x:c r="AJ573" s="2"/>
      <x:c r="AK573" s="2" t="s">
        <x:v>320</x:v>
      </x:c>
      <x:c r="AL573" s="2" t="s">
        <x:v>1550</x:v>
      </x:c>
      <x:c r="AM573" s="2">
        <x:v>123</x:v>
      </x:c>
      <x:c r="AN573" s="2">
        <x:v>123</x:v>
      </x:c>
    </x:row>
    <x:row r="574" ht="52">
      <x:c r="A574" s="2" t="s">
        <x:v>6</x:v>
      </x:c>
      <x:c r="B574" s="2" t="s">
        <x:v>16</x:v>
      </x:c>
      <x:c r="C574" s="3">
        <x:v>122</x:v>
      </x:c>
      <x:c r="D574" s="2" t="s">
        <x:v>1871</x:v>
      </x:c>
      <x:c r="E574" s="2" t="s">
        <x:v>1872</x:v>
      </x:c>
      <x:c r="F574" s="2" t="s">
        <x:v>1873</x:v>
      </x:c>
      <x:c r="G574" s="2"/>
      <x:c r="H574" s="2" t="s">
        <x:v>1819</x:v>
      </x:c>
      <x:c r="I574" s="2" t="s">
        <x:v>1874</x:v>
      </x:c>
      <x:c r="J574" s="2" t="s">
        <x:v>1859</x:v>
      </x:c>
      <x:c r="K574" s="2"/>
      <x:c r="L574" s="2" t="s">
        <x:v>1875</x:v>
      </x:c>
      <x:c r="M574" s="2"/>
      <x:c r="N574" s="2"/>
      <x:c r="O574" s="2" t="s">
        <x:v>1600</x:v>
      </x:c>
      <x:c r="P574" s="2" t="s">
        <x:v>1823</x:v>
      </x:c>
      <x:c r="Q574" s="2"/>
      <x:c r="R574" s="3">
        <x:v>4</x:v>
      </x:c>
      <x:c r="S574" s="3"/>
      <x:c r="T574" s="2"/>
      <x:c r="U574" s="2"/>
      <x:c r="V574" s="2"/>
      <x:c r="W574" s="2"/>
      <x:c r="X574" s="3"/>
      <x:c r="Y574" s="3"/>
      <x:c r="Z574" s="2"/>
      <x:c r="AA574" s="2"/>
      <x:c r="AB574" s="2"/>
      <x:c r="AC574" s="2" t="s">
        <x:v>367</x:v>
      </x:c>
      <x:c r="AD574" s="2" t="s">
        <x:v>480</x:v>
      </x:c>
      <x:c r="AE574" s="2" t="s">
        <x:v>368</x:v>
      </x:c>
      <x:c r="AF574" s="2" t="s">
        <x:v>1824</x:v>
      </x:c>
      <x:c r="AG574" s="2"/>
      <x:c r="AH574" s="2"/>
      <x:c r="AI574" s="4"/>
      <x:c r="AJ574" s="2"/>
      <x:c r="AK574" s="2" t="s">
        <x:v>320</x:v>
      </x:c>
      <x:c r="AL574" s="2" t="s">
        <x:v>1550</x:v>
      </x:c>
      <x:c r="AM574" s="2">
        <x:v>124</x:v>
      </x:c>
      <x:c r="AN574" s="2">
        <x:v>124</x:v>
      </x:c>
    </x:row>
    <x:row r="575" ht="52">
      <x:c r="A575" s="2" t="s">
        <x:v>91</x:v>
      </x:c>
      <x:c r="B575" s="2" t="s">
        <x:v>16</x:v>
      </x:c>
      <x:c r="C575" s="3">
        <x:v>123</x:v>
      </x:c>
      <x:c r="D575" s="2" t="s">
        <x:v>1876</x:v>
      </x:c>
      <x:c r="E575" s="2" t="s">
        <x:v>1872</x:v>
      </x:c>
      <x:c r="F575" s="2" t="s">
        <x:v>1877</x:v>
      </x:c>
      <x:c r="G575" s="2" t="s">
        <x:v>1878</x:v>
      </x:c>
      <x:c r="H575" s="2" t="s">
        <x:v>1819</x:v>
      </x:c>
      <x:c r="I575" s="2" t="s">
        <x:v>1874</x:v>
      </x:c>
      <x:c r="J575" s="2" t="s">
        <x:v>1859</x:v>
      </x:c>
      <x:c r="K575" s="2" t="n">
        <x:v>122</x:v>
      </x:c>
      <x:c r="L575" s="2" t="s">
        <x:v>1879</x:v>
      </x:c>
      <x:c r="M575" s="2"/>
      <x:c r="N575" s="2"/>
      <x:c r="O575" s="2" t="s">
        <x:v>1829</x:v>
      </x:c>
      <x:c r="P575" s="2" t="s">
        <x:v>1823</x:v>
      </x:c>
      <x:c r="Q575" s="2"/>
      <x:c r="R575" s="3">
        <x:v>4</x:v>
      </x:c>
      <x:c r="S575" s="3"/>
      <x:c r="T575" s="2"/>
      <x:c r="U575" s="2"/>
      <x:c r="V575" s="2"/>
      <x:c r="W575" s="2"/>
      <x:c r="X575" s="3"/>
      <x:c r="Y575" s="3"/>
      <x:c r="Z575" s="2"/>
      <x:c r="AA575" s="2"/>
      <x:c r="AB575" s="2"/>
      <x:c r="AC575" s="2" t="s">
        <x:v>374</x:v>
      </x:c>
      <x:c r="AD575" s="2" t="s">
        <x:v>480</x:v>
      </x:c>
      <x:c r="AE575" s="2" t="s">
        <x:v>368</x:v>
      </x:c>
      <x:c r="AF575" s="2" t="s">
        <x:v>1824</x:v>
      </x:c>
      <x:c r="AG575" s="2"/>
      <x:c r="AH575" s="2"/>
      <x:c r="AI575" s="4"/>
      <x:c r="AJ575" s="2"/>
      <x:c r="AK575" s="2" t="s">
        <x:v>320</x:v>
      </x:c>
      <x:c r="AL575" s="2" t="s">
        <x:v>1550</x:v>
      </x:c>
      <x:c r="AM575" s="2">
        <x:v>125</x:v>
      </x:c>
      <x:c r="AN575" s="2">
        <x:v>125</x:v>
      </x:c>
    </x:row>
    <x:row r="576" ht="52">
      <x:c r="A576" s="2" t="s">
        <x:v>91</x:v>
      </x:c>
      <x:c r="B576" s="2" t="s">
        <x:v>16</x:v>
      </x:c>
      <x:c r="C576" s="3">
        <x:v>124</x:v>
      </x:c>
      <x:c r="D576" s="2" t="s">
        <x:v>1880</x:v>
      </x:c>
      <x:c r="E576" s="2" t="s">
        <x:v>1872</x:v>
      </x:c>
      <x:c r="F576" s="2" t="s">
        <x:v>1881</x:v>
      </x:c>
      <x:c r="G576" s="2" t="s">
        <x:v>1882</x:v>
      </x:c>
      <x:c r="H576" s="2" t="s">
        <x:v>1819</x:v>
      </x:c>
      <x:c r="I576" s="2" t="s">
        <x:v>1874</x:v>
      </x:c>
      <x:c r="J576" s="2" t="s">
        <x:v>1859</x:v>
      </x:c>
      <x:c r="K576" s="2" t="n">
        <x:v>122</x:v>
      </x:c>
      <x:c r="L576" s="2" t="s">
        <x:v>1883</x:v>
      </x:c>
      <x:c r="M576" s="2"/>
      <x:c r="N576" s="2"/>
      <x:c r="O576" s="2" t="s">
        <x:v>1829</x:v>
      </x:c>
      <x:c r="P576" s="2" t="s">
        <x:v>1834</x:v>
      </x:c>
      <x:c r="Q576" s="2"/>
      <x:c r="R576" s="3">
        <x:v>4</x:v>
      </x:c>
      <x:c r="S576" s="3"/>
      <x:c r="T576" s="2"/>
      <x:c r="U576" s="2"/>
      <x:c r="V576" s="2"/>
      <x:c r="W576" s="2"/>
      <x:c r="X576" s="3"/>
      <x:c r="Y576" s="3"/>
      <x:c r="Z576" s="2"/>
      <x:c r="AA576" s="2"/>
      <x:c r="AB576" s="2"/>
      <x:c r="AC576" s="2" t="s">
        <x:v>367</x:v>
      </x:c>
      <x:c r="AD576" s="2" t="s">
        <x:v>368</x:v>
      </x:c>
      <x:c r="AE576" s="2" t="s">
        <x:v>480</x:v>
      </x:c>
      <x:c r="AF576" s="2" t="s">
        <x:v>1835</x:v>
      </x:c>
      <x:c r="AG576" s="2"/>
      <x:c r="AH576" s="2"/>
      <x:c r="AI576" s="4"/>
      <x:c r="AJ576" s="2"/>
      <x:c r="AK576" s="2" t="s">
        <x:v>320</x:v>
      </x:c>
      <x:c r="AL576" s="2" t="s">
        <x:v>1550</x:v>
      </x:c>
      <x:c r="AM576" s="2">
        <x:v>126</x:v>
      </x:c>
      <x:c r="AN576" s="2">
        <x:v>126</x:v>
      </x:c>
    </x:row>
    <x:row r="577" ht="52">
      <x:c r="A577" s="2" t="s">
        <x:v>91</x:v>
      </x:c>
      <x:c r="B577" s="2" t="s">
        <x:v>16</x:v>
      </x:c>
      <x:c r="C577" s="3">
        <x:v>125</x:v>
      </x:c>
      <x:c r="D577" s="2" t="s">
        <x:v>1884</x:v>
      </x:c>
      <x:c r="E577" s="2" t="s">
        <x:v>1872</x:v>
      </x:c>
      <x:c r="F577" s="2" t="s">
        <x:v>1885</x:v>
      </x:c>
      <x:c r="G577" s="2" t="s">
        <x:v>1886</x:v>
      </x:c>
      <x:c r="H577" s="2" t="s">
        <x:v>1819</x:v>
      </x:c>
      <x:c r="I577" s="2" t="s">
        <x:v>1874</x:v>
      </x:c>
      <x:c r="J577" s="2" t="s">
        <x:v>1859</x:v>
      </x:c>
      <x:c r="K577" s="2" t="n">
        <x:v>122</x:v>
      </x:c>
      <x:c r="L577" s="2" t="s">
        <x:v>1887</x:v>
      </x:c>
      <x:c r="M577" s="2"/>
      <x:c r="N577" s="2"/>
      <x:c r="O577" s="2" t="s">
        <x:v>1829</x:v>
      </x:c>
      <x:c r="P577" s="2" t="s">
        <x:v>1834</x:v>
      </x:c>
      <x:c r="Q577" s="2"/>
      <x:c r="R577" s="3">
        <x:v>4</x:v>
      </x:c>
      <x:c r="S577" s="3"/>
      <x:c r="T577" s="2"/>
      <x:c r="U577" s="2"/>
      <x:c r="V577" s="2"/>
      <x:c r="W577" s="2"/>
      <x:c r="X577" s="3"/>
      <x:c r="Y577" s="3"/>
      <x:c r="Z577" s="2"/>
      <x:c r="AA577" s="2"/>
      <x:c r="AB577" s="2"/>
      <x:c r="AC577" s="2" t="s">
        <x:v>374</x:v>
      </x:c>
      <x:c r="AD577" s="2" t="s">
        <x:v>368</x:v>
      </x:c>
      <x:c r="AE577" s="2" t="s">
        <x:v>480</x:v>
      </x:c>
      <x:c r="AF577" s="2" t="s">
        <x:v>1835</x:v>
      </x:c>
      <x:c r="AG577" s="2"/>
      <x:c r="AH577" s="2"/>
      <x:c r="AI577" s="4"/>
      <x:c r="AJ577" s="2"/>
      <x:c r="AK577" s="2" t="s">
        <x:v>320</x:v>
      </x:c>
      <x:c r="AL577" s="2" t="s">
        <x:v>1550</x:v>
      </x:c>
      <x:c r="AM577" s="2">
        <x:v>127</x:v>
      </x:c>
      <x:c r="AN577" s="2">
        <x:v>127</x:v>
      </x:c>
    </x:row>
    <x:row r="578" ht="52">
      <x:c r="A578" s="2" t="s">
        <x:v>6</x:v>
      </x:c>
      <x:c r="B578" s="2" t="s">
        <x:v>16</x:v>
      </x:c>
      <x:c r="C578" s="3">
        <x:v>126</x:v>
      </x:c>
      <x:c r="D578" s="2" t="s">
        <x:v>1888</x:v>
      </x:c>
      <x:c r="E578" s="2" t="s">
        <x:v>1889</x:v>
      </x:c>
      <x:c r="F578" s="2" t="s">
        <x:v>1890</x:v>
      </x:c>
      <x:c r="G578" s="2"/>
      <x:c r="H578" s="2" t="s">
        <x:v>1819</x:v>
      </x:c>
      <x:c r="I578" s="2" t="s">
        <x:v>1891</x:v>
      </x:c>
      <x:c r="J578" s="2" t="s">
        <x:v>1892</x:v>
      </x:c>
      <x:c r="K578" s="2"/>
      <x:c r="L578" s="2" t="s">
        <x:v>1893</x:v>
      </x:c>
      <x:c r="M578" s="2"/>
      <x:c r="N578" s="2"/>
      <x:c r="O578" s="2" t="s">
        <x:v>1600</x:v>
      </x:c>
      <x:c r="P578" s="2" t="s">
        <x:v>1823</x:v>
      </x:c>
      <x:c r="Q578" s="2"/>
      <x:c r="R578" s="3">
        <x:v>4</x:v>
      </x:c>
      <x:c r="S578" s="3"/>
      <x:c r="T578" s="2"/>
      <x:c r="U578" s="2"/>
      <x:c r="V578" s="2"/>
      <x:c r="W578" s="2"/>
      <x:c r="X578" s="3"/>
      <x:c r="Y578" s="3"/>
      <x:c r="Z578" s="2"/>
      <x:c r="AA578" s="2"/>
      <x:c r="AB578" s="2"/>
      <x:c r="AC578" s="2" t="s">
        <x:v>316</x:v>
      </x:c>
      <x:c r="AD578" s="2" t="s">
        <x:v>480</x:v>
      </x:c>
      <x:c r="AE578" s="2" t="s">
        <x:v>368</x:v>
      </x:c>
      <x:c r="AF578" s="2" t="s">
        <x:v>1824</x:v>
      </x:c>
      <x:c r="AG578" s="2"/>
      <x:c r="AH578" s="2"/>
      <x:c r="AI578" s="4"/>
      <x:c r="AJ578" s="2"/>
      <x:c r="AK578" s="2" t="s">
        <x:v>320</x:v>
      </x:c>
      <x:c r="AL578" s="2" t="s">
        <x:v>1550</x:v>
      </x:c>
      <x:c r="AM578" s="2">
        <x:v>128</x:v>
      </x:c>
      <x:c r="AN578" s="2">
        <x:v>128</x:v>
      </x:c>
    </x:row>
    <x:row r="579" ht="52">
      <x:c r="A579" s="2" t="s">
        <x:v>91</x:v>
      </x:c>
      <x:c r="B579" s="2" t="s">
        <x:v>16</x:v>
      </x:c>
      <x:c r="C579" s="3">
        <x:v>127</x:v>
      </x:c>
      <x:c r="D579" s="2" t="s">
        <x:v>1894</x:v>
      </x:c>
      <x:c r="E579" s="2" t="s">
        <x:v>1889</x:v>
      </x:c>
      <x:c r="F579" s="2" t="s">
        <x:v>1895</x:v>
      </x:c>
      <x:c r="G579" s="2" t="s">
        <x:v>1896</x:v>
      </x:c>
      <x:c r="H579" s="2" t="s">
        <x:v>1819</x:v>
      </x:c>
      <x:c r="I579" s="2" t="s">
        <x:v>1891</x:v>
      </x:c>
      <x:c r="J579" s="2" t="s">
        <x:v>1892</x:v>
      </x:c>
      <x:c r="K579" s="2" t="n">
        <x:v>126</x:v>
      </x:c>
      <x:c r="L579" s="2" t="s">
        <x:v>1897</x:v>
      </x:c>
      <x:c r="M579" s="2"/>
      <x:c r="N579" s="2"/>
      <x:c r="O579" s="2" t="s">
        <x:v>1829</x:v>
      </x:c>
      <x:c r="P579" s="2" t="s">
        <x:v>1834</x:v>
      </x:c>
      <x:c r="Q579" s="2"/>
      <x:c r="R579" s="3">
        <x:v>4</x:v>
      </x:c>
      <x:c r="S579" s="3"/>
      <x:c r="T579" s="2"/>
      <x:c r="U579" s="2"/>
      <x:c r="V579" s="2"/>
      <x:c r="W579" s="2"/>
      <x:c r="X579" s="3"/>
      <x:c r="Y579" s="3"/>
      <x:c r="Z579" s="2"/>
      <x:c r="AA579" s="2"/>
      <x:c r="AB579" s="2"/>
      <x:c r="AC579" s="2" t="s">
        <x:v>326</x:v>
      </x:c>
      <x:c r="AD579" s="2" t="s">
        <x:v>368</x:v>
      </x:c>
      <x:c r="AE579" s="2" t="s">
        <x:v>480</x:v>
      </x:c>
      <x:c r="AF579" s="2" t="s">
        <x:v>1835</x:v>
      </x:c>
      <x:c r="AG579" s="2"/>
      <x:c r="AH579" s="2"/>
      <x:c r="AI579" s="4"/>
      <x:c r="AJ579" s="2"/>
      <x:c r="AK579" s="2" t="s">
        <x:v>320</x:v>
      </x:c>
      <x:c r="AL579" s="2" t="s">
        <x:v>1550</x:v>
      </x:c>
      <x:c r="AM579" s="2">
        <x:v>129</x:v>
      </x:c>
      <x:c r="AN579" s="2">
        <x:v>129</x:v>
      </x:c>
    </x:row>
    <x:row r="580" ht="52">
      <x:c r="A580" s="2" t="s">
        <x:v>91</x:v>
      </x:c>
      <x:c r="B580" s="2" t="s">
        <x:v>16</x:v>
      </x:c>
      <x:c r="C580" s="3">
        <x:v>128</x:v>
      </x:c>
      <x:c r="D580" s="2" t="s">
        <x:v>1855</x:v>
      </x:c>
      <x:c r="E580" s="2" t="s">
        <x:v>1889</x:v>
      </x:c>
      <x:c r="F580" s="2" t="s">
        <x:v>1857</x:v>
      </x:c>
      <x:c r="G580" s="2" t="s">
        <x:v>158</x:v>
      </x:c>
      <x:c r="H580" s="2" t="s">
        <x:v>1819</x:v>
      </x:c>
      <x:c r="I580" s="2" t="s">
        <x:v>1891</x:v>
      </x:c>
      <x:c r="J580" s="2" t="s">
        <x:v>1892</x:v>
      </x:c>
      <x:c r="K580" s="2" t="n">
        <x:v>126</x:v>
      </x:c>
      <x:c r="L580" s="2" t="s">
        <x:v>1898</x:v>
      </x:c>
      <x:c r="M580" s="2"/>
      <x:c r="N580" s="2"/>
      <x:c r="O580" s="2" t="s">
        <x:v>1829</x:v>
      </x:c>
      <x:c r="P580" s="2" t="s">
        <x:v>1823</x:v>
      </x:c>
      <x:c r="Q580" s="2"/>
      <x:c r="R580" s="3">
        <x:v>4</x:v>
      </x:c>
      <x:c r="S580" s="3"/>
      <x:c r="T580" s="2"/>
      <x:c r="U580" s="2"/>
      <x:c r="V580" s="2"/>
      <x:c r="W580" s="2"/>
      <x:c r="X580" s="3"/>
      <x:c r="Y580" s="3"/>
      <x:c r="Z580" s="2"/>
      <x:c r="AA580" s="2"/>
      <x:c r="AB580" s="2"/>
      <x:c r="AC580" s="2" t="s">
        <x:v>367</x:v>
      </x:c>
      <x:c r="AD580" s="2" t="s">
        <x:v>480</x:v>
      </x:c>
      <x:c r="AE580" s="2" t="s">
        <x:v>317</x:v>
      </x:c>
      <x:c r="AF580" s="2" t="s">
        <x:v>1824</x:v>
      </x:c>
      <x:c r="AG580" s="2"/>
      <x:c r="AH580" s="2"/>
      <x:c r="AI580" s="4"/>
      <x:c r="AJ580" s="2"/>
      <x:c r="AK580" s="2" t="s">
        <x:v>320</x:v>
      </x:c>
      <x:c r="AL580" s="2" t="s">
        <x:v>1550</x:v>
      </x:c>
      <x:c r="AM580" s="2">
        <x:v>130</x:v>
      </x:c>
      <x:c r="AN580" s="2">
        <x:v>130</x:v>
      </x:c>
    </x:row>
    <x:row r="581" ht="52">
      <x:c r="A581" s="2" t="s">
        <x:v>6</x:v>
      </x:c>
      <x:c r="B581" s="2" t="s">
        <x:v>16</x:v>
      </x:c>
      <x:c r="C581" s="3">
        <x:v>129</x:v>
      </x:c>
      <x:c r="D581" s="2" t="s">
        <x:v>1868</x:v>
      </x:c>
      <x:c r="E581" s="2" t="s">
        <x:v>1889</x:v>
      </x:c>
      <x:c r="F581" s="2" t="s">
        <x:v>1869</x:v>
      </x:c>
      <x:c r="G581" s="2" t="s">
        <x:v>1899</x:v>
      </x:c>
      <x:c r="H581" s="2" t="s">
        <x:v>1819</x:v>
      </x:c>
      <x:c r="I581" s="2" t="s">
        <x:v>1891</x:v>
      </x:c>
      <x:c r="J581" s="2" t="s">
        <x:v>1892</x:v>
      </x:c>
      <x:c r="K581" s="2" t="n">
        <x:v>126</x:v>
      </x:c>
      <x:c r="L581" s="2" t="s">
        <x:v>1900</x:v>
      </x:c>
      <x:c r="M581" s="2"/>
      <x:c r="N581" s="2"/>
      <x:c r="O581" s="2" t="s">
        <x:v>1829</x:v>
      </x:c>
      <x:c r="P581" s="2" t="s">
        <x:v>1834</x:v>
      </x:c>
      <x:c r="Q581" s="2"/>
      <x:c r="R581" s="3">
        <x:v>4</x:v>
      </x:c>
      <x:c r="S581" s="3"/>
      <x:c r="T581" s="2"/>
      <x:c r="U581" s="2"/>
      <x:c r="V581" s="2"/>
      <x:c r="W581" s="2"/>
      <x:c r="X581" s="3"/>
      <x:c r="Y581" s="3"/>
      <x:c r="Z581" s="2"/>
      <x:c r="AA581" s="2"/>
      <x:c r="AB581" s="2"/>
      <x:c r="AC581" s="2" t="s">
        <x:v>374</x:v>
      </x:c>
      <x:c r="AD581" s="2" t="s">
        <x:v>317</x:v>
      </x:c>
      <x:c r="AE581" s="2" t="s">
        <x:v>480</x:v>
      </x:c>
      <x:c r="AF581" s="2" t="s">
        <x:v>1835</x:v>
      </x:c>
      <x:c r="AG581" s="2"/>
      <x:c r="AH581" s="2"/>
      <x:c r="AI581" s="4"/>
      <x:c r="AJ581" s="2"/>
      <x:c r="AK581" s="2" t="s">
        <x:v>320</x:v>
      </x:c>
      <x:c r="AL581" s="2" t="s">
        <x:v>1550</x:v>
      </x:c>
      <x:c r="AM581" s="2">
        <x:v>131</x:v>
      </x:c>
      <x:c r="AN581" s="2">
        <x:v>131</x:v>
      </x:c>
    </x:row>
    <x:row r="582" ht="52">
      <x:c r="A582" s="2" t="s">
        <x:v>6</x:v>
      </x:c>
      <x:c r="B582" s="2" t="s">
        <x:v>16</x:v>
      </x:c>
      <x:c r="C582" s="3">
        <x:v>130</x:v>
      </x:c>
      <x:c r="D582" s="2" t="s">
        <x:v>1574</x:v>
      </x:c>
      <x:c r="E582" s="2" t="s">
        <x:v>1901</x:v>
      </x:c>
      <x:c r="F582" s="2" t="s">
        <x:v>1902</x:v>
      </x:c>
      <x:c r="G582" s="2"/>
      <x:c r="H582" s="2" t="s">
        <x:v>1077</x:v>
      </x:c>
      <x:c r="I582" s="2" t="s">
        <x:v>1903</x:v>
      </x:c>
      <x:c r="J582" s="2" t="s">
        <x:v>1904</x:v>
      </x:c>
      <x:c r="K582" s="2"/>
      <x:c r="L582" s="2" t="s">
        <x:v>1905</x:v>
      </x:c>
      <x:c r="M582" s="2"/>
      <x:c r="N582" s="2"/>
      <x:c r="O582" s="2" t="s">
        <x:v>1906</x:v>
      </x:c>
      <x:c r="P582" s="2" t="s">
        <x:v>1907</x:v>
      </x:c>
      <x:c r="Q582" s="2"/>
      <x:c r="R582" s="3">
        <x:v>3</x:v>
      </x:c>
      <x:c r="S582" s="3"/>
      <x:c r="T582" s="2"/>
      <x:c r="U582" s="2"/>
      <x:c r="V582" s="2"/>
      <x:c r="W582" s="2"/>
      <x:c r="X582" s="3"/>
      <x:c r="Y582" s="3"/>
      <x:c r="Z582" s="2"/>
      <x:c r="AA582" s="2"/>
      <x:c r="AB582" s="2"/>
      <x:c r="AC582" s="2" t="s">
        <x:v>367</x:v>
      </x:c>
      <x:c r="AD582" s="2" t="s">
        <x:v>317</x:v>
      </x:c>
      <x:c r="AE582" s="2" t="s">
        <x:v>318</x:v>
      </x:c>
      <x:c r="AF582" s="2" t="s">
        <x:v>319</x:v>
      </x:c>
      <x:c r="AG582" s="2"/>
      <x:c r="AH582" s="2"/>
      <x:c r="AI582" s="4"/>
      <x:c r="AJ582" s="2"/>
      <x:c r="AK582" s="2" t="s">
        <x:v>320</x:v>
      </x:c>
      <x:c r="AL582" s="2" t="s">
        <x:v>1550</x:v>
      </x:c>
      <x:c r="AM582" s="2">
        <x:v>132</x:v>
      </x:c>
      <x:c r="AN582" s="2">
        <x:v>132</x:v>
      </x:c>
    </x:row>
    <x:row r="583" ht="52">
      <x:c r="A583" s="2" t="s">
        <x:v>6</x:v>
      </x:c>
      <x:c r="B583" s="2" t="s">
        <x:v>16</x:v>
      </x:c>
      <x:c r="C583" s="3">
        <x:v>131</x:v>
      </x:c>
      <x:c r="D583" s="2" t="s">
        <x:v>1581</x:v>
      </x:c>
      <x:c r="E583" s="2" t="s">
        <x:v>1901</x:v>
      </x:c>
      <x:c r="F583" s="2" t="s">
        <x:v>1908</x:v>
      </x:c>
      <x:c r="G583" s="2"/>
      <x:c r="H583" s="2" t="s">
        <x:v>1077</x:v>
      </x:c>
      <x:c r="I583" s="2" t="s">
        <x:v>1903</x:v>
      </x:c>
      <x:c r="J583" s="2" t="s">
        <x:v>1904</x:v>
      </x:c>
      <x:c r="K583" s="2" t="n">
        <x:v>130</x:v>
      </x:c>
      <x:c r="L583" s="2" t="s">
        <x:v>1909</x:v>
      </x:c>
      <x:c r="M583" s="2"/>
      <x:c r="N583" s="2"/>
      <x:c r="O583" s="2" t="s">
        <x:v>1910</x:v>
      </x:c>
      <x:c r="P583" s="2" t="s">
        <x:v>1911</x:v>
      </x:c>
      <x:c r="Q583" s="2"/>
      <x:c r="R583" s="3">
        <x:v>3</x:v>
      </x:c>
      <x:c r="S583" s="3"/>
      <x:c r="T583" s="2"/>
      <x:c r="U583" s="2"/>
      <x:c r="V583" s="2"/>
      <x:c r="W583" s="2"/>
      <x:c r="X583" s="3"/>
      <x:c r="Y583" s="3"/>
      <x:c r="Z583" s="2"/>
      <x:c r="AA583" s="2"/>
      <x:c r="AB583" s="2"/>
      <x:c r="AC583" s="2" t="s">
        <x:v>374</x:v>
      </x:c>
      <x:c r="AD583" s="2" t="s">
        <x:v>318</x:v>
      </x:c>
      <x:c r="AE583" s="2" t="s">
        <x:v>317</x:v>
      </x:c>
      <x:c r="AF583" s="2" t="s">
        <x:v>319</x:v>
      </x:c>
      <x:c r="AG583" s="2"/>
      <x:c r="AH583" s="2"/>
      <x:c r="AI583" s="4"/>
      <x:c r="AJ583" s="2"/>
      <x:c r="AK583" s="2" t="s">
        <x:v>320</x:v>
      </x:c>
      <x:c r="AL583" s="2" t="s">
        <x:v>1550</x:v>
      </x:c>
      <x:c r="AM583" s="2">
        <x:v>133</x:v>
      </x:c>
      <x:c r="AN583" s="2">
        <x:v>133</x:v>
      </x:c>
    </x:row>
    <x:row r="584" ht="39">
      <x:c r="A584" s="2" t="s">
        <x:v>91</x:v>
      </x:c>
      <x:c r="B584" s="2" t="s">
        <x:v>16</x:v>
      </x:c>
      <x:c r="C584" s="3">
        <x:v>132</x:v>
      </x:c>
      <x:c r="D584" s="2" t="s">
        <x:v>1574</x:v>
      </x:c>
      <x:c r="E584" s="2" t="s">
        <x:v>1901</x:v>
      </x:c>
      <x:c r="F584" s="2" t="s">
        <x:v>1576</x:v>
      </x:c>
      <x:c r="G584" s="2" t="s">
        <x:v>158</x:v>
      </x:c>
      <x:c r="H584" s="2" t="s">
        <x:v>1912</x:v>
      </x:c>
      <x:c r="I584" s="2" t="s">
        <x:v>1903</x:v>
      </x:c>
      <x:c r="J584" s="2" t="s">
        <x:v>1913</x:v>
      </x:c>
      <x:c r="K584" s="2"/>
      <x:c r="L584" s="2" t="s">
        <x:v>1905</x:v>
      </x:c>
      <x:c r="M584" s="2"/>
      <x:c r="N584" s="2"/>
      <x:c r="O584" s="2" t="s">
        <x:v>1914</x:v>
      </x:c>
      <x:c r="P584" s="2" t="s">
        <x:v>1915</x:v>
      </x:c>
      <x:c r="Q584" s="2"/>
      <x:c r="R584" s="3">
        <x:v>3</x:v>
      </x:c>
      <x:c r="S584" s="3"/>
      <x:c r="T584" s="2"/>
      <x:c r="U584" s="2"/>
      <x:c r="V584" s="2"/>
      <x:c r="W584" s="2"/>
      <x:c r="X584" s="3"/>
      <x:c r="Y584" s="3"/>
      <x:c r="Z584" s="2"/>
      <x:c r="AA584" s="2"/>
      <x:c r="AB584" s="2"/>
      <x:c r="AC584" s="2" t="s">
        <x:v>367</x:v>
      </x:c>
      <x:c r="AD584" s="2" t="s">
        <x:v>317</x:v>
      </x:c>
      <x:c r="AE584" s="2" t="s">
        <x:v>318</x:v>
      </x:c>
      <x:c r="AF584" s="2" t="s">
        <x:v>319</x:v>
      </x:c>
      <x:c r="AG584" s="2"/>
      <x:c r="AH584" s="2"/>
      <x:c r="AI584" s="4"/>
      <x:c r="AJ584" s="2"/>
      <x:c r="AK584" s="2" t="s">
        <x:v>320</x:v>
      </x:c>
      <x:c r="AL584" s="2" t="s">
        <x:v>1550</x:v>
      </x:c>
      <x:c r="AM584" s="2">
        <x:v>134</x:v>
      </x:c>
      <x:c r="AN584" s="2">
        <x:v>134</x:v>
      </x:c>
    </x:row>
    <x:row r="585" ht="26">
      <x:c r="A585" s="2" t="s">
        <x:v>91</x:v>
      </x:c>
      <x:c r="B585" s="2" t="s">
        <x:v>16</x:v>
      </x:c>
      <x:c r="C585" s="3">
        <x:v>133</x:v>
      </x:c>
      <x:c r="D585" s="2" t="s">
        <x:v>1581</x:v>
      </x:c>
      <x:c r="E585" s="2" t="s">
        <x:v>1901</x:v>
      </x:c>
      <x:c r="F585" s="2" t="s">
        <x:v>1582</x:v>
      </x:c>
      <x:c r="G585" s="2" t="s">
        <x:v>158</x:v>
      </x:c>
      <x:c r="H585" s="2" t="s">
        <x:v>1912</x:v>
      </x:c>
      <x:c r="I585" s="2" t="s">
        <x:v>1903</x:v>
      </x:c>
      <x:c r="J585" s="2" t="s">
        <x:v>1913</x:v>
      </x:c>
      <x:c r="K585" s="2" t="n">
        <x:v>132</x:v>
      </x:c>
      <x:c r="L585" s="2" t="s">
        <x:v>1909</x:v>
      </x:c>
      <x:c r="M585" s="2"/>
      <x:c r="N585" s="2"/>
      <x:c r="O585" s="2" t="s">
        <x:v>1910</x:v>
      </x:c>
      <x:c r="P585" s="2" t="s">
        <x:v>1916</x:v>
      </x:c>
      <x:c r="Q585" s="2"/>
      <x:c r="R585" s="3">
        <x:v>3</x:v>
      </x:c>
      <x:c r="S585" s="3"/>
      <x:c r="T585" s="2"/>
      <x:c r="U585" s="2"/>
      <x:c r="V585" s="2"/>
      <x:c r="W585" s="2"/>
      <x:c r="X585" s="3"/>
      <x:c r="Y585" s="3"/>
      <x:c r="Z585" s="2"/>
      <x:c r="AA585" s="2"/>
      <x:c r="AB585" s="2"/>
      <x:c r="AC585" s="2" t="s">
        <x:v>374</x:v>
      </x:c>
      <x:c r="AD585" s="2" t="s">
        <x:v>318</x:v>
      </x:c>
      <x:c r="AE585" s="2" t="s">
        <x:v>317</x:v>
      </x:c>
      <x:c r="AF585" s="2" t="s">
        <x:v>319</x:v>
      </x:c>
      <x:c r="AG585" s="2"/>
      <x:c r="AH585" s="2"/>
      <x:c r="AI585" s="4"/>
      <x:c r="AJ585" s="2"/>
      <x:c r="AK585" s="2" t="s">
        <x:v>320</x:v>
      </x:c>
      <x:c r="AL585" s="2" t="s">
        <x:v>1550</x:v>
      </x:c>
      <x:c r="AM585" s="2">
        <x:v>135</x:v>
      </x:c>
      <x:c r="AN585" s="2">
        <x:v>135</x:v>
      </x:c>
    </x:row>
    <x:row r="586" ht="39">
      <x:c r="A586" s="2" t="s">
        <x:v>91</x:v>
      </x:c>
      <x:c r="B586" s="2" t="s">
        <x:v>16</x:v>
      </x:c>
      <x:c r="C586" s="3">
        <x:v>134</x:v>
      </x:c>
      <x:c r="D586" s="2" t="s">
        <x:v>1917</x:v>
      </x:c>
      <x:c r="E586" s="2" t="s">
        <x:v>1575</x:v>
      </x:c>
      <x:c r="F586" s="2" t="s">
        <x:v>1918</x:v>
      </x:c>
      <x:c r="G586" s="2" t="s">
        <x:v>158</x:v>
      </x:c>
      <x:c r="H586" s="2" t="s">
        <x:v>1912</x:v>
      </x:c>
      <x:c r="I586" s="2" t="s">
        <x:v>1919</x:v>
      </x:c>
      <x:c r="J586" s="2" t="s">
        <x:v>1913</x:v>
      </x:c>
      <x:c r="K586" s="2"/>
      <x:c r="L586" s="2" t="s">
        <x:v>1920</x:v>
      </x:c>
      <x:c r="M586" s="2"/>
      <x:c r="N586" s="2"/>
      <x:c r="O586" s="2" t="s">
        <x:v>1921</x:v>
      </x:c>
      <x:c r="P586" s="2" t="s">
        <x:v>1922</x:v>
      </x:c>
      <x:c r="Q586" s="2"/>
      <x:c r="R586" s="3">
        <x:v>4</x:v>
      </x:c>
      <x:c r="S586" s="3"/>
      <x:c r="T586" s="2"/>
      <x:c r="U586" s="2"/>
      <x:c r="V586" s="2"/>
      <x:c r="W586" s="2"/>
      <x:c r="X586" s="3"/>
      <x:c r="Y586" s="3"/>
      <x:c r="Z586" s="2"/>
      <x:c r="AA586" s="2"/>
      <x:c r="AB586" s="2"/>
      <x:c r="AC586" s="2" t="s">
        <x:v>374</x:v>
      </x:c>
      <x:c r="AD586" s="2" t="s">
        <x:v>317</x:v>
      </x:c>
      <x:c r="AE586" s="2" t="s">
        <x:v>318</x:v>
      </x:c>
      <x:c r="AF586" s="2" t="s">
        <x:v>319</x:v>
      </x:c>
      <x:c r="AG586" s="2"/>
      <x:c r="AH586" s="2"/>
      <x:c r="AI586" s="4"/>
      <x:c r="AJ586" s="2"/>
      <x:c r="AK586" s="2" t="s">
        <x:v>320</x:v>
      </x:c>
      <x:c r="AL586" s="2" t="s">
        <x:v>1550</x:v>
      </x:c>
      <x:c r="AM586" s="2">
        <x:v>136</x:v>
      </x:c>
      <x:c r="AN586" s="2">
        <x:v>136</x:v>
      </x:c>
    </x:row>
    <x:row r="587" ht="26">
      <x:c r="A587" s="2" t="s">
        <x:v>91</x:v>
      </x:c>
      <x:c r="B587" s="2" t="s">
        <x:v>16</x:v>
      </x:c>
      <x:c r="C587" s="3">
        <x:v>135</x:v>
      </x:c>
      <x:c r="D587" s="2" t="s">
        <x:v>1923</x:v>
      </x:c>
      <x:c r="E587" s="2" t="s">
        <x:v>1575</x:v>
      </x:c>
      <x:c r="F587" s="2" t="s">
        <x:v>1924</x:v>
      </x:c>
      <x:c r="G587" s="2" t="s">
        <x:v>158</x:v>
      </x:c>
      <x:c r="H587" s="2" t="s">
        <x:v>1912</x:v>
      </x:c>
      <x:c r="I587" s="2" t="s">
        <x:v>1919</x:v>
      </x:c>
      <x:c r="J587" s="2" t="s">
        <x:v>1913</x:v>
      </x:c>
      <x:c r="K587" s="2" t="n">
        <x:v>134</x:v>
      </x:c>
      <x:c r="L587" s="2" t="s">
        <x:v>1925</x:v>
      </x:c>
      <x:c r="M587" s="2"/>
      <x:c r="N587" s="2"/>
      <x:c r="O587" s="2" t="s">
        <x:v>1910</x:v>
      </x:c>
      <x:c r="P587" s="2" t="s">
        <x:v>1926</x:v>
      </x:c>
      <x:c r="Q587" s="2"/>
      <x:c r="R587" s="3">
        <x:v>4</x:v>
      </x:c>
      <x:c r="S587" s="3"/>
      <x:c r="T587" s="2"/>
      <x:c r="U587" s="2"/>
      <x:c r="V587" s="2"/>
      <x:c r="W587" s="2"/>
      <x:c r="X587" s="3"/>
      <x:c r="Y587" s="3"/>
      <x:c r="Z587" s="2"/>
      <x:c r="AA587" s="2"/>
      <x:c r="AB587" s="2"/>
      <x:c r="AC587" s="2" t="s">
        <x:v>367</x:v>
      </x:c>
      <x:c r="AD587" s="2" t="s">
        <x:v>318</x:v>
      </x:c>
      <x:c r="AE587" s="2" t="s">
        <x:v>317</x:v>
      </x:c>
      <x:c r="AF587" s="2" t="s">
        <x:v>319</x:v>
      </x:c>
      <x:c r="AG587" s="2"/>
      <x:c r="AH587" s="2"/>
      <x:c r="AI587" s="4"/>
      <x:c r="AJ587" s="2"/>
      <x:c r="AK587" s="2" t="s">
        <x:v>320</x:v>
      </x:c>
      <x:c r="AL587" s="2" t="s">
        <x:v>1550</x:v>
      </x:c>
      <x:c r="AM587" s="2">
        <x:v>137</x:v>
      </x:c>
      <x:c r="AN587" s="2">
        <x:v>137</x:v>
      </x:c>
    </x:row>
    <x:row r="588" ht="52">
      <x:c r="A588" s="2" t="s">
        <x:v>6</x:v>
      </x:c>
      <x:c r="B588" s="2" t="s">
        <x:v>16</x:v>
      </x:c>
      <x:c r="C588" s="3">
        <x:v>136</x:v>
      </x:c>
      <x:c r="D588" s="2" t="s">
        <x:v>1917</x:v>
      </x:c>
      <x:c r="E588" s="2" t="s">
        <x:v>1575</x:v>
      </x:c>
      <x:c r="F588" s="2" t="s">
        <x:v>1927</x:v>
      </x:c>
      <x:c r="G588" s="2"/>
      <x:c r="H588" s="2" t="s">
        <x:v>1077</x:v>
      </x:c>
      <x:c r="I588" s="2" t="s">
        <x:v>1919</x:v>
      </x:c>
      <x:c r="J588" s="2" t="s">
        <x:v>1904</x:v>
      </x:c>
      <x:c r="K588" s="2"/>
      <x:c r="L588" s="2" t="s">
        <x:v>1920</x:v>
      </x:c>
      <x:c r="M588" s="2"/>
      <x:c r="N588" s="2"/>
      <x:c r="O588" s="2" t="s">
        <x:v>1928</x:v>
      </x:c>
      <x:c r="P588" s="2" t="s">
        <x:v>1929</x:v>
      </x:c>
      <x:c r="Q588" s="2"/>
      <x:c r="R588" s="3">
        <x:v>4</x:v>
      </x:c>
      <x:c r="S588" s="3"/>
      <x:c r="T588" s="2"/>
      <x:c r="U588" s="2"/>
      <x:c r="V588" s="2"/>
      <x:c r="W588" s="2"/>
      <x:c r="X588" s="3"/>
      <x:c r="Y588" s="3"/>
      <x:c r="Z588" s="2"/>
      <x:c r="AA588" s="2"/>
      <x:c r="AB588" s="2"/>
      <x:c r="AC588" s="2" t="s">
        <x:v>374</x:v>
      </x:c>
      <x:c r="AD588" s="2" t="s">
        <x:v>317</x:v>
      </x:c>
      <x:c r="AE588" s="2" t="s">
        <x:v>318</x:v>
      </x:c>
      <x:c r="AF588" s="2" t="s">
        <x:v>319</x:v>
      </x:c>
      <x:c r="AG588" s="2"/>
      <x:c r="AH588" s="2"/>
      <x:c r="AI588" s="4"/>
      <x:c r="AJ588" s="2"/>
      <x:c r="AK588" s="2" t="s">
        <x:v>320</x:v>
      </x:c>
      <x:c r="AL588" s="2" t="s">
        <x:v>1550</x:v>
      </x:c>
      <x:c r="AM588" s="2">
        <x:v>138</x:v>
      </x:c>
      <x:c r="AN588" s="2">
        <x:v>138</x:v>
      </x:c>
    </x:row>
    <x:row r="589" ht="52">
      <x:c r="A589" s="2" t="s">
        <x:v>6</x:v>
      </x:c>
      <x:c r="B589" s="2" t="s">
        <x:v>16</x:v>
      </x:c>
      <x:c r="C589" s="3">
        <x:v>137</x:v>
      </x:c>
      <x:c r="D589" s="2" t="s">
        <x:v>1923</x:v>
      </x:c>
      <x:c r="E589" s="2" t="s">
        <x:v>1575</x:v>
      </x:c>
      <x:c r="F589" s="2" t="s">
        <x:v>1930</x:v>
      </x:c>
      <x:c r="G589" s="2"/>
      <x:c r="H589" s="2" t="s">
        <x:v>1077</x:v>
      </x:c>
      <x:c r="I589" s="2" t="s">
        <x:v>1919</x:v>
      </x:c>
      <x:c r="J589" s="2" t="s">
        <x:v>1904</x:v>
      </x:c>
      <x:c r="K589" s="2" t="n">
        <x:v>136</x:v>
      </x:c>
      <x:c r="L589" s="2" t="s">
        <x:v>1925</x:v>
      </x:c>
      <x:c r="M589" s="2"/>
      <x:c r="N589" s="2"/>
      <x:c r="O589" s="2" t="s">
        <x:v>1910</x:v>
      </x:c>
      <x:c r="P589" s="2" t="s">
        <x:v>1931</x:v>
      </x:c>
      <x:c r="Q589" s="2"/>
      <x:c r="R589" s="3">
        <x:v>4</x:v>
      </x:c>
      <x:c r="S589" s="3"/>
      <x:c r="T589" s="2"/>
      <x:c r="U589" s="2"/>
      <x:c r="V589" s="2"/>
      <x:c r="W589" s="2"/>
      <x:c r="X589" s="3"/>
      <x:c r="Y589" s="3"/>
      <x:c r="Z589" s="2"/>
      <x:c r="AA589" s="2"/>
      <x:c r="AB589" s="2"/>
      <x:c r="AC589" s="2" t="s">
        <x:v>367</x:v>
      </x:c>
      <x:c r="AD589" s="2" t="s">
        <x:v>318</x:v>
      </x:c>
      <x:c r="AE589" s="2" t="s">
        <x:v>317</x:v>
      </x:c>
      <x:c r="AF589" s="2" t="s">
        <x:v>319</x:v>
      </x:c>
      <x:c r="AG589" s="2"/>
      <x:c r="AH589" s="2"/>
      <x:c r="AI589" s="4"/>
      <x:c r="AJ589" s="2"/>
      <x:c r="AK589" s="2" t="s">
        <x:v>320</x:v>
      </x:c>
      <x:c r="AL589" s="2" t="s">
        <x:v>1550</x:v>
      </x:c>
      <x:c r="AM589" s="2">
        <x:v>139</x:v>
      </x:c>
      <x:c r="AN589" s="2">
        <x:v>139</x:v>
      </x:c>
    </x:row>
    <x:row r="590" ht="52">
      <x:c r="A590" s="2" t="s">
        <x:v>6</x:v>
      </x:c>
      <x:c r="B590" s="2" t="s">
        <x:v>16</x:v>
      </x:c>
      <x:c r="C590" s="3">
        <x:v>138</x:v>
      </x:c>
      <x:c r="D590" s="2" t="s">
        <x:v>1932</x:v>
      </x:c>
      <x:c r="E590" s="2" t="s">
        <x:v>1933</x:v>
      </x:c>
      <x:c r="F590" s="2" t="s">
        <x:v>1934</x:v>
      </x:c>
      <x:c r="G590" s="2"/>
      <x:c r="H590" s="2" t="s">
        <x:v>1077</x:v>
      </x:c>
      <x:c r="I590" s="2" t="s">
        <x:v>1935</x:v>
      </x:c>
      <x:c r="J590" s="2" t="s">
        <x:v>1904</x:v>
      </x:c>
      <x:c r="K590" s="2"/>
      <x:c r="L590" s="2" t="s">
        <x:v>1936</x:v>
      </x:c>
      <x:c r="M590" s="2"/>
      <x:c r="N590" s="2"/>
      <x:c r="O590" s="2" t="s">
        <x:v>1906</x:v>
      </x:c>
      <x:c r="P590" s="2" t="s">
        <x:v>1937</x:v>
      </x:c>
      <x:c r="Q590" s="2"/>
      <x:c r="R590" s="3">
        <x:v>3</x:v>
      </x:c>
      <x:c r="S590" s="3"/>
      <x:c r="T590" s="2"/>
      <x:c r="U590" s="2"/>
      <x:c r="V590" s="2"/>
      <x:c r="W590" s="2"/>
      <x:c r="X590" s="3"/>
      <x:c r="Y590" s="3"/>
      <x:c r="Z590" s="2"/>
      <x:c r="AA590" s="2"/>
      <x:c r="AB590" s="2"/>
      <x:c r="AC590" s="2" t="s">
        <x:v>367</x:v>
      </x:c>
      <x:c r="AD590" s="2" t="s">
        <x:v>317</x:v>
      </x:c>
      <x:c r="AE590" s="2" t="s">
        <x:v>344</x:v>
      </x:c>
      <x:c r="AF590" s="2" t="s">
        <x:v>319</x:v>
      </x:c>
      <x:c r="AG590" s="2"/>
      <x:c r="AH590" s="2"/>
      <x:c r="AI590" s="4"/>
      <x:c r="AJ590" s="2"/>
      <x:c r="AK590" s="2" t="s">
        <x:v>320</x:v>
      </x:c>
      <x:c r="AL590" s="2" t="s">
        <x:v>1550</x:v>
      </x:c>
      <x:c r="AM590" s="2">
        <x:v>140</x:v>
      </x:c>
      <x:c r="AN590" s="2">
        <x:v>140</x:v>
      </x:c>
    </x:row>
    <x:row r="591" ht="52">
      <x:c r="A591" s="2" t="s">
        <x:v>91</x:v>
      </x:c>
      <x:c r="B591" s="2" t="s">
        <x:v>16</x:v>
      </x:c>
      <x:c r="C591" s="3">
        <x:v>139</x:v>
      </x:c>
      <x:c r="D591" s="2" t="s">
        <x:v>1938</x:v>
      </x:c>
      <x:c r="E591" s="2" t="s">
        <x:v>1933</x:v>
      </x:c>
      <x:c r="F591" s="2" t="s">
        <x:v>1939</x:v>
      </x:c>
      <x:c r="G591" s="2" t="s">
        <x:v>1940</x:v>
      </x:c>
      <x:c r="H591" s="2" t="s">
        <x:v>1077</x:v>
      </x:c>
      <x:c r="I591" s="2" t="s">
        <x:v>1935</x:v>
      </x:c>
      <x:c r="J591" s="2" t="s">
        <x:v>1904</x:v>
      </x:c>
      <x:c r="K591" s="2" t="n">
        <x:v>138</x:v>
      </x:c>
      <x:c r="L591" s="2" t="s">
        <x:v>1941</x:v>
      </x:c>
      <x:c r="M591" s="2"/>
      <x:c r="N591" s="2"/>
      <x:c r="O591" s="2" t="s">
        <x:v>1910</x:v>
      </x:c>
      <x:c r="P591" s="2" t="s">
        <x:v>1942</x:v>
      </x:c>
      <x:c r="Q591" s="2"/>
      <x:c r="R591" s="3">
        <x:v>3</x:v>
      </x:c>
      <x:c r="S591" s="3"/>
      <x:c r="T591" s="2"/>
      <x:c r="U591" s="2"/>
      <x:c r="V591" s="2"/>
      <x:c r="W591" s="2"/>
      <x:c r="X591" s="3"/>
      <x:c r="Y591" s="3"/>
      <x:c r="Z591" s="2"/>
      <x:c r="AA591" s="2"/>
      <x:c r="AB591" s="2"/>
      <x:c r="AC591" s="2" t="s">
        <x:v>374</x:v>
      </x:c>
      <x:c r="AD591" s="2" t="s">
        <x:v>344</x:v>
      </x:c>
      <x:c r="AE591" s="2" t="s">
        <x:v>317</x:v>
      </x:c>
      <x:c r="AF591" s="2" t="s">
        <x:v>319</x:v>
      </x:c>
      <x:c r="AG591" s="2"/>
      <x:c r="AH591" s="2"/>
      <x:c r="AI591" s="4"/>
      <x:c r="AJ591" s="2"/>
      <x:c r="AK591" s="2" t="s">
        <x:v>320</x:v>
      </x:c>
      <x:c r="AL591" s="2" t="s">
        <x:v>1550</x:v>
      </x:c>
      <x:c r="AM591" s="2">
        <x:v>141</x:v>
      </x:c>
      <x:c r="AN591" s="2">
        <x:v>141</x:v>
      </x:c>
    </x:row>
    <x:row r="592" ht="39">
      <x:c r="A592" s="2" t="s">
        <x:v>91</x:v>
      </x:c>
      <x:c r="B592" s="2" t="s">
        <x:v>16</x:v>
      </x:c>
      <x:c r="C592" s="3">
        <x:v>140</x:v>
      </x:c>
      <x:c r="D592" s="2" t="s">
        <x:v>1932</x:v>
      </x:c>
      <x:c r="E592" s="2" t="s">
        <x:v>1933</x:v>
      </x:c>
      <x:c r="F592" s="2" t="s">
        <x:v>1943</x:v>
      </x:c>
      <x:c r="G592" s="2" t="s">
        <x:v>158</x:v>
      </x:c>
      <x:c r="H592" s="2" t="s">
        <x:v>1912</x:v>
      </x:c>
      <x:c r="I592" s="2" t="s">
        <x:v>1935</x:v>
      </x:c>
      <x:c r="J592" s="2" t="s">
        <x:v>1913</x:v>
      </x:c>
      <x:c r="K592" s="2"/>
      <x:c r="L592" s="2" t="s">
        <x:v>1936</x:v>
      </x:c>
      <x:c r="M592" s="2"/>
      <x:c r="N592" s="2"/>
      <x:c r="O592" s="2" t="s">
        <x:v>1914</x:v>
      </x:c>
      <x:c r="P592" s="2" t="s">
        <x:v>1944</x:v>
      </x:c>
      <x:c r="Q592" s="2"/>
      <x:c r="R592" s="3">
        <x:v>3</x:v>
      </x:c>
      <x:c r="S592" s="3"/>
      <x:c r="T592" s="2"/>
      <x:c r="U592" s="2"/>
      <x:c r="V592" s="2"/>
      <x:c r="W592" s="2"/>
      <x:c r="X592" s="3"/>
      <x:c r="Y592" s="3"/>
      <x:c r="Z592" s="2"/>
      <x:c r="AA592" s="2"/>
      <x:c r="AB592" s="2"/>
      <x:c r="AC592" s="2" t="s">
        <x:v>367</x:v>
      </x:c>
      <x:c r="AD592" s="2" t="s">
        <x:v>317</x:v>
      </x:c>
      <x:c r="AE592" s="2" t="s">
        <x:v>344</x:v>
      </x:c>
      <x:c r="AF592" s="2" t="s">
        <x:v>319</x:v>
      </x:c>
      <x:c r="AG592" s="2"/>
      <x:c r="AH592" s="2"/>
      <x:c r="AI592" s="4"/>
      <x:c r="AJ592" s="2"/>
      <x:c r="AK592" s="2" t="s">
        <x:v>320</x:v>
      </x:c>
      <x:c r="AL592" s="2" t="s">
        <x:v>1550</x:v>
      </x:c>
      <x:c r="AM592" s="2">
        <x:v>142</x:v>
      </x:c>
      <x:c r="AN592" s="2">
        <x:v>142</x:v>
      </x:c>
    </x:row>
    <x:row r="593" ht="26">
      <x:c r="A593" s="2" t="s">
        <x:v>6</x:v>
      </x:c>
      <x:c r="B593" s="2" t="s">
        <x:v>16</x:v>
      </x:c>
      <x:c r="C593" s="3">
        <x:v>141</x:v>
      </x:c>
      <x:c r="D593" s="2" t="s">
        <x:v>1938</x:v>
      </x:c>
      <x:c r="E593" s="2" t="s">
        <x:v>1933</x:v>
      </x:c>
      <x:c r="F593" s="2" t="s">
        <x:v>1945</x:v>
      </x:c>
      <x:c r="G593" s="2"/>
      <x:c r="H593" s="2" t="s">
        <x:v>1912</x:v>
      </x:c>
      <x:c r="I593" s="2" t="s">
        <x:v>1935</x:v>
      </x:c>
      <x:c r="J593" s="2" t="s">
        <x:v>1913</x:v>
      </x:c>
      <x:c r="K593" s="2" t="n">
        <x:v>140</x:v>
      </x:c>
      <x:c r="L593" s="2" t="s">
        <x:v>1941</x:v>
      </x:c>
      <x:c r="M593" s="2"/>
      <x:c r="N593" s="2"/>
      <x:c r="O593" s="2" t="s">
        <x:v>1910</x:v>
      </x:c>
      <x:c r="P593" s="2" t="s">
        <x:v>1946</x:v>
      </x:c>
      <x:c r="Q593" s="2"/>
      <x:c r="R593" s="3">
        <x:v>3</x:v>
      </x:c>
      <x:c r="S593" s="3"/>
      <x:c r="T593" s="2"/>
      <x:c r="U593" s="2"/>
      <x:c r="V593" s="2"/>
      <x:c r="W593" s="2"/>
      <x:c r="X593" s="3"/>
      <x:c r="Y593" s="3"/>
      <x:c r="Z593" s="2"/>
      <x:c r="AA593" s="2"/>
      <x:c r="AB593" s="2"/>
      <x:c r="AC593" s="2" t="s">
        <x:v>374</x:v>
      </x:c>
      <x:c r="AD593" s="2" t="s">
        <x:v>344</x:v>
      </x:c>
      <x:c r="AE593" s="2" t="s">
        <x:v>317</x:v>
      </x:c>
      <x:c r="AF593" s="2" t="s">
        <x:v>319</x:v>
      </x:c>
      <x:c r="AG593" s="2"/>
      <x:c r="AH593" s="2"/>
      <x:c r="AI593" s="4"/>
      <x:c r="AJ593" s="2"/>
      <x:c r="AK593" s="2" t="s">
        <x:v>320</x:v>
      </x:c>
      <x:c r="AL593" s="2" t="s">
        <x:v>1550</x:v>
      </x:c>
      <x:c r="AM593" s="2">
        <x:v>143</x:v>
      </x:c>
      <x:c r="AN593" s="2">
        <x:v>143</x:v>
      </x:c>
    </x:row>
    <x:row r="594" ht="39">
      <x:c r="A594" s="2" t="s">
        <x:v>91</x:v>
      </x:c>
      <x:c r="B594" s="2" t="s">
        <x:v>16</x:v>
      </x:c>
      <x:c r="C594" s="3">
        <x:v>142</x:v>
      </x:c>
      <x:c r="D594" s="2" t="s">
        <x:v>369</x:v>
      </x:c>
      <x:c r="E594" s="2" t="s">
        <x:v>1947</x:v>
      </x:c>
      <x:c r="F594" s="2" t="s">
        <x:v>370</x:v>
      </x:c>
      <x:c r="G594" s="2" t="s">
        <x:v>158</x:v>
      </x:c>
      <x:c r="H594" s="2" t="s">
        <x:v>1912</x:v>
      </x:c>
      <x:c r="I594" s="2" t="s">
        <x:v>1948</x:v>
      </x:c>
      <x:c r="J594" s="2" t="s">
        <x:v>1913</x:v>
      </x:c>
      <x:c r="K594" s="2"/>
      <x:c r="L594" s="2" t="s">
        <x:v>1949</x:v>
      </x:c>
      <x:c r="M594" s="2"/>
      <x:c r="N594" s="2"/>
      <x:c r="O594" s="2" t="s">
        <x:v>1921</x:v>
      </x:c>
      <x:c r="P594" s="2" t="s">
        <x:v>1950</x:v>
      </x:c>
      <x:c r="Q594" s="2"/>
      <x:c r="R594" s="3">
        <x:v>4</x:v>
      </x:c>
      <x:c r="S594" s="3"/>
      <x:c r="T594" s="2"/>
      <x:c r="U594" s="2"/>
      <x:c r="V594" s="2"/>
      <x:c r="W594" s="2"/>
      <x:c r="X594" s="3"/>
      <x:c r="Y594" s="3"/>
      <x:c r="Z594" s="2"/>
      <x:c r="AA594" s="2"/>
      <x:c r="AB594" s="2"/>
      <x:c r="AC594" s="2" t="s">
        <x:v>374</x:v>
      </x:c>
      <x:c r="AD594" s="2" t="s">
        <x:v>368</x:v>
      </x:c>
      <x:c r="AE594" s="2" t="s">
        <x:v>318</x:v>
      </x:c>
      <x:c r="AF594" s="2" t="s">
        <x:v>319</x:v>
      </x:c>
      <x:c r="AG594" s="2"/>
      <x:c r="AH594" s="2"/>
      <x:c r="AI594" s="4"/>
      <x:c r="AJ594" s="2"/>
      <x:c r="AK594" s="2" t="s">
        <x:v>320</x:v>
      </x:c>
      <x:c r="AL594" s="2" t="s">
        <x:v>1550</x:v>
      </x:c>
      <x:c r="AM594" s="2">
        <x:v>144</x:v>
      </x:c>
      <x:c r="AN594" s="2">
        <x:v>144</x:v>
      </x:c>
    </x:row>
    <x:row r="595" ht="26">
      <x:c r="A595" s="2" t="s">
        <x:v>91</x:v>
      </x:c>
      <x:c r="B595" s="2" t="s">
        <x:v>16</x:v>
      </x:c>
      <x:c r="C595" s="3">
        <x:v>143</x:v>
      </x:c>
      <x:c r="D595" s="2" t="s">
        <x:v>375</x:v>
      </x:c>
      <x:c r="E595" s="2" t="s">
        <x:v>1947</x:v>
      </x:c>
      <x:c r="F595" s="2" t="s">
        <x:v>376</x:v>
      </x:c>
      <x:c r="G595" s="2"/>
      <x:c r="H595" s="2" t="s">
        <x:v>1912</x:v>
      </x:c>
      <x:c r="I595" s="2" t="s">
        <x:v>1948</x:v>
      </x:c>
      <x:c r="J595" s="2" t="s">
        <x:v>1913</x:v>
      </x:c>
      <x:c r="K595" s="2" t="n">
        <x:v>142</x:v>
      </x:c>
      <x:c r="L595" s="2" t="s">
        <x:v>1951</x:v>
      </x:c>
      <x:c r="M595" s="2"/>
      <x:c r="N595" s="2"/>
      <x:c r="O595" s="2" t="s">
        <x:v>1910</x:v>
      </x:c>
      <x:c r="P595" s="2" t="s">
        <x:v>1952</x:v>
      </x:c>
      <x:c r="Q595" s="2"/>
      <x:c r="R595" s="3">
        <x:v>4</x:v>
      </x:c>
      <x:c r="S595" s="3"/>
      <x:c r="T595" s="2"/>
      <x:c r="U595" s="2"/>
      <x:c r="V595" s="2"/>
      <x:c r="W595" s="2"/>
      <x:c r="X595" s="3"/>
      <x:c r="Y595" s="3"/>
      <x:c r="Z595" s="2"/>
      <x:c r="AA595" s="2"/>
      <x:c r="AB595" s="2"/>
      <x:c r="AC595" s="2" t="s">
        <x:v>367</x:v>
      </x:c>
      <x:c r="AD595" s="2" t="s">
        <x:v>318</x:v>
      </x:c>
      <x:c r="AE595" s="2" t="s">
        <x:v>368</x:v>
      </x:c>
      <x:c r="AF595" s="2" t="s">
        <x:v>319</x:v>
      </x:c>
      <x:c r="AG595" s="2"/>
      <x:c r="AH595" s="2"/>
      <x:c r="AI595" s="4"/>
      <x:c r="AJ595" s="2"/>
      <x:c r="AK595" s="2" t="s">
        <x:v>320</x:v>
      </x:c>
      <x:c r="AL595" s="2" t="s">
        <x:v>1550</x:v>
      </x:c>
      <x:c r="AM595" s="2">
        <x:v>145</x:v>
      </x:c>
      <x:c r="AN595" s="2">
        <x:v>145</x:v>
      </x:c>
    </x:row>
    <x:row r="596" ht="52">
      <x:c r="A596" s="2" t="s">
        <x:v>6</x:v>
      </x:c>
      <x:c r="B596" s="2" t="s">
        <x:v>16</x:v>
      </x:c>
      <x:c r="C596" s="3">
        <x:v>144</x:v>
      </x:c>
      <x:c r="D596" s="2" t="s">
        <x:v>369</x:v>
      </x:c>
      <x:c r="E596" s="2" t="s">
        <x:v>1947</x:v>
      </x:c>
      <x:c r="F596" s="2" t="s">
        <x:v>1953</x:v>
      </x:c>
      <x:c r="G596" s="2"/>
      <x:c r="H596" s="2" t="s">
        <x:v>1077</x:v>
      </x:c>
      <x:c r="I596" s="2" t="s">
        <x:v>1948</x:v>
      </x:c>
      <x:c r="J596" s="2" t="s">
        <x:v>1904</x:v>
      </x:c>
      <x:c r="K596" s="2"/>
      <x:c r="L596" s="2" t="s">
        <x:v>1949</x:v>
      </x:c>
      <x:c r="M596" s="2"/>
      <x:c r="N596" s="2"/>
      <x:c r="O596" s="2" t="s">
        <x:v>1928</x:v>
      </x:c>
      <x:c r="P596" s="2" t="s">
        <x:v>1954</x:v>
      </x:c>
      <x:c r="Q596" s="2"/>
      <x:c r="R596" s="3">
        <x:v>4</x:v>
      </x:c>
      <x:c r="S596" s="3"/>
      <x:c r="T596" s="2"/>
      <x:c r="U596" s="2"/>
      <x:c r="V596" s="2"/>
      <x:c r="W596" s="2"/>
      <x:c r="X596" s="3"/>
      <x:c r="Y596" s="3"/>
      <x:c r="Z596" s="2"/>
      <x:c r="AA596" s="2"/>
      <x:c r="AB596" s="2"/>
      <x:c r="AC596" s="2" t="s">
        <x:v>374</x:v>
      </x:c>
      <x:c r="AD596" s="2" t="s">
        <x:v>368</x:v>
      </x:c>
      <x:c r="AE596" s="2" t="s">
        <x:v>318</x:v>
      </x:c>
      <x:c r="AF596" s="2" t="s">
        <x:v>319</x:v>
      </x:c>
      <x:c r="AG596" s="2"/>
      <x:c r="AH596" s="2"/>
      <x:c r="AI596" s="4"/>
      <x:c r="AJ596" s="2"/>
      <x:c r="AK596" s="2" t="s">
        <x:v>320</x:v>
      </x:c>
      <x:c r="AL596" s="2" t="s">
        <x:v>1550</x:v>
      </x:c>
      <x:c r="AM596" s="2">
        <x:v>146</x:v>
      </x:c>
      <x:c r="AN596" s="2">
        <x:v>146</x:v>
      </x:c>
    </x:row>
    <x:row r="597" ht="52">
      <x:c r="A597" s="2" t="s">
        <x:v>6</x:v>
      </x:c>
      <x:c r="B597" s="2" t="s">
        <x:v>16</x:v>
      </x:c>
      <x:c r="C597" s="3">
        <x:v>145</x:v>
      </x:c>
      <x:c r="D597" s="2" t="s">
        <x:v>375</x:v>
      </x:c>
      <x:c r="E597" s="2" t="s">
        <x:v>1947</x:v>
      </x:c>
      <x:c r="F597" s="2" t="s">
        <x:v>1955</x:v>
      </x:c>
      <x:c r="G597" s="2"/>
      <x:c r="H597" s="2" t="s">
        <x:v>1077</x:v>
      </x:c>
      <x:c r="I597" s="2" t="s">
        <x:v>1948</x:v>
      </x:c>
      <x:c r="J597" s="2" t="s">
        <x:v>1904</x:v>
      </x:c>
      <x:c r="K597" s="2" t="n">
        <x:v>144</x:v>
      </x:c>
      <x:c r="L597" s="2" t="s">
        <x:v>1951</x:v>
      </x:c>
      <x:c r="M597" s="2"/>
      <x:c r="N597" s="2"/>
      <x:c r="O597" s="2" t="s">
        <x:v>1910</x:v>
      </x:c>
      <x:c r="P597" s="2" t="s">
        <x:v>1956</x:v>
      </x:c>
      <x:c r="Q597" s="2"/>
      <x:c r="R597" s="3">
        <x:v>4</x:v>
      </x:c>
      <x:c r="S597" s="3"/>
      <x:c r="T597" s="2"/>
      <x:c r="U597" s="2"/>
      <x:c r="V597" s="2"/>
      <x:c r="W597" s="2"/>
      <x:c r="X597" s="3"/>
      <x:c r="Y597" s="3"/>
      <x:c r="Z597" s="2"/>
      <x:c r="AA597" s="2"/>
      <x:c r="AB597" s="2"/>
      <x:c r="AC597" s="2" t="s">
        <x:v>367</x:v>
      </x:c>
      <x:c r="AD597" s="2" t="s">
        <x:v>318</x:v>
      </x:c>
      <x:c r="AE597" s="2" t="s">
        <x:v>368</x:v>
      </x:c>
      <x:c r="AF597" s="2" t="s">
        <x:v>319</x:v>
      </x:c>
      <x:c r="AG597" s="2"/>
      <x:c r="AH597" s="2"/>
      <x:c r="AI597" s="4"/>
      <x:c r="AJ597" s="2"/>
      <x:c r="AK597" s="2" t="s">
        <x:v>320</x:v>
      </x:c>
      <x:c r="AL597" s="2" t="s">
        <x:v>1550</x:v>
      </x:c>
      <x:c r="AM597" s="2">
        <x:v>147</x:v>
      </x:c>
      <x:c r="AN597" s="2">
        <x:v>147</x:v>
      </x:c>
    </x:row>
    <x:row r="598" ht="52">
      <x:c r="A598" s="2" t="s">
        <x:v>6</x:v>
      </x:c>
      <x:c r="B598" s="2" t="s">
        <x:v>16</x:v>
      </x:c>
      <x:c r="C598" s="3">
        <x:v>146</x:v>
      </x:c>
      <x:c r="D598" s="2" t="s">
        <x:v>1554</x:v>
      </x:c>
      <x:c r="E598" s="2" t="s">
        <x:v>1957</x:v>
      </x:c>
      <x:c r="F598" s="2" t="s">
        <x:v>1958</x:v>
      </x:c>
      <x:c r="G598" s="2"/>
      <x:c r="H598" s="2" t="s">
        <x:v>1077</x:v>
      </x:c>
      <x:c r="I598" s="2" t="s">
        <x:v>1959</x:v>
      </x:c>
      <x:c r="J598" s="2" t="s">
        <x:v>1904</x:v>
      </x:c>
      <x:c r="K598" s="2"/>
      <x:c r="L598" s="2" t="s">
        <x:v>1960</x:v>
      </x:c>
      <x:c r="M598" s="2"/>
      <x:c r="N598" s="2"/>
      <x:c r="O598" s="2" t="s">
        <x:v>1906</x:v>
      </x:c>
      <x:c r="P598" s="2" t="s">
        <x:v>1961</x:v>
      </x:c>
      <x:c r="Q598" s="2"/>
      <x:c r="R598" s="3">
        <x:v>3</x:v>
      </x:c>
      <x:c r="S598" s="3"/>
      <x:c r="T598" s="2"/>
      <x:c r="U598" s="2"/>
      <x:c r="V598" s="2"/>
      <x:c r="W598" s="2"/>
      <x:c r="X598" s="3"/>
      <x:c r="Y598" s="3"/>
      <x:c r="Z598" s="2"/>
      <x:c r="AA598" s="2"/>
      <x:c r="AB598" s="2"/>
      <x:c r="AC598" s="2" t="s">
        <x:v>367</x:v>
      </x:c>
      <x:c r="AD598" s="2" t="s">
        <x:v>368</x:v>
      </x:c>
      <x:c r="AE598" s="2" t="s">
        <x:v>344</x:v>
      </x:c>
      <x:c r="AF598" s="2" t="s">
        <x:v>319</x:v>
      </x:c>
      <x:c r="AG598" s="2"/>
      <x:c r="AH598" s="2"/>
      <x:c r="AI598" s="4"/>
      <x:c r="AJ598" s="2"/>
      <x:c r="AK598" s="2" t="s">
        <x:v>320</x:v>
      </x:c>
      <x:c r="AL598" s="2" t="s">
        <x:v>1550</x:v>
      </x:c>
      <x:c r="AM598" s="2">
        <x:v>148</x:v>
      </x:c>
      <x:c r="AN598" s="2">
        <x:v>148</x:v>
      </x:c>
    </x:row>
    <x:row r="599" ht="52">
      <x:c r="A599" s="2" t="s">
        <x:v>6</x:v>
      </x:c>
      <x:c r="B599" s="2" t="s">
        <x:v>16</x:v>
      </x:c>
      <x:c r="C599" s="3">
        <x:v>147</x:v>
      </x:c>
      <x:c r="D599" s="2" t="s">
        <x:v>1570</x:v>
      </x:c>
      <x:c r="E599" s="2" t="s">
        <x:v>1957</x:v>
      </x:c>
      <x:c r="F599" s="2" t="s">
        <x:v>1962</x:v>
      </x:c>
      <x:c r="G599" s="2"/>
      <x:c r="H599" s="2" t="s">
        <x:v>1077</x:v>
      </x:c>
      <x:c r="I599" s="2" t="s">
        <x:v>1959</x:v>
      </x:c>
      <x:c r="J599" s="2" t="s">
        <x:v>1904</x:v>
      </x:c>
      <x:c r="K599" s="2" t="n">
        <x:v>146</x:v>
      </x:c>
      <x:c r="L599" s="2" t="s">
        <x:v>1963</x:v>
      </x:c>
      <x:c r="M599" s="2"/>
      <x:c r="N599" s="2"/>
      <x:c r="O599" s="2" t="s">
        <x:v>1910</x:v>
      </x:c>
      <x:c r="P599" s="2" t="s">
        <x:v>1964</x:v>
      </x:c>
      <x:c r="Q599" s="2"/>
      <x:c r="R599" s="3">
        <x:v>3</x:v>
      </x:c>
      <x:c r="S599" s="3"/>
      <x:c r="T599" s="2"/>
      <x:c r="U599" s="2"/>
      <x:c r="V599" s="2"/>
      <x:c r="W599" s="2"/>
      <x:c r="X599" s="3"/>
      <x:c r="Y599" s="3"/>
      <x:c r="Z599" s="2"/>
      <x:c r="AA599" s="2"/>
      <x:c r="AB599" s="2"/>
      <x:c r="AC599" s="2" t="s">
        <x:v>374</x:v>
      </x:c>
      <x:c r="AD599" s="2" t="s">
        <x:v>344</x:v>
      </x:c>
      <x:c r="AE599" s="2" t="s">
        <x:v>368</x:v>
      </x:c>
      <x:c r="AF599" s="2" t="s">
        <x:v>319</x:v>
      </x:c>
      <x:c r="AG599" s="2"/>
      <x:c r="AH599" s="2"/>
      <x:c r="AI599" s="4"/>
      <x:c r="AJ599" s="2"/>
      <x:c r="AK599" s="2" t="s">
        <x:v>320</x:v>
      </x:c>
      <x:c r="AL599" s="2" t="s">
        <x:v>1550</x:v>
      </x:c>
      <x:c r="AM599" s="2">
        <x:v>149</x:v>
      </x:c>
      <x:c r="AN599" s="2">
        <x:v>149</x:v>
      </x:c>
    </x:row>
    <x:row r="600" ht="39">
      <x:c r="A600" s="2" t="s">
        <x:v>91</x:v>
      </x:c>
      <x:c r="B600" s="2" t="s">
        <x:v>16</x:v>
      </x:c>
      <x:c r="C600" s="3">
        <x:v>148</x:v>
      </x:c>
      <x:c r="D600" s="2" t="s">
        <x:v>1554</x:v>
      </x:c>
      <x:c r="E600" s="2" t="s">
        <x:v>1957</x:v>
      </x:c>
      <x:c r="F600" s="2" t="s">
        <x:v>1556</x:v>
      </x:c>
      <x:c r="G600" s="2" t="s">
        <x:v>158</x:v>
      </x:c>
      <x:c r="H600" s="2" t="s">
        <x:v>1912</x:v>
      </x:c>
      <x:c r="I600" s="2" t="s">
        <x:v>1959</x:v>
      </x:c>
      <x:c r="J600" s="2" t="s">
        <x:v>1913</x:v>
      </x:c>
      <x:c r="K600" s="2"/>
      <x:c r="L600" s="2" t="s">
        <x:v>1960</x:v>
      </x:c>
      <x:c r="M600" s="2"/>
      <x:c r="N600" s="2"/>
      <x:c r="O600" s="2" t="s">
        <x:v>1914</x:v>
      </x:c>
      <x:c r="P600" s="2" t="s">
        <x:v>1965</x:v>
      </x:c>
      <x:c r="Q600" s="2"/>
      <x:c r="R600" s="3">
        <x:v>3</x:v>
      </x:c>
      <x:c r="S600" s="3"/>
      <x:c r="T600" s="2"/>
      <x:c r="U600" s="2"/>
      <x:c r="V600" s="2"/>
      <x:c r="W600" s="2"/>
      <x:c r="X600" s="3"/>
      <x:c r="Y600" s="3"/>
      <x:c r="Z600" s="2"/>
      <x:c r="AA600" s="2"/>
      <x:c r="AB600" s="2"/>
      <x:c r="AC600" s="2" t="s">
        <x:v>367</x:v>
      </x:c>
      <x:c r="AD600" s="2" t="s">
        <x:v>368</x:v>
      </x:c>
      <x:c r="AE600" s="2" t="s">
        <x:v>344</x:v>
      </x:c>
      <x:c r="AF600" s="2" t="s">
        <x:v>319</x:v>
      </x:c>
      <x:c r="AG600" s="2"/>
      <x:c r="AH600" s="2"/>
      <x:c r="AI600" s="4"/>
      <x:c r="AJ600" s="2"/>
      <x:c r="AK600" s="2" t="s">
        <x:v>320</x:v>
      </x:c>
      <x:c r="AL600" s="2" t="s">
        <x:v>1550</x:v>
      </x:c>
      <x:c r="AM600" s="2">
        <x:v>150</x:v>
      </x:c>
      <x:c r="AN600" s="2">
        <x:v>150</x:v>
      </x:c>
    </x:row>
    <x:row r="601" ht="26">
      <x:c r="A601" s="2" t="s">
        <x:v>91</x:v>
      </x:c>
      <x:c r="B601" s="2" t="s">
        <x:v>16</x:v>
      </x:c>
      <x:c r="C601" s="3">
        <x:v>149</x:v>
      </x:c>
      <x:c r="D601" s="2" t="s">
        <x:v>1570</x:v>
      </x:c>
      <x:c r="E601" s="2" t="s">
        <x:v>1957</x:v>
      </x:c>
      <x:c r="F601" s="2" t="s">
        <x:v>1571</x:v>
      </x:c>
      <x:c r="G601" s="2" t="s">
        <x:v>1966</x:v>
      </x:c>
      <x:c r="H601" s="2" t="s">
        <x:v>1912</x:v>
      </x:c>
      <x:c r="I601" s="2" t="s">
        <x:v>1959</x:v>
      </x:c>
      <x:c r="J601" s="2" t="s">
        <x:v>1913</x:v>
      </x:c>
      <x:c r="K601" s="2" t="n">
        <x:v>148</x:v>
      </x:c>
      <x:c r="L601" s="2" t="s">
        <x:v>1963</x:v>
      </x:c>
      <x:c r="M601" s="2"/>
      <x:c r="N601" s="2"/>
      <x:c r="O601" s="2" t="s">
        <x:v>1910</x:v>
      </x:c>
      <x:c r="P601" s="2" t="s">
        <x:v>1967</x:v>
      </x:c>
      <x:c r="Q601" s="2"/>
      <x:c r="R601" s="3">
        <x:v>3</x:v>
      </x:c>
      <x:c r="S601" s="3"/>
      <x:c r="T601" s="2"/>
      <x:c r="U601" s="2"/>
      <x:c r="V601" s="2"/>
      <x:c r="W601" s="2"/>
      <x:c r="X601" s="3"/>
      <x:c r="Y601" s="3"/>
      <x:c r="Z601" s="2"/>
      <x:c r="AA601" s="2"/>
      <x:c r="AB601" s="2"/>
      <x:c r="AC601" s="2" t="s">
        <x:v>374</x:v>
      </x:c>
      <x:c r="AD601" s="2" t="s">
        <x:v>344</x:v>
      </x:c>
      <x:c r="AE601" s="2" t="s">
        <x:v>368</x:v>
      </x:c>
      <x:c r="AF601" s="2" t="s">
        <x:v>319</x:v>
      </x:c>
      <x:c r="AG601" s="2"/>
      <x:c r="AH601" s="2"/>
      <x:c r="AI601" s="4"/>
      <x:c r="AJ601" s="2"/>
      <x:c r="AK601" s="2" t="s">
        <x:v>320</x:v>
      </x:c>
      <x:c r="AL601" s="2" t="s">
        <x:v>1550</x:v>
      </x:c>
      <x:c r="AM601" s="2">
        <x:v>151</x:v>
      </x:c>
      <x:c r="AN601" s="2">
        <x:v>151</x:v>
      </x:c>
    </x:row>
    <x:row r="602" ht="39">
      <x:c r="A602" s="2" t="s">
        <x:v>91</x:v>
      </x:c>
      <x:c r="B602" s="2" t="s">
        <x:v>16</x:v>
      </x:c>
      <x:c r="C602" s="3">
        <x:v>150</x:v>
      </x:c>
      <x:c r="D602" s="2" t="s">
        <x:v>1968</x:v>
      </x:c>
      <x:c r="E602" s="2" t="s">
        <x:v>1575</x:v>
      </x:c>
      <x:c r="F602" s="2" t="s">
        <x:v>309</x:v>
      </x:c>
      <x:c r="G602" s="2" t="s">
        <x:v>1969</x:v>
      </x:c>
      <x:c r="H602" s="2" t="s">
        <x:v>1912</x:v>
      </x:c>
      <x:c r="I602" s="2" t="s">
        <x:v>1970</x:v>
      </x:c>
      <x:c r="J602" s="2" t="s">
        <x:v>1913</x:v>
      </x:c>
      <x:c r="K602" s="2"/>
      <x:c r="L602" s="2" t="s">
        <x:v>1971</x:v>
      </x:c>
      <x:c r="M602" s="2"/>
      <x:c r="N602" s="2"/>
      <x:c r="O602" s="2" t="s">
        <x:v>1921</x:v>
      </x:c>
      <x:c r="P602" s="2" t="s">
        <x:v>1972</x:v>
      </x:c>
      <x:c r="Q602" s="2"/>
      <x:c r="R602" s="3">
        <x:v>4</x:v>
      </x:c>
      <x:c r="S602" s="3"/>
      <x:c r="T602" s="2"/>
      <x:c r="U602" s="2"/>
      <x:c r="V602" s="2"/>
      <x:c r="W602" s="2"/>
      <x:c r="X602" s="3"/>
      <x:c r="Y602" s="3"/>
      <x:c r="Z602" s="2"/>
      <x:c r="AA602" s="2"/>
      <x:c r="AB602" s="2"/>
      <x:c r="AC602" s="2" t="s">
        <x:v>316</x:v>
      </x:c>
      <x:c r="AD602" s="2" t="s">
        <x:v>317</x:v>
      </x:c>
      <x:c r="AE602" s="2" t="s">
        <x:v>318</x:v>
      </x:c>
      <x:c r="AF602" s="2" t="s">
        <x:v>319</x:v>
      </x:c>
      <x:c r="AG602" s="2"/>
      <x:c r="AH602" s="2"/>
      <x:c r="AI602" s="4"/>
      <x:c r="AJ602" s="2"/>
      <x:c r="AK602" s="2" t="s">
        <x:v>320</x:v>
      </x:c>
      <x:c r="AL602" s="2" t="s">
        <x:v>1550</x:v>
      </x:c>
      <x:c r="AM602" s="2">
        <x:v>152</x:v>
      </x:c>
      <x:c r="AN602" s="2">
        <x:v>152</x:v>
      </x:c>
    </x:row>
    <x:row r="603" ht="26">
      <x:c r="A603" s="2" t="s">
        <x:v>91</x:v>
      </x:c>
      <x:c r="B603" s="2" t="s">
        <x:v>16</x:v>
      </x:c>
      <x:c r="C603" s="3">
        <x:v>151</x:v>
      </x:c>
      <x:c r="D603" s="2" t="s">
        <x:v>332</x:v>
      </x:c>
      <x:c r="E603" s="2" t="s">
        <x:v>1575</x:v>
      </x:c>
      <x:c r="F603" s="2" t="s">
        <x:v>333</x:v>
      </x:c>
      <x:c r="G603" s="2" t="s">
        <x:v>158</x:v>
      </x:c>
      <x:c r="H603" s="2" t="s">
        <x:v>1912</x:v>
      </x:c>
      <x:c r="I603" s="2" t="s">
        <x:v>1970</x:v>
      </x:c>
      <x:c r="J603" s="2" t="s">
        <x:v>1913</x:v>
      </x:c>
      <x:c r="K603" s="2" t="n">
        <x:v>150</x:v>
      </x:c>
      <x:c r="L603" s="2" t="s">
        <x:v>1973</x:v>
      </x:c>
      <x:c r="M603" s="2"/>
      <x:c r="N603" s="2"/>
      <x:c r="O603" s="2" t="s">
        <x:v>1910</x:v>
      </x:c>
      <x:c r="P603" s="2" t="s">
        <x:v>1974</x:v>
      </x:c>
      <x:c r="Q603" s="2"/>
      <x:c r="R603" s="3">
        <x:v>4</x:v>
      </x:c>
      <x:c r="S603" s="3"/>
      <x:c r="T603" s="2"/>
      <x:c r="U603" s="2"/>
      <x:c r="V603" s="2"/>
      <x:c r="W603" s="2"/>
      <x:c r="X603" s="3"/>
      <x:c r="Y603" s="3"/>
      <x:c r="Z603" s="2"/>
      <x:c r="AA603" s="2"/>
      <x:c r="AB603" s="2"/>
      <x:c r="AC603" s="2" t="s">
        <x:v>326</x:v>
      </x:c>
      <x:c r="AD603" s="2" t="s">
        <x:v>318</x:v>
      </x:c>
      <x:c r="AE603" s="2" t="s">
        <x:v>317</x:v>
      </x:c>
      <x:c r="AF603" s="2" t="s">
        <x:v>319</x:v>
      </x:c>
      <x:c r="AG603" s="2"/>
      <x:c r="AH603" s="2"/>
      <x:c r="AI603" s="4"/>
      <x:c r="AJ603" s="2"/>
      <x:c r="AK603" s="2" t="s">
        <x:v>320</x:v>
      </x:c>
      <x:c r="AL603" s="2" t="s">
        <x:v>1550</x:v>
      </x:c>
      <x:c r="AM603" s="2">
        <x:v>153</x:v>
      </x:c>
      <x:c r="AN603" s="2">
        <x:v>153</x:v>
      </x:c>
    </x:row>
    <x:row r="604" ht="52">
      <x:c r="A604" s="2" t="s">
        <x:v>6</x:v>
      </x:c>
      <x:c r="B604" s="2" t="s">
        <x:v>16</x:v>
      </x:c>
      <x:c r="C604" s="3">
        <x:v>152</x:v>
      </x:c>
      <x:c r="D604" s="2" t="s">
        <x:v>1968</x:v>
      </x:c>
      <x:c r="E604" s="2" t="s">
        <x:v>1575</x:v>
      </x:c>
      <x:c r="F604" s="2" t="s">
        <x:v>1975</x:v>
      </x:c>
      <x:c r="G604" s="2"/>
      <x:c r="H604" s="2" t="s">
        <x:v>1077</x:v>
      </x:c>
      <x:c r="I604" s="2" t="s">
        <x:v>1970</x:v>
      </x:c>
      <x:c r="J604" s="2" t="s">
        <x:v>1904</x:v>
      </x:c>
      <x:c r="K604" s="2"/>
      <x:c r="L604" s="2" t="s">
        <x:v>1971</x:v>
      </x:c>
      <x:c r="M604" s="2"/>
      <x:c r="N604" s="2"/>
      <x:c r="O604" s="2" t="s">
        <x:v>1928</x:v>
      </x:c>
      <x:c r="P604" s="2" t="s">
        <x:v>1976</x:v>
      </x:c>
      <x:c r="Q604" s="2"/>
      <x:c r="R604" s="3">
        <x:v>4</x:v>
      </x:c>
      <x:c r="S604" s="3"/>
      <x:c r="T604" s="2"/>
      <x:c r="U604" s="2"/>
      <x:c r="V604" s="2"/>
      <x:c r="W604" s="2"/>
      <x:c r="X604" s="3"/>
      <x:c r="Y604" s="3"/>
      <x:c r="Z604" s="2"/>
      <x:c r="AA604" s="2"/>
      <x:c r="AB604" s="2"/>
      <x:c r="AC604" s="2" t="s">
        <x:v>316</x:v>
      </x:c>
      <x:c r="AD604" s="2" t="s">
        <x:v>317</x:v>
      </x:c>
      <x:c r="AE604" s="2" t="s">
        <x:v>318</x:v>
      </x:c>
      <x:c r="AF604" s="2" t="s">
        <x:v>319</x:v>
      </x:c>
      <x:c r="AG604" s="2"/>
      <x:c r="AH604" s="2"/>
      <x:c r="AI604" s="4"/>
      <x:c r="AJ604" s="2"/>
      <x:c r="AK604" s="2" t="s">
        <x:v>320</x:v>
      </x:c>
      <x:c r="AL604" s="2" t="s">
        <x:v>1550</x:v>
      </x:c>
      <x:c r="AM604" s="2">
        <x:v>154</x:v>
      </x:c>
      <x:c r="AN604" s="2">
        <x:v>154</x:v>
      </x:c>
    </x:row>
    <x:row r="605" ht="52">
      <x:c r="A605" s="2" t="s">
        <x:v>6</x:v>
      </x:c>
      <x:c r="B605" s="2" t="s">
        <x:v>16</x:v>
      </x:c>
      <x:c r="C605" s="3">
        <x:v>153</x:v>
      </x:c>
      <x:c r="D605" s="2" t="s">
        <x:v>332</x:v>
      </x:c>
      <x:c r="E605" s="2" t="s">
        <x:v>1575</x:v>
      </x:c>
      <x:c r="F605" s="2" t="s">
        <x:v>1977</x:v>
      </x:c>
      <x:c r="G605" s="2"/>
      <x:c r="H605" s="2" t="s">
        <x:v>1077</x:v>
      </x:c>
      <x:c r="I605" s="2" t="s">
        <x:v>1970</x:v>
      </x:c>
      <x:c r="J605" s="2" t="s">
        <x:v>1904</x:v>
      </x:c>
      <x:c r="K605" s="2" t="n">
        <x:v>152</x:v>
      </x:c>
      <x:c r="L605" s="2" t="s">
        <x:v>1973</x:v>
      </x:c>
      <x:c r="M605" s="2"/>
      <x:c r="N605" s="2"/>
      <x:c r="O605" s="2" t="s">
        <x:v>1910</x:v>
      </x:c>
      <x:c r="P605" s="2" t="s">
        <x:v>1978</x:v>
      </x:c>
      <x:c r="Q605" s="2"/>
      <x:c r="R605" s="3">
        <x:v>4</x:v>
      </x:c>
      <x:c r="S605" s="3"/>
      <x:c r="T605" s="2"/>
      <x:c r="U605" s="2"/>
      <x:c r="V605" s="2"/>
      <x:c r="W605" s="2"/>
      <x:c r="X605" s="3"/>
      <x:c r="Y605" s="3"/>
      <x:c r="Z605" s="2"/>
      <x:c r="AA605" s="2"/>
      <x:c r="AB605" s="2"/>
      <x:c r="AC605" s="2" t="s">
        <x:v>326</x:v>
      </x:c>
      <x:c r="AD605" s="2" t="s">
        <x:v>318</x:v>
      </x:c>
      <x:c r="AE605" s="2" t="s">
        <x:v>317</x:v>
      </x:c>
      <x:c r="AF605" s="2" t="s">
        <x:v>319</x:v>
      </x:c>
      <x:c r="AG605" s="2"/>
      <x:c r="AH605" s="2"/>
      <x:c r="AI605" s="4"/>
      <x:c r="AJ605" s="2"/>
      <x:c r="AK605" s="2" t="s">
        <x:v>320</x:v>
      </x:c>
      <x:c r="AL605" s="2" t="s">
        <x:v>1550</x:v>
      </x:c>
      <x:c r="AM605" s="2">
        <x:v>155</x:v>
      </x:c>
      <x:c r="AN605" s="2">
        <x:v>155</x:v>
      </x:c>
    </x:row>
    <x:row r="606" ht="52">
      <x:c r="A606" s="2" t="s">
        <x:v>6</x:v>
      </x:c>
      <x:c r="B606" s="2" t="s">
        <x:v>16</x:v>
      </x:c>
      <x:c r="C606" s="3">
        <x:v>154</x:v>
      </x:c>
      <x:c r="D606" s="2" t="s">
        <x:v>1979</x:v>
      </x:c>
      <x:c r="E606" s="2" t="s">
        <x:v>1933</x:v>
      </x:c>
      <x:c r="F606" s="2" t="s">
        <x:v>1980</x:v>
      </x:c>
      <x:c r="G606" s="2"/>
      <x:c r="H606" s="2" t="s">
        <x:v>1077</x:v>
      </x:c>
      <x:c r="I606" s="2" t="s">
        <x:v>1981</x:v>
      </x:c>
      <x:c r="J606" s="2" t="s">
        <x:v>1904</x:v>
      </x:c>
      <x:c r="K606" s="2"/>
      <x:c r="L606" s="2" t="s">
        <x:v>1982</x:v>
      </x:c>
      <x:c r="M606" s="2"/>
      <x:c r="N606" s="2"/>
      <x:c r="O606" s="2" t="s">
        <x:v>1906</x:v>
      </x:c>
      <x:c r="P606" s="2" t="s">
        <x:v>1983</x:v>
      </x:c>
      <x:c r="Q606" s="2"/>
      <x:c r="R606" s="3">
        <x:v>3</x:v>
      </x:c>
      <x:c r="S606" s="3"/>
      <x:c r="T606" s="2"/>
      <x:c r="U606" s="2"/>
      <x:c r="V606" s="2"/>
      <x:c r="W606" s="2"/>
      <x:c r="X606" s="3"/>
      <x:c r="Y606" s="3"/>
      <x:c r="Z606" s="2"/>
      <x:c r="AA606" s="2"/>
      <x:c r="AB606" s="2"/>
      <x:c r="AC606" s="2" t="s">
        <x:v>326</x:v>
      </x:c>
      <x:c r="AD606" s="2" t="s">
        <x:v>317</x:v>
      </x:c>
      <x:c r="AE606" s="2" t="s">
        <x:v>344</x:v>
      </x:c>
      <x:c r="AF606" s="2" t="s">
        <x:v>319</x:v>
      </x:c>
      <x:c r="AG606" s="2"/>
      <x:c r="AH606" s="2"/>
      <x:c r="AI606" s="4"/>
      <x:c r="AJ606" s="2"/>
      <x:c r="AK606" s="2" t="s">
        <x:v>320</x:v>
      </x:c>
      <x:c r="AL606" s="2" t="s">
        <x:v>1550</x:v>
      </x:c>
      <x:c r="AM606" s="2">
        <x:v>156</x:v>
      </x:c>
      <x:c r="AN606" s="2">
        <x:v>156</x:v>
      </x:c>
    </x:row>
    <x:row r="607" ht="52">
      <x:c r="A607" s="2" t="s">
        <x:v>6</x:v>
      </x:c>
      <x:c r="B607" s="2" t="s">
        <x:v>16</x:v>
      </x:c>
      <x:c r="C607" s="3">
        <x:v>155</x:v>
      </x:c>
      <x:c r="D607" s="2" t="s">
        <x:v>1984</x:v>
      </x:c>
      <x:c r="E607" s="2" t="s">
        <x:v>1933</x:v>
      </x:c>
      <x:c r="F607" s="2" t="s">
        <x:v>1985</x:v>
      </x:c>
      <x:c r="G607" s="2"/>
      <x:c r="H607" s="2" t="s">
        <x:v>1077</x:v>
      </x:c>
      <x:c r="I607" s="2" t="s">
        <x:v>1981</x:v>
      </x:c>
      <x:c r="J607" s="2" t="s">
        <x:v>1904</x:v>
      </x:c>
      <x:c r="K607" s="2" t="n">
        <x:v>154</x:v>
      </x:c>
      <x:c r="L607" s="2" t="s">
        <x:v>1986</x:v>
      </x:c>
      <x:c r="M607" s="2"/>
      <x:c r="N607" s="2"/>
      <x:c r="O607" s="2" t="s">
        <x:v>1910</x:v>
      </x:c>
      <x:c r="P607" s="2" t="s">
        <x:v>1987</x:v>
      </x:c>
      <x:c r="Q607" s="2"/>
      <x:c r="R607" s="3">
        <x:v>3</x:v>
      </x:c>
      <x:c r="S607" s="3"/>
      <x:c r="T607" s="2"/>
      <x:c r="U607" s="2"/>
      <x:c r="V607" s="2"/>
      <x:c r="W607" s="2"/>
      <x:c r="X607" s="3"/>
      <x:c r="Y607" s="3"/>
      <x:c r="Z607" s="2"/>
      <x:c r="AA607" s="2"/>
      <x:c r="AB607" s="2"/>
      <x:c r="AC607" s="2" t="s">
        <x:v>316</x:v>
      </x:c>
      <x:c r="AD607" s="2" t="s">
        <x:v>344</x:v>
      </x:c>
      <x:c r="AE607" s="2" t="s">
        <x:v>317</x:v>
      </x:c>
      <x:c r="AF607" s="2" t="s">
        <x:v>319</x:v>
      </x:c>
      <x:c r="AG607" s="2"/>
      <x:c r="AH607" s="2"/>
      <x:c r="AI607" s="4"/>
      <x:c r="AJ607" s="2"/>
      <x:c r="AK607" s="2" t="s">
        <x:v>320</x:v>
      </x:c>
      <x:c r="AL607" s="2" t="s">
        <x:v>1550</x:v>
      </x:c>
      <x:c r="AM607" s="2">
        <x:v>157</x:v>
      </x:c>
      <x:c r="AN607" s="2">
        <x:v>157</x:v>
      </x:c>
    </x:row>
    <x:row r="608" ht="39">
      <x:c r="A608" s="2" t="s">
        <x:v>91</x:v>
      </x:c>
      <x:c r="B608" s="2" t="s">
        <x:v>16</x:v>
      </x:c>
      <x:c r="C608" s="3">
        <x:v>156</x:v>
      </x:c>
      <x:c r="D608" s="2" t="s">
        <x:v>1979</x:v>
      </x:c>
      <x:c r="E608" s="2" t="s">
        <x:v>1933</x:v>
      </x:c>
      <x:c r="F608" s="2" t="s">
        <x:v>346</x:v>
      </x:c>
      <x:c r="G608" s="2" t="s">
        <x:v>158</x:v>
      </x:c>
      <x:c r="H608" s="2" t="s">
        <x:v>1912</x:v>
      </x:c>
      <x:c r="I608" s="2" t="s">
        <x:v>1981</x:v>
      </x:c>
      <x:c r="J608" s="2" t="s">
        <x:v>1913</x:v>
      </x:c>
      <x:c r="K608" s="2"/>
      <x:c r="L608" s="2" t="s">
        <x:v>1982</x:v>
      </x:c>
      <x:c r="M608" s="2"/>
      <x:c r="N608" s="2"/>
      <x:c r="O608" s="2" t="s">
        <x:v>1914</x:v>
      </x:c>
      <x:c r="P608" s="2" t="s">
        <x:v>1988</x:v>
      </x:c>
      <x:c r="Q608" s="2"/>
      <x:c r="R608" s="3">
        <x:v>3</x:v>
      </x:c>
      <x:c r="S608" s="3"/>
      <x:c r="T608" s="2"/>
      <x:c r="U608" s="2"/>
      <x:c r="V608" s="2"/>
      <x:c r="W608" s="2"/>
      <x:c r="X608" s="3"/>
      <x:c r="Y608" s="3"/>
      <x:c r="Z608" s="2"/>
      <x:c r="AA608" s="2"/>
      <x:c r="AB608" s="2"/>
      <x:c r="AC608" s="2" t="s">
        <x:v>326</x:v>
      </x:c>
      <x:c r="AD608" s="2" t="s">
        <x:v>317</x:v>
      </x:c>
      <x:c r="AE608" s="2" t="s">
        <x:v>344</x:v>
      </x:c>
      <x:c r="AF608" s="2" t="s">
        <x:v>319</x:v>
      </x:c>
      <x:c r="AG608" s="2"/>
      <x:c r="AH608" s="2"/>
      <x:c r="AI608" s="4"/>
      <x:c r="AJ608" s="2"/>
      <x:c r="AK608" s="2" t="s">
        <x:v>320</x:v>
      </x:c>
      <x:c r="AL608" s="2" t="s">
        <x:v>1550</x:v>
      </x:c>
      <x:c r="AM608" s="2">
        <x:v>158</x:v>
      </x:c>
      <x:c r="AN608" s="2">
        <x:v>158</x:v>
      </x:c>
    </x:row>
    <x:row r="609" ht="26">
      <x:c r="A609" s="2" t="s">
        <x:v>91</x:v>
      </x:c>
      <x:c r="B609" s="2" t="s">
        <x:v>16</x:v>
      </x:c>
      <x:c r="C609" s="3">
        <x:v>157</x:v>
      </x:c>
      <x:c r="D609" s="2" t="s">
        <x:v>1984</x:v>
      </x:c>
      <x:c r="E609" s="2" t="s">
        <x:v>1933</x:v>
      </x:c>
      <x:c r="F609" s="2" t="s">
        <x:v>351</x:v>
      </x:c>
      <x:c r="G609" s="2" t="s">
        <x:v>158</x:v>
      </x:c>
      <x:c r="H609" s="2" t="s">
        <x:v>1912</x:v>
      </x:c>
      <x:c r="I609" s="2" t="s">
        <x:v>1981</x:v>
      </x:c>
      <x:c r="J609" s="2" t="s">
        <x:v>1913</x:v>
      </x:c>
      <x:c r="K609" s="2" t="n">
        <x:v>156</x:v>
      </x:c>
      <x:c r="L609" s="2" t="s">
        <x:v>1986</x:v>
      </x:c>
      <x:c r="M609" s="2"/>
      <x:c r="N609" s="2"/>
      <x:c r="O609" s="2" t="s">
        <x:v>1910</x:v>
      </x:c>
      <x:c r="P609" s="2" t="s">
        <x:v>1989</x:v>
      </x:c>
      <x:c r="Q609" s="2"/>
      <x:c r="R609" s="3">
        <x:v>3</x:v>
      </x:c>
      <x:c r="S609" s="3"/>
      <x:c r="T609" s="2"/>
      <x:c r="U609" s="2"/>
      <x:c r="V609" s="2"/>
      <x:c r="W609" s="2"/>
      <x:c r="X609" s="3"/>
      <x:c r="Y609" s="3"/>
      <x:c r="Z609" s="2"/>
      <x:c r="AA609" s="2"/>
      <x:c r="AB609" s="2"/>
      <x:c r="AC609" s="2" t="s">
        <x:v>316</x:v>
      </x:c>
      <x:c r="AD609" s="2" t="s">
        <x:v>344</x:v>
      </x:c>
      <x:c r="AE609" s="2" t="s">
        <x:v>317</x:v>
      </x:c>
      <x:c r="AF609" s="2" t="s">
        <x:v>319</x:v>
      </x:c>
      <x:c r="AG609" s="2"/>
      <x:c r="AH609" s="2"/>
      <x:c r="AI609" s="4"/>
      <x:c r="AJ609" s="2"/>
      <x:c r="AK609" s="2" t="s">
        <x:v>320</x:v>
      </x:c>
      <x:c r="AL609" s="2" t="s">
        <x:v>1550</x:v>
      </x:c>
      <x:c r="AM609" s="2">
        <x:v>159</x:v>
      </x:c>
      <x:c r="AN609" s="2">
        <x:v>159</x:v>
      </x:c>
    </x:row>
    <x:row r="610" ht="39">
      <x:c r="A610" s="2" t="s">
        <x:v>91</x:v>
      </x:c>
      <x:c r="B610" s="2" t="s">
        <x:v>16</x:v>
      </x:c>
      <x:c r="C610" s="3">
        <x:v>158</x:v>
      </x:c>
      <x:c r="D610" s="2" t="s">
        <x:v>1990</x:v>
      </x:c>
      <x:c r="E610" s="2" t="s">
        <x:v>1947</x:v>
      </x:c>
      <x:c r="F610" s="2" t="s">
        <x:v>1991</x:v>
      </x:c>
      <x:c r="G610" s="2" t="s">
        <x:v>158</x:v>
      </x:c>
      <x:c r="H610" s="2" t="s">
        <x:v>1912</x:v>
      </x:c>
      <x:c r="I610" s="2" t="s">
        <x:v>1992</x:v>
      </x:c>
      <x:c r="J610" s="2" t="s">
        <x:v>1913</x:v>
      </x:c>
      <x:c r="K610" s="2"/>
      <x:c r="L610" s="2" t="s">
        <x:v>1993</x:v>
      </x:c>
      <x:c r="M610" s="2"/>
      <x:c r="N610" s="2"/>
      <x:c r="O610" s="2" t="s">
        <x:v>1921</x:v>
      </x:c>
      <x:c r="P610" s="2" t="s">
        <x:v>1994</x:v>
      </x:c>
      <x:c r="Q610" s="2"/>
      <x:c r="R610" s="3">
        <x:v>4</x:v>
      </x:c>
      <x:c r="S610" s="3"/>
      <x:c r="T610" s="2"/>
      <x:c r="U610" s="2"/>
      <x:c r="V610" s="2"/>
      <x:c r="W610" s="2"/>
      <x:c r="X610" s="3"/>
      <x:c r="Y610" s="3"/>
      <x:c r="Z610" s="2"/>
      <x:c r="AA610" s="2"/>
      <x:c r="AB610" s="2"/>
      <x:c r="AC610" s="2" t="s">
        <x:v>316</x:v>
      </x:c>
      <x:c r="AD610" s="2" t="s">
        <x:v>368</x:v>
      </x:c>
      <x:c r="AE610" s="2" t="s">
        <x:v>318</x:v>
      </x:c>
      <x:c r="AF610" s="2" t="s">
        <x:v>319</x:v>
      </x:c>
      <x:c r="AG610" s="2"/>
      <x:c r="AH610" s="2"/>
      <x:c r="AI610" s="4"/>
      <x:c r="AJ610" s="2"/>
      <x:c r="AK610" s="2" t="s">
        <x:v>320</x:v>
      </x:c>
      <x:c r="AL610" s="2" t="s">
        <x:v>1550</x:v>
      </x:c>
      <x:c r="AM610" s="2">
        <x:v>160</x:v>
      </x:c>
      <x:c r="AN610" s="2">
        <x:v>160</x:v>
      </x:c>
    </x:row>
    <x:row r="611" ht="26">
      <x:c r="A611" s="2" t="s">
        <x:v>91</x:v>
      </x:c>
      <x:c r="B611" s="2" t="s">
        <x:v>16</x:v>
      </x:c>
      <x:c r="C611" s="3">
        <x:v>159</x:v>
      </x:c>
      <x:c r="D611" s="2" t="s">
        <x:v>1995</x:v>
      </x:c>
      <x:c r="E611" s="2" t="s">
        <x:v>1947</x:v>
      </x:c>
      <x:c r="F611" s="2" t="s">
        <x:v>1996</x:v>
      </x:c>
      <x:c r="G611" s="2" t="s">
        <x:v>158</x:v>
      </x:c>
      <x:c r="H611" s="2" t="s">
        <x:v>1912</x:v>
      </x:c>
      <x:c r="I611" s="2" t="s">
        <x:v>1992</x:v>
      </x:c>
      <x:c r="J611" s="2" t="s">
        <x:v>1913</x:v>
      </x:c>
      <x:c r="K611" s="2" t="n">
        <x:v>158</x:v>
      </x:c>
      <x:c r="L611" s="2" t="s">
        <x:v>1997</x:v>
      </x:c>
      <x:c r="M611" s="2"/>
      <x:c r="N611" s="2"/>
      <x:c r="O611" s="2" t="s">
        <x:v>1910</x:v>
      </x:c>
      <x:c r="P611" s="2" t="s">
        <x:v>1998</x:v>
      </x:c>
      <x:c r="Q611" s="2"/>
      <x:c r="R611" s="3">
        <x:v>4</x:v>
      </x:c>
      <x:c r="S611" s="3"/>
      <x:c r="T611" s="2"/>
      <x:c r="U611" s="2"/>
      <x:c r="V611" s="2"/>
      <x:c r="W611" s="2"/>
      <x:c r="X611" s="3"/>
      <x:c r="Y611" s="3"/>
      <x:c r="Z611" s="2"/>
      <x:c r="AA611" s="2"/>
      <x:c r="AB611" s="2"/>
      <x:c r="AC611" s="2" t="s">
        <x:v>326</x:v>
      </x:c>
      <x:c r="AD611" s="2" t="s">
        <x:v>318</x:v>
      </x:c>
      <x:c r="AE611" s="2" t="s">
        <x:v>368</x:v>
      </x:c>
      <x:c r="AF611" s="2" t="s">
        <x:v>319</x:v>
      </x:c>
      <x:c r="AG611" s="2"/>
      <x:c r="AH611" s="2"/>
      <x:c r="AI611" s="4"/>
      <x:c r="AJ611" s="2"/>
      <x:c r="AK611" s="2" t="s">
        <x:v>320</x:v>
      </x:c>
      <x:c r="AL611" s="2" t="s">
        <x:v>1550</x:v>
      </x:c>
      <x:c r="AM611" s="2">
        <x:v>161</x:v>
      </x:c>
      <x:c r="AN611" s="2">
        <x:v>161</x:v>
      </x:c>
    </x:row>
    <x:row r="612" ht="52">
      <x:c r="A612" s="2" t="s">
        <x:v>6</x:v>
      </x:c>
      <x:c r="B612" s="2" t="s">
        <x:v>16</x:v>
      </x:c>
      <x:c r="C612" s="3">
        <x:v>160</x:v>
      </x:c>
      <x:c r="D612" s="2" t="s">
        <x:v>1990</x:v>
      </x:c>
      <x:c r="E612" s="2" t="s">
        <x:v>1947</x:v>
      </x:c>
      <x:c r="F612" s="2" t="s">
        <x:v>1999</x:v>
      </x:c>
      <x:c r="G612" s="2"/>
      <x:c r="H612" s="2" t="s">
        <x:v>1077</x:v>
      </x:c>
      <x:c r="I612" s="2" t="s">
        <x:v>1992</x:v>
      </x:c>
      <x:c r="J612" s="2" t="s">
        <x:v>1904</x:v>
      </x:c>
      <x:c r="K612" s="2"/>
      <x:c r="L612" s="2" t="s">
        <x:v>1993</x:v>
      </x:c>
      <x:c r="M612" s="2"/>
      <x:c r="N612" s="2"/>
      <x:c r="O612" s="2" t="s">
        <x:v>1928</x:v>
      </x:c>
      <x:c r="P612" s="2" t="s">
        <x:v>2000</x:v>
      </x:c>
      <x:c r="Q612" s="2"/>
      <x:c r="R612" s="3">
        <x:v>4</x:v>
      </x:c>
      <x:c r="S612" s="3"/>
      <x:c r="T612" s="2"/>
      <x:c r="U612" s="2"/>
      <x:c r="V612" s="2"/>
      <x:c r="W612" s="2"/>
      <x:c r="X612" s="3"/>
      <x:c r="Y612" s="3"/>
      <x:c r="Z612" s="2"/>
      <x:c r="AA612" s="2"/>
      <x:c r="AB612" s="2"/>
      <x:c r="AC612" s="2" t="s">
        <x:v>316</x:v>
      </x:c>
      <x:c r="AD612" s="2" t="s">
        <x:v>368</x:v>
      </x:c>
      <x:c r="AE612" s="2" t="s">
        <x:v>318</x:v>
      </x:c>
      <x:c r="AF612" s="2" t="s">
        <x:v>319</x:v>
      </x:c>
      <x:c r="AG612" s="2"/>
      <x:c r="AH612" s="2"/>
      <x:c r="AI612" s="4"/>
      <x:c r="AJ612" s="2"/>
      <x:c r="AK612" s="2" t="s">
        <x:v>320</x:v>
      </x:c>
      <x:c r="AL612" s="2" t="s">
        <x:v>1550</x:v>
      </x:c>
      <x:c r="AM612" s="2">
        <x:v>162</x:v>
      </x:c>
      <x:c r="AN612" s="2">
        <x:v>162</x:v>
      </x:c>
    </x:row>
    <x:row r="613" ht="52">
      <x:c r="A613" s="2" t="s">
        <x:v>6</x:v>
      </x:c>
      <x:c r="B613" s="2" t="s">
        <x:v>16</x:v>
      </x:c>
      <x:c r="C613" s="3">
        <x:v>161</x:v>
      </x:c>
      <x:c r="D613" s="2" t="s">
        <x:v>1995</x:v>
      </x:c>
      <x:c r="E613" s="2" t="s">
        <x:v>1947</x:v>
      </x:c>
      <x:c r="F613" s="2" t="s">
        <x:v>2001</x:v>
      </x:c>
      <x:c r="G613" s="2"/>
      <x:c r="H613" s="2" t="s">
        <x:v>1077</x:v>
      </x:c>
      <x:c r="I613" s="2" t="s">
        <x:v>1992</x:v>
      </x:c>
      <x:c r="J613" s="2" t="s">
        <x:v>1904</x:v>
      </x:c>
      <x:c r="K613" s="2" t="n">
        <x:v>160</x:v>
      </x:c>
      <x:c r="L613" s="2" t="s">
        <x:v>1997</x:v>
      </x:c>
      <x:c r="M613" s="2"/>
      <x:c r="N613" s="2"/>
      <x:c r="O613" s="2" t="s">
        <x:v>1910</x:v>
      </x:c>
      <x:c r="P613" s="2" t="s">
        <x:v>2002</x:v>
      </x:c>
      <x:c r="Q613" s="2"/>
      <x:c r="R613" s="3">
        <x:v>4</x:v>
      </x:c>
      <x:c r="S613" s="3"/>
      <x:c r="T613" s="2"/>
      <x:c r="U613" s="2"/>
      <x:c r="V613" s="2"/>
      <x:c r="W613" s="2"/>
      <x:c r="X613" s="3"/>
      <x:c r="Y613" s="3"/>
      <x:c r="Z613" s="2"/>
      <x:c r="AA613" s="2"/>
      <x:c r="AB613" s="2"/>
      <x:c r="AC613" s="2" t="s">
        <x:v>326</x:v>
      </x:c>
      <x:c r="AD613" s="2" t="s">
        <x:v>318</x:v>
      </x:c>
      <x:c r="AE613" s="2" t="s">
        <x:v>368</x:v>
      </x:c>
      <x:c r="AF613" s="2" t="s">
        <x:v>319</x:v>
      </x:c>
      <x:c r="AG613" s="2"/>
      <x:c r="AH613" s="2"/>
      <x:c r="AI613" s="4"/>
      <x:c r="AJ613" s="2"/>
      <x:c r="AK613" s="2" t="s">
        <x:v>320</x:v>
      </x:c>
      <x:c r="AL613" s="2" t="s">
        <x:v>1550</x:v>
      </x:c>
      <x:c r="AM613" s="2">
        <x:v>163</x:v>
      </x:c>
      <x:c r="AN613" s="2">
        <x:v>163</x:v>
      </x:c>
    </x:row>
    <x:row r="614" ht="52">
      <x:c r="A614" s="2" t="s">
        <x:v>6</x:v>
      </x:c>
      <x:c r="B614" s="2" t="s">
        <x:v>16</x:v>
      </x:c>
      <x:c r="C614" s="3">
        <x:v>162</x:v>
      </x:c>
      <x:c r="D614" s="2" t="s">
        <x:v>2003</x:v>
      </x:c>
      <x:c r="E614" s="2" t="s">
        <x:v>1957</x:v>
      </x:c>
      <x:c r="F614" s="2" t="s">
        <x:v>2004</x:v>
      </x:c>
      <x:c r="G614" s="2"/>
      <x:c r="H614" s="2" t="s">
        <x:v>1077</x:v>
      </x:c>
      <x:c r="I614" s="2" t="s">
        <x:v>2005</x:v>
      </x:c>
      <x:c r="J614" s="2" t="s">
        <x:v>1904</x:v>
      </x:c>
      <x:c r="K614" s="2"/>
      <x:c r="L614" s="2" t="s">
        <x:v>2006</x:v>
      </x:c>
      <x:c r="M614" s="2"/>
      <x:c r="N614" s="2"/>
      <x:c r="O614" s="2" t="s">
        <x:v>1906</x:v>
      </x:c>
      <x:c r="P614" s="2" t="s">
        <x:v>2007</x:v>
      </x:c>
      <x:c r="Q614" s="2"/>
      <x:c r="R614" s="3">
        <x:v>3</x:v>
      </x:c>
      <x:c r="S614" s="3"/>
      <x:c r="T614" s="2"/>
      <x:c r="U614" s="2"/>
      <x:c r="V614" s="2"/>
      <x:c r="W614" s="2"/>
      <x:c r="X614" s="3"/>
      <x:c r="Y614" s="3"/>
      <x:c r="Z614" s="2"/>
      <x:c r="AA614" s="2"/>
      <x:c r="AB614" s="2"/>
      <x:c r="AC614" s="2" t="s">
        <x:v>326</x:v>
      </x:c>
      <x:c r="AD614" s="2" t="s">
        <x:v>368</x:v>
      </x:c>
      <x:c r="AE614" s="2" t="s">
        <x:v>344</x:v>
      </x:c>
      <x:c r="AF614" s="2" t="s">
        <x:v>319</x:v>
      </x:c>
      <x:c r="AG614" s="2"/>
      <x:c r="AH614" s="2"/>
      <x:c r="AI614" s="4"/>
      <x:c r="AJ614" s="2"/>
      <x:c r="AK614" s="2" t="s">
        <x:v>320</x:v>
      </x:c>
      <x:c r="AL614" s="2" t="s">
        <x:v>1550</x:v>
      </x:c>
      <x:c r="AM614" s="2">
        <x:v>164</x:v>
      </x:c>
      <x:c r="AN614" s="2">
        <x:v>164</x:v>
      </x:c>
    </x:row>
    <x:row r="615" ht="52">
      <x:c r="A615" s="2" t="s">
        <x:v>6</x:v>
      </x:c>
      <x:c r="B615" s="2" t="s">
        <x:v>16</x:v>
      </x:c>
      <x:c r="C615" s="3">
        <x:v>163</x:v>
      </x:c>
      <x:c r="D615" s="2" t="s">
        <x:v>2008</x:v>
      </x:c>
      <x:c r="E615" s="2" t="s">
        <x:v>1957</x:v>
      </x:c>
      <x:c r="F615" s="2" t="s">
        <x:v>2009</x:v>
      </x:c>
      <x:c r="G615" s="2"/>
      <x:c r="H615" s="2" t="s">
        <x:v>1077</x:v>
      </x:c>
      <x:c r="I615" s="2" t="s">
        <x:v>2005</x:v>
      </x:c>
      <x:c r="J615" s="2" t="s">
        <x:v>1904</x:v>
      </x:c>
      <x:c r="K615" s="2" t="n">
        <x:v>162</x:v>
      </x:c>
      <x:c r="L615" s="2" t="s">
        <x:v>2010</x:v>
      </x:c>
      <x:c r="M615" s="2"/>
      <x:c r="N615" s="2"/>
      <x:c r="O615" s="2" t="s">
        <x:v>1910</x:v>
      </x:c>
      <x:c r="P615" s="2" t="s">
        <x:v>2011</x:v>
      </x:c>
      <x:c r="Q615" s="2"/>
      <x:c r="R615" s="3">
        <x:v>3</x:v>
      </x:c>
      <x:c r="S615" s="3"/>
      <x:c r="T615" s="2"/>
      <x:c r="U615" s="2"/>
      <x:c r="V615" s="2"/>
      <x:c r="W615" s="2"/>
      <x:c r="X615" s="3"/>
      <x:c r="Y615" s="3"/>
      <x:c r="Z615" s="2"/>
      <x:c r="AA615" s="2"/>
      <x:c r="AB615" s="2"/>
      <x:c r="AC615" s="2" t="s">
        <x:v>316</x:v>
      </x:c>
      <x:c r="AD615" s="2" t="s">
        <x:v>344</x:v>
      </x:c>
      <x:c r="AE615" s="2" t="s">
        <x:v>368</x:v>
      </x:c>
      <x:c r="AF615" s="2" t="s">
        <x:v>319</x:v>
      </x:c>
      <x:c r="AG615" s="2"/>
      <x:c r="AH615" s="2"/>
      <x:c r="AI615" s="4"/>
      <x:c r="AJ615" s="2"/>
      <x:c r="AK615" s="2" t="s">
        <x:v>320</x:v>
      </x:c>
      <x:c r="AL615" s="2" t="s">
        <x:v>1550</x:v>
      </x:c>
      <x:c r="AM615" s="2">
        <x:v>165</x:v>
      </x:c>
      <x:c r="AN615" s="2">
        <x:v>165</x:v>
      </x:c>
    </x:row>
    <x:row r="616" ht="39">
      <x:c r="A616" s="2" t="s">
        <x:v>91</x:v>
      </x:c>
      <x:c r="B616" s="2" t="s">
        <x:v>16</x:v>
      </x:c>
      <x:c r="C616" s="3">
        <x:v>164</x:v>
      </x:c>
      <x:c r="D616" s="2" t="s">
        <x:v>2003</x:v>
      </x:c>
      <x:c r="E616" s="2" t="s">
        <x:v>1957</x:v>
      </x:c>
      <x:c r="F616" s="2" t="s">
        <x:v>2012</x:v>
      </x:c>
      <x:c r="G616" s="2" t="s">
        <x:v>158</x:v>
      </x:c>
      <x:c r="H616" s="2" t="s">
        <x:v>1912</x:v>
      </x:c>
      <x:c r="I616" s="2" t="s">
        <x:v>2005</x:v>
      </x:c>
      <x:c r="J616" s="2" t="s">
        <x:v>1913</x:v>
      </x:c>
      <x:c r="K616" s="2"/>
      <x:c r="L616" s="2" t="s">
        <x:v>2006</x:v>
      </x:c>
      <x:c r="M616" s="2"/>
      <x:c r="N616" s="2"/>
      <x:c r="O616" s="2" t="s">
        <x:v>1914</x:v>
      </x:c>
      <x:c r="P616" s="2" t="s">
        <x:v>2013</x:v>
      </x:c>
      <x:c r="Q616" s="2"/>
      <x:c r="R616" s="3">
        <x:v>3</x:v>
      </x:c>
      <x:c r="S616" s="3"/>
      <x:c r="T616" s="2"/>
      <x:c r="U616" s="2"/>
      <x:c r="V616" s="2"/>
      <x:c r="W616" s="2"/>
      <x:c r="X616" s="3"/>
      <x:c r="Y616" s="3"/>
      <x:c r="Z616" s="2"/>
      <x:c r="AA616" s="2"/>
      <x:c r="AB616" s="2"/>
      <x:c r="AC616" s="2" t="s">
        <x:v>326</x:v>
      </x:c>
      <x:c r="AD616" s="2" t="s">
        <x:v>368</x:v>
      </x:c>
      <x:c r="AE616" s="2" t="s">
        <x:v>344</x:v>
      </x:c>
      <x:c r="AF616" s="2" t="s">
        <x:v>319</x:v>
      </x:c>
      <x:c r="AG616" s="2"/>
      <x:c r="AH616" s="2"/>
      <x:c r="AI616" s="4"/>
      <x:c r="AJ616" s="2"/>
      <x:c r="AK616" s="2" t="s">
        <x:v>320</x:v>
      </x:c>
      <x:c r="AL616" s="2" t="s">
        <x:v>1550</x:v>
      </x:c>
      <x:c r="AM616" s="2">
        <x:v>166</x:v>
      </x:c>
      <x:c r="AN616" s="2">
        <x:v>166</x:v>
      </x:c>
    </x:row>
    <x:row r="617" ht="26">
      <x:c r="A617" s="2" t="s">
        <x:v>91</x:v>
      </x:c>
      <x:c r="B617" s="2" t="s">
        <x:v>16</x:v>
      </x:c>
      <x:c r="C617" s="3">
        <x:v>165</x:v>
      </x:c>
      <x:c r="D617" s="2" t="s">
        <x:v>2008</x:v>
      </x:c>
      <x:c r="E617" s="2" t="s">
        <x:v>1957</x:v>
      </x:c>
      <x:c r="F617" s="2" t="s">
        <x:v>2014</x:v>
      </x:c>
      <x:c r="G617" s="2" t="s">
        <x:v>158</x:v>
      </x:c>
      <x:c r="H617" s="2" t="s">
        <x:v>1912</x:v>
      </x:c>
      <x:c r="I617" s="2" t="s">
        <x:v>2005</x:v>
      </x:c>
      <x:c r="J617" s="2" t="s">
        <x:v>1913</x:v>
      </x:c>
      <x:c r="K617" s="2" t="n">
        <x:v>164</x:v>
      </x:c>
      <x:c r="L617" s="2" t="s">
        <x:v>2010</x:v>
      </x:c>
      <x:c r="M617" s="2"/>
      <x:c r="N617" s="2"/>
      <x:c r="O617" s="2" t="s">
        <x:v>1910</x:v>
      </x:c>
      <x:c r="P617" s="2" t="s">
        <x:v>2015</x:v>
      </x:c>
      <x:c r="Q617" s="2"/>
      <x:c r="R617" s="3">
        <x:v>3</x:v>
      </x:c>
      <x:c r="S617" s="3"/>
      <x:c r="T617" s="2"/>
      <x:c r="U617" s="2"/>
      <x:c r="V617" s="2"/>
      <x:c r="W617" s="2"/>
      <x:c r="X617" s="3"/>
      <x:c r="Y617" s="3"/>
      <x:c r="Z617" s="2"/>
      <x:c r="AA617" s="2"/>
      <x:c r="AB617" s="2"/>
      <x:c r="AC617" s="2" t="s">
        <x:v>316</x:v>
      </x:c>
      <x:c r="AD617" s="2" t="s">
        <x:v>344</x:v>
      </x:c>
      <x:c r="AE617" s="2" t="s">
        <x:v>368</x:v>
      </x:c>
      <x:c r="AF617" s="2" t="s">
        <x:v>319</x:v>
      </x:c>
      <x:c r="AG617" s="2"/>
      <x:c r="AH617" s="2"/>
      <x:c r="AI617" s="4"/>
      <x:c r="AJ617" s="2"/>
      <x:c r="AK617" s="2" t="s">
        <x:v>320</x:v>
      </x:c>
      <x:c r="AL617" s="2" t="s">
        <x:v>1550</x:v>
      </x:c>
      <x:c r="AM617" s="2">
        <x:v>167</x:v>
      </x:c>
      <x:c r="AN617" s="2">
        <x:v>167</x:v>
      </x:c>
    </x:row>
    <x:row r="618" ht="39">
      <x:c r="A618" s="2" t="s">
        <x:v>91</x:v>
      </x:c>
      <x:c r="B618" s="2" t="s">
        <x:v>16</x:v>
      </x:c>
      <x:c r="C618" s="3">
        <x:v>166</x:v>
      </x:c>
      <x:c r="D618" s="2" t="s">
        <x:v>2016</x:v>
      </x:c>
      <x:c r="E618" s="2" t="s">
        <x:v>1555</x:v>
      </x:c>
      <x:c r="F618" s="2" t="s">
        <x:v>1586</x:v>
      </x:c>
      <x:c r="G618" s="2" t="s">
        <x:v>2017</x:v>
      </x:c>
      <x:c r="H618" s="2" t="s">
        <x:v>1912</x:v>
      </x:c>
      <x:c r="I618" s="2" t="s">
        <x:v>2018</x:v>
      </x:c>
      <x:c r="J618" s="2" t="s">
        <x:v>1913</x:v>
      </x:c>
      <x:c r="K618" s="2"/>
      <x:c r="L618" s="2" t="s">
        <x:v>2019</x:v>
      </x:c>
      <x:c r="M618" s="2"/>
      <x:c r="N618" s="2"/>
      <x:c r="O618" s="2" t="s">
        <x:v>1921</x:v>
      </x:c>
      <x:c r="P618" s="2" t="s">
        <x:v>2020</x:v>
      </x:c>
      <x:c r="Q618" s="2"/>
      <x:c r="R618" s="3">
        <x:v>4</x:v>
      </x:c>
      <x:c r="S618" s="3"/>
      <x:c r="T618" s="2"/>
      <x:c r="U618" s="2"/>
      <x:c r="V618" s="2"/>
      <x:c r="W618" s="2"/>
      <x:c r="X618" s="3"/>
      <x:c r="Y618" s="3"/>
      <x:c r="Z618" s="2"/>
      <x:c r="AA618" s="2"/>
      <x:c r="AB618" s="2"/>
      <x:c r="AC618" s="2" t="s">
        <x:v>316</x:v>
      </x:c>
      <x:c r="AD618" s="2" t="s">
        <x:v>368</x:v>
      </x:c>
      <x:c r="AE618" s="2" t="s">
        <x:v>344</x:v>
      </x:c>
      <x:c r="AF618" s="2" t="s">
        <x:v>319</x:v>
      </x:c>
      <x:c r="AG618" s="2"/>
      <x:c r="AH618" s="2"/>
      <x:c r="AI618" s="4"/>
      <x:c r="AJ618" s="2"/>
      <x:c r="AK618" s="2" t="s">
        <x:v>320</x:v>
      </x:c>
      <x:c r="AL618" s="2" t="s">
        <x:v>1550</x:v>
      </x:c>
      <x:c r="AM618" s="2">
        <x:v>168</x:v>
      </x:c>
      <x:c r="AN618" s="2">
        <x:v>168</x:v>
      </x:c>
    </x:row>
    <x:row r="619" ht="26">
      <x:c r="A619" s="2" t="s">
        <x:v>91</x:v>
      </x:c>
      <x:c r="B619" s="2" t="s">
        <x:v>16</x:v>
      </x:c>
      <x:c r="C619" s="3">
        <x:v>167</x:v>
      </x:c>
      <x:c r="D619" s="2" t="s">
        <x:v>2021</x:v>
      </x:c>
      <x:c r="E619" s="2" t="s">
        <x:v>1555</x:v>
      </x:c>
      <x:c r="F619" s="2" t="s">
        <x:v>1590</x:v>
      </x:c>
      <x:c r="G619" s="2"/>
      <x:c r="H619" s="2" t="s">
        <x:v>1912</x:v>
      </x:c>
      <x:c r="I619" s="2" t="s">
        <x:v>2018</x:v>
      </x:c>
      <x:c r="J619" s="2" t="s">
        <x:v>1913</x:v>
      </x:c>
      <x:c r="K619" s="2" t="n">
        <x:v>166</x:v>
      </x:c>
      <x:c r="L619" s="2" t="s">
        <x:v>2022</x:v>
      </x:c>
      <x:c r="M619" s="2"/>
      <x:c r="N619" s="2"/>
      <x:c r="O619" s="2" t="s">
        <x:v>1910</x:v>
      </x:c>
      <x:c r="P619" s="2" t="s">
        <x:v>2023</x:v>
      </x:c>
      <x:c r="Q619" s="2"/>
      <x:c r="R619" s="3">
        <x:v>4</x:v>
      </x:c>
      <x:c r="S619" s="3"/>
      <x:c r="T619" s="2"/>
      <x:c r="U619" s="2"/>
      <x:c r="V619" s="2"/>
      <x:c r="W619" s="2"/>
      <x:c r="X619" s="3"/>
      <x:c r="Y619" s="3"/>
      <x:c r="Z619" s="2"/>
      <x:c r="AA619" s="2"/>
      <x:c r="AB619" s="2"/>
      <x:c r="AC619" s="2" t="s">
        <x:v>326</x:v>
      </x:c>
      <x:c r="AD619" s="2" t="s">
        <x:v>344</x:v>
      </x:c>
      <x:c r="AE619" s="2" t="s">
        <x:v>368</x:v>
      </x:c>
      <x:c r="AF619" s="2" t="s">
        <x:v>319</x:v>
      </x:c>
      <x:c r="AG619" s="2"/>
      <x:c r="AH619" s="2"/>
      <x:c r="AI619" s="4"/>
      <x:c r="AJ619" s="2"/>
      <x:c r="AK619" s="2" t="s">
        <x:v>320</x:v>
      </x:c>
      <x:c r="AL619" s="2" t="s">
        <x:v>1550</x:v>
      </x:c>
      <x:c r="AM619" s="2">
        <x:v>169</x:v>
      </x:c>
      <x:c r="AN619" s="2">
        <x:v>169</x:v>
      </x:c>
    </x:row>
    <x:row r="620" ht="52">
      <x:c r="A620" s="2" t="s">
        <x:v>6</x:v>
      </x:c>
      <x:c r="B620" s="2" t="s">
        <x:v>16</x:v>
      </x:c>
      <x:c r="C620" s="3">
        <x:v>168</x:v>
      </x:c>
      <x:c r="D620" s="2" t="s">
        <x:v>2016</x:v>
      </x:c>
      <x:c r="E620" s="2" t="s">
        <x:v>1555</x:v>
      </x:c>
      <x:c r="F620" s="2" t="s">
        <x:v>2024</x:v>
      </x:c>
      <x:c r="G620" s="2"/>
      <x:c r="H620" s="2" t="s">
        <x:v>1077</x:v>
      </x:c>
      <x:c r="I620" s="2" t="s">
        <x:v>2018</x:v>
      </x:c>
      <x:c r="J620" s="2" t="s">
        <x:v>1904</x:v>
      </x:c>
      <x:c r="K620" s="2"/>
      <x:c r="L620" s="2" t="s">
        <x:v>2019</x:v>
      </x:c>
      <x:c r="M620" s="2"/>
      <x:c r="N620" s="2"/>
      <x:c r="O620" s="2" t="s">
        <x:v>1928</x:v>
      </x:c>
      <x:c r="P620" s="2" t="s">
        <x:v>2025</x:v>
      </x:c>
      <x:c r="Q620" s="2"/>
      <x:c r="R620" s="3">
        <x:v>4</x:v>
      </x:c>
      <x:c r="S620" s="3"/>
      <x:c r="T620" s="2"/>
      <x:c r="U620" s="2"/>
      <x:c r="V620" s="2"/>
      <x:c r="W620" s="2"/>
      <x:c r="X620" s="3"/>
      <x:c r="Y620" s="3"/>
      <x:c r="Z620" s="2"/>
      <x:c r="AA620" s="2"/>
      <x:c r="AB620" s="2"/>
      <x:c r="AC620" s="2" t="s">
        <x:v>316</x:v>
      </x:c>
      <x:c r="AD620" s="2" t="s">
        <x:v>368</x:v>
      </x:c>
      <x:c r="AE620" s="2" t="s">
        <x:v>344</x:v>
      </x:c>
      <x:c r="AF620" s="2" t="s">
        <x:v>319</x:v>
      </x:c>
      <x:c r="AG620" s="2"/>
      <x:c r="AH620" s="2"/>
      <x:c r="AI620" s="4"/>
      <x:c r="AJ620" s="2"/>
      <x:c r="AK620" s="2" t="s">
        <x:v>320</x:v>
      </x:c>
      <x:c r="AL620" s="2" t="s">
        <x:v>1550</x:v>
      </x:c>
      <x:c r="AM620" s="2">
        <x:v>170</x:v>
      </x:c>
      <x:c r="AN620" s="2">
        <x:v>170</x:v>
      </x:c>
    </x:row>
    <x:row r="621" ht="52">
      <x:c r="A621" s="2" t="s">
        <x:v>6</x:v>
      </x:c>
      <x:c r="B621" s="2" t="s">
        <x:v>16</x:v>
      </x:c>
      <x:c r="C621" s="3">
        <x:v>169</x:v>
      </x:c>
      <x:c r="D621" s="2" t="s">
        <x:v>2021</x:v>
      </x:c>
      <x:c r="E621" s="2" t="s">
        <x:v>1555</x:v>
      </x:c>
      <x:c r="F621" s="2" t="s">
        <x:v>2026</x:v>
      </x:c>
      <x:c r="G621" s="2"/>
      <x:c r="H621" s="2" t="s">
        <x:v>1077</x:v>
      </x:c>
      <x:c r="I621" s="2" t="s">
        <x:v>2018</x:v>
      </x:c>
      <x:c r="J621" s="2" t="s">
        <x:v>1904</x:v>
      </x:c>
      <x:c r="K621" s="2" t="n">
        <x:v>168</x:v>
      </x:c>
      <x:c r="L621" s="2" t="s">
        <x:v>2022</x:v>
      </x:c>
      <x:c r="M621" s="2"/>
      <x:c r="N621" s="2"/>
      <x:c r="O621" s="2" t="s">
        <x:v>1910</x:v>
      </x:c>
      <x:c r="P621" s="2" t="s">
        <x:v>2027</x:v>
      </x:c>
      <x:c r="Q621" s="2"/>
      <x:c r="R621" s="3">
        <x:v>4</x:v>
      </x:c>
      <x:c r="S621" s="3"/>
      <x:c r="T621" s="2"/>
      <x:c r="U621" s="2"/>
      <x:c r="V621" s="2"/>
      <x:c r="W621" s="2"/>
      <x:c r="X621" s="3"/>
      <x:c r="Y621" s="3"/>
      <x:c r="Z621" s="2"/>
      <x:c r="AA621" s="2"/>
      <x:c r="AB621" s="2"/>
      <x:c r="AC621" s="2" t="s">
        <x:v>326</x:v>
      </x:c>
      <x:c r="AD621" s="2" t="s">
        <x:v>344</x:v>
      </x:c>
      <x:c r="AE621" s="2" t="s">
        <x:v>368</x:v>
      </x:c>
      <x:c r="AF621" s="2" t="s">
        <x:v>319</x:v>
      </x:c>
      <x:c r="AG621" s="2"/>
      <x:c r="AH621" s="2"/>
      <x:c r="AI621" s="4"/>
      <x:c r="AJ621" s="2"/>
      <x:c r="AK621" s="2" t="s">
        <x:v>320</x:v>
      </x:c>
      <x:c r="AL621" s="2" t="s">
        <x:v>1550</x:v>
      </x:c>
      <x:c r="AM621" s="2">
        <x:v>171</x:v>
      </x:c>
      <x:c r="AN621" s="2">
        <x:v>171</x:v>
      </x:c>
    </x:row>
    <x:row r="622" ht="52">
      <x:c r="A622" s="2" t="s">
        <x:v>6</x:v>
      </x:c>
      <x:c r="B622" s="2" t="s">
        <x:v>17</x:v>
      </x:c>
      <x:c r="C622" s="3">
        <x:v>0</x:v>
      </x:c>
      <x:c r="D622" s="2" t="s">
        <x:v>384</x:v>
      </x:c>
      <x:c r="E622" s="2" t="s">
        <x:v>385</x:v>
      </x:c>
      <x:c r="F622" s="2" t="s">
        <x:v>386</x:v>
      </x:c>
      <x:c r="G622" s="2"/>
      <x:c r="H622" s="2" t="s">
        <x:v>96</x:v>
      </x:c>
      <x:c r="I622" s="2" t="s">
        <x:v>388</x:v>
      </x:c>
      <x:c r="J622" s="2" t="s">
        <x:v>389</x:v>
      </x:c>
      <x:c r="K622" s="2"/>
      <x:c r="L622" s="2" t="s">
        <x:v>390</x:v>
      </x:c>
      <x:c r="M622" s="2" t="s">
        <x:v>391</x:v>
      </x:c>
      <x:c r="N622" s="2">
        <x:v>1</x:v>
      </x:c>
      <x:c r="O622" s="2" t="s">
        <x:v>392</x:v>
      </x:c>
      <x:c r="P622" s="2" t="s">
        <x:v>393</x:v>
      </x:c>
      <x:c r="Q622" s="2"/>
      <x:c r="R622" s="3">
        <x:v>4</x:v>
      </x:c>
      <x:c r="S622" s="3">
        <x:v>1</x:v>
      </x:c>
      <x:c r="T622" s="2" t="s">
        <x:v>103</x:v>
      </x:c>
      <x:c r="U622" s="2"/>
      <x:c r="V622" s="2"/>
      <x:c r="W622" s="2"/>
      <x:c r="X622" s="3"/>
      <x:c r="Y622" s="3"/>
      <x:c r="Z622" s="2"/>
      <x:c r="AA622" s="2"/>
      <x:c r="AB622" s="2" t="s">
        <x:v>394</x:v>
      </x:c>
      <x:c r="AC622" s="2"/>
      <x:c r="AD622" s="2"/>
      <x:c r="AE622" s="2"/>
      <x:c r="AF622" s="2"/>
      <x:c r="AG622" s="2" t="s">
        <x:v>395</x:v>
      </x:c>
      <x:c r="AH622" s="2"/>
      <x:c r="AI622" s="4"/>
      <x:c r="AJ622" s="2"/>
      <x:c r="AK622" s="2" t="s">
        <x:v>396</x:v>
      </x:c>
      <x:c r="AL622" s="2" t="s">
        <x:v>1550</x:v>
      </x:c>
      <x:c r="AM622" s="2">
        <x:v>2</x:v>
      </x:c>
      <x:c r="AN622" s="2">
        <x:v>2</x:v>
      </x:c>
    </x:row>
    <x:row r="623" ht="52">
      <x:c r="A623" s="2" t="s">
        <x:v>91</x:v>
      </x:c>
      <x:c r="B623" s="2" t="s">
        <x:v>17</x:v>
      </x:c>
      <x:c r="C623" s="3">
        <x:v>1</x:v>
      </x:c>
      <x:c r="D623" s="2" t="s">
        <x:v>397</x:v>
      </x:c>
      <x:c r="E623" s="2" t="s">
        <x:v>398</x:v>
      </x:c>
      <x:c r="F623" s="2" t="s">
        <x:v>386</x:v>
      </x:c>
      <x:c r="G623" s="2" t="s">
        <x:v>2028</x:v>
      </x:c>
      <x:c r="H623" s="2" t="s">
        <x:v>96</x:v>
      </x:c>
      <x:c r="I623" s="2" t="s">
        <x:v>400</x:v>
      </x:c>
      <x:c r="J623" s="2" t="s">
        <x:v>389</x:v>
      </x:c>
      <x:c r="K623" s="2"/>
      <x:c r="L623" s="2" t="s">
        <x:v>401</x:v>
      </x:c>
      <x:c r="M623" s="2" t="s">
        <x:v>391</x:v>
      </x:c>
      <x:c r="N623" s="2">
        <x:v>1</x:v>
      </x:c>
      <x:c r="O623" s="2" t="s">
        <x:v>402</x:v>
      </x:c>
      <x:c r="P623" s="2" t="s">
        <x:v>393</x:v>
      </x:c>
      <x:c r="Q623" s="2"/>
      <x:c r="R623" s="3">
        <x:v>5</x:v>
      </x:c>
      <x:c r="S623" s="3">
        <x:v>1</x:v>
      </x:c>
      <x:c r="T623" s="2" t="s">
        <x:v>103</x:v>
      </x:c>
      <x:c r="U623" s="2"/>
      <x:c r="V623" s="2"/>
      <x:c r="W623" s="2"/>
      <x:c r="X623" s="3"/>
      <x:c r="Y623" s="3"/>
      <x:c r="Z623" s="2"/>
      <x:c r="AA623" s="2"/>
      <x:c r="AB623" s="2" t="s">
        <x:v>394</x:v>
      </x:c>
      <x:c r="AC623" s="2"/>
      <x:c r="AD623" s="2"/>
      <x:c r="AE623" s="2"/>
      <x:c r="AF623" s="2"/>
      <x:c r="AG623" s="2" t="s">
        <x:v>395</x:v>
      </x:c>
      <x:c r="AH623" s="2"/>
      <x:c r="AI623" s="4"/>
      <x:c r="AJ623" s="2"/>
      <x:c r="AK623" s="2" t="s">
        <x:v>396</x:v>
      </x:c>
      <x:c r="AL623" s="2" t="s">
        <x:v>1550</x:v>
      </x:c>
      <x:c r="AM623" s="2">
        <x:v>3</x:v>
      </x:c>
      <x:c r="AN623" s="2">
        <x:v>3</x:v>
      </x:c>
    </x:row>
    <x:row r="624" ht="52">
      <x:c r="A624" s="2" t="s">
        <x:v>6</x:v>
      </x:c>
      <x:c r="B624" s="2" t="s">
        <x:v>17</x:v>
      </x:c>
      <x:c r="C624" s="3">
        <x:v>2</x:v>
      </x:c>
      <x:c r="D624" s="2" t="s">
        <x:v>403</x:v>
      </x:c>
      <x:c r="E624" s="2" t="s">
        <x:v>404</x:v>
      </x:c>
      <x:c r="F624" s="2" t="s">
        <x:v>386</x:v>
      </x:c>
      <x:c r="G624" s="2"/>
      <x:c r="H624" s="2" t="s">
        <x:v>96</x:v>
      </x:c>
      <x:c r="I624" s="2" t="s">
        <x:v>406</x:v>
      </x:c>
      <x:c r="J624" s="2" t="s">
        <x:v>389</x:v>
      </x:c>
      <x:c r="K624" s="2"/>
      <x:c r="L624" s="2" t="s">
        <x:v>407</x:v>
      </x:c>
      <x:c r="M624" s="2" t="s">
        <x:v>391</x:v>
      </x:c>
      <x:c r="N624" s="2">
        <x:v>1</x:v>
      </x:c>
      <x:c r="O624" s="2" t="s">
        <x:v>392</x:v>
      </x:c>
      <x:c r="P624" s="2" t="s">
        <x:v>393</x:v>
      </x:c>
      <x:c r="Q624" s="2"/>
      <x:c r="R624" s="3">
        <x:v>4</x:v>
      </x:c>
      <x:c r="S624" s="3">
        <x:v>1</x:v>
      </x:c>
      <x:c r="T624" s="2" t="s">
        <x:v>103</x:v>
      </x:c>
      <x:c r="U624" s="2"/>
      <x:c r="V624" s="2"/>
      <x:c r="W624" s="2"/>
      <x:c r="X624" s="3"/>
      <x:c r="Y624" s="3"/>
      <x:c r="Z624" s="2"/>
      <x:c r="AA624" s="2"/>
      <x:c r="AB624" s="2" t="s">
        <x:v>394</x:v>
      </x:c>
      <x:c r="AC624" s="2"/>
      <x:c r="AD624" s="2"/>
      <x:c r="AE624" s="2"/>
      <x:c r="AF624" s="2"/>
      <x:c r="AG624" s="2" t="s">
        <x:v>395</x:v>
      </x:c>
      <x:c r="AH624" s="2"/>
      <x:c r="AI624" s="4"/>
      <x:c r="AJ624" s="2"/>
      <x:c r="AK624" s="2" t="s">
        <x:v>396</x:v>
      </x:c>
      <x:c r="AL624" s="2" t="s">
        <x:v>1550</x:v>
      </x:c>
      <x:c r="AM624" s="2">
        <x:v>4</x:v>
      </x:c>
      <x:c r="AN624" s="2">
        <x:v>4</x:v>
      </x:c>
    </x:row>
    <x:row r="625" ht="52">
      <x:c r="A625" s="2" t="s">
        <x:v>6</x:v>
      </x:c>
      <x:c r="B625" s="2" t="s">
        <x:v>17</x:v>
      </x:c>
      <x:c r="C625" s="3">
        <x:v>3</x:v>
      </x:c>
      <x:c r="D625" s="2" t="s">
        <x:v>408</x:v>
      </x:c>
      <x:c r="E625" s="2" t="s">
        <x:v>409</x:v>
      </x:c>
      <x:c r="F625" s="2" t="s">
        <x:v>410</x:v>
      </x:c>
      <x:c r="G625" s="2"/>
      <x:c r="H625" s="2" t="s">
        <x:v>96</x:v>
      </x:c>
      <x:c r="I625" s="2" t="s">
        <x:v>412</x:v>
      </x:c>
      <x:c r="J625" s="2" t="s">
        <x:v>389</x:v>
      </x:c>
      <x:c r="K625" s="2"/>
      <x:c r="L625" s="2" t="s">
        <x:v>413</x:v>
      </x:c>
      <x:c r="M625" s="2" t="s">
        <x:v>391</x:v>
      </x:c>
      <x:c r="N625" s="2">
        <x:v>1</x:v>
      </x:c>
      <x:c r="O625" s="2" t="s">
        <x:v>414</x:v>
      </x:c>
      <x:c r="P625" s="2" t="s">
        <x:v>393</x:v>
      </x:c>
      <x:c r="Q625" s="2"/>
      <x:c r="R625" s="3">
        <x:v>3</x:v>
      </x:c>
      <x:c r="S625" s="3">
        <x:v>1</x:v>
      </x:c>
      <x:c r="T625" s="2" t="s">
        <x:v>103</x:v>
      </x:c>
      <x:c r="U625" s="2"/>
      <x:c r="V625" s="2"/>
      <x:c r="W625" s="2"/>
      <x:c r="X625" s="3"/>
      <x:c r="Y625" s="3"/>
      <x:c r="Z625" s="2"/>
      <x:c r="AA625" s="2"/>
      <x:c r="AB625" s="2" t="s">
        <x:v>415</x:v>
      </x:c>
      <x:c r="AC625" s="2"/>
      <x:c r="AD625" s="2"/>
      <x:c r="AE625" s="2"/>
      <x:c r="AF625" s="2"/>
      <x:c r="AG625" s="2" t="s">
        <x:v>395</x:v>
      </x:c>
      <x:c r="AH625" s="2"/>
      <x:c r="AI625" s="4"/>
      <x:c r="AJ625" s="2"/>
      <x:c r="AK625" s="2" t="s">
        <x:v>396</x:v>
      </x:c>
      <x:c r="AL625" s="2" t="s">
        <x:v>1550</x:v>
      </x:c>
      <x:c r="AM625" s="2">
        <x:v>5</x:v>
      </x:c>
      <x:c r="AN625" s="2">
        <x:v>5</x:v>
      </x:c>
    </x:row>
    <x:row r="626" ht="52">
      <x:c r="A626" s="2" t="s">
        <x:v>91</x:v>
      </x:c>
      <x:c r="B626" s="2" t="s">
        <x:v>17</x:v>
      </x:c>
      <x:c r="C626" s="3">
        <x:v>4</x:v>
      </x:c>
      <x:c r="D626" s="2" t="s">
        <x:v>416</x:v>
      </x:c>
      <x:c r="E626" s="2" t="s">
        <x:v>417</x:v>
      </x:c>
      <x:c r="F626" s="2" t="s">
        <x:v>386</x:v>
      </x:c>
      <x:c r="G626" s="2" t="s">
        <x:v>2029</x:v>
      </x:c>
      <x:c r="H626" s="2" t="s">
        <x:v>96</x:v>
      </x:c>
      <x:c r="I626" s="2" t="s">
        <x:v>419</x:v>
      </x:c>
      <x:c r="J626" s="2" t="s">
        <x:v>389</x:v>
      </x:c>
      <x:c r="K626" s="2"/>
      <x:c r="L626" s="2" t="s">
        <x:v>420</x:v>
      </x:c>
      <x:c r="M626" s="2" t="s">
        <x:v>391</x:v>
      </x:c>
      <x:c r="N626" s="2">
        <x:v>1</x:v>
      </x:c>
      <x:c r="O626" s="2" t="s">
        <x:v>392</x:v>
      </x:c>
      <x:c r="P626" s="2" t="s">
        <x:v>393</x:v>
      </x:c>
      <x:c r="Q626" s="2"/>
      <x:c r="R626" s="3">
        <x:v>4</x:v>
      </x:c>
      <x:c r="S626" s="3">
        <x:v>1</x:v>
      </x:c>
      <x:c r="T626" s="2" t="s">
        <x:v>103</x:v>
      </x:c>
      <x:c r="U626" s="2"/>
      <x:c r="V626" s="2"/>
      <x:c r="W626" s="2"/>
      <x:c r="X626" s="3"/>
      <x:c r="Y626" s="3"/>
      <x:c r="Z626" s="2"/>
      <x:c r="AA626" s="2"/>
      <x:c r="AB626" s="2" t="s">
        <x:v>415</x:v>
      </x:c>
      <x:c r="AC626" s="2"/>
      <x:c r="AD626" s="2"/>
      <x:c r="AE626" s="2"/>
      <x:c r="AF626" s="2"/>
      <x:c r="AG626" s="2" t="s">
        <x:v>395</x:v>
      </x:c>
      <x:c r="AH626" s="2"/>
      <x:c r="AI626" s="4"/>
      <x:c r="AJ626" s="2"/>
      <x:c r="AK626" s="2" t="s">
        <x:v>396</x:v>
      </x:c>
      <x:c r="AL626" s="2" t="s">
        <x:v>1550</x:v>
      </x:c>
      <x:c r="AM626" s="2">
        <x:v>6</x:v>
      </x:c>
      <x:c r="AN626" s="2">
        <x:v>6</x:v>
      </x:c>
    </x:row>
    <x:row r="627" ht="65">
      <x:c r="A627" s="2" t="s">
        <x:v>91</x:v>
      </x:c>
      <x:c r="B627" s="2" t="s">
        <x:v>17</x:v>
      </x:c>
      <x:c r="C627" s="3">
        <x:v>5</x:v>
      </x:c>
      <x:c r="D627" s="2" t="s">
        <x:v>421</x:v>
      </x:c>
      <x:c r="E627" s="2" t="s">
        <x:v>422</x:v>
      </x:c>
      <x:c r="F627" s="2" t="s">
        <x:v>423</x:v>
      </x:c>
      <x:c r="G627" s="2" t="s">
        <x:v>2030</x:v>
      </x:c>
      <x:c r="H627" s="2" t="s">
        <x:v>96</x:v>
      </x:c>
      <x:c r="I627" s="2" t="s">
        <x:v>425</x:v>
      </x:c>
      <x:c r="J627" s="2" t="s">
        <x:v>389</x:v>
      </x:c>
      <x:c r="K627" s="2"/>
      <x:c r="L627" s="2" t="s">
        <x:v>426</x:v>
      </x:c>
      <x:c r="M627" s="2" t="s">
        <x:v>391</x:v>
      </x:c>
      <x:c r="N627" s="2">
        <x:v>1</x:v>
      </x:c>
      <x:c r="O627" s="2" t="s">
        <x:v>414</x:v>
      </x:c>
      <x:c r="P627" s="2" t="s">
        <x:v>393</x:v>
      </x:c>
      <x:c r="Q627" s="2"/>
      <x:c r="R627" s="3">
        <x:v>3</x:v>
      </x:c>
      <x:c r="S627" s="3">
        <x:v>1</x:v>
      </x:c>
      <x:c r="T627" s="2" t="s">
        <x:v>103</x:v>
      </x:c>
      <x:c r="U627" s="2"/>
      <x:c r="V627" s="2"/>
      <x:c r="W627" s="2"/>
      <x:c r="X627" s="3"/>
      <x:c r="Y627" s="3"/>
      <x:c r="Z627" s="2"/>
      <x:c r="AA627" s="2"/>
      <x:c r="AB627" s="2" t="s">
        <x:v>427</x:v>
      </x:c>
      <x:c r="AC627" s="2"/>
      <x:c r="AD627" s="2"/>
      <x:c r="AE627" s="2"/>
      <x:c r="AF627" s="2"/>
      <x:c r="AG627" s="2" t="s">
        <x:v>428</x:v>
      </x:c>
      <x:c r="AH627" s="2"/>
      <x:c r="AI627" s="4"/>
      <x:c r="AJ627" s="2"/>
      <x:c r="AK627" s="2" t="s">
        <x:v>396</x:v>
      </x:c>
      <x:c r="AL627" s="2" t="s">
        <x:v>1550</x:v>
      </x:c>
      <x:c r="AM627" s="2">
        <x:v>7</x:v>
      </x:c>
      <x:c r="AN627" s="2">
        <x:v>7</x:v>
      </x:c>
    </x:row>
    <x:row r="628" ht="52">
      <x:c r="A628" s="2" t="s">
        <x:v>6</x:v>
      </x:c>
      <x:c r="B628" s="2" t="s">
        <x:v>17</x:v>
      </x:c>
      <x:c r="C628" s="3">
        <x:v>6</x:v>
      </x:c>
      <x:c r="D628" s="2" t="s">
        <x:v>429</x:v>
      </x:c>
      <x:c r="E628" s="2" t="s">
        <x:v>430</x:v>
      </x:c>
      <x:c r="F628" s="2" t="s">
        <x:v>431</x:v>
      </x:c>
      <x:c r="G628" s="2"/>
      <x:c r="H628" s="2" t="s">
        <x:v>96</x:v>
      </x:c>
      <x:c r="I628" s="2" t="s">
        <x:v>433</x:v>
      </x:c>
      <x:c r="J628" s="2" t="s">
        <x:v>389</x:v>
      </x:c>
      <x:c r="K628" s="2"/>
      <x:c r="L628" s="2" t="s">
        <x:v>434</x:v>
      </x:c>
      <x:c r="M628" s="2" t="s">
        <x:v>391</x:v>
      </x:c>
      <x:c r="N628" s="2">
        <x:v>1</x:v>
      </x:c>
      <x:c r="O628" s="2" t="s">
        <x:v>392</x:v>
      </x:c>
      <x:c r="P628" s="2" t="s">
        <x:v>393</x:v>
      </x:c>
      <x:c r="Q628" s="2"/>
      <x:c r="R628" s="3">
        <x:v>4</x:v>
      </x:c>
      <x:c r="S628" s="3">
        <x:v>1</x:v>
      </x:c>
      <x:c r="T628" s="2" t="s">
        <x:v>103</x:v>
      </x:c>
      <x:c r="U628" s="2"/>
      <x:c r="V628" s="2"/>
      <x:c r="W628" s="2"/>
      <x:c r="X628" s="3"/>
      <x:c r="Y628" s="3"/>
      <x:c r="Z628" s="2"/>
      <x:c r="AA628" s="2"/>
      <x:c r="AB628" s="2" t="s">
        <x:v>427</x:v>
      </x:c>
      <x:c r="AC628" s="2"/>
      <x:c r="AD628" s="2"/>
      <x:c r="AE628" s="2"/>
      <x:c r="AF628" s="2"/>
      <x:c r="AG628" s="2" t="s">
        <x:v>428</x:v>
      </x:c>
      <x:c r="AH628" s="2"/>
      <x:c r="AI628" s="4"/>
      <x:c r="AJ628" s="2"/>
      <x:c r="AK628" s="2" t="s">
        <x:v>396</x:v>
      </x:c>
      <x:c r="AL628" s="2" t="s">
        <x:v>1550</x:v>
      </x:c>
      <x:c r="AM628" s="2">
        <x:v>8</x:v>
      </x:c>
      <x:c r="AN628" s="2">
        <x:v>8</x:v>
      </x:c>
    </x:row>
    <x:row r="629" ht="52">
      <x:c r="A629" s="2" t="s">
        <x:v>91</x:v>
      </x:c>
      <x:c r="B629" s="2" t="s">
        <x:v>17</x:v>
      </x:c>
      <x:c r="C629" s="3">
        <x:v>7</x:v>
      </x:c>
      <x:c r="D629" s="2" t="s">
        <x:v>435</x:v>
      </x:c>
      <x:c r="E629" s="2" t="s">
        <x:v>436</x:v>
      </x:c>
      <x:c r="F629" s="2" t="s">
        <x:v>423</x:v>
      </x:c>
      <x:c r="G629" s="2" t="s">
        <x:v>2031</x:v>
      </x:c>
      <x:c r="H629" s="2" t="s">
        <x:v>96</x:v>
      </x:c>
      <x:c r="I629" s="2" t="s">
        <x:v>438</x:v>
      </x:c>
      <x:c r="J629" s="2" t="s">
        <x:v>389</x:v>
      </x:c>
      <x:c r="K629" s="2"/>
      <x:c r="L629" s="2" t="s">
        <x:v>439</x:v>
      </x:c>
      <x:c r="M629" s="2" t="s">
        <x:v>391</x:v>
      </x:c>
      <x:c r="N629" s="2">
        <x:v>1</x:v>
      </x:c>
      <x:c r="O629" s="2" t="s">
        <x:v>414</x:v>
      </x:c>
      <x:c r="P629" s="2" t="s">
        <x:v>393</x:v>
      </x:c>
      <x:c r="Q629" s="2"/>
      <x:c r="R629" s="3">
        <x:v>3</x:v>
      </x:c>
      <x:c r="S629" s="3">
        <x:v>1</x:v>
      </x:c>
      <x:c r="T629" s="2" t="s">
        <x:v>103</x:v>
      </x:c>
      <x:c r="U629" s="2"/>
      <x:c r="V629" s="2"/>
      <x:c r="W629" s="2"/>
      <x:c r="X629" s="3"/>
      <x:c r="Y629" s="3"/>
      <x:c r="Z629" s="2"/>
      <x:c r="AA629" s="2"/>
      <x:c r="AB629" s="2" t="s">
        <x:v>427</x:v>
      </x:c>
      <x:c r="AC629" s="2"/>
      <x:c r="AD629" s="2"/>
      <x:c r="AE629" s="2"/>
      <x:c r="AF629" s="2"/>
      <x:c r="AG629" s="2" t="s">
        <x:v>428</x:v>
      </x:c>
      <x:c r="AH629" s="2"/>
      <x:c r="AI629" s="4"/>
      <x:c r="AJ629" s="2"/>
      <x:c r="AK629" s="2" t="s">
        <x:v>396</x:v>
      </x:c>
      <x:c r="AL629" s="2" t="s">
        <x:v>1550</x:v>
      </x:c>
      <x:c r="AM629" s="2">
        <x:v>9</x:v>
      </x:c>
      <x:c r="AN629" s="2">
        <x:v>9</x:v>
      </x:c>
    </x:row>
    <x:row r="630" ht="52">
      <x:c r="A630" s="2" t="s">
        <x:v>6</x:v>
      </x:c>
      <x:c r="B630" s="2" t="s">
        <x:v>17</x:v>
      </x:c>
      <x:c r="C630" s="3">
        <x:v>8</x:v>
      </x:c>
      <x:c r="D630" s="2" t="s">
        <x:v>440</x:v>
      </x:c>
      <x:c r="E630" s="2" t="s">
        <x:v>441</x:v>
      </x:c>
      <x:c r="F630" s="2" t="s">
        <x:v>423</x:v>
      </x:c>
      <x:c r="G630" s="2"/>
      <x:c r="H630" s="2" t="s">
        <x:v>96</x:v>
      </x:c>
      <x:c r="I630" s="2" t="s">
        <x:v>443</x:v>
      </x:c>
      <x:c r="J630" s="2" t="s">
        <x:v>389</x:v>
      </x:c>
      <x:c r="K630" s="2"/>
      <x:c r="L630" s="2" t="s">
        <x:v>444</x:v>
      </x:c>
      <x:c r="M630" s="2" t="s">
        <x:v>391</x:v>
      </x:c>
      <x:c r="N630" s="2">
        <x:v>1</x:v>
      </x:c>
      <x:c r="O630" s="2" t="s">
        <x:v>392</x:v>
      </x:c>
      <x:c r="P630" s="2" t="s">
        <x:v>393</x:v>
      </x:c>
      <x:c r="Q630" s="2"/>
      <x:c r="R630" s="3">
        <x:v>4</x:v>
      </x:c>
      <x:c r="S630" s="3">
        <x:v>1</x:v>
      </x:c>
      <x:c r="T630" s="2" t="s">
        <x:v>103</x:v>
      </x:c>
      <x:c r="U630" s="2"/>
      <x:c r="V630" s="2"/>
      <x:c r="W630" s="2"/>
      <x:c r="X630" s="3"/>
      <x:c r="Y630" s="3"/>
      <x:c r="Z630" s="2"/>
      <x:c r="AA630" s="2"/>
      <x:c r="AB630" s="2" t="s">
        <x:v>415</x:v>
      </x:c>
      <x:c r="AC630" s="2"/>
      <x:c r="AD630" s="2"/>
      <x:c r="AE630" s="2"/>
      <x:c r="AF630" s="2"/>
      <x:c r="AG630" s="2" t="s">
        <x:v>428</x:v>
      </x:c>
      <x:c r="AH630" s="2"/>
      <x:c r="AI630" s="4"/>
      <x:c r="AJ630" s="2"/>
      <x:c r="AK630" s="2" t="s">
        <x:v>396</x:v>
      </x:c>
      <x:c r="AL630" s="2" t="s">
        <x:v>1550</x:v>
      </x:c>
      <x:c r="AM630" s="2">
        <x:v>10</x:v>
      </x:c>
      <x:c r="AN630" s="2">
        <x:v>10</x:v>
      </x:c>
    </x:row>
    <x:row r="631" ht="52">
      <x:c r="A631" s="2" t="s">
        <x:v>6</x:v>
      </x:c>
      <x:c r="B631" s="2" t="s">
        <x:v>17</x:v>
      </x:c>
      <x:c r="C631" s="3">
        <x:v>9</x:v>
      </x:c>
      <x:c r="D631" s="2" t="s">
        <x:v>445</x:v>
      </x:c>
      <x:c r="E631" s="2" t="s">
        <x:v>436</x:v>
      </x:c>
      <x:c r="F631" s="2" t="s">
        <x:v>431</x:v>
      </x:c>
      <x:c r="G631" s="2"/>
      <x:c r="H631" s="2" t="s">
        <x:v>96</x:v>
      </x:c>
      <x:c r="I631" s="2" t="s">
        <x:v>447</x:v>
      </x:c>
      <x:c r="J631" s="2" t="s">
        <x:v>389</x:v>
      </x:c>
      <x:c r="K631" s="2"/>
      <x:c r="L631" s="2" t="s">
        <x:v>448</x:v>
      </x:c>
      <x:c r="M631" s="2" t="s">
        <x:v>391</x:v>
      </x:c>
      <x:c r="N631" s="2">
        <x:v>1</x:v>
      </x:c>
      <x:c r="O631" s="2" t="s">
        <x:v>414</x:v>
      </x:c>
      <x:c r="P631" s="2" t="s">
        <x:v>393</x:v>
      </x:c>
      <x:c r="Q631" s="2"/>
      <x:c r="R631" s="3">
        <x:v>3</x:v>
      </x:c>
      <x:c r="S631" s="3">
        <x:v>1</x:v>
      </x:c>
      <x:c r="T631" s="2" t="s">
        <x:v>103</x:v>
      </x:c>
      <x:c r="U631" s="2"/>
      <x:c r="V631" s="2"/>
      <x:c r="W631" s="2"/>
      <x:c r="X631" s="3"/>
      <x:c r="Y631" s="3"/>
      <x:c r="Z631" s="2"/>
      <x:c r="AA631" s="2"/>
      <x:c r="AB631" s="2" t="s">
        <x:v>415</x:v>
      </x:c>
      <x:c r="AC631" s="2"/>
      <x:c r="AD631" s="2"/>
      <x:c r="AE631" s="2"/>
      <x:c r="AF631" s="2"/>
      <x:c r="AG631" s="2" t="s">
        <x:v>428</x:v>
      </x:c>
      <x:c r="AH631" s="2"/>
      <x:c r="AI631" s="4"/>
      <x:c r="AJ631" s="2"/>
      <x:c r="AK631" s="2" t="s">
        <x:v>396</x:v>
      </x:c>
      <x:c r="AL631" s="2" t="s">
        <x:v>1550</x:v>
      </x:c>
      <x:c r="AM631" s="2">
        <x:v>11</x:v>
      </x:c>
      <x:c r="AN631" s="2">
        <x:v>11</x:v>
      </x:c>
    </x:row>
    <x:row r="632" ht="52">
      <x:c r="A632" s="2" t="s">
        <x:v>6</x:v>
      </x:c>
      <x:c r="B632" s="2" t="s">
        <x:v>17</x:v>
      </x:c>
      <x:c r="C632" s="3">
        <x:v>10</x:v>
      </x:c>
      <x:c r="D632" s="2" t="s">
        <x:v>2032</x:v>
      </x:c>
      <x:c r="E632" s="2" t="s">
        <x:v>2033</x:v>
      </x:c>
      <x:c r="F632" s="2" t="s">
        <x:v>237</x:v>
      </x:c>
      <x:c r="G632" s="2"/>
      <x:c r="H632" s="2" t="s">
        <x:v>96</x:v>
      </x:c>
      <x:c r="I632" s="2" t="s">
        <x:v>2034</x:v>
      </x:c>
      <x:c r="J632" s="2" t="s">
        <x:v>389</x:v>
      </x:c>
      <x:c r="K632" s="2"/>
      <x:c r="L632" s="2" t="s">
        <x:v>2035</x:v>
      </x:c>
      <x:c r="M632" s="2" t="s">
        <x:v>391</x:v>
      </x:c>
      <x:c r="N632" s="2">
        <x:v>1</x:v>
      </x:c>
      <x:c r="O632" s="2" t="s">
        <x:v>392</x:v>
      </x:c>
      <x:c r="P632" s="2" t="s">
        <x:v>393</x:v>
      </x:c>
      <x:c r="Q632" s="2"/>
      <x:c r="R632" s="3">
        <x:v>4</x:v>
      </x:c>
      <x:c r="S632" s="3">
        <x:v>1</x:v>
      </x:c>
      <x:c r="T632" s="2" t="s">
        <x:v>103</x:v>
      </x:c>
      <x:c r="U632" s="2"/>
      <x:c r="V632" s="2"/>
      <x:c r="W632" s="2"/>
      <x:c r="X632" s="3"/>
      <x:c r="Y632" s="3"/>
      <x:c r="Z632" s="2"/>
      <x:c r="AA632" s="2"/>
      <x:c r="AB632" s="2" t="s">
        <x:v>427</x:v>
      </x:c>
      <x:c r="AC632" s="2"/>
      <x:c r="AD632" s="2"/>
      <x:c r="AE632" s="2"/>
      <x:c r="AF632" s="2"/>
      <x:c r="AG632" s="2" t="s">
        <x:v>2036</x:v>
      </x:c>
      <x:c r="AH632" s="2"/>
      <x:c r="AI632" s="4"/>
      <x:c r="AJ632" s="2"/>
      <x:c r="AK632" s="2" t="s">
        <x:v>396</x:v>
      </x:c>
      <x:c r="AL632" s="2" t="s">
        <x:v>1550</x:v>
      </x:c>
      <x:c r="AM632" s="2">
        <x:v>12</x:v>
      </x:c>
      <x:c r="AN632" s="2">
        <x:v>12</x:v>
      </x:c>
    </x:row>
    <x:row r="633" ht="52">
      <x:c r="A633" s="2" t="s">
        <x:v>6</x:v>
      </x:c>
      <x:c r="B633" s="2" t="s">
        <x:v>17</x:v>
      </x:c>
      <x:c r="C633" s="3">
        <x:v>11</x:v>
      </x:c>
      <x:c r="D633" s="2" t="s">
        <x:v>2037</x:v>
      </x:c>
      <x:c r="E633" s="2" t="s">
        <x:v>2038</x:v>
      </x:c>
      <x:c r="F633" s="2" t="s">
        <x:v>237</x:v>
      </x:c>
      <x:c r="G633" s="2"/>
      <x:c r="H633" s="2" t="s">
        <x:v>96</x:v>
      </x:c>
      <x:c r="I633" s="2" t="s">
        <x:v>2039</x:v>
      </x:c>
      <x:c r="J633" s="2" t="s">
        <x:v>389</x:v>
      </x:c>
      <x:c r="K633" s="2"/>
      <x:c r="L633" s="2" t="s">
        <x:v>2040</x:v>
      </x:c>
      <x:c r="M633" s="2" t="s">
        <x:v>391</x:v>
      </x:c>
      <x:c r="N633" s="2">
        <x:v>1</x:v>
      </x:c>
      <x:c r="O633" s="2" t="s">
        <x:v>414</x:v>
      </x:c>
      <x:c r="P633" s="2" t="s">
        <x:v>393</x:v>
      </x:c>
      <x:c r="Q633" s="2"/>
      <x:c r="R633" s="3">
        <x:v>3</x:v>
      </x:c>
      <x:c r="S633" s="3">
        <x:v>1</x:v>
      </x:c>
      <x:c r="T633" s="2" t="s">
        <x:v>103</x:v>
      </x:c>
      <x:c r="U633" s="2"/>
      <x:c r="V633" s="2"/>
      <x:c r="W633" s="2"/>
      <x:c r="X633" s="3"/>
      <x:c r="Y633" s="3"/>
      <x:c r="Z633" s="2"/>
      <x:c r="AA633" s="2"/>
      <x:c r="AB633" s="2" t="s">
        <x:v>427</x:v>
      </x:c>
      <x:c r="AC633" s="2"/>
      <x:c r="AD633" s="2"/>
      <x:c r="AE633" s="2"/>
      <x:c r="AF633" s="2"/>
      <x:c r="AG633" s="2" t="s">
        <x:v>2036</x:v>
      </x:c>
      <x:c r="AH633" s="2"/>
      <x:c r="AI633" s="4"/>
      <x:c r="AJ633" s="2"/>
      <x:c r="AK633" s="2" t="s">
        <x:v>396</x:v>
      </x:c>
      <x:c r="AL633" s="2" t="s">
        <x:v>1550</x:v>
      </x:c>
      <x:c r="AM633" s="2">
        <x:v>13</x:v>
      </x:c>
      <x:c r="AN633" s="2">
        <x:v>13</x:v>
      </x:c>
    </x:row>
    <x:row r="634" ht="52">
      <x:c r="A634" s="2" t="s">
        <x:v>6</x:v>
      </x:c>
      <x:c r="B634" s="2" t="s">
        <x:v>17</x:v>
      </x:c>
      <x:c r="C634" s="3">
        <x:v>12</x:v>
      </x:c>
      <x:c r="D634" s="2" t="s">
        <x:v>2041</x:v>
      </x:c>
      <x:c r="E634" s="2" t="s">
        <x:v>2042</x:v>
      </x:c>
      <x:c r="F634" s="2" t="s">
        <x:v>237</x:v>
      </x:c>
      <x:c r="G634" s="2"/>
      <x:c r="H634" s="2" t="s">
        <x:v>96</x:v>
      </x:c>
      <x:c r="I634" s="2" t="s">
        <x:v>2043</x:v>
      </x:c>
      <x:c r="J634" s="2" t="s">
        <x:v>389</x:v>
      </x:c>
      <x:c r="K634" s="2"/>
      <x:c r="L634" s="2" t="s">
        <x:v>2044</x:v>
      </x:c>
      <x:c r="M634" s="2" t="s">
        <x:v>391</x:v>
      </x:c>
      <x:c r="N634" s="2">
        <x:v>1</x:v>
      </x:c>
      <x:c r="O634" s="2" t="s">
        <x:v>402</x:v>
      </x:c>
      <x:c r="P634" s="2" t="s">
        <x:v>393</x:v>
      </x:c>
      <x:c r="Q634" s="2"/>
      <x:c r="R634" s="3">
        <x:v>5</x:v>
      </x:c>
      <x:c r="S634" s="3">
        <x:v>1</x:v>
      </x:c>
      <x:c r="T634" s="2" t="s">
        <x:v>103</x:v>
      </x:c>
      <x:c r="U634" s="2"/>
      <x:c r="V634" s="2"/>
      <x:c r="W634" s="2"/>
      <x:c r="X634" s="3"/>
      <x:c r="Y634" s="3"/>
      <x:c r="Z634" s="2"/>
      <x:c r="AA634" s="2"/>
      <x:c r="AB634" s="2" t="s">
        <x:v>394</x:v>
      </x:c>
      <x:c r="AC634" s="2"/>
      <x:c r="AD634" s="2"/>
      <x:c r="AE634" s="2"/>
      <x:c r="AF634" s="2"/>
      <x:c r="AG634" s="2" t="s">
        <x:v>2036</x:v>
      </x:c>
      <x:c r="AH634" s="2"/>
      <x:c r="AI634" s="4"/>
      <x:c r="AJ634" s="2"/>
      <x:c r="AK634" s="2" t="s">
        <x:v>396</x:v>
      </x:c>
      <x:c r="AL634" s="2" t="s">
        <x:v>1550</x:v>
      </x:c>
      <x:c r="AM634" s="2">
        <x:v>14</x:v>
      </x:c>
      <x:c r="AN634" s="2">
        <x:v>14</x:v>
      </x:c>
    </x:row>
    <x:row r="635" ht="52">
      <x:c r="A635" s="2" t="s">
        <x:v>6</x:v>
      </x:c>
      <x:c r="B635" s="2" t="s">
        <x:v>17</x:v>
      </x:c>
      <x:c r="C635" s="3">
        <x:v>13</x:v>
      </x:c>
      <x:c r="D635" s="2" t="s">
        <x:v>2045</x:v>
      </x:c>
      <x:c r="E635" s="2" t="s">
        <x:v>2046</x:v>
      </x:c>
      <x:c r="F635" s="2" t="s">
        <x:v>2047</x:v>
      </x:c>
      <x:c r="G635" s="2"/>
      <x:c r="H635" s="2" t="s">
        <x:v>96</x:v>
      </x:c>
      <x:c r="I635" s="2" t="s">
        <x:v>2048</x:v>
      </x:c>
      <x:c r="J635" s="2" t="s">
        <x:v>389</x:v>
      </x:c>
      <x:c r="K635" s="2"/>
      <x:c r="L635" s="2" t="s">
        <x:v>2049</x:v>
      </x:c>
      <x:c r="M635" s="2" t="s">
        <x:v>391</x:v>
      </x:c>
      <x:c r="N635" s="2">
        <x:v>1</x:v>
      </x:c>
      <x:c r="O635" s="2" t="s">
        <x:v>392</x:v>
      </x:c>
      <x:c r="P635" s="2" t="s">
        <x:v>393</x:v>
      </x:c>
      <x:c r="Q635" s="2"/>
      <x:c r="R635" s="3">
        <x:v>4</x:v>
      </x:c>
      <x:c r="S635" s="3">
        <x:v>1</x:v>
      </x:c>
      <x:c r="T635" s="2" t="s">
        <x:v>103</x:v>
      </x:c>
      <x:c r="U635" s="2"/>
      <x:c r="V635" s="2"/>
      <x:c r="W635" s="2"/>
      <x:c r="X635" s="3"/>
      <x:c r="Y635" s="3"/>
      <x:c r="Z635" s="2"/>
      <x:c r="AA635" s="2"/>
      <x:c r="AB635" s="2" t="s">
        <x:v>394</x:v>
      </x:c>
      <x:c r="AC635" s="2"/>
      <x:c r="AD635" s="2"/>
      <x:c r="AE635" s="2"/>
      <x:c r="AF635" s="2"/>
      <x:c r="AG635" s="2" t="s">
        <x:v>2036</x:v>
      </x:c>
      <x:c r="AH635" s="2"/>
      <x:c r="AI635" s="4"/>
      <x:c r="AJ635" s="2"/>
      <x:c r="AK635" s="2" t="s">
        <x:v>396</x:v>
      </x:c>
      <x:c r="AL635" s="2" t="s">
        <x:v>1550</x:v>
      </x:c>
      <x:c r="AM635" s="2">
        <x:v>15</x:v>
      </x:c>
      <x:c r="AN635" s="2">
        <x:v>15</x:v>
      </x:c>
    </x:row>
    <x:row r="636" ht="52">
      <x:c r="A636" s="2" t="s">
        <x:v>91</x:v>
      </x:c>
      <x:c r="B636" s="2" t="s">
        <x:v>17</x:v>
      </x:c>
      <x:c r="C636" s="3">
        <x:v>14</x:v>
      </x:c>
      <x:c r="D636" s="2" t="s">
        <x:v>2050</x:v>
      </x:c>
      <x:c r="E636" s="2" t="s">
        <x:v>2051</x:v>
      </x:c>
      <x:c r="F636" s="2" t="s">
        <x:v>237</x:v>
      </x:c>
      <x:c r="G636" s="2" t="s">
        <x:v>2052</x:v>
      </x:c>
      <x:c r="H636" s="2" t="s">
        <x:v>96</x:v>
      </x:c>
      <x:c r="I636" s="2" t="s">
        <x:v>2053</x:v>
      </x:c>
      <x:c r="J636" s="2" t="s">
        <x:v>389</x:v>
      </x:c>
      <x:c r="K636" s="2"/>
      <x:c r="L636" s="2" t="s">
        <x:v>2054</x:v>
      </x:c>
      <x:c r="M636" s="2" t="s">
        <x:v>391</x:v>
      </x:c>
      <x:c r="N636" s="2">
        <x:v>1</x:v>
      </x:c>
      <x:c r="O636" s="2" t="s">
        <x:v>402</x:v>
      </x:c>
      <x:c r="P636" s="2" t="s">
        <x:v>393</x:v>
      </x:c>
      <x:c r="Q636" s="2"/>
      <x:c r="R636" s="3">
        <x:v>5</x:v>
      </x:c>
      <x:c r="S636" s="3">
        <x:v>1</x:v>
      </x:c>
      <x:c r="T636" s="2" t="s">
        <x:v>103</x:v>
      </x:c>
      <x:c r="U636" s="2"/>
      <x:c r="V636" s="2"/>
      <x:c r="W636" s="2"/>
      <x:c r="X636" s="3"/>
      <x:c r="Y636" s="3"/>
      <x:c r="Z636" s="2"/>
      <x:c r="AA636" s="2"/>
      <x:c r="AB636" s="2" t="s">
        <x:v>394</x:v>
      </x:c>
      <x:c r="AC636" s="2"/>
      <x:c r="AD636" s="2"/>
      <x:c r="AE636" s="2"/>
      <x:c r="AF636" s="2"/>
      <x:c r="AG636" s="2" t="s">
        <x:v>2036</x:v>
      </x:c>
      <x:c r="AH636" s="2"/>
      <x:c r="AI636" s="4"/>
      <x:c r="AJ636" s="2"/>
      <x:c r="AK636" s="2" t="s">
        <x:v>396</x:v>
      </x:c>
      <x:c r="AL636" s="2" t="s">
        <x:v>1550</x:v>
      </x:c>
      <x:c r="AM636" s="2">
        <x:v>16</x:v>
      </x:c>
      <x:c r="AN636" s="2">
        <x:v>16</x:v>
      </x:c>
    </x:row>
    <x:row r="637" ht="52">
      <x:c r="A637" s="2" t="s">
        <x:v>91</x:v>
      </x:c>
      <x:c r="B637" s="2" t="s">
        <x:v>17</x:v>
      </x:c>
      <x:c r="C637" s="3">
        <x:v>15</x:v>
      </x:c>
      <x:c r="D637" s="2" t="s">
        <x:v>2055</x:v>
      </x:c>
      <x:c r="E637" s="2" t="s">
        <x:v>2056</x:v>
      </x:c>
      <x:c r="F637" s="2" t="s">
        <x:v>317</x:v>
      </x:c>
      <x:c r="G637" s="2" t="s">
        <x:v>2057</x:v>
      </x:c>
      <x:c r="H637" s="2" t="s">
        <x:v>96</x:v>
      </x:c>
      <x:c r="I637" s="2" t="s">
        <x:v>2058</x:v>
      </x:c>
      <x:c r="J637" s="2" t="s">
        <x:v>389</x:v>
      </x:c>
      <x:c r="K637" s="2"/>
      <x:c r="L637" s="2" t="s">
        <x:v>2059</x:v>
      </x:c>
      <x:c r="M637" s="2" t="s">
        <x:v>391</x:v>
      </x:c>
      <x:c r="N637" s="2">
        <x:v>1</x:v>
      </x:c>
      <x:c r="O637" s="2" t="s">
        <x:v>392</x:v>
      </x:c>
      <x:c r="P637" s="2" t="s">
        <x:v>393</x:v>
      </x:c>
      <x:c r="Q637" s="2"/>
      <x:c r="R637" s="3">
        <x:v>4</x:v>
      </x:c>
      <x:c r="S637" s="3">
        <x:v>1</x:v>
      </x:c>
      <x:c r="T637" s="2" t="s">
        <x:v>103</x:v>
      </x:c>
      <x:c r="U637" s="2"/>
      <x:c r="V637" s="2"/>
      <x:c r="W637" s="2"/>
      <x:c r="X637" s="3"/>
      <x:c r="Y637" s="3"/>
      <x:c r="Z637" s="2"/>
      <x:c r="AA637" s="2"/>
      <x:c r="AB637" s="2" t="s">
        <x:v>427</x:v>
      </x:c>
      <x:c r="AC637" s="2"/>
      <x:c r="AD637" s="2"/>
      <x:c r="AE637" s="2"/>
      <x:c r="AF637" s="2"/>
      <x:c r="AG637" s="2" t="s">
        <x:v>2060</x:v>
      </x:c>
      <x:c r="AH637" s="2"/>
      <x:c r="AI637" s="4"/>
      <x:c r="AJ637" s="2"/>
      <x:c r="AK637" s="2" t="s">
        <x:v>396</x:v>
      </x:c>
      <x:c r="AL637" s="2" t="s">
        <x:v>1550</x:v>
      </x:c>
      <x:c r="AM637" s="2">
        <x:v>17</x:v>
      </x:c>
      <x:c r="AN637" s="2">
        <x:v>17</x:v>
      </x:c>
    </x:row>
    <x:row r="638" ht="52">
      <x:c r="A638" s="2" t="s">
        <x:v>6</x:v>
      </x:c>
      <x:c r="B638" s="2" t="s">
        <x:v>17</x:v>
      </x:c>
      <x:c r="C638" s="3">
        <x:v>16</x:v>
      </x:c>
      <x:c r="D638" s="2" t="s">
        <x:v>2061</x:v>
      </x:c>
      <x:c r="E638" s="2" t="s">
        <x:v>2062</x:v>
      </x:c>
      <x:c r="F638" s="2" t="s">
        <x:v>254</x:v>
      </x:c>
      <x:c r="G638" s="2"/>
      <x:c r="H638" s="2" t="s">
        <x:v>96</x:v>
      </x:c>
      <x:c r="I638" s="2" t="s">
        <x:v>2063</x:v>
      </x:c>
      <x:c r="J638" s="2" t="s">
        <x:v>389</x:v>
      </x:c>
      <x:c r="K638" s="2"/>
      <x:c r="L638" s="2" t="s">
        <x:v>2064</x:v>
      </x:c>
      <x:c r="M638" s="2" t="s">
        <x:v>391</x:v>
      </x:c>
      <x:c r="N638" s="2">
        <x:v>1</x:v>
      </x:c>
      <x:c r="O638" s="2" t="s">
        <x:v>392</x:v>
      </x:c>
      <x:c r="P638" s="2" t="s">
        <x:v>393</x:v>
      </x:c>
      <x:c r="Q638" s="2"/>
      <x:c r="R638" s="3">
        <x:v>4</x:v>
      </x:c>
      <x:c r="S638" s="3">
        <x:v>1</x:v>
      </x:c>
      <x:c r="T638" s="2" t="s">
        <x:v>103</x:v>
      </x:c>
      <x:c r="U638" s="2"/>
      <x:c r="V638" s="2"/>
      <x:c r="W638" s="2"/>
      <x:c r="X638" s="3"/>
      <x:c r="Y638" s="3"/>
      <x:c r="Z638" s="2"/>
      <x:c r="AA638" s="2"/>
      <x:c r="AB638" s="2" t="s">
        <x:v>427</x:v>
      </x:c>
      <x:c r="AC638" s="2"/>
      <x:c r="AD638" s="2"/>
      <x:c r="AE638" s="2"/>
      <x:c r="AF638" s="2"/>
      <x:c r="AG638" s="2" t="s">
        <x:v>2060</x:v>
      </x:c>
      <x:c r="AH638" s="2"/>
      <x:c r="AI638" s="4"/>
      <x:c r="AJ638" s="2"/>
      <x:c r="AK638" s="2" t="s">
        <x:v>396</x:v>
      </x:c>
      <x:c r="AL638" s="2" t="s">
        <x:v>1550</x:v>
      </x:c>
      <x:c r="AM638" s="2">
        <x:v>18</x:v>
      </x:c>
      <x:c r="AN638" s="2">
        <x:v>18</x:v>
      </x:c>
    </x:row>
    <x:row r="639" ht="52">
      <x:c r="A639" s="2" t="s">
        <x:v>6</x:v>
      </x:c>
      <x:c r="B639" s="2" t="s">
        <x:v>17</x:v>
      </x:c>
      <x:c r="C639" s="3">
        <x:v>17</x:v>
      </x:c>
      <x:c r="D639" s="2" t="s">
        <x:v>2065</x:v>
      </x:c>
      <x:c r="E639" s="2" t="s">
        <x:v>2066</x:v>
      </x:c>
      <x:c r="F639" s="2" t="s">
        <x:v>254</x:v>
      </x:c>
      <x:c r="G639" s="2"/>
      <x:c r="H639" s="2" t="s">
        <x:v>96</x:v>
      </x:c>
      <x:c r="I639" s="2" t="s">
        <x:v>2067</x:v>
      </x:c>
      <x:c r="J639" s="2" t="s">
        <x:v>389</x:v>
      </x:c>
      <x:c r="K639" s="2"/>
      <x:c r="L639" s="2" t="s">
        <x:v>2068</x:v>
      </x:c>
      <x:c r="M639" s="2" t="s">
        <x:v>391</x:v>
      </x:c>
      <x:c r="N639" s="2">
        <x:v>1</x:v>
      </x:c>
      <x:c r="O639" s="2" t="s">
        <x:v>414</x:v>
      </x:c>
      <x:c r="P639" s="2" t="s">
        <x:v>393</x:v>
      </x:c>
      <x:c r="Q639" s="2"/>
      <x:c r="R639" s="3">
        <x:v>3</x:v>
      </x:c>
      <x:c r="S639" s="3">
        <x:v>1</x:v>
      </x:c>
      <x:c r="T639" s="2" t="s">
        <x:v>103</x:v>
      </x:c>
      <x:c r="U639" s="2"/>
      <x:c r="V639" s="2"/>
      <x:c r="W639" s="2"/>
      <x:c r="X639" s="3"/>
      <x:c r="Y639" s="3"/>
      <x:c r="Z639" s="2"/>
      <x:c r="AA639" s="2"/>
      <x:c r="AB639" s="2" t="s">
        <x:v>415</x:v>
      </x:c>
      <x:c r="AC639" s="2"/>
      <x:c r="AD639" s="2"/>
      <x:c r="AE639" s="2"/>
      <x:c r="AF639" s="2"/>
      <x:c r="AG639" s="2" t="s">
        <x:v>2060</x:v>
      </x:c>
      <x:c r="AH639" s="2"/>
      <x:c r="AI639" s="4"/>
      <x:c r="AJ639" s="2"/>
      <x:c r="AK639" s="2" t="s">
        <x:v>396</x:v>
      </x:c>
      <x:c r="AL639" s="2" t="s">
        <x:v>1550</x:v>
      </x:c>
      <x:c r="AM639" s="2">
        <x:v>19</x:v>
      </x:c>
      <x:c r="AN639" s="2">
        <x:v>19</x:v>
      </x:c>
    </x:row>
    <x:row r="640" ht="52">
      <x:c r="A640" s="2" t="s">
        <x:v>91</x:v>
      </x:c>
      <x:c r="B640" s="2" t="s">
        <x:v>17</x:v>
      </x:c>
      <x:c r="C640" s="3">
        <x:v>18</x:v>
      </x:c>
      <x:c r="D640" s="2" t="s">
        <x:v>2069</x:v>
      </x:c>
      <x:c r="E640" s="2" t="s">
        <x:v>2070</x:v>
      </x:c>
      <x:c r="F640" s="2" t="s">
        <x:v>317</x:v>
      </x:c>
      <x:c r="G640" s="2" t="s">
        <x:v>1280</x:v>
      </x:c>
      <x:c r="H640" s="2" t="s">
        <x:v>96</x:v>
      </x:c>
      <x:c r="I640" s="2" t="s">
        <x:v>2071</x:v>
      </x:c>
      <x:c r="J640" s="2" t="s">
        <x:v>389</x:v>
      </x:c>
      <x:c r="K640" s="2"/>
      <x:c r="L640" s="2" t="s">
        <x:v>2072</x:v>
      </x:c>
      <x:c r="M640" s="2" t="s">
        <x:v>391</x:v>
      </x:c>
      <x:c r="N640" s="2">
        <x:v>1</x:v>
      </x:c>
      <x:c r="O640" s="2" t="s">
        <x:v>392</x:v>
      </x:c>
      <x:c r="P640" s="2" t="s">
        <x:v>393</x:v>
      </x:c>
      <x:c r="Q640" s="2"/>
      <x:c r="R640" s="3">
        <x:v>4</x:v>
      </x:c>
      <x:c r="S640" s="3">
        <x:v>1</x:v>
      </x:c>
      <x:c r="T640" s="2" t="s">
        <x:v>103</x:v>
      </x:c>
      <x:c r="U640" s="2"/>
      <x:c r="V640" s="2"/>
      <x:c r="W640" s="2"/>
      <x:c r="X640" s="3"/>
      <x:c r="Y640" s="3"/>
      <x:c r="Z640" s="2"/>
      <x:c r="AA640" s="2"/>
      <x:c r="AB640" s="2" t="s">
        <x:v>415</x:v>
      </x:c>
      <x:c r="AC640" s="2"/>
      <x:c r="AD640" s="2"/>
      <x:c r="AE640" s="2"/>
      <x:c r="AF640" s="2"/>
      <x:c r="AG640" s="2" t="s">
        <x:v>2060</x:v>
      </x:c>
      <x:c r="AH640" s="2"/>
      <x:c r="AI640" s="4"/>
      <x:c r="AJ640" s="2"/>
      <x:c r="AK640" s="2" t="s">
        <x:v>396</x:v>
      </x:c>
      <x:c r="AL640" s="2" t="s">
        <x:v>1550</x:v>
      </x:c>
      <x:c r="AM640" s="2">
        <x:v>20</x:v>
      </x:c>
      <x:c r="AN640" s="2">
        <x:v>20</x:v>
      </x:c>
    </x:row>
    <x:row r="641" ht="52">
      <x:c r="A641" s="2" t="s">
        <x:v>91</x:v>
      </x:c>
      <x:c r="B641" s="2" t="s">
        <x:v>17</x:v>
      </x:c>
      <x:c r="C641" s="3">
        <x:v>19</x:v>
      </x:c>
      <x:c r="D641" s="2" t="s">
        <x:v>2073</x:v>
      </x:c>
      <x:c r="E641" s="2" t="s">
        <x:v>2074</x:v>
      </x:c>
      <x:c r="F641" s="2" t="s">
        <x:v>254</x:v>
      </x:c>
      <x:c r="G641" s="2" t="s">
        <x:v>2031</x:v>
      </x:c>
      <x:c r="H641" s="2" t="s">
        <x:v>96</x:v>
      </x:c>
      <x:c r="I641" s="2" t="s">
        <x:v>2075</x:v>
      </x:c>
      <x:c r="J641" s="2" t="s">
        <x:v>389</x:v>
      </x:c>
      <x:c r="K641" s="2"/>
      <x:c r="L641" s="2" t="s">
        <x:v>2076</x:v>
      </x:c>
      <x:c r="M641" s="2" t="s">
        <x:v>391</x:v>
      </x:c>
      <x:c r="N641" s="2">
        <x:v>1</x:v>
      </x:c>
      <x:c r="O641" s="2" t="s">
        <x:v>414</x:v>
      </x:c>
      <x:c r="P641" s="2" t="s">
        <x:v>393</x:v>
      </x:c>
      <x:c r="Q641" s="2"/>
      <x:c r="R641" s="3">
        <x:v>3</x:v>
      </x:c>
      <x:c r="S641" s="3">
        <x:v>1</x:v>
      </x:c>
      <x:c r="T641" s="2" t="s">
        <x:v>103</x:v>
      </x:c>
      <x:c r="U641" s="2"/>
      <x:c r="V641" s="2"/>
      <x:c r="W641" s="2"/>
      <x:c r="X641" s="3"/>
      <x:c r="Y641" s="3"/>
      <x:c r="Z641" s="2"/>
      <x:c r="AA641" s="2"/>
      <x:c r="AB641" s="2" t="s">
        <x:v>415</x:v>
      </x:c>
      <x:c r="AC641" s="2"/>
      <x:c r="AD641" s="2"/>
      <x:c r="AE641" s="2"/>
      <x:c r="AF641" s="2"/>
      <x:c r="AG641" s="2" t="s">
        <x:v>2060</x:v>
      </x:c>
      <x:c r="AH641" s="2"/>
      <x:c r="AI641" s="4"/>
      <x:c r="AJ641" s="2"/>
      <x:c r="AK641" s="2" t="s">
        <x:v>396</x:v>
      </x:c>
      <x:c r="AL641" s="2" t="s">
        <x:v>1550</x:v>
      </x:c>
      <x:c r="AM641" s="2">
        <x:v>21</x:v>
      </x:c>
      <x:c r="AN641" s="2">
        <x:v>21</x:v>
      </x:c>
    </x:row>
    <x:row r="642" ht="52">
      <x:c r="A642" s="2" t="s">
        <x:v>91</x:v>
      </x:c>
      <x:c r="B642" s="2" t="s">
        <x:v>17</x:v>
      </x:c>
      <x:c r="C642" s="3">
        <x:v>20</x:v>
      </x:c>
      <x:c r="D642" s="2" t="s">
        <x:v>2077</x:v>
      </x:c>
      <x:c r="E642" s="2" t="s">
        <x:v>2038</x:v>
      </x:c>
      <x:c r="F642" s="2" t="s">
        <x:v>237</x:v>
      </x:c>
      <x:c r="G642" s="2" t="s">
        <x:v>2078</x:v>
      </x:c>
      <x:c r="H642" s="2" t="s">
        <x:v>618</x:v>
      </x:c>
      <x:c r="I642" s="2" t="s">
        <x:v>2079</x:v>
      </x:c>
      <x:c r="J642" s="2" t="s">
        <x:v>2080</x:v>
      </x:c>
      <x:c r="K642" s="2"/>
      <x:c r="L642" s="2" t="s">
        <x:v>2081</x:v>
      </x:c>
      <x:c r="M642" s="2" t="s">
        <x:v>2082</x:v>
      </x:c>
      <x:c r="N642" s="2">
        <x:v>2</x:v>
      </x:c>
      <x:c r="O642" s="2" t="s">
        <x:v>2083</x:v>
      </x:c>
      <x:c r="P642" s="2" t="s">
        <x:v>2084</x:v>
      </x:c>
      <x:c r="Q642" s="2"/>
      <x:c r="R642" s="3">
        <x:v>3</x:v>
      </x:c>
      <x:c r="S642" s="3">
        <x:v>1</x:v>
      </x:c>
      <x:c r="T642" s="2" t="s">
        <x:v>103</x:v>
      </x:c>
      <x:c r="U642" s="2"/>
      <x:c r="V642" s="2"/>
      <x:c r="W642" s="2"/>
      <x:c r="X642" s="3"/>
      <x:c r="Y642" s="3"/>
      <x:c r="Z642" s="2"/>
      <x:c r="AA642" s="2"/>
      <x:c r="AB642" s="2" t="s">
        <x:v>415</x:v>
      </x:c>
      <x:c r="AC642" s="2"/>
      <x:c r="AD642" s="2"/>
      <x:c r="AE642" s="2"/>
      <x:c r="AF642" s="2"/>
      <x:c r="AG642" s="2" t="s">
        <x:v>2036</x:v>
      </x:c>
      <x:c r="AH642" s="2"/>
      <x:c r="AI642" s="4"/>
      <x:c r="AJ642" s="2"/>
      <x:c r="AK642" s="2" t="s">
        <x:v>396</x:v>
      </x:c>
      <x:c r="AL642" s="2" t="s">
        <x:v>1550</x:v>
      </x:c>
      <x:c r="AM642" s="2">
        <x:v>22</x:v>
      </x:c>
      <x:c r="AN642" s="2">
        <x:v>22</x:v>
      </x:c>
    </x:row>
    <x:row r="643" ht="39">
      <x:c r="A643" s="2" t="s">
        <x:v>6</x:v>
      </x:c>
      <x:c r="B643" s="2" t="s">
        <x:v>17</x:v>
      </x:c>
      <x:c r="C643" s="3">
        <x:v>21</x:v>
      </x:c>
      <x:c r="D643" s="2" t="s">
        <x:v>1376</x:v>
      </x:c>
      <x:c r="E643" s="2" t="s">
        <x:v>2038</x:v>
      </x:c>
      <x:c r="F643" s="2" t="s">
        <x:v>237</x:v>
      </x:c>
      <x:c r="G643" s="2" t="s">
        <x:v>2085</x:v>
      </x:c>
      <x:c r="H643" s="2" t="s">
        <x:v>627</x:v>
      </x:c>
      <x:c r="I643" s="2" t="s">
        <x:v>2079</x:v>
      </x:c>
      <x:c r="J643" s="2" t="s">
        <x:v>2086</x:v>
      </x:c>
      <x:c r="K643" s="2" t="n">
        <x:v>20</x:v>
      </x:c>
      <x:c r="L643" s="2" t="s">
        <x:v>2081</x:v>
      </x:c>
      <x:c r="M643" s="2" t="s">
        <x:v>2087</x:v>
      </x:c>
      <x:c r="N643" s="2">
        <x:v>2</x:v>
      </x:c>
      <x:c r="O643" s="2" t="s">
        <x:v>2088</x:v>
      </x:c>
      <x:c r="P643" s="2" t="s">
        <x:v>2089</x:v>
      </x:c>
      <x:c r="Q643" s="2"/>
      <x:c r="R643" s="3">
        <x:v>3</x:v>
      </x:c>
      <x:c r="S643" s="3">
        <x:v>1</x:v>
      </x:c>
      <x:c r="T643" s="2" t="s">
        <x:v>103</x:v>
      </x:c>
      <x:c r="U643" s="2"/>
      <x:c r="V643" s="2"/>
      <x:c r="W643" s="2"/>
      <x:c r="X643" s="3"/>
      <x:c r="Y643" s="3"/>
      <x:c r="Z643" s="2"/>
      <x:c r="AA643" s="2"/>
      <x:c r="AB643" s="2" t="s">
        <x:v>2090</x:v>
      </x:c>
      <x:c r="AC643" s="2"/>
      <x:c r="AD643" s="2"/>
      <x:c r="AE643" s="2"/>
      <x:c r="AF643" s="2"/>
      <x:c r="AG643" s="2" t="s">
        <x:v>2036</x:v>
      </x:c>
      <x:c r="AH643" s="2"/>
      <x:c r="AI643" s="4"/>
      <x:c r="AJ643" s="2"/>
      <x:c r="AK643" s="2" t="s">
        <x:v>396</x:v>
      </x:c>
      <x:c r="AL643" s="2" t="s">
        <x:v>1550</x:v>
      </x:c>
      <x:c r="AM643" s="2">
        <x:v>23</x:v>
      </x:c>
      <x:c r="AN643" s="2">
        <x:v>23</x:v>
      </x:c>
    </x:row>
    <x:row r="644" ht="39">
      <x:c r="A644" s="2" t="s">
        <x:v>91</x:v>
      </x:c>
      <x:c r="B644" s="2" t="s">
        <x:v>17</x:v>
      </x:c>
      <x:c r="C644" s="3">
        <x:v>22</x:v>
      </x:c>
      <x:c r="D644" s="2" t="s">
        <x:v>2091</x:v>
      </x:c>
      <x:c r="E644" s="2" t="s">
        <x:v>2038</x:v>
      </x:c>
      <x:c r="F644" s="2" t="s">
        <x:v>237</x:v>
      </x:c>
      <x:c r="G644" s="2" t="s">
        <x:v>2092</x:v>
      </x:c>
      <x:c r="H644" s="2" t="s">
        <x:v>634</x:v>
      </x:c>
      <x:c r="I644" s="2" t="s">
        <x:v>2079</x:v>
      </x:c>
      <x:c r="J644" s="2" t="s">
        <x:v>635</x:v>
      </x:c>
      <x:c r="K644" s="2" t="n">
        <x:v>20</x:v>
      </x:c>
      <x:c r="L644" s="2" t="s">
        <x:v>2081</x:v>
      </x:c>
      <x:c r="M644" s="2" t="s">
        <x:v>2093</x:v>
      </x:c>
      <x:c r="N644" s="2">
        <x:v>2</x:v>
      </x:c>
      <x:c r="O644" s="2" t="s">
        <x:v>2094</x:v>
      </x:c>
      <x:c r="P644" s="2" t="s">
        <x:v>2095</x:v>
      </x:c>
      <x:c r="Q644" s="2"/>
      <x:c r="R644" s="3">
        <x:v>3</x:v>
      </x:c>
      <x:c r="S644" s="3">
        <x:v>1</x:v>
      </x:c>
      <x:c r="T644" s="2" t="s">
        <x:v>103</x:v>
      </x:c>
      <x:c r="U644" s="2"/>
      <x:c r="V644" s="2"/>
      <x:c r="W644" s="2"/>
      <x:c r="X644" s="3"/>
      <x:c r="Y644" s="3"/>
      <x:c r="Z644" s="2"/>
      <x:c r="AA644" s="2"/>
      <x:c r="AB644" s="2" t="s">
        <x:v>415</x:v>
      </x:c>
      <x:c r="AC644" s="2"/>
      <x:c r="AD644" s="2"/>
      <x:c r="AE644" s="2"/>
      <x:c r="AF644" s="2"/>
      <x:c r="AG644" s="2" t="s">
        <x:v>2036</x:v>
      </x:c>
      <x:c r="AH644" s="2"/>
      <x:c r="AI644" s="4"/>
      <x:c r="AJ644" s="2"/>
      <x:c r="AK644" s="2" t="s">
        <x:v>396</x:v>
      </x:c>
      <x:c r="AL644" s="2" t="s">
        <x:v>1550</x:v>
      </x:c>
      <x:c r="AM644" s="2">
        <x:v>24</x:v>
      </x:c>
      <x:c r="AN644" s="2">
        <x:v>24</x:v>
      </x:c>
    </x:row>
    <x:row r="645" ht="26">
      <x:c r="A645" s="2" t="s">
        <x:v>6</x:v>
      </x:c>
      <x:c r="B645" s="2" t="s">
        <x:v>17</x:v>
      </x:c>
      <x:c r="C645" s="3">
        <x:v>23</x:v>
      </x:c>
      <x:c r="D645" s="2" t="s">
        <x:v>2096</x:v>
      </x:c>
      <x:c r="E645" s="2" t="s">
        <x:v>2038</x:v>
      </x:c>
      <x:c r="F645" s="2" t="s">
        <x:v>237</x:v>
      </x:c>
      <x:c r="G645" s="2" t="s">
        <x:v>2097</x:v>
      </x:c>
      <x:c r="H645" s="2" t="s">
        <x:v>634</x:v>
      </x:c>
      <x:c r="I645" s="2" t="s">
        <x:v>2079</x:v>
      </x:c>
      <x:c r="J645" s="2" t="s">
        <x:v>2098</x:v>
      </x:c>
      <x:c r="K645" s="2" t="n">
        <x:v>20</x:v>
      </x:c>
      <x:c r="L645" s="2" t="s">
        <x:v>2081</x:v>
      </x:c>
      <x:c r="M645" s="2" t="s">
        <x:v>2099</x:v>
      </x:c>
      <x:c r="N645" s="2">
        <x:v>2</x:v>
      </x:c>
      <x:c r="O645" s="2" t="s">
        <x:v>2094</x:v>
      </x:c>
      <x:c r="P645" s="2" t="s">
        <x:v>2100</x:v>
      </x:c>
      <x:c r="Q645" s="2"/>
      <x:c r="R645" s="3">
        <x:v>3</x:v>
      </x:c>
      <x:c r="S645" s="3">
        <x:v>1</x:v>
      </x:c>
      <x:c r="T645" s="2" t="s">
        <x:v>103</x:v>
      </x:c>
      <x:c r="U645" s="2"/>
      <x:c r="V645" s="2"/>
      <x:c r="W645" s="2"/>
      <x:c r="X645" s="3"/>
      <x:c r="Y645" s="3"/>
      <x:c r="Z645" s="2"/>
      <x:c r="AA645" s="2"/>
      <x:c r="AB645" s="2" t="s">
        <x:v>2101</x:v>
      </x:c>
      <x:c r="AC645" s="2"/>
      <x:c r="AD645" s="2"/>
      <x:c r="AE645" s="2"/>
      <x:c r="AF645" s="2"/>
      <x:c r="AG645" s="2" t="s">
        <x:v>2036</x:v>
      </x:c>
      <x:c r="AH645" s="2"/>
      <x:c r="AI645" s="4"/>
      <x:c r="AJ645" s="2"/>
      <x:c r="AK645" s="2" t="s">
        <x:v>396</x:v>
      </x:c>
      <x:c r="AL645" s="2" t="s">
        <x:v>1550</x:v>
      </x:c>
      <x:c r="AM645" s="2">
        <x:v>25</x:v>
      </x:c>
      <x:c r="AN645" s="2">
        <x:v>25</x:v>
      </x:c>
    </x:row>
    <x:row r="646" ht="52">
      <x:c r="A646" s="2" t="s">
        <x:v>6</x:v>
      </x:c>
      <x:c r="B646" s="2" t="s">
        <x:v>17</x:v>
      </x:c>
      <x:c r="C646" s="3">
        <x:v>24</x:v>
      </x:c>
      <x:c r="D646" s="2" t="s">
        <x:v>2102</x:v>
      </x:c>
      <x:c r="E646" s="2" t="s">
        <x:v>409</x:v>
      </x:c>
      <x:c r="F646" s="2" t="s">
        <x:v>386</x:v>
      </x:c>
      <x:c r="G646" s="2"/>
      <x:c r="H646" s="2" t="s">
        <x:v>618</x:v>
      </x:c>
      <x:c r="I646" s="2" t="s">
        <x:v>2103</x:v>
      </x:c>
      <x:c r="J646" s="2" t="s">
        <x:v>2080</x:v>
      </x:c>
      <x:c r="K646" s="2"/>
      <x:c r="L646" s="2" t="s">
        <x:v>2104</x:v>
      </x:c>
      <x:c r="M646" s="2" t="s">
        <x:v>2082</x:v>
      </x:c>
      <x:c r="N646" s="2">
        <x:v>2</x:v>
      </x:c>
      <x:c r="O646" s="2" t="s">
        <x:v>2083</x:v>
      </x:c>
      <x:c r="P646" s="2" t="s">
        <x:v>2084</x:v>
      </x:c>
      <x:c r="Q646" s="2"/>
      <x:c r="R646" s="3">
        <x:v>3</x:v>
      </x:c>
      <x:c r="S646" s="3">
        <x:v>1</x:v>
      </x:c>
      <x:c r="T646" s="2" t="s">
        <x:v>103</x:v>
      </x:c>
      <x:c r="U646" s="2"/>
      <x:c r="V646" s="2"/>
      <x:c r="W646" s="2"/>
      <x:c r="X646" s="3"/>
      <x:c r="Y646" s="3"/>
      <x:c r="Z646" s="2"/>
      <x:c r="AA646" s="2"/>
      <x:c r="AB646" s="2" t="s">
        <x:v>427</x:v>
      </x:c>
      <x:c r="AC646" s="2"/>
      <x:c r="AD646" s="2"/>
      <x:c r="AE646" s="2"/>
      <x:c r="AF646" s="2"/>
      <x:c r="AG646" s="2" t="s">
        <x:v>395</x:v>
      </x:c>
      <x:c r="AH646" s="2"/>
      <x:c r="AI646" s="4"/>
      <x:c r="AJ646" s="2"/>
      <x:c r="AK646" s="2" t="s">
        <x:v>396</x:v>
      </x:c>
      <x:c r="AL646" s="2" t="s">
        <x:v>1550</x:v>
      </x:c>
      <x:c r="AM646" s="2">
        <x:v>26</x:v>
      </x:c>
      <x:c r="AN646" s="2">
        <x:v>26</x:v>
      </x:c>
    </x:row>
    <x:row r="647" ht="39">
      <x:c r="A647" s="2" t="s">
        <x:v>6</x:v>
      </x:c>
      <x:c r="B647" s="2" t="s">
        <x:v>17</x:v>
      </x:c>
      <x:c r="C647" s="3">
        <x:v>25</x:v>
      </x:c>
      <x:c r="D647" s="2" t="s">
        <x:v>2105</x:v>
      </x:c>
      <x:c r="E647" s="2" t="s">
        <x:v>409</x:v>
      </x:c>
      <x:c r="F647" s="2" t="s">
        <x:v>386</x:v>
      </x:c>
      <x:c r="G647" s="2"/>
      <x:c r="H647" s="2" t="s">
        <x:v>627</x:v>
      </x:c>
      <x:c r="I647" s="2" t="s">
        <x:v>2103</x:v>
      </x:c>
      <x:c r="J647" s="2" t="s">
        <x:v>2086</x:v>
      </x:c>
      <x:c r="K647" s="2" t="n">
        <x:v>24</x:v>
      </x:c>
      <x:c r="L647" s="2" t="s">
        <x:v>2104</x:v>
      </x:c>
      <x:c r="M647" s="2" t="s">
        <x:v>2087</x:v>
      </x:c>
      <x:c r="N647" s="2">
        <x:v>2</x:v>
      </x:c>
      <x:c r="O647" s="2" t="s">
        <x:v>2088</x:v>
      </x:c>
      <x:c r="P647" s="2" t="s">
        <x:v>2089</x:v>
      </x:c>
      <x:c r="Q647" s="2"/>
      <x:c r="R647" s="3">
        <x:v>3</x:v>
      </x:c>
      <x:c r="S647" s="3">
        <x:v>1</x:v>
      </x:c>
      <x:c r="T647" s="2" t="s">
        <x:v>103</x:v>
      </x:c>
      <x:c r="U647" s="2"/>
      <x:c r="V647" s="2"/>
      <x:c r="W647" s="2"/>
      <x:c r="X647" s="3"/>
      <x:c r="Y647" s="3"/>
      <x:c r="Z647" s="2"/>
      <x:c r="AA647" s="2"/>
      <x:c r="AB647" s="2" t="s">
        <x:v>2090</x:v>
      </x:c>
      <x:c r="AC647" s="2"/>
      <x:c r="AD647" s="2"/>
      <x:c r="AE647" s="2"/>
      <x:c r="AF647" s="2"/>
      <x:c r="AG647" s="2" t="s">
        <x:v>395</x:v>
      </x:c>
      <x:c r="AH647" s="2"/>
      <x:c r="AI647" s="4"/>
      <x:c r="AJ647" s="2"/>
      <x:c r="AK647" s="2" t="s">
        <x:v>396</x:v>
      </x:c>
      <x:c r="AL647" s="2" t="s">
        <x:v>1550</x:v>
      </x:c>
      <x:c r="AM647" s="2">
        <x:v>27</x:v>
      </x:c>
      <x:c r="AN647" s="2">
        <x:v>27</x:v>
      </x:c>
    </x:row>
    <x:row r="648" ht="39">
      <x:c r="A648" s="2" t="s">
        <x:v>6</x:v>
      </x:c>
      <x:c r="B648" s="2" t="s">
        <x:v>17</x:v>
      </x:c>
      <x:c r="C648" s="3">
        <x:v>26</x:v>
      </x:c>
      <x:c r="D648" s="2" t="s">
        <x:v>2106</x:v>
      </x:c>
      <x:c r="E648" s="2" t="s">
        <x:v>409</x:v>
      </x:c>
      <x:c r="F648" s="2" t="s">
        <x:v>386</x:v>
      </x:c>
      <x:c r="G648" s="2"/>
      <x:c r="H648" s="2" t="s">
        <x:v>634</x:v>
      </x:c>
      <x:c r="I648" s="2" t="s">
        <x:v>2103</x:v>
      </x:c>
      <x:c r="J648" s="2" t="s">
        <x:v>635</x:v>
      </x:c>
      <x:c r="K648" s="2" t="n">
        <x:v>24</x:v>
      </x:c>
      <x:c r="L648" s="2" t="s">
        <x:v>2104</x:v>
      </x:c>
      <x:c r="M648" s="2" t="s">
        <x:v>2093</x:v>
      </x:c>
      <x:c r="N648" s="2">
        <x:v>2</x:v>
      </x:c>
      <x:c r="O648" s="2" t="s">
        <x:v>2094</x:v>
      </x:c>
      <x:c r="P648" s="2" t="s">
        <x:v>2095</x:v>
      </x:c>
      <x:c r="Q648" s="2"/>
      <x:c r="R648" s="3">
        <x:v>3</x:v>
      </x:c>
      <x:c r="S648" s="3">
        <x:v>1</x:v>
      </x:c>
      <x:c r="T648" s="2" t="s">
        <x:v>103</x:v>
      </x:c>
      <x:c r="U648" s="2"/>
      <x:c r="V648" s="2"/>
      <x:c r="W648" s="2"/>
      <x:c r="X648" s="3"/>
      <x:c r="Y648" s="3"/>
      <x:c r="Z648" s="2"/>
      <x:c r="AA648" s="2"/>
      <x:c r="AB648" s="2" t="s">
        <x:v>427</x:v>
      </x:c>
      <x:c r="AC648" s="2"/>
      <x:c r="AD648" s="2"/>
      <x:c r="AE648" s="2"/>
      <x:c r="AF648" s="2"/>
      <x:c r="AG648" s="2" t="s">
        <x:v>395</x:v>
      </x:c>
      <x:c r="AH648" s="2"/>
      <x:c r="AI648" s="4"/>
      <x:c r="AJ648" s="2"/>
      <x:c r="AK648" s="2" t="s">
        <x:v>396</x:v>
      </x:c>
      <x:c r="AL648" s="2" t="s">
        <x:v>1550</x:v>
      </x:c>
      <x:c r="AM648" s="2">
        <x:v>28</x:v>
      </x:c>
      <x:c r="AN648" s="2">
        <x:v>28</x:v>
      </x:c>
    </x:row>
    <x:row r="649" ht="26">
      <x:c r="A649" s="2" t="s">
        <x:v>6</x:v>
      </x:c>
      <x:c r="B649" s="2" t="s">
        <x:v>17</x:v>
      </x:c>
      <x:c r="C649" s="3">
        <x:v>27</x:v>
      </x:c>
      <x:c r="D649" s="2" t="s">
        <x:v>2107</x:v>
      </x:c>
      <x:c r="E649" s="2" t="s">
        <x:v>409</x:v>
      </x:c>
      <x:c r="F649" s="2" t="s">
        <x:v>386</x:v>
      </x:c>
      <x:c r="G649" s="2"/>
      <x:c r="H649" s="2" t="s">
        <x:v>634</x:v>
      </x:c>
      <x:c r="I649" s="2" t="s">
        <x:v>2103</x:v>
      </x:c>
      <x:c r="J649" s="2" t="s">
        <x:v>2098</x:v>
      </x:c>
      <x:c r="K649" s="2" t="n">
        <x:v>24</x:v>
      </x:c>
      <x:c r="L649" s="2" t="s">
        <x:v>2104</x:v>
      </x:c>
      <x:c r="M649" s="2" t="s">
        <x:v>2099</x:v>
      </x:c>
      <x:c r="N649" s="2">
        <x:v>2</x:v>
      </x:c>
      <x:c r="O649" s="2" t="s">
        <x:v>2094</x:v>
      </x:c>
      <x:c r="P649" s="2" t="s">
        <x:v>2100</x:v>
      </x:c>
      <x:c r="Q649" s="2"/>
      <x:c r="R649" s="3">
        <x:v>3</x:v>
      </x:c>
      <x:c r="S649" s="3">
        <x:v>1</x:v>
      </x:c>
      <x:c r="T649" s="2" t="s">
        <x:v>103</x:v>
      </x:c>
      <x:c r="U649" s="2"/>
      <x:c r="V649" s="2"/>
      <x:c r="W649" s="2"/>
      <x:c r="X649" s="3"/>
      <x:c r="Y649" s="3"/>
      <x:c r="Z649" s="2"/>
      <x:c r="AA649" s="2"/>
      <x:c r="AB649" s="2" t="s">
        <x:v>2101</x:v>
      </x:c>
      <x:c r="AC649" s="2"/>
      <x:c r="AD649" s="2"/>
      <x:c r="AE649" s="2"/>
      <x:c r="AF649" s="2"/>
      <x:c r="AG649" s="2" t="s">
        <x:v>395</x:v>
      </x:c>
      <x:c r="AH649" s="2"/>
      <x:c r="AI649" s="4"/>
      <x:c r="AJ649" s="2"/>
      <x:c r="AK649" s="2" t="s">
        <x:v>396</x:v>
      </x:c>
      <x:c r="AL649" s="2" t="s">
        <x:v>1550</x:v>
      </x:c>
      <x:c r="AM649" s="2">
        <x:v>29</x:v>
      </x:c>
      <x:c r="AN649" s="2">
        <x:v>29</x:v>
      </x:c>
    </x:row>
    <x:row r="650" ht="52">
      <x:c r="A650" s="2" t="s">
        <x:v>91</x:v>
      </x:c>
      <x:c r="B650" s="2" t="s">
        <x:v>17</x:v>
      </x:c>
      <x:c r="C650" s="3">
        <x:v>28</x:v>
      </x:c>
      <x:c r="D650" s="2" t="s">
        <x:v>2108</x:v>
      </x:c>
      <x:c r="E650" s="2" t="s">
        <x:v>2109</x:v>
      </x:c>
      <x:c r="F650" s="2" t="s">
        <x:v>423</x:v>
      </x:c>
      <x:c r="G650" s="2" t="s">
        <x:v>2110</x:v>
      </x:c>
      <x:c r="H650" s="2" t="s">
        <x:v>618</x:v>
      </x:c>
      <x:c r="I650" s="2" t="s">
        <x:v>2111</x:v>
      </x:c>
      <x:c r="J650" s="2" t="s">
        <x:v>2080</x:v>
      </x:c>
      <x:c r="K650" s="2"/>
      <x:c r="L650" s="2" t="s">
        <x:v>2112</x:v>
      </x:c>
      <x:c r="M650" s="2" t="s">
        <x:v>2082</x:v>
      </x:c>
      <x:c r="N650" s="2">
        <x:v>2</x:v>
      </x:c>
      <x:c r="O650" s="2" t="s">
        <x:v>2083</x:v>
      </x:c>
      <x:c r="P650" s="2" t="s">
        <x:v>2084</x:v>
      </x:c>
      <x:c r="Q650" s="2"/>
      <x:c r="R650" s="3">
        <x:v>4</x:v>
      </x:c>
      <x:c r="S650" s="3">
        <x:v>1</x:v>
      </x:c>
      <x:c r="T650" s="2" t="s">
        <x:v>103</x:v>
      </x:c>
      <x:c r="U650" s="2"/>
      <x:c r="V650" s="2"/>
      <x:c r="W650" s="2"/>
      <x:c r="X650" s="3"/>
      <x:c r="Y650" s="3"/>
      <x:c r="Z650" s="2"/>
      <x:c r="AA650" s="2"/>
      <x:c r="AB650" s="2" t="s">
        <x:v>394</x:v>
      </x:c>
      <x:c r="AC650" s="2"/>
      <x:c r="AD650" s="2"/>
      <x:c r="AE650" s="2"/>
      <x:c r="AF650" s="2"/>
      <x:c r="AG650" s="2" t="s">
        <x:v>428</x:v>
      </x:c>
      <x:c r="AH650" s="2"/>
      <x:c r="AI650" s="4"/>
      <x:c r="AJ650" s="2"/>
      <x:c r="AK650" s="2" t="s">
        <x:v>396</x:v>
      </x:c>
      <x:c r="AL650" s="2" t="s">
        <x:v>1550</x:v>
      </x:c>
      <x:c r="AM650" s="2">
        <x:v>30</x:v>
      </x:c>
      <x:c r="AN650" s="2">
        <x:v>30</x:v>
      </x:c>
    </x:row>
    <x:row r="651" ht="39">
      <x:c r="A651" s="2" t="s">
        <x:v>91</x:v>
      </x:c>
      <x:c r="B651" s="2" t="s">
        <x:v>17</x:v>
      </x:c>
      <x:c r="C651" s="3">
        <x:v>29</x:v>
      </x:c>
      <x:c r="D651" s="2" t="s">
        <x:v>2113</x:v>
      </x:c>
      <x:c r="E651" s="2" t="s">
        <x:v>2109</x:v>
      </x:c>
      <x:c r="F651" s="2" t="s">
        <x:v>423</x:v>
      </x:c>
      <x:c r="G651" s="2" t="s">
        <x:v>2114</x:v>
      </x:c>
      <x:c r="H651" s="2" t="s">
        <x:v>627</x:v>
      </x:c>
      <x:c r="I651" s="2" t="s">
        <x:v>2111</x:v>
      </x:c>
      <x:c r="J651" s="2" t="s">
        <x:v>2086</x:v>
      </x:c>
      <x:c r="K651" s="2" t="n">
        <x:v>28</x:v>
      </x:c>
      <x:c r="L651" s="2" t="s">
        <x:v>2112</x:v>
      </x:c>
      <x:c r="M651" s="2" t="s">
        <x:v>2087</x:v>
      </x:c>
      <x:c r="N651" s="2">
        <x:v>2</x:v>
      </x:c>
      <x:c r="O651" s="2" t="s">
        <x:v>2088</x:v>
      </x:c>
      <x:c r="P651" s="2" t="s">
        <x:v>2089</x:v>
      </x:c>
      <x:c r="Q651" s="2"/>
      <x:c r="R651" s="3">
        <x:v>4</x:v>
      </x:c>
      <x:c r="S651" s="3">
        <x:v>1</x:v>
      </x:c>
      <x:c r="T651" s="2" t="s">
        <x:v>103</x:v>
      </x:c>
      <x:c r="U651" s="2"/>
      <x:c r="V651" s="2"/>
      <x:c r="W651" s="2"/>
      <x:c r="X651" s="3"/>
      <x:c r="Y651" s="3"/>
      <x:c r="Z651" s="2"/>
      <x:c r="AA651" s="2"/>
      <x:c r="AB651" s="2" t="s">
        <x:v>2090</x:v>
      </x:c>
      <x:c r="AC651" s="2"/>
      <x:c r="AD651" s="2"/>
      <x:c r="AE651" s="2"/>
      <x:c r="AF651" s="2"/>
      <x:c r="AG651" s="2" t="s">
        <x:v>428</x:v>
      </x:c>
      <x:c r="AH651" s="2"/>
      <x:c r="AI651" s="4"/>
      <x:c r="AJ651" s="2"/>
      <x:c r="AK651" s="2" t="s">
        <x:v>396</x:v>
      </x:c>
      <x:c r="AL651" s="2" t="s">
        <x:v>1550</x:v>
      </x:c>
      <x:c r="AM651" s="2">
        <x:v>31</x:v>
      </x:c>
      <x:c r="AN651" s="2">
        <x:v>31</x:v>
      </x:c>
    </x:row>
    <x:row r="652" ht="39">
      <x:c r="A652" s="2" t="s">
        <x:v>6</x:v>
      </x:c>
      <x:c r="B652" s="2" t="s">
        <x:v>17</x:v>
      </x:c>
      <x:c r="C652" s="3">
        <x:v>30</x:v>
      </x:c>
      <x:c r="D652" s="2" t="s">
        <x:v>2115</x:v>
      </x:c>
      <x:c r="E652" s="2" t="s">
        <x:v>2109</x:v>
      </x:c>
      <x:c r="F652" s="2" t="s">
        <x:v>423</x:v>
      </x:c>
      <x:c r="G652" s="2"/>
      <x:c r="H652" s="2" t="s">
        <x:v>634</x:v>
      </x:c>
      <x:c r="I652" s="2" t="s">
        <x:v>2111</x:v>
      </x:c>
      <x:c r="J652" s="2" t="s">
        <x:v>635</x:v>
      </x:c>
      <x:c r="K652" s="2" t="n">
        <x:v>28</x:v>
      </x:c>
      <x:c r="L652" s="2" t="s">
        <x:v>2112</x:v>
      </x:c>
      <x:c r="M652" s="2" t="s">
        <x:v>2093</x:v>
      </x:c>
      <x:c r="N652" s="2">
        <x:v>2</x:v>
      </x:c>
      <x:c r="O652" s="2" t="s">
        <x:v>2094</x:v>
      </x:c>
      <x:c r="P652" s="2" t="s">
        <x:v>2095</x:v>
      </x:c>
      <x:c r="Q652" s="2"/>
      <x:c r="R652" s="3">
        <x:v>4</x:v>
      </x:c>
      <x:c r="S652" s="3">
        <x:v>1</x:v>
      </x:c>
      <x:c r="T652" s="2" t="s">
        <x:v>103</x:v>
      </x:c>
      <x:c r="U652" s="2"/>
      <x:c r="V652" s="2"/>
      <x:c r="W652" s="2"/>
      <x:c r="X652" s="3"/>
      <x:c r="Y652" s="3"/>
      <x:c r="Z652" s="2"/>
      <x:c r="AA652" s="2"/>
      <x:c r="AB652" s="2" t="s">
        <x:v>394</x:v>
      </x:c>
      <x:c r="AC652" s="2"/>
      <x:c r="AD652" s="2"/>
      <x:c r="AE652" s="2"/>
      <x:c r="AF652" s="2"/>
      <x:c r="AG652" s="2" t="s">
        <x:v>428</x:v>
      </x:c>
      <x:c r="AH652" s="2"/>
      <x:c r="AI652" s="4"/>
      <x:c r="AJ652" s="2"/>
      <x:c r="AK652" s="2" t="s">
        <x:v>396</x:v>
      </x:c>
      <x:c r="AL652" s="2" t="s">
        <x:v>1550</x:v>
      </x:c>
      <x:c r="AM652" s="2">
        <x:v>32</x:v>
      </x:c>
      <x:c r="AN652" s="2">
        <x:v>32</x:v>
      </x:c>
    </x:row>
    <x:row r="653" ht="39">
      <x:c r="A653" s="2" t="s">
        <x:v>91</x:v>
      </x:c>
      <x:c r="B653" s="2" t="s">
        <x:v>17</x:v>
      </x:c>
      <x:c r="C653" s="3">
        <x:v>31</x:v>
      </x:c>
      <x:c r="D653" s="2" t="s">
        <x:v>2116</x:v>
      </x:c>
      <x:c r="E653" s="2" t="s">
        <x:v>2109</x:v>
      </x:c>
      <x:c r="F653" s="2" t="s">
        <x:v>423</x:v>
      </x:c>
      <x:c r="G653" s="2" t="s">
        <x:v>2117</x:v>
      </x:c>
      <x:c r="H653" s="2" t="s">
        <x:v>634</x:v>
      </x:c>
      <x:c r="I653" s="2" t="s">
        <x:v>2111</x:v>
      </x:c>
      <x:c r="J653" s="2" t="s">
        <x:v>2098</x:v>
      </x:c>
      <x:c r="K653" s="2" t="n">
        <x:v>28</x:v>
      </x:c>
      <x:c r="L653" s="2" t="s">
        <x:v>2112</x:v>
      </x:c>
      <x:c r="M653" s="2" t="s">
        <x:v>2099</x:v>
      </x:c>
      <x:c r="N653" s="2">
        <x:v>2</x:v>
      </x:c>
      <x:c r="O653" s="2" t="s">
        <x:v>2094</x:v>
      </x:c>
      <x:c r="P653" s="2" t="s">
        <x:v>2100</x:v>
      </x:c>
      <x:c r="Q653" s="2"/>
      <x:c r="R653" s="3">
        <x:v>4</x:v>
      </x:c>
      <x:c r="S653" s="3">
        <x:v>1</x:v>
      </x:c>
      <x:c r="T653" s="2" t="s">
        <x:v>103</x:v>
      </x:c>
      <x:c r="U653" s="2"/>
      <x:c r="V653" s="2"/>
      <x:c r="W653" s="2"/>
      <x:c r="X653" s="3"/>
      <x:c r="Y653" s="3"/>
      <x:c r="Z653" s="2"/>
      <x:c r="AA653" s="2"/>
      <x:c r="AB653" s="2" t="s">
        <x:v>2101</x:v>
      </x:c>
      <x:c r="AC653" s="2"/>
      <x:c r="AD653" s="2"/>
      <x:c r="AE653" s="2"/>
      <x:c r="AF653" s="2"/>
      <x:c r="AG653" s="2" t="s">
        <x:v>428</x:v>
      </x:c>
      <x:c r="AH653" s="2"/>
      <x:c r="AI653" s="4"/>
      <x:c r="AJ653" s="2"/>
      <x:c r="AK653" s="2" t="s">
        <x:v>396</x:v>
      </x:c>
      <x:c r="AL653" s="2" t="s">
        <x:v>1550</x:v>
      </x:c>
      <x:c r="AM653" s="2">
        <x:v>33</x:v>
      </x:c>
      <x:c r="AN653" s="2">
        <x:v>33</x:v>
      </x:c>
    </x:row>
    <x:row r="654" ht="52">
      <x:c r="A654" s="2" t="s">
        <x:v>6</x:v>
      </x:c>
      <x:c r="B654" s="2" t="s">
        <x:v>17</x:v>
      </x:c>
      <x:c r="C654" s="3">
        <x:v>32</x:v>
      </x:c>
      <x:c r="D654" s="2" t="s">
        <x:v>2118</x:v>
      </x:c>
      <x:c r="E654" s="2" t="s">
        <x:v>2046</x:v>
      </x:c>
      <x:c r="F654" s="2" t="s">
        <x:v>237</x:v>
      </x:c>
      <x:c r="G654" s="2"/>
      <x:c r="H654" s="2" t="s">
        <x:v>618</x:v>
      </x:c>
      <x:c r="I654" s="2" t="s">
        <x:v>2119</x:v>
      </x:c>
      <x:c r="J654" s="2" t="s">
        <x:v>2120</x:v>
      </x:c>
      <x:c r="K654" s="2"/>
      <x:c r="L654" s="2" t="s">
        <x:v>2121</x:v>
      </x:c>
      <x:c r="M654" s="2" t="s">
        <x:v>2082</x:v>
      </x:c>
      <x:c r="N654" s="2">
        <x:v>2</x:v>
      </x:c>
      <x:c r="O654" s="2" t="s">
        <x:v>2083</x:v>
      </x:c>
      <x:c r="P654" s="2" t="s">
        <x:v>2084</x:v>
      </x:c>
      <x:c r="Q654" s="2"/>
      <x:c r="R654" s="3">
        <x:v>4</x:v>
      </x:c>
      <x:c r="S654" s="3">
        <x:v>1</x:v>
      </x:c>
      <x:c r="T654" s="2" t="s">
        <x:v>103</x:v>
      </x:c>
      <x:c r="U654" s="2"/>
      <x:c r="V654" s="2"/>
      <x:c r="W654" s="2"/>
      <x:c r="X654" s="3"/>
      <x:c r="Y654" s="3"/>
      <x:c r="Z654" s="2"/>
      <x:c r="AA654" s="2"/>
      <x:c r="AB654" s="2" t="s">
        <x:v>415</x:v>
      </x:c>
      <x:c r="AC654" s="2"/>
      <x:c r="AD654" s="2"/>
      <x:c r="AE654" s="2"/>
      <x:c r="AF654" s="2"/>
      <x:c r="AG654" s="2" t="s">
        <x:v>2036</x:v>
      </x:c>
      <x:c r="AH654" s="2"/>
      <x:c r="AI654" s="4"/>
      <x:c r="AJ654" s="2"/>
      <x:c r="AK654" s="2" t="s">
        <x:v>396</x:v>
      </x:c>
      <x:c r="AL654" s="2" t="s">
        <x:v>1550</x:v>
      </x:c>
      <x:c r="AM654" s="2">
        <x:v>34</x:v>
      </x:c>
      <x:c r="AN654" s="2">
        <x:v>34</x:v>
      </x:c>
    </x:row>
    <x:row r="655" ht="39">
      <x:c r="A655" s="2" t="s">
        <x:v>6</x:v>
      </x:c>
      <x:c r="B655" s="2" t="s">
        <x:v>17</x:v>
      </x:c>
      <x:c r="C655" s="3">
        <x:v>33</x:v>
      </x:c>
      <x:c r="D655" s="2" t="s">
        <x:v>1418</x:v>
      </x:c>
      <x:c r="E655" s="2" t="s">
        <x:v>2046</x:v>
      </x:c>
      <x:c r="F655" s="2" t="s">
        <x:v>237</x:v>
      </x:c>
      <x:c r="G655" s="2"/>
      <x:c r="H655" s="2" t="s">
        <x:v>627</x:v>
      </x:c>
      <x:c r="I655" s="2" t="s">
        <x:v>2119</x:v>
      </x:c>
      <x:c r="J655" s="2" t="s">
        <x:v>2086</x:v>
      </x:c>
      <x:c r="K655" s="2" t="n">
        <x:v>32</x:v>
      </x:c>
      <x:c r="L655" s="2" t="s">
        <x:v>2121</x:v>
      </x:c>
      <x:c r="M655" s="2" t="s">
        <x:v>2087</x:v>
      </x:c>
      <x:c r="N655" s="2">
        <x:v>2</x:v>
      </x:c>
      <x:c r="O655" s="2" t="s">
        <x:v>2088</x:v>
      </x:c>
      <x:c r="P655" s="2" t="s">
        <x:v>2089</x:v>
      </x:c>
      <x:c r="Q655" s="2"/>
      <x:c r="R655" s="3">
        <x:v>4</x:v>
      </x:c>
      <x:c r="S655" s="3">
        <x:v>1</x:v>
      </x:c>
      <x:c r="T655" s="2" t="s">
        <x:v>103</x:v>
      </x:c>
      <x:c r="U655" s="2"/>
      <x:c r="V655" s="2"/>
      <x:c r="W655" s="2"/>
      <x:c r="X655" s="3"/>
      <x:c r="Y655" s="3"/>
      <x:c r="Z655" s="2"/>
      <x:c r="AA655" s="2"/>
      <x:c r="AB655" s="2" t="s">
        <x:v>2090</x:v>
      </x:c>
      <x:c r="AC655" s="2"/>
      <x:c r="AD655" s="2"/>
      <x:c r="AE655" s="2"/>
      <x:c r="AF655" s="2"/>
      <x:c r="AG655" s="2" t="s">
        <x:v>2036</x:v>
      </x:c>
      <x:c r="AH655" s="2"/>
      <x:c r="AI655" s="4"/>
      <x:c r="AJ655" s="2"/>
      <x:c r="AK655" s="2" t="s">
        <x:v>396</x:v>
      </x:c>
      <x:c r="AL655" s="2" t="s">
        <x:v>1550</x:v>
      </x:c>
      <x:c r="AM655" s="2">
        <x:v>35</x:v>
      </x:c>
      <x:c r="AN655" s="2">
        <x:v>35</x:v>
      </x:c>
    </x:row>
    <x:row r="656" ht="39">
      <x:c r="A656" s="2" t="s">
        <x:v>91</x:v>
      </x:c>
      <x:c r="B656" s="2" t="s">
        <x:v>17</x:v>
      </x:c>
      <x:c r="C656" s="3">
        <x:v>34</x:v>
      </x:c>
      <x:c r="D656" s="2" t="s">
        <x:v>2122</x:v>
      </x:c>
      <x:c r="E656" s="2" t="s">
        <x:v>2046</x:v>
      </x:c>
      <x:c r="F656" s="2" t="s">
        <x:v>237</x:v>
      </x:c>
      <x:c r="G656" s="2" t="s">
        <x:v>2123</x:v>
      </x:c>
      <x:c r="H656" s="2" t="s">
        <x:v>634</x:v>
      </x:c>
      <x:c r="I656" s="2" t="s">
        <x:v>2119</x:v>
      </x:c>
      <x:c r="J656" s="2" t="s">
        <x:v>635</x:v>
      </x:c>
      <x:c r="K656" s="2" t="n">
        <x:v>32</x:v>
      </x:c>
      <x:c r="L656" s="2" t="s">
        <x:v>2121</x:v>
      </x:c>
      <x:c r="M656" s="2" t="s">
        <x:v>2093</x:v>
      </x:c>
      <x:c r="N656" s="2">
        <x:v>2</x:v>
      </x:c>
      <x:c r="O656" s="2" t="s">
        <x:v>2094</x:v>
      </x:c>
      <x:c r="P656" s="2" t="s">
        <x:v>2095</x:v>
      </x:c>
      <x:c r="Q656" s="2"/>
      <x:c r="R656" s="3">
        <x:v>4</x:v>
      </x:c>
      <x:c r="S656" s="3">
        <x:v>1</x:v>
      </x:c>
      <x:c r="T656" s="2" t="s">
        <x:v>103</x:v>
      </x:c>
      <x:c r="U656" s="2"/>
      <x:c r="V656" s="2"/>
      <x:c r="W656" s="2"/>
      <x:c r="X656" s="3"/>
      <x:c r="Y656" s="3"/>
      <x:c r="Z656" s="2"/>
      <x:c r="AA656" s="2"/>
      <x:c r="AB656" s="2" t="s">
        <x:v>415</x:v>
      </x:c>
      <x:c r="AC656" s="2"/>
      <x:c r="AD656" s="2"/>
      <x:c r="AE656" s="2"/>
      <x:c r="AF656" s="2"/>
      <x:c r="AG656" s="2" t="s">
        <x:v>2036</x:v>
      </x:c>
      <x:c r="AH656" s="2"/>
      <x:c r="AI656" s="4"/>
      <x:c r="AJ656" s="2"/>
      <x:c r="AK656" s="2" t="s">
        <x:v>396</x:v>
      </x:c>
      <x:c r="AL656" s="2" t="s">
        <x:v>1550</x:v>
      </x:c>
      <x:c r="AM656" s="2">
        <x:v>36</x:v>
      </x:c>
      <x:c r="AN656" s="2">
        <x:v>36</x:v>
      </x:c>
    </x:row>
    <x:row r="657" ht="39">
      <x:c r="A657" s="2" t="s">
        <x:v>6</x:v>
      </x:c>
      <x:c r="B657" s="2" t="s">
        <x:v>17</x:v>
      </x:c>
      <x:c r="C657" s="3">
        <x:v>35</x:v>
      </x:c>
      <x:c r="D657" s="2" t="s">
        <x:v>2124</x:v>
      </x:c>
      <x:c r="E657" s="2" t="s">
        <x:v>2046</x:v>
      </x:c>
      <x:c r="F657" s="2" t="s">
        <x:v>237</x:v>
      </x:c>
      <x:c r="G657" s="2" t="s">
        <x:v>2125</x:v>
      </x:c>
      <x:c r="H657" s="2" t="s">
        <x:v>634</x:v>
      </x:c>
      <x:c r="I657" s="2" t="s">
        <x:v>2119</x:v>
      </x:c>
      <x:c r="J657" s="2" t="s">
        <x:v>2098</x:v>
      </x:c>
      <x:c r="K657" s="2" t="n">
        <x:v>32</x:v>
      </x:c>
      <x:c r="L657" s="2" t="s">
        <x:v>2121</x:v>
      </x:c>
      <x:c r="M657" s="2" t="s">
        <x:v>2099</x:v>
      </x:c>
      <x:c r="N657" s="2">
        <x:v>2</x:v>
      </x:c>
      <x:c r="O657" s="2" t="s">
        <x:v>2094</x:v>
      </x:c>
      <x:c r="P657" s="2" t="s">
        <x:v>2100</x:v>
      </x:c>
      <x:c r="Q657" s="2"/>
      <x:c r="R657" s="3">
        <x:v>4</x:v>
      </x:c>
      <x:c r="S657" s="3">
        <x:v>1</x:v>
      </x:c>
      <x:c r="T657" s="2" t="s">
        <x:v>103</x:v>
      </x:c>
      <x:c r="U657" s="2"/>
      <x:c r="V657" s="2"/>
      <x:c r="W657" s="2"/>
      <x:c r="X657" s="3"/>
      <x:c r="Y657" s="3"/>
      <x:c r="Z657" s="2"/>
      <x:c r="AA657" s="2"/>
      <x:c r="AB657" s="2" t="s">
        <x:v>2101</x:v>
      </x:c>
      <x:c r="AC657" s="2"/>
      <x:c r="AD657" s="2"/>
      <x:c r="AE657" s="2"/>
      <x:c r="AF657" s="2"/>
      <x:c r="AG657" s="2" t="s">
        <x:v>2036</x:v>
      </x:c>
      <x:c r="AH657" s="2"/>
      <x:c r="AI657" s="4"/>
      <x:c r="AJ657" s="2"/>
      <x:c r="AK657" s="2" t="s">
        <x:v>396</x:v>
      </x:c>
      <x:c r="AL657" s="2" t="s">
        <x:v>1550</x:v>
      </x:c>
      <x:c r="AM657" s="2">
        <x:v>37</x:v>
      </x:c>
      <x:c r="AN657" s="2">
        <x:v>37</x:v>
      </x:c>
    </x:row>
    <x:row r="658" ht="52">
      <x:c r="A658" s="2" t="s">
        <x:v>91</x:v>
      </x:c>
      <x:c r="B658" s="2" t="s">
        <x:v>17</x:v>
      </x:c>
      <x:c r="C658" s="3">
        <x:v>36</x:v>
      </x:c>
      <x:c r="D658" s="2" t="s">
        <x:v>2126</x:v>
      </x:c>
      <x:c r="E658" s="2" t="s">
        <x:v>404</x:v>
      </x:c>
      <x:c r="F658" s="2" t="s">
        <x:v>386</x:v>
      </x:c>
      <x:c r="G658" s="2" t="s">
        <x:v>158</x:v>
      </x:c>
      <x:c r="H658" s="2" t="s">
        <x:v>618</x:v>
      </x:c>
      <x:c r="I658" s="2" t="s">
        <x:v>2127</x:v>
      </x:c>
      <x:c r="J658" s="2" t="s">
        <x:v>2120</x:v>
      </x:c>
      <x:c r="K658" s="2"/>
      <x:c r="L658" s="2" t="s">
        <x:v>2128</x:v>
      </x:c>
      <x:c r="M658" s="2" t="s">
        <x:v>2082</x:v>
      </x:c>
      <x:c r="N658" s="2">
        <x:v>2</x:v>
      </x:c>
      <x:c r="O658" s="2" t="s">
        <x:v>2083</x:v>
      </x:c>
      <x:c r="P658" s="2" t="s">
        <x:v>2084</x:v>
      </x:c>
      <x:c r="Q658" s="2"/>
      <x:c r="R658" s="3">
        <x:v>4</x:v>
      </x:c>
      <x:c r="S658" s="3">
        <x:v>1</x:v>
      </x:c>
      <x:c r="T658" s="2" t="s">
        <x:v>103</x:v>
      </x:c>
      <x:c r="U658" s="2"/>
      <x:c r="V658" s="2"/>
      <x:c r="W658" s="2"/>
      <x:c r="X658" s="3"/>
      <x:c r="Y658" s="3"/>
      <x:c r="Z658" s="2"/>
      <x:c r="AA658" s="2"/>
      <x:c r="AB658" s="2" t="s">
        <x:v>427</x:v>
      </x:c>
      <x:c r="AC658" s="2"/>
      <x:c r="AD658" s="2"/>
      <x:c r="AE658" s="2"/>
      <x:c r="AF658" s="2"/>
      <x:c r="AG658" s="2" t="s">
        <x:v>395</x:v>
      </x:c>
      <x:c r="AH658" s="2"/>
      <x:c r="AI658" s="4"/>
      <x:c r="AJ658" s="2"/>
      <x:c r="AK658" s="2" t="s">
        <x:v>396</x:v>
      </x:c>
      <x:c r="AL658" s="2" t="s">
        <x:v>1550</x:v>
      </x:c>
      <x:c r="AM658" s="2">
        <x:v>38</x:v>
      </x:c>
      <x:c r="AN658" s="2">
        <x:v>38</x:v>
      </x:c>
    </x:row>
    <x:row r="659" ht="39">
      <x:c r="A659" s="2" t="s">
        <x:v>91</x:v>
      </x:c>
      <x:c r="B659" s="2" t="s">
        <x:v>17</x:v>
      </x:c>
      <x:c r="C659" s="3">
        <x:v>37</x:v>
      </x:c>
      <x:c r="D659" s="2" t="s">
        <x:v>2129</x:v>
      </x:c>
      <x:c r="E659" s="2" t="s">
        <x:v>404</x:v>
      </x:c>
      <x:c r="F659" s="2" t="s">
        <x:v>386</x:v>
      </x:c>
      <x:c r="G659" s="2" t="s">
        <x:v>2130</x:v>
      </x:c>
      <x:c r="H659" s="2" t="s">
        <x:v>627</x:v>
      </x:c>
      <x:c r="I659" s="2" t="s">
        <x:v>2127</x:v>
      </x:c>
      <x:c r="J659" s="2" t="s">
        <x:v>2086</x:v>
      </x:c>
      <x:c r="K659" s="2" t="n">
        <x:v>36</x:v>
      </x:c>
      <x:c r="L659" s="2" t="s">
        <x:v>2128</x:v>
      </x:c>
      <x:c r="M659" s="2" t="s">
        <x:v>2087</x:v>
      </x:c>
      <x:c r="N659" s="2">
        <x:v>2</x:v>
      </x:c>
      <x:c r="O659" s="2" t="s">
        <x:v>2088</x:v>
      </x:c>
      <x:c r="P659" s="2" t="s">
        <x:v>2089</x:v>
      </x:c>
      <x:c r="Q659" s="2"/>
      <x:c r="R659" s="3">
        <x:v>4</x:v>
      </x:c>
      <x:c r="S659" s="3">
        <x:v>1</x:v>
      </x:c>
      <x:c r="T659" s="2" t="s">
        <x:v>103</x:v>
      </x:c>
      <x:c r="U659" s="2"/>
      <x:c r="V659" s="2"/>
      <x:c r="W659" s="2"/>
      <x:c r="X659" s="3"/>
      <x:c r="Y659" s="3"/>
      <x:c r="Z659" s="2"/>
      <x:c r="AA659" s="2"/>
      <x:c r="AB659" s="2" t="s">
        <x:v>2090</x:v>
      </x:c>
      <x:c r="AC659" s="2"/>
      <x:c r="AD659" s="2"/>
      <x:c r="AE659" s="2"/>
      <x:c r="AF659" s="2"/>
      <x:c r="AG659" s="2" t="s">
        <x:v>395</x:v>
      </x:c>
      <x:c r="AH659" s="2"/>
      <x:c r="AI659" s="4"/>
      <x:c r="AJ659" s="2"/>
      <x:c r="AK659" s="2" t="s">
        <x:v>396</x:v>
      </x:c>
      <x:c r="AL659" s="2" t="s">
        <x:v>1550</x:v>
      </x:c>
      <x:c r="AM659" s="2">
        <x:v>39</x:v>
      </x:c>
      <x:c r="AN659" s="2">
        <x:v>39</x:v>
      </x:c>
    </x:row>
    <x:row r="660" ht="39">
      <x:c r="A660" s="2" t="s">
        <x:v>91</x:v>
      </x:c>
      <x:c r="B660" s="2" t="s">
        <x:v>17</x:v>
      </x:c>
      <x:c r="C660" s="3">
        <x:v>38</x:v>
      </x:c>
      <x:c r="D660" s="2" t="s">
        <x:v>2131</x:v>
      </x:c>
      <x:c r="E660" s="2" t="s">
        <x:v>404</x:v>
      </x:c>
      <x:c r="F660" s="2" t="s">
        <x:v>386</x:v>
      </x:c>
      <x:c r="G660" s="2" t="s">
        <x:v>2132</x:v>
      </x:c>
      <x:c r="H660" s="2" t="s">
        <x:v>634</x:v>
      </x:c>
      <x:c r="I660" s="2" t="s">
        <x:v>2127</x:v>
      </x:c>
      <x:c r="J660" s="2" t="s">
        <x:v>635</x:v>
      </x:c>
      <x:c r="K660" s="2" t="n">
        <x:v>36</x:v>
      </x:c>
      <x:c r="L660" s="2" t="s">
        <x:v>2128</x:v>
      </x:c>
      <x:c r="M660" s="2" t="s">
        <x:v>2093</x:v>
      </x:c>
      <x:c r="N660" s="2">
        <x:v>2</x:v>
      </x:c>
      <x:c r="O660" s="2" t="s">
        <x:v>2094</x:v>
      </x:c>
      <x:c r="P660" s="2" t="s">
        <x:v>2095</x:v>
      </x:c>
      <x:c r="Q660" s="2"/>
      <x:c r="R660" s="3">
        <x:v>4</x:v>
      </x:c>
      <x:c r="S660" s="3">
        <x:v>1</x:v>
      </x:c>
      <x:c r="T660" s="2" t="s">
        <x:v>103</x:v>
      </x:c>
      <x:c r="U660" s="2"/>
      <x:c r="V660" s="2"/>
      <x:c r="W660" s="2"/>
      <x:c r="X660" s="3"/>
      <x:c r="Y660" s="3"/>
      <x:c r="Z660" s="2"/>
      <x:c r="AA660" s="2"/>
      <x:c r="AB660" s="2" t="s">
        <x:v>427</x:v>
      </x:c>
      <x:c r="AC660" s="2"/>
      <x:c r="AD660" s="2"/>
      <x:c r="AE660" s="2"/>
      <x:c r="AF660" s="2"/>
      <x:c r="AG660" s="2" t="s">
        <x:v>395</x:v>
      </x:c>
      <x:c r="AH660" s="2"/>
      <x:c r="AI660" s="4"/>
      <x:c r="AJ660" s="2"/>
      <x:c r="AK660" s="2" t="s">
        <x:v>396</x:v>
      </x:c>
      <x:c r="AL660" s="2" t="s">
        <x:v>1550</x:v>
      </x:c>
      <x:c r="AM660" s="2">
        <x:v>40</x:v>
      </x:c>
      <x:c r="AN660" s="2">
        <x:v>40</x:v>
      </x:c>
    </x:row>
    <x:row r="661" ht="26">
      <x:c r="A661" s="2" t="s">
        <x:v>91</x:v>
      </x:c>
      <x:c r="B661" s="2" t="s">
        <x:v>17</x:v>
      </x:c>
      <x:c r="C661" s="3">
        <x:v>39</x:v>
      </x:c>
      <x:c r="D661" s="2" t="s">
        <x:v>2133</x:v>
      </x:c>
      <x:c r="E661" s="2" t="s">
        <x:v>404</x:v>
      </x:c>
      <x:c r="F661" s="2" t="s">
        <x:v>386</x:v>
      </x:c>
      <x:c r="G661" s="2" t="s">
        <x:v>2130</x:v>
      </x:c>
      <x:c r="H661" s="2" t="s">
        <x:v>634</x:v>
      </x:c>
      <x:c r="I661" s="2" t="s">
        <x:v>2127</x:v>
      </x:c>
      <x:c r="J661" s="2" t="s">
        <x:v>2098</x:v>
      </x:c>
      <x:c r="K661" s="2" t="n">
        <x:v>36</x:v>
      </x:c>
      <x:c r="L661" s="2" t="s">
        <x:v>2128</x:v>
      </x:c>
      <x:c r="M661" s="2" t="s">
        <x:v>2099</x:v>
      </x:c>
      <x:c r="N661" s="2">
        <x:v>2</x:v>
      </x:c>
      <x:c r="O661" s="2" t="s">
        <x:v>2094</x:v>
      </x:c>
      <x:c r="P661" s="2" t="s">
        <x:v>2100</x:v>
      </x:c>
      <x:c r="Q661" s="2"/>
      <x:c r="R661" s="3">
        <x:v>4</x:v>
      </x:c>
      <x:c r="S661" s="3">
        <x:v>1</x:v>
      </x:c>
      <x:c r="T661" s="2" t="s">
        <x:v>103</x:v>
      </x:c>
      <x:c r="U661" s="2"/>
      <x:c r="V661" s="2"/>
      <x:c r="W661" s="2"/>
      <x:c r="X661" s="3"/>
      <x:c r="Y661" s="3"/>
      <x:c r="Z661" s="2"/>
      <x:c r="AA661" s="2"/>
      <x:c r="AB661" s="2" t="s">
        <x:v>2101</x:v>
      </x:c>
      <x:c r="AC661" s="2"/>
      <x:c r="AD661" s="2"/>
      <x:c r="AE661" s="2"/>
      <x:c r="AF661" s="2"/>
      <x:c r="AG661" s="2" t="s">
        <x:v>395</x:v>
      </x:c>
      <x:c r="AH661" s="2"/>
      <x:c r="AI661" s="4"/>
      <x:c r="AJ661" s="2"/>
      <x:c r="AK661" s="2" t="s">
        <x:v>396</x:v>
      </x:c>
      <x:c r="AL661" s="2" t="s">
        <x:v>1550</x:v>
      </x:c>
      <x:c r="AM661" s="2">
        <x:v>41</x:v>
      </x:c>
      <x:c r="AN661" s="2">
        <x:v>41</x:v>
      </x:c>
    </x:row>
    <x:row r="662" ht="52">
      <x:c r="A662" s="2" t="s">
        <x:v>6</x:v>
      </x:c>
      <x:c r="B662" s="2" t="s">
        <x:v>17</x:v>
      </x:c>
      <x:c r="C662" s="3">
        <x:v>40</x:v>
      </x:c>
      <x:c r="D662" s="2" t="s">
        <x:v>2134</x:v>
      </x:c>
      <x:c r="E662" s="2" t="s">
        <x:v>2135</x:v>
      </x:c>
      <x:c r="F662" s="2" t="s">
        <x:v>423</x:v>
      </x:c>
      <x:c r="G662" s="2"/>
      <x:c r="H662" s="2" t="s">
        <x:v>618</x:v>
      </x:c>
      <x:c r="I662" s="2" t="s">
        <x:v>2136</x:v>
      </x:c>
      <x:c r="J662" s="2" t="s">
        <x:v>2120</x:v>
      </x:c>
      <x:c r="K662" s="2"/>
      <x:c r="L662" s="2" t="s">
        <x:v>2137</x:v>
      </x:c>
      <x:c r="M662" s="2" t="s">
        <x:v>2082</x:v>
      </x:c>
      <x:c r="N662" s="2">
        <x:v>2</x:v>
      </x:c>
      <x:c r="O662" s="2" t="s">
        <x:v>2083</x:v>
      </x:c>
      <x:c r="P662" s="2" t="s">
        <x:v>2084</x:v>
      </x:c>
      <x:c r="Q662" s="2"/>
      <x:c r="R662" s="3">
        <x:v>5</x:v>
      </x:c>
      <x:c r="S662" s="3">
        <x:v>1</x:v>
      </x:c>
      <x:c r="T662" s="2" t="s">
        <x:v>103</x:v>
      </x:c>
      <x:c r="U662" s="2"/>
      <x:c r="V662" s="2"/>
      <x:c r="W662" s="2"/>
      <x:c r="X662" s="3"/>
      <x:c r="Y662" s="3"/>
      <x:c r="Z662" s="2"/>
      <x:c r="AA662" s="2"/>
      <x:c r="AB662" s="2" t="s">
        <x:v>394</x:v>
      </x:c>
      <x:c r="AC662" s="2"/>
      <x:c r="AD662" s="2"/>
      <x:c r="AE662" s="2"/>
      <x:c r="AF662" s="2"/>
      <x:c r="AG662" s="2" t="s">
        <x:v>428</x:v>
      </x:c>
      <x:c r="AH662" s="2"/>
      <x:c r="AI662" s="4"/>
      <x:c r="AJ662" s="2"/>
      <x:c r="AK662" s="2" t="s">
        <x:v>396</x:v>
      </x:c>
      <x:c r="AL662" s="2" t="s">
        <x:v>1550</x:v>
      </x:c>
      <x:c r="AM662" s="2">
        <x:v>42</x:v>
      </x:c>
      <x:c r="AN662" s="2">
        <x:v>42</x:v>
      </x:c>
    </x:row>
    <x:row r="663" ht="39">
      <x:c r="A663" s="2" t="s">
        <x:v>6</x:v>
      </x:c>
      <x:c r="B663" s="2" t="s">
        <x:v>17</x:v>
      </x:c>
      <x:c r="C663" s="3">
        <x:v>41</x:v>
      </x:c>
      <x:c r="D663" s="2" t="s">
        <x:v>1026</x:v>
      </x:c>
      <x:c r="E663" s="2" t="s">
        <x:v>2135</x:v>
      </x:c>
      <x:c r="F663" s="2" t="s">
        <x:v>423</x:v>
      </x:c>
      <x:c r="G663" s="2"/>
      <x:c r="H663" s="2" t="s">
        <x:v>627</x:v>
      </x:c>
      <x:c r="I663" s="2" t="s">
        <x:v>2136</x:v>
      </x:c>
      <x:c r="J663" s="2" t="s">
        <x:v>2086</x:v>
      </x:c>
      <x:c r="K663" s="2" t="n">
        <x:v>40</x:v>
      </x:c>
      <x:c r="L663" s="2" t="s">
        <x:v>2137</x:v>
      </x:c>
      <x:c r="M663" s="2" t="s">
        <x:v>2087</x:v>
      </x:c>
      <x:c r="N663" s="2">
        <x:v>2</x:v>
      </x:c>
      <x:c r="O663" s="2" t="s">
        <x:v>2088</x:v>
      </x:c>
      <x:c r="P663" s="2" t="s">
        <x:v>2089</x:v>
      </x:c>
      <x:c r="Q663" s="2"/>
      <x:c r="R663" s="3">
        <x:v>5</x:v>
      </x:c>
      <x:c r="S663" s="3">
        <x:v>1</x:v>
      </x:c>
      <x:c r="T663" s="2" t="s">
        <x:v>103</x:v>
      </x:c>
      <x:c r="U663" s="2"/>
      <x:c r="V663" s="2"/>
      <x:c r="W663" s="2"/>
      <x:c r="X663" s="3"/>
      <x:c r="Y663" s="3"/>
      <x:c r="Z663" s="2"/>
      <x:c r="AA663" s="2"/>
      <x:c r="AB663" s="2" t="s">
        <x:v>2090</x:v>
      </x:c>
      <x:c r="AC663" s="2"/>
      <x:c r="AD663" s="2"/>
      <x:c r="AE663" s="2"/>
      <x:c r="AF663" s="2"/>
      <x:c r="AG663" s="2" t="s">
        <x:v>428</x:v>
      </x:c>
      <x:c r="AH663" s="2"/>
      <x:c r="AI663" s="4"/>
      <x:c r="AJ663" s="2"/>
      <x:c r="AK663" s="2" t="s">
        <x:v>396</x:v>
      </x:c>
      <x:c r="AL663" s="2" t="s">
        <x:v>1550</x:v>
      </x:c>
      <x:c r="AM663" s="2">
        <x:v>43</x:v>
      </x:c>
      <x:c r="AN663" s="2">
        <x:v>43</x:v>
      </x:c>
    </x:row>
    <x:row r="664" ht="39">
      <x:c r="A664" s="2" t="s">
        <x:v>91</x:v>
      </x:c>
      <x:c r="B664" s="2" t="s">
        <x:v>17</x:v>
      </x:c>
      <x:c r="C664" s="3">
        <x:v>42</x:v>
      </x:c>
      <x:c r="D664" s="2" t="s">
        <x:v>2138</x:v>
      </x:c>
      <x:c r="E664" s="2" t="s">
        <x:v>2135</x:v>
      </x:c>
      <x:c r="F664" s="2" t="s">
        <x:v>423</x:v>
      </x:c>
      <x:c r="G664" s="2" t="s">
        <x:v>2139</x:v>
      </x:c>
      <x:c r="H664" s="2" t="s">
        <x:v>634</x:v>
      </x:c>
      <x:c r="I664" s="2" t="s">
        <x:v>2136</x:v>
      </x:c>
      <x:c r="J664" s="2" t="s">
        <x:v>635</x:v>
      </x:c>
      <x:c r="K664" s="2" t="n">
        <x:v>40</x:v>
      </x:c>
      <x:c r="L664" s="2" t="s">
        <x:v>2137</x:v>
      </x:c>
      <x:c r="M664" s="2" t="s">
        <x:v>2093</x:v>
      </x:c>
      <x:c r="N664" s="2">
        <x:v>2</x:v>
      </x:c>
      <x:c r="O664" s="2" t="s">
        <x:v>2094</x:v>
      </x:c>
      <x:c r="P664" s="2" t="s">
        <x:v>2095</x:v>
      </x:c>
      <x:c r="Q664" s="2"/>
      <x:c r="R664" s="3">
        <x:v>5</x:v>
      </x:c>
      <x:c r="S664" s="3">
        <x:v>1</x:v>
      </x:c>
      <x:c r="T664" s="2" t="s">
        <x:v>103</x:v>
      </x:c>
      <x:c r="U664" s="2"/>
      <x:c r="V664" s="2"/>
      <x:c r="W664" s="2"/>
      <x:c r="X664" s="3"/>
      <x:c r="Y664" s="3"/>
      <x:c r="Z664" s="2"/>
      <x:c r="AA664" s="2"/>
      <x:c r="AB664" s="2" t="s">
        <x:v>394</x:v>
      </x:c>
      <x:c r="AC664" s="2"/>
      <x:c r="AD664" s="2"/>
      <x:c r="AE664" s="2"/>
      <x:c r="AF664" s="2"/>
      <x:c r="AG664" s="2" t="s">
        <x:v>428</x:v>
      </x:c>
      <x:c r="AH664" s="2"/>
      <x:c r="AI664" s="4"/>
      <x:c r="AJ664" s="2"/>
      <x:c r="AK664" s="2" t="s">
        <x:v>396</x:v>
      </x:c>
      <x:c r="AL664" s="2" t="s">
        <x:v>1550</x:v>
      </x:c>
      <x:c r="AM664" s="2">
        <x:v>44</x:v>
      </x:c>
      <x:c r="AN664" s="2">
        <x:v>44</x:v>
      </x:c>
    </x:row>
    <x:row r="665" ht="26">
      <x:c r="A665" s="2" t="s">
        <x:v>6</x:v>
      </x:c>
      <x:c r="B665" s="2" t="s">
        <x:v>17</x:v>
      </x:c>
      <x:c r="C665" s="3">
        <x:v>43</x:v>
      </x:c>
      <x:c r="D665" s="2" t="s">
        <x:v>2140</x:v>
      </x:c>
      <x:c r="E665" s="2" t="s">
        <x:v>2135</x:v>
      </x:c>
      <x:c r="F665" s="2" t="s">
        <x:v>423</x:v>
      </x:c>
      <x:c r="G665" s="2"/>
      <x:c r="H665" s="2" t="s">
        <x:v>634</x:v>
      </x:c>
      <x:c r="I665" s="2" t="s">
        <x:v>2136</x:v>
      </x:c>
      <x:c r="J665" s="2" t="s">
        <x:v>2098</x:v>
      </x:c>
      <x:c r="K665" s="2" t="n">
        <x:v>40</x:v>
      </x:c>
      <x:c r="L665" s="2" t="s">
        <x:v>2137</x:v>
      </x:c>
      <x:c r="M665" s="2" t="s">
        <x:v>2099</x:v>
      </x:c>
      <x:c r="N665" s="2">
        <x:v>2</x:v>
      </x:c>
      <x:c r="O665" s="2" t="s">
        <x:v>2094</x:v>
      </x:c>
      <x:c r="P665" s="2" t="s">
        <x:v>2100</x:v>
      </x:c>
      <x:c r="Q665" s="2"/>
      <x:c r="R665" s="3">
        <x:v>5</x:v>
      </x:c>
      <x:c r="S665" s="3">
        <x:v>1</x:v>
      </x:c>
      <x:c r="T665" s="2" t="s">
        <x:v>103</x:v>
      </x:c>
      <x:c r="U665" s="2"/>
      <x:c r="V665" s="2"/>
      <x:c r="W665" s="2"/>
      <x:c r="X665" s="3"/>
      <x:c r="Y665" s="3"/>
      <x:c r="Z665" s="2"/>
      <x:c r="AA665" s="2"/>
      <x:c r="AB665" s="2" t="s">
        <x:v>2101</x:v>
      </x:c>
      <x:c r="AC665" s="2"/>
      <x:c r="AD665" s="2"/>
      <x:c r="AE665" s="2"/>
      <x:c r="AF665" s="2"/>
      <x:c r="AG665" s="2" t="s">
        <x:v>428</x:v>
      </x:c>
      <x:c r="AH665" s="2"/>
      <x:c r="AI665" s="4"/>
      <x:c r="AJ665" s="2"/>
      <x:c r="AK665" s="2" t="s">
        <x:v>396</x:v>
      </x:c>
      <x:c r="AL665" s="2" t="s">
        <x:v>1550</x:v>
      </x:c>
      <x:c r="AM665" s="2">
        <x:v>45</x:v>
      </x:c>
      <x:c r="AN665" s="2">
        <x:v>45</x:v>
      </x:c>
    </x:row>
    <x:row r="666" ht="52">
      <x:c r="A666" s="2" t="s">
        <x:v>91</x:v>
      </x:c>
      <x:c r="B666" s="2" t="s">
        <x:v>17</x:v>
      </x:c>
      <x:c r="C666" s="3">
        <x:v>44</x:v>
      </x:c>
      <x:c r="D666" s="2" t="s">
        <x:v>2141</x:v>
      </x:c>
      <x:c r="E666" s="2" t="s">
        <x:v>2142</x:v>
      </x:c>
      <x:c r="F666" s="2" t="s">
        <x:v>2047</x:v>
      </x:c>
      <x:c r="G666" s="2" t="s">
        <x:v>2143</x:v>
      </x:c>
      <x:c r="H666" s="2" t="s">
        <x:v>618</x:v>
      </x:c>
      <x:c r="I666" s="2" t="s">
        <x:v>2144</x:v>
      </x:c>
      <x:c r="J666" s="2" t="s">
        <x:v>2145</x:v>
      </x:c>
      <x:c r="K666" s="2"/>
      <x:c r="L666" s="2" t="s">
        <x:v>2146</x:v>
      </x:c>
      <x:c r="M666" s="2" t="s">
        <x:v>2082</x:v>
      </x:c>
      <x:c r="N666" s="2">
        <x:v>2</x:v>
      </x:c>
      <x:c r="O666" s="2" t="s">
        <x:v>2083</x:v>
      </x:c>
      <x:c r="P666" s="2" t="s">
        <x:v>2084</x:v>
      </x:c>
      <x:c r="Q666" s="2"/>
      <x:c r="R666" s="3">
        <x:v>3</x:v>
      </x:c>
      <x:c r="S666" s="3">
        <x:v>1</x:v>
      </x:c>
      <x:c r="T666" s="2" t="s">
        <x:v>103</x:v>
      </x:c>
      <x:c r="U666" s="2"/>
      <x:c r="V666" s="2"/>
      <x:c r="W666" s="2"/>
      <x:c r="X666" s="3"/>
      <x:c r="Y666" s="3"/>
      <x:c r="Z666" s="2"/>
      <x:c r="AA666" s="2"/>
      <x:c r="AB666" s="2" t="s">
        <x:v>415</x:v>
      </x:c>
      <x:c r="AC666" s="2"/>
      <x:c r="AD666" s="2"/>
      <x:c r="AE666" s="2"/>
      <x:c r="AF666" s="2"/>
      <x:c r="AG666" s="2" t="s">
        <x:v>2036</x:v>
      </x:c>
      <x:c r="AH666" s="2"/>
      <x:c r="AI666" s="4"/>
      <x:c r="AJ666" s="2"/>
      <x:c r="AK666" s="2" t="s">
        <x:v>396</x:v>
      </x:c>
      <x:c r="AL666" s="2" t="s">
        <x:v>1550</x:v>
      </x:c>
      <x:c r="AM666" s="2">
        <x:v>46</x:v>
      </x:c>
      <x:c r="AN666" s="2">
        <x:v>46</x:v>
      </x:c>
    </x:row>
    <x:row r="667" ht="39">
      <x:c r="A667" s="2" t="s">
        <x:v>91</x:v>
      </x:c>
      <x:c r="B667" s="2" t="s">
        <x:v>17</x:v>
      </x:c>
      <x:c r="C667" s="3">
        <x:v>45</x:v>
      </x:c>
      <x:c r="D667" s="2" t="s">
        <x:v>2147</x:v>
      </x:c>
      <x:c r="E667" s="2" t="s">
        <x:v>2142</x:v>
      </x:c>
      <x:c r="F667" s="2" t="s">
        <x:v>2047</x:v>
      </x:c>
      <x:c r="G667" s="2" t="s">
        <x:v>2148</x:v>
      </x:c>
      <x:c r="H667" s="2" t="s">
        <x:v>627</x:v>
      </x:c>
      <x:c r="I667" s="2" t="s">
        <x:v>2144</x:v>
      </x:c>
      <x:c r="J667" s="2" t="s">
        <x:v>2086</x:v>
      </x:c>
      <x:c r="K667" s="2" t="n">
        <x:v>44</x:v>
      </x:c>
      <x:c r="L667" s="2" t="s">
        <x:v>2146</x:v>
      </x:c>
      <x:c r="M667" s="2" t="s">
        <x:v>2087</x:v>
      </x:c>
      <x:c r="N667" s="2">
        <x:v>2</x:v>
      </x:c>
      <x:c r="O667" s="2" t="s">
        <x:v>2088</x:v>
      </x:c>
      <x:c r="P667" s="2" t="s">
        <x:v>2089</x:v>
      </x:c>
      <x:c r="Q667" s="2"/>
      <x:c r="R667" s="3">
        <x:v>3</x:v>
      </x:c>
      <x:c r="S667" s="3">
        <x:v>1</x:v>
      </x:c>
      <x:c r="T667" s="2" t="s">
        <x:v>103</x:v>
      </x:c>
      <x:c r="U667" s="2"/>
      <x:c r="V667" s="2"/>
      <x:c r="W667" s="2"/>
      <x:c r="X667" s="3"/>
      <x:c r="Y667" s="3"/>
      <x:c r="Z667" s="2"/>
      <x:c r="AA667" s="2"/>
      <x:c r="AB667" s="2" t="s">
        <x:v>2090</x:v>
      </x:c>
      <x:c r="AC667" s="2"/>
      <x:c r="AD667" s="2"/>
      <x:c r="AE667" s="2"/>
      <x:c r="AF667" s="2"/>
      <x:c r="AG667" s="2" t="s">
        <x:v>2036</x:v>
      </x:c>
      <x:c r="AH667" s="2"/>
      <x:c r="AI667" s="4"/>
      <x:c r="AJ667" s="2"/>
      <x:c r="AK667" s="2" t="s">
        <x:v>396</x:v>
      </x:c>
      <x:c r="AL667" s="2" t="s">
        <x:v>1550</x:v>
      </x:c>
      <x:c r="AM667" s="2">
        <x:v>47</x:v>
      </x:c>
      <x:c r="AN667" s="2">
        <x:v>47</x:v>
      </x:c>
    </x:row>
    <x:row r="668" ht="39">
      <x:c r="A668" s="2" t="s">
        <x:v>6</x:v>
      </x:c>
      <x:c r="B668" s="2" t="s">
        <x:v>17</x:v>
      </x:c>
      <x:c r="C668" s="3">
        <x:v>46</x:v>
      </x:c>
      <x:c r="D668" s="2" t="s">
        <x:v>2149</x:v>
      </x:c>
      <x:c r="E668" s="2" t="s">
        <x:v>2142</x:v>
      </x:c>
      <x:c r="F668" s="2" t="s">
        <x:v>2047</x:v>
      </x:c>
      <x:c r="G668" s="2" t="s">
        <x:v>2150</x:v>
      </x:c>
      <x:c r="H668" s="2" t="s">
        <x:v>634</x:v>
      </x:c>
      <x:c r="I668" s="2" t="s">
        <x:v>2144</x:v>
      </x:c>
      <x:c r="J668" s="2" t="s">
        <x:v>635</x:v>
      </x:c>
      <x:c r="K668" s="2" t="n">
        <x:v>44</x:v>
      </x:c>
      <x:c r="L668" s="2" t="s">
        <x:v>2146</x:v>
      </x:c>
      <x:c r="M668" s="2" t="s">
        <x:v>2093</x:v>
      </x:c>
      <x:c r="N668" s="2">
        <x:v>2</x:v>
      </x:c>
      <x:c r="O668" s="2" t="s">
        <x:v>2094</x:v>
      </x:c>
      <x:c r="P668" s="2" t="s">
        <x:v>2095</x:v>
      </x:c>
      <x:c r="Q668" s="2"/>
      <x:c r="R668" s="3">
        <x:v>3</x:v>
      </x:c>
      <x:c r="S668" s="3">
        <x:v>1</x:v>
      </x:c>
      <x:c r="T668" s="2" t="s">
        <x:v>103</x:v>
      </x:c>
      <x:c r="U668" s="2"/>
      <x:c r="V668" s="2"/>
      <x:c r="W668" s="2"/>
      <x:c r="X668" s="3"/>
      <x:c r="Y668" s="3"/>
      <x:c r="Z668" s="2"/>
      <x:c r="AA668" s="2"/>
      <x:c r="AB668" s="2" t="s">
        <x:v>415</x:v>
      </x:c>
      <x:c r="AC668" s="2"/>
      <x:c r="AD668" s="2"/>
      <x:c r="AE668" s="2"/>
      <x:c r="AF668" s="2"/>
      <x:c r="AG668" s="2" t="s">
        <x:v>2036</x:v>
      </x:c>
      <x:c r="AH668" s="2"/>
      <x:c r="AI668" s="4"/>
      <x:c r="AJ668" s="2"/>
      <x:c r="AK668" s="2" t="s">
        <x:v>396</x:v>
      </x:c>
      <x:c r="AL668" s="2" t="s">
        <x:v>1550</x:v>
      </x:c>
      <x:c r="AM668" s="2">
        <x:v>48</x:v>
      </x:c>
      <x:c r="AN668" s="2">
        <x:v>48</x:v>
      </x:c>
    </x:row>
    <x:row r="669" ht="39">
      <x:c r="A669" s="2" t="s">
        <x:v>91</x:v>
      </x:c>
      <x:c r="B669" s="2" t="s">
        <x:v>17</x:v>
      </x:c>
      <x:c r="C669" s="3">
        <x:v>47</x:v>
      </x:c>
      <x:c r="D669" s="2" t="s">
        <x:v>2151</x:v>
      </x:c>
      <x:c r="E669" s="2" t="s">
        <x:v>2142</x:v>
      </x:c>
      <x:c r="F669" s="2" t="s">
        <x:v>2047</x:v>
      </x:c>
      <x:c r="G669" s="2" t="s">
        <x:v>2152</x:v>
      </x:c>
      <x:c r="H669" s="2" t="s">
        <x:v>634</x:v>
      </x:c>
      <x:c r="I669" s="2" t="s">
        <x:v>2144</x:v>
      </x:c>
      <x:c r="J669" s="2" t="s">
        <x:v>2098</x:v>
      </x:c>
      <x:c r="K669" s="2" t="n">
        <x:v>44</x:v>
      </x:c>
      <x:c r="L669" s="2" t="s">
        <x:v>2146</x:v>
      </x:c>
      <x:c r="M669" s="2" t="s">
        <x:v>2099</x:v>
      </x:c>
      <x:c r="N669" s="2">
        <x:v>2</x:v>
      </x:c>
      <x:c r="O669" s="2" t="s">
        <x:v>2094</x:v>
      </x:c>
      <x:c r="P669" s="2" t="s">
        <x:v>2100</x:v>
      </x:c>
      <x:c r="Q669" s="2"/>
      <x:c r="R669" s="3">
        <x:v>3</x:v>
      </x:c>
      <x:c r="S669" s="3">
        <x:v>1</x:v>
      </x:c>
      <x:c r="T669" s="2" t="s">
        <x:v>103</x:v>
      </x:c>
      <x:c r="U669" s="2"/>
      <x:c r="V669" s="2"/>
      <x:c r="W669" s="2"/>
      <x:c r="X669" s="3"/>
      <x:c r="Y669" s="3"/>
      <x:c r="Z669" s="2"/>
      <x:c r="AA669" s="2"/>
      <x:c r="AB669" s="2" t="s">
        <x:v>2101</x:v>
      </x:c>
      <x:c r="AC669" s="2"/>
      <x:c r="AD669" s="2"/>
      <x:c r="AE669" s="2"/>
      <x:c r="AF669" s="2"/>
      <x:c r="AG669" s="2" t="s">
        <x:v>2036</x:v>
      </x:c>
      <x:c r="AH669" s="2"/>
      <x:c r="AI669" s="4"/>
      <x:c r="AJ669" s="2"/>
      <x:c r="AK669" s="2" t="s">
        <x:v>396</x:v>
      </x:c>
      <x:c r="AL669" s="2" t="s">
        <x:v>1550</x:v>
      </x:c>
      <x:c r="AM669" s="2">
        <x:v>49</x:v>
      </x:c>
      <x:c r="AN669" s="2">
        <x:v>49</x:v>
      </x:c>
    </x:row>
    <x:row r="670" ht="52">
      <x:c r="A670" s="2" t="s">
        <x:v>6</x:v>
      </x:c>
      <x:c r="B670" s="2" t="s">
        <x:v>17</x:v>
      </x:c>
      <x:c r="C670" s="3">
        <x:v>48</x:v>
      </x:c>
      <x:c r="D670" s="2" t="s">
        <x:v>2153</x:v>
      </x:c>
      <x:c r="E670" s="2" t="s">
        <x:v>2154</x:v>
      </x:c>
      <x:c r="F670" s="2" t="s">
        <x:v>410</x:v>
      </x:c>
      <x:c r="G670" s="2"/>
      <x:c r="H670" s="2" t="s">
        <x:v>618</x:v>
      </x:c>
      <x:c r="I670" s="2" t="s">
        <x:v>2155</x:v>
      </x:c>
      <x:c r="J670" s="2" t="s">
        <x:v>2145</x:v>
      </x:c>
      <x:c r="K670" s="2"/>
      <x:c r="L670" s="2" t="s">
        <x:v>2156</x:v>
      </x:c>
      <x:c r="M670" s="2" t="s">
        <x:v>2082</x:v>
      </x:c>
      <x:c r="N670" s="2">
        <x:v>2</x:v>
      </x:c>
      <x:c r="O670" s="2" t="s">
        <x:v>2083</x:v>
      </x:c>
      <x:c r="P670" s="2" t="s">
        <x:v>2084</x:v>
      </x:c>
      <x:c r="Q670" s="2"/>
      <x:c r="R670" s="3">
        <x:v>3</x:v>
      </x:c>
      <x:c r="S670" s="3">
        <x:v>1</x:v>
      </x:c>
      <x:c r="T670" s="2" t="s">
        <x:v>103</x:v>
      </x:c>
      <x:c r="U670" s="2"/>
      <x:c r="V670" s="2"/>
      <x:c r="W670" s="2"/>
      <x:c r="X670" s="3"/>
      <x:c r="Y670" s="3"/>
      <x:c r="Z670" s="2"/>
      <x:c r="AA670" s="2"/>
      <x:c r="AB670" s="2" t="s">
        <x:v>427</x:v>
      </x:c>
      <x:c r="AC670" s="2"/>
      <x:c r="AD670" s="2"/>
      <x:c r="AE670" s="2"/>
      <x:c r="AF670" s="2"/>
      <x:c r="AG670" s="2" t="s">
        <x:v>395</x:v>
      </x:c>
      <x:c r="AH670" s="2"/>
      <x:c r="AI670" s="4"/>
      <x:c r="AJ670" s="2"/>
      <x:c r="AK670" s="2" t="s">
        <x:v>396</x:v>
      </x:c>
      <x:c r="AL670" s="2" t="s">
        <x:v>1550</x:v>
      </x:c>
      <x:c r="AM670" s="2">
        <x:v>50</x:v>
      </x:c>
      <x:c r="AN670" s="2">
        <x:v>50</x:v>
      </x:c>
    </x:row>
    <x:row r="671" ht="39">
      <x:c r="A671" s="2" t="s">
        <x:v>6</x:v>
      </x:c>
      <x:c r="B671" s="2" t="s">
        <x:v>17</x:v>
      </x:c>
      <x:c r="C671" s="3">
        <x:v>49</x:v>
      </x:c>
      <x:c r="D671" s="2" t="s">
        <x:v>2157</x:v>
      </x:c>
      <x:c r="E671" s="2" t="s">
        <x:v>2154</x:v>
      </x:c>
      <x:c r="F671" s="2" t="s">
        <x:v>410</x:v>
      </x:c>
      <x:c r="G671" s="2"/>
      <x:c r="H671" s="2" t="s">
        <x:v>627</x:v>
      </x:c>
      <x:c r="I671" s="2" t="s">
        <x:v>2155</x:v>
      </x:c>
      <x:c r="J671" s="2" t="s">
        <x:v>2086</x:v>
      </x:c>
      <x:c r="K671" s="2" t="n">
        <x:v>48</x:v>
      </x:c>
      <x:c r="L671" s="2" t="s">
        <x:v>2156</x:v>
      </x:c>
      <x:c r="M671" s="2" t="s">
        <x:v>2087</x:v>
      </x:c>
      <x:c r="N671" s="2">
        <x:v>2</x:v>
      </x:c>
      <x:c r="O671" s="2" t="s">
        <x:v>2088</x:v>
      </x:c>
      <x:c r="P671" s="2" t="s">
        <x:v>2089</x:v>
      </x:c>
      <x:c r="Q671" s="2"/>
      <x:c r="R671" s="3">
        <x:v>3</x:v>
      </x:c>
      <x:c r="S671" s="3">
        <x:v>1</x:v>
      </x:c>
      <x:c r="T671" s="2" t="s">
        <x:v>103</x:v>
      </x:c>
      <x:c r="U671" s="2"/>
      <x:c r="V671" s="2"/>
      <x:c r="W671" s="2"/>
      <x:c r="X671" s="3"/>
      <x:c r="Y671" s="3"/>
      <x:c r="Z671" s="2"/>
      <x:c r="AA671" s="2"/>
      <x:c r="AB671" s="2" t="s">
        <x:v>2090</x:v>
      </x:c>
      <x:c r="AC671" s="2"/>
      <x:c r="AD671" s="2"/>
      <x:c r="AE671" s="2"/>
      <x:c r="AF671" s="2"/>
      <x:c r="AG671" s="2" t="s">
        <x:v>395</x:v>
      </x:c>
      <x:c r="AH671" s="2"/>
      <x:c r="AI671" s="4"/>
      <x:c r="AJ671" s="2"/>
      <x:c r="AK671" s="2" t="s">
        <x:v>396</x:v>
      </x:c>
      <x:c r="AL671" s="2" t="s">
        <x:v>1550</x:v>
      </x:c>
      <x:c r="AM671" s="2">
        <x:v>51</x:v>
      </x:c>
      <x:c r="AN671" s="2">
        <x:v>51</x:v>
      </x:c>
    </x:row>
    <x:row r="672" ht="39">
      <x:c r="A672" s="2" t="s">
        <x:v>6</x:v>
      </x:c>
      <x:c r="B672" s="2" t="s">
        <x:v>17</x:v>
      </x:c>
      <x:c r="C672" s="3">
        <x:v>50</x:v>
      </x:c>
      <x:c r="D672" s="2" t="s">
        <x:v>2158</x:v>
      </x:c>
      <x:c r="E672" s="2" t="s">
        <x:v>2154</x:v>
      </x:c>
      <x:c r="F672" s="2" t="s">
        <x:v>410</x:v>
      </x:c>
      <x:c r="G672" s="2"/>
      <x:c r="H672" s="2" t="s">
        <x:v>634</x:v>
      </x:c>
      <x:c r="I672" s="2" t="s">
        <x:v>2155</x:v>
      </x:c>
      <x:c r="J672" s="2" t="s">
        <x:v>635</x:v>
      </x:c>
      <x:c r="K672" s="2" t="n">
        <x:v>48</x:v>
      </x:c>
      <x:c r="L672" s="2" t="s">
        <x:v>2156</x:v>
      </x:c>
      <x:c r="M672" s="2" t="s">
        <x:v>2093</x:v>
      </x:c>
      <x:c r="N672" s="2">
        <x:v>2</x:v>
      </x:c>
      <x:c r="O672" s="2" t="s">
        <x:v>2094</x:v>
      </x:c>
      <x:c r="P672" s="2" t="s">
        <x:v>2095</x:v>
      </x:c>
      <x:c r="Q672" s="2"/>
      <x:c r="R672" s="3">
        <x:v>3</x:v>
      </x:c>
      <x:c r="S672" s="3">
        <x:v>1</x:v>
      </x:c>
      <x:c r="T672" s="2" t="s">
        <x:v>103</x:v>
      </x:c>
      <x:c r="U672" s="2"/>
      <x:c r="V672" s="2"/>
      <x:c r="W672" s="2"/>
      <x:c r="X672" s="3"/>
      <x:c r="Y672" s="3"/>
      <x:c r="Z672" s="2"/>
      <x:c r="AA672" s="2"/>
      <x:c r="AB672" s="2" t="s">
        <x:v>427</x:v>
      </x:c>
      <x:c r="AC672" s="2"/>
      <x:c r="AD672" s="2"/>
      <x:c r="AE672" s="2"/>
      <x:c r="AF672" s="2"/>
      <x:c r="AG672" s="2" t="s">
        <x:v>395</x:v>
      </x:c>
      <x:c r="AH672" s="2"/>
      <x:c r="AI672" s="4"/>
      <x:c r="AJ672" s="2"/>
      <x:c r="AK672" s="2" t="s">
        <x:v>396</x:v>
      </x:c>
      <x:c r="AL672" s="2" t="s">
        <x:v>1550</x:v>
      </x:c>
      <x:c r="AM672" s="2">
        <x:v>52</x:v>
      </x:c>
      <x:c r="AN672" s="2">
        <x:v>52</x:v>
      </x:c>
    </x:row>
    <x:row r="673" ht="26">
      <x:c r="A673" s="2" t="s">
        <x:v>6</x:v>
      </x:c>
      <x:c r="B673" s="2" t="s">
        <x:v>17</x:v>
      </x:c>
      <x:c r="C673" s="3">
        <x:v>51</x:v>
      </x:c>
      <x:c r="D673" s="2" t="s">
        <x:v>2159</x:v>
      </x:c>
      <x:c r="E673" s="2" t="s">
        <x:v>2154</x:v>
      </x:c>
      <x:c r="F673" s="2" t="s">
        <x:v>410</x:v>
      </x:c>
      <x:c r="G673" s="2"/>
      <x:c r="H673" s="2" t="s">
        <x:v>634</x:v>
      </x:c>
      <x:c r="I673" s="2" t="s">
        <x:v>2155</x:v>
      </x:c>
      <x:c r="J673" s="2" t="s">
        <x:v>2098</x:v>
      </x:c>
      <x:c r="K673" s="2" t="n">
        <x:v>48</x:v>
      </x:c>
      <x:c r="L673" s="2" t="s">
        <x:v>2156</x:v>
      </x:c>
      <x:c r="M673" s="2" t="s">
        <x:v>2099</x:v>
      </x:c>
      <x:c r="N673" s="2">
        <x:v>2</x:v>
      </x:c>
      <x:c r="O673" s="2" t="s">
        <x:v>2094</x:v>
      </x:c>
      <x:c r="P673" s="2" t="s">
        <x:v>2100</x:v>
      </x:c>
      <x:c r="Q673" s="2"/>
      <x:c r="R673" s="3">
        <x:v>3</x:v>
      </x:c>
      <x:c r="S673" s="3">
        <x:v>1</x:v>
      </x:c>
      <x:c r="T673" s="2" t="s">
        <x:v>103</x:v>
      </x:c>
      <x:c r="U673" s="2"/>
      <x:c r="V673" s="2"/>
      <x:c r="W673" s="2"/>
      <x:c r="X673" s="3"/>
      <x:c r="Y673" s="3"/>
      <x:c r="Z673" s="2"/>
      <x:c r="AA673" s="2"/>
      <x:c r="AB673" s="2" t="s">
        <x:v>2101</x:v>
      </x:c>
      <x:c r="AC673" s="2"/>
      <x:c r="AD673" s="2"/>
      <x:c r="AE673" s="2"/>
      <x:c r="AF673" s="2"/>
      <x:c r="AG673" s="2" t="s">
        <x:v>395</x:v>
      </x:c>
      <x:c r="AH673" s="2"/>
      <x:c r="AI673" s="4"/>
      <x:c r="AJ673" s="2"/>
      <x:c r="AK673" s="2" t="s">
        <x:v>396</x:v>
      </x:c>
      <x:c r="AL673" s="2" t="s">
        <x:v>1550</x:v>
      </x:c>
      <x:c r="AM673" s="2">
        <x:v>53</x:v>
      </x:c>
      <x:c r="AN673" s="2">
        <x:v>53</x:v>
      </x:c>
    </x:row>
    <x:row r="674" ht="52">
      <x:c r="A674" s="2" t="s">
        <x:v>6</x:v>
      </x:c>
      <x:c r="B674" s="2" t="s">
        <x:v>17</x:v>
      </x:c>
      <x:c r="C674" s="3">
        <x:v>52</x:v>
      </x:c>
      <x:c r="D674" s="2" t="s">
        <x:v>2160</x:v>
      </x:c>
      <x:c r="E674" s="2" t="s">
        <x:v>2161</x:v>
      </x:c>
      <x:c r="F674" s="2" t="s">
        <x:v>431</x:v>
      </x:c>
      <x:c r="G674" s="2"/>
      <x:c r="H674" s="2" t="s">
        <x:v>618</x:v>
      </x:c>
      <x:c r="I674" s="2" t="s">
        <x:v>2162</x:v>
      </x:c>
      <x:c r="J674" s="2" t="s">
        <x:v>2145</x:v>
      </x:c>
      <x:c r="K674" s="2"/>
      <x:c r="L674" s="2" t="s">
        <x:v>2163</x:v>
      </x:c>
      <x:c r="M674" s="2" t="s">
        <x:v>2082</x:v>
      </x:c>
      <x:c r="N674" s="2">
        <x:v>2</x:v>
      </x:c>
      <x:c r="O674" s="2" t="s">
        <x:v>2083</x:v>
      </x:c>
      <x:c r="P674" s="2" t="s">
        <x:v>2084</x:v>
      </x:c>
      <x:c r="Q674" s="2"/>
      <x:c r="R674" s="3">
        <x:v>4</x:v>
      </x:c>
      <x:c r="S674" s="3">
        <x:v>1</x:v>
      </x:c>
      <x:c r="T674" s="2" t="s">
        <x:v>103</x:v>
      </x:c>
      <x:c r="U674" s="2"/>
      <x:c r="V674" s="2"/>
      <x:c r="W674" s="2"/>
      <x:c r="X674" s="3"/>
      <x:c r="Y674" s="3"/>
      <x:c r="Z674" s="2"/>
      <x:c r="AA674" s="2"/>
      <x:c r="AB674" s="2" t="s">
        <x:v>394</x:v>
      </x:c>
      <x:c r="AC674" s="2"/>
      <x:c r="AD674" s="2"/>
      <x:c r="AE674" s="2"/>
      <x:c r="AF674" s="2"/>
      <x:c r="AG674" s="2" t="s">
        <x:v>428</x:v>
      </x:c>
      <x:c r="AH674" s="2"/>
      <x:c r="AI674" s="4"/>
      <x:c r="AJ674" s="2"/>
      <x:c r="AK674" s="2" t="s">
        <x:v>396</x:v>
      </x:c>
      <x:c r="AL674" s="2" t="s">
        <x:v>1550</x:v>
      </x:c>
      <x:c r="AM674" s="2">
        <x:v>54</x:v>
      </x:c>
      <x:c r="AN674" s="2">
        <x:v>54</x:v>
      </x:c>
    </x:row>
    <x:row r="675" ht="39">
      <x:c r="A675" s="2" t="s">
        <x:v>6</x:v>
      </x:c>
      <x:c r="B675" s="2" t="s">
        <x:v>17</x:v>
      </x:c>
      <x:c r="C675" s="3">
        <x:v>53</x:v>
      </x:c>
      <x:c r="D675" s="2" t="s">
        <x:v>2164</x:v>
      </x:c>
      <x:c r="E675" s="2" t="s">
        <x:v>2161</x:v>
      </x:c>
      <x:c r="F675" s="2" t="s">
        <x:v>431</x:v>
      </x:c>
      <x:c r="G675" s="2"/>
      <x:c r="H675" s="2" t="s">
        <x:v>627</x:v>
      </x:c>
      <x:c r="I675" s="2" t="s">
        <x:v>2162</x:v>
      </x:c>
      <x:c r="J675" s="2" t="s">
        <x:v>2086</x:v>
      </x:c>
      <x:c r="K675" s="2" t="n">
        <x:v>52</x:v>
      </x:c>
      <x:c r="L675" s="2" t="s">
        <x:v>2163</x:v>
      </x:c>
      <x:c r="M675" s="2" t="s">
        <x:v>2087</x:v>
      </x:c>
      <x:c r="N675" s="2">
        <x:v>2</x:v>
      </x:c>
      <x:c r="O675" s="2" t="s">
        <x:v>2088</x:v>
      </x:c>
      <x:c r="P675" s="2" t="s">
        <x:v>2089</x:v>
      </x:c>
      <x:c r="Q675" s="2"/>
      <x:c r="R675" s="3">
        <x:v>4</x:v>
      </x:c>
      <x:c r="S675" s="3">
        <x:v>1</x:v>
      </x:c>
      <x:c r="T675" s="2" t="s">
        <x:v>103</x:v>
      </x:c>
      <x:c r="U675" s="2"/>
      <x:c r="V675" s="2"/>
      <x:c r="W675" s="2"/>
      <x:c r="X675" s="3"/>
      <x:c r="Y675" s="3"/>
      <x:c r="Z675" s="2"/>
      <x:c r="AA675" s="2"/>
      <x:c r="AB675" s="2" t="s">
        <x:v>2090</x:v>
      </x:c>
      <x:c r="AC675" s="2"/>
      <x:c r="AD675" s="2"/>
      <x:c r="AE675" s="2"/>
      <x:c r="AF675" s="2"/>
      <x:c r="AG675" s="2" t="s">
        <x:v>428</x:v>
      </x:c>
      <x:c r="AH675" s="2"/>
      <x:c r="AI675" s="4"/>
      <x:c r="AJ675" s="2"/>
      <x:c r="AK675" s="2" t="s">
        <x:v>396</x:v>
      </x:c>
      <x:c r="AL675" s="2" t="s">
        <x:v>1550</x:v>
      </x:c>
      <x:c r="AM675" s="2">
        <x:v>55</x:v>
      </x:c>
      <x:c r="AN675" s="2">
        <x:v>55</x:v>
      </x:c>
    </x:row>
    <x:row r="676" ht="39">
      <x:c r="A676" s="2" t="s">
        <x:v>6</x:v>
      </x:c>
      <x:c r="B676" s="2" t="s">
        <x:v>17</x:v>
      </x:c>
      <x:c r="C676" s="3">
        <x:v>54</x:v>
      </x:c>
      <x:c r="D676" s="2" t="s">
        <x:v>2165</x:v>
      </x:c>
      <x:c r="E676" s="2" t="s">
        <x:v>2161</x:v>
      </x:c>
      <x:c r="F676" s="2" t="s">
        <x:v>431</x:v>
      </x:c>
      <x:c r="G676" s="2"/>
      <x:c r="H676" s="2" t="s">
        <x:v>634</x:v>
      </x:c>
      <x:c r="I676" s="2" t="s">
        <x:v>2162</x:v>
      </x:c>
      <x:c r="J676" s="2" t="s">
        <x:v>635</x:v>
      </x:c>
      <x:c r="K676" s="2" t="n">
        <x:v>52</x:v>
      </x:c>
      <x:c r="L676" s="2" t="s">
        <x:v>2163</x:v>
      </x:c>
      <x:c r="M676" s="2" t="s">
        <x:v>2093</x:v>
      </x:c>
      <x:c r="N676" s="2">
        <x:v>2</x:v>
      </x:c>
      <x:c r="O676" s="2" t="s">
        <x:v>2094</x:v>
      </x:c>
      <x:c r="P676" s="2" t="s">
        <x:v>2095</x:v>
      </x:c>
      <x:c r="Q676" s="2"/>
      <x:c r="R676" s="3">
        <x:v>4</x:v>
      </x:c>
      <x:c r="S676" s="3">
        <x:v>1</x:v>
      </x:c>
      <x:c r="T676" s="2" t="s">
        <x:v>103</x:v>
      </x:c>
      <x:c r="U676" s="2"/>
      <x:c r="V676" s="2"/>
      <x:c r="W676" s="2"/>
      <x:c r="X676" s="3"/>
      <x:c r="Y676" s="3"/>
      <x:c r="Z676" s="2"/>
      <x:c r="AA676" s="2"/>
      <x:c r="AB676" s="2" t="s">
        <x:v>394</x:v>
      </x:c>
      <x:c r="AC676" s="2"/>
      <x:c r="AD676" s="2"/>
      <x:c r="AE676" s="2"/>
      <x:c r="AF676" s="2"/>
      <x:c r="AG676" s="2" t="s">
        <x:v>428</x:v>
      </x:c>
      <x:c r="AH676" s="2"/>
      <x:c r="AI676" s="4"/>
      <x:c r="AJ676" s="2"/>
      <x:c r="AK676" s="2" t="s">
        <x:v>396</x:v>
      </x:c>
      <x:c r="AL676" s="2" t="s">
        <x:v>1550</x:v>
      </x:c>
      <x:c r="AM676" s="2">
        <x:v>56</x:v>
      </x:c>
      <x:c r="AN676" s="2">
        <x:v>56</x:v>
      </x:c>
    </x:row>
    <x:row r="677" ht="26">
      <x:c r="A677" s="2" t="s">
        <x:v>6</x:v>
      </x:c>
      <x:c r="B677" s="2" t="s">
        <x:v>17</x:v>
      </x:c>
      <x:c r="C677" s="3">
        <x:v>55</x:v>
      </x:c>
      <x:c r="D677" s="2" t="s">
        <x:v>2166</x:v>
      </x:c>
      <x:c r="E677" s="2" t="s">
        <x:v>2161</x:v>
      </x:c>
      <x:c r="F677" s="2" t="s">
        <x:v>431</x:v>
      </x:c>
      <x:c r="G677" s="2"/>
      <x:c r="H677" s="2" t="s">
        <x:v>634</x:v>
      </x:c>
      <x:c r="I677" s="2" t="s">
        <x:v>2162</x:v>
      </x:c>
      <x:c r="J677" s="2" t="s">
        <x:v>2098</x:v>
      </x:c>
      <x:c r="K677" s="2" t="n">
        <x:v>52</x:v>
      </x:c>
      <x:c r="L677" s="2" t="s">
        <x:v>2163</x:v>
      </x:c>
      <x:c r="M677" s="2" t="s">
        <x:v>2099</x:v>
      </x:c>
      <x:c r="N677" s="2">
        <x:v>2</x:v>
      </x:c>
      <x:c r="O677" s="2" t="s">
        <x:v>2094</x:v>
      </x:c>
      <x:c r="P677" s="2" t="s">
        <x:v>2100</x:v>
      </x:c>
      <x:c r="Q677" s="2"/>
      <x:c r="R677" s="3">
        <x:v>4</x:v>
      </x:c>
      <x:c r="S677" s="3">
        <x:v>1</x:v>
      </x:c>
      <x:c r="T677" s="2" t="s">
        <x:v>103</x:v>
      </x:c>
      <x:c r="U677" s="2"/>
      <x:c r="V677" s="2"/>
      <x:c r="W677" s="2"/>
      <x:c r="X677" s="3"/>
      <x:c r="Y677" s="3"/>
      <x:c r="Z677" s="2"/>
      <x:c r="AA677" s="2"/>
      <x:c r="AB677" s="2" t="s">
        <x:v>2101</x:v>
      </x:c>
      <x:c r="AC677" s="2"/>
      <x:c r="AD677" s="2"/>
      <x:c r="AE677" s="2"/>
      <x:c r="AF677" s="2"/>
      <x:c r="AG677" s="2" t="s">
        <x:v>428</x:v>
      </x:c>
      <x:c r="AH677" s="2"/>
      <x:c r="AI677" s="4"/>
      <x:c r="AJ677" s="2"/>
      <x:c r="AK677" s="2" t="s">
        <x:v>396</x:v>
      </x:c>
      <x:c r="AL677" s="2" t="s">
        <x:v>1550</x:v>
      </x:c>
      <x:c r="AM677" s="2">
        <x:v>57</x:v>
      </x:c>
      <x:c r="AN677" s="2">
        <x:v>57</x:v>
      </x:c>
    </x:row>
    <x:row r="678" ht="52">
      <x:c r="A678" s="2" t="s">
        <x:v>6</x:v>
      </x:c>
      <x:c r="B678" s="2" t="s">
        <x:v>17</x:v>
      </x:c>
      <x:c r="C678" s="3">
        <x:v>56</x:v>
      </x:c>
      <x:c r="D678" s="2" t="s">
        <x:v>2167</x:v>
      </x:c>
      <x:c r="E678" s="2" t="s">
        <x:v>2168</x:v>
      </x:c>
      <x:c r="F678" s="2" t="s">
        <x:v>2047</x:v>
      </x:c>
      <x:c r="G678" s="2"/>
      <x:c r="H678" s="2" t="s">
        <x:v>618</x:v>
      </x:c>
      <x:c r="I678" s="2" t="s">
        <x:v>2169</x:v>
      </x:c>
      <x:c r="J678" s="2" t="s">
        <x:v>2080</x:v>
      </x:c>
      <x:c r="K678" s="2"/>
      <x:c r="L678" s="2" t="s">
        <x:v>2170</x:v>
      </x:c>
      <x:c r="M678" s="2" t="s">
        <x:v>2082</x:v>
      </x:c>
      <x:c r="N678" s="2">
        <x:v>2</x:v>
      </x:c>
      <x:c r="O678" s="2" t="s">
        <x:v>2083</x:v>
      </x:c>
      <x:c r="P678" s="2" t="s">
        <x:v>2084</x:v>
      </x:c>
      <x:c r="Q678" s="2"/>
      <x:c r="R678" s="3">
        <x:v>4</x:v>
      </x:c>
      <x:c r="S678" s="3">
        <x:v>1</x:v>
      </x:c>
      <x:c r="T678" s="2" t="s">
        <x:v>103</x:v>
      </x:c>
      <x:c r="U678" s="2"/>
      <x:c r="V678" s="2"/>
      <x:c r="W678" s="2"/>
      <x:c r="X678" s="3"/>
      <x:c r="Y678" s="3"/>
      <x:c r="Z678" s="2"/>
      <x:c r="AA678" s="2"/>
      <x:c r="AB678" s="2" t="s">
        <x:v>415</x:v>
      </x:c>
      <x:c r="AC678" s="2"/>
      <x:c r="AD678" s="2"/>
      <x:c r="AE678" s="2"/>
      <x:c r="AF678" s="2"/>
      <x:c r="AG678" s="2" t="s">
        <x:v>2036</x:v>
      </x:c>
      <x:c r="AH678" s="2"/>
      <x:c r="AI678" s="4"/>
      <x:c r="AJ678" s="2"/>
      <x:c r="AK678" s="2" t="s">
        <x:v>396</x:v>
      </x:c>
      <x:c r="AL678" s="2" t="s">
        <x:v>1550</x:v>
      </x:c>
      <x:c r="AM678" s="2">
        <x:v>58</x:v>
      </x:c>
      <x:c r="AN678" s="2">
        <x:v>58</x:v>
      </x:c>
    </x:row>
    <x:row r="679" ht="39">
      <x:c r="A679" s="2" t="s">
        <x:v>91</x:v>
      </x:c>
      <x:c r="B679" s="2" t="s">
        <x:v>17</x:v>
      </x:c>
      <x:c r="C679" s="3">
        <x:v>57</x:v>
      </x:c>
      <x:c r="D679" s="2" t="s">
        <x:v>2171</x:v>
      </x:c>
      <x:c r="E679" s="2" t="s">
        <x:v>2168</x:v>
      </x:c>
      <x:c r="F679" s="2" t="s">
        <x:v>2047</x:v>
      </x:c>
      <x:c r="G679" s="2" t="s">
        <x:v>2172</x:v>
      </x:c>
      <x:c r="H679" s="2" t="s">
        <x:v>627</x:v>
      </x:c>
      <x:c r="I679" s="2" t="s">
        <x:v>2169</x:v>
      </x:c>
      <x:c r="J679" s="2" t="s">
        <x:v>2086</x:v>
      </x:c>
      <x:c r="K679" s="2" t="n">
        <x:v>56</x:v>
      </x:c>
      <x:c r="L679" s="2" t="s">
        <x:v>2170</x:v>
      </x:c>
      <x:c r="M679" s="2" t="s">
        <x:v>2087</x:v>
      </x:c>
      <x:c r="N679" s="2">
        <x:v>2</x:v>
      </x:c>
      <x:c r="O679" s="2" t="s">
        <x:v>2088</x:v>
      </x:c>
      <x:c r="P679" s="2" t="s">
        <x:v>2089</x:v>
      </x:c>
      <x:c r="Q679" s="2"/>
      <x:c r="R679" s="3">
        <x:v>4</x:v>
      </x:c>
      <x:c r="S679" s="3">
        <x:v>1</x:v>
      </x:c>
      <x:c r="T679" s="2" t="s">
        <x:v>103</x:v>
      </x:c>
      <x:c r="U679" s="2"/>
      <x:c r="V679" s="2"/>
      <x:c r="W679" s="2"/>
      <x:c r="X679" s="3"/>
      <x:c r="Y679" s="3"/>
      <x:c r="Z679" s="2"/>
      <x:c r="AA679" s="2"/>
      <x:c r="AB679" s="2" t="s">
        <x:v>2090</x:v>
      </x:c>
      <x:c r="AC679" s="2"/>
      <x:c r="AD679" s="2"/>
      <x:c r="AE679" s="2"/>
      <x:c r="AF679" s="2"/>
      <x:c r="AG679" s="2" t="s">
        <x:v>2036</x:v>
      </x:c>
      <x:c r="AH679" s="2"/>
      <x:c r="AI679" s="4"/>
      <x:c r="AJ679" s="2"/>
      <x:c r="AK679" s="2" t="s">
        <x:v>396</x:v>
      </x:c>
      <x:c r="AL679" s="2" t="s">
        <x:v>1550</x:v>
      </x:c>
      <x:c r="AM679" s="2">
        <x:v>59</x:v>
      </x:c>
      <x:c r="AN679" s="2">
        <x:v>59</x:v>
      </x:c>
    </x:row>
    <x:row r="680" ht="39">
      <x:c r="A680" s="2" t="s">
        <x:v>91</x:v>
      </x:c>
      <x:c r="B680" s="2" t="s">
        <x:v>17</x:v>
      </x:c>
      <x:c r="C680" s="3">
        <x:v>58</x:v>
      </x:c>
      <x:c r="D680" s="2" t="s">
        <x:v>2173</x:v>
      </x:c>
      <x:c r="E680" s="2" t="s">
        <x:v>2168</x:v>
      </x:c>
      <x:c r="F680" s="2" t="s">
        <x:v>2047</x:v>
      </x:c>
      <x:c r="G680" s="2" t="s">
        <x:v>2174</x:v>
      </x:c>
      <x:c r="H680" s="2" t="s">
        <x:v>634</x:v>
      </x:c>
      <x:c r="I680" s="2" t="s">
        <x:v>2169</x:v>
      </x:c>
      <x:c r="J680" s="2" t="s">
        <x:v>635</x:v>
      </x:c>
      <x:c r="K680" s="2" t="n">
        <x:v>56</x:v>
      </x:c>
      <x:c r="L680" s="2" t="s">
        <x:v>2170</x:v>
      </x:c>
      <x:c r="M680" s="2" t="s">
        <x:v>2093</x:v>
      </x:c>
      <x:c r="N680" s="2">
        <x:v>2</x:v>
      </x:c>
      <x:c r="O680" s="2" t="s">
        <x:v>2094</x:v>
      </x:c>
      <x:c r="P680" s="2" t="s">
        <x:v>2095</x:v>
      </x:c>
      <x:c r="Q680" s="2"/>
      <x:c r="R680" s="3">
        <x:v>4</x:v>
      </x:c>
      <x:c r="S680" s="3">
        <x:v>1</x:v>
      </x:c>
      <x:c r="T680" s="2" t="s">
        <x:v>103</x:v>
      </x:c>
      <x:c r="U680" s="2"/>
      <x:c r="V680" s="2"/>
      <x:c r="W680" s="2"/>
      <x:c r="X680" s="3"/>
      <x:c r="Y680" s="3"/>
      <x:c r="Z680" s="2"/>
      <x:c r="AA680" s="2"/>
      <x:c r="AB680" s="2" t="s">
        <x:v>415</x:v>
      </x:c>
      <x:c r="AC680" s="2"/>
      <x:c r="AD680" s="2"/>
      <x:c r="AE680" s="2"/>
      <x:c r="AF680" s="2"/>
      <x:c r="AG680" s="2" t="s">
        <x:v>2036</x:v>
      </x:c>
      <x:c r="AH680" s="2"/>
      <x:c r="AI680" s="4"/>
      <x:c r="AJ680" s="2"/>
      <x:c r="AK680" s="2" t="s">
        <x:v>396</x:v>
      </x:c>
      <x:c r="AL680" s="2" t="s">
        <x:v>1550</x:v>
      </x:c>
      <x:c r="AM680" s="2">
        <x:v>60</x:v>
      </x:c>
      <x:c r="AN680" s="2">
        <x:v>60</x:v>
      </x:c>
    </x:row>
    <x:row r="681" ht="39">
      <x:c r="A681" s="2" t="s">
        <x:v>91</x:v>
      </x:c>
      <x:c r="B681" s="2" t="s">
        <x:v>17</x:v>
      </x:c>
      <x:c r="C681" s="3">
        <x:v>59</x:v>
      </x:c>
      <x:c r="D681" s="2" t="s">
        <x:v>2175</x:v>
      </x:c>
      <x:c r="E681" s="2" t="s">
        <x:v>2168</x:v>
      </x:c>
      <x:c r="F681" s="2" t="s">
        <x:v>2047</x:v>
      </x:c>
      <x:c r="G681" s="2" t="s">
        <x:v>2172</x:v>
      </x:c>
      <x:c r="H681" s="2" t="s">
        <x:v>634</x:v>
      </x:c>
      <x:c r="I681" s="2" t="s">
        <x:v>2169</x:v>
      </x:c>
      <x:c r="J681" s="2" t="s">
        <x:v>2098</x:v>
      </x:c>
      <x:c r="K681" s="2" t="n">
        <x:v>56</x:v>
      </x:c>
      <x:c r="L681" s="2" t="s">
        <x:v>2170</x:v>
      </x:c>
      <x:c r="M681" s="2" t="s">
        <x:v>2099</x:v>
      </x:c>
      <x:c r="N681" s="2">
        <x:v>2</x:v>
      </x:c>
      <x:c r="O681" s="2" t="s">
        <x:v>2094</x:v>
      </x:c>
      <x:c r="P681" s="2" t="s">
        <x:v>2100</x:v>
      </x:c>
      <x:c r="Q681" s="2"/>
      <x:c r="R681" s="3">
        <x:v>4</x:v>
      </x:c>
      <x:c r="S681" s="3">
        <x:v>1</x:v>
      </x:c>
      <x:c r="T681" s="2" t="s">
        <x:v>103</x:v>
      </x:c>
      <x:c r="U681" s="2"/>
      <x:c r="V681" s="2"/>
      <x:c r="W681" s="2"/>
      <x:c r="X681" s="3"/>
      <x:c r="Y681" s="3"/>
      <x:c r="Z681" s="2"/>
      <x:c r="AA681" s="2"/>
      <x:c r="AB681" s="2" t="s">
        <x:v>2101</x:v>
      </x:c>
      <x:c r="AC681" s="2"/>
      <x:c r="AD681" s="2"/>
      <x:c r="AE681" s="2"/>
      <x:c r="AF681" s="2"/>
      <x:c r="AG681" s="2" t="s">
        <x:v>2036</x:v>
      </x:c>
      <x:c r="AH681" s="2"/>
      <x:c r="AI681" s="4"/>
      <x:c r="AJ681" s="2"/>
      <x:c r="AK681" s="2" t="s">
        <x:v>396</x:v>
      </x:c>
      <x:c r="AL681" s="2" t="s">
        <x:v>1550</x:v>
      </x:c>
      <x:c r="AM681" s="2">
        <x:v>61</x:v>
      </x:c>
      <x:c r="AN681" s="2">
        <x:v>61</x:v>
      </x:c>
    </x:row>
    <x:row r="682" ht="52">
      <x:c r="A682" s="2" t="s">
        <x:v>91</x:v>
      </x:c>
      <x:c r="B682" s="2" t="s">
        <x:v>17</x:v>
      </x:c>
      <x:c r="C682" s="3">
        <x:v>60</x:v>
      </x:c>
      <x:c r="D682" s="2" t="s">
        <x:v>2176</x:v>
      </x:c>
      <x:c r="E682" s="2" t="s">
        <x:v>2177</x:v>
      </x:c>
      <x:c r="F682" s="2" t="s">
        <x:v>410</x:v>
      </x:c>
      <x:c r="G682" s="2" t="s">
        <x:v>2178</x:v>
      </x:c>
      <x:c r="H682" s="2" t="s">
        <x:v>618</x:v>
      </x:c>
      <x:c r="I682" s="2" t="s">
        <x:v>2179</x:v>
      </x:c>
      <x:c r="J682" s="2" t="s">
        <x:v>2080</x:v>
      </x:c>
      <x:c r="K682" s="2"/>
      <x:c r="L682" s="2" t="s">
        <x:v>2180</x:v>
      </x:c>
      <x:c r="M682" s="2" t="s">
        <x:v>2082</x:v>
      </x:c>
      <x:c r="N682" s="2">
        <x:v>3</x:v>
      </x:c>
      <x:c r="O682" s="2" t="s">
        <x:v>2083</x:v>
      </x:c>
      <x:c r="P682" s="2" t="s">
        <x:v>2084</x:v>
      </x:c>
      <x:c r="Q682" s="2"/>
      <x:c r="R682" s="3">
        <x:v>4</x:v>
      </x:c>
      <x:c r="S682" s="3">
        <x:v>1</x:v>
      </x:c>
      <x:c r="T682" s="2" t="s">
        <x:v>103</x:v>
      </x:c>
      <x:c r="U682" s="2"/>
      <x:c r="V682" s="2"/>
      <x:c r="W682" s="2"/>
      <x:c r="X682" s="3"/>
      <x:c r="Y682" s="3"/>
      <x:c r="Z682" s="2"/>
      <x:c r="AA682" s="2"/>
      <x:c r="AB682" s="2" t="s">
        <x:v>427</x:v>
      </x:c>
      <x:c r="AC682" s="2"/>
      <x:c r="AD682" s="2"/>
      <x:c r="AE682" s="2"/>
      <x:c r="AF682" s="2"/>
      <x:c r="AG682" s="2" t="s">
        <x:v>395</x:v>
      </x:c>
      <x:c r="AH682" s="2"/>
      <x:c r="AI682" s="4"/>
      <x:c r="AJ682" s="2"/>
      <x:c r="AK682" s="2" t="s">
        <x:v>396</x:v>
      </x:c>
      <x:c r="AL682" s="2" t="s">
        <x:v>1550</x:v>
      </x:c>
      <x:c r="AM682" s="2">
        <x:v>62</x:v>
      </x:c>
      <x:c r="AN682" s="2">
        <x:v>62</x:v>
      </x:c>
    </x:row>
    <x:row r="683" ht="39">
      <x:c r="A683" s="2" t="s">
        <x:v>91</x:v>
      </x:c>
      <x:c r="B683" s="2" t="s">
        <x:v>17</x:v>
      </x:c>
      <x:c r="C683" s="3">
        <x:v>61</x:v>
      </x:c>
      <x:c r="D683" s="2" t="s">
        <x:v>2181</x:v>
      </x:c>
      <x:c r="E683" s="2" t="s">
        <x:v>2177</x:v>
      </x:c>
      <x:c r="F683" s="2" t="s">
        <x:v>410</x:v>
      </x:c>
      <x:c r="G683" s="2" t="s">
        <x:v>2182</x:v>
      </x:c>
      <x:c r="H683" s="2" t="s">
        <x:v>627</x:v>
      </x:c>
      <x:c r="I683" s="2" t="s">
        <x:v>2179</x:v>
      </x:c>
      <x:c r="J683" s="2" t="s">
        <x:v>2086</x:v>
      </x:c>
      <x:c r="K683" s="2" t="n">
        <x:v>60</x:v>
      </x:c>
      <x:c r="L683" s="2" t="s">
        <x:v>2180</x:v>
      </x:c>
      <x:c r="M683" s="2" t="s">
        <x:v>2087</x:v>
      </x:c>
      <x:c r="N683" s="2">
        <x:v>3</x:v>
      </x:c>
      <x:c r="O683" s="2" t="s">
        <x:v>2088</x:v>
      </x:c>
      <x:c r="P683" s="2" t="s">
        <x:v>2089</x:v>
      </x:c>
      <x:c r="Q683" s="2"/>
      <x:c r="R683" s="3">
        <x:v>4</x:v>
      </x:c>
      <x:c r="S683" s="3">
        <x:v>1</x:v>
      </x:c>
      <x:c r="T683" s="2" t="s">
        <x:v>103</x:v>
      </x:c>
      <x:c r="U683" s="2"/>
      <x:c r="V683" s="2"/>
      <x:c r="W683" s="2"/>
      <x:c r="X683" s="3"/>
      <x:c r="Y683" s="3"/>
      <x:c r="Z683" s="2"/>
      <x:c r="AA683" s="2"/>
      <x:c r="AB683" s="2" t="s">
        <x:v>2090</x:v>
      </x:c>
      <x:c r="AC683" s="2"/>
      <x:c r="AD683" s="2"/>
      <x:c r="AE683" s="2"/>
      <x:c r="AF683" s="2"/>
      <x:c r="AG683" s="2" t="s">
        <x:v>395</x:v>
      </x:c>
      <x:c r="AH683" s="2"/>
      <x:c r="AI683" s="4"/>
      <x:c r="AJ683" s="2"/>
      <x:c r="AK683" s="2" t="s">
        <x:v>396</x:v>
      </x:c>
      <x:c r="AL683" s="2" t="s">
        <x:v>1550</x:v>
      </x:c>
      <x:c r="AM683" s="2">
        <x:v>63</x:v>
      </x:c>
      <x:c r="AN683" s="2">
        <x:v>63</x:v>
      </x:c>
    </x:row>
    <x:row r="684" ht="52">
      <x:c r="A684" s="2" t="s">
        <x:v>91</x:v>
      </x:c>
      <x:c r="B684" s="2" t="s">
        <x:v>17</x:v>
      </x:c>
      <x:c r="C684" s="3">
        <x:v>62</x:v>
      </x:c>
      <x:c r="D684" s="2" t="s">
        <x:v>2108</x:v>
      </x:c>
      <x:c r="E684" s="2" t="s">
        <x:v>2183</x:v>
      </x:c>
      <x:c r="F684" s="2" t="s">
        <x:v>431</x:v>
      </x:c>
      <x:c r="G684" s="2" t="s">
        <x:v>2031</x:v>
      </x:c>
      <x:c r="H684" s="2" t="s">
        <x:v>618</x:v>
      </x:c>
      <x:c r="I684" s="2" t="s">
        <x:v>2184</x:v>
      </x:c>
      <x:c r="J684" s="2" t="s">
        <x:v>2080</x:v>
      </x:c>
      <x:c r="K684" s="2"/>
      <x:c r="L684" s="2" t="s">
        <x:v>2185</x:v>
      </x:c>
      <x:c r="M684" s="2" t="s">
        <x:v>2082</x:v>
      </x:c>
      <x:c r="N684" s="2">
        <x:v>3</x:v>
      </x:c>
      <x:c r="O684" s="2" t="s">
        <x:v>2083</x:v>
      </x:c>
      <x:c r="P684" s="2" t="s">
        <x:v>2084</x:v>
      </x:c>
      <x:c r="Q684" s="2"/>
      <x:c r="R684" s="3">
        <x:v>5</x:v>
      </x:c>
      <x:c r="S684" s="3">
        <x:v>1</x:v>
      </x:c>
      <x:c r="T684" s="2" t="s">
        <x:v>103</x:v>
      </x:c>
      <x:c r="U684" s="2"/>
      <x:c r="V684" s="2"/>
      <x:c r="W684" s="2"/>
      <x:c r="X684" s="3"/>
      <x:c r="Y684" s="3"/>
      <x:c r="Z684" s="2"/>
      <x:c r="AA684" s="2"/>
      <x:c r="AB684" s="2" t="s">
        <x:v>394</x:v>
      </x:c>
      <x:c r="AC684" s="2"/>
      <x:c r="AD684" s="2"/>
      <x:c r="AE684" s="2"/>
      <x:c r="AF684" s="2"/>
      <x:c r="AG684" s="2" t="s">
        <x:v>428</x:v>
      </x:c>
      <x:c r="AH684" s="2"/>
      <x:c r="AI684" s="4"/>
      <x:c r="AJ684" s="2"/>
      <x:c r="AK684" s="2" t="s">
        <x:v>396</x:v>
      </x:c>
      <x:c r="AL684" s="2" t="s">
        <x:v>1550</x:v>
      </x:c>
      <x:c r="AM684" s="2">
        <x:v>64</x:v>
      </x:c>
      <x:c r="AN684" s="2">
        <x:v>64</x:v>
      </x:c>
    </x:row>
    <x:row r="685" ht="39">
      <x:c r="A685" s="2" t="s">
        <x:v>6</x:v>
      </x:c>
      <x:c r="B685" s="2" t="s">
        <x:v>17</x:v>
      </x:c>
      <x:c r="C685" s="3">
        <x:v>63</x:v>
      </x:c>
      <x:c r="D685" s="2" t="s">
        <x:v>2186</x:v>
      </x:c>
      <x:c r="E685" s="2" t="s">
        <x:v>2183</x:v>
      </x:c>
      <x:c r="F685" s="2" t="s">
        <x:v>431</x:v>
      </x:c>
      <x:c r="G685" s="2"/>
      <x:c r="H685" s="2" t="s">
        <x:v>627</x:v>
      </x:c>
      <x:c r="I685" s="2" t="s">
        <x:v>2184</x:v>
      </x:c>
      <x:c r="J685" s="2" t="s">
        <x:v>2086</x:v>
      </x:c>
      <x:c r="K685" s="2" t="n">
        <x:v>62</x:v>
      </x:c>
      <x:c r="L685" s="2" t="s">
        <x:v>2185</x:v>
      </x:c>
      <x:c r="M685" s="2" t="s">
        <x:v>2087</x:v>
      </x:c>
      <x:c r="N685" s="2">
        <x:v>3</x:v>
      </x:c>
      <x:c r="O685" s="2" t="s">
        <x:v>2088</x:v>
      </x:c>
      <x:c r="P685" s="2" t="s">
        <x:v>2089</x:v>
      </x:c>
      <x:c r="Q685" s="2"/>
      <x:c r="R685" s="3">
        <x:v>5</x:v>
      </x:c>
      <x:c r="S685" s="3">
        <x:v>1</x:v>
      </x:c>
      <x:c r="T685" s="2" t="s">
        <x:v>103</x:v>
      </x:c>
      <x:c r="U685" s="2"/>
      <x:c r="V685" s="2"/>
      <x:c r="W685" s="2"/>
      <x:c r="X685" s="3"/>
      <x:c r="Y685" s="3"/>
      <x:c r="Z685" s="2"/>
      <x:c r="AA685" s="2"/>
      <x:c r="AB685" s="2" t="s">
        <x:v>2090</x:v>
      </x:c>
      <x:c r="AC685" s="2"/>
      <x:c r="AD685" s="2"/>
      <x:c r="AE685" s="2"/>
      <x:c r="AF685" s="2"/>
      <x:c r="AG685" s="2" t="s">
        <x:v>428</x:v>
      </x:c>
      <x:c r="AH685" s="2"/>
      <x:c r="AI685" s="4"/>
      <x:c r="AJ685" s="2"/>
      <x:c r="AK685" s="2" t="s">
        <x:v>396</x:v>
      </x:c>
      <x:c r="AL685" s="2" t="s">
        <x:v>1550</x:v>
      </x:c>
      <x:c r="AM685" s="2">
        <x:v>65</x:v>
      </x:c>
      <x:c r="AN685" s="2">
        <x:v>65</x:v>
      </x:c>
    </x:row>
    <x:row r="686" ht="52">
      <x:c r="A686" s="2" t="s">
        <x:v>6</x:v>
      </x:c>
      <x:c r="B686" s="2" t="s">
        <x:v>17</x:v>
      </x:c>
      <x:c r="C686" s="3">
        <x:v>64</x:v>
      </x:c>
      <x:c r="D686" s="2" t="s">
        <x:v>2187</x:v>
      </x:c>
      <x:c r="E686" s="2" t="s">
        <x:v>2188</x:v>
      </x:c>
      <x:c r="F686" s="2" t="s">
        <x:v>237</x:v>
      </x:c>
      <x:c r="G686" s="2"/>
      <x:c r="H686" s="2" t="s">
        <x:v>618</x:v>
      </x:c>
      <x:c r="I686" s="2" t="s">
        <x:v>2189</x:v>
      </x:c>
      <x:c r="J686" s="2" t="s">
        <x:v>2120</x:v>
      </x:c>
      <x:c r="K686" s="2"/>
      <x:c r="L686" s="2" t="s">
        <x:v>2190</x:v>
      </x:c>
      <x:c r="M686" s="2" t="s">
        <x:v>2082</x:v>
      </x:c>
      <x:c r="N686" s="2">
        <x:v>3</x:v>
      </x:c>
      <x:c r="O686" s="2" t="s">
        <x:v>2083</x:v>
      </x:c>
      <x:c r="P686" s="2" t="s">
        <x:v>2084</x:v>
      </x:c>
      <x:c r="Q686" s="2"/>
      <x:c r="R686" s="3">
        <x:v>3</x:v>
      </x:c>
      <x:c r="S686" s="3">
        <x:v>1</x:v>
      </x:c>
      <x:c r="T686" s="2" t="s">
        <x:v>103</x:v>
      </x:c>
      <x:c r="U686" s="2"/>
      <x:c r="V686" s="2"/>
      <x:c r="W686" s="2"/>
      <x:c r="X686" s="3"/>
      <x:c r="Y686" s="3"/>
      <x:c r="Z686" s="2"/>
      <x:c r="AA686" s="2"/>
      <x:c r="AB686" s="2" t="s">
        <x:v>415</x:v>
      </x:c>
      <x:c r="AC686" s="2"/>
      <x:c r="AD686" s="2"/>
      <x:c r="AE686" s="2"/>
      <x:c r="AF686" s="2"/>
      <x:c r="AG686" s="2" t="s">
        <x:v>2036</x:v>
      </x:c>
      <x:c r="AH686" s="2"/>
      <x:c r="AI686" s="4"/>
      <x:c r="AJ686" s="2"/>
      <x:c r="AK686" s="2" t="s">
        <x:v>396</x:v>
      </x:c>
      <x:c r="AL686" s="2" t="s">
        <x:v>1550</x:v>
      </x:c>
      <x:c r="AM686" s="2">
        <x:v>66</x:v>
      </x:c>
      <x:c r="AN686" s="2">
        <x:v>66</x:v>
      </x:c>
    </x:row>
    <x:row r="687" ht="39">
      <x:c r="A687" s="2" t="s">
        <x:v>91</x:v>
      </x:c>
      <x:c r="B687" s="2" t="s">
        <x:v>17</x:v>
      </x:c>
      <x:c r="C687" s="3">
        <x:v>65</x:v>
      </x:c>
      <x:c r="D687" s="2" t="s">
        <x:v>1376</x:v>
      </x:c>
      <x:c r="E687" s="2" t="s">
        <x:v>2188</x:v>
      </x:c>
      <x:c r="F687" s="2" t="s">
        <x:v>237</x:v>
      </x:c>
      <x:c r="G687" s="2" t="s">
        <x:v>2191</x:v>
      </x:c>
      <x:c r="H687" s="2" t="s">
        <x:v>627</x:v>
      </x:c>
      <x:c r="I687" s="2" t="s">
        <x:v>2189</x:v>
      </x:c>
      <x:c r="J687" s="2" t="s">
        <x:v>2086</x:v>
      </x:c>
      <x:c r="K687" s="2" t="n">
        <x:v>64</x:v>
      </x:c>
      <x:c r="L687" s="2" t="s">
        <x:v>2190</x:v>
      </x:c>
      <x:c r="M687" s="2" t="s">
        <x:v>2087</x:v>
      </x:c>
      <x:c r="N687" s="2">
        <x:v>3</x:v>
      </x:c>
      <x:c r="O687" s="2" t="s">
        <x:v>2088</x:v>
      </x:c>
      <x:c r="P687" s="2" t="s">
        <x:v>2089</x:v>
      </x:c>
      <x:c r="Q687" s="2"/>
      <x:c r="R687" s="3">
        <x:v>3</x:v>
      </x:c>
      <x:c r="S687" s="3">
        <x:v>1</x:v>
      </x:c>
      <x:c r="T687" s="2" t="s">
        <x:v>103</x:v>
      </x:c>
      <x:c r="U687" s="2"/>
      <x:c r="V687" s="2"/>
      <x:c r="W687" s="2"/>
      <x:c r="X687" s="3"/>
      <x:c r="Y687" s="3"/>
      <x:c r="Z687" s="2"/>
      <x:c r="AA687" s="2"/>
      <x:c r="AB687" s="2" t="s">
        <x:v>2090</x:v>
      </x:c>
      <x:c r="AC687" s="2"/>
      <x:c r="AD687" s="2"/>
      <x:c r="AE687" s="2"/>
      <x:c r="AF687" s="2"/>
      <x:c r="AG687" s="2" t="s">
        <x:v>2036</x:v>
      </x:c>
      <x:c r="AH687" s="2"/>
      <x:c r="AI687" s="4"/>
      <x:c r="AJ687" s="2"/>
      <x:c r="AK687" s="2" t="s">
        <x:v>396</x:v>
      </x:c>
      <x:c r="AL687" s="2" t="s">
        <x:v>1550</x:v>
      </x:c>
      <x:c r="AM687" s="2">
        <x:v>67</x:v>
      </x:c>
      <x:c r="AN687" s="2">
        <x:v>67</x:v>
      </x:c>
    </x:row>
    <x:row r="688" ht="52">
      <x:c r="A688" s="2" t="s">
        <x:v>91</x:v>
      </x:c>
      <x:c r="B688" s="2" t="s">
        <x:v>17</x:v>
      </x:c>
      <x:c r="C688" s="3">
        <x:v>66</x:v>
      </x:c>
      <x:c r="D688" s="2" t="s">
        <x:v>2192</x:v>
      </x:c>
      <x:c r="E688" s="2" t="s">
        <x:v>2193</x:v>
      </x:c>
      <x:c r="F688" s="2" t="s">
        <x:v>386</x:v>
      </x:c>
      <x:c r="G688" s="2" t="s">
        <x:v>2194</x:v>
      </x:c>
      <x:c r="H688" s="2" t="s">
        <x:v>618</x:v>
      </x:c>
      <x:c r="I688" s="2" t="s">
        <x:v>2195</x:v>
      </x:c>
      <x:c r="J688" s="2" t="s">
        <x:v>2120</x:v>
      </x:c>
      <x:c r="K688" s="2"/>
      <x:c r="L688" s="2" t="s">
        <x:v>2196</x:v>
      </x:c>
      <x:c r="M688" s="2" t="s">
        <x:v>2082</x:v>
      </x:c>
      <x:c r="N688" s="2">
        <x:v>3</x:v>
      </x:c>
      <x:c r="O688" s="2" t="s">
        <x:v>2083</x:v>
      </x:c>
      <x:c r="P688" s="2" t="s">
        <x:v>2084</x:v>
      </x:c>
      <x:c r="Q688" s="2"/>
      <x:c r="R688" s="3">
        <x:v>3</x:v>
      </x:c>
      <x:c r="S688" s="3">
        <x:v>1</x:v>
      </x:c>
      <x:c r="T688" s="2" t="s">
        <x:v>103</x:v>
      </x:c>
      <x:c r="U688" s="2"/>
      <x:c r="V688" s="2"/>
      <x:c r="W688" s="2"/>
      <x:c r="X688" s="3"/>
      <x:c r="Y688" s="3"/>
      <x:c r="Z688" s="2"/>
      <x:c r="AA688" s="2"/>
      <x:c r="AB688" s="2" t="s">
        <x:v>427</x:v>
      </x:c>
      <x:c r="AC688" s="2"/>
      <x:c r="AD688" s="2"/>
      <x:c r="AE688" s="2"/>
      <x:c r="AF688" s="2"/>
      <x:c r="AG688" s="2" t="s">
        <x:v>395</x:v>
      </x:c>
      <x:c r="AH688" s="2"/>
      <x:c r="AI688" s="4"/>
      <x:c r="AJ688" s="2"/>
      <x:c r="AK688" s="2" t="s">
        <x:v>396</x:v>
      </x:c>
      <x:c r="AL688" s="2" t="s">
        <x:v>1550</x:v>
      </x:c>
      <x:c r="AM688" s="2">
        <x:v>68</x:v>
      </x:c>
      <x:c r="AN688" s="2">
        <x:v>68</x:v>
      </x:c>
    </x:row>
    <x:row r="689" ht="39">
      <x:c r="A689" s="2" t="s">
        <x:v>91</x:v>
      </x:c>
      <x:c r="B689" s="2" t="s">
        <x:v>17</x:v>
      </x:c>
      <x:c r="C689" s="3">
        <x:v>67</x:v>
      </x:c>
      <x:c r="D689" s="2" t="s">
        <x:v>2197</x:v>
      </x:c>
      <x:c r="E689" s="2" t="s">
        <x:v>2193</x:v>
      </x:c>
      <x:c r="F689" s="2" t="s">
        <x:v>386</x:v>
      </x:c>
      <x:c r="G689" s="2" t="s">
        <x:v>2198</x:v>
      </x:c>
      <x:c r="H689" s="2" t="s">
        <x:v>627</x:v>
      </x:c>
      <x:c r="I689" s="2" t="s">
        <x:v>2195</x:v>
      </x:c>
      <x:c r="J689" s="2" t="s">
        <x:v>2086</x:v>
      </x:c>
      <x:c r="K689" s="2" t="n">
        <x:v>66</x:v>
      </x:c>
      <x:c r="L689" s="2" t="s">
        <x:v>2196</x:v>
      </x:c>
      <x:c r="M689" s="2" t="s">
        <x:v>2087</x:v>
      </x:c>
      <x:c r="N689" s="2">
        <x:v>3</x:v>
      </x:c>
      <x:c r="O689" s="2" t="s">
        <x:v>2088</x:v>
      </x:c>
      <x:c r="P689" s="2" t="s">
        <x:v>2089</x:v>
      </x:c>
      <x:c r="Q689" s="2"/>
      <x:c r="R689" s="3">
        <x:v>3</x:v>
      </x:c>
      <x:c r="S689" s="3">
        <x:v>1</x:v>
      </x:c>
      <x:c r="T689" s="2" t="s">
        <x:v>103</x:v>
      </x:c>
      <x:c r="U689" s="2"/>
      <x:c r="V689" s="2"/>
      <x:c r="W689" s="2"/>
      <x:c r="X689" s="3"/>
      <x:c r="Y689" s="3"/>
      <x:c r="Z689" s="2"/>
      <x:c r="AA689" s="2"/>
      <x:c r="AB689" s="2" t="s">
        <x:v>2090</x:v>
      </x:c>
      <x:c r="AC689" s="2"/>
      <x:c r="AD689" s="2"/>
      <x:c r="AE689" s="2"/>
      <x:c r="AF689" s="2"/>
      <x:c r="AG689" s="2" t="s">
        <x:v>395</x:v>
      </x:c>
      <x:c r="AH689" s="2"/>
      <x:c r="AI689" s="4"/>
      <x:c r="AJ689" s="2"/>
      <x:c r="AK689" s="2" t="s">
        <x:v>396</x:v>
      </x:c>
      <x:c r="AL689" s="2" t="s">
        <x:v>1550</x:v>
      </x:c>
      <x:c r="AM689" s="2">
        <x:v>69</x:v>
      </x:c>
      <x:c r="AN689" s="2">
        <x:v>69</x:v>
      </x:c>
    </x:row>
    <x:row r="690" ht="52">
      <x:c r="A690" s="2" t="s">
        <x:v>6</x:v>
      </x:c>
      <x:c r="B690" s="2" t="s">
        <x:v>17</x:v>
      </x:c>
      <x:c r="C690" s="3">
        <x:v>68</x:v>
      </x:c>
      <x:c r="D690" s="2" t="s">
        <x:v>2134</x:v>
      </x:c>
      <x:c r="E690" s="2" t="s">
        <x:v>2199</x:v>
      </x:c>
      <x:c r="F690" s="2" t="s">
        <x:v>423</x:v>
      </x:c>
      <x:c r="G690" s="2"/>
      <x:c r="H690" s="2" t="s">
        <x:v>618</x:v>
      </x:c>
      <x:c r="I690" s="2" t="s">
        <x:v>2200</x:v>
      </x:c>
      <x:c r="J690" s="2" t="s">
        <x:v>2120</x:v>
      </x:c>
      <x:c r="K690" s="2"/>
      <x:c r="L690" s="2" t="s">
        <x:v>2201</x:v>
      </x:c>
      <x:c r="M690" s="2" t="s">
        <x:v>2082</x:v>
      </x:c>
      <x:c r="N690" s="2">
        <x:v>3</x:v>
      </x:c>
      <x:c r="O690" s="2" t="s">
        <x:v>2083</x:v>
      </x:c>
      <x:c r="P690" s="2" t="s">
        <x:v>2084</x:v>
      </x:c>
      <x:c r="Q690" s="2"/>
      <x:c r="R690" s="3">
        <x:v>4</x:v>
      </x:c>
      <x:c r="S690" s="3">
        <x:v>1</x:v>
      </x:c>
      <x:c r="T690" s="2" t="s">
        <x:v>103</x:v>
      </x:c>
      <x:c r="U690" s="2"/>
      <x:c r="V690" s="2"/>
      <x:c r="W690" s="2"/>
      <x:c r="X690" s="3"/>
      <x:c r="Y690" s="3"/>
      <x:c r="Z690" s="2"/>
      <x:c r="AA690" s="2"/>
      <x:c r="AB690" s="2" t="s">
        <x:v>394</x:v>
      </x:c>
      <x:c r="AC690" s="2"/>
      <x:c r="AD690" s="2"/>
      <x:c r="AE690" s="2"/>
      <x:c r="AF690" s="2"/>
      <x:c r="AG690" s="2" t="s">
        <x:v>428</x:v>
      </x:c>
      <x:c r="AH690" s="2"/>
      <x:c r="AI690" s="4"/>
      <x:c r="AJ690" s="2"/>
      <x:c r="AK690" s="2" t="s">
        <x:v>396</x:v>
      </x:c>
      <x:c r="AL690" s="2" t="s">
        <x:v>1550</x:v>
      </x:c>
      <x:c r="AM690" s="2">
        <x:v>70</x:v>
      </x:c>
      <x:c r="AN690" s="2">
        <x:v>70</x:v>
      </x:c>
    </x:row>
    <x:row r="691" ht="39">
      <x:c r="A691" s="2" t="s">
        <x:v>6</x:v>
      </x:c>
      <x:c r="B691" s="2" t="s">
        <x:v>17</x:v>
      </x:c>
      <x:c r="C691" s="3">
        <x:v>69</x:v>
      </x:c>
      <x:c r="D691" s="2" t="s">
        <x:v>2113</x:v>
      </x:c>
      <x:c r="E691" s="2" t="s">
        <x:v>2199</x:v>
      </x:c>
      <x:c r="F691" s="2" t="s">
        <x:v>423</x:v>
      </x:c>
      <x:c r="G691" s="2"/>
      <x:c r="H691" s="2" t="s">
        <x:v>627</x:v>
      </x:c>
      <x:c r="I691" s="2" t="s">
        <x:v>2200</x:v>
      </x:c>
      <x:c r="J691" s="2" t="s">
        <x:v>2086</x:v>
      </x:c>
      <x:c r="K691" s="2" t="n">
        <x:v>68</x:v>
      </x:c>
      <x:c r="L691" s="2" t="s">
        <x:v>2201</x:v>
      </x:c>
      <x:c r="M691" s="2" t="s">
        <x:v>2087</x:v>
      </x:c>
      <x:c r="N691" s="2">
        <x:v>3</x:v>
      </x:c>
      <x:c r="O691" s="2" t="s">
        <x:v>2088</x:v>
      </x:c>
      <x:c r="P691" s="2" t="s">
        <x:v>2089</x:v>
      </x:c>
      <x:c r="Q691" s="2"/>
      <x:c r="R691" s="3">
        <x:v>4</x:v>
      </x:c>
      <x:c r="S691" s="3">
        <x:v>1</x:v>
      </x:c>
      <x:c r="T691" s="2" t="s">
        <x:v>103</x:v>
      </x:c>
      <x:c r="U691" s="2"/>
      <x:c r="V691" s="2"/>
      <x:c r="W691" s="2"/>
      <x:c r="X691" s="3"/>
      <x:c r="Y691" s="3"/>
      <x:c r="Z691" s="2"/>
      <x:c r="AA691" s="2"/>
      <x:c r="AB691" s="2" t="s">
        <x:v>2090</x:v>
      </x:c>
      <x:c r="AC691" s="2"/>
      <x:c r="AD691" s="2"/>
      <x:c r="AE691" s="2"/>
      <x:c r="AF691" s="2"/>
      <x:c r="AG691" s="2" t="s">
        <x:v>428</x:v>
      </x:c>
      <x:c r="AH691" s="2"/>
      <x:c r="AI691" s="4"/>
      <x:c r="AJ691" s="2"/>
      <x:c r="AK691" s="2" t="s">
        <x:v>396</x:v>
      </x:c>
      <x:c r="AL691" s="2" t="s">
        <x:v>1550</x:v>
      </x:c>
      <x:c r="AM691" s="2">
        <x:v>71</x:v>
      </x:c>
      <x:c r="AN691" s="2">
        <x:v>71</x:v>
      </x:c>
    </x:row>
    <x:row r="692" ht="52">
      <x:c r="A692" s="2" t="s">
        <x:v>6</x:v>
      </x:c>
      <x:c r="B692" s="2" t="s">
        <x:v>17</x:v>
      </x:c>
      <x:c r="C692" s="3">
        <x:v>70</x:v>
      </x:c>
      <x:c r="D692" s="2" t="s">
        <x:v>2202</x:v>
      </x:c>
      <x:c r="E692" s="2" t="s">
        <x:v>2203</x:v>
      </x:c>
      <x:c r="F692" s="2" t="s">
        <x:v>237</x:v>
      </x:c>
      <x:c r="G692" s="2" t="s">
        <x:v>2204</x:v>
      </x:c>
      <x:c r="H692" s="2" t="s">
        <x:v>618</x:v>
      </x:c>
      <x:c r="I692" s="2" t="s">
        <x:v>2205</x:v>
      </x:c>
      <x:c r="J692" s="2" t="s">
        <x:v>2145</x:v>
      </x:c>
      <x:c r="K692" s="2"/>
      <x:c r="L692" s="2" t="s">
        <x:v>2206</x:v>
      </x:c>
      <x:c r="M692" s="2" t="s">
        <x:v>2082</x:v>
      </x:c>
      <x:c r="N692" s="2">
        <x:v>3</x:v>
      </x:c>
      <x:c r="O692" s="2" t="s">
        <x:v>2083</x:v>
      </x:c>
      <x:c r="P692" s="2" t="s">
        <x:v>2084</x:v>
      </x:c>
      <x:c r="Q692" s="2"/>
      <x:c r="R692" s="3">
        <x:v>4</x:v>
      </x:c>
      <x:c r="S692" s="3">
        <x:v>1</x:v>
      </x:c>
      <x:c r="T692" s="2" t="s">
        <x:v>103</x:v>
      </x:c>
      <x:c r="U692" s="2"/>
      <x:c r="V692" s="2"/>
      <x:c r="W692" s="2"/>
      <x:c r="X692" s="3"/>
      <x:c r="Y692" s="3"/>
      <x:c r="Z692" s="2"/>
      <x:c r="AA692" s="2"/>
      <x:c r="AB692" s="2" t="s">
        <x:v>415</x:v>
      </x:c>
      <x:c r="AC692" s="2"/>
      <x:c r="AD692" s="2"/>
      <x:c r="AE692" s="2"/>
      <x:c r="AF692" s="2"/>
      <x:c r="AG692" s="2" t="s">
        <x:v>2036</x:v>
      </x:c>
      <x:c r="AH692" s="2"/>
      <x:c r="AI692" s="4"/>
      <x:c r="AJ692" s="2"/>
      <x:c r="AK692" s="2" t="s">
        <x:v>396</x:v>
      </x:c>
      <x:c r="AL692" s="2" t="s">
        <x:v>1550</x:v>
      </x:c>
      <x:c r="AM692" s="2">
        <x:v>72</x:v>
      </x:c>
      <x:c r="AN692" s="2">
        <x:v>72</x:v>
      </x:c>
    </x:row>
    <x:row r="693" ht="39">
      <x:c r="A693" s="2" t="s">
        <x:v>6</x:v>
      </x:c>
      <x:c r="B693" s="2" t="s">
        <x:v>17</x:v>
      </x:c>
      <x:c r="C693" s="3">
        <x:v>71</x:v>
      </x:c>
      <x:c r="D693" s="2" t="s">
        <x:v>1418</x:v>
      </x:c>
      <x:c r="E693" s="2" t="s">
        <x:v>2203</x:v>
      </x:c>
      <x:c r="F693" s="2" t="s">
        <x:v>237</x:v>
      </x:c>
      <x:c r="G693" s="2"/>
      <x:c r="H693" s="2" t="s">
        <x:v>627</x:v>
      </x:c>
      <x:c r="I693" s="2" t="s">
        <x:v>2205</x:v>
      </x:c>
      <x:c r="J693" s="2" t="s">
        <x:v>2086</x:v>
      </x:c>
      <x:c r="K693" s="2" t="n">
        <x:v>70</x:v>
      </x:c>
      <x:c r="L693" s="2" t="s">
        <x:v>2206</x:v>
      </x:c>
      <x:c r="M693" s="2" t="s">
        <x:v>2087</x:v>
      </x:c>
      <x:c r="N693" s="2">
        <x:v>3</x:v>
      </x:c>
      <x:c r="O693" s="2" t="s">
        <x:v>2088</x:v>
      </x:c>
      <x:c r="P693" s="2" t="s">
        <x:v>2089</x:v>
      </x:c>
      <x:c r="Q693" s="2"/>
      <x:c r="R693" s="3">
        <x:v>4</x:v>
      </x:c>
      <x:c r="S693" s="3">
        <x:v>1</x:v>
      </x:c>
      <x:c r="T693" s="2" t="s">
        <x:v>103</x:v>
      </x:c>
      <x:c r="U693" s="2"/>
      <x:c r="V693" s="2"/>
      <x:c r="W693" s="2"/>
      <x:c r="X693" s="3"/>
      <x:c r="Y693" s="3"/>
      <x:c r="Z693" s="2"/>
      <x:c r="AA693" s="2"/>
      <x:c r="AB693" s="2" t="s">
        <x:v>2090</x:v>
      </x:c>
      <x:c r="AC693" s="2"/>
      <x:c r="AD693" s="2"/>
      <x:c r="AE693" s="2"/>
      <x:c r="AF693" s="2"/>
      <x:c r="AG693" s="2" t="s">
        <x:v>2036</x:v>
      </x:c>
      <x:c r="AH693" s="2"/>
      <x:c r="AI693" s="4"/>
      <x:c r="AJ693" s="2"/>
      <x:c r="AK693" s="2" t="s">
        <x:v>396</x:v>
      </x:c>
      <x:c r="AL693" s="2" t="s">
        <x:v>1550</x:v>
      </x:c>
      <x:c r="AM693" s="2">
        <x:v>73</x:v>
      </x:c>
      <x:c r="AN693" s="2">
        <x:v>73</x:v>
      </x:c>
    </x:row>
    <x:row r="694" ht="52">
      <x:c r="A694" s="2" t="s">
        <x:v>6</x:v>
      </x:c>
      <x:c r="B694" s="2" t="s">
        <x:v>17</x:v>
      </x:c>
      <x:c r="C694" s="3">
        <x:v>72</x:v>
      </x:c>
      <x:c r="D694" s="2" t="s">
        <x:v>2207</x:v>
      </x:c>
      <x:c r="E694" s="2" t="s">
        <x:v>2208</x:v>
      </x:c>
      <x:c r="F694" s="2" t="s">
        <x:v>386</x:v>
      </x:c>
      <x:c r="G694" s="2"/>
      <x:c r="H694" s="2" t="s">
        <x:v>618</x:v>
      </x:c>
      <x:c r="I694" s="2" t="s">
        <x:v>2209</x:v>
      </x:c>
      <x:c r="J694" s="2" t="s">
        <x:v>2145</x:v>
      </x:c>
      <x:c r="K694" s="2"/>
      <x:c r="L694" s="2" t="s">
        <x:v>2210</x:v>
      </x:c>
      <x:c r="M694" s="2" t="s">
        <x:v>2082</x:v>
      </x:c>
      <x:c r="N694" s="2">
        <x:v>3</x:v>
      </x:c>
      <x:c r="O694" s="2" t="s">
        <x:v>2083</x:v>
      </x:c>
      <x:c r="P694" s="2" t="s">
        <x:v>2084</x:v>
      </x:c>
      <x:c r="Q694" s="2"/>
      <x:c r="R694" s="3">
        <x:v>4</x:v>
      </x:c>
      <x:c r="S694" s="3">
        <x:v>1</x:v>
      </x:c>
      <x:c r="T694" s="2" t="s">
        <x:v>103</x:v>
      </x:c>
      <x:c r="U694" s="2"/>
      <x:c r="V694" s="2"/>
      <x:c r="W694" s="2"/>
      <x:c r="X694" s="3"/>
      <x:c r="Y694" s="3"/>
      <x:c r="Z694" s="2"/>
      <x:c r="AA694" s="2"/>
      <x:c r="AB694" s="2" t="s">
        <x:v>427</x:v>
      </x:c>
      <x:c r="AC694" s="2"/>
      <x:c r="AD694" s="2"/>
      <x:c r="AE694" s="2"/>
      <x:c r="AF694" s="2"/>
      <x:c r="AG694" s="2" t="s">
        <x:v>395</x:v>
      </x:c>
      <x:c r="AH694" s="2"/>
      <x:c r="AI694" s="4"/>
      <x:c r="AJ694" s="2"/>
      <x:c r="AK694" s="2" t="s">
        <x:v>396</x:v>
      </x:c>
      <x:c r="AL694" s="2" t="s">
        <x:v>1550</x:v>
      </x:c>
      <x:c r="AM694" s="2">
        <x:v>74</x:v>
      </x:c>
      <x:c r="AN694" s="2">
        <x:v>74</x:v>
      </x:c>
    </x:row>
    <x:row r="695" ht="39">
      <x:c r="A695" s="2" t="s">
        <x:v>6</x:v>
      </x:c>
      <x:c r="B695" s="2" t="s">
        <x:v>17</x:v>
      </x:c>
      <x:c r="C695" s="3">
        <x:v>73</x:v>
      </x:c>
      <x:c r="D695" s="2" t="s">
        <x:v>2105</x:v>
      </x:c>
      <x:c r="E695" s="2" t="s">
        <x:v>2208</x:v>
      </x:c>
      <x:c r="F695" s="2" t="s">
        <x:v>386</x:v>
      </x:c>
      <x:c r="G695" s="2"/>
      <x:c r="H695" s="2" t="s">
        <x:v>627</x:v>
      </x:c>
      <x:c r="I695" s="2" t="s">
        <x:v>2209</x:v>
      </x:c>
      <x:c r="J695" s="2" t="s">
        <x:v>2086</x:v>
      </x:c>
      <x:c r="K695" s="2" t="n">
        <x:v>72</x:v>
      </x:c>
      <x:c r="L695" s="2" t="s">
        <x:v>2210</x:v>
      </x:c>
      <x:c r="M695" s="2" t="s">
        <x:v>2087</x:v>
      </x:c>
      <x:c r="N695" s="2">
        <x:v>3</x:v>
      </x:c>
      <x:c r="O695" s="2" t="s">
        <x:v>2088</x:v>
      </x:c>
      <x:c r="P695" s="2" t="s">
        <x:v>2089</x:v>
      </x:c>
      <x:c r="Q695" s="2"/>
      <x:c r="R695" s="3">
        <x:v>4</x:v>
      </x:c>
      <x:c r="S695" s="3">
        <x:v>1</x:v>
      </x:c>
      <x:c r="T695" s="2" t="s">
        <x:v>103</x:v>
      </x:c>
      <x:c r="U695" s="2"/>
      <x:c r="V695" s="2"/>
      <x:c r="W695" s="2"/>
      <x:c r="X695" s="3"/>
      <x:c r="Y695" s="3"/>
      <x:c r="Z695" s="2"/>
      <x:c r="AA695" s="2"/>
      <x:c r="AB695" s="2" t="s">
        <x:v>2090</x:v>
      </x:c>
      <x:c r="AC695" s="2"/>
      <x:c r="AD695" s="2"/>
      <x:c r="AE695" s="2"/>
      <x:c r="AF695" s="2"/>
      <x:c r="AG695" s="2" t="s">
        <x:v>395</x:v>
      </x:c>
      <x:c r="AH695" s="2"/>
      <x:c r="AI695" s="4"/>
      <x:c r="AJ695" s="2"/>
      <x:c r="AK695" s="2" t="s">
        <x:v>396</x:v>
      </x:c>
      <x:c r="AL695" s="2" t="s">
        <x:v>1550</x:v>
      </x:c>
      <x:c r="AM695" s="2">
        <x:v>75</x:v>
      </x:c>
      <x:c r="AN695" s="2">
        <x:v>75</x:v>
      </x:c>
    </x:row>
    <x:row r="696" ht="52">
      <x:c r="A696" s="2" t="s">
        <x:v>91</x:v>
      </x:c>
      <x:c r="B696" s="2" t="s">
        <x:v>17</x:v>
      </x:c>
      <x:c r="C696" s="3">
        <x:v>74</x:v>
      </x:c>
      <x:c r="D696" s="2" t="s">
        <x:v>2160</x:v>
      </x:c>
      <x:c r="E696" s="2" t="s">
        <x:v>2211</x:v>
      </x:c>
      <x:c r="F696" s="2" t="s">
        <x:v>423</x:v>
      </x:c>
      <x:c r="G696" s="2" t="s">
        <x:v>2212</x:v>
      </x:c>
      <x:c r="H696" s="2" t="s">
        <x:v>618</x:v>
      </x:c>
      <x:c r="I696" s="2" t="s">
        <x:v>2213</x:v>
      </x:c>
      <x:c r="J696" s="2" t="s">
        <x:v>2145</x:v>
      </x:c>
      <x:c r="K696" s="2"/>
      <x:c r="L696" s="2" t="s">
        <x:v>2214</x:v>
      </x:c>
      <x:c r="M696" s="2" t="s">
        <x:v>2082</x:v>
      </x:c>
      <x:c r="N696" s="2">
        <x:v>3</x:v>
      </x:c>
      <x:c r="O696" s="2" t="s">
        <x:v>2083</x:v>
      </x:c>
      <x:c r="P696" s="2" t="s">
        <x:v>2084</x:v>
      </x:c>
      <x:c r="Q696" s="2"/>
      <x:c r="R696" s="3">
        <x:v>5</x:v>
      </x:c>
      <x:c r="S696" s="3">
        <x:v>1</x:v>
      </x:c>
      <x:c r="T696" s="2" t="s">
        <x:v>103</x:v>
      </x:c>
      <x:c r="U696" s="2"/>
      <x:c r="V696" s="2"/>
      <x:c r="W696" s="2"/>
      <x:c r="X696" s="3"/>
      <x:c r="Y696" s="3"/>
      <x:c r="Z696" s="2"/>
      <x:c r="AA696" s="2"/>
      <x:c r="AB696" s="2" t="s">
        <x:v>394</x:v>
      </x:c>
      <x:c r="AC696" s="2"/>
      <x:c r="AD696" s="2"/>
      <x:c r="AE696" s="2"/>
      <x:c r="AF696" s="2"/>
      <x:c r="AG696" s="2" t="s">
        <x:v>428</x:v>
      </x:c>
      <x:c r="AH696" s="2"/>
      <x:c r="AI696" s="4"/>
      <x:c r="AJ696" s="2"/>
      <x:c r="AK696" s="2" t="s">
        <x:v>396</x:v>
      </x:c>
      <x:c r="AL696" s="2" t="s">
        <x:v>1550</x:v>
      </x:c>
      <x:c r="AM696" s="2">
        <x:v>76</x:v>
      </x:c>
      <x:c r="AN696" s="2">
        <x:v>76</x:v>
      </x:c>
    </x:row>
    <x:row r="697" ht="39">
      <x:c r="A697" s="2" t="s">
        <x:v>6</x:v>
      </x:c>
      <x:c r="B697" s="2" t="s">
        <x:v>17</x:v>
      </x:c>
      <x:c r="C697" s="3">
        <x:v>75</x:v>
      </x:c>
      <x:c r="D697" s="2" t="s">
        <x:v>2215</x:v>
      </x:c>
      <x:c r="E697" s="2" t="s">
        <x:v>2211</x:v>
      </x:c>
      <x:c r="F697" s="2" t="s">
        <x:v>423</x:v>
      </x:c>
      <x:c r="G697" s="2"/>
      <x:c r="H697" s="2" t="s">
        <x:v>627</x:v>
      </x:c>
      <x:c r="I697" s="2" t="s">
        <x:v>2213</x:v>
      </x:c>
      <x:c r="J697" s="2" t="s">
        <x:v>2086</x:v>
      </x:c>
      <x:c r="K697" s="2" t="n">
        <x:v>74</x:v>
      </x:c>
      <x:c r="L697" s="2" t="s">
        <x:v>2214</x:v>
      </x:c>
      <x:c r="M697" s="2" t="s">
        <x:v>2087</x:v>
      </x:c>
      <x:c r="N697" s="2">
        <x:v>3</x:v>
      </x:c>
      <x:c r="O697" s="2" t="s">
        <x:v>2088</x:v>
      </x:c>
      <x:c r="P697" s="2" t="s">
        <x:v>2089</x:v>
      </x:c>
      <x:c r="Q697" s="2"/>
      <x:c r="R697" s="3">
        <x:v>5</x:v>
      </x:c>
      <x:c r="S697" s="3">
        <x:v>1</x:v>
      </x:c>
      <x:c r="T697" s="2" t="s">
        <x:v>103</x:v>
      </x:c>
      <x:c r="U697" s="2"/>
      <x:c r="V697" s="2"/>
      <x:c r="W697" s="2"/>
      <x:c r="X697" s="3"/>
      <x:c r="Y697" s="3"/>
      <x:c r="Z697" s="2"/>
      <x:c r="AA697" s="2"/>
      <x:c r="AB697" s="2" t="s">
        <x:v>2090</x:v>
      </x:c>
      <x:c r="AC697" s="2"/>
      <x:c r="AD697" s="2"/>
      <x:c r="AE697" s="2"/>
      <x:c r="AF697" s="2"/>
      <x:c r="AG697" s="2" t="s">
        <x:v>428</x:v>
      </x:c>
      <x:c r="AH697" s="2"/>
      <x:c r="AI697" s="4"/>
      <x:c r="AJ697" s="2"/>
      <x:c r="AK697" s="2" t="s">
        <x:v>396</x:v>
      </x:c>
      <x:c r="AL697" s="2" t="s">
        <x:v>1550</x:v>
      </x:c>
      <x:c r="AM697" s="2">
        <x:v>77</x:v>
      </x:c>
      <x:c r="AN697" s="2">
        <x:v>77</x:v>
      </x:c>
    </x:row>
    <x:row r="698" ht="52">
      <x:c r="A698" s="2" t="s">
        <x:v>91</x:v>
      </x:c>
      <x:c r="B698" s="2" t="s">
        <x:v>17</x:v>
      </x:c>
      <x:c r="C698" s="3">
        <x:v>76</x:v>
      </x:c>
      <x:c r="D698" s="2" t="s">
        <x:v>2077</x:v>
      </x:c>
      <x:c r="E698" s="2" t="s">
        <x:v>2038</x:v>
      </x:c>
      <x:c r="F698" s="2" t="s">
        <x:v>2047</x:v>
      </x:c>
      <x:c r="G698" s="2" t="s">
        <x:v>2216</x:v>
      </x:c>
      <x:c r="H698" s="2" t="s">
        <x:v>618</x:v>
      </x:c>
      <x:c r="I698" s="2" t="s">
        <x:v>2217</x:v>
      </x:c>
      <x:c r="J698" s="2" t="s">
        <x:v>2080</x:v>
      </x:c>
      <x:c r="K698" s="2"/>
      <x:c r="L698" s="2" t="s">
        <x:v>2218</x:v>
      </x:c>
      <x:c r="M698" s="2" t="s">
        <x:v>2082</x:v>
      </x:c>
      <x:c r="N698" s="2">
        <x:v>3</x:v>
      </x:c>
      <x:c r="O698" s="2" t="s">
        <x:v>2083</x:v>
      </x:c>
      <x:c r="P698" s="2" t="s">
        <x:v>2084</x:v>
      </x:c>
      <x:c r="Q698" s="2"/>
      <x:c r="R698" s="3">
        <x:v>3</x:v>
      </x:c>
      <x:c r="S698" s="3">
        <x:v>1</x:v>
      </x:c>
      <x:c r="T698" s="2" t="s">
        <x:v>103</x:v>
      </x:c>
      <x:c r="U698" s="2"/>
      <x:c r="V698" s="2"/>
      <x:c r="W698" s="2"/>
      <x:c r="X698" s="3"/>
      <x:c r="Y698" s="3"/>
      <x:c r="Z698" s="2"/>
      <x:c r="AA698" s="2"/>
      <x:c r="AB698" s="2" t="s">
        <x:v>415</x:v>
      </x:c>
      <x:c r="AC698" s="2"/>
      <x:c r="AD698" s="2"/>
      <x:c r="AE698" s="2"/>
      <x:c r="AF698" s="2"/>
      <x:c r="AG698" s="2" t="s">
        <x:v>2036</x:v>
      </x:c>
      <x:c r="AH698" s="2"/>
      <x:c r="AI698" s="4"/>
      <x:c r="AJ698" s="2"/>
      <x:c r="AK698" s="2" t="s">
        <x:v>396</x:v>
      </x:c>
      <x:c r="AL698" s="2" t="s">
        <x:v>1550</x:v>
      </x:c>
      <x:c r="AM698" s="2">
        <x:v>78</x:v>
      </x:c>
      <x:c r="AN698" s="2">
        <x:v>78</x:v>
      </x:c>
    </x:row>
    <x:row r="699" ht="39">
      <x:c r="A699" s="2" t="s">
        <x:v>6</x:v>
      </x:c>
      <x:c r="B699" s="2" t="s">
        <x:v>17</x:v>
      </x:c>
      <x:c r="C699" s="3">
        <x:v>77</x:v>
      </x:c>
      <x:c r="D699" s="2" t="s">
        <x:v>2171</x:v>
      </x:c>
      <x:c r="E699" s="2" t="s">
        <x:v>2038</x:v>
      </x:c>
      <x:c r="F699" s="2" t="s">
        <x:v>2047</x:v>
      </x:c>
      <x:c r="G699" s="2"/>
      <x:c r="H699" s="2" t="s">
        <x:v>627</x:v>
      </x:c>
      <x:c r="I699" s="2" t="s">
        <x:v>2217</x:v>
      </x:c>
      <x:c r="J699" s="2" t="s">
        <x:v>2086</x:v>
      </x:c>
      <x:c r="K699" s="2" t="n">
        <x:v>76</x:v>
      </x:c>
      <x:c r="L699" s="2" t="s">
        <x:v>2218</x:v>
      </x:c>
      <x:c r="M699" s="2" t="s">
        <x:v>2087</x:v>
      </x:c>
      <x:c r="N699" s="2">
        <x:v>3</x:v>
      </x:c>
      <x:c r="O699" s="2" t="s">
        <x:v>2088</x:v>
      </x:c>
      <x:c r="P699" s="2" t="s">
        <x:v>2089</x:v>
      </x:c>
      <x:c r="Q699" s="2"/>
      <x:c r="R699" s="3">
        <x:v>3</x:v>
      </x:c>
      <x:c r="S699" s="3">
        <x:v>1</x:v>
      </x:c>
      <x:c r="T699" s="2" t="s">
        <x:v>103</x:v>
      </x:c>
      <x:c r="U699" s="2"/>
      <x:c r="V699" s="2"/>
      <x:c r="W699" s="2"/>
      <x:c r="X699" s="3"/>
      <x:c r="Y699" s="3"/>
      <x:c r="Z699" s="2"/>
      <x:c r="AA699" s="2"/>
      <x:c r="AB699" s="2" t="s">
        <x:v>2090</x:v>
      </x:c>
      <x:c r="AC699" s="2"/>
      <x:c r="AD699" s="2"/>
      <x:c r="AE699" s="2"/>
      <x:c r="AF699" s="2"/>
      <x:c r="AG699" s="2" t="s">
        <x:v>2036</x:v>
      </x:c>
      <x:c r="AH699" s="2"/>
      <x:c r="AI699" s="4"/>
      <x:c r="AJ699" s="2"/>
      <x:c r="AK699" s="2" t="s">
        <x:v>396</x:v>
      </x:c>
      <x:c r="AL699" s="2" t="s">
        <x:v>1550</x:v>
      </x:c>
      <x:c r="AM699" s="2">
        <x:v>79</x:v>
      </x:c>
      <x:c r="AN699" s="2">
        <x:v>79</x:v>
      </x:c>
    </x:row>
    <x:row r="700" ht="52">
      <x:c r="A700" s="2" t="s">
        <x:v>6</x:v>
      </x:c>
      <x:c r="B700" s="2" t="s">
        <x:v>17</x:v>
      </x:c>
      <x:c r="C700" s="3">
        <x:v>78</x:v>
      </x:c>
      <x:c r="D700" s="2" t="s">
        <x:v>2102</x:v>
      </x:c>
      <x:c r="E700" s="2" t="s">
        <x:v>409</x:v>
      </x:c>
      <x:c r="F700" s="2" t="s">
        <x:v>410</x:v>
      </x:c>
      <x:c r="G700" s="2"/>
      <x:c r="H700" s="2" t="s">
        <x:v>618</x:v>
      </x:c>
      <x:c r="I700" s="2" t="s">
        <x:v>2219</x:v>
      </x:c>
      <x:c r="J700" s="2" t="s">
        <x:v>2080</x:v>
      </x:c>
      <x:c r="K700" s="2"/>
      <x:c r="L700" s="2" t="s">
        <x:v>2220</x:v>
      </x:c>
      <x:c r="M700" s="2" t="s">
        <x:v>2082</x:v>
      </x:c>
      <x:c r="N700" s="2">
        <x:v>3</x:v>
      </x:c>
      <x:c r="O700" s="2" t="s">
        <x:v>2083</x:v>
      </x:c>
      <x:c r="P700" s="2" t="s">
        <x:v>2084</x:v>
      </x:c>
      <x:c r="Q700" s="2"/>
      <x:c r="R700" s="3">
        <x:v>3</x:v>
      </x:c>
      <x:c r="S700" s="3">
        <x:v>1</x:v>
      </x:c>
      <x:c r="T700" s="2" t="s">
        <x:v>103</x:v>
      </x:c>
      <x:c r="U700" s="2"/>
      <x:c r="V700" s="2"/>
      <x:c r="W700" s="2"/>
      <x:c r="X700" s="3"/>
      <x:c r="Y700" s="3"/>
      <x:c r="Z700" s="2"/>
      <x:c r="AA700" s="2"/>
      <x:c r="AB700" s="2" t="s">
        <x:v>427</x:v>
      </x:c>
      <x:c r="AC700" s="2"/>
      <x:c r="AD700" s="2"/>
      <x:c r="AE700" s="2"/>
      <x:c r="AF700" s="2"/>
      <x:c r="AG700" s="2" t="s">
        <x:v>395</x:v>
      </x:c>
      <x:c r="AH700" s="2"/>
      <x:c r="AI700" s="4"/>
      <x:c r="AJ700" s="2"/>
      <x:c r="AK700" s="2" t="s">
        <x:v>396</x:v>
      </x:c>
      <x:c r="AL700" s="2" t="s">
        <x:v>1550</x:v>
      </x:c>
      <x:c r="AM700" s="2">
        <x:v>80</x:v>
      </x:c>
      <x:c r="AN700" s="2">
        <x:v>80</x:v>
      </x:c>
    </x:row>
    <x:row r="701" ht="39">
      <x:c r="A701" s="2" t="s">
        <x:v>91</x:v>
      </x:c>
      <x:c r="B701" s="2" t="s">
        <x:v>17</x:v>
      </x:c>
      <x:c r="C701" s="3">
        <x:v>79</x:v>
      </x:c>
      <x:c r="D701" s="2" t="s">
        <x:v>2221</x:v>
      </x:c>
      <x:c r="E701" s="2" t="s">
        <x:v>409</x:v>
      </x:c>
      <x:c r="F701" s="2" t="s">
        <x:v>410</x:v>
      </x:c>
      <x:c r="G701" s="2" t="s">
        <x:v>2222</x:v>
      </x:c>
      <x:c r="H701" s="2" t="s">
        <x:v>627</x:v>
      </x:c>
      <x:c r="I701" s="2" t="s">
        <x:v>2219</x:v>
      </x:c>
      <x:c r="J701" s="2" t="s">
        <x:v>2086</x:v>
      </x:c>
      <x:c r="K701" s="2" t="n">
        <x:v>78</x:v>
      </x:c>
      <x:c r="L701" s="2" t="s">
        <x:v>2220</x:v>
      </x:c>
      <x:c r="M701" s="2" t="s">
        <x:v>2087</x:v>
      </x:c>
      <x:c r="N701" s="2">
        <x:v>3</x:v>
      </x:c>
      <x:c r="O701" s="2" t="s">
        <x:v>2088</x:v>
      </x:c>
      <x:c r="P701" s="2" t="s">
        <x:v>2089</x:v>
      </x:c>
      <x:c r="Q701" s="2"/>
      <x:c r="R701" s="3">
        <x:v>3</x:v>
      </x:c>
      <x:c r="S701" s="3">
        <x:v>1</x:v>
      </x:c>
      <x:c r="T701" s="2" t="s">
        <x:v>103</x:v>
      </x:c>
      <x:c r="U701" s="2"/>
      <x:c r="V701" s="2"/>
      <x:c r="W701" s="2"/>
      <x:c r="X701" s="3"/>
      <x:c r="Y701" s="3"/>
      <x:c r="Z701" s="2"/>
      <x:c r="AA701" s="2"/>
      <x:c r="AB701" s="2" t="s">
        <x:v>2090</x:v>
      </x:c>
      <x:c r="AC701" s="2"/>
      <x:c r="AD701" s="2"/>
      <x:c r="AE701" s="2"/>
      <x:c r="AF701" s="2"/>
      <x:c r="AG701" s="2" t="s">
        <x:v>395</x:v>
      </x:c>
      <x:c r="AH701" s="2"/>
      <x:c r="AI701" s="4"/>
      <x:c r="AJ701" s="2"/>
      <x:c r="AK701" s="2" t="s">
        <x:v>396</x:v>
      </x:c>
      <x:c r="AL701" s="2" t="s">
        <x:v>1550</x:v>
      </x:c>
      <x:c r="AM701" s="2">
        <x:v>81</x:v>
      </x:c>
      <x:c r="AN701" s="2">
        <x:v>81</x:v>
      </x:c>
    </x:row>
    <x:row r="702" ht="52">
      <x:c r="A702" s="2" t="s">
        <x:v>91</x:v>
      </x:c>
      <x:c r="B702" s="2" t="s">
        <x:v>17</x:v>
      </x:c>
      <x:c r="C702" s="3">
        <x:v>80</x:v>
      </x:c>
      <x:c r="D702" s="2" t="s">
        <x:v>2108</x:v>
      </x:c>
      <x:c r="E702" s="2" t="s">
        <x:v>2109</x:v>
      </x:c>
      <x:c r="F702" s="2" t="s">
        <x:v>431</x:v>
      </x:c>
      <x:c r="G702" s="2" t="s">
        <x:v>2223</x:v>
      </x:c>
      <x:c r="H702" s="2" t="s">
        <x:v>618</x:v>
      </x:c>
      <x:c r="I702" s="2" t="s">
        <x:v>2224</x:v>
      </x:c>
      <x:c r="J702" s="2" t="s">
        <x:v>2080</x:v>
      </x:c>
      <x:c r="K702" s="2"/>
      <x:c r="L702" s="2" t="s">
        <x:v>2225</x:v>
      </x:c>
      <x:c r="M702" s="2" t="s">
        <x:v>2082</x:v>
      </x:c>
      <x:c r="N702" s="2">
        <x:v>4</x:v>
      </x:c>
      <x:c r="O702" s="2" t="s">
        <x:v>2083</x:v>
      </x:c>
      <x:c r="P702" s="2" t="s">
        <x:v>2084</x:v>
      </x:c>
      <x:c r="Q702" s="2"/>
      <x:c r="R702" s="3">
        <x:v>4</x:v>
      </x:c>
      <x:c r="S702" s="3">
        <x:v>1</x:v>
      </x:c>
      <x:c r="T702" s="2" t="s">
        <x:v>103</x:v>
      </x:c>
      <x:c r="U702" s="2"/>
      <x:c r="V702" s="2"/>
      <x:c r="W702" s="2"/>
      <x:c r="X702" s="3"/>
      <x:c r="Y702" s="3"/>
      <x:c r="Z702" s="2"/>
      <x:c r="AA702" s="2"/>
      <x:c r="AB702" s="2" t="s">
        <x:v>394</x:v>
      </x:c>
      <x:c r="AC702" s="2"/>
      <x:c r="AD702" s="2"/>
      <x:c r="AE702" s="2"/>
      <x:c r="AF702" s="2"/>
      <x:c r="AG702" s="2" t="s">
        <x:v>428</x:v>
      </x:c>
      <x:c r="AH702" s="2"/>
      <x:c r="AI702" s="4"/>
      <x:c r="AJ702" s="2"/>
      <x:c r="AK702" s="2" t="s">
        <x:v>396</x:v>
      </x:c>
      <x:c r="AL702" s="2" t="s">
        <x:v>1550</x:v>
      </x:c>
      <x:c r="AM702" s="2">
        <x:v>82</x:v>
      </x:c>
      <x:c r="AN702" s="2">
        <x:v>82</x:v>
      </x:c>
    </x:row>
    <x:row r="703" ht="52">
      <x:c r="A703" s="2" t="s">
        <x:v>6</x:v>
      </x:c>
      <x:c r="B703" s="2" t="s">
        <x:v>17</x:v>
      </x:c>
      <x:c r="C703" s="3">
        <x:v>81</x:v>
      </x:c>
      <x:c r="D703" s="2" t="s">
        <x:v>2118</x:v>
      </x:c>
      <x:c r="E703" s="2" t="s">
        <x:v>2226</x:v>
      </x:c>
      <x:c r="F703" s="2" t="s">
        <x:v>2047</x:v>
      </x:c>
      <x:c r="G703" s="2"/>
      <x:c r="H703" s="2" t="s">
        <x:v>618</x:v>
      </x:c>
      <x:c r="I703" s="2" t="s">
        <x:v>2227</x:v>
      </x:c>
      <x:c r="J703" s="2" t="s">
        <x:v>2120</x:v>
      </x:c>
      <x:c r="K703" s="2"/>
      <x:c r="L703" s="2" t="s">
        <x:v>2228</x:v>
      </x:c>
      <x:c r="M703" s="2" t="s">
        <x:v>2082</x:v>
      </x:c>
      <x:c r="N703" s="2">
        <x:v>4</x:v>
      </x:c>
      <x:c r="O703" s="2" t="s">
        <x:v>2083</x:v>
      </x:c>
      <x:c r="P703" s="2" t="s">
        <x:v>2084</x:v>
      </x:c>
      <x:c r="Q703" s="2"/>
      <x:c r="R703" s="3">
        <x:v>4</x:v>
      </x:c>
      <x:c r="S703" s="3">
        <x:v>1</x:v>
      </x:c>
      <x:c r="T703" s="2" t="s">
        <x:v>103</x:v>
      </x:c>
      <x:c r="U703" s="2"/>
      <x:c r="V703" s="2"/>
      <x:c r="W703" s="2"/>
      <x:c r="X703" s="3"/>
      <x:c r="Y703" s="3"/>
      <x:c r="Z703" s="2"/>
      <x:c r="AA703" s="2"/>
      <x:c r="AB703" s="2" t="s">
        <x:v>415</x:v>
      </x:c>
      <x:c r="AC703" s="2"/>
      <x:c r="AD703" s="2"/>
      <x:c r="AE703" s="2"/>
      <x:c r="AF703" s="2"/>
      <x:c r="AG703" s="2" t="s">
        <x:v>2036</x:v>
      </x:c>
      <x:c r="AH703" s="2"/>
      <x:c r="AI703" s="4"/>
      <x:c r="AJ703" s="2"/>
      <x:c r="AK703" s="2" t="s">
        <x:v>396</x:v>
      </x:c>
      <x:c r="AL703" s="2" t="s">
        <x:v>1550</x:v>
      </x:c>
      <x:c r="AM703" s="2">
        <x:v>83</x:v>
      </x:c>
      <x:c r="AN703" s="2">
        <x:v>83</x:v>
      </x:c>
    </x:row>
    <x:row r="704" ht="52">
      <x:c r="A704" s="2" t="s">
        <x:v>6</x:v>
      </x:c>
      <x:c r="B704" s="2" t="s">
        <x:v>17</x:v>
      </x:c>
      <x:c r="C704" s="3">
        <x:v>82</x:v>
      </x:c>
      <x:c r="D704" s="2" t="s">
        <x:v>2126</x:v>
      </x:c>
      <x:c r="E704" s="2" t="s">
        <x:v>2229</x:v>
      </x:c>
      <x:c r="F704" s="2" t="s">
        <x:v>410</x:v>
      </x:c>
      <x:c r="G704" s="2"/>
      <x:c r="H704" s="2" t="s">
        <x:v>618</x:v>
      </x:c>
      <x:c r="I704" s="2" t="s">
        <x:v>2230</x:v>
      </x:c>
      <x:c r="J704" s="2" t="s">
        <x:v>2120</x:v>
      </x:c>
      <x:c r="K704" s="2"/>
      <x:c r="L704" s="2" t="s">
        <x:v>2231</x:v>
      </x:c>
      <x:c r="M704" s="2" t="s">
        <x:v>2082</x:v>
      </x:c>
      <x:c r="N704" s="2">
        <x:v>4</x:v>
      </x:c>
      <x:c r="O704" s="2" t="s">
        <x:v>2083</x:v>
      </x:c>
      <x:c r="P704" s="2" t="s">
        <x:v>2084</x:v>
      </x:c>
      <x:c r="Q704" s="2"/>
      <x:c r="R704" s="3">
        <x:v>4</x:v>
      </x:c>
      <x:c r="S704" s="3">
        <x:v>1</x:v>
      </x:c>
      <x:c r="T704" s="2" t="s">
        <x:v>103</x:v>
      </x:c>
      <x:c r="U704" s="2"/>
      <x:c r="V704" s="2"/>
      <x:c r="W704" s="2"/>
      <x:c r="X704" s="3"/>
      <x:c r="Y704" s="3"/>
      <x:c r="Z704" s="2"/>
      <x:c r="AA704" s="2"/>
      <x:c r="AB704" s="2" t="s">
        <x:v>427</x:v>
      </x:c>
      <x:c r="AC704" s="2"/>
      <x:c r="AD704" s="2"/>
      <x:c r="AE704" s="2"/>
      <x:c r="AF704" s="2"/>
      <x:c r="AG704" s="2" t="s">
        <x:v>395</x:v>
      </x:c>
      <x:c r="AH704" s="2"/>
      <x:c r="AI704" s="4"/>
      <x:c r="AJ704" s="2"/>
      <x:c r="AK704" s="2" t="s">
        <x:v>396</x:v>
      </x:c>
      <x:c r="AL704" s="2" t="s">
        <x:v>1550</x:v>
      </x:c>
      <x:c r="AM704" s="2">
        <x:v>84</x:v>
      </x:c>
      <x:c r="AN704" s="2">
        <x:v>84</x:v>
      </x:c>
    </x:row>
    <x:row r="705" ht="52">
      <x:c r="A705" s="2" t="s">
        <x:v>6</x:v>
      </x:c>
      <x:c r="B705" s="2" t="s">
        <x:v>17</x:v>
      </x:c>
      <x:c r="C705" s="3">
        <x:v>83</x:v>
      </x:c>
      <x:c r="D705" s="2" t="s">
        <x:v>2134</x:v>
      </x:c>
      <x:c r="E705" s="2" t="s">
        <x:v>2232</x:v>
      </x:c>
      <x:c r="F705" s="2" t="s">
        <x:v>431</x:v>
      </x:c>
      <x:c r="G705" s="2"/>
      <x:c r="H705" s="2" t="s">
        <x:v>618</x:v>
      </x:c>
      <x:c r="I705" s="2" t="s">
        <x:v>2233</x:v>
      </x:c>
      <x:c r="J705" s="2" t="s">
        <x:v>2120</x:v>
      </x:c>
      <x:c r="K705" s="2"/>
      <x:c r="L705" s="2" t="s">
        <x:v>2234</x:v>
      </x:c>
      <x:c r="M705" s="2" t="s">
        <x:v>2082</x:v>
      </x:c>
      <x:c r="N705" s="2">
        <x:v>4</x:v>
      </x:c>
      <x:c r="O705" s="2" t="s">
        <x:v>2083</x:v>
      </x:c>
      <x:c r="P705" s="2" t="s">
        <x:v>2084</x:v>
      </x:c>
      <x:c r="Q705" s="2"/>
      <x:c r="R705" s="3">
        <x:v>5</x:v>
      </x:c>
      <x:c r="S705" s="3">
        <x:v>1</x:v>
      </x:c>
      <x:c r="T705" s="2" t="s">
        <x:v>103</x:v>
      </x:c>
      <x:c r="U705" s="2"/>
      <x:c r="V705" s="2"/>
      <x:c r="W705" s="2"/>
      <x:c r="X705" s="3"/>
      <x:c r="Y705" s="3"/>
      <x:c r="Z705" s="2"/>
      <x:c r="AA705" s="2"/>
      <x:c r="AB705" s="2" t="s">
        <x:v>394</x:v>
      </x:c>
      <x:c r="AC705" s="2"/>
      <x:c r="AD705" s="2"/>
      <x:c r="AE705" s="2"/>
      <x:c r="AF705" s="2"/>
      <x:c r="AG705" s="2" t="s">
        <x:v>428</x:v>
      </x:c>
      <x:c r="AH705" s="2"/>
      <x:c r="AI705" s="4"/>
      <x:c r="AJ705" s="2"/>
      <x:c r="AK705" s="2" t="s">
        <x:v>396</x:v>
      </x:c>
      <x:c r="AL705" s="2" t="s">
        <x:v>1550</x:v>
      </x:c>
      <x:c r="AM705" s="2">
        <x:v>85</x:v>
      </x:c>
      <x:c r="AN705" s="2">
        <x:v>85</x:v>
      </x:c>
    </x:row>
    <x:row r="706" ht="52">
      <x:c r="A706" s="2" t="s">
        <x:v>91</x:v>
      </x:c>
      <x:c r="B706" s="2" t="s">
        <x:v>17</x:v>
      </x:c>
      <x:c r="C706" s="3">
        <x:v>84</x:v>
      </x:c>
      <x:c r="D706" s="2" t="s">
        <x:v>2141</x:v>
      </x:c>
      <x:c r="E706" s="2" t="s">
        <x:v>2142</x:v>
      </x:c>
      <x:c r="F706" s="2" t="s">
        <x:v>237</x:v>
      </x:c>
      <x:c r="G706" s="2" t="s">
        <x:v>2235</x:v>
      </x:c>
      <x:c r="H706" s="2" t="s">
        <x:v>618</x:v>
      </x:c>
      <x:c r="I706" s="2" t="s">
        <x:v>2236</x:v>
      </x:c>
      <x:c r="J706" s="2" t="s">
        <x:v>2145</x:v>
      </x:c>
      <x:c r="K706" s="2"/>
      <x:c r="L706" s="2" t="s">
        <x:v>2237</x:v>
      </x:c>
      <x:c r="M706" s="2" t="s">
        <x:v>2082</x:v>
      </x:c>
      <x:c r="N706" s="2">
        <x:v>4</x:v>
      </x:c>
      <x:c r="O706" s="2" t="s">
        <x:v>2083</x:v>
      </x:c>
      <x:c r="P706" s="2" t="s">
        <x:v>2084</x:v>
      </x:c>
      <x:c r="Q706" s="2"/>
      <x:c r="R706" s="3">
        <x:v>3</x:v>
      </x:c>
      <x:c r="S706" s="3">
        <x:v>1</x:v>
      </x:c>
      <x:c r="T706" s="2" t="s">
        <x:v>103</x:v>
      </x:c>
      <x:c r="U706" s="2"/>
      <x:c r="V706" s="2"/>
      <x:c r="W706" s="2"/>
      <x:c r="X706" s="3"/>
      <x:c r="Y706" s="3"/>
      <x:c r="Z706" s="2"/>
      <x:c r="AA706" s="2"/>
      <x:c r="AB706" s="2" t="s">
        <x:v>415</x:v>
      </x:c>
      <x:c r="AC706" s="2"/>
      <x:c r="AD706" s="2"/>
      <x:c r="AE706" s="2"/>
      <x:c r="AF706" s="2"/>
      <x:c r="AG706" s="2" t="s">
        <x:v>2036</x:v>
      </x:c>
      <x:c r="AH706" s="2"/>
      <x:c r="AI706" s="4"/>
      <x:c r="AJ706" s="2"/>
      <x:c r="AK706" s="2" t="s">
        <x:v>396</x:v>
      </x:c>
      <x:c r="AL706" s="2" t="s">
        <x:v>1550</x:v>
      </x:c>
      <x:c r="AM706" s="2">
        <x:v>86</x:v>
      </x:c>
      <x:c r="AN706" s="2">
        <x:v>86</x:v>
      </x:c>
    </x:row>
    <x:row r="707" ht="52">
      <x:c r="A707" s="2" t="s">
        <x:v>6</x:v>
      </x:c>
      <x:c r="B707" s="2" t="s">
        <x:v>17</x:v>
      </x:c>
      <x:c r="C707" s="3">
        <x:v>85</x:v>
      </x:c>
      <x:c r="D707" s="2" t="s">
        <x:v>2153</x:v>
      </x:c>
      <x:c r="E707" s="2" t="s">
        <x:v>2154</x:v>
      </x:c>
      <x:c r="F707" s="2" t="s">
        <x:v>386</x:v>
      </x:c>
      <x:c r="G707" s="2"/>
      <x:c r="H707" s="2" t="s">
        <x:v>618</x:v>
      </x:c>
      <x:c r="I707" s="2" t="s">
        <x:v>2238</x:v>
      </x:c>
      <x:c r="J707" s="2" t="s">
        <x:v>2145</x:v>
      </x:c>
      <x:c r="K707" s="2"/>
      <x:c r="L707" s="2" t="s">
        <x:v>2239</x:v>
      </x:c>
      <x:c r="M707" s="2" t="s">
        <x:v>2082</x:v>
      </x:c>
      <x:c r="N707" s="2">
        <x:v>4</x:v>
      </x:c>
      <x:c r="O707" s="2" t="s">
        <x:v>2083</x:v>
      </x:c>
      <x:c r="P707" s="2" t="s">
        <x:v>2084</x:v>
      </x:c>
      <x:c r="Q707" s="2"/>
      <x:c r="R707" s="3">
        <x:v>3</x:v>
      </x:c>
      <x:c r="S707" s="3">
        <x:v>1</x:v>
      </x:c>
      <x:c r="T707" s="2" t="s">
        <x:v>103</x:v>
      </x:c>
      <x:c r="U707" s="2"/>
      <x:c r="V707" s="2"/>
      <x:c r="W707" s="2"/>
      <x:c r="X707" s="3"/>
      <x:c r="Y707" s="3"/>
      <x:c r="Z707" s="2"/>
      <x:c r="AA707" s="2"/>
      <x:c r="AB707" s="2" t="s">
        <x:v>427</x:v>
      </x:c>
      <x:c r="AC707" s="2"/>
      <x:c r="AD707" s="2"/>
      <x:c r="AE707" s="2"/>
      <x:c r="AF707" s="2"/>
      <x:c r="AG707" s="2" t="s">
        <x:v>395</x:v>
      </x:c>
      <x:c r="AH707" s="2"/>
      <x:c r="AI707" s="4"/>
      <x:c r="AJ707" s="2"/>
      <x:c r="AK707" s="2" t="s">
        <x:v>396</x:v>
      </x:c>
      <x:c r="AL707" s="2" t="s">
        <x:v>1550</x:v>
      </x:c>
      <x:c r="AM707" s="2">
        <x:v>87</x:v>
      </x:c>
      <x:c r="AN707" s="2">
        <x:v>87</x:v>
      </x:c>
    </x:row>
    <x:row r="708" ht="52">
      <x:c r="A708" s="2" t="s">
        <x:v>6</x:v>
      </x:c>
      <x:c r="B708" s="2" t="s">
        <x:v>17</x:v>
      </x:c>
      <x:c r="C708" s="3">
        <x:v>86</x:v>
      </x:c>
      <x:c r="D708" s="2" t="s">
        <x:v>2160</x:v>
      </x:c>
      <x:c r="E708" s="2" t="s">
        <x:v>2161</x:v>
      </x:c>
      <x:c r="F708" s="2" t="s">
        <x:v>423</x:v>
      </x:c>
      <x:c r="G708" s="2" t="s">
        <x:v>2240</x:v>
      </x:c>
      <x:c r="H708" s="2" t="s">
        <x:v>618</x:v>
      </x:c>
      <x:c r="I708" s="2" t="s">
        <x:v>2241</x:v>
      </x:c>
      <x:c r="J708" s="2" t="s">
        <x:v>2145</x:v>
      </x:c>
      <x:c r="K708" s="2"/>
      <x:c r="L708" s="2" t="s">
        <x:v>2242</x:v>
      </x:c>
      <x:c r="M708" s="2" t="s">
        <x:v>2082</x:v>
      </x:c>
      <x:c r="N708" s="2">
        <x:v>4</x:v>
      </x:c>
      <x:c r="O708" s="2" t="s">
        <x:v>2083</x:v>
      </x:c>
      <x:c r="P708" s="2" t="s">
        <x:v>2084</x:v>
      </x:c>
      <x:c r="Q708" s="2"/>
      <x:c r="R708" s="3">
        <x:v>4</x:v>
      </x:c>
      <x:c r="S708" s="3">
        <x:v>1</x:v>
      </x:c>
      <x:c r="T708" s="2" t="s">
        <x:v>103</x:v>
      </x:c>
      <x:c r="U708" s="2"/>
      <x:c r="V708" s="2"/>
      <x:c r="W708" s="2"/>
      <x:c r="X708" s="3"/>
      <x:c r="Y708" s="3"/>
      <x:c r="Z708" s="2"/>
      <x:c r="AA708" s="2"/>
      <x:c r="AB708" s="2" t="s">
        <x:v>394</x:v>
      </x:c>
      <x:c r="AC708" s="2"/>
      <x:c r="AD708" s="2"/>
      <x:c r="AE708" s="2"/>
      <x:c r="AF708" s="2"/>
      <x:c r="AG708" s="2" t="s">
        <x:v>428</x:v>
      </x:c>
      <x:c r="AH708" s="2"/>
      <x:c r="AI708" s="4"/>
      <x:c r="AJ708" s="2"/>
      <x:c r="AK708" s="2" t="s">
        <x:v>396</x:v>
      </x:c>
      <x:c r="AL708" s="2" t="s">
        <x:v>1550</x:v>
      </x:c>
      <x:c r="AM708" s="2">
        <x:v>88</x:v>
      </x:c>
      <x:c r="AN708" s="2">
        <x:v>88</x:v>
      </x:c>
    </x:row>
    <x:row r="709" ht="52">
      <x:c r="A709" s="2" t="s">
        <x:v>6</x:v>
      </x:c>
      <x:c r="B709" s="2" t="s">
        <x:v>17</x:v>
      </x:c>
      <x:c r="C709" s="3">
        <x:v>87</x:v>
      </x:c>
      <x:c r="D709" s="2" t="s">
        <x:v>2167</x:v>
      </x:c>
      <x:c r="E709" s="2" t="s">
        <x:v>2243</x:v>
      </x:c>
      <x:c r="F709" s="2" t="s">
        <x:v>237</x:v>
      </x:c>
      <x:c r="G709" s="2"/>
      <x:c r="H709" s="2" t="s">
        <x:v>618</x:v>
      </x:c>
      <x:c r="I709" s="2" t="s">
        <x:v>2244</x:v>
      </x:c>
      <x:c r="J709" s="2" t="s">
        <x:v>2080</x:v>
      </x:c>
      <x:c r="K709" s="2"/>
      <x:c r="L709" s="2" t="s">
        <x:v>2245</x:v>
      </x:c>
      <x:c r="M709" s="2" t="s">
        <x:v>2082</x:v>
      </x:c>
      <x:c r="N709" s="2">
        <x:v>4</x:v>
      </x:c>
      <x:c r="O709" s="2" t="s">
        <x:v>2083</x:v>
      </x:c>
      <x:c r="P709" s="2" t="s">
        <x:v>2084</x:v>
      </x:c>
      <x:c r="Q709" s="2"/>
      <x:c r="R709" s="3">
        <x:v>4</x:v>
      </x:c>
      <x:c r="S709" s="3">
        <x:v>1</x:v>
      </x:c>
      <x:c r="T709" s="2" t="s">
        <x:v>103</x:v>
      </x:c>
      <x:c r="U709" s="2"/>
      <x:c r="V709" s="2"/>
      <x:c r="W709" s="2"/>
      <x:c r="X709" s="3"/>
      <x:c r="Y709" s="3"/>
      <x:c r="Z709" s="2"/>
      <x:c r="AA709" s="2"/>
      <x:c r="AB709" s="2" t="s">
        <x:v>415</x:v>
      </x:c>
      <x:c r="AC709" s="2"/>
      <x:c r="AD709" s="2"/>
      <x:c r="AE709" s="2"/>
      <x:c r="AF709" s="2"/>
      <x:c r="AG709" s="2" t="s">
        <x:v>2036</x:v>
      </x:c>
      <x:c r="AH709" s="2"/>
      <x:c r="AI709" s="4"/>
      <x:c r="AJ709" s="2"/>
      <x:c r="AK709" s="2" t="s">
        <x:v>396</x:v>
      </x:c>
      <x:c r="AL709" s="2" t="s">
        <x:v>1550</x:v>
      </x:c>
      <x:c r="AM709" s="2">
        <x:v>89</x:v>
      </x:c>
      <x:c r="AN709" s="2">
        <x:v>89</x:v>
      </x:c>
    </x:row>
    <x:row r="710" ht="52">
      <x:c r="A710" s="2" t="s">
        <x:v>6</x:v>
      </x:c>
      <x:c r="B710" s="2" t="s">
        <x:v>17</x:v>
      </x:c>
      <x:c r="C710" s="3">
        <x:v>88</x:v>
      </x:c>
      <x:c r="D710" s="2" t="s">
        <x:v>2176</x:v>
      </x:c>
      <x:c r="E710" s="2" t="s">
        <x:v>2246</x:v>
      </x:c>
      <x:c r="F710" s="2" t="s">
        <x:v>386</x:v>
      </x:c>
      <x:c r="G710" s="2"/>
      <x:c r="H710" s="2" t="s">
        <x:v>618</x:v>
      </x:c>
      <x:c r="I710" s="2" t="s">
        <x:v>2247</x:v>
      </x:c>
      <x:c r="J710" s="2" t="s">
        <x:v>2080</x:v>
      </x:c>
      <x:c r="K710" s="2"/>
      <x:c r="L710" s="2" t="s">
        <x:v>2248</x:v>
      </x:c>
      <x:c r="M710" s="2" t="s">
        <x:v>2082</x:v>
      </x:c>
      <x:c r="N710" s="2">
        <x:v>4</x:v>
      </x:c>
      <x:c r="O710" s="2" t="s">
        <x:v>2083</x:v>
      </x:c>
      <x:c r="P710" s="2" t="s">
        <x:v>2084</x:v>
      </x:c>
      <x:c r="Q710" s="2"/>
      <x:c r="R710" s="3">
        <x:v>4</x:v>
      </x:c>
      <x:c r="S710" s="3">
        <x:v>1</x:v>
      </x:c>
      <x:c r="T710" s="2" t="s">
        <x:v>103</x:v>
      </x:c>
      <x:c r="U710" s="2"/>
      <x:c r="V710" s="2"/>
      <x:c r="W710" s="2"/>
      <x:c r="X710" s="3"/>
      <x:c r="Y710" s="3"/>
      <x:c r="Z710" s="2"/>
      <x:c r="AA710" s="2"/>
      <x:c r="AB710" s="2" t="s">
        <x:v>427</x:v>
      </x:c>
      <x:c r="AC710" s="2"/>
      <x:c r="AD710" s="2"/>
      <x:c r="AE710" s="2"/>
      <x:c r="AF710" s="2"/>
      <x:c r="AG710" s="2" t="s">
        <x:v>395</x:v>
      </x:c>
      <x:c r="AH710" s="2"/>
      <x:c r="AI710" s="4"/>
      <x:c r="AJ710" s="2"/>
      <x:c r="AK710" s="2" t="s">
        <x:v>396</x:v>
      </x:c>
      <x:c r="AL710" s="2" t="s">
        <x:v>1550</x:v>
      </x:c>
      <x:c r="AM710" s="2">
        <x:v>90</x:v>
      </x:c>
      <x:c r="AN710" s="2">
        <x:v>90</x:v>
      </x:c>
    </x:row>
    <x:row r="711" ht="52">
      <x:c r="A711" s="2" t="s">
        <x:v>91</x:v>
      </x:c>
      <x:c r="B711" s="2" t="s">
        <x:v>17</x:v>
      </x:c>
      <x:c r="C711" s="3">
        <x:v>89</x:v>
      </x:c>
      <x:c r="D711" s="2" t="s">
        <x:v>2108</x:v>
      </x:c>
      <x:c r="E711" s="2" t="s">
        <x:v>2249</x:v>
      </x:c>
      <x:c r="F711" s="2" t="s">
        <x:v>423</x:v>
      </x:c>
      <x:c r="G711" s="2" t="s">
        <x:v>2250</x:v>
      </x:c>
      <x:c r="H711" s="2" t="s">
        <x:v>618</x:v>
      </x:c>
      <x:c r="I711" s="2" t="s">
        <x:v>2251</x:v>
      </x:c>
      <x:c r="J711" s="2" t="s">
        <x:v>2080</x:v>
      </x:c>
      <x:c r="K711" s="2"/>
      <x:c r="L711" s="2" t="s">
        <x:v>2252</x:v>
      </x:c>
      <x:c r="M711" s="2" t="s">
        <x:v>2082</x:v>
      </x:c>
      <x:c r="N711" s="2">
        <x:v>4</x:v>
      </x:c>
      <x:c r="O711" s="2" t="s">
        <x:v>2083</x:v>
      </x:c>
      <x:c r="P711" s="2" t="s">
        <x:v>2084</x:v>
      </x:c>
      <x:c r="Q711" s="2"/>
      <x:c r="R711" s="3">
        <x:v>5</x:v>
      </x:c>
      <x:c r="S711" s="3">
        <x:v>1</x:v>
      </x:c>
      <x:c r="T711" s="2" t="s">
        <x:v>103</x:v>
      </x:c>
      <x:c r="U711" s="2"/>
      <x:c r="V711" s="2"/>
      <x:c r="W711" s="2"/>
      <x:c r="X711" s="3"/>
      <x:c r="Y711" s="3"/>
      <x:c r="Z711" s="2"/>
      <x:c r="AA711" s="2"/>
      <x:c r="AB711" s="2" t="s">
        <x:v>394</x:v>
      </x:c>
      <x:c r="AC711" s="2"/>
      <x:c r="AD711" s="2"/>
      <x:c r="AE711" s="2"/>
      <x:c r="AF711" s="2"/>
      <x:c r="AG711" s="2" t="s">
        <x:v>428</x:v>
      </x:c>
      <x:c r="AH711" s="2"/>
      <x:c r="AI711" s="4"/>
      <x:c r="AJ711" s="2"/>
      <x:c r="AK711" s="2" t="s">
        <x:v>396</x:v>
      </x:c>
      <x:c r="AL711" s="2" t="s">
        <x:v>1550</x:v>
      </x:c>
      <x:c r="AM711" s="2">
        <x:v>91</x:v>
      </x:c>
      <x:c r="AN711" s="2">
        <x:v>91</x:v>
      </x:c>
    </x:row>
    <x:row r="712" ht="52">
      <x:c r="A712" s="2" t="s">
        <x:v>91</x:v>
      </x:c>
      <x:c r="B712" s="2" t="s">
        <x:v>17</x:v>
      </x:c>
      <x:c r="C712" s="3">
        <x:v>90</x:v>
      </x:c>
      <x:c r="D712" s="2" t="s">
        <x:v>2187</x:v>
      </x:c>
      <x:c r="E712" s="2" t="s">
        <x:v>2188</x:v>
      </x:c>
      <x:c r="F712" s="2" t="s">
        <x:v>2047</x:v>
      </x:c>
      <x:c r="G712" s="2" t="s">
        <x:v>2253</x:v>
      </x:c>
      <x:c r="H712" s="2" t="s">
        <x:v>618</x:v>
      </x:c>
      <x:c r="I712" s="2" t="s">
        <x:v>2254</x:v>
      </x:c>
      <x:c r="J712" s="2" t="s">
        <x:v>2120</x:v>
      </x:c>
      <x:c r="K712" s="2"/>
      <x:c r="L712" s="2" t="s">
        <x:v>2255</x:v>
      </x:c>
      <x:c r="M712" s="2" t="s">
        <x:v>2082</x:v>
      </x:c>
      <x:c r="N712" s="2">
        <x:v>4</x:v>
      </x:c>
      <x:c r="O712" s="2" t="s">
        <x:v>2083</x:v>
      </x:c>
      <x:c r="P712" s="2" t="s">
        <x:v>2084</x:v>
      </x:c>
      <x:c r="Q712" s="2"/>
      <x:c r="R712" s="3">
        <x:v>3</x:v>
      </x:c>
      <x:c r="S712" s="3">
        <x:v>1</x:v>
      </x:c>
      <x:c r="T712" s="2" t="s">
        <x:v>103</x:v>
      </x:c>
      <x:c r="U712" s="2"/>
      <x:c r="V712" s="2"/>
      <x:c r="W712" s="2"/>
      <x:c r="X712" s="3"/>
      <x:c r="Y712" s="3"/>
      <x:c r="Z712" s="2"/>
      <x:c r="AA712" s="2"/>
      <x:c r="AB712" s="2" t="s">
        <x:v>415</x:v>
      </x:c>
      <x:c r="AC712" s="2"/>
      <x:c r="AD712" s="2"/>
      <x:c r="AE712" s="2"/>
      <x:c r="AF712" s="2"/>
      <x:c r="AG712" s="2" t="s">
        <x:v>2036</x:v>
      </x:c>
      <x:c r="AH712" s="2"/>
      <x:c r="AI712" s="4"/>
      <x:c r="AJ712" s="2"/>
      <x:c r="AK712" s="2" t="s">
        <x:v>396</x:v>
      </x:c>
      <x:c r="AL712" s="2" t="s">
        <x:v>1550</x:v>
      </x:c>
      <x:c r="AM712" s="2">
        <x:v>92</x:v>
      </x:c>
      <x:c r="AN712" s="2">
        <x:v>92</x:v>
      </x:c>
    </x:row>
    <x:row r="713" ht="52">
      <x:c r="A713" s="2" t="s">
        <x:v>91</x:v>
      </x:c>
      <x:c r="B713" s="2" t="s">
        <x:v>17</x:v>
      </x:c>
      <x:c r="C713" s="3">
        <x:v>91</x:v>
      </x:c>
      <x:c r="D713" s="2" t="s">
        <x:v>2192</x:v>
      </x:c>
      <x:c r="E713" s="2" t="s">
        <x:v>2193</x:v>
      </x:c>
      <x:c r="F713" s="2" t="s">
        <x:v>410</x:v>
      </x:c>
      <x:c r="G713" s="2" t="s">
        <x:v>2256</x:v>
      </x:c>
      <x:c r="H713" s="2" t="s">
        <x:v>618</x:v>
      </x:c>
      <x:c r="I713" s="2" t="s">
        <x:v>2257</x:v>
      </x:c>
      <x:c r="J713" s="2" t="s">
        <x:v>2120</x:v>
      </x:c>
      <x:c r="K713" s="2"/>
      <x:c r="L713" s="2" t="s">
        <x:v>2258</x:v>
      </x:c>
      <x:c r="M713" s="2" t="s">
        <x:v>2082</x:v>
      </x:c>
      <x:c r="N713" s="2">
        <x:v>4</x:v>
      </x:c>
      <x:c r="O713" s="2" t="s">
        <x:v>2083</x:v>
      </x:c>
      <x:c r="P713" s="2" t="s">
        <x:v>2084</x:v>
      </x:c>
      <x:c r="Q713" s="2"/>
      <x:c r="R713" s="3">
        <x:v>3</x:v>
      </x:c>
      <x:c r="S713" s="3">
        <x:v>1</x:v>
      </x:c>
      <x:c r="T713" s="2" t="s">
        <x:v>103</x:v>
      </x:c>
      <x:c r="U713" s="2"/>
      <x:c r="V713" s="2"/>
      <x:c r="W713" s="2"/>
      <x:c r="X713" s="3"/>
      <x:c r="Y713" s="3"/>
      <x:c r="Z713" s="2"/>
      <x:c r="AA713" s="2"/>
      <x:c r="AB713" s="2" t="s">
        <x:v>427</x:v>
      </x:c>
      <x:c r="AC713" s="2"/>
      <x:c r="AD713" s="2"/>
      <x:c r="AE713" s="2"/>
      <x:c r="AF713" s="2"/>
      <x:c r="AG713" s="2" t="s">
        <x:v>395</x:v>
      </x:c>
      <x:c r="AH713" s="2"/>
      <x:c r="AI713" s="4"/>
      <x:c r="AJ713" s="2"/>
      <x:c r="AK713" s="2" t="s">
        <x:v>396</x:v>
      </x:c>
      <x:c r="AL713" s="2" t="s">
        <x:v>1550</x:v>
      </x:c>
      <x:c r="AM713" s="2">
        <x:v>93</x:v>
      </x:c>
      <x:c r="AN713" s="2">
        <x:v>93</x:v>
      </x:c>
    </x:row>
    <x:row r="714" ht="52">
      <x:c r="A714" s="2" t="s">
        <x:v>6</x:v>
      </x:c>
      <x:c r="B714" s="2" t="s">
        <x:v>17</x:v>
      </x:c>
      <x:c r="C714" s="3">
        <x:v>92</x:v>
      </x:c>
      <x:c r="D714" s="2" t="s">
        <x:v>2134</x:v>
      </x:c>
      <x:c r="E714" s="2" t="s">
        <x:v>2199</x:v>
      </x:c>
      <x:c r="F714" s="2" t="s">
        <x:v>431</x:v>
      </x:c>
      <x:c r="G714" s="2"/>
      <x:c r="H714" s="2" t="s">
        <x:v>618</x:v>
      </x:c>
      <x:c r="I714" s="2" t="s">
        <x:v>2259</x:v>
      </x:c>
      <x:c r="J714" s="2" t="s">
        <x:v>2120</x:v>
      </x:c>
      <x:c r="K714" s="2"/>
      <x:c r="L714" s="2" t="s">
        <x:v>2260</x:v>
      </x:c>
      <x:c r="M714" s="2" t="s">
        <x:v>2082</x:v>
      </x:c>
      <x:c r="N714" s="2">
        <x:v>4</x:v>
      </x:c>
      <x:c r="O714" s="2" t="s">
        <x:v>2083</x:v>
      </x:c>
      <x:c r="P714" s="2" t="s">
        <x:v>2084</x:v>
      </x:c>
      <x:c r="Q714" s="2"/>
      <x:c r="R714" s="3">
        <x:v>4</x:v>
      </x:c>
      <x:c r="S714" s="3">
        <x:v>1</x:v>
      </x:c>
      <x:c r="T714" s="2" t="s">
        <x:v>103</x:v>
      </x:c>
      <x:c r="U714" s="2"/>
      <x:c r="V714" s="2"/>
      <x:c r="W714" s="2"/>
      <x:c r="X714" s="3"/>
      <x:c r="Y714" s="3"/>
      <x:c r="Z714" s="2"/>
      <x:c r="AA714" s="2"/>
      <x:c r="AB714" s="2" t="s">
        <x:v>394</x:v>
      </x:c>
      <x:c r="AC714" s="2"/>
      <x:c r="AD714" s="2"/>
      <x:c r="AE714" s="2"/>
      <x:c r="AF714" s="2"/>
      <x:c r="AG714" s="2" t="s">
        <x:v>428</x:v>
      </x:c>
      <x:c r="AH714" s="2"/>
      <x:c r="AI714" s="4"/>
      <x:c r="AJ714" s="2"/>
      <x:c r="AK714" s="2" t="s">
        <x:v>396</x:v>
      </x:c>
      <x:c r="AL714" s="2" t="s">
        <x:v>1550</x:v>
      </x:c>
      <x:c r="AM714" s="2">
        <x:v>94</x:v>
      </x:c>
      <x:c r="AN714" s="2">
        <x:v>94</x:v>
      </x:c>
    </x:row>
    <x:row r="715" ht="52">
      <x:c r="A715" s="2" t="s">
        <x:v>91</x:v>
      </x:c>
      <x:c r="B715" s="2" t="s">
        <x:v>17</x:v>
      </x:c>
      <x:c r="C715" s="3">
        <x:v>93</x:v>
      </x:c>
      <x:c r="D715" s="2" t="s">
        <x:v>2202</x:v>
      </x:c>
      <x:c r="E715" s="2" t="s">
        <x:v>2261</x:v>
      </x:c>
      <x:c r="F715" s="2" t="s">
        <x:v>2047</x:v>
      </x:c>
      <x:c r="G715" s="2" t="s">
        <x:v>2143</x:v>
      </x:c>
      <x:c r="H715" s="2" t="s">
        <x:v>618</x:v>
      </x:c>
      <x:c r="I715" s="2" t="s">
        <x:v>2262</x:v>
      </x:c>
      <x:c r="J715" s="2" t="s">
        <x:v>2145</x:v>
      </x:c>
      <x:c r="K715" s="2"/>
      <x:c r="L715" s="2" t="s">
        <x:v>2263</x:v>
      </x:c>
      <x:c r="M715" s="2" t="s">
        <x:v>2082</x:v>
      </x:c>
      <x:c r="N715" s="2">
        <x:v>4</x:v>
      </x:c>
      <x:c r="O715" s="2" t="s">
        <x:v>2083</x:v>
      </x:c>
      <x:c r="P715" s="2" t="s">
        <x:v>2084</x:v>
      </x:c>
      <x:c r="Q715" s="2"/>
      <x:c r="R715" s="3">
        <x:v>4</x:v>
      </x:c>
      <x:c r="S715" s="3">
        <x:v>1</x:v>
      </x:c>
      <x:c r="T715" s="2" t="s">
        <x:v>103</x:v>
      </x:c>
      <x:c r="U715" s="2"/>
      <x:c r="V715" s="2"/>
      <x:c r="W715" s="2"/>
      <x:c r="X715" s="3"/>
      <x:c r="Y715" s="3"/>
      <x:c r="Z715" s="2"/>
      <x:c r="AA715" s="2"/>
      <x:c r="AB715" s="2" t="s">
        <x:v>415</x:v>
      </x:c>
      <x:c r="AC715" s="2"/>
      <x:c r="AD715" s="2"/>
      <x:c r="AE715" s="2"/>
      <x:c r="AF715" s="2"/>
      <x:c r="AG715" s="2" t="s">
        <x:v>2036</x:v>
      </x:c>
      <x:c r="AH715" s="2"/>
      <x:c r="AI715" s="4"/>
      <x:c r="AJ715" s="2"/>
      <x:c r="AK715" s="2" t="s">
        <x:v>396</x:v>
      </x:c>
      <x:c r="AL715" s="2" t="s">
        <x:v>1550</x:v>
      </x:c>
      <x:c r="AM715" s="2">
        <x:v>95</x:v>
      </x:c>
      <x:c r="AN715" s="2">
        <x:v>95</x:v>
      </x:c>
    </x:row>
    <x:row r="716" ht="52">
      <x:c r="A716" s="2" t="s">
        <x:v>6</x:v>
      </x:c>
      <x:c r="B716" s="2" t="s">
        <x:v>17</x:v>
      </x:c>
      <x:c r="C716" s="3">
        <x:v>94</x:v>
      </x:c>
      <x:c r="D716" s="2" t="s">
        <x:v>2207</x:v>
      </x:c>
      <x:c r="E716" s="2" t="s">
        <x:v>2264</x:v>
      </x:c>
      <x:c r="F716" s="2" t="s">
        <x:v>410</x:v>
      </x:c>
      <x:c r="G716" s="2"/>
      <x:c r="H716" s="2" t="s">
        <x:v>618</x:v>
      </x:c>
      <x:c r="I716" s="2" t="s">
        <x:v>2265</x:v>
      </x:c>
      <x:c r="J716" s="2" t="s">
        <x:v>2145</x:v>
      </x:c>
      <x:c r="K716" s="2"/>
      <x:c r="L716" s="2" t="s">
        <x:v>2266</x:v>
      </x:c>
      <x:c r="M716" s="2" t="s">
        <x:v>2082</x:v>
      </x:c>
      <x:c r="N716" s="2">
        <x:v>4</x:v>
      </x:c>
      <x:c r="O716" s="2" t="s">
        <x:v>2083</x:v>
      </x:c>
      <x:c r="P716" s="2" t="s">
        <x:v>2084</x:v>
      </x:c>
      <x:c r="Q716" s="2"/>
      <x:c r="R716" s="3">
        <x:v>4</x:v>
      </x:c>
      <x:c r="S716" s="3">
        <x:v>1</x:v>
      </x:c>
      <x:c r="T716" s="2" t="s">
        <x:v>103</x:v>
      </x:c>
      <x:c r="U716" s="2"/>
      <x:c r="V716" s="2"/>
      <x:c r="W716" s="2"/>
      <x:c r="X716" s="3"/>
      <x:c r="Y716" s="3"/>
      <x:c r="Z716" s="2"/>
      <x:c r="AA716" s="2"/>
      <x:c r="AB716" s="2" t="s">
        <x:v>427</x:v>
      </x:c>
      <x:c r="AC716" s="2"/>
      <x:c r="AD716" s="2"/>
      <x:c r="AE716" s="2"/>
      <x:c r="AF716" s="2"/>
      <x:c r="AG716" s="2" t="s">
        <x:v>395</x:v>
      </x:c>
      <x:c r="AH716" s="2"/>
      <x:c r="AI716" s="4"/>
      <x:c r="AJ716" s="2"/>
      <x:c r="AK716" s="2" t="s">
        <x:v>396</x:v>
      </x:c>
      <x:c r="AL716" s="2" t="s">
        <x:v>1550</x:v>
      </x:c>
      <x:c r="AM716" s="2">
        <x:v>96</x:v>
      </x:c>
      <x:c r="AN716" s="2">
        <x:v>96</x:v>
      </x:c>
    </x:row>
    <x:row r="717" ht="52">
      <x:c r="A717" s="2" t="s">
        <x:v>91</x:v>
      </x:c>
      <x:c r="B717" s="2" t="s">
        <x:v>17</x:v>
      </x:c>
      <x:c r="C717" s="3">
        <x:v>95</x:v>
      </x:c>
      <x:c r="D717" s="2" t="s">
        <x:v>2160</x:v>
      </x:c>
      <x:c r="E717" s="2" t="s">
        <x:v>2267</x:v>
      </x:c>
      <x:c r="F717" s="2" t="s">
        <x:v>431</x:v>
      </x:c>
      <x:c r="G717" s="2" t="s">
        <x:v>2268</x:v>
      </x:c>
      <x:c r="H717" s="2" t="s">
        <x:v>618</x:v>
      </x:c>
      <x:c r="I717" s="2" t="s">
        <x:v>2269</x:v>
      </x:c>
      <x:c r="J717" s="2" t="s">
        <x:v>2145</x:v>
      </x:c>
      <x:c r="K717" s="2"/>
      <x:c r="L717" s="2" t="s">
        <x:v>2270</x:v>
      </x:c>
      <x:c r="M717" s="2" t="s">
        <x:v>2082</x:v>
      </x:c>
      <x:c r="N717" s="2">
        <x:v>4</x:v>
      </x:c>
      <x:c r="O717" s="2" t="s">
        <x:v>2083</x:v>
      </x:c>
      <x:c r="P717" s="2" t="s">
        <x:v>2084</x:v>
      </x:c>
      <x:c r="Q717" s="2"/>
      <x:c r="R717" s="3">
        <x:v>5</x:v>
      </x:c>
      <x:c r="S717" s="3">
        <x:v>1</x:v>
      </x:c>
      <x:c r="T717" s="2" t="s">
        <x:v>103</x:v>
      </x:c>
      <x:c r="U717" s="2"/>
      <x:c r="V717" s="2"/>
      <x:c r="W717" s="2"/>
      <x:c r="X717" s="3"/>
      <x:c r="Y717" s="3"/>
      <x:c r="Z717" s="2"/>
      <x:c r="AA717" s="2"/>
      <x:c r="AB717" s="2" t="s">
        <x:v>394</x:v>
      </x:c>
      <x:c r="AC717" s="2"/>
      <x:c r="AD717" s="2"/>
      <x:c r="AE717" s="2"/>
      <x:c r="AF717" s="2"/>
      <x:c r="AG717" s="2" t="s">
        <x:v>428</x:v>
      </x:c>
      <x:c r="AH717" s="2"/>
      <x:c r="AI717" s="4"/>
      <x:c r="AJ717" s="2"/>
      <x:c r="AK717" s="2" t="s">
        <x:v>396</x:v>
      </x:c>
      <x:c r="AL717" s="2" t="s">
        <x:v>1550</x:v>
      </x:c>
      <x:c r="AM717" s="2">
        <x:v>97</x:v>
      </x:c>
      <x:c r="AN717" s="2">
        <x:v>97</x:v>
      </x:c>
    </x:row>
    <x:row r="718" ht="52">
      <x:c r="A718" s="2" t="s">
        <x:v>6</x:v>
      </x:c>
      <x:c r="B718" s="2" t="s">
        <x:v>17</x:v>
      </x:c>
      <x:c r="C718" s="3">
        <x:v>96</x:v>
      </x:c>
      <x:c r="D718" s="2" t="s">
        <x:v>2077</x:v>
      </x:c>
      <x:c r="E718" s="2" t="s">
        <x:v>2038</x:v>
      </x:c>
      <x:c r="F718" s="2" t="s">
        <x:v>237</x:v>
      </x:c>
      <x:c r="G718" s="2"/>
      <x:c r="H718" s="2" t="s">
        <x:v>618</x:v>
      </x:c>
      <x:c r="I718" s="2" t="s">
        <x:v>2271</x:v>
      </x:c>
      <x:c r="J718" s="2" t="s">
        <x:v>2080</x:v>
      </x:c>
      <x:c r="K718" s="2"/>
      <x:c r="L718" s="2" t="s">
        <x:v>2272</x:v>
      </x:c>
      <x:c r="M718" s="2" t="s">
        <x:v>2082</x:v>
      </x:c>
      <x:c r="N718" s="2">
        <x:v>4</x:v>
      </x:c>
      <x:c r="O718" s="2" t="s">
        <x:v>2083</x:v>
      </x:c>
      <x:c r="P718" s="2" t="s">
        <x:v>2084</x:v>
      </x:c>
      <x:c r="Q718" s="2"/>
      <x:c r="R718" s="3">
        <x:v>3</x:v>
      </x:c>
      <x:c r="S718" s="3">
        <x:v>1</x:v>
      </x:c>
      <x:c r="T718" s="2" t="s">
        <x:v>103</x:v>
      </x:c>
      <x:c r="U718" s="2"/>
      <x:c r="V718" s="2"/>
      <x:c r="W718" s="2"/>
      <x:c r="X718" s="3"/>
      <x:c r="Y718" s="3"/>
      <x:c r="Z718" s="2"/>
      <x:c r="AA718" s="2"/>
      <x:c r="AB718" s="2" t="s">
        <x:v>415</x:v>
      </x:c>
      <x:c r="AC718" s="2"/>
      <x:c r="AD718" s="2"/>
      <x:c r="AE718" s="2"/>
      <x:c r="AF718" s="2"/>
      <x:c r="AG718" s="2" t="s">
        <x:v>2036</x:v>
      </x:c>
      <x:c r="AH718" s="2"/>
      <x:c r="AI718" s="4"/>
      <x:c r="AJ718" s="2"/>
      <x:c r="AK718" s="2" t="s">
        <x:v>396</x:v>
      </x:c>
      <x:c r="AL718" s="2" t="s">
        <x:v>1550</x:v>
      </x:c>
      <x:c r="AM718" s="2">
        <x:v>98</x:v>
      </x:c>
      <x:c r="AN718" s="2">
        <x:v>98</x:v>
      </x:c>
    </x:row>
    <x:row r="719" ht="52">
      <x:c r="A719" s="2" t="s">
        <x:v>6</x:v>
      </x:c>
      <x:c r="B719" s="2" t="s">
        <x:v>17</x:v>
      </x:c>
      <x:c r="C719" s="3">
        <x:v>97</x:v>
      </x:c>
      <x:c r="D719" s="2" t="s">
        <x:v>2102</x:v>
      </x:c>
      <x:c r="E719" s="2" t="s">
        <x:v>409</x:v>
      </x:c>
      <x:c r="F719" s="2" t="s">
        <x:v>386</x:v>
      </x:c>
      <x:c r="G719" s="2"/>
      <x:c r="H719" s="2" t="s">
        <x:v>618</x:v>
      </x:c>
      <x:c r="I719" s="2" t="s">
        <x:v>2273</x:v>
      </x:c>
      <x:c r="J719" s="2" t="s">
        <x:v>2080</x:v>
      </x:c>
      <x:c r="K719" s="2"/>
      <x:c r="L719" s="2" t="s">
        <x:v>2274</x:v>
      </x:c>
      <x:c r="M719" s="2" t="s">
        <x:v>2082</x:v>
      </x:c>
      <x:c r="N719" s="2">
        <x:v>4</x:v>
      </x:c>
      <x:c r="O719" s="2" t="s">
        <x:v>2083</x:v>
      </x:c>
      <x:c r="P719" s="2" t="s">
        <x:v>2084</x:v>
      </x:c>
      <x:c r="Q719" s="2"/>
      <x:c r="R719" s="3">
        <x:v>3</x:v>
      </x:c>
      <x:c r="S719" s="3">
        <x:v>1</x:v>
      </x:c>
      <x:c r="T719" s="2" t="s">
        <x:v>103</x:v>
      </x:c>
      <x:c r="U719" s="2"/>
      <x:c r="V719" s="2"/>
      <x:c r="W719" s="2"/>
      <x:c r="X719" s="3"/>
      <x:c r="Y719" s="3"/>
      <x:c r="Z719" s="2"/>
      <x:c r="AA719" s="2"/>
      <x:c r="AB719" s="2" t="s">
        <x:v>427</x:v>
      </x:c>
      <x:c r="AC719" s="2"/>
      <x:c r="AD719" s="2"/>
      <x:c r="AE719" s="2"/>
      <x:c r="AF719" s="2"/>
      <x:c r="AG719" s="2" t="s">
        <x:v>395</x:v>
      </x:c>
      <x:c r="AH719" s="2"/>
      <x:c r="AI719" s="4"/>
      <x:c r="AJ719" s="2"/>
      <x:c r="AK719" s="2" t="s">
        <x:v>396</x:v>
      </x:c>
      <x:c r="AL719" s="2" t="s">
        <x:v>1550</x:v>
      </x:c>
      <x:c r="AM719" s="2">
        <x:v>99</x:v>
      </x:c>
      <x:c r="AN719" s="2">
        <x:v>99</x:v>
      </x:c>
    </x:row>
    <x:row r="720" ht="52">
      <x:c r="A720" s="2" t="s">
        <x:v>91</x:v>
      </x:c>
      <x:c r="B720" s="2" t="s">
        <x:v>17</x:v>
      </x:c>
      <x:c r="C720" s="3">
        <x:v>98</x:v>
      </x:c>
      <x:c r="D720" s="2" t="s">
        <x:v>2108</x:v>
      </x:c>
      <x:c r="E720" s="2" t="s">
        <x:v>2109</x:v>
      </x:c>
      <x:c r="F720" s="2" t="s">
        <x:v>423</x:v>
      </x:c>
      <x:c r="G720" s="2" t="s">
        <x:v>2031</x:v>
      </x:c>
      <x:c r="H720" s="2" t="s">
        <x:v>618</x:v>
      </x:c>
      <x:c r="I720" s="2" t="s">
        <x:v>2275</x:v>
      </x:c>
      <x:c r="J720" s="2" t="s">
        <x:v>2080</x:v>
      </x:c>
      <x:c r="K720" s="2"/>
      <x:c r="L720" s="2" t="s">
        <x:v>2276</x:v>
      </x:c>
      <x:c r="M720" s="2" t="s">
        <x:v>2082</x:v>
      </x:c>
      <x:c r="N720" s="2">
        <x:v>4</x:v>
      </x:c>
      <x:c r="O720" s="2" t="s">
        <x:v>2083</x:v>
      </x:c>
      <x:c r="P720" s="2" t="s">
        <x:v>2084</x:v>
      </x:c>
      <x:c r="Q720" s="2"/>
      <x:c r="R720" s="3">
        <x:v>4</x:v>
      </x:c>
      <x:c r="S720" s="3">
        <x:v>1</x:v>
      </x:c>
      <x:c r="T720" s="2" t="s">
        <x:v>103</x:v>
      </x:c>
      <x:c r="U720" s="2"/>
      <x:c r="V720" s="2"/>
      <x:c r="W720" s="2"/>
      <x:c r="X720" s="3"/>
      <x:c r="Y720" s="3"/>
      <x:c r="Z720" s="2"/>
      <x:c r="AA720" s="2"/>
      <x:c r="AB720" s="2" t="s">
        <x:v>394</x:v>
      </x:c>
      <x:c r="AC720" s="2"/>
      <x:c r="AD720" s="2"/>
      <x:c r="AE720" s="2"/>
      <x:c r="AF720" s="2"/>
      <x:c r="AG720" s="2" t="s">
        <x:v>428</x:v>
      </x:c>
      <x:c r="AH720" s="2"/>
      <x:c r="AI720" s="4"/>
      <x:c r="AJ720" s="2"/>
      <x:c r="AK720" s="2" t="s">
        <x:v>396</x:v>
      </x:c>
      <x:c r="AL720" s="2" t="s">
        <x:v>1550</x:v>
      </x:c>
      <x:c r="AM720" s="2">
        <x:v>100</x:v>
      </x:c>
      <x:c r="AN720" s="2">
        <x:v>100</x:v>
      </x:c>
    </x:row>
    <x:row r="721" ht="52">
      <x:c r="A721" s="2" t="s">
        <x:v>6</x:v>
      </x:c>
      <x:c r="B721" s="2" t="s">
        <x:v>17</x:v>
      </x:c>
      <x:c r="C721" s="3">
        <x:v>99</x:v>
      </x:c>
      <x:c r="D721" s="2" t="s">
        <x:v>2118</x:v>
      </x:c>
      <x:c r="E721" s="2" t="s">
        <x:v>2277</x:v>
      </x:c>
      <x:c r="F721" s="2" t="s">
        <x:v>237</x:v>
      </x:c>
      <x:c r="G721" s="2"/>
      <x:c r="H721" s="2" t="s">
        <x:v>618</x:v>
      </x:c>
      <x:c r="I721" s="2" t="s">
        <x:v>2278</x:v>
      </x:c>
      <x:c r="J721" s="2" t="s">
        <x:v>2120</x:v>
      </x:c>
      <x:c r="K721" s="2"/>
      <x:c r="L721" s="2" t="s">
        <x:v>2081</x:v>
      </x:c>
      <x:c r="M721" s="2" t="s">
        <x:v>2082</x:v>
      </x:c>
      <x:c r="N721" s="2">
        <x:v>4</x:v>
      </x:c>
      <x:c r="O721" s="2" t="s">
        <x:v>2083</x:v>
      </x:c>
      <x:c r="P721" s="2" t="s">
        <x:v>2084</x:v>
      </x:c>
      <x:c r="Q721" s="2"/>
      <x:c r="R721" s="3">
        <x:v>4</x:v>
      </x:c>
      <x:c r="S721" s="3">
        <x:v>1</x:v>
      </x:c>
      <x:c r="T721" s="2" t="s">
        <x:v>103</x:v>
      </x:c>
      <x:c r="U721" s="2"/>
      <x:c r="V721" s="2"/>
      <x:c r="W721" s="2"/>
      <x:c r="X721" s="3"/>
      <x:c r="Y721" s="3"/>
      <x:c r="Z721" s="2"/>
      <x:c r="AA721" s="2"/>
      <x:c r="AB721" s="2" t="s">
        <x:v>415</x:v>
      </x:c>
      <x:c r="AC721" s="2"/>
      <x:c r="AD721" s="2"/>
      <x:c r="AE721" s="2"/>
      <x:c r="AF721" s="2"/>
      <x:c r="AG721" s="2" t="s">
        <x:v>2036</x:v>
      </x:c>
      <x:c r="AH721" s="2"/>
      <x:c r="AI721" s="4"/>
      <x:c r="AJ721" s="2"/>
      <x:c r="AK721" s="2" t="s">
        <x:v>396</x:v>
      </x:c>
      <x:c r="AL721" s="2" t="s">
        <x:v>1550</x:v>
      </x:c>
      <x:c r="AM721" s="2">
        <x:v>101</x:v>
      </x:c>
      <x:c r="AN721" s="2">
        <x:v>101</x:v>
      </x:c>
    </x:row>
    <x:row r="722" ht="52">
      <x:c r="A722" s="2" t="s">
        <x:v>91</x:v>
      </x:c>
      <x:c r="B722" s="2" t="s">
        <x:v>17</x:v>
      </x:c>
      <x:c r="C722" s="3">
        <x:v>100</x:v>
      </x:c>
      <x:c r="D722" s="2" t="s">
        <x:v>2126</x:v>
      </x:c>
      <x:c r="E722" s="2" t="s">
        <x:v>2279</x:v>
      </x:c>
      <x:c r="F722" s="2" t="s">
        <x:v>386</x:v>
      </x:c>
      <x:c r="G722" s="2" t="s">
        <x:v>2280</x:v>
      </x:c>
      <x:c r="H722" s="2" t="s">
        <x:v>618</x:v>
      </x:c>
      <x:c r="I722" s="2" t="s">
        <x:v>2281</x:v>
      </x:c>
      <x:c r="J722" s="2" t="s">
        <x:v>2120</x:v>
      </x:c>
      <x:c r="K722" s="2"/>
      <x:c r="L722" s="2" t="s">
        <x:v>2282</x:v>
      </x:c>
      <x:c r="M722" s="2" t="s">
        <x:v>2082</x:v>
      </x:c>
      <x:c r="N722" s="2">
        <x:v>4</x:v>
      </x:c>
      <x:c r="O722" s="2" t="s">
        <x:v>2083</x:v>
      </x:c>
      <x:c r="P722" s="2" t="s">
        <x:v>2084</x:v>
      </x:c>
      <x:c r="Q722" s="2"/>
      <x:c r="R722" s="3">
        <x:v>4</x:v>
      </x:c>
      <x:c r="S722" s="3">
        <x:v>1</x:v>
      </x:c>
      <x:c r="T722" s="2" t="s">
        <x:v>103</x:v>
      </x:c>
      <x:c r="U722" s="2"/>
      <x:c r="V722" s="2"/>
      <x:c r="W722" s="2"/>
      <x:c r="X722" s="3"/>
      <x:c r="Y722" s="3"/>
      <x:c r="Z722" s="2"/>
      <x:c r="AA722" s="2"/>
      <x:c r="AB722" s="2" t="s">
        <x:v>427</x:v>
      </x:c>
      <x:c r="AC722" s="2"/>
      <x:c r="AD722" s="2"/>
      <x:c r="AE722" s="2"/>
      <x:c r="AF722" s="2"/>
      <x:c r="AG722" s="2" t="s">
        <x:v>395</x:v>
      </x:c>
      <x:c r="AH722" s="2"/>
      <x:c r="AI722" s="4"/>
      <x:c r="AJ722" s="2"/>
      <x:c r="AK722" s="2" t="s">
        <x:v>396</x:v>
      </x:c>
      <x:c r="AL722" s="2" t="s">
        <x:v>1550</x:v>
      </x:c>
      <x:c r="AM722" s="2">
        <x:v>102</x:v>
      </x:c>
      <x:c r="AN722" s="2">
        <x:v>102</x:v>
      </x:c>
    </x:row>
    <x:row r="723" ht="52">
      <x:c r="A723" s="2" t="s">
        <x:v>91</x:v>
      </x:c>
      <x:c r="B723" s="2" t="s">
        <x:v>17</x:v>
      </x:c>
      <x:c r="C723" s="3">
        <x:v>101</x:v>
      </x:c>
      <x:c r="D723" s="2" t="s">
        <x:v>2134</x:v>
      </x:c>
      <x:c r="E723" s="2" t="s">
        <x:v>2135</x:v>
      </x:c>
      <x:c r="F723" s="2" t="s">
        <x:v>423</x:v>
      </x:c>
      <x:c r="G723" s="2" t="s">
        <x:v>2283</x:v>
      </x:c>
      <x:c r="H723" s="2" t="s">
        <x:v>618</x:v>
      </x:c>
      <x:c r="I723" s="2" t="s">
        <x:v>2284</x:v>
      </x:c>
      <x:c r="J723" s="2" t="s">
        <x:v>2120</x:v>
      </x:c>
      <x:c r="K723" s="2"/>
      <x:c r="L723" s="2" t="s">
        <x:v>2285</x:v>
      </x:c>
      <x:c r="M723" s="2" t="s">
        <x:v>2082</x:v>
      </x:c>
      <x:c r="N723" s="2">
        <x:v>4</x:v>
      </x:c>
      <x:c r="O723" s="2" t="s">
        <x:v>2083</x:v>
      </x:c>
      <x:c r="P723" s="2" t="s">
        <x:v>2084</x:v>
      </x:c>
      <x:c r="Q723" s="2"/>
      <x:c r="R723" s="3">
        <x:v>5</x:v>
      </x:c>
      <x:c r="S723" s="3">
        <x:v>1</x:v>
      </x:c>
      <x:c r="T723" s="2" t="s">
        <x:v>103</x:v>
      </x:c>
      <x:c r="U723" s="2"/>
      <x:c r="V723" s="2"/>
      <x:c r="W723" s="2"/>
      <x:c r="X723" s="3"/>
      <x:c r="Y723" s="3"/>
      <x:c r="Z723" s="2"/>
      <x:c r="AA723" s="2"/>
      <x:c r="AB723" s="2" t="s">
        <x:v>394</x:v>
      </x:c>
      <x:c r="AC723" s="2"/>
      <x:c r="AD723" s="2"/>
      <x:c r="AE723" s="2"/>
      <x:c r="AF723" s="2"/>
      <x:c r="AG723" s="2" t="s">
        <x:v>428</x:v>
      </x:c>
      <x:c r="AH723" s="2"/>
      <x:c r="AI723" s="4"/>
      <x:c r="AJ723" s="2"/>
      <x:c r="AK723" s="2" t="s">
        <x:v>396</x:v>
      </x:c>
      <x:c r="AL723" s="2" t="s">
        <x:v>1550</x:v>
      </x:c>
      <x:c r="AM723" s="2">
        <x:v>103</x:v>
      </x:c>
      <x:c r="AN723" s="2">
        <x:v>103</x:v>
      </x:c>
    </x:row>
    <x:row r="724" ht="52">
      <x:c r="A724" s="2" t="s">
        <x:v>6</x:v>
      </x:c>
      <x:c r="B724" s="2" t="s">
        <x:v>17</x:v>
      </x:c>
      <x:c r="C724" s="3">
        <x:v>102</x:v>
      </x:c>
      <x:c r="D724" s="2" t="s">
        <x:v>2141</x:v>
      </x:c>
      <x:c r="E724" s="2" t="s">
        <x:v>2142</x:v>
      </x:c>
      <x:c r="F724" s="2" t="s">
        <x:v>2047</x:v>
      </x:c>
      <x:c r="G724" s="2"/>
      <x:c r="H724" s="2" t="s">
        <x:v>618</x:v>
      </x:c>
      <x:c r="I724" s="2" t="s">
        <x:v>2286</x:v>
      </x:c>
      <x:c r="J724" s="2" t="s">
        <x:v>2145</x:v>
      </x:c>
      <x:c r="K724" s="2"/>
      <x:c r="L724" s="2" t="s">
        <x:v>2287</x:v>
      </x:c>
      <x:c r="M724" s="2" t="s">
        <x:v>2082</x:v>
      </x:c>
      <x:c r="N724" s="2">
        <x:v>4</x:v>
      </x:c>
      <x:c r="O724" s="2" t="s">
        <x:v>2083</x:v>
      </x:c>
      <x:c r="P724" s="2" t="s">
        <x:v>2084</x:v>
      </x:c>
      <x:c r="Q724" s="2"/>
      <x:c r="R724" s="3">
        <x:v>3</x:v>
      </x:c>
      <x:c r="S724" s="3">
        <x:v>1</x:v>
      </x:c>
      <x:c r="T724" s="2" t="s">
        <x:v>103</x:v>
      </x:c>
      <x:c r="U724" s="2"/>
      <x:c r="V724" s="2"/>
      <x:c r="W724" s="2"/>
      <x:c r="X724" s="3"/>
      <x:c r="Y724" s="3"/>
      <x:c r="Z724" s="2"/>
      <x:c r="AA724" s="2"/>
      <x:c r="AB724" s="2" t="s">
        <x:v>415</x:v>
      </x:c>
      <x:c r="AC724" s="2"/>
      <x:c r="AD724" s="2"/>
      <x:c r="AE724" s="2"/>
      <x:c r="AF724" s="2"/>
      <x:c r="AG724" s="2" t="s">
        <x:v>2036</x:v>
      </x:c>
      <x:c r="AH724" s="2"/>
      <x:c r="AI724" s="4"/>
      <x:c r="AJ724" s="2"/>
      <x:c r="AK724" s="2" t="s">
        <x:v>396</x:v>
      </x:c>
      <x:c r="AL724" s="2" t="s">
        <x:v>1550</x:v>
      </x:c>
      <x:c r="AM724" s="2">
        <x:v>104</x:v>
      </x:c>
      <x:c r="AN724" s="2">
        <x:v>104</x:v>
      </x:c>
    </x:row>
    <x:row r="725" ht="52">
      <x:c r="A725" s="2" t="s">
        <x:v>6</x:v>
      </x:c>
      <x:c r="B725" s="2" t="s">
        <x:v>17</x:v>
      </x:c>
      <x:c r="C725" s="3">
        <x:v>103</x:v>
      </x:c>
      <x:c r="D725" s="2" t="s">
        <x:v>2153</x:v>
      </x:c>
      <x:c r="E725" s="2" t="s">
        <x:v>2154</x:v>
      </x:c>
      <x:c r="F725" s="2" t="s">
        <x:v>410</x:v>
      </x:c>
      <x:c r="G725" s="2"/>
      <x:c r="H725" s="2" t="s">
        <x:v>618</x:v>
      </x:c>
      <x:c r="I725" s="2" t="s">
        <x:v>2288</x:v>
      </x:c>
      <x:c r="J725" s="2" t="s">
        <x:v>2145</x:v>
      </x:c>
      <x:c r="K725" s="2"/>
      <x:c r="L725" s="2" t="s">
        <x:v>2289</x:v>
      </x:c>
      <x:c r="M725" s="2" t="s">
        <x:v>2082</x:v>
      </x:c>
      <x:c r="N725" s="2">
        <x:v>4</x:v>
      </x:c>
      <x:c r="O725" s="2" t="s">
        <x:v>2083</x:v>
      </x:c>
      <x:c r="P725" s="2" t="s">
        <x:v>2084</x:v>
      </x:c>
      <x:c r="Q725" s="2"/>
      <x:c r="R725" s="3">
        <x:v>3</x:v>
      </x:c>
      <x:c r="S725" s="3">
        <x:v>1</x:v>
      </x:c>
      <x:c r="T725" s="2" t="s">
        <x:v>103</x:v>
      </x:c>
      <x:c r="U725" s="2"/>
      <x:c r="V725" s="2"/>
      <x:c r="W725" s="2"/>
      <x:c r="X725" s="3"/>
      <x:c r="Y725" s="3"/>
      <x:c r="Z725" s="2"/>
      <x:c r="AA725" s="2"/>
      <x:c r="AB725" s="2" t="s">
        <x:v>427</x:v>
      </x:c>
      <x:c r="AC725" s="2"/>
      <x:c r="AD725" s="2"/>
      <x:c r="AE725" s="2"/>
      <x:c r="AF725" s="2"/>
      <x:c r="AG725" s="2" t="s">
        <x:v>395</x:v>
      </x:c>
      <x:c r="AH725" s="2"/>
      <x:c r="AI725" s="4"/>
      <x:c r="AJ725" s="2"/>
      <x:c r="AK725" s="2" t="s">
        <x:v>396</x:v>
      </x:c>
      <x:c r="AL725" s="2" t="s">
        <x:v>1550</x:v>
      </x:c>
      <x:c r="AM725" s="2">
        <x:v>105</x:v>
      </x:c>
      <x:c r="AN725" s="2">
        <x:v>105</x:v>
      </x:c>
    </x:row>
    <x:row r="726" ht="52">
      <x:c r="A726" s="2" t="s">
        <x:v>6</x:v>
      </x:c>
      <x:c r="B726" s="2" t="s">
        <x:v>17</x:v>
      </x:c>
      <x:c r="C726" s="3">
        <x:v>104</x:v>
      </x:c>
      <x:c r="D726" s="2" t="s">
        <x:v>2160</x:v>
      </x:c>
      <x:c r="E726" s="2" t="s">
        <x:v>2161</x:v>
      </x:c>
      <x:c r="F726" s="2" t="s">
        <x:v>431</x:v>
      </x:c>
      <x:c r="G726" s="2"/>
      <x:c r="H726" s="2" t="s">
        <x:v>618</x:v>
      </x:c>
      <x:c r="I726" s="2" t="s">
        <x:v>2290</x:v>
      </x:c>
      <x:c r="J726" s="2" t="s">
        <x:v>2145</x:v>
      </x:c>
      <x:c r="K726" s="2"/>
      <x:c r="L726" s="2" t="s">
        <x:v>2291</x:v>
      </x:c>
      <x:c r="M726" s="2" t="s">
        <x:v>2082</x:v>
      </x:c>
      <x:c r="N726" s="2">
        <x:v>4</x:v>
      </x:c>
      <x:c r="O726" s="2" t="s">
        <x:v>2083</x:v>
      </x:c>
      <x:c r="P726" s="2" t="s">
        <x:v>2084</x:v>
      </x:c>
      <x:c r="Q726" s="2"/>
      <x:c r="R726" s="3">
        <x:v>4</x:v>
      </x:c>
      <x:c r="S726" s="3">
        <x:v>1</x:v>
      </x:c>
      <x:c r="T726" s="2" t="s">
        <x:v>103</x:v>
      </x:c>
      <x:c r="U726" s="2"/>
      <x:c r="V726" s="2"/>
      <x:c r="W726" s="2"/>
      <x:c r="X726" s="3"/>
      <x:c r="Y726" s="3"/>
      <x:c r="Z726" s="2"/>
      <x:c r="AA726" s="2"/>
      <x:c r="AB726" s="2" t="s">
        <x:v>394</x:v>
      </x:c>
      <x:c r="AC726" s="2"/>
      <x:c r="AD726" s="2"/>
      <x:c r="AE726" s="2"/>
      <x:c r="AF726" s="2"/>
      <x:c r="AG726" s="2" t="s">
        <x:v>428</x:v>
      </x:c>
      <x:c r="AH726" s="2"/>
      <x:c r="AI726" s="4"/>
      <x:c r="AJ726" s="2"/>
      <x:c r="AK726" s="2" t="s">
        <x:v>396</x:v>
      </x:c>
      <x:c r="AL726" s="2" t="s">
        <x:v>1550</x:v>
      </x:c>
      <x:c r="AM726" s="2">
        <x:v>106</x:v>
      </x:c>
      <x:c r="AN726" s="2">
        <x:v>106</x:v>
      </x:c>
    </x:row>
    <x:row r="727" ht="52">
      <x:c r="A727" s="2" t="s">
        <x:v>91</x:v>
      </x:c>
      <x:c r="B727" s="2" t="s">
        <x:v>17</x:v>
      </x:c>
      <x:c r="C727" s="3">
        <x:v>105</x:v>
      </x:c>
      <x:c r="D727" s="2" t="s">
        <x:v>2167</x:v>
      </x:c>
      <x:c r="E727" s="2" t="s">
        <x:v>2292</x:v>
      </x:c>
      <x:c r="F727" s="2" t="s">
        <x:v>2047</x:v>
      </x:c>
      <x:c r="G727" s="2" t="s">
        <x:v>2293</x:v>
      </x:c>
      <x:c r="H727" s="2" t="s">
        <x:v>618</x:v>
      </x:c>
      <x:c r="I727" s="2" t="s">
        <x:v>2294</x:v>
      </x:c>
      <x:c r="J727" s="2" t="s">
        <x:v>2080</x:v>
      </x:c>
      <x:c r="K727" s="2"/>
      <x:c r="L727" s="2" t="s">
        <x:v>2295</x:v>
      </x:c>
      <x:c r="M727" s="2" t="s">
        <x:v>2082</x:v>
      </x:c>
      <x:c r="N727" s="2">
        <x:v>4</x:v>
      </x:c>
      <x:c r="O727" s="2" t="s">
        <x:v>2083</x:v>
      </x:c>
      <x:c r="P727" s="2" t="s">
        <x:v>2084</x:v>
      </x:c>
      <x:c r="Q727" s="2"/>
      <x:c r="R727" s="3">
        <x:v>4</x:v>
      </x:c>
      <x:c r="S727" s="3">
        <x:v>1</x:v>
      </x:c>
      <x:c r="T727" s="2" t="s">
        <x:v>103</x:v>
      </x:c>
      <x:c r="U727" s="2"/>
      <x:c r="V727" s="2"/>
      <x:c r="W727" s="2"/>
      <x:c r="X727" s="3"/>
      <x:c r="Y727" s="3"/>
      <x:c r="Z727" s="2"/>
      <x:c r="AA727" s="2"/>
      <x:c r="AB727" s="2" t="s">
        <x:v>415</x:v>
      </x:c>
      <x:c r="AC727" s="2"/>
      <x:c r="AD727" s="2"/>
      <x:c r="AE727" s="2"/>
      <x:c r="AF727" s="2"/>
      <x:c r="AG727" s="2" t="s">
        <x:v>2036</x:v>
      </x:c>
      <x:c r="AH727" s="2"/>
      <x:c r="AI727" s="4"/>
      <x:c r="AJ727" s="2"/>
      <x:c r="AK727" s="2" t="s">
        <x:v>396</x:v>
      </x:c>
      <x:c r="AL727" s="2" t="s">
        <x:v>1550</x:v>
      </x:c>
      <x:c r="AM727" s="2">
        <x:v>107</x:v>
      </x:c>
      <x:c r="AN727" s="2">
        <x:v>107</x:v>
      </x:c>
    </x:row>
    <x:row r="728" ht="52">
      <x:c r="A728" s="2" t="s">
        <x:v>91</x:v>
      </x:c>
      <x:c r="B728" s="2" t="s">
        <x:v>17</x:v>
      </x:c>
      <x:c r="C728" s="3">
        <x:v>106</x:v>
      </x:c>
      <x:c r="D728" s="2" t="s">
        <x:v>2176</x:v>
      </x:c>
      <x:c r="E728" s="2" t="s">
        <x:v>2296</x:v>
      </x:c>
      <x:c r="F728" s="2" t="s">
        <x:v>410</x:v>
      </x:c>
      <x:c r="G728" s="2" t="s">
        <x:v>2297</x:v>
      </x:c>
      <x:c r="H728" s="2" t="s">
        <x:v>618</x:v>
      </x:c>
      <x:c r="I728" s="2" t="s">
        <x:v>2298</x:v>
      </x:c>
      <x:c r="J728" s="2" t="s">
        <x:v>2080</x:v>
      </x:c>
      <x:c r="K728" s="2"/>
      <x:c r="L728" s="2" t="s">
        <x:v>2156</x:v>
      </x:c>
      <x:c r="M728" s="2" t="s">
        <x:v>2082</x:v>
      </x:c>
      <x:c r="N728" s="2">
        <x:v>4</x:v>
      </x:c>
      <x:c r="O728" s="2" t="s">
        <x:v>2083</x:v>
      </x:c>
      <x:c r="P728" s="2" t="s">
        <x:v>2084</x:v>
      </x:c>
      <x:c r="Q728" s="2"/>
      <x:c r="R728" s="3">
        <x:v>4</x:v>
      </x:c>
      <x:c r="S728" s="3">
        <x:v>1</x:v>
      </x:c>
      <x:c r="T728" s="2" t="s">
        <x:v>103</x:v>
      </x:c>
      <x:c r="U728" s="2"/>
      <x:c r="V728" s="2"/>
      <x:c r="W728" s="2"/>
      <x:c r="X728" s="3"/>
      <x:c r="Y728" s="3"/>
      <x:c r="Z728" s="2"/>
      <x:c r="AA728" s="2"/>
      <x:c r="AB728" s="2" t="s">
        <x:v>427</x:v>
      </x:c>
      <x:c r="AC728" s="2"/>
      <x:c r="AD728" s="2"/>
      <x:c r="AE728" s="2"/>
      <x:c r="AF728" s="2"/>
      <x:c r="AG728" s="2" t="s">
        <x:v>395</x:v>
      </x:c>
      <x:c r="AH728" s="2"/>
      <x:c r="AI728" s="4"/>
      <x:c r="AJ728" s="2"/>
      <x:c r="AK728" s="2" t="s">
        <x:v>396</x:v>
      </x:c>
      <x:c r="AL728" s="2" t="s">
        <x:v>1550</x:v>
      </x:c>
      <x:c r="AM728" s="2">
        <x:v>108</x:v>
      </x:c>
      <x:c r="AN728" s="2">
        <x:v>108</x:v>
      </x:c>
    </x:row>
    <x:row r="729" ht="52">
      <x:c r="A729" s="2" t="s">
        <x:v>6</x:v>
      </x:c>
      <x:c r="B729" s="2" t="s">
        <x:v>17</x:v>
      </x:c>
      <x:c r="C729" s="3">
        <x:v>107</x:v>
      </x:c>
      <x:c r="D729" s="2" t="s">
        <x:v>2108</x:v>
      </x:c>
      <x:c r="E729" s="2" t="s">
        <x:v>2183</x:v>
      </x:c>
      <x:c r="F729" s="2" t="s">
        <x:v>431</x:v>
      </x:c>
      <x:c r="G729" s="2"/>
      <x:c r="H729" s="2" t="s">
        <x:v>618</x:v>
      </x:c>
      <x:c r="I729" s="2" t="s">
        <x:v>2299</x:v>
      </x:c>
      <x:c r="J729" s="2" t="s">
        <x:v>2080</x:v>
      </x:c>
      <x:c r="K729" s="2"/>
      <x:c r="L729" s="2" t="s">
        <x:v>2300</x:v>
      </x:c>
      <x:c r="M729" s="2" t="s">
        <x:v>2082</x:v>
      </x:c>
      <x:c r="N729" s="2">
        <x:v>4</x:v>
      </x:c>
      <x:c r="O729" s="2" t="s">
        <x:v>2083</x:v>
      </x:c>
      <x:c r="P729" s="2" t="s">
        <x:v>2084</x:v>
      </x:c>
      <x:c r="Q729" s="2"/>
      <x:c r="R729" s="3">
        <x:v>5</x:v>
      </x:c>
      <x:c r="S729" s="3">
        <x:v>1</x:v>
      </x:c>
      <x:c r="T729" s="2" t="s">
        <x:v>103</x:v>
      </x:c>
      <x:c r="U729" s="2"/>
      <x:c r="V729" s="2"/>
      <x:c r="W729" s="2"/>
      <x:c r="X729" s="3"/>
      <x:c r="Y729" s="3"/>
      <x:c r="Z729" s="2"/>
      <x:c r="AA729" s="2"/>
      <x:c r="AB729" s="2" t="s">
        <x:v>394</x:v>
      </x:c>
      <x:c r="AC729" s="2"/>
      <x:c r="AD729" s="2"/>
      <x:c r="AE729" s="2"/>
      <x:c r="AF729" s="2"/>
      <x:c r="AG729" s="2" t="s">
        <x:v>428</x:v>
      </x:c>
      <x:c r="AH729" s="2"/>
      <x:c r="AI729" s="4"/>
      <x:c r="AJ729" s="2"/>
      <x:c r="AK729" s="2" t="s">
        <x:v>396</x:v>
      </x:c>
      <x:c r="AL729" s="2" t="s">
        <x:v>1550</x:v>
      </x:c>
      <x:c r="AM729" s="2">
        <x:v>109</x:v>
      </x:c>
      <x:c r="AN729" s="2">
        <x:v>109</x:v>
      </x:c>
    </x:row>
    <x:row r="730" ht="52">
      <x:c r="A730" s="2" t="s">
        <x:v>91</x:v>
      </x:c>
      <x:c r="B730" s="2" t="s">
        <x:v>17</x:v>
      </x:c>
      <x:c r="C730" s="3">
        <x:v>108</x:v>
      </x:c>
      <x:c r="D730" s="2" t="s">
        <x:v>2187</x:v>
      </x:c>
      <x:c r="E730" s="2" t="s">
        <x:v>2301</x:v>
      </x:c>
      <x:c r="F730" s="2" t="s">
        <x:v>237</x:v>
      </x:c>
      <x:c r="G730" s="2" t="s">
        <x:v>2123</x:v>
      </x:c>
      <x:c r="H730" s="2" t="s">
        <x:v>618</x:v>
      </x:c>
      <x:c r="I730" s="2" t="s">
        <x:v>2302</x:v>
      </x:c>
      <x:c r="J730" s="2" t="s">
        <x:v>2120</x:v>
      </x:c>
      <x:c r="K730" s="2"/>
      <x:c r="L730" s="2" t="s">
        <x:v>2121</x:v>
      </x:c>
      <x:c r="M730" s="2" t="s">
        <x:v>2082</x:v>
      </x:c>
      <x:c r="N730" s="2">
        <x:v>4</x:v>
      </x:c>
      <x:c r="O730" s="2" t="s">
        <x:v>2083</x:v>
      </x:c>
      <x:c r="P730" s="2" t="s">
        <x:v>2084</x:v>
      </x:c>
      <x:c r="Q730" s="2"/>
      <x:c r="R730" s="3">
        <x:v>4</x:v>
      </x:c>
      <x:c r="S730" s="3">
        <x:v>1</x:v>
      </x:c>
      <x:c r="T730" s="2" t="s">
        <x:v>103</x:v>
      </x:c>
      <x:c r="U730" s="2"/>
      <x:c r="V730" s="2"/>
      <x:c r="W730" s="2"/>
      <x:c r="X730" s="3"/>
      <x:c r="Y730" s="3"/>
      <x:c r="Z730" s="2"/>
      <x:c r="AA730" s="2"/>
      <x:c r="AB730" s="2" t="s">
        <x:v>415</x:v>
      </x:c>
      <x:c r="AC730" s="2"/>
      <x:c r="AD730" s="2"/>
      <x:c r="AE730" s="2"/>
      <x:c r="AF730" s="2"/>
      <x:c r="AG730" s="2" t="s">
        <x:v>2036</x:v>
      </x:c>
      <x:c r="AH730" s="2"/>
      <x:c r="AI730" s="4"/>
      <x:c r="AJ730" s="2"/>
      <x:c r="AK730" s="2" t="s">
        <x:v>396</x:v>
      </x:c>
      <x:c r="AL730" s="2" t="s">
        <x:v>1550</x:v>
      </x:c>
      <x:c r="AM730" s="2">
        <x:v>110</x:v>
      </x:c>
      <x:c r="AN730" s="2">
        <x:v>110</x:v>
      </x:c>
    </x:row>
    <x:row r="731" ht="52">
      <x:c r="A731" s="2" t="s">
        <x:v>91</x:v>
      </x:c>
      <x:c r="B731" s="2" t="s">
        <x:v>17</x:v>
      </x:c>
      <x:c r="C731" s="3">
        <x:v>109</x:v>
      </x:c>
      <x:c r="D731" s="2" t="s">
        <x:v>2192</x:v>
      </x:c>
      <x:c r="E731" s="2" t="s">
        <x:v>2303</x:v>
      </x:c>
      <x:c r="F731" s="2" t="s">
        <x:v>386</x:v>
      </x:c>
      <x:c r="G731" s="2" t="s">
        <x:v>2130</x:v>
      </x:c>
      <x:c r="H731" s="2" t="s">
        <x:v>618</x:v>
      </x:c>
      <x:c r="I731" s="2" t="s">
        <x:v>2304</x:v>
      </x:c>
      <x:c r="J731" s="2" t="s">
        <x:v>2120</x:v>
      </x:c>
      <x:c r="K731" s="2"/>
      <x:c r="L731" s="2" t="s">
        <x:v>2104</x:v>
      </x:c>
      <x:c r="M731" s="2" t="s">
        <x:v>2082</x:v>
      </x:c>
      <x:c r="N731" s="2">
        <x:v>4</x:v>
      </x:c>
      <x:c r="O731" s="2" t="s">
        <x:v>2083</x:v>
      </x:c>
      <x:c r="P731" s="2" t="s">
        <x:v>2084</x:v>
      </x:c>
      <x:c r="Q731" s="2"/>
      <x:c r="R731" s="3">
        <x:v>4</x:v>
      </x:c>
      <x:c r="S731" s="3">
        <x:v>1</x:v>
      </x:c>
      <x:c r="T731" s="2" t="s">
        <x:v>103</x:v>
      </x:c>
      <x:c r="U731" s="2"/>
      <x:c r="V731" s="2"/>
      <x:c r="W731" s="2"/>
      <x:c r="X731" s="3"/>
      <x:c r="Y731" s="3"/>
      <x:c r="Z731" s="2"/>
      <x:c r="AA731" s="2"/>
      <x:c r="AB731" s="2" t="s">
        <x:v>427</x:v>
      </x:c>
      <x:c r="AC731" s="2"/>
      <x:c r="AD731" s="2"/>
      <x:c r="AE731" s="2"/>
      <x:c r="AF731" s="2"/>
      <x:c r="AG731" s="2" t="s">
        <x:v>395</x:v>
      </x:c>
      <x:c r="AH731" s="2"/>
      <x:c r="AI731" s="4"/>
      <x:c r="AJ731" s="2"/>
      <x:c r="AK731" s="2" t="s">
        <x:v>396</x:v>
      </x:c>
      <x:c r="AL731" s="2" t="s">
        <x:v>1550</x:v>
      </x:c>
      <x:c r="AM731" s="2">
        <x:v>111</x:v>
      </x:c>
      <x:c r="AN731" s="2">
        <x:v>111</x:v>
      </x:c>
    </x:row>
    <x:row r="732" ht="52">
      <x:c r="A732" s="2" t="s">
        <x:v>6</x:v>
      </x:c>
      <x:c r="B732" s="2" t="s">
        <x:v>17</x:v>
      </x:c>
      <x:c r="C732" s="3">
        <x:v>110</x:v>
      </x:c>
      <x:c r="D732" s="2" t="s">
        <x:v>2305</x:v>
      </x:c>
      <x:c r="E732" s="2" t="s">
        <x:v>2306</x:v>
      </x:c>
      <x:c r="F732" s="2" t="s">
        <x:v>469</x:v>
      </x:c>
      <x:c r="G732" s="2"/>
      <x:c r="H732" s="2" t="s">
        <x:v>2307</x:v>
      </x:c>
      <x:c r="I732" s="2" t="s">
        <x:v>2308</x:v>
      </x:c>
      <x:c r="J732" s="2" t="s">
        <x:v>2309</x:v>
      </x:c>
      <x:c r="K732" s="2"/>
      <x:c r="L732" s="2" t="s">
        <x:v>2310</x:v>
      </x:c>
      <x:c r="M732" s="2" t="s">
        <x:v>2311</x:v>
      </x:c>
      <x:c r="N732" s="2">
        <x:v>5</x:v>
      </x:c>
      <x:c r="O732" s="2" t="s">
        <x:v>2312</x:v>
      </x:c>
      <x:c r="P732" s="2" t="s">
        <x:v>2313</x:v>
      </x:c>
      <x:c r="Q732" s="2"/>
      <x:c r="R732" s="3">
        <x:v>3</x:v>
      </x:c>
      <x:c r="S732" s="3">
        <x:v>1</x:v>
      </x:c>
      <x:c r="T732" s="2" t="s">
        <x:v>103</x:v>
      </x:c>
      <x:c r="U732" s="2"/>
      <x:c r="V732" s="2"/>
      <x:c r="W732" s="2"/>
      <x:c r="X732" s="3"/>
      <x:c r="Y732" s="3"/>
      <x:c r="Z732" s="2"/>
      <x:c r="AA732" s="2"/>
      <x:c r="AB732" s="2" t="s">
        <x:v>427</x:v>
      </x:c>
      <x:c r="AC732" s="2"/>
      <x:c r="AD732" s="2"/>
      <x:c r="AE732" s="2"/>
      <x:c r="AF732" s="2"/>
      <x:c r="AG732" s="2" t="s">
        <x:v>2314</x:v>
      </x:c>
      <x:c r="AH732" s="2"/>
      <x:c r="AI732" s="4"/>
      <x:c r="AJ732" s="2"/>
      <x:c r="AK732" s="2" t="s">
        <x:v>396</x:v>
      </x:c>
      <x:c r="AL732" s="2" t="s">
        <x:v>1550</x:v>
      </x:c>
      <x:c r="AM732" s="2">
        <x:v>112</x:v>
      </x:c>
      <x:c r="AN732" s="2">
        <x:v>112</x:v>
      </x:c>
    </x:row>
    <x:row r="733" ht="52">
      <x:c r="A733" s="2" t="s">
        <x:v>91</x:v>
      </x:c>
      <x:c r="B733" s="2" t="s">
        <x:v>17</x:v>
      </x:c>
      <x:c r="C733" s="3">
        <x:v>111</x:v>
      </x:c>
      <x:c r="D733" s="2" t="s">
        <x:v>2315</x:v>
      </x:c>
      <x:c r="E733" s="2" t="s">
        <x:v>2306</x:v>
      </x:c>
      <x:c r="F733" s="2" t="s">
        <x:v>344</x:v>
      </x:c>
      <x:c r="G733" s="2" t="s">
        <x:v>2316</x:v>
      </x:c>
      <x:c r="H733" s="2" t="s">
        <x:v>2307</x:v>
      </x:c>
      <x:c r="I733" s="2" t="s">
        <x:v>2308</x:v>
      </x:c>
      <x:c r="J733" s="2" t="s">
        <x:v>2317</x:v>
      </x:c>
      <x:c r="K733" s="2" t="n">
        <x:v>110</x:v>
      </x:c>
      <x:c r="L733" s="2" t="s">
        <x:v>2318</x:v>
      </x:c>
      <x:c r="M733" s="2" t="s">
        <x:v>2311</x:v>
      </x:c>
      <x:c r="N733" s="2">
        <x:v>5</x:v>
      </x:c>
      <x:c r="O733" s="2" t="s">
        <x:v>2319</x:v>
      </x:c>
      <x:c r="P733" s="2" t="s">
        <x:v>2320</x:v>
      </x:c>
      <x:c r="Q733" s="2"/>
      <x:c r="R733" s="3">
        <x:v>3</x:v>
      </x:c>
      <x:c r="S733" s="3">
        <x:v>1</x:v>
      </x:c>
      <x:c r="T733" s="2" t="s">
        <x:v>103</x:v>
      </x:c>
      <x:c r="U733" s="2"/>
      <x:c r="V733" s="2"/>
      <x:c r="W733" s="2"/>
      <x:c r="X733" s="3"/>
      <x:c r="Y733" s="3"/>
      <x:c r="Z733" s="2"/>
      <x:c r="AA733" s="2"/>
      <x:c r="AB733" s="2" t="s">
        <x:v>415</x:v>
      </x:c>
      <x:c r="AC733" s="2"/>
      <x:c r="AD733" s="2"/>
      <x:c r="AE733" s="2"/>
      <x:c r="AF733" s="2"/>
      <x:c r="AG733" s="2" t="s">
        <x:v>2314</x:v>
      </x:c>
      <x:c r="AH733" s="2"/>
      <x:c r="AI733" s="4"/>
      <x:c r="AJ733" s="2"/>
      <x:c r="AK733" s="2" t="s">
        <x:v>396</x:v>
      </x:c>
      <x:c r="AL733" s="2" t="s">
        <x:v>1550</x:v>
      </x:c>
      <x:c r="AM733" s="2">
        <x:v>113</x:v>
      </x:c>
      <x:c r="AN733" s="2">
        <x:v>113</x:v>
      </x:c>
    </x:row>
    <x:row r="734" ht="52">
      <x:c r="A734" s="2" t="s">
        <x:v>91</x:v>
      </x:c>
      <x:c r="B734" s="2" t="s">
        <x:v>17</x:v>
      </x:c>
      <x:c r="C734" s="3">
        <x:v>112</x:v>
      </x:c>
      <x:c r="D734" s="2" t="s">
        <x:v>2321</x:v>
      </x:c>
      <x:c r="E734" s="2" t="s">
        <x:v>2322</x:v>
      </x:c>
      <x:c r="F734" s="2" t="s">
        <x:v>344</x:v>
      </x:c>
      <x:c r="G734" s="2" t="s">
        <x:v>2323</x:v>
      </x:c>
      <x:c r="H734" s="2" t="s">
        <x:v>2307</x:v>
      </x:c>
      <x:c r="I734" s="2" t="s">
        <x:v>2324</x:v>
      </x:c>
      <x:c r="J734" s="2" t="s">
        <x:v>2309</x:v>
      </x:c>
      <x:c r="K734" s="2"/>
      <x:c r="L734" s="2" t="s">
        <x:v>2310</x:v>
      </x:c>
      <x:c r="M734" s="2" t="s">
        <x:v>2311</x:v>
      </x:c>
      <x:c r="N734" s="2">
        <x:v>5</x:v>
      </x:c>
      <x:c r="O734" s="2" t="s">
        <x:v>2312</x:v>
      </x:c>
      <x:c r="P734" s="2" t="s">
        <x:v>2313</x:v>
      </x:c>
      <x:c r="Q734" s="2"/>
      <x:c r="R734" s="3">
        <x:v>4</x:v>
      </x:c>
      <x:c r="S734" s="3">
        <x:v>1</x:v>
      </x:c>
      <x:c r="T734" s="2" t="s">
        <x:v>103</x:v>
      </x:c>
      <x:c r="U734" s="2"/>
      <x:c r="V734" s="2"/>
      <x:c r="W734" s="2"/>
      <x:c r="X734" s="3"/>
      <x:c r="Y734" s="3"/>
      <x:c r="Z734" s="2"/>
      <x:c r="AA734" s="2"/>
      <x:c r="AB734" s="2" t="s">
        <x:v>427</x:v>
      </x:c>
      <x:c r="AC734" s="2"/>
      <x:c r="AD734" s="2"/>
      <x:c r="AE734" s="2"/>
      <x:c r="AF734" s="2"/>
      <x:c r="AG734" s="2" t="s">
        <x:v>2314</x:v>
      </x:c>
      <x:c r="AH734" s="2"/>
      <x:c r="AI734" s="4"/>
      <x:c r="AJ734" s="2"/>
      <x:c r="AK734" s="2" t="s">
        <x:v>396</x:v>
      </x:c>
      <x:c r="AL734" s="2" t="s">
        <x:v>1550</x:v>
      </x:c>
      <x:c r="AM734" s="2">
        <x:v>114</x:v>
      </x:c>
      <x:c r="AN734" s="2">
        <x:v>114</x:v>
      </x:c>
    </x:row>
    <x:row r="735" ht="52">
      <x:c r="A735" s="2" t="s">
        <x:v>91</x:v>
      </x:c>
      <x:c r="B735" s="2" t="s">
        <x:v>17</x:v>
      </x:c>
      <x:c r="C735" s="3">
        <x:v>113</x:v>
      </x:c>
      <x:c r="D735" s="2" t="s">
        <x:v>2325</x:v>
      </x:c>
      <x:c r="E735" s="2" t="s">
        <x:v>2322</x:v>
      </x:c>
      <x:c r="F735" s="2" t="s">
        <x:v>469</x:v>
      </x:c>
      <x:c r="G735" s="2" t="s">
        <x:v>2326</x:v>
      </x:c>
      <x:c r="H735" s="2" t="s">
        <x:v>2307</x:v>
      </x:c>
      <x:c r="I735" s="2" t="s">
        <x:v>2324</x:v>
      </x:c>
      <x:c r="J735" s="2" t="s">
        <x:v>2317</x:v>
      </x:c>
      <x:c r="K735" s="2" t="n">
        <x:v>112</x:v>
      </x:c>
      <x:c r="L735" s="2" t="s">
        <x:v>2318</x:v>
      </x:c>
      <x:c r="M735" s="2" t="s">
        <x:v>2311</x:v>
      </x:c>
      <x:c r="N735" s="2">
        <x:v>5</x:v>
      </x:c>
      <x:c r="O735" s="2" t="s">
        <x:v>2319</x:v>
      </x:c>
      <x:c r="P735" s="2" t="s">
        <x:v>2320</x:v>
      </x:c>
      <x:c r="Q735" s="2"/>
      <x:c r="R735" s="3">
        <x:v>4</x:v>
      </x:c>
      <x:c r="S735" s="3">
        <x:v>1</x:v>
      </x:c>
      <x:c r="T735" s="2" t="s">
        <x:v>103</x:v>
      </x:c>
      <x:c r="U735" s="2"/>
      <x:c r="V735" s="2"/>
      <x:c r="W735" s="2"/>
      <x:c r="X735" s="3"/>
      <x:c r="Y735" s="3"/>
      <x:c r="Z735" s="2"/>
      <x:c r="AA735" s="2"/>
      <x:c r="AB735" s="2" t="s">
        <x:v>415</x:v>
      </x:c>
      <x:c r="AC735" s="2"/>
      <x:c r="AD735" s="2"/>
      <x:c r="AE735" s="2"/>
      <x:c r="AF735" s="2"/>
      <x:c r="AG735" s="2" t="s">
        <x:v>2314</x:v>
      </x:c>
      <x:c r="AH735" s="2"/>
      <x:c r="AI735" s="4"/>
      <x:c r="AJ735" s="2"/>
      <x:c r="AK735" s="2" t="s">
        <x:v>396</x:v>
      </x:c>
      <x:c r="AL735" s="2" t="s">
        <x:v>1550</x:v>
      </x:c>
      <x:c r="AM735" s="2">
        <x:v>115</x:v>
      </x:c>
      <x:c r="AN735" s="2">
        <x:v>115</x:v>
      </x:c>
    </x:row>
    <x:row r="736" ht="52">
      <x:c r="A736" s="2" t="s">
        <x:v>91</x:v>
      </x:c>
      <x:c r="B736" s="2" t="s">
        <x:v>17</x:v>
      </x:c>
      <x:c r="C736" s="3">
        <x:v>114</x:v>
      </x:c>
      <x:c r="D736" s="2" t="s">
        <x:v>2327</x:v>
      </x:c>
      <x:c r="E736" s="2" t="s">
        <x:v>2328</x:v>
      </x:c>
      <x:c r="F736" s="2" t="s">
        <x:v>469</x:v>
      </x:c>
      <x:c r="G736" s="2" t="s">
        <x:v>2326</x:v>
      </x:c>
      <x:c r="H736" s="2" t="s">
        <x:v>2307</x:v>
      </x:c>
      <x:c r="I736" s="2" t="s">
        <x:v>2329</x:v>
      </x:c>
      <x:c r="J736" s="2" t="s">
        <x:v>2309</x:v>
      </x:c>
      <x:c r="K736" s="2"/>
      <x:c r="L736" s="2" t="s">
        <x:v>2310</x:v>
      </x:c>
      <x:c r="M736" s="2" t="s">
        <x:v>2311</x:v>
      </x:c>
      <x:c r="N736" s="2">
        <x:v>5</x:v>
      </x:c>
      <x:c r="O736" s="2" t="s">
        <x:v>2312</x:v>
      </x:c>
      <x:c r="P736" s="2" t="s">
        <x:v>2313</x:v>
      </x:c>
      <x:c r="Q736" s="2"/>
      <x:c r="R736" s="3">
        <x:v>3</x:v>
      </x:c>
      <x:c r="S736" s="3">
        <x:v>1</x:v>
      </x:c>
      <x:c r="T736" s="2" t="s">
        <x:v>103</x:v>
      </x:c>
      <x:c r="U736" s="2"/>
      <x:c r="V736" s="2"/>
      <x:c r="W736" s="2"/>
      <x:c r="X736" s="3"/>
      <x:c r="Y736" s="3"/>
      <x:c r="Z736" s="2"/>
      <x:c r="AA736" s="2"/>
      <x:c r="AB736" s="2" t="s">
        <x:v>427</x:v>
      </x:c>
      <x:c r="AC736" s="2"/>
      <x:c r="AD736" s="2"/>
      <x:c r="AE736" s="2"/>
      <x:c r="AF736" s="2"/>
      <x:c r="AG736" s="2" t="s">
        <x:v>2314</x:v>
      </x:c>
      <x:c r="AH736" s="2"/>
      <x:c r="AI736" s="4"/>
      <x:c r="AJ736" s="2"/>
      <x:c r="AK736" s="2" t="s">
        <x:v>396</x:v>
      </x:c>
      <x:c r="AL736" s="2" t="s">
        <x:v>1550</x:v>
      </x:c>
      <x:c r="AM736" s="2">
        <x:v>116</x:v>
      </x:c>
      <x:c r="AN736" s="2">
        <x:v>116</x:v>
      </x:c>
    </x:row>
    <x:row r="737" ht="52">
      <x:c r="A737" s="2" t="s">
        <x:v>6</x:v>
      </x:c>
      <x:c r="B737" s="2" t="s">
        <x:v>17</x:v>
      </x:c>
      <x:c r="C737" s="3">
        <x:v>115</x:v>
      </x:c>
      <x:c r="D737" s="2" t="s">
        <x:v>2330</x:v>
      </x:c>
      <x:c r="E737" s="2" t="s">
        <x:v>2328</x:v>
      </x:c>
      <x:c r="F737" s="2" t="s">
        <x:v>344</x:v>
      </x:c>
      <x:c r="G737" s="2"/>
      <x:c r="H737" s="2" t="s">
        <x:v>2307</x:v>
      </x:c>
      <x:c r="I737" s="2" t="s">
        <x:v>2329</x:v>
      </x:c>
      <x:c r="J737" s="2" t="s">
        <x:v>2317</x:v>
      </x:c>
      <x:c r="K737" s="2" t="n">
        <x:v>114</x:v>
      </x:c>
      <x:c r="L737" s="2" t="s">
        <x:v>2318</x:v>
      </x:c>
      <x:c r="M737" s="2" t="s">
        <x:v>2311</x:v>
      </x:c>
      <x:c r="N737" s="2">
        <x:v>5</x:v>
      </x:c>
      <x:c r="O737" s="2" t="s">
        <x:v>2319</x:v>
      </x:c>
      <x:c r="P737" s="2" t="s">
        <x:v>2320</x:v>
      </x:c>
      <x:c r="Q737" s="2"/>
      <x:c r="R737" s="3">
        <x:v>3</x:v>
      </x:c>
      <x:c r="S737" s="3">
        <x:v>1</x:v>
      </x:c>
      <x:c r="T737" s="2" t="s">
        <x:v>103</x:v>
      </x:c>
      <x:c r="U737" s="2"/>
      <x:c r="V737" s="2"/>
      <x:c r="W737" s="2"/>
      <x:c r="X737" s="3"/>
      <x:c r="Y737" s="3"/>
      <x:c r="Z737" s="2"/>
      <x:c r="AA737" s="2"/>
      <x:c r="AB737" s="2" t="s">
        <x:v>415</x:v>
      </x:c>
      <x:c r="AC737" s="2"/>
      <x:c r="AD737" s="2"/>
      <x:c r="AE737" s="2"/>
      <x:c r="AF737" s="2"/>
      <x:c r="AG737" s="2" t="s">
        <x:v>2314</x:v>
      </x:c>
      <x:c r="AH737" s="2"/>
      <x:c r="AI737" s="4"/>
      <x:c r="AJ737" s="2"/>
      <x:c r="AK737" s="2" t="s">
        <x:v>396</x:v>
      </x:c>
      <x:c r="AL737" s="2" t="s">
        <x:v>1550</x:v>
      </x:c>
      <x:c r="AM737" s="2">
        <x:v>117</x:v>
      </x:c>
      <x:c r="AN737" s="2">
        <x:v>117</x:v>
      </x:c>
    </x:row>
    <x:row r="738" ht="52">
      <x:c r="A738" s="2" t="s">
        <x:v>6</x:v>
      </x:c>
      <x:c r="B738" s="2" t="s">
        <x:v>17</x:v>
      </x:c>
      <x:c r="C738" s="3">
        <x:v>116</x:v>
      </x:c>
      <x:c r="D738" s="2" t="s">
        <x:v>2331</x:v>
      </x:c>
      <x:c r="E738" s="2" t="s">
        <x:v>2332</x:v>
      </x:c>
      <x:c r="F738" s="2" t="s">
        <x:v>344</x:v>
      </x:c>
      <x:c r="G738" s="2"/>
      <x:c r="H738" s="2" t="s">
        <x:v>2307</x:v>
      </x:c>
      <x:c r="I738" s="2" t="s">
        <x:v>2333</x:v>
      </x:c>
      <x:c r="J738" s="2" t="s">
        <x:v>2309</x:v>
      </x:c>
      <x:c r="K738" s="2"/>
      <x:c r="L738" s="2" t="s">
        <x:v>2310</x:v>
      </x:c>
      <x:c r="M738" s="2" t="s">
        <x:v>2311</x:v>
      </x:c>
      <x:c r="N738" s="2">
        <x:v>5</x:v>
      </x:c>
      <x:c r="O738" s="2" t="s">
        <x:v>2312</x:v>
      </x:c>
      <x:c r="P738" s="2" t="s">
        <x:v>2313</x:v>
      </x:c>
      <x:c r="Q738" s="2"/>
      <x:c r="R738" s="3">
        <x:v>4</x:v>
      </x:c>
      <x:c r="S738" s="3">
        <x:v>1</x:v>
      </x:c>
      <x:c r="T738" s="2" t="s">
        <x:v>103</x:v>
      </x:c>
      <x:c r="U738" s="2"/>
      <x:c r="V738" s="2"/>
      <x:c r="W738" s="2"/>
      <x:c r="X738" s="3"/>
      <x:c r="Y738" s="3"/>
      <x:c r="Z738" s="2"/>
      <x:c r="AA738" s="2"/>
      <x:c r="AB738" s="2" t="s">
        <x:v>427</x:v>
      </x:c>
      <x:c r="AC738" s="2"/>
      <x:c r="AD738" s="2"/>
      <x:c r="AE738" s="2"/>
      <x:c r="AF738" s="2"/>
      <x:c r="AG738" s="2" t="s">
        <x:v>2314</x:v>
      </x:c>
      <x:c r="AH738" s="2"/>
      <x:c r="AI738" s="4"/>
      <x:c r="AJ738" s="2"/>
      <x:c r="AK738" s="2" t="s">
        <x:v>396</x:v>
      </x:c>
      <x:c r="AL738" s="2" t="s">
        <x:v>1550</x:v>
      </x:c>
      <x:c r="AM738" s="2">
        <x:v>118</x:v>
      </x:c>
      <x:c r="AN738" s="2">
        <x:v>118</x:v>
      </x:c>
    </x:row>
    <x:row r="739" ht="52">
      <x:c r="A739" s="2" t="s">
        <x:v>91</x:v>
      </x:c>
      <x:c r="B739" s="2" t="s">
        <x:v>17</x:v>
      </x:c>
      <x:c r="C739" s="3">
        <x:v>117</x:v>
      </x:c>
      <x:c r="D739" s="2" t="s">
        <x:v>2334</x:v>
      </x:c>
      <x:c r="E739" s="2" t="s">
        <x:v>2332</x:v>
      </x:c>
      <x:c r="F739" s="2" t="s">
        <x:v>469</x:v>
      </x:c>
      <x:c r="G739" s="2" t="s">
        <x:v>1273</x:v>
      </x:c>
      <x:c r="H739" s="2" t="s">
        <x:v>2307</x:v>
      </x:c>
      <x:c r="I739" s="2" t="s">
        <x:v>2333</x:v>
      </x:c>
      <x:c r="J739" s="2" t="s">
        <x:v>2317</x:v>
      </x:c>
      <x:c r="K739" s="2" t="n">
        <x:v>116</x:v>
      </x:c>
      <x:c r="L739" s="2" t="s">
        <x:v>2318</x:v>
      </x:c>
      <x:c r="M739" s="2" t="s">
        <x:v>2311</x:v>
      </x:c>
      <x:c r="N739" s="2">
        <x:v>5</x:v>
      </x:c>
      <x:c r="O739" s="2" t="s">
        <x:v>2319</x:v>
      </x:c>
      <x:c r="P739" s="2" t="s">
        <x:v>2320</x:v>
      </x:c>
      <x:c r="Q739" s="2"/>
      <x:c r="R739" s="3">
        <x:v>4</x:v>
      </x:c>
      <x:c r="S739" s="3">
        <x:v>1</x:v>
      </x:c>
      <x:c r="T739" s="2" t="s">
        <x:v>103</x:v>
      </x:c>
      <x:c r="U739" s="2"/>
      <x:c r="V739" s="2"/>
      <x:c r="W739" s="2"/>
      <x:c r="X739" s="3"/>
      <x:c r="Y739" s="3"/>
      <x:c r="Z739" s="2"/>
      <x:c r="AA739" s="2"/>
      <x:c r="AB739" s="2" t="s">
        <x:v>415</x:v>
      </x:c>
      <x:c r="AC739" s="2"/>
      <x:c r="AD739" s="2"/>
      <x:c r="AE739" s="2"/>
      <x:c r="AF739" s="2"/>
      <x:c r="AG739" s="2" t="s">
        <x:v>2314</x:v>
      </x:c>
      <x:c r="AH739" s="2"/>
      <x:c r="AI739" s="4"/>
      <x:c r="AJ739" s="2"/>
      <x:c r="AK739" s="2" t="s">
        <x:v>396</x:v>
      </x:c>
      <x:c r="AL739" s="2" t="s">
        <x:v>1550</x:v>
      </x:c>
      <x:c r="AM739" s="2">
        <x:v>119</x:v>
      </x:c>
      <x:c r="AN739" s="2">
        <x:v>119</x:v>
      </x:c>
    </x:row>
    <x:row r="740" ht="52">
      <x:c r="A740" s="2" t="s">
        <x:v>6</x:v>
      </x:c>
      <x:c r="B740" s="2" t="s">
        <x:v>17</x:v>
      </x:c>
      <x:c r="C740" s="3">
        <x:v>118</x:v>
      </x:c>
      <x:c r="D740" s="2" t="s">
        <x:v>2335</x:v>
      </x:c>
      <x:c r="E740" s="2" t="s">
        <x:v>2306</x:v>
      </x:c>
      <x:c r="F740" s="2" t="s">
        <x:v>469</x:v>
      </x:c>
      <x:c r="G740" s="2"/>
      <x:c r="H740" s="2" t="s">
        <x:v>2307</x:v>
      </x:c>
      <x:c r="I740" s="2" t="s">
        <x:v>2336</x:v>
      </x:c>
      <x:c r="J740" s="2" t="s">
        <x:v>2309</x:v>
      </x:c>
      <x:c r="K740" s="2"/>
      <x:c r="L740" s="2" t="s">
        <x:v>2310</x:v>
      </x:c>
      <x:c r="M740" s="2" t="s">
        <x:v>2311</x:v>
      </x:c>
      <x:c r="N740" s="2">
        <x:v>5</x:v>
      </x:c>
      <x:c r="O740" s="2" t="s">
        <x:v>2312</x:v>
      </x:c>
      <x:c r="P740" s="2" t="s">
        <x:v>2313</x:v>
      </x:c>
      <x:c r="Q740" s="2"/>
      <x:c r="R740" s="3">
        <x:v>3</x:v>
      </x:c>
      <x:c r="S740" s="3">
        <x:v>1</x:v>
      </x:c>
      <x:c r="T740" s="2" t="s">
        <x:v>103</x:v>
      </x:c>
      <x:c r="U740" s="2"/>
      <x:c r="V740" s="2"/>
      <x:c r="W740" s="2"/>
      <x:c r="X740" s="3"/>
      <x:c r="Y740" s="3"/>
      <x:c r="Z740" s="2"/>
      <x:c r="AA740" s="2"/>
      <x:c r="AB740" s="2" t="s">
        <x:v>427</x:v>
      </x:c>
      <x:c r="AC740" s="2"/>
      <x:c r="AD740" s="2"/>
      <x:c r="AE740" s="2"/>
      <x:c r="AF740" s="2"/>
      <x:c r="AG740" s="2" t="s">
        <x:v>2314</x:v>
      </x:c>
      <x:c r="AH740" s="2"/>
      <x:c r="AI740" s="4"/>
      <x:c r="AJ740" s="2"/>
      <x:c r="AK740" s="2" t="s">
        <x:v>396</x:v>
      </x:c>
      <x:c r="AL740" s="2" t="s">
        <x:v>1550</x:v>
      </x:c>
      <x:c r="AM740" s="2">
        <x:v>120</x:v>
      </x:c>
      <x:c r="AN740" s="2">
        <x:v>120</x:v>
      </x:c>
    </x:row>
    <x:row r="741" ht="52">
      <x:c r="A741" s="2" t="s">
        <x:v>6</x:v>
      </x:c>
      <x:c r="B741" s="2" t="s">
        <x:v>17</x:v>
      </x:c>
      <x:c r="C741" s="3">
        <x:v>119</x:v>
      </x:c>
      <x:c r="D741" s="2" t="s">
        <x:v>2337</x:v>
      </x:c>
      <x:c r="E741" s="2" t="s">
        <x:v>2306</x:v>
      </x:c>
      <x:c r="F741" s="2" t="s">
        <x:v>344</x:v>
      </x:c>
      <x:c r="G741" s="2"/>
      <x:c r="H741" s="2" t="s">
        <x:v>2307</x:v>
      </x:c>
      <x:c r="I741" s="2" t="s">
        <x:v>2336</x:v>
      </x:c>
      <x:c r="J741" s="2" t="s">
        <x:v>2317</x:v>
      </x:c>
      <x:c r="K741" s="2" t="n">
        <x:v>118</x:v>
      </x:c>
      <x:c r="L741" s="2" t="s">
        <x:v>2318</x:v>
      </x:c>
      <x:c r="M741" s="2" t="s">
        <x:v>2311</x:v>
      </x:c>
      <x:c r="N741" s="2">
        <x:v>5</x:v>
      </x:c>
      <x:c r="O741" s="2" t="s">
        <x:v>2319</x:v>
      </x:c>
      <x:c r="P741" s="2" t="s">
        <x:v>2320</x:v>
      </x:c>
      <x:c r="Q741" s="2"/>
      <x:c r="R741" s="3">
        <x:v>3</x:v>
      </x:c>
      <x:c r="S741" s="3">
        <x:v>1</x:v>
      </x:c>
      <x:c r="T741" s="2" t="s">
        <x:v>103</x:v>
      </x:c>
      <x:c r="U741" s="2"/>
      <x:c r="V741" s="2"/>
      <x:c r="W741" s="2"/>
      <x:c r="X741" s="3"/>
      <x:c r="Y741" s="3"/>
      <x:c r="Z741" s="2"/>
      <x:c r="AA741" s="2"/>
      <x:c r="AB741" s="2" t="s">
        <x:v>415</x:v>
      </x:c>
      <x:c r="AC741" s="2"/>
      <x:c r="AD741" s="2"/>
      <x:c r="AE741" s="2"/>
      <x:c r="AF741" s="2"/>
      <x:c r="AG741" s="2" t="s">
        <x:v>2314</x:v>
      </x:c>
      <x:c r="AH741" s="2"/>
      <x:c r="AI741" s="4"/>
      <x:c r="AJ741" s="2"/>
      <x:c r="AK741" s="2" t="s">
        <x:v>396</x:v>
      </x:c>
      <x:c r="AL741" s="2" t="s">
        <x:v>1550</x:v>
      </x:c>
      <x:c r="AM741" s="2">
        <x:v>121</x:v>
      </x:c>
      <x:c r="AN741" s="2">
        <x:v>121</x:v>
      </x:c>
    </x:row>
    <x:row r="742" ht="52">
      <x:c r="A742" s="2" t="s">
        <x:v>6</x:v>
      </x:c>
      <x:c r="B742" s="2" t="s">
        <x:v>17</x:v>
      </x:c>
      <x:c r="C742" s="3">
        <x:v>120</x:v>
      </x:c>
      <x:c r="D742" s="2" t="s">
        <x:v>2338</x:v>
      </x:c>
      <x:c r="E742" s="2" t="s">
        <x:v>2339</x:v>
      </x:c>
      <x:c r="F742" s="2" t="s">
        <x:v>344</x:v>
      </x:c>
      <x:c r="G742" s="2"/>
      <x:c r="H742" s="2" t="s">
        <x:v>2307</x:v>
      </x:c>
      <x:c r="I742" s="2" t="s">
        <x:v>2340</x:v>
      </x:c>
      <x:c r="J742" s="2" t="s">
        <x:v>2309</x:v>
      </x:c>
      <x:c r="K742" s="2"/>
      <x:c r="L742" s="2" t="s">
        <x:v>2310</x:v>
      </x:c>
      <x:c r="M742" s="2" t="s">
        <x:v>2311</x:v>
      </x:c>
      <x:c r="N742" s="2">
        <x:v>5</x:v>
      </x:c>
      <x:c r="O742" s="2" t="s">
        <x:v>2312</x:v>
      </x:c>
      <x:c r="P742" s="2" t="s">
        <x:v>2313</x:v>
      </x:c>
      <x:c r="Q742" s="2"/>
      <x:c r="R742" s="3">
        <x:v>4</x:v>
      </x:c>
      <x:c r="S742" s="3">
        <x:v>1</x:v>
      </x:c>
      <x:c r="T742" s="2" t="s">
        <x:v>103</x:v>
      </x:c>
      <x:c r="U742" s="2"/>
      <x:c r="V742" s="2"/>
      <x:c r="W742" s="2"/>
      <x:c r="X742" s="3"/>
      <x:c r="Y742" s="3"/>
      <x:c r="Z742" s="2"/>
      <x:c r="AA742" s="2"/>
      <x:c r="AB742" s="2" t="s">
        <x:v>427</x:v>
      </x:c>
      <x:c r="AC742" s="2"/>
      <x:c r="AD742" s="2"/>
      <x:c r="AE742" s="2"/>
      <x:c r="AF742" s="2"/>
      <x:c r="AG742" s="2" t="s">
        <x:v>2314</x:v>
      </x:c>
      <x:c r="AH742" s="2"/>
      <x:c r="AI742" s="4"/>
      <x:c r="AJ742" s="2"/>
      <x:c r="AK742" s="2" t="s">
        <x:v>396</x:v>
      </x:c>
      <x:c r="AL742" s="2" t="s">
        <x:v>1550</x:v>
      </x:c>
      <x:c r="AM742" s="2">
        <x:v>122</x:v>
      </x:c>
      <x:c r="AN742" s="2">
        <x:v>122</x:v>
      </x:c>
    </x:row>
    <x:row r="743" ht="52">
      <x:c r="A743" s="2" t="s">
        <x:v>91</x:v>
      </x:c>
      <x:c r="B743" s="2" t="s">
        <x:v>17</x:v>
      </x:c>
      <x:c r="C743" s="3">
        <x:v>121</x:v>
      </x:c>
      <x:c r="D743" s="2" t="s">
        <x:v>2341</x:v>
      </x:c>
      <x:c r="E743" s="2" t="s">
        <x:v>2339</x:v>
      </x:c>
      <x:c r="F743" s="2" t="s">
        <x:v>469</x:v>
      </x:c>
      <x:c r="G743" s="2" t="s">
        <x:v>2342</x:v>
      </x:c>
      <x:c r="H743" s="2" t="s">
        <x:v>2307</x:v>
      </x:c>
      <x:c r="I743" s="2" t="s">
        <x:v>2340</x:v>
      </x:c>
      <x:c r="J743" s="2" t="s">
        <x:v>2317</x:v>
      </x:c>
      <x:c r="K743" s="2" t="n">
        <x:v>120</x:v>
      </x:c>
      <x:c r="L743" s="2" t="s">
        <x:v>2318</x:v>
      </x:c>
      <x:c r="M743" s="2" t="s">
        <x:v>2311</x:v>
      </x:c>
      <x:c r="N743" s="2">
        <x:v>5</x:v>
      </x:c>
      <x:c r="O743" s="2" t="s">
        <x:v>2319</x:v>
      </x:c>
      <x:c r="P743" s="2" t="s">
        <x:v>2320</x:v>
      </x:c>
      <x:c r="Q743" s="2"/>
      <x:c r="R743" s="3">
        <x:v>4</x:v>
      </x:c>
      <x:c r="S743" s="3">
        <x:v>1</x:v>
      </x:c>
      <x:c r="T743" s="2" t="s">
        <x:v>103</x:v>
      </x:c>
      <x:c r="U743" s="2"/>
      <x:c r="V743" s="2"/>
      <x:c r="W743" s="2"/>
      <x:c r="X743" s="3"/>
      <x:c r="Y743" s="3"/>
      <x:c r="Z743" s="2"/>
      <x:c r="AA743" s="2"/>
      <x:c r="AB743" s="2" t="s">
        <x:v>415</x:v>
      </x:c>
      <x:c r="AC743" s="2"/>
      <x:c r="AD743" s="2"/>
      <x:c r="AE743" s="2"/>
      <x:c r="AF743" s="2"/>
      <x:c r="AG743" s="2" t="s">
        <x:v>2314</x:v>
      </x:c>
      <x:c r="AH743" s="2"/>
      <x:c r="AI743" s="4"/>
      <x:c r="AJ743" s="2"/>
      <x:c r="AK743" s="2" t="s">
        <x:v>396</x:v>
      </x:c>
      <x:c r="AL743" s="2" t="s">
        <x:v>1550</x:v>
      </x:c>
      <x:c r="AM743" s="2">
        <x:v>123</x:v>
      </x:c>
      <x:c r="AN743" s="2">
        <x:v>123</x:v>
      </x:c>
    </x:row>
    <x:row r="744" ht="52">
      <x:c r="A744" s="2" t="s">
        <x:v>91</x:v>
      </x:c>
      <x:c r="B744" s="2" t="s">
        <x:v>17</x:v>
      </x:c>
      <x:c r="C744" s="3">
        <x:v>122</x:v>
      </x:c>
      <x:c r="D744" s="2" t="s">
        <x:v>2343</x:v>
      </x:c>
      <x:c r="E744" s="2" t="s">
        <x:v>2344</x:v>
      </x:c>
      <x:c r="F744" s="2" t="s">
        <x:v>469</x:v>
      </x:c>
      <x:c r="G744" s="2" t="s">
        <x:v>2345</x:v>
      </x:c>
      <x:c r="H744" s="2" t="s">
        <x:v>2307</x:v>
      </x:c>
      <x:c r="I744" s="2" t="s">
        <x:v>2346</x:v>
      </x:c>
      <x:c r="J744" s="2" t="s">
        <x:v>2309</x:v>
      </x:c>
      <x:c r="K744" s="2"/>
      <x:c r="L744" s="2" t="s">
        <x:v>2310</x:v>
      </x:c>
      <x:c r="M744" s="2" t="s">
        <x:v>2311</x:v>
      </x:c>
      <x:c r="N744" s="2">
        <x:v>5</x:v>
      </x:c>
      <x:c r="O744" s="2" t="s">
        <x:v>2312</x:v>
      </x:c>
      <x:c r="P744" s="2" t="s">
        <x:v>2313</x:v>
      </x:c>
      <x:c r="Q744" s="2"/>
      <x:c r="R744" s="3">
        <x:v>4</x:v>
      </x:c>
      <x:c r="S744" s="3">
        <x:v>1</x:v>
      </x:c>
      <x:c r="T744" s="2" t="s">
        <x:v>103</x:v>
      </x:c>
      <x:c r="U744" s="2"/>
      <x:c r="V744" s="2"/>
      <x:c r="W744" s="2"/>
      <x:c r="X744" s="3"/>
      <x:c r="Y744" s="3"/>
      <x:c r="Z744" s="2"/>
      <x:c r="AA744" s="2"/>
      <x:c r="AB744" s="2" t="s">
        <x:v>427</x:v>
      </x:c>
      <x:c r="AC744" s="2"/>
      <x:c r="AD744" s="2"/>
      <x:c r="AE744" s="2"/>
      <x:c r="AF744" s="2"/>
      <x:c r="AG744" s="2" t="s">
        <x:v>2314</x:v>
      </x:c>
      <x:c r="AH744" s="2"/>
      <x:c r="AI744" s="4"/>
      <x:c r="AJ744" s="2"/>
      <x:c r="AK744" s="2" t="s">
        <x:v>396</x:v>
      </x:c>
      <x:c r="AL744" s="2" t="s">
        <x:v>1550</x:v>
      </x:c>
      <x:c r="AM744" s="2">
        <x:v>124</x:v>
      </x:c>
      <x:c r="AN744" s="2">
        <x:v>124</x:v>
      </x:c>
    </x:row>
    <x:row r="745" ht="52">
      <x:c r="A745" s="2" t="s">
        <x:v>6</x:v>
      </x:c>
      <x:c r="B745" s="2" t="s">
        <x:v>17</x:v>
      </x:c>
      <x:c r="C745" s="3">
        <x:v>123</x:v>
      </x:c>
      <x:c r="D745" s="2" t="s">
        <x:v>2347</x:v>
      </x:c>
      <x:c r="E745" s="2" t="s">
        <x:v>2344</x:v>
      </x:c>
      <x:c r="F745" s="2" t="s">
        <x:v>344</x:v>
      </x:c>
      <x:c r="G745" s="2"/>
      <x:c r="H745" s="2" t="s">
        <x:v>2307</x:v>
      </x:c>
      <x:c r="I745" s="2" t="s">
        <x:v>2346</x:v>
      </x:c>
      <x:c r="J745" s="2" t="s">
        <x:v>2317</x:v>
      </x:c>
      <x:c r="K745" s="2" t="n">
        <x:v>122</x:v>
      </x:c>
      <x:c r="L745" s="2" t="s">
        <x:v>2318</x:v>
      </x:c>
      <x:c r="M745" s="2" t="s">
        <x:v>2311</x:v>
      </x:c>
      <x:c r="N745" s="2">
        <x:v>5</x:v>
      </x:c>
      <x:c r="O745" s="2" t="s">
        <x:v>2319</x:v>
      </x:c>
      <x:c r="P745" s="2" t="s">
        <x:v>2320</x:v>
      </x:c>
      <x:c r="Q745" s="2"/>
      <x:c r="R745" s="3">
        <x:v>4</x:v>
      </x:c>
      <x:c r="S745" s="3">
        <x:v>1</x:v>
      </x:c>
      <x:c r="T745" s="2" t="s">
        <x:v>103</x:v>
      </x:c>
      <x:c r="U745" s="2"/>
      <x:c r="V745" s="2"/>
      <x:c r="W745" s="2"/>
      <x:c r="X745" s="3"/>
      <x:c r="Y745" s="3"/>
      <x:c r="Z745" s="2"/>
      <x:c r="AA745" s="2"/>
      <x:c r="AB745" s="2" t="s">
        <x:v>415</x:v>
      </x:c>
      <x:c r="AC745" s="2"/>
      <x:c r="AD745" s="2"/>
      <x:c r="AE745" s="2"/>
      <x:c r="AF745" s="2"/>
      <x:c r="AG745" s="2" t="s">
        <x:v>2314</x:v>
      </x:c>
      <x:c r="AH745" s="2"/>
      <x:c r="AI745" s="4"/>
      <x:c r="AJ745" s="2"/>
      <x:c r="AK745" s="2" t="s">
        <x:v>396</x:v>
      </x:c>
      <x:c r="AL745" s="2" t="s">
        <x:v>1550</x:v>
      </x:c>
      <x:c r="AM745" s="2">
        <x:v>125</x:v>
      </x:c>
      <x:c r="AN745" s="2">
        <x:v>125</x:v>
      </x:c>
    </x:row>
    <x:row r="746" ht="39">
      <x:c r="A746" s="2" t="s">
        <x:v>91</x:v>
      </x:c>
      <x:c r="B746" s="2" t="s">
        <x:v>17</x:v>
      </x:c>
      <x:c r="C746" s="3">
        <x:v>124</x:v>
      </x:c>
      <x:c r="D746" s="2" t="s">
        <x:v>2348</x:v>
      </x:c>
      <x:c r="E746" s="2" t="s">
        <x:v>2349</x:v>
      </x:c>
      <x:c r="F746" s="2" t="s">
        <x:v>469</x:v>
      </x:c>
      <x:c r="G746" s="2" t="s">
        <x:v>2350</x:v>
      </x:c>
      <x:c r="H746" s="2" t="s">
        <x:v>2307</x:v>
      </x:c>
      <x:c r="I746" s="2" t="s">
        <x:v>2351</x:v>
      </x:c>
      <x:c r="J746" s="2" t="s">
        <x:v>2352</x:v>
      </x:c>
      <x:c r="K746" s="2"/>
      <x:c r="L746" s="2" t="s">
        <x:v>2353</x:v>
      </x:c>
      <x:c r="M746" s="2" t="s">
        <x:v>2354</x:v>
      </x:c>
      <x:c r="N746" s="2">
        <x:v>5</x:v>
      </x:c>
      <x:c r="O746" s="2" t="s">
        <x:v>2355</x:v>
      </x:c>
      <x:c r="P746" s="2" t="s">
        <x:v>2356</x:v>
      </x:c>
      <x:c r="Q746" s="2"/>
      <x:c r="R746" s="3">
        <x:v>4</x:v>
      </x:c>
      <x:c r="S746" s="3">
        <x:v>1</x:v>
      </x:c>
      <x:c r="T746" s="2" t="s">
        <x:v>103</x:v>
      </x:c>
      <x:c r="U746" s="2"/>
      <x:c r="V746" s="2"/>
      <x:c r="W746" s="2"/>
      <x:c r="X746" s="3"/>
      <x:c r="Y746" s="3"/>
      <x:c r="Z746" s="2"/>
      <x:c r="AA746" s="2"/>
      <x:c r="AB746" s="2" t="s">
        <x:v>394</x:v>
      </x:c>
      <x:c r="AC746" s="2"/>
      <x:c r="AD746" s="2"/>
      <x:c r="AE746" s="2"/>
      <x:c r="AF746" s="2"/>
      <x:c r="AG746" s="2" t="s">
        <x:v>2314</x:v>
      </x:c>
      <x:c r="AH746" s="2"/>
      <x:c r="AI746" s="4"/>
      <x:c r="AJ746" s="2"/>
      <x:c r="AK746" s="2" t="s">
        <x:v>396</x:v>
      </x:c>
      <x:c r="AL746" s="2" t="s">
        <x:v>1550</x:v>
      </x:c>
      <x:c r="AM746" s="2">
        <x:v>126</x:v>
      </x:c>
      <x:c r="AN746" s="2">
        <x:v>126</x:v>
      </x:c>
    </x:row>
    <x:row r="747" ht="39">
      <x:c r="A747" s="2" t="s">
        <x:v>6</x:v>
      </x:c>
      <x:c r="B747" s="2" t="s">
        <x:v>17</x:v>
      </x:c>
      <x:c r="C747" s="3">
        <x:v>125</x:v>
      </x:c>
      <x:c r="D747" s="2" t="s">
        <x:v>2357</x:v>
      </x:c>
      <x:c r="E747" s="2" t="s">
        <x:v>2358</x:v>
      </x:c>
      <x:c r="F747" s="2" t="s">
        <x:v>344</x:v>
      </x:c>
      <x:c r="G747" s="2"/>
      <x:c r="H747" s="2" t="s">
        <x:v>2307</x:v>
      </x:c>
      <x:c r="I747" s="2" t="s">
        <x:v>2359</x:v>
      </x:c>
      <x:c r="J747" s="2" t="s">
        <x:v>2352</x:v>
      </x:c>
      <x:c r="K747" s="2"/>
      <x:c r="L747" s="2" t="s">
        <x:v>2353</x:v>
      </x:c>
      <x:c r="M747" s="2" t="s">
        <x:v>2354</x:v>
      </x:c>
      <x:c r="N747" s="2">
        <x:v>5</x:v>
      </x:c>
      <x:c r="O747" s="2" t="s">
        <x:v>2355</x:v>
      </x:c>
      <x:c r="P747" s="2" t="s">
        <x:v>2356</x:v>
      </x:c>
      <x:c r="Q747" s="2"/>
      <x:c r="R747" s="3">
        <x:v>5</x:v>
      </x:c>
      <x:c r="S747" s="3">
        <x:v>1</x:v>
      </x:c>
      <x:c r="T747" s="2" t="s">
        <x:v>103</x:v>
      </x:c>
      <x:c r="U747" s="2"/>
      <x:c r="V747" s="2"/>
      <x:c r="W747" s="2"/>
      <x:c r="X747" s="3"/>
      <x:c r="Y747" s="3"/>
      <x:c r="Z747" s="2"/>
      <x:c r="AA747" s="2"/>
      <x:c r="AB747" s="2" t="s">
        <x:v>394</x:v>
      </x:c>
      <x:c r="AC747" s="2"/>
      <x:c r="AD747" s="2"/>
      <x:c r="AE747" s="2"/>
      <x:c r="AF747" s="2"/>
      <x:c r="AG747" s="2" t="s">
        <x:v>2314</x:v>
      </x:c>
      <x:c r="AH747" s="2"/>
      <x:c r="AI747" s="4"/>
      <x:c r="AJ747" s="2"/>
      <x:c r="AK747" s="2" t="s">
        <x:v>396</x:v>
      </x:c>
      <x:c r="AL747" s="2" t="s">
        <x:v>1550</x:v>
      </x:c>
      <x:c r="AM747" s="2">
        <x:v>127</x:v>
      </x:c>
      <x:c r="AN747" s="2">
        <x:v>127</x:v>
      </x:c>
    </x:row>
    <x:row r="748" ht="39">
      <x:c r="A748" s="2" t="s">
        <x:v>91</x:v>
      </x:c>
      <x:c r="B748" s="2" t="s">
        <x:v>17</x:v>
      </x:c>
      <x:c r="C748" s="3">
        <x:v>126</x:v>
      </x:c>
      <x:c r="D748" s="2" t="s">
        <x:v>2360</x:v>
      </x:c>
      <x:c r="E748" s="2" t="s">
        <x:v>2361</x:v>
      </x:c>
      <x:c r="F748" s="2" t="s">
        <x:v>469</x:v>
      </x:c>
      <x:c r="G748" s="2" t="s">
        <x:v>2345</x:v>
      </x:c>
      <x:c r="H748" s="2" t="s">
        <x:v>2307</x:v>
      </x:c>
      <x:c r="I748" s="2" t="s">
        <x:v>2362</x:v>
      </x:c>
      <x:c r="J748" s="2" t="s">
        <x:v>2352</x:v>
      </x:c>
      <x:c r="K748" s="2"/>
      <x:c r="L748" s="2" t="s">
        <x:v>2353</x:v>
      </x:c>
      <x:c r="M748" s="2" t="s">
        <x:v>2354</x:v>
      </x:c>
      <x:c r="N748" s="2">
        <x:v>5</x:v>
      </x:c>
      <x:c r="O748" s="2" t="s">
        <x:v>2355</x:v>
      </x:c>
      <x:c r="P748" s="2" t="s">
        <x:v>2356</x:v>
      </x:c>
      <x:c r="Q748" s="2"/>
      <x:c r="R748" s="3">
        <x:v>5</x:v>
      </x:c>
      <x:c r="S748" s="3">
        <x:v>1</x:v>
      </x:c>
      <x:c r="T748" s="2" t="s">
        <x:v>103</x:v>
      </x:c>
      <x:c r="U748" s="2"/>
      <x:c r="V748" s="2"/>
      <x:c r="W748" s="2"/>
      <x:c r="X748" s="3"/>
      <x:c r="Y748" s="3"/>
      <x:c r="Z748" s="2"/>
      <x:c r="AA748" s="2"/>
      <x:c r="AB748" s="2" t="s">
        <x:v>394</x:v>
      </x:c>
      <x:c r="AC748" s="2"/>
      <x:c r="AD748" s="2"/>
      <x:c r="AE748" s="2"/>
      <x:c r="AF748" s="2"/>
      <x:c r="AG748" s="2" t="s">
        <x:v>2314</x:v>
      </x:c>
      <x:c r="AH748" s="2"/>
      <x:c r="AI748" s="4"/>
      <x:c r="AJ748" s="2"/>
      <x:c r="AK748" s="2" t="s">
        <x:v>396</x:v>
      </x:c>
      <x:c r="AL748" s="2" t="s">
        <x:v>1550</x:v>
      </x:c>
      <x:c r="AM748" s="2">
        <x:v>128</x:v>
      </x:c>
      <x:c r="AN748" s="2">
        <x:v>128</x:v>
      </x:c>
    </x:row>
    <x:row r="749" ht="39">
      <x:c r="A749" s="2" t="s">
        <x:v>91</x:v>
      </x:c>
      <x:c r="B749" s="2" t="s">
        <x:v>17</x:v>
      </x:c>
      <x:c r="C749" s="3">
        <x:v>127</x:v>
      </x:c>
      <x:c r="D749" s="2" t="s">
        <x:v>2363</x:v>
      </x:c>
      <x:c r="E749" s="2" t="s">
        <x:v>2364</x:v>
      </x:c>
      <x:c r="F749" s="2" t="s">
        <x:v>344</x:v>
      </x:c>
      <x:c r="G749" s="2" t="s">
        <x:v>2365</x:v>
      </x:c>
      <x:c r="H749" s="2" t="s">
        <x:v>2307</x:v>
      </x:c>
      <x:c r="I749" s="2" t="s">
        <x:v>2366</x:v>
      </x:c>
      <x:c r="J749" s="2" t="s">
        <x:v>2352</x:v>
      </x:c>
      <x:c r="K749" s="2"/>
      <x:c r="L749" s="2" t="s">
        <x:v>2353</x:v>
      </x:c>
      <x:c r="M749" s="2" t="s">
        <x:v>2354</x:v>
      </x:c>
      <x:c r="N749" s="2">
        <x:v>5</x:v>
      </x:c>
      <x:c r="O749" s="2" t="s">
        <x:v>2355</x:v>
      </x:c>
      <x:c r="P749" s="2" t="s">
        <x:v>2356</x:v>
      </x:c>
      <x:c r="Q749" s="2"/>
      <x:c r="R749" s="3">
        <x:v>4</x:v>
      </x:c>
      <x:c r="S749" s="3">
        <x:v>1</x:v>
      </x:c>
      <x:c r="T749" s="2" t="s">
        <x:v>103</x:v>
      </x:c>
      <x:c r="U749" s="2"/>
      <x:c r="V749" s="2"/>
      <x:c r="W749" s="2"/>
      <x:c r="X749" s="3"/>
      <x:c r="Y749" s="3"/>
      <x:c r="Z749" s="2"/>
      <x:c r="AA749" s="2"/>
      <x:c r="AB749" s="2" t="s">
        <x:v>394</x:v>
      </x:c>
      <x:c r="AC749" s="2"/>
      <x:c r="AD749" s="2"/>
      <x:c r="AE749" s="2"/>
      <x:c r="AF749" s="2"/>
      <x:c r="AG749" s="2" t="s">
        <x:v>2314</x:v>
      </x:c>
      <x:c r="AH749" s="2"/>
      <x:c r="AI749" s="4"/>
      <x:c r="AJ749" s="2"/>
      <x:c r="AK749" s="2" t="s">
        <x:v>396</x:v>
      </x:c>
      <x:c r="AL749" s="2" t="s">
        <x:v>1550</x:v>
      </x:c>
      <x:c r="AM749" s="2">
        <x:v>129</x:v>
      </x:c>
      <x:c r="AN749" s="2">
        <x:v>129</x:v>
      </x:c>
    </x:row>
    <x:row r="750" ht="39">
      <x:c r="A750" s="2" t="s">
        <x:v>91</x:v>
      </x:c>
      <x:c r="B750" s="2" t="s">
        <x:v>17</x:v>
      </x:c>
      <x:c r="C750" s="3">
        <x:v>128</x:v>
      </x:c>
      <x:c r="D750" s="2" t="s">
        <x:v>2367</x:v>
      </x:c>
      <x:c r="E750" s="2" t="s">
        <x:v>2368</x:v>
      </x:c>
      <x:c r="F750" s="2" t="s">
        <x:v>469</x:v>
      </x:c>
      <x:c r="G750" s="2" t="s">
        <x:v>2345</x:v>
      </x:c>
      <x:c r="H750" s="2" t="s">
        <x:v>2307</x:v>
      </x:c>
      <x:c r="I750" s="2" t="s">
        <x:v>2369</x:v>
      </x:c>
      <x:c r="J750" s="2" t="s">
        <x:v>2352</x:v>
      </x:c>
      <x:c r="K750" s="2"/>
      <x:c r="L750" s="2" t="s">
        <x:v>2353</x:v>
      </x:c>
      <x:c r="M750" s="2" t="s">
        <x:v>2354</x:v>
      </x:c>
      <x:c r="N750" s="2">
        <x:v>5</x:v>
      </x:c>
      <x:c r="O750" s="2" t="s">
        <x:v>2355</x:v>
      </x:c>
      <x:c r="P750" s="2" t="s">
        <x:v>2356</x:v>
      </x:c>
      <x:c r="Q750" s="2"/>
      <x:c r="R750" s="3">
        <x:v>4</x:v>
      </x:c>
      <x:c r="S750" s="3">
        <x:v>1</x:v>
      </x:c>
      <x:c r="T750" s="2" t="s">
        <x:v>103</x:v>
      </x:c>
      <x:c r="U750" s="2"/>
      <x:c r="V750" s="2"/>
      <x:c r="W750" s="2"/>
      <x:c r="X750" s="3"/>
      <x:c r="Y750" s="3"/>
      <x:c r="Z750" s="2"/>
      <x:c r="AA750" s="2"/>
      <x:c r="AB750" s="2" t="s">
        <x:v>394</x:v>
      </x:c>
      <x:c r="AC750" s="2"/>
      <x:c r="AD750" s="2"/>
      <x:c r="AE750" s="2"/>
      <x:c r="AF750" s="2"/>
      <x:c r="AG750" s="2" t="s">
        <x:v>2314</x:v>
      </x:c>
      <x:c r="AH750" s="2"/>
      <x:c r="AI750" s="4"/>
      <x:c r="AJ750" s="2"/>
      <x:c r="AK750" s="2" t="s">
        <x:v>396</x:v>
      </x:c>
      <x:c r="AL750" s="2" t="s">
        <x:v>1550</x:v>
      </x:c>
      <x:c r="AM750" s="2">
        <x:v>130</x:v>
      </x:c>
      <x:c r="AN750" s="2">
        <x:v>130</x:v>
      </x:c>
    </x:row>
    <x:row r="751" ht="39">
      <x:c r="A751" s="2" t="s">
        <x:v>91</x:v>
      </x:c>
      <x:c r="B751" s="2" t="s">
        <x:v>17</x:v>
      </x:c>
      <x:c r="C751" s="3">
        <x:v>129</x:v>
      </x:c>
      <x:c r="D751" s="2" t="s">
        <x:v>2370</x:v>
      </x:c>
      <x:c r="E751" s="2" t="s">
        <x:v>2371</x:v>
      </x:c>
      <x:c r="F751" s="2" t="s">
        <x:v>344</x:v>
      </x:c>
      <x:c r="G751" s="2" t="s">
        <x:v>1276</x:v>
      </x:c>
      <x:c r="H751" s="2" t="s">
        <x:v>2307</x:v>
      </x:c>
      <x:c r="I751" s="2" t="s">
        <x:v>2372</x:v>
      </x:c>
      <x:c r="J751" s="2" t="s">
        <x:v>2352</x:v>
      </x:c>
      <x:c r="K751" s="2"/>
      <x:c r="L751" s="2" t="s">
        <x:v>2353</x:v>
      </x:c>
      <x:c r="M751" s="2" t="s">
        <x:v>2354</x:v>
      </x:c>
      <x:c r="N751" s="2">
        <x:v>5</x:v>
      </x:c>
      <x:c r="O751" s="2" t="s">
        <x:v>2355</x:v>
      </x:c>
      <x:c r="P751" s="2" t="s">
        <x:v>2356</x:v>
      </x:c>
      <x:c r="Q751" s="2"/>
      <x:c r="R751" s="3">
        <x:v>5</x:v>
      </x:c>
      <x:c r="S751" s="3">
        <x:v>1</x:v>
      </x:c>
      <x:c r="T751" s="2" t="s">
        <x:v>103</x:v>
      </x:c>
      <x:c r="U751" s="2"/>
      <x:c r="V751" s="2"/>
      <x:c r="W751" s="2"/>
      <x:c r="X751" s="3"/>
      <x:c r="Y751" s="3"/>
      <x:c r="Z751" s="2"/>
      <x:c r="AA751" s="2"/>
      <x:c r="AB751" s="2" t="s">
        <x:v>394</x:v>
      </x:c>
      <x:c r="AC751" s="2"/>
      <x:c r="AD751" s="2"/>
      <x:c r="AE751" s="2"/>
      <x:c r="AF751" s="2"/>
      <x:c r="AG751" s="2" t="s">
        <x:v>2314</x:v>
      </x:c>
      <x:c r="AH751" s="2"/>
      <x:c r="AI751" s="4"/>
      <x:c r="AJ751" s="2"/>
      <x:c r="AK751" s="2" t="s">
        <x:v>396</x:v>
      </x:c>
      <x:c r="AL751" s="2" t="s">
        <x:v>1550</x:v>
      </x:c>
      <x:c r="AM751" s="2">
        <x:v>131</x:v>
      </x:c>
      <x:c r="AN751" s="2">
        <x:v>131</x:v>
      </x:c>
    </x:row>
    <x:row r="752" ht="52">
      <x:c r="A752" s="2" t="s">
        <x:v>91</x:v>
      </x:c>
      <x:c r="B752" s="2" t="s">
        <x:v>17</x:v>
      </x:c>
      <x:c r="C752" s="3">
        <x:v>130</x:v>
      </x:c>
      <x:c r="D752" s="2" t="s">
        <x:v>2373</x:v>
      </x:c>
      <x:c r="E752" s="2" t="s">
        <x:v>2374</x:v>
      </x:c>
      <x:c r="F752" s="2" t="s">
        <x:v>2375</x:v>
      </x:c>
      <x:c r="G752" s="2" t="s">
        <x:v>2376</x:v>
      </x:c>
      <x:c r="H752" s="2" t="s">
        <x:v>2377</x:v>
      </x:c>
      <x:c r="I752" s="2" t="s">
        <x:v>2378</x:v>
      </x:c>
      <x:c r="J752" s="2" t="s">
        <x:v>2379</x:v>
      </x:c>
      <x:c r="K752" s="2"/>
      <x:c r="L752" s="2" t="s">
        <x:v>390</x:v>
      </x:c>
      <x:c r="M752" s="2" t="s">
        <x:v>2380</x:v>
      </x:c>
      <x:c r="N752" s="2">
        <x:v>6</x:v>
      </x:c>
      <x:c r="O752" s="2" t="s">
        <x:v>2381</x:v>
      </x:c>
      <x:c r="P752" s="2" t="s">
        <x:v>2382</x:v>
      </x:c>
      <x:c r="Q752" s="2"/>
      <x:c r="R752" s="3">
        <x:v>4</x:v>
      </x:c>
      <x:c r="S752" s="3">
        <x:v>0</x:v>
      </x:c>
      <x:c r="T752" s="2" t="s">
        <x:v>103</x:v>
      </x:c>
      <x:c r="U752" s="2"/>
      <x:c r="V752" s="2"/>
      <x:c r="W752" s="2"/>
      <x:c r="X752" s="3"/>
      <x:c r="Y752" s="3"/>
      <x:c r="Z752" s="2"/>
      <x:c r="AA752" s="2"/>
      <x:c r="AB752" s="2" t="s">
        <x:v>394</x:v>
      </x:c>
      <x:c r="AC752" s="2"/>
      <x:c r="AD752" s="2"/>
      <x:c r="AE752" s="2"/>
      <x:c r="AF752" s="2"/>
      <x:c r="AG752" s="2" t="s">
        <x:v>395</x:v>
      </x:c>
      <x:c r="AH752" s="2"/>
      <x:c r="AI752" s="4"/>
      <x:c r="AJ752" s="2"/>
      <x:c r="AK752" s="2" t="s">
        <x:v>396</x:v>
      </x:c>
      <x:c r="AL752" s="2" t="s">
        <x:v>1550</x:v>
      </x:c>
      <x:c r="AM752" s="2">
        <x:v>132</x:v>
      </x:c>
      <x:c r="AN752" s="2">
        <x:v>132</x:v>
      </x:c>
    </x:row>
    <x:row r="753" ht="52">
      <x:c r="A753" s="2" t="s">
        <x:v>91</x:v>
      </x:c>
      <x:c r="B753" s="2" t="s">
        <x:v>17</x:v>
      </x:c>
      <x:c r="C753" s="3">
        <x:v>131</x:v>
      </x:c>
      <x:c r="D753" s="2" t="s">
        <x:v>2383</x:v>
      </x:c>
      <x:c r="E753" s="2" t="s">
        <x:v>2384</x:v>
      </x:c>
      <x:c r="F753" s="2" t="s">
        <x:v>2385</x:v>
      </x:c>
      <x:c r="G753" s="2" t="s">
        <x:v>2386</x:v>
      </x:c>
      <x:c r="H753" s="2" t="s">
        <x:v>2377</x:v>
      </x:c>
      <x:c r="I753" s="2" t="s">
        <x:v>2387</x:v>
      </x:c>
      <x:c r="J753" s="2" t="s">
        <x:v>2379</x:v>
      </x:c>
      <x:c r="K753" s="2"/>
      <x:c r="L753" s="2" t="s">
        <x:v>426</x:v>
      </x:c>
      <x:c r="M753" s="2" t="s">
        <x:v>2380</x:v>
      </x:c>
      <x:c r="N753" s="2">
        <x:v>6</x:v>
      </x:c>
      <x:c r="O753" s="2" t="s">
        <x:v>2381</x:v>
      </x:c>
      <x:c r="P753" s="2" t="s">
        <x:v>2382</x:v>
      </x:c>
      <x:c r="Q753" s="2"/>
      <x:c r="R753" s="3">
        <x:v>3</x:v>
      </x:c>
      <x:c r="S753" s="3">
        <x:v>0</x:v>
      </x:c>
      <x:c r="T753" s="2" t="s">
        <x:v>103</x:v>
      </x:c>
      <x:c r="U753" s="2"/>
      <x:c r="V753" s="2"/>
      <x:c r="W753" s="2"/>
      <x:c r="X753" s="3"/>
      <x:c r="Y753" s="3"/>
      <x:c r="Z753" s="2"/>
      <x:c r="AA753" s="2"/>
      <x:c r="AB753" s="2" t="s">
        <x:v>427</x:v>
      </x:c>
      <x:c r="AC753" s="2"/>
      <x:c r="AD753" s="2"/>
      <x:c r="AE753" s="2"/>
      <x:c r="AF753" s="2"/>
      <x:c r="AG753" s="2" t="s">
        <x:v>428</x:v>
      </x:c>
      <x:c r="AH753" s="2"/>
      <x:c r="AI753" s="4"/>
      <x:c r="AJ753" s="2"/>
      <x:c r="AK753" s="2" t="s">
        <x:v>396</x:v>
      </x:c>
      <x:c r="AL753" s="2" t="s">
        <x:v>1550</x:v>
      </x:c>
      <x:c r="AM753" s="2">
        <x:v>133</x:v>
      </x:c>
      <x:c r="AN753" s="2">
        <x:v>133</x:v>
      </x:c>
    </x:row>
    <x:row r="754" ht="52">
      <x:c r="A754" s="2" t="s">
        <x:v>91</x:v>
      </x:c>
      <x:c r="B754" s="2" t="s">
        <x:v>17</x:v>
      </x:c>
      <x:c r="C754" s="3">
        <x:v>132</x:v>
      </x:c>
      <x:c r="D754" s="2" t="s">
        <x:v>2032</x:v>
      </x:c>
      <x:c r="E754" s="2" t="s">
        <x:v>2388</x:v>
      </x:c>
      <x:c r="F754" s="2" t="s">
        <x:v>2389</x:v>
      </x:c>
      <x:c r="G754" s="2" t="s">
        <x:v>2390</x:v>
      </x:c>
      <x:c r="H754" s="2" t="s">
        <x:v>2377</x:v>
      </x:c>
      <x:c r="I754" s="2" t="s">
        <x:v>2391</x:v>
      </x:c>
      <x:c r="J754" s="2" t="s">
        <x:v>2379</x:v>
      </x:c>
      <x:c r="K754" s="2"/>
      <x:c r="L754" s="2" t="s">
        <x:v>2040</x:v>
      </x:c>
      <x:c r="M754" s="2" t="s">
        <x:v>2380</x:v>
      </x:c>
      <x:c r="N754" s="2">
        <x:v>6</x:v>
      </x:c>
      <x:c r="O754" s="2" t="s">
        <x:v>2381</x:v>
      </x:c>
      <x:c r="P754" s="2" t="s">
        <x:v>2382</x:v>
      </x:c>
      <x:c r="Q754" s="2"/>
      <x:c r="R754" s="3">
        <x:v>4</x:v>
      </x:c>
      <x:c r="S754" s="3">
        <x:v>0</x:v>
      </x:c>
      <x:c r="T754" s="2" t="s">
        <x:v>103</x:v>
      </x:c>
      <x:c r="U754" s="2"/>
      <x:c r="V754" s="2"/>
      <x:c r="W754" s="2"/>
      <x:c r="X754" s="3"/>
      <x:c r="Y754" s="3"/>
      <x:c r="Z754" s="2"/>
      <x:c r="AA754" s="2"/>
      <x:c r="AB754" s="2" t="s">
        <x:v>427</x:v>
      </x:c>
      <x:c r="AC754" s="2"/>
      <x:c r="AD754" s="2"/>
      <x:c r="AE754" s="2"/>
      <x:c r="AF754" s="2"/>
      <x:c r="AG754" s="2" t="s">
        <x:v>2036</x:v>
      </x:c>
      <x:c r="AH754" s="2"/>
      <x:c r="AI754" s="4"/>
      <x:c r="AJ754" s="2"/>
      <x:c r="AK754" s="2" t="s">
        <x:v>396</x:v>
      </x:c>
      <x:c r="AL754" s="2" t="s">
        <x:v>1550</x:v>
      </x:c>
      <x:c r="AM754" s="2">
        <x:v>134</x:v>
      </x:c>
      <x:c r="AN754" s="2">
        <x:v>134</x:v>
      </x:c>
    </x:row>
    <x:row r="755" ht="52">
      <x:c r="A755" s="2" t="s">
        <x:v>91</x:v>
      </x:c>
      <x:c r="B755" s="2" t="s">
        <x:v>17</x:v>
      </x:c>
      <x:c r="C755" s="3">
        <x:v>133</x:v>
      </x:c>
      <x:c r="D755" s="2" t="s">
        <x:v>2069</x:v>
      </x:c>
      <x:c r="E755" s="2" t="s">
        <x:v>2392</x:v>
      </x:c>
      <x:c r="F755" s="2" t="s">
        <x:v>2393</x:v>
      </x:c>
      <x:c r="G755" s="2" t="s">
        <x:v>2394</x:v>
      </x:c>
      <x:c r="H755" s="2" t="s">
        <x:v>2377</x:v>
      </x:c>
      <x:c r="I755" s="2" t="s">
        <x:v>2395</x:v>
      </x:c>
      <x:c r="J755" s="2" t="s">
        <x:v>2379</x:v>
      </x:c>
      <x:c r="K755" s="2"/>
      <x:c r="L755" s="2" t="s">
        <x:v>2068</x:v>
      </x:c>
      <x:c r="M755" s="2" t="s">
        <x:v>2380</x:v>
      </x:c>
      <x:c r="N755" s="2">
        <x:v>6</x:v>
      </x:c>
      <x:c r="O755" s="2" t="s">
        <x:v>2381</x:v>
      </x:c>
      <x:c r="P755" s="2" t="s">
        <x:v>2382</x:v>
      </x:c>
      <x:c r="Q755" s="2"/>
      <x:c r="R755" s="3">
        <x:v>3</x:v>
      </x:c>
      <x:c r="S755" s="3">
        <x:v>0</x:v>
      </x:c>
      <x:c r="T755" s="2" t="s">
        <x:v>103</x:v>
      </x:c>
      <x:c r="U755" s="2"/>
      <x:c r="V755" s="2"/>
      <x:c r="W755" s="2"/>
      <x:c r="X755" s="3"/>
      <x:c r="Y755" s="3"/>
      <x:c r="Z755" s="2"/>
      <x:c r="AA755" s="2"/>
      <x:c r="AB755" s="2" t="s">
        <x:v>415</x:v>
      </x:c>
      <x:c r="AC755" s="2"/>
      <x:c r="AD755" s="2"/>
      <x:c r="AE755" s="2"/>
      <x:c r="AF755" s="2"/>
      <x:c r="AG755" s="2" t="s">
        <x:v>2060</x:v>
      </x:c>
      <x:c r="AH755" s="2"/>
      <x:c r="AI755" s="4"/>
      <x:c r="AJ755" s="2"/>
      <x:c r="AK755" s="2" t="s">
        <x:v>396</x:v>
      </x:c>
      <x:c r="AL755" s="2" t="s">
        <x:v>1550</x:v>
      </x:c>
      <x:c r="AM755" s="2">
        <x:v>135</x:v>
      </x:c>
      <x:c r="AN755" s="2">
        <x:v>135</x:v>
      </x:c>
    </x:row>
    <x:row r="756" ht="52">
      <x:c r="A756" s="2" t="s">
        <x:v>91</x:v>
      </x:c>
      <x:c r="B756" s="2" t="s">
        <x:v>17</x:v>
      </x:c>
      <x:c r="C756" s="3">
        <x:v>134</x:v>
      </x:c>
      <x:c r="D756" s="2" t="s">
        <x:v>2396</x:v>
      </x:c>
      <x:c r="E756" s="2" t="s">
        <x:v>2397</x:v>
      </x:c>
      <x:c r="F756" s="2" t="s">
        <x:v>2375</x:v>
      </x:c>
      <x:c r="G756" s="2" t="s">
        <x:v>2398</x:v>
      </x:c>
      <x:c r="H756" s="2" t="s">
        <x:v>2377</x:v>
      </x:c>
      <x:c r="I756" s="2" t="s">
        <x:v>2399</x:v>
      </x:c>
      <x:c r="J756" s="2" t="s">
        <x:v>2379</x:v>
      </x:c>
      <x:c r="K756" s="2"/>
      <x:c r="L756" s="2" t="s">
        <x:v>413</x:v>
      </x:c>
      <x:c r="M756" s="2" t="s">
        <x:v>2380</x:v>
      </x:c>
      <x:c r="N756" s="2">
        <x:v>6</x:v>
      </x:c>
      <x:c r="O756" s="2" t="s">
        <x:v>2381</x:v>
      </x:c>
      <x:c r="P756" s="2" t="s">
        <x:v>2382</x:v>
      </x:c>
      <x:c r="Q756" s="2"/>
      <x:c r="R756" s="3">
        <x:v>4</x:v>
      </x:c>
      <x:c r="S756" s="3">
        <x:v>0</x:v>
      </x:c>
      <x:c r="T756" s="2" t="s">
        <x:v>103</x:v>
      </x:c>
      <x:c r="U756" s="2"/>
      <x:c r="V756" s="2"/>
      <x:c r="W756" s="2"/>
      <x:c r="X756" s="3"/>
      <x:c r="Y756" s="3"/>
      <x:c r="Z756" s="2"/>
      <x:c r="AA756" s="2"/>
      <x:c r="AB756" s="2" t="s">
        <x:v>415</x:v>
      </x:c>
      <x:c r="AC756" s="2"/>
      <x:c r="AD756" s="2"/>
      <x:c r="AE756" s="2"/>
      <x:c r="AF756" s="2"/>
      <x:c r="AG756" s="2" t="s">
        <x:v>395</x:v>
      </x:c>
      <x:c r="AH756" s="2"/>
      <x:c r="AI756" s="4"/>
      <x:c r="AJ756" s="2"/>
      <x:c r="AK756" s="2" t="s">
        <x:v>396</x:v>
      </x:c>
      <x:c r="AL756" s="2" t="s">
        <x:v>1550</x:v>
      </x:c>
      <x:c r="AM756" s="2">
        <x:v>136</x:v>
      </x:c>
      <x:c r="AN756" s="2">
        <x:v>136</x:v>
      </x:c>
    </x:row>
    <x:row r="757" ht="52">
      <x:c r="A757" s="2" t="s">
        <x:v>91</x:v>
      </x:c>
      <x:c r="B757" s="2" t="s">
        <x:v>17</x:v>
      </x:c>
      <x:c r="C757" s="3">
        <x:v>135</x:v>
      </x:c>
      <x:c r="D757" s="2" t="s">
        <x:v>2400</x:v>
      </x:c>
      <x:c r="E757" s="2" t="s">
        <x:v>2401</x:v>
      </x:c>
      <x:c r="F757" s="2" t="s">
        <x:v>2385</x:v>
      </x:c>
      <x:c r="G757" s="2" t="s">
        <x:v>2402</x:v>
      </x:c>
      <x:c r="H757" s="2" t="s">
        <x:v>2377</x:v>
      </x:c>
      <x:c r="I757" s="2" t="s">
        <x:v>2403</x:v>
      </x:c>
      <x:c r="J757" s="2" t="s">
        <x:v>2379</x:v>
      </x:c>
      <x:c r="K757" s="2"/>
      <x:c r="L757" s="2" t="s">
        <x:v>448</x:v>
      </x:c>
      <x:c r="M757" s="2" t="s">
        <x:v>2380</x:v>
      </x:c>
      <x:c r="N757" s="2">
        <x:v>6</x:v>
      </x:c>
      <x:c r="O757" s="2" t="s">
        <x:v>2381</x:v>
      </x:c>
      <x:c r="P757" s="2" t="s">
        <x:v>2382</x:v>
      </x:c>
      <x:c r="Q757" s="2"/>
      <x:c r="R757" s="3">
        <x:v>3</x:v>
      </x:c>
      <x:c r="S757" s="3">
        <x:v>0</x:v>
      </x:c>
      <x:c r="T757" s="2" t="s">
        <x:v>103</x:v>
      </x:c>
      <x:c r="U757" s="2"/>
      <x:c r="V757" s="2"/>
      <x:c r="W757" s="2"/>
      <x:c r="X757" s="3"/>
      <x:c r="Y757" s="3"/>
      <x:c r="Z757" s="2"/>
      <x:c r="AA757" s="2"/>
      <x:c r="AB757" s="2" t="s">
        <x:v>415</x:v>
      </x:c>
      <x:c r="AC757" s="2"/>
      <x:c r="AD757" s="2"/>
      <x:c r="AE757" s="2"/>
      <x:c r="AF757" s="2"/>
      <x:c r="AG757" s="2" t="s">
        <x:v>428</x:v>
      </x:c>
      <x:c r="AH757" s="2"/>
      <x:c r="AI757" s="4"/>
      <x:c r="AJ757" s="2"/>
      <x:c r="AK757" s="2" t="s">
        <x:v>396</x:v>
      </x:c>
      <x:c r="AL757" s="2" t="s">
        <x:v>1550</x:v>
      </x:c>
      <x:c r="AM757" s="2">
        <x:v>137</x:v>
      </x:c>
      <x:c r="AN757" s="2">
        <x:v>137</x:v>
      </x:c>
    </x:row>
    <x:row r="758" ht="52">
      <x:c r="A758" s="2" t="s">
        <x:v>91</x:v>
      </x:c>
      <x:c r="B758" s="2" t="s">
        <x:v>17</x:v>
      </x:c>
      <x:c r="C758" s="3">
        <x:v>136</x:v>
      </x:c>
      <x:c r="D758" s="2" t="s">
        <x:v>2404</x:v>
      </x:c>
      <x:c r="E758" s="2" t="s">
        <x:v>2405</x:v>
      </x:c>
      <x:c r="F758" s="2" t="s">
        <x:v>2389</x:v>
      </x:c>
      <x:c r="G758" s="2" t="s">
        <x:v>2123</x:v>
      </x:c>
      <x:c r="H758" s="2" t="s">
        <x:v>2377</x:v>
      </x:c>
      <x:c r="I758" s="2" t="s">
        <x:v>2406</x:v>
      </x:c>
      <x:c r="J758" s="2" t="s">
        <x:v>2379</x:v>
      </x:c>
      <x:c r="K758" s="2"/>
      <x:c r="L758" s="2" t="s">
        <x:v>2407</x:v>
      </x:c>
      <x:c r="M758" s="2" t="s">
        <x:v>2380</x:v>
      </x:c>
      <x:c r="N758" s="2">
        <x:v>6</x:v>
      </x:c>
      <x:c r="O758" s="2" t="s">
        <x:v>2381</x:v>
      </x:c>
      <x:c r="P758" s="2" t="s">
        <x:v>2382</x:v>
      </x:c>
      <x:c r="Q758" s="2"/>
      <x:c r="R758" s="3">
        <x:v>5</x:v>
      </x:c>
      <x:c r="S758" s="3">
        <x:v>0</x:v>
      </x:c>
      <x:c r="T758" s="2" t="s">
        <x:v>103</x:v>
      </x:c>
      <x:c r="U758" s="2"/>
      <x:c r="V758" s="2"/>
      <x:c r="W758" s="2"/>
      <x:c r="X758" s="3"/>
      <x:c r="Y758" s="3"/>
      <x:c r="Z758" s="2"/>
      <x:c r="AA758" s="2"/>
      <x:c r="AB758" s="2" t="s">
        <x:v>394</x:v>
      </x:c>
      <x:c r="AC758" s="2"/>
      <x:c r="AD758" s="2"/>
      <x:c r="AE758" s="2"/>
      <x:c r="AF758" s="2"/>
      <x:c r="AG758" s="2" t="s">
        <x:v>2036</x:v>
      </x:c>
      <x:c r="AH758" s="2"/>
      <x:c r="AI758" s="4"/>
      <x:c r="AJ758" s="2"/>
      <x:c r="AK758" s="2" t="s">
        <x:v>396</x:v>
      </x:c>
      <x:c r="AL758" s="2" t="s">
        <x:v>1550</x:v>
      </x:c>
      <x:c r="AM758" s="2">
        <x:v>138</x:v>
      </x:c>
      <x:c r="AN758" s="2">
        <x:v>138</x:v>
      </x:c>
    </x:row>
    <x:row r="759" ht="52">
      <x:c r="A759" s="2" t="s">
        <x:v>91</x:v>
      </x:c>
      <x:c r="B759" s="2" t="s">
        <x:v>17</x:v>
      </x:c>
      <x:c r="C759" s="3">
        <x:v>137</x:v>
      </x:c>
      <x:c r="D759" s="2" t="s">
        <x:v>2408</x:v>
      </x:c>
      <x:c r="E759" s="2" t="s">
        <x:v>2409</x:v>
      </x:c>
      <x:c r="F759" s="2" t="s">
        <x:v>2393</x:v>
      </x:c>
      <x:c r="G759" s="2" t="s">
        <x:v>2326</x:v>
      </x:c>
      <x:c r="H759" s="2" t="s">
        <x:v>2377</x:v>
      </x:c>
      <x:c r="I759" s="2" t="s">
        <x:v>2410</x:v>
      </x:c>
      <x:c r="J759" s="2" t="s">
        <x:v>2379</x:v>
      </x:c>
      <x:c r="K759" s="2"/>
      <x:c r="L759" s="2" t="s">
        <x:v>2411</x:v>
      </x:c>
      <x:c r="M759" s="2" t="s">
        <x:v>2380</x:v>
      </x:c>
      <x:c r="N759" s="2">
        <x:v>6</x:v>
      </x:c>
      <x:c r="O759" s="2" t="s">
        <x:v>2381</x:v>
      </x:c>
      <x:c r="P759" s="2" t="s">
        <x:v>2382</x:v>
      </x:c>
      <x:c r="Q759" s="2"/>
      <x:c r="R759" s="3">
        <x:v>3</x:v>
      </x:c>
      <x:c r="S759" s="3">
        <x:v>0</x:v>
      </x:c>
      <x:c r="T759" s="2" t="s">
        <x:v>103</x:v>
      </x:c>
      <x:c r="U759" s="2"/>
      <x:c r="V759" s="2"/>
      <x:c r="W759" s="2"/>
      <x:c r="X759" s="3"/>
      <x:c r="Y759" s="3"/>
      <x:c r="Z759" s="2"/>
      <x:c r="AA759" s="2"/>
      <x:c r="AB759" s="2" t="s">
        <x:v>427</x:v>
      </x:c>
      <x:c r="AC759" s="2"/>
      <x:c r="AD759" s="2"/>
      <x:c r="AE759" s="2"/>
      <x:c r="AF759" s="2"/>
      <x:c r="AG759" s="2" t="s">
        <x:v>2060</x:v>
      </x:c>
      <x:c r="AH759" s="2"/>
      <x:c r="AI759" s="4"/>
      <x:c r="AJ759" s="2"/>
      <x:c r="AK759" s="2" t="s">
        <x:v>396</x:v>
      </x:c>
      <x:c r="AL759" s="2" t="s">
        <x:v>1550</x:v>
      </x:c>
      <x:c r="AM759" s="2">
        <x:v>139</x:v>
      </x:c>
      <x:c r="AN759" s="2">
        <x:v>139</x:v>
      </x:c>
    </x:row>
    <x:row r="760" ht="52">
      <x:c r="A760" s="2" t="s">
        <x:v>91</x:v>
      </x:c>
      <x:c r="B760" s="2" t="s">
        <x:v>17</x:v>
      </x:c>
      <x:c r="C760" s="3">
        <x:v>138</x:v>
      </x:c>
      <x:c r="D760" s="2" t="s">
        <x:v>2412</x:v>
      </x:c>
      <x:c r="E760" s="2" t="s">
        <x:v>2413</x:v>
      </x:c>
      <x:c r="F760" s="2" t="s">
        <x:v>2375</x:v>
      </x:c>
      <x:c r="G760" s="2" t="s">
        <x:v>1280</x:v>
      </x:c>
      <x:c r="H760" s="2" t="s">
        <x:v>2377</x:v>
      </x:c>
      <x:c r="I760" s="2" t="s">
        <x:v>2414</x:v>
      </x:c>
      <x:c r="J760" s="2" t="s">
        <x:v>2379</x:v>
      </x:c>
      <x:c r="K760" s="2"/>
      <x:c r="L760" s="2" t="s">
        <x:v>407</x:v>
      </x:c>
      <x:c r="M760" s="2" t="s">
        <x:v>2380</x:v>
      </x:c>
      <x:c r="N760" s="2">
        <x:v>6</x:v>
      </x:c>
      <x:c r="O760" s="2" t="s">
        <x:v>2381</x:v>
      </x:c>
      <x:c r="P760" s="2" t="s">
        <x:v>2382</x:v>
      </x:c>
      <x:c r="Q760" s="2"/>
      <x:c r="R760" s="3">
        <x:v>4</x:v>
      </x:c>
      <x:c r="S760" s="3">
        <x:v>0</x:v>
      </x:c>
      <x:c r="T760" s="2" t="s">
        <x:v>103</x:v>
      </x:c>
      <x:c r="U760" s="2"/>
      <x:c r="V760" s="2"/>
      <x:c r="W760" s="2"/>
      <x:c r="X760" s="3"/>
      <x:c r="Y760" s="3"/>
      <x:c r="Z760" s="2"/>
      <x:c r="AA760" s="2"/>
      <x:c r="AB760" s="2" t="s">
        <x:v>394</x:v>
      </x:c>
      <x:c r="AC760" s="2"/>
      <x:c r="AD760" s="2"/>
      <x:c r="AE760" s="2"/>
      <x:c r="AF760" s="2"/>
      <x:c r="AG760" s="2" t="s">
        <x:v>395</x:v>
      </x:c>
      <x:c r="AH760" s="2"/>
      <x:c r="AI760" s="4"/>
      <x:c r="AJ760" s="2"/>
      <x:c r="AK760" s="2" t="s">
        <x:v>396</x:v>
      </x:c>
      <x:c r="AL760" s="2" t="s">
        <x:v>1550</x:v>
      </x:c>
      <x:c r="AM760" s="2">
        <x:v>140</x:v>
      </x:c>
      <x:c r="AN760" s="2">
        <x:v>140</x:v>
      </x:c>
    </x:row>
    <x:row r="761" ht="52">
      <x:c r="A761" s="2" t="s">
        <x:v>91</x:v>
      </x:c>
      <x:c r="B761" s="2" t="s">
        <x:v>17</x:v>
      </x:c>
      <x:c r="C761" s="3">
        <x:v>139</x:v>
      </x:c>
      <x:c r="D761" s="2" t="s">
        <x:v>2415</x:v>
      </x:c>
      <x:c r="E761" s="2" t="s">
        <x:v>2416</x:v>
      </x:c>
      <x:c r="F761" s="2" t="s">
        <x:v>2385</x:v>
      </x:c>
      <x:c r="G761" s="2" t="s">
        <x:v>1276</x:v>
      </x:c>
      <x:c r="H761" s="2" t="s">
        <x:v>2377</x:v>
      </x:c>
      <x:c r="I761" s="2" t="s">
        <x:v>2417</x:v>
      </x:c>
      <x:c r="J761" s="2" t="s">
        <x:v>2379</x:v>
      </x:c>
      <x:c r="K761" s="2"/>
      <x:c r="L761" s="2" t="s">
        <x:v>434</x:v>
      </x:c>
      <x:c r="M761" s="2" t="s">
        <x:v>2380</x:v>
      </x:c>
      <x:c r="N761" s="2">
        <x:v>6</x:v>
      </x:c>
      <x:c r="O761" s="2" t="s">
        <x:v>2381</x:v>
      </x:c>
      <x:c r="P761" s="2" t="s">
        <x:v>2382</x:v>
      </x:c>
      <x:c r="Q761" s="2"/>
      <x:c r="R761" s="3">
        <x:v>4</x:v>
      </x:c>
      <x:c r="S761" s="3">
        <x:v>0</x:v>
      </x:c>
      <x:c r="T761" s="2" t="s">
        <x:v>103</x:v>
      </x:c>
      <x:c r="U761" s="2"/>
      <x:c r="V761" s="2"/>
      <x:c r="W761" s="2"/>
      <x:c r="X761" s="3"/>
      <x:c r="Y761" s="3"/>
      <x:c r="Z761" s="2"/>
      <x:c r="AA761" s="2"/>
      <x:c r="AB761" s="2" t="s">
        <x:v>427</x:v>
      </x:c>
      <x:c r="AC761" s="2"/>
      <x:c r="AD761" s="2"/>
      <x:c r="AE761" s="2"/>
      <x:c r="AF761" s="2"/>
      <x:c r="AG761" s="2" t="s">
        <x:v>428</x:v>
      </x:c>
      <x:c r="AH761" s="2"/>
      <x:c r="AI761" s="4"/>
      <x:c r="AJ761" s="2"/>
      <x:c r="AK761" s="2" t="s">
        <x:v>396</x:v>
      </x:c>
      <x:c r="AL761" s="2" t="s">
        <x:v>1550</x:v>
      </x:c>
      <x:c r="AM761" s="2">
        <x:v>141</x:v>
      </x:c>
      <x:c r="AN761" s="2">
        <x:v>141</x:v>
      </x:c>
    </x:row>
    <x:row r="762" ht="52">
      <x:c r="A762" s="2" t="s">
        <x:v>91</x:v>
      </x:c>
      <x:c r="B762" s="2" t="s">
        <x:v>17</x:v>
      </x:c>
      <x:c r="C762" s="3">
        <x:v>140</x:v>
      </x:c>
      <x:c r="D762" s="2" t="s">
        <x:v>2418</x:v>
      </x:c>
      <x:c r="E762" s="2" t="s">
        <x:v>2419</x:v>
      </x:c>
      <x:c r="F762" s="2" t="s">
        <x:v>2389</x:v>
      </x:c>
      <x:c r="G762" s="2" t="s">
        <x:v>2326</x:v>
      </x:c>
      <x:c r="H762" s="2" t="s">
        <x:v>2377</x:v>
      </x:c>
      <x:c r="I762" s="2" t="s">
        <x:v>2420</x:v>
      </x:c>
      <x:c r="J762" s="2" t="s">
        <x:v>2379</x:v>
      </x:c>
      <x:c r="K762" s="2"/>
      <x:c r="L762" s="2" t="s">
        <x:v>2421</x:v>
      </x:c>
      <x:c r="M762" s="2" t="s">
        <x:v>2380</x:v>
      </x:c>
      <x:c r="N762" s="2">
        <x:v>6</x:v>
      </x:c>
      <x:c r="O762" s="2" t="s">
        <x:v>2381</x:v>
      </x:c>
      <x:c r="P762" s="2" t="s">
        <x:v>2382</x:v>
      </x:c>
      <x:c r="Q762" s="2"/>
      <x:c r="R762" s="3">
        <x:v>5</x:v>
      </x:c>
      <x:c r="S762" s="3">
        <x:v>0</x:v>
      </x:c>
      <x:c r="T762" s="2" t="s">
        <x:v>103</x:v>
      </x:c>
      <x:c r="U762" s="2"/>
      <x:c r="V762" s="2"/>
      <x:c r="W762" s="2"/>
      <x:c r="X762" s="3"/>
      <x:c r="Y762" s="3"/>
      <x:c r="Z762" s="2"/>
      <x:c r="AA762" s="2"/>
      <x:c r="AB762" s="2" t="s">
        <x:v>394</x:v>
      </x:c>
      <x:c r="AC762" s="2"/>
      <x:c r="AD762" s="2"/>
      <x:c r="AE762" s="2"/>
      <x:c r="AF762" s="2"/>
      <x:c r="AG762" s="2" t="s">
        <x:v>2036</x:v>
      </x:c>
      <x:c r="AH762" s="2"/>
      <x:c r="AI762" s="4"/>
      <x:c r="AJ762" s="2"/>
      <x:c r="AK762" s="2" t="s">
        <x:v>396</x:v>
      </x:c>
      <x:c r="AL762" s="2" t="s">
        <x:v>1550</x:v>
      </x:c>
      <x:c r="AM762" s="2">
        <x:v>142</x:v>
      </x:c>
      <x:c r="AN762" s="2">
        <x:v>142</x:v>
      </x:c>
    </x:row>
    <x:row r="763" ht="52">
      <x:c r="A763" s="2" t="s">
        <x:v>91</x:v>
      </x:c>
      <x:c r="B763" s="2" t="s">
        <x:v>17</x:v>
      </x:c>
      <x:c r="C763" s="3">
        <x:v>141</x:v>
      </x:c>
      <x:c r="D763" s="2" t="s">
        <x:v>2422</x:v>
      </x:c>
      <x:c r="E763" s="2" t="s">
        <x:v>2423</x:v>
      </x:c>
      <x:c r="F763" s="2" t="s">
        <x:v>2393</x:v>
      </x:c>
      <x:c r="G763" s="2" t="s">
        <x:v>2424</x:v>
      </x:c>
      <x:c r="H763" s="2" t="s">
        <x:v>2377</x:v>
      </x:c>
      <x:c r="I763" s="2" t="s">
        <x:v>2425</x:v>
      </x:c>
      <x:c r="J763" s="2" t="s">
        <x:v>2379</x:v>
      </x:c>
      <x:c r="K763" s="2"/>
      <x:c r="L763" s="2" t="s">
        <x:v>2072</x:v>
      </x:c>
      <x:c r="M763" s="2" t="s">
        <x:v>2380</x:v>
      </x:c>
      <x:c r="N763" s="2">
        <x:v>6</x:v>
      </x:c>
      <x:c r="O763" s="2" t="s">
        <x:v>2381</x:v>
      </x:c>
      <x:c r="P763" s="2" t="s">
        <x:v>2382</x:v>
      </x:c>
      <x:c r="Q763" s="2"/>
      <x:c r="R763" s="3">
        <x:v>4</x:v>
      </x:c>
      <x:c r="S763" s="3">
        <x:v>0</x:v>
      </x:c>
      <x:c r="T763" s="2" t="s">
        <x:v>103</x:v>
      </x:c>
      <x:c r="U763" s="2"/>
      <x:c r="V763" s="2"/>
      <x:c r="W763" s="2"/>
      <x:c r="X763" s="3"/>
      <x:c r="Y763" s="3"/>
      <x:c r="Z763" s="2"/>
      <x:c r="AA763" s="2"/>
      <x:c r="AB763" s="2" t="s">
        <x:v>415</x:v>
      </x:c>
      <x:c r="AC763" s="2"/>
      <x:c r="AD763" s="2"/>
      <x:c r="AE763" s="2"/>
      <x:c r="AF763" s="2"/>
      <x:c r="AG763" s="2" t="s">
        <x:v>2060</x:v>
      </x:c>
      <x:c r="AH763" s="2"/>
      <x:c r="AI763" s="4"/>
      <x:c r="AJ763" s="2"/>
      <x:c r="AK763" s="2" t="s">
        <x:v>396</x:v>
      </x:c>
      <x:c r="AL763" s="2" t="s">
        <x:v>1550</x:v>
      </x:c>
      <x:c r="AM763" s="2">
        <x:v>143</x:v>
      </x:c>
      <x:c r="AN763" s="2">
        <x:v>143</x:v>
      </x:c>
    </x:row>
    <x:row r="764" ht="52">
      <x:c r="A764" s="2" t="s">
        <x:v>91</x:v>
      </x:c>
      <x:c r="B764" s="2" t="s">
        <x:v>17</x:v>
      </x:c>
      <x:c r="C764" s="3">
        <x:v>142</x:v>
      </x:c>
      <x:c r="D764" s="2" t="s">
        <x:v>2426</x:v>
      </x:c>
      <x:c r="E764" s="2" t="s">
        <x:v>2074</x:v>
      </x:c>
      <x:c r="F764" s="2" t="s">
        <x:v>2375</x:v>
      </x:c>
      <x:c r="G764" s="2" t="s">
        <x:v>2427</x:v>
      </x:c>
      <x:c r="H764" s="2" t="s">
        <x:v>2377</x:v>
      </x:c>
      <x:c r="I764" s="2" t="s">
        <x:v>2428</x:v>
      </x:c>
      <x:c r="J764" s="2" t="s">
        <x:v>2379</x:v>
      </x:c>
      <x:c r="K764" s="2"/>
      <x:c r="L764" s="2" t="s">
        <x:v>420</x:v>
      </x:c>
      <x:c r="M764" s="2" t="s">
        <x:v>2380</x:v>
      </x:c>
      <x:c r="N764" s="2">
        <x:v>6</x:v>
      </x:c>
      <x:c r="O764" s="2" t="s">
        <x:v>2381</x:v>
      </x:c>
      <x:c r="P764" s="2" t="s">
        <x:v>2382</x:v>
      </x:c>
      <x:c r="Q764" s="2"/>
      <x:c r="R764" s="3">
        <x:v>3</x:v>
      </x:c>
      <x:c r="S764" s="3">
        <x:v>0</x:v>
      </x:c>
      <x:c r="T764" s="2" t="s">
        <x:v>103</x:v>
      </x:c>
      <x:c r="U764" s="2"/>
      <x:c r="V764" s="2"/>
      <x:c r="W764" s="2"/>
      <x:c r="X764" s="3"/>
      <x:c r="Y764" s="3"/>
      <x:c r="Z764" s="2"/>
      <x:c r="AA764" s="2"/>
      <x:c r="AB764" s="2" t="s">
        <x:v>415</x:v>
      </x:c>
      <x:c r="AC764" s="2"/>
      <x:c r="AD764" s="2"/>
      <x:c r="AE764" s="2"/>
      <x:c r="AF764" s="2"/>
      <x:c r="AG764" s="2" t="s">
        <x:v>395</x:v>
      </x:c>
      <x:c r="AH764" s="2"/>
      <x:c r="AI764" s="4"/>
      <x:c r="AJ764" s="2"/>
      <x:c r="AK764" s="2" t="s">
        <x:v>396</x:v>
      </x:c>
      <x:c r="AL764" s="2" t="s">
        <x:v>1550</x:v>
      </x:c>
      <x:c r="AM764" s="2">
        <x:v>144</x:v>
      </x:c>
      <x:c r="AN764" s="2">
        <x:v>144</x:v>
      </x:c>
    </x:row>
    <x:row r="765" ht="52">
      <x:c r="A765" s="2" t="s">
        <x:v>91</x:v>
      </x:c>
      <x:c r="B765" s="2" t="s">
        <x:v>17</x:v>
      </x:c>
      <x:c r="C765" s="3">
        <x:v>143</x:v>
      </x:c>
      <x:c r="D765" s="2" t="s">
        <x:v>2429</x:v>
      </x:c>
      <x:c r="E765" s="2" t="s">
        <x:v>2430</x:v>
      </x:c>
      <x:c r="F765" s="2" t="s">
        <x:v>2385</x:v>
      </x:c>
      <x:c r="G765" s="2" t="s">
        <x:v>2431</x:v>
      </x:c>
      <x:c r="H765" s="2" t="s">
        <x:v>2377</x:v>
      </x:c>
      <x:c r="I765" s="2" t="s">
        <x:v>2432</x:v>
      </x:c>
      <x:c r="J765" s="2" t="s">
        <x:v>2379</x:v>
      </x:c>
      <x:c r="K765" s="2"/>
      <x:c r="L765" s="2" t="s">
        <x:v>439</x:v>
      </x:c>
      <x:c r="M765" s="2" t="s">
        <x:v>2380</x:v>
      </x:c>
      <x:c r="N765" s="2">
        <x:v>6</x:v>
      </x:c>
      <x:c r="O765" s="2" t="s">
        <x:v>2381</x:v>
      </x:c>
      <x:c r="P765" s="2" t="s">
        <x:v>2382</x:v>
      </x:c>
      <x:c r="Q765" s="2"/>
      <x:c r="R765" s="3">
        <x:v>3</x:v>
      </x:c>
      <x:c r="S765" s="3">
        <x:v>0</x:v>
      </x:c>
      <x:c r="T765" s="2" t="s">
        <x:v>103</x:v>
      </x:c>
      <x:c r="U765" s="2"/>
      <x:c r="V765" s="2"/>
      <x:c r="W765" s="2"/>
      <x:c r="X765" s="3"/>
      <x:c r="Y765" s="3"/>
      <x:c r="Z765" s="2"/>
      <x:c r="AA765" s="2"/>
      <x:c r="AB765" s="2" t="s">
        <x:v>427</x:v>
      </x:c>
      <x:c r="AC765" s="2"/>
      <x:c r="AD765" s="2"/>
      <x:c r="AE765" s="2"/>
      <x:c r="AF765" s="2"/>
      <x:c r="AG765" s="2" t="s">
        <x:v>428</x:v>
      </x:c>
      <x:c r="AH765" s="2"/>
      <x:c r="AI765" s="4"/>
      <x:c r="AJ765" s="2"/>
      <x:c r="AK765" s="2" t="s">
        <x:v>396</x:v>
      </x:c>
      <x:c r="AL765" s="2" t="s">
        <x:v>1550</x:v>
      </x:c>
      <x:c r="AM765" s="2">
        <x:v>145</x:v>
      </x:c>
      <x:c r="AN765" s="2">
        <x:v>145</x:v>
      </x:c>
    </x:row>
    <x:row r="766" ht="52">
      <x:c r="A766" s="2" t="s">
        <x:v>91</x:v>
      </x:c>
      <x:c r="B766" s="2" t="s">
        <x:v>17</x:v>
      </x:c>
      <x:c r="C766" s="3">
        <x:v>144</x:v>
      </x:c>
      <x:c r="D766" s="2" t="s">
        <x:v>2433</x:v>
      </x:c>
      <x:c r="E766" s="2" t="s">
        <x:v>2434</x:v>
      </x:c>
      <x:c r="F766" s="2" t="s">
        <x:v>2389</x:v>
      </x:c>
      <x:c r="G766" s="2" t="s">
        <x:v>2435</x:v>
      </x:c>
      <x:c r="H766" s="2" t="s">
        <x:v>2377</x:v>
      </x:c>
      <x:c r="I766" s="2" t="s">
        <x:v>2436</x:v>
      </x:c>
      <x:c r="J766" s="2" t="s">
        <x:v>2379</x:v>
      </x:c>
      <x:c r="K766" s="2"/>
      <x:c r="L766" s="2" t="s">
        <x:v>2437</x:v>
      </x:c>
      <x:c r="M766" s="2" t="s">
        <x:v>2380</x:v>
      </x:c>
      <x:c r="N766" s="2">
        <x:v>6</x:v>
      </x:c>
      <x:c r="O766" s="2" t="s">
        <x:v>2381</x:v>
      </x:c>
      <x:c r="P766" s="2" t="s">
        <x:v>2382</x:v>
      </x:c>
      <x:c r="Q766" s="2"/>
      <x:c r="R766" s="3">
        <x:v>4</x:v>
      </x:c>
      <x:c r="S766" s="3">
        <x:v>0</x:v>
      </x:c>
      <x:c r="T766" s="2" t="s">
        <x:v>103</x:v>
      </x:c>
      <x:c r="U766" s="2"/>
      <x:c r="V766" s="2"/>
      <x:c r="W766" s="2"/>
      <x:c r="X766" s="3"/>
      <x:c r="Y766" s="3"/>
      <x:c r="Z766" s="2"/>
      <x:c r="AA766" s="2"/>
      <x:c r="AB766" s="2" t="s">
        <x:v>427</x:v>
      </x:c>
      <x:c r="AC766" s="2"/>
      <x:c r="AD766" s="2"/>
      <x:c r="AE766" s="2"/>
      <x:c r="AF766" s="2"/>
      <x:c r="AG766" s="2" t="s">
        <x:v>2036</x:v>
      </x:c>
      <x:c r="AH766" s="2"/>
      <x:c r="AI766" s="4"/>
      <x:c r="AJ766" s="2"/>
      <x:c r="AK766" s="2" t="s">
        <x:v>396</x:v>
      </x:c>
      <x:c r="AL766" s="2" t="s">
        <x:v>1550</x:v>
      </x:c>
      <x:c r="AM766" s="2">
        <x:v>146</x:v>
      </x:c>
      <x:c r="AN766" s="2">
        <x:v>146</x:v>
      </x:c>
    </x:row>
    <x:row r="767" ht="52">
      <x:c r="A767" s="2" t="s">
        <x:v>91</x:v>
      </x:c>
      <x:c r="B767" s="2" t="s">
        <x:v>17</x:v>
      </x:c>
      <x:c r="C767" s="3">
        <x:v>145</x:v>
      </x:c>
      <x:c r="D767" s="2" t="s">
        <x:v>2438</x:v>
      </x:c>
      <x:c r="E767" s="2" t="s">
        <x:v>2439</x:v>
      </x:c>
      <x:c r="F767" s="2" t="s">
        <x:v>2393</x:v>
      </x:c>
      <x:c r="G767" s="2" t="s">
        <x:v>2440</x:v>
      </x:c>
      <x:c r="H767" s="2" t="s">
        <x:v>2377</x:v>
      </x:c>
      <x:c r="I767" s="2" t="s">
        <x:v>2441</x:v>
      </x:c>
      <x:c r="J767" s="2" t="s">
        <x:v>2379</x:v>
      </x:c>
      <x:c r="K767" s="2"/>
      <x:c r="L767" s="2" t="s">
        <x:v>2076</x:v>
      </x:c>
      <x:c r="M767" s="2" t="s">
        <x:v>2380</x:v>
      </x:c>
      <x:c r="N767" s="2">
        <x:v>6</x:v>
      </x:c>
      <x:c r="O767" s="2" t="s">
        <x:v>2381</x:v>
      </x:c>
      <x:c r="P767" s="2" t="s">
        <x:v>2382</x:v>
      </x:c>
      <x:c r="Q767" s="2"/>
      <x:c r="R767" s="3">
        <x:v>4</x:v>
      </x:c>
      <x:c r="S767" s="3">
        <x:v>0</x:v>
      </x:c>
      <x:c r="T767" s="2" t="s">
        <x:v>103</x:v>
      </x:c>
      <x:c r="U767" s="2"/>
      <x:c r="V767" s="2"/>
      <x:c r="W767" s="2"/>
      <x:c r="X767" s="3"/>
      <x:c r="Y767" s="3"/>
      <x:c r="Z767" s="2"/>
      <x:c r="AA767" s="2"/>
      <x:c r="AB767" s="2" t="s">
        <x:v>415</x:v>
      </x:c>
      <x:c r="AC767" s="2"/>
      <x:c r="AD767" s="2"/>
      <x:c r="AE767" s="2"/>
      <x:c r="AF767" s="2"/>
      <x:c r="AG767" s="2" t="s">
        <x:v>2060</x:v>
      </x:c>
      <x:c r="AH767" s="2"/>
      <x:c r="AI767" s="4"/>
      <x:c r="AJ767" s="2"/>
      <x:c r="AK767" s="2" t="s">
        <x:v>396</x:v>
      </x:c>
      <x:c r="AL767" s="2" t="s">
        <x:v>1550</x:v>
      </x:c>
      <x:c r="AM767" s="2">
        <x:v>147</x:v>
      </x:c>
      <x:c r="AN767" s="2">
        <x:v>147</x:v>
      </x:c>
    </x:row>
    <x:row r="768" ht="52">
      <x:c r="A768" s="2" t="s">
        <x:v>91</x:v>
      </x:c>
      <x:c r="B768" s="2" t="s">
        <x:v>17</x:v>
      </x:c>
      <x:c r="C768" s="3">
        <x:v>146</x:v>
      </x:c>
      <x:c r="D768" s="2" t="s">
        <x:v>2442</x:v>
      </x:c>
      <x:c r="E768" s="2" t="s">
        <x:v>2443</x:v>
      </x:c>
      <x:c r="F768" s="2" t="s">
        <x:v>2375</x:v>
      </x:c>
      <x:c r="G768" s="2" t="s">
        <x:v>1280</x:v>
      </x:c>
      <x:c r="H768" s="2" t="s">
        <x:v>2377</x:v>
      </x:c>
      <x:c r="I768" s="2" t="s">
        <x:v>2444</x:v>
      </x:c>
      <x:c r="J768" s="2" t="s">
        <x:v>2379</x:v>
      </x:c>
      <x:c r="K768" s="2"/>
      <x:c r="L768" s="2" t="s">
        <x:v>401</x:v>
      </x:c>
      <x:c r="M768" s="2" t="s">
        <x:v>2380</x:v>
      </x:c>
      <x:c r="N768" s="2">
        <x:v>6</x:v>
      </x:c>
      <x:c r="O768" s="2" t="s">
        <x:v>2381</x:v>
      </x:c>
      <x:c r="P768" s="2" t="s">
        <x:v>2382</x:v>
      </x:c>
      <x:c r="Q768" s="2"/>
      <x:c r="R768" s="3">
        <x:v>4</x:v>
      </x:c>
      <x:c r="S768" s="3">
        <x:v>0</x:v>
      </x:c>
      <x:c r="T768" s="2" t="s">
        <x:v>103</x:v>
      </x:c>
      <x:c r="U768" s="2"/>
      <x:c r="V768" s="2"/>
      <x:c r="W768" s="2"/>
      <x:c r="X768" s="3"/>
      <x:c r="Y768" s="3"/>
      <x:c r="Z768" s="2"/>
      <x:c r="AA768" s="2"/>
      <x:c r="AB768" s="2" t="s">
        <x:v>394</x:v>
      </x:c>
      <x:c r="AC768" s="2"/>
      <x:c r="AD768" s="2"/>
      <x:c r="AE768" s="2"/>
      <x:c r="AF768" s="2"/>
      <x:c r="AG768" s="2" t="s">
        <x:v>395</x:v>
      </x:c>
      <x:c r="AH768" s="2"/>
      <x:c r="AI768" s="4"/>
      <x:c r="AJ768" s="2"/>
      <x:c r="AK768" s="2" t="s">
        <x:v>396</x:v>
      </x:c>
      <x:c r="AL768" s="2" t="s">
        <x:v>1550</x:v>
      </x:c>
      <x:c r="AM768" s="2">
        <x:v>148</x:v>
      </x:c>
      <x:c r="AN768" s="2">
        <x:v>148</x:v>
      </x:c>
    </x:row>
    <x:row r="769" ht="52">
      <x:c r="A769" s="2" t="s">
        <x:v>91</x:v>
      </x:c>
      <x:c r="B769" s="2" t="s">
        <x:v>17</x:v>
      </x:c>
      <x:c r="C769" s="3">
        <x:v>147</x:v>
      </x:c>
      <x:c r="D769" s="2" t="s">
        <x:v>2445</x:v>
      </x:c>
      <x:c r="E769" s="2" t="s">
        <x:v>2446</x:v>
      </x:c>
      <x:c r="F769" s="2" t="s">
        <x:v>2385</x:v>
      </x:c>
      <x:c r="G769" s="2" t="s">
        <x:v>2447</x:v>
      </x:c>
      <x:c r="H769" s="2" t="s">
        <x:v>2377</x:v>
      </x:c>
      <x:c r="I769" s="2" t="s">
        <x:v>2448</x:v>
      </x:c>
      <x:c r="J769" s="2" t="s">
        <x:v>2379</x:v>
      </x:c>
      <x:c r="K769" s="2"/>
      <x:c r="L769" s="2" t="s">
        <x:v>444</x:v>
      </x:c>
      <x:c r="M769" s="2" t="s">
        <x:v>2380</x:v>
      </x:c>
      <x:c r="N769" s="2">
        <x:v>6</x:v>
      </x:c>
      <x:c r="O769" s="2" t="s">
        <x:v>2381</x:v>
      </x:c>
      <x:c r="P769" s="2" t="s">
        <x:v>2382</x:v>
      </x:c>
      <x:c r="Q769" s="2"/>
      <x:c r="R769" s="3">
        <x:v>4</x:v>
      </x:c>
      <x:c r="S769" s="3">
        <x:v>0</x:v>
      </x:c>
      <x:c r="T769" s="2" t="s">
        <x:v>103</x:v>
      </x:c>
      <x:c r="U769" s="2"/>
      <x:c r="V769" s="2"/>
      <x:c r="W769" s="2"/>
      <x:c r="X769" s="3"/>
      <x:c r="Y769" s="3"/>
      <x:c r="Z769" s="2"/>
      <x:c r="AA769" s="2"/>
      <x:c r="AB769" s="2" t="s">
        <x:v>415</x:v>
      </x:c>
      <x:c r="AC769" s="2"/>
      <x:c r="AD769" s="2"/>
      <x:c r="AE769" s="2"/>
      <x:c r="AF769" s="2"/>
      <x:c r="AG769" s="2" t="s">
        <x:v>428</x:v>
      </x:c>
      <x:c r="AH769" s="2"/>
      <x:c r="AI769" s="4"/>
      <x:c r="AJ769" s="2"/>
      <x:c r="AK769" s="2" t="s">
        <x:v>396</x:v>
      </x:c>
      <x:c r="AL769" s="2" t="s">
        <x:v>1550</x:v>
      </x:c>
      <x:c r="AM769" s="2">
        <x:v>149</x:v>
      </x:c>
      <x:c r="AN769" s="2">
        <x:v>149</x:v>
      </x:c>
    </x:row>
    <x:row r="770" ht="52">
      <x:c r="A770" s="2" t="s">
        <x:v>91</x:v>
      </x:c>
      <x:c r="B770" s="2" t="s">
        <x:v>17</x:v>
      </x:c>
      <x:c r="C770" s="3">
        <x:v>148</x:v>
      </x:c>
      <x:c r="D770" s="2" t="s">
        <x:v>2449</x:v>
      </x:c>
      <x:c r="E770" s="2" t="s">
        <x:v>2405</x:v>
      </x:c>
      <x:c r="F770" s="2" t="s">
        <x:v>2389</x:v>
      </x:c>
      <x:c r="G770" s="2" t="s">
        <x:v>2450</x:v>
      </x:c>
      <x:c r="H770" s="2" t="s">
        <x:v>2377</x:v>
      </x:c>
      <x:c r="I770" s="2" t="s">
        <x:v>2451</x:v>
      </x:c>
      <x:c r="J770" s="2" t="s">
        <x:v>2379</x:v>
      </x:c>
      <x:c r="K770" s="2"/>
      <x:c r="L770" s="2" t="s">
        <x:v>2452</x:v>
      </x:c>
      <x:c r="M770" s="2" t="s">
        <x:v>2380</x:v>
      </x:c>
      <x:c r="N770" s="2">
        <x:v>6</x:v>
      </x:c>
      <x:c r="O770" s="2" t="s">
        <x:v>2381</x:v>
      </x:c>
      <x:c r="P770" s="2" t="s">
        <x:v>2382</x:v>
      </x:c>
      <x:c r="Q770" s="2"/>
      <x:c r="R770" s="3">
        <x:v>5</x:v>
      </x:c>
      <x:c r="S770" s="3">
        <x:v>0</x:v>
      </x:c>
      <x:c r="T770" s="2" t="s">
        <x:v>103</x:v>
      </x:c>
      <x:c r="U770" s="2"/>
      <x:c r="V770" s="2"/>
      <x:c r="W770" s="2"/>
      <x:c r="X770" s="3"/>
      <x:c r="Y770" s="3"/>
      <x:c r="Z770" s="2"/>
      <x:c r="AA770" s="2"/>
      <x:c r="AB770" s="2" t="s">
        <x:v>394</x:v>
      </x:c>
      <x:c r="AC770" s="2"/>
      <x:c r="AD770" s="2"/>
      <x:c r="AE770" s="2"/>
      <x:c r="AF770" s="2"/>
      <x:c r="AG770" s="2" t="s">
        <x:v>2036</x:v>
      </x:c>
      <x:c r="AH770" s="2"/>
      <x:c r="AI770" s="4"/>
      <x:c r="AJ770" s="2"/>
      <x:c r="AK770" s="2" t="s">
        <x:v>396</x:v>
      </x:c>
      <x:c r="AL770" s="2" t="s">
        <x:v>1550</x:v>
      </x:c>
      <x:c r="AM770" s="2">
        <x:v>150</x:v>
      </x:c>
      <x:c r="AN770" s="2">
        <x:v>150</x:v>
      </x:c>
    </x:row>
    <x:row r="771" ht="52">
      <x:c r="A771" s="2" t="s">
        <x:v>91</x:v>
      </x:c>
      <x:c r="B771" s="2" t="s">
        <x:v>17</x:v>
      </x:c>
      <x:c r="C771" s="3">
        <x:v>149</x:v>
      </x:c>
      <x:c r="D771" s="2" t="s">
        <x:v>2453</x:v>
      </x:c>
      <x:c r="E771" s="2" t="s">
        <x:v>2454</x:v>
      </x:c>
      <x:c r="F771" s="2" t="s">
        <x:v>2393</x:v>
      </x:c>
      <x:c r="G771" s="2" t="s">
        <x:v>2455</x:v>
      </x:c>
      <x:c r="H771" s="2" t="s">
        <x:v>2377</x:v>
      </x:c>
      <x:c r="I771" s="2" t="s">
        <x:v>2456</x:v>
      </x:c>
      <x:c r="J771" s="2" t="s">
        <x:v>2379</x:v>
      </x:c>
      <x:c r="K771" s="2"/>
      <x:c r="L771" s="2" t="s">
        <x:v>2064</x:v>
      </x:c>
      <x:c r="M771" s="2" t="s">
        <x:v>2380</x:v>
      </x:c>
      <x:c r="N771" s="2">
        <x:v>6</x:v>
      </x:c>
      <x:c r="O771" s="2" t="s">
        <x:v>2381</x:v>
      </x:c>
      <x:c r="P771" s="2" t="s">
        <x:v>2382</x:v>
      </x:c>
      <x:c r="Q771" s="2"/>
      <x:c r="R771" s="3">
        <x:v>4</x:v>
      </x:c>
      <x:c r="S771" s="3">
        <x:v>0</x:v>
      </x:c>
      <x:c r="T771" s="2" t="s">
        <x:v>103</x:v>
      </x:c>
      <x:c r="U771" s="2"/>
      <x:c r="V771" s="2"/>
      <x:c r="W771" s="2"/>
      <x:c r="X771" s="3"/>
      <x:c r="Y771" s="3"/>
      <x:c r="Z771" s="2"/>
      <x:c r="AA771" s="2"/>
      <x:c r="AB771" s="2" t="s">
        <x:v>427</x:v>
      </x:c>
      <x:c r="AC771" s="2"/>
      <x:c r="AD771" s="2"/>
      <x:c r="AE771" s="2"/>
      <x:c r="AF771" s="2"/>
      <x:c r="AG771" s="2" t="s">
        <x:v>2060</x:v>
      </x:c>
      <x:c r="AH771" s="2"/>
      <x:c r="AI771" s="4"/>
      <x:c r="AJ771" s="2"/>
      <x:c r="AK771" s="2" t="s">
        <x:v>396</x:v>
      </x:c>
      <x:c r="AL771" s="2" t="s">
        <x:v>1550</x:v>
      </x:c>
      <x:c r="AM771" s="2">
        <x:v>151</x:v>
      </x:c>
      <x:c r="AN771" s="2">
        <x:v>151</x:v>
      </x:c>
    </x:row>
    <x:row r="772" ht="52">
      <x:c r="A772" s="2" t="s">
        <x:v>6</x:v>
      </x:c>
      <x:c r="B772" s="2" t="s">
        <x:v>18</x:v>
      </x:c>
      <x:c r="C772" s="3">
        <x:v>0</x:v>
      </x:c>
      <x:c r="D772" s="2" t="s">
        <x:v>449</x:v>
      </x:c>
      <x:c r="E772" s="2" t="s">
        <x:v>450</x:v>
      </x:c>
      <x:c r="F772" s="2" t="s">
        <x:v>451</x:v>
      </x:c>
      <x:c r="G772" s="2"/>
      <x:c r="H772" s="2" t="s">
        <x:v>96</x:v>
      </x:c>
      <x:c r="I772" s="2" t="s">
        <x:v>453</x:v>
      </x:c>
      <x:c r="J772" s="2" t="s">
        <x:v>454</x:v>
      </x:c>
      <x:c r="K772" s="2"/>
      <x:c r="L772" s="2" t="s">
        <x:v>455</x:v>
      </x:c>
      <x:c r="M772" s="2"/>
      <x:c r="N772" s="2"/>
      <x:c r="O772" s="2" t="s">
        <x:v>456</x:v>
      </x:c>
      <x:c r="P772" s="2" t="s">
        <x:v>457</x:v>
      </x:c>
      <x:c r="Q772" s="2"/>
      <x:c r="R772" s="3">
        <x:v>4</x:v>
      </x:c>
      <x:c r="S772" s="3"/>
      <x:c r="T772" s="2"/>
      <x:c r="U772" s="2"/>
      <x:c r="V772" s="2"/>
      <x:c r="W772" s="2"/>
      <x:c r="X772" s="3"/>
      <x:c r="Y772" s="3"/>
      <x:c r="Z772" s="2"/>
      <x:c r="AA772" s="2"/>
      <x:c r="AB772" s="2"/>
      <x:c r="AC772" s="2"/>
      <x:c r="AD772" s="2" t="s">
        <x:v>431</x:v>
      </x:c>
      <x:c r="AE772" s="2"/>
      <x:c r="AF772" s="2"/>
      <x:c r="AG772" s="2"/>
      <x:c r="AH772" s="2" t="s">
        <x:v>458</x:v>
      </x:c>
      <x:c r="AI772" s="4">
        <x:v>8</x:v>
      </x:c>
      <x:c r="AJ772" s="2" t="s">
        <x:v>459</x:v>
      </x:c>
      <x:c r="AK772" s="2" t="s">
        <x:v>460</x:v>
      </x:c>
      <x:c r="AL772" s="2" t="s">
        <x:v>1550</x:v>
      </x:c>
      <x:c r="AM772" s="2">
        <x:v>2</x:v>
      </x:c>
      <x:c r="AN772" s="2">
        <x:v>2</x:v>
      </x:c>
    </x:row>
    <x:row r="773" ht="39">
      <x:c r="A773" s="2" t="s">
        <x:v>6</x:v>
      </x:c>
      <x:c r="B773" s="2" t="s">
        <x:v>18</x:v>
      </x:c>
      <x:c r="C773" s="3">
        <x:v>1</x:v>
      </x:c>
      <x:c r="D773" s="2" t="s">
        <x:v>462</x:v>
      </x:c>
      <x:c r="E773" s="2" t="s">
        <x:v>463</x:v>
      </x:c>
      <x:c r="F773" s="2" t="s">
        <x:v>464</x:v>
      </x:c>
      <x:c r="G773" s="2"/>
      <x:c r="H773" s="2" t="s">
        <x:v>96</x:v>
      </x:c>
      <x:c r="I773" s="2" t="s">
        <x:v>466</x:v>
      </x:c>
      <x:c r="J773" s="2" t="s">
        <x:v>454</x:v>
      </x:c>
      <x:c r="K773" s="2"/>
      <x:c r="L773" s="2" t="s">
        <x:v>467</x:v>
      </x:c>
      <x:c r="M773" s="2"/>
      <x:c r="N773" s="2"/>
      <x:c r="O773" s="2" t="s">
        <x:v>456</x:v>
      </x:c>
      <x:c r="P773" s="2" t="s">
        <x:v>468</x:v>
      </x:c>
      <x:c r="Q773" s="2"/>
      <x:c r="R773" s="3">
        <x:v>3</x:v>
      </x:c>
      <x:c r="S773" s="3"/>
      <x:c r="T773" s="2"/>
      <x:c r="U773" s="2"/>
      <x:c r="V773" s="2"/>
      <x:c r="W773" s="2"/>
      <x:c r="X773" s="3"/>
      <x:c r="Y773" s="3"/>
      <x:c r="Z773" s="2"/>
      <x:c r="AA773" s="2"/>
      <x:c r="AB773" s="2"/>
      <x:c r="AC773" s="2"/>
      <x:c r="AD773" s="2" t="s">
        <x:v>469</x:v>
      </x:c>
      <x:c r="AE773" s="2"/>
      <x:c r="AF773" s="2"/>
      <x:c r="AG773" s="2"/>
      <x:c r="AH773" s="2" t="s">
        <x:v>470</x:v>
      </x:c>
      <x:c r="AI773" s="4">
        <x:v>12</x:v>
      </x:c>
      <x:c r="AJ773" s="2" t="s">
        <x:v>471</x:v>
      </x:c>
      <x:c r="AK773" s="2" t="s">
        <x:v>460</x:v>
      </x:c>
      <x:c r="AL773" s="2" t="s">
        <x:v>1550</x:v>
      </x:c>
      <x:c r="AM773" s="2">
        <x:v>3</x:v>
      </x:c>
      <x:c r="AN773" s="2">
        <x:v>3</x:v>
      </x:c>
    </x:row>
    <x:row r="774" ht="39">
      <x:c r="A774" s="2" t="s">
        <x:v>6</x:v>
      </x:c>
      <x:c r="B774" s="2" t="s">
        <x:v>18</x:v>
      </x:c>
      <x:c r="C774" s="3">
        <x:v>2</x:v>
      </x:c>
      <x:c r="D774" s="2" t="s">
        <x:v>472</x:v>
      </x:c>
      <x:c r="E774" s="2" t="s">
        <x:v>473</x:v>
      </x:c>
      <x:c r="F774" s="2" t="s">
        <x:v>474</x:v>
      </x:c>
      <x:c r="G774" s="2"/>
      <x:c r="H774" s="2" t="s">
        <x:v>96</x:v>
      </x:c>
      <x:c r="I774" s="2" t="s">
        <x:v>476</x:v>
      </x:c>
      <x:c r="J774" s="2" t="s">
        <x:v>477</x:v>
      </x:c>
      <x:c r="K774" s="2"/>
      <x:c r="L774" s="2" t="s">
        <x:v>478</x:v>
      </x:c>
      <x:c r="M774" s="2"/>
      <x:c r="N774" s="2"/>
      <x:c r="O774" s="2" t="s">
        <x:v>456</x:v>
      </x:c>
      <x:c r="P774" s="2" t="s">
        <x:v>479</x:v>
      </x:c>
      <x:c r="Q774" s="2"/>
      <x:c r="R774" s="3">
        <x:v>3</x:v>
      </x:c>
      <x:c r="S774" s="3"/>
      <x:c r="T774" s="2"/>
      <x:c r="U774" s="2"/>
      <x:c r="V774" s="2"/>
      <x:c r="W774" s="2"/>
      <x:c r="X774" s="3"/>
      <x:c r="Y774" s="3"/>
      <x:c r="Z774" s="2"/>
      <x:c r="AA774" s="2"/>
      <x:c r="AB774" s="2"/>
      <x:c r="AC774" s="2"/>
      <x:c r="AD774" s="2" t="s">
        <x:v>480</x:v>
      </x:c>
      <x:c r="AE774" s="2"/>
      <x:c r="AF774" s="2"/>
      <x:c r="AG774" s="2"/>
      <x:c r="AH774" s="2" t="s">
        <x:v>458</x:v>
      </x:c>
      <x:c r="AI774" s="4">
        <x:v>16</x:v>
      </x:c>
      <x:c r="AJ774" s="2" t="s">
        <x:v>481</x:v>
      </x:c>
      <x:c r="AK774" s="2" t="s">
        <x:v>460</x:v>
      </x:c>
      <x:c r="AL774" s="2" t="s">
        <x:v>1550</x:v>
      </x:c>
      <x:c r="AM774" s="2">
        <x:v>4</x:v>
      </x:c>
      <x:c r="AN774" s="2">
        <x:v>4</x:v>
      </x:c>
    </x:row>
    <x:row r="775" ht="52">
      <x:c r="A775" s="2" t="s">
        <x:v>91</x:v>
      </x:c>
      <x:c r="B775" s="2" t="s">
        <x:v>18</x:v>
      </x:c>
      <x:c r="C775" s="3">
        <x:v>3</x:v>
      </x:c>
      <x:c r="D775" s="2" t="s">
        <x:v>482</x:v>
      </x:c>
      <x:c r="E775" s="2" t="s">
        <x:v>483</x:v>
      </x:c>
      <x:c r="F775" s="2" t="s">
        <x:v>484</x:v>
      </x:c>
      <x:c r="G775" s="2" t="s">
        <x:v>2457</x:v>
      </x:c>
      <x:c r="H775" s="2" t="s">
        <x:v>96</x:v>
      </x:c>
      <x:c r="I775" s="2" t="s">
        <x:v>486</x:v>
      </x:c>
      <x:c r="J775" s="2" t="s">
        <x:v>477</x:v>
      </x:c>
      <x:c r="K775" s="2"/>
      <x:c r="L775" s="2" t="s">
        <x:v>487</x:v>
      </x:c>
      <x:c r="M775" s="2"/>
      <x:c r="N775" s="2"/>
      <x:c r="O775" s="2" t="s">
        <x:v>456</x:v>
      </x:c>
      <x:c r="P775" s="2" t="s">
        <x:v>488</x:v>
      </x:c>
      <x:c r="Q775" s="2"/>
      <x:c r="R775" s="3">
        <x:v>4</x:v>
      </x:c>
      <x:c r="S775" s="3"/>
      <x:c r="T775" s="2"/>
      <x:c r="U775" s="2"/>
      <x:c r="V775" s="2"/>
      <x:c r="W775" s="2"/>
      <x:c r="X775" s="3"/>
      <x:c r="Y775" s="3"/>
      <x:c r="Z775" s="2"/>
      <x:c r="AA775" s="2"/>
      <x:c r="AB775" s="2"/>
      <x:c r="AC775" s="2"/>
      <x:c r="AD775" s="2" t="s">
        <x:v>410</x:v>
      </x:c>
      <x:c r="AE775" s="2"/>
      <x:c r="AF775" s="2"/>
      <x:c r="AG775" s="2"/>
      <x:c r="AH775" s="2" t="s">
        <x:v>470</x:v>
      </x:c>
      <x:c r="AI775" s="4">
        <x:v>8</x:v>
      </x:c>
      <x:c r="AJ775" s="2" t="s">
        <x:v>489</x:v>
      </x:c>
      <x:c r="AK775" s="2" t="s">
        <x:v>460</x:v>
      </x:c>
      <x:c r="AL775" s="2" t="s">
        <x:v>1550</x:v>
      </x:c>
      <x:c r="AM775" s="2">
        <x:v>5</x:v>
      </x:c>
      <x:c r="AN775" s="2">
        <x:v>5</x:v>
      </x:c>
    </x:row>
    <x:row r="776" ht="52">
      <x:c r="A776" s="2" t="s">
        <x:v>6</x:v>
      </x:c>
      <x:c r="B776" s="2" t="s">
        <x:v>18</x:v>
      </x:c>
      <x:c r="C776" s="3">
        <x:v>4</x:v>
      </x:c>
      <x:c r="D776" s="2" t="s">
        <x:v>462</x:v>
      </x:c>
      <x:c r="E776" s="2" t="s">
        <x:v>490</x:v>
      </x:c>
      <x:c r="F776" s="2" t="s">
        <x:v>451</x:v>
      </x:c>
      <x:c r="G776" s="2"/>
      <x:c r="H776" s="2" t="s">
        <x:v>96</x:v>
      </x:c>
      <x:c r="I776" s="2" t="s">
        <x:v>492</x:v>
      </x:c>
      <x:c r="J776" s="2" t="s">
        <x:v>454</x:v>
      </x:c>
      <x:c r="K776" s="2"/>
      <x:c r="L776" s="2" t="s">
        <x:v>493</x:v>
      </x:c>
      <x:c r="M776" s="2"/>
      <x:c r="N776" s="2"/>
      <x:c r="O776" s="2" t="s">
        <x:v>456</x:v>
      </x:c>
      <x:c r="P776" s="2" t="s">
        <x:v>494</x:v>
      </x:c>
      <x:c r="Q776" s="2"/>
      <x:c r="R776" s="3">
        <x:v>4</x:v>
      </x:c>
      <x:c r="S776" s="3"/>
      <x:c r="T776" s="2"/>
      <x:c r="U776" s="2"/>
      <x:c r="V776" s="2"/>
      <x:c r="W776" s="2"/>
      <x:c r="X776" s="3"/>
      <x:c r="Y776" s="3"/>
      <x:c r="Z776" s="2"/>
      <x:c r="AA776" s="2"/>
      <x:c r="AB776" s="2"/>
      <x:c r="AC776" s="2"/>
      <x:c r="AD776" s="2" t="s">
        <x:v>431</x:v>
      </x:c>
      <x:c r="AE776" s="2"/>
      <x:c r="AF776" s="2"/>
      <x:c r="AG776" s="2"/>
      <x:c r="AH776" s="2" t="s">
        <x:v>470</x:v>
      </x:c>
      <x:c r="AI776" s="4">
        <x:v>12</x:v>
      </x:c>
      <x:c r="AJ776" s="2" t="s">
        <x:v>459</x:v>
      </x:c>
      <x:c r="AK776" s="2" t="s">
        <x:v>460</x:v>
      </x:c>
      <x:c r="AL776" s="2" t="s">
        <x:v>1550</x:v>
      </x:c>
      <x:c r="AM776" s="2">
        <x:v>6</x:v>
      </x:c>
      <x:c r="AN776" s="2">
        <x:v>6</x:v>
      </x:c>
    </x:row>
    <x:row r="777" ht="39">
      <x:c r="A777" s="2" t="s">
        <x:v>6</x:v>
      </x:c>
      <x:c r="B777" s="2" t="s">
        <x:v>18</x:v>
      </x:c>
      <x:c r="C777" s="3">
        <x:v>5</x:v>
      </x:c>
      <x:c r="D777" s="2" t="s">
        <x:v>462</x:v>
      </x:c>
      <x:c r="E777" s="2" t="s">
        <x:v>495</x:v>
      </x:c>
      <x:c r="F777" s="2" t="s">
        <x:v>464</x:v>
      </x:c>
      <x:c r="G777" s="2" t="s">
        <x:v>2458</x:v>
      </x:c>
      <x:c r="H777" s="2" t="s">
        <x:v>96</x:v>
      </x:c>
      <x:c r="I777" s="2" t="s">
        <x:v>497</x:v>
      </x:c>
      <x:c r="J777" s="2" t="s">
        <x:v>454</x:v>
      </x:c>
      <x:c r="K777" s="2"/>
      <x:c r="L777" s="2" t="s">
        <x:v>498</x:v>
      </x:c>
      <x:c r="M777" s="2"/>
      <x:c r="N777" s="2"/>
      <x:c r="O777" s="2" t="s">
        <x:v>456</x:v>
      </x:c>
      <x:c r="P777" s="2" t="s">
        <x:v>499</x:v>
      </x:c>
      <x:c r="Q777" s="2"/>
      <x:c r="R777" s="3">
        <x:v>3</x:v>
      </x:c>
      <x:c r="S777" s="3"/>
      <x:c r="T777" s="2"/>
      <x:c r="U777" s="2"/>
      <x:c r="V777" s="2"/>
      <x:c r="W777" s="2"/>
      <x:c r="X777" s="3"/>
      <x:c r="Y777" s="3"/>
      <x:c r="Z777" s="2"/>
      <x:c r="AA777" s="2"/>
      <x:c r="AB777" s="2"/>
      <x:c r="AC777" s="2"/>
      <x:c r="AD777" s="2" t="s">
        <x:v>469</x:v>
      </x:c>
      <x:c r="AE777" s="2"/>
      <x:c r="AF777" s="2"/>
      <x:c r="AG777" s="2"/>
      <x:c r="AH777" s="2" t="s">
        <x:v>458</x:v>
      </x:c>
      <x:c r="AI777" s="4">
        <x:v>16</x:v>
      </x:c>
      <x:c r="AJ777" s="2" t="s">
        <x:v>471</x:v>
      </x:c>
      <x:c r="AK777" s="2" t="s">
        <x:v>460</x:v>
      </x:c>
      <x:c r="AL777" s="2" t="s">
        <x:v>1550</x:v>
      </x:c>
      <x:c r="AM777" s="2">
        <x:v>7</x:v>
      </x:c>
      <x:c r="AN777" s="2">
        <x:v>7</x:v>
      </x:c>
    </x:row>
    <x:row r="778" ht="39">
      <x:c r="A778" s="2" t="s">
        <x:v>6</x:v>
      </x:c>
      <x:c r="B778" s="2" t="s">
        <x:v>18</x:v>
      </x:c>
      <x:c r="C778" s="3">
        <x:v>6</x:v>
      </x:c>
      <x:c r="D778" s="2" t="s">
        <x:v>482</x:v>
      </x:c>
      <x:c r="E778" s="2" t="s">
        <x:v>500</x:v>
      </x:c>
      <x:c r="F778" s="2" t="s">
        <x:v>474</x:v>
      </x:c>
      <x:c r="G778" s="2"/>
      <x:c r="H778" s="2" t="s">
        <x:v>96</x:v>
      </x:c>
      <x:c r="I778" s="2" t="s">
        <x:v>502</x:v>
      </x:c>
      <x:c r="J778" s="2" t="s">
        <x:v>477</x:v>
      </x:c>
      <x:c r="K778" s="2"/>
      <x:c r="L778" s="2" t="s">
        <x:v>503</x:v>
      </x:c>
      <x:c r="M778" s="2"/>
      <x:c r="N778" s="2"/>
      <x:c r="O778" s="2" t="s">
        <x:v>456</x:v>
      </x:c>
      <x:c r="P778" s="2" t="s">
        <x:v>504</x:v>
      </x:c>
      <x:c r="Q778" s="2"/>
      <x:c r="R778" s="3">
        <x:v>3</x:v>
      </x:c>
      <x:c r="S778" s="3"/>
      <x:c r="T778" s="2"/>
      <x:c r="U778" s="2"/>
      <x:c r="V778" s="2"/>
      <x:c r="W778" s="2"/>
      <x:c r="X778" s="3"/>
      <x:c r="Y778" s="3"/>
      <x:c r="Z778" s="2"/>
      <x:c r="AA778" s="2"/>
      <x:c r="AB778" s="2"/>
      <x:c r="AC778" s="2"/>
      <x:c r="AD778" s="2" t="s">
        <x:v>480</x:v>
      </x:c>
      <x:c r="AE778" s="2"/>
      <x:c r="AF778" s="2"/>
      <x:c r="AG778" s="2"/>
      <x:c r="AH778" s="2" t="s">
        <x:v>470</x:v>
      </x:c>
      <x:c r="AI778" s="4">
        <x:v>8</x:v>
      </x:c>
      <x:c r="AJ778" s="2" t="s">
        <x:v>481</x:v>
      </x:c>
      <x:c r="AK778" s="2" t="s">
        <x:v>460</x:v>
      </x:c>
      <x:c r="AL778" s="2" t="s">
        <x:v>1550</x:v>
      </x:c>
      <x:c r="AM778" s="2">
        <x:v>8</x:v>
      </x:c>
      <x:c r="AN778" s="2">
        <x:v>8</x:v>
      </x:c>
    </x:row>
    <x:row r="779" ht="52">
      <x:c r="A779" s="2" t="s">
        <x:v>6</x:v>
      </x:c>
      <x:c r="B779" s="2" t="s">
        <x:v>18</x:v>
      </x:c>
      <x:c r="C779" s="3">
        <x:v>7</x:v>
      </x:c>
      <x:c r="D779" s="2" t="s">
        <x:v>505</x:v>
      </x:c>
      <x:c r="E779" s="2" t="s">
        <x:v>506</x:v>
      </x:c>
      <x:c r="F779" s="2" t="s">
        <x:v>484</x:v>
      </x:c>
      <x:c r="G779" s="2"/>
      <x:c r="H779" s="2" t="s">
        <x:v>96</x:v>
      </x:c>
      <x:c r="I779" s="2" t="s">
        <x:v>508</x:v>
      </x:c>
      <x:c r="J779" s="2" t="s">
        <x:v>477</x:v>
      </x:c>
      <x:c r="K779" s="2"/>
      <x:c r="L779" s="2" t="s">
        <x:v>509</x:v>
      </x:c>
      <x:c r="M779" s="2"/>
      <x:c r="N779" s="2"/>
      <x:c r="O779" s="2" t="s">
        <x:v>456</x:v>
      </x:c>
      <x:c r="P779" s="2" t="s">
        <x:v>510</x:v>
      </x:c>
      <x:c r="Q779" s="2"/>
      <x:c r="R779" s="3">
        <x:v>4</x:v>
      </x:c>
      <x:c r="S779" s="3"/>
      <x:c r="T779" s="2"/>
      <x:c r="U779" s="2"/>
      <x:c r="V779" s="2"/>
      <x:c r="W779" s="2"/>
      <x:c r="X779" s="3"/>
      <x:c r="Y779" s="3"/>
      <x:c r="Z779" s="2"/>
      <x:c r="AA779" s="2"/>
      <x:c r="AB779" s="2"/>
      <x:c r="AC779" s="2"/>
      <x:c r="AD779" s="2" t="s">
        <x:v>410</x:v>
      </x:c>
      <x:c r="AE779" s="2"/>
      <x:c r="AF779" s="2"/>
      <x:c r="AG779" s="2"/>
      <x:c r="AH779" s="2" t="s">
        <x:v>458</x:v>
      </x:c>
      <x:c r="AI779" s="4">
        <x:v>12</x:v>
      </x:c>
      <x:c r="AJ779" s="2" t="s">
        <x:v>489</x:v>
      </x:c>
      <x:c r="AK779" s="2" t="s">
        <x:v>460</x:v>
      </x:c>
      <x:c r="AL779" s="2" t="s">
        <x:v>1550</x:v>
      </x:c>
      <x:c r="AM779" s="2">
        <x:v>9</x:v>
      </x:c>
      <x:c r="AN779" s="2">
        <x:v>9</x:v>
      </x:c>
    </x:row>
    <x:row r="780" ht="52">
      <x:c r="A780" s="2" t="s">
        <x:v>6</x:v>
      </x:c>
      <x:c r="B780" s="2" t="s">
        <x:v>18</x:v>
      </x:c>
      <x:c r="C780" s="3">
        <x:v>8</x:v>
      </x:c>
      <x:c r="D780" s="2" t="s">
        <x:v>449</x:v>
      </x:c>
      <x:c r="E780" s="2" t="s">
        <x:v>511</x:v>
      </x:c>
      <x:c r="F780" s="2" t="s">
        <x:v>451</x:v>
      </x:c>
      <x:c r="G780" s="2"/>
      <x:c r="H780" s="2" t="s">
        <x:v>96</x:v>
      </x:c>
      <x:c r="I780" s="2" t="s">
        <x:v>513</x:v>
      </x:c>
      <x:c r="J780" s="2" t="s">
        <x:v>454</x:v>
      </x:c>
      <x:c r="K780" s="2"/>
      <x:c r="L780" s="2" t="s">
        <x:v>514</x:v>
      </x:c>
      <x:c r="M780" s="2"/>
      <x:c r="N780" s="2"/>
      <x:c r="O780" s="2" t="s">
        <x:v>456</x:v>
      </x:c>
      <x:c r="P780" s="2" t="s">
        <x:v>515</x:v>
      </x:c>
      <x:c r="Q780" s="2"/>
      <x:c r="R780" s="3">
        <x:v>4</x:v>
      </x:c>
      <x:c r="S780" s="3"/>
      <x:c r="T780" s="2"/>
      <x:c r="U780" s="2"/>
      <x:c r="V780" s="2"/>
      <x:c r="W780" s="2"/>
      <x:c r="X780" s="3"/>
      <x:c r="Y780" s="3"/>
      <x:c r="Z780" s="2"/>
      <x:c r="AA780" s="2"/>
      <x:c r="AB780" s="2"/>
      <x:c r="AC780" s="2"/>
      <x:c r="AD780" s="2" t="s">
        <x:v>431</x:v>
      </x:c>
      <x:c r="AE780" s="2"/>
      <x:c r="AF780" s="2"/>
      <x:c r="AG780" s="2"/>
      <x:c r="AH780" s="2" t="s">
        <x:v>458</x:v>
      </x:c>
      <x:c r="AI780" s="4">
        <x:v>16</x:v>
      </x:c>
      <x:c r="AJ780" s="2" t="s">
        <x:v>459</x:v>
      </x:c>
      <x:c r="AK780" s="2" t="s">
        <x:v>460</x:v>
      </x:c>
      <x:c r="AL780" s="2" t="s">
        <x:v>1550</x:v>
      </x:c>
      <x:c r="AM780" s="2">
        <x:v>10</x:v>
      </x:c>
      <x:c r="AN780" s="2">
        <x:v>10</x:v>
      </x:c>
    </x:row>
    <x:row r="781" ht="39">
      <x:c r="A781" s="2" t="s">
        <x:v>6</x:v>
      </x:c>
      <x:c r="B781" s="2" t="s">
        <x:v>18</x:v>
      </x:c>
      <x:c r="C781" s="3">
        <x:v>9</x:v>
      </x:c>
      <x:c r="D781" s="2" t="s">
        <x:v>516</x:v>
      </x:c>
      <x:c r="E781" s="2" t="s">
        <x:v>517</x:v>
      </x:c>
      <x:c r="F781" s="2" t="s">
        <x:v>464</x:v>
      </x:c>
      <x:c r="G781" s="2"/>
      <x:c r="H781" s="2" t="s">
        <x:v>96</x:v>
      </x:c>
      <x:c r="I781" s="2" t="s">
        <x:v>519</x:v>
      </x:c>
      <x:c r="J781" s="2" t="s">
        <x:v>454</x:v>
      </x:c>
      <x:c r="K781" s="2"/>
      <x:c r="L781" s="2" t="s">
        <x:v>520</x:v>
      </x:c>
      <x:c r="M781" s="2"/>
      <x:c r="N781" s="2"/>
      <x:c r="O781" s="2" t="s">
        <x:v>456</x:v>
      </x:c>
      <x:c r="P781" s="2" t="s">
        <x:v>521</x:v>
      </x:c>
      <x:c r="Q781" s="2"/>
      <x:c r="R781" s="3">
        <x:v>3</x:v>
      </x:c>
      <x:c r="S781" s="3"/>
      <x:c r="T781" s="2"/>
      <x:c r="U781" s="2"/>
      <x:c r="V781" s="2"/>
      <x:c r="W781" s="2"/>
      <x:c r="X781" s="3"/>
      <x:c r="Y781" s="3"/>
      <x:c r="Z781" s="2"/>
      <x:c r="AA781" s="2"/>
      <x:c r="AB781" s="2"/>
      <x:c r="AC781" s="2"/>
      <x:c r="AD781" s="2" t="s">
        <x:v>469</x:v>
      </x:c>
      <x:c r="AE781" s="2"/>
      <x:c r="AF781" s="2"/>
      <x:c r="AG781" s="2"/>
      <x:c r="AH781" s="2" t="s">
        <x:v>470</x:v>
      </x:c>
      <x:c r="AI781" s="4">
        <x:v>8</x:v>
      </x:c>
      <x:c r="AJ781" s="2" t="s">
        <x:v>471</x:v>
      </x:c>
      <x:c r="AK781" s="2" t="s">
        <x:v>460</x:v>
      </x:c>
      <x:c r="AL781" s="2" t="s">
        <x:v>1550</x:v>
      </x:c>
      <x:c r="AM781" s="2">
        <x:v>11</x:v>
      </x:c>
      <x:c r="AN781" s="2">
        <x:v>11</x:v>
      </x:c>
    </x:row>
    <x:row r="782" ht="39">
      <x:c r="A782" s="2" t="s">
        <x:v>6</x:v>
      </x:c>
      <x:c r="B782" s="2" t="s">
        <x:v>18</x:v>
      </x:c>
      <x:c r="C782" s="3">
        <x:v>10</x:v>
      </x:c>
      <x:c r="D782" s="2" t="s">
        <x:v>482</x:v>
      </x:c>
      <x:c r="E782" s="2" t="s">
        <x:v>522</x:v>
      </x:c>
      <x:c r="F782" s="2" t="s">
        <x:v>474</x:v>
      </x:c>
      <x:c r="G782" s="2"/>
      <x:c r="H782" s="2" t="s">
        <x:v>96</x:v>
      </x:c>
      <x:c r="I782" s="2" t="s">
        <x:v>524</x:v>
      </x:c>
      <x:c r="J782" s="2" t="s">
        <x:v>477</x:v>
      </x:c>
      <x:c r="K782" s="2"/>
      <x:c r="L782" s="2" t="s">
        <x:v>525</x:v>
      </x:c>
      <x:c r="M782" s="2"/>
      <x:c r="N782" s="2"/>
      <x:c r="O782" s="2" t="s">
        <x:v>456</x:v>
      </x:c>
      <x:c r="P782" s="2" t="s">
        <x:v>526</x:v>
      </x:c>
      <x:c r="Q782" s="2"/>
      <x:c r="R782" s="3">
        <x:v>3</x:v>
      </x:c>
      <x:c r="S782" s="3"/>
      <x:c r="T782" s="2"/>
      <x:c r="U782" s="2"/>
      <x:c r="V782" s="2"/>
      <x:c r="W782" s="2"/>
      <x:c r="X782" s="3"/>
      <x:c r="Y782" s="3"/>
      <x:c r="Z782" s="2"/>
      <x:c r="AA782" s="2"/>
      <x:c r="AB782" s="2"/>
      <x:c r="AC782" s="2"/>
      <x:c r="AD782" s="2" t="s">
        <x:v>480</x:v>
      </x:c>
      <x:c r="AE782" s="2"/>
      <x:c r="AF782" s="2"/>
      <x:c r="AG782" s="2"/>
      <x:c r="AH782" s="2" t="s">
        <x:v>458</x:v>
      </x:c>
      <x:c r="AI782" s="4">
        <x:v>12</x:v>
      </x:c>
      <x:c r="AJ782" s="2" t="s">
        <x:v>481</x:v>
      </x:c>
      <x:c r="AK782" s="2" t="s">
        <x:v>460</x:v>
      </x:c>
      <x:c r="AL782" s="2" t="s">
        <x:v>1550</x:v>
      </x:c>
      <x:c r="AM782" s="2">
        <x:v>12</x:v>
      </x:c>
      <x:c r="AN782" s="2">
        <x:v>12</x:v>
      </x:c>
    </x:row>
    <x:row r="783" ht="52">
      <x:c r="A783" s="2" t="s">
        <x:v>91</x:v>
      </x:c>
      <x:c r="B783" s="2" t="s">
        <x:v>18</x:v>
      </x:c>
      <x:c r="C783" s="3">
        <x:v>11</x:v>
      </x:c>
      <x:c r="D783" s="2" t="s">
        <x:v>472</x:v>
      </x:c>
      <x:c r="E783" s="2" t="s">
        <x:v>527</x:v>
      </x:c>
      <x:c r="F783" s="2" t="s">
        <x:v>484</x:v>
      </x:c>
      <x:c r="G783" s="2" t="s">
        <x:v>2459</x:v>
      </x:c>
      <x:c r="H783" s="2" t="s">
        <x:v>96</x:v>
      </x:c>
      <x:c r="I783" s="2" t="s">
        <x:v>529</x:v>
      </x:c>
      <x:c r="J783" s="2" t="s">
        <x:v>477</x:v>
      </x:c>
      <x:c r="K783" s="2"/>
      <x:c r="L783" s="2" t="s">
        <x:v>530</x:v>
      </x:c>
      <x:c r="M783" s="2"/>
      <x:c r="N783" s="2"/>
      <x:c r="O783" s="2" t="s">
        <x:v>456</x:v>
      </x:c>
      <x:c r="P783" s="2" t="s">
        <x:v>531</x:v>
      </x:c>
      <x:c r="Q783" s="2"/>
      <x:c r="R783" s="3">
        <x:v>4</x:v>
      </x:c>
      <x:c r="S783" s="3"/>
      <x:c r="T783" s="2"/>
      <x:c r="U783" s="2"/>
      <x:c r="V783" s="2"/>
      <x:c r="W783" s="2"/>
      <x:c r="X783" s="3"/>
      <x:c r="Y783" s="3"/>
      <x:c r="Z783" s="2"/>
      <x:c r="AA783" s="2"/>
      <x:c r="AB783" s="2"/>
      <x:c r="AC783" s="2"/>
      <x:c r="AD783" s="2" t="s">
        <x:v>410</x:v>
      </x:c>
      <x:c r="AE783" s="2"/>
      <x:c r="AF783" s="2"/>
      <x:c r="AG783" s="2"/>
      <x:c r="AH783" s="2" t="s">
        <x:v>470</x:v>
      </x:c>
      <x:c r="AI783" s="4">
        <x:v>16</x:v>
      </x:c>
      <x:c r="AJ783" s="2" t="s">
        <x:v>489</x:v>
      </x:c>
      <x:c r="AK783" s="2" t="s">
        <x:v>460</x:v>
      </x:c>
      <x:c r="AL783" s="2" t="s">
        <x:v>1550</x:v>
      </x:c>
      <x:c r="AM783" s="2">
        <x:v>13</x:v>
      </x:c>
      <x:c r="AN783" s="2">
        <x:v>13</x:v>
      </x:c>
    </x:row>
    <x:row r="784" ht="52">
      <x:c r="A784" s="2" t="s">
        <x:v>6</x:v>
      </x:c>
      <x:c r="B784" s="2" t="s">
        <x:v>18</x:v>
      </x:c>
      <x:c r="C784" s="3">
        <x:v>12</x:v>
      </x:c>
      <x:c r="D784" s="2" t="s">
        <x:v>516</x:v>
      </x:c>
      <x:c r="E784" s="2" t="s">
        <x:v>532</x:v>
      </x:c>
      <x:c r="F784" s="2" t="s">
        <x:v>451</x:v>
      </x:c>
      <x:c r="G784" s="2"/>
      <x:c r="H784" s="2" t="s">
        <x:v>96</x:v>
      </x:c>
      <x:c r="I784" s="2" t="s">
        <x:v>533</x:v>
      </x:c>
      <x:c r="J784" s="2" t="s">
        <x:v>454</x:v>
      </x:c>
      <x:c r="K784" s="2"/>
      <x:c r="L784" s="2" t="s">
        <x:v>534</x:v>
      </x:c>
      <x:c r="M784" s="2"/>
      <x:c r="N784" s="2"/>
      <x:c r="O784" s="2" t="s">
        <x:v>456</x:v>
      </x:c>
      <x:c r="P784" s="2" t="s">
        <x:v>535</x:v>
      </x:c>
      <x:c r="Q784" s="2"/>
      <x:c r="R784" s="3">
        <x:v>4</x:v>
      </x:c>
      <x:c r="S784" s="3"/>
      <x:c r="T784" s="2"/>
      <x:c r="U784" s="2"/>
      <x:c r="V784" s="2"/>
      <x:c r="W784" s="2"/>
      <x:c r="X784" s="3"/>
      <x:c r="Y784" s="3"/>
      <x:c r="Z784" s="2"/>
      <x:c r="AA784" s="2"/>
      <x:c r="AB784" s="2"/>
      <x:c r="AC784" s="2"/>
      <x:c r="AD784" s="2" t="s">
        <x:v>431</x:v>
      </x:c>
      <x:c r="AE784" s="2"/>
      <x:c r="AF784" s="2"/>
      <x:c r="AG784" s="2"/>
      <x:c r="AH784" s="2" t="s">
        <x:v>470</x:v>
      </x:c>
      <x:c r="AI784" s="4">
        <x:v>8</x:v>
      </x:c>
      <x:c r="AJ784" s="2" t="s">
        <x:v>459</x:v>
      </x:c>
      <x:c r="AK784" s="2" t="s">
        <x:v>460</x:v>
      </x:c>
      <x:c r="AL784" s="2" t="s">
        <x:v>1550</x:v>
      </x:c>
      <x:c r="AM784" s="2">
        <x:v>14</x:v>
      </x:c>
      <x:c r="AN784" s="2">
        <x:v>14</x:v>
      </x:c>
    </x:row>
    <x:row r="785" ht="39">
      <x:c r="A785" s="2" t="s">
        <x:v>6</x:v>
      </x:c>
      <x:c r="B785" s="2" t="s">
        <x:v>18</x:v>
      </x:c>
      <x:c r="C785" s="3">
        <x:v>13</x:v>
      </x:c>
      <x:c r="D785" s="2" t="s">
        <x:v>516</x:v>
      </x:c>
      <x:c r="E785" s="2" t="s">
        <x:v>536</x:v>
      </x:c>
      <x:c r="F785" s="2" t="s">
        <x:v>464</x:v>
      </x:c>
      <x:c r="G785" s="2"/>
      <x:c r="H785" s="2" t="s">
        <x:v>96</x:v>
      </x:c>
      <x:c r="I785" s="2" t="s">
        <x:v>538</x:v>
      </x:c>
      <x:c r="J785" s="2" t="s">
        <x:v>454</x:v>
      </x:c>
      <x:c r="K785" s="2"/>
      <x:c r="L785" s="2" t="s">
        <x:v>539</x:v>
      </x:c>
      <x:c r="M785" s="2"/>
      <x:c r="N785" s="2"/>
      <x:c r="O785" s="2" t="s">
        <x:v>456</x:v>
      </x:c>
      <x:c r="P785" s="2" t="s">
        <x:v>540</x:v>
      </x:c>
      <x:c r="Q785" s="2"/>
      <x:c r="R785" s="3">
        <x:v>3</x:v>
      </x:c>
      <x:c r="S785" s="3"/>
      <x:c r="T785" s="2"/>
      <x:c r="U785" s="2"/>
      <x:c r="V785" s="2"/>
      <x:c r="W785" s="2"/>
      <x:c r="X785" s="3"/>
      <x:c r="Y785" s="3"/>
      <x:c r="Z785" s="2"/>
      <x:c r="AA785" s="2"/>
      <x:c r="AB785" s="2"/>
      <x:c r="AC785" s="2"/>
      <x:c r="AD785" s="2" t="s">
        <x:v>469</x:v>
      </x:c>
      <x:c r="AE785" s="2"/>
      <x:c r="AF785" s="2"/>
      <x:c r="AG785" s="2"/>
      <x:c r="AH785" s="2" t="s">
        <x:v>458</x:v>
      </x:c>
      <x:c r="AI785" s="4">
        <x:v>12</x:v>
      </x:c>
      <x:c r="AJ785" s="2" t="s">
        <x:v>471</x:v>
      </x:c>
      <x:c r="AK785" s="2" t="s">
        <x:v>460</x:v>
      </x:c>
      <x:c r="AL785" s="2" t="s">
        <x:v>1550</x:v>
      </x:c>
      <x:c r="AM785" s="2">
        <x:v>15</x:v>
      </x:c>
      <x:c r="AN785" s="2">
        <x:v>15</x:v>
      </x:c>
    </x:row>
    <x:row r="786" ht="39">
      <x:c r="A786" s="2" t="s">
        <x:v>6</x:v>
      </x:c>
      <x:c r="B786" s="2" t="s">
        <x:v>18</x:v>
      </x:c>
      <x:c r="C786" s="3">
        <x:v>14</x:v>
      </x:c>
      <x:c r="D786" s="2" t="s">
        <x:v>482</x:v>
      </x:c>
      <x:c r="E786" s="2" t="s">
        <x:v>541</x:v>
      </x:c>
      <x:c r="F786" s="2" t="s">
        <x:v>474</x:v>
      </x:c>
      <x:c r="G786" s="2"/>
      <x:c r="H786" s="2" t="s">
        <x:v>96</x:v>
      </x:c>
      <x:c r="I786" s="2" t="s">
        <x:v>543</x:v>
      </x:c>
      <x:c r="J786" s="2" t="s">
        <x:v>477</x:v>
      </x:c>
      <x:c r="K786" s="2"/>
      <x:c r="L786" s="2" t="s">
        <x:v>544</x:v>
      </x:c>
      <x:c r="M786" s="2"/>
      <x:c r="N786" s="2"/>
      <x:c r="O786" s="2" t="s">
        <x:v>456</x:v>
      </x:c>
      <x:c r="P786" s="2" t="s">
        <x:v>545</x:v>
      </x:c>
      <x:c r="Q786" s="2"/>
      <x:c r="R786" s="3">
        <x:v>3</x:v>
      </x:c>
      <x:c r="S786" s="3"/>
      <x:c r="T786" s="2"/>
      <x:c r="U786" s="2"/>
      <x:c r="V786" s="2"/>
      <x:c r="W786" s="2"/>
      <x:c r="X786" s="3"/>
      <x:c r="Y786" s="3"/>
      <x:c r="Z786" s="2"/>
      <x:c r="AA786" s="2"/>
      <x:c r="AB786" s="2"/>
      <x:c r="AC786" s="2"/>
      <x:c r="AD786" s="2" t="s">
        <x:v>480</x:v>
      </x:c>
      <x:c r="AE786" s="2"/>
      <x:c r="AF786" s="2"/>
      <x:c r="AG786" s="2"/>
      <x:c r="AH786" s="2" t="s">
        <x:v>470</x:v>
      </x:c>
      <x:c r="AI786" s="4">
        <x:v>16</x:v>
      </x:c>
      <x:c r="AJ786" s="2" t="s">
        <x:v>481</x:v>
      </x:c>
      <x:c r="AK786" s="2" t="s">
        <x:v>460</x:v>
      </x:c>
      <x:c r="AL786" s="2" t="s">
        <x:v>1550</x:v>
      </x:c>
      <x:c r="AM786" s="2">
        <x:v>16</x:v>
      </x:c>
      <x:c r="AN786" s="2">
        <x:v>16</x:v>
      </x:c>
    </x:row>
    <x:row r="787" ht="52">
      <x:c r="A787" s="2" t="s">
        <x:v>6</x:v>
      </x:c>
      <x:c r="B787" s="2" t="s">
        <x:v>18</x:v>
      </x:c>
      <x:c r="C787" s="3">
        <x:v>15</x:v>
      </x:c>
      <x:c r="D787" s="2" t="s">
        <x:v>472</x:v>
      </x:c>
      <x:c r="E787" s="2" t="s">
        <x:v>546</x:v>
      </x:c>
      <x:c r="F787" s="2" t="s">
        <x:v>484</x:v>
      </x:c>
      <x:c r="G787" s="2"/>
      <x:c r="H787" s="2" t="s">
        <x:v>96</x:v>
      </x:c>
      <x:c r="I787" s="2" t="s">
        <x:v>548</x:v>
      </x:c>
      <x:c r="J787" s="2" t="s">
        <x:v>477</x:v>
      </x:c>
      <x:c r="K787" s="2"/>
      <x:c r="L787" s="2" t="s">
        <x:v>549</x:v>
      </x:c>
      <x:c r="M787" s="2"/>
      <x:c r="N787" s="2"/>
      <x:c r="O787" s="2" t="s">
        <x:v>456</x:v>
      </x:c>
      <x:c r="P787" s="2" t="s">
        <x:v>550</x:v>
      </x:c>
      <x:c r="Q787" s="2"/>
      <x:c r="R787" s="3">
        <x:v>4</x:v>
      </x:c>
      <x:c r="S787" s="3"/>
      <x:c r="T787" s="2"/>
      <x:c r="U787" s="2"/>
      <x:c r="V787" s="2"/>
      <x:c r="W787" s="2"/>
      <x:c r="X787" s="3"/>
      <x:c r="Y787" s="3"/>
      <x:c r="Z787" s="2"/>
      <x:c r="AA787" s="2"/>
      <x:c r="AB787" s="2"/>
      <x:c r="AC787" s="2"/>
      <x:c r="AD787" s="2" t="s">
        <x:v>410</x:v>
      </x:c>
      <x:c r="AE787" s="2"/>
      <x:c r="AF787" s="2"/>
      <x:c r="AG787" s="2"/>
      <x:c r="AH787" s="2" t="s">
        <x:v>458</x:v>
      </x:c>
      <x:c r="AI787" s="4">
        <x:v>8</x:v>
      </x:c>
      <x:c r="AJ787" s="2" t="s">
        <x:v>489</x:v>
      </x:c>
      <x:c r="AK787" s="2" t="s">
        <x:v>460</x:v>
      </x:c>
      <x:c r="AL787" s="2" t="s">
        <x:v>1550</x:v>
      </x:c>
      <x:c r="AM787" s="2">
        <x:v>17</x:v>
      </x:c>
      <x:c r="AN787" s="2">
        <x:v>17</x:v>
      </x:c>
    </x:row>
    <x:row r="788" ht="52">
      <x:c r="A788" s="2" t="s">
        <x:v>6</x:v>
      </x:c>
      <x:c r="B788" s="2" t="s">
        <x:v>18</x:v>
      </x:c>
      <x:c r="C788" s="3">
        <x:v>16</x:v>
      </x:c>
      <x:c r="D788" s="2" t="s">
        <x:v>449</x:v>
      </x:c>
      <x:c r="E788" s="2" t="s">
        <x:v>551</x:v>
      </x:c>
      <x:c r="F788" s="2" t="s">
        <x:v>451</x:v>
      </x:c>
      <x:c r="G788" s="2"/>
      <x:c r="H788" s="2" t="s">
        <x:v>96</x:v>
      </x:c>
      <x:c r="I788" s="2" t="s">
        <x:v>553</x:v>
      </x:c>
      <x:c r="J788" s="2" t="s">
        <x:v>454</x:v>
      </x:c>
      <x:c r="K788" s="2"/>
      <x:c r="L788" s="2" t="s">
        <x:v>554</x:v>
      </x:c>
      <x:c r="M788" s="2"/>
      <x:c r="N788" s="2"/>
      <x:c r="O788" s="2" t="s">
        <x:v>456</x:v>
      </x:c>
      <x:c r="P788" s="2" t="s">
        <x:v>555</x:v>
      </x:c>
      <x:c r="Q788" s="2"/>
      <x:c r="R788" s="3">
        <x:v>4</x:v>
      </x:c>
      <x:c r="S788" s="3"/>
      <x:c r="T788" s="2"/>
      <x:c r="U788" s="2"/>
      <x:c r="V788" s="2"/>
      <x:c r="W788" s="2"/>
      <x:c r="X788" s="3"/>
      <x:c r="Y788" s="3"/>
      <x:c r="Z788" s="2"/>
      <x:c r="AA788" s="2"/>
      <x:c r="AB788" s="2"/>
      <x:c r="AC788" s="2"/>
      <x:c r="AD788" s="2" t="s">
        <x:v>431</x:v>
      </x:c>
      <x:c r="AE788" s="2"/>
      <x:c r="AF788" s="2"/>
      <x:c r="AG788" s="2"/>
      <x:c r="AH788" s="2" t="s">
        <x:v>458</x:v>
      </x:c>
      <x:c r="AI788" s="4">
        <x:v>12</x:v>
      </x:c>
      <x:c r="AJ788" s="2" t="s">
        <x:v>459</x:v>
      </x:c>
      <x:c r="AK788" s="2" t="s">
        <x:v>460</x:v>
      </x:c>
      <x:c r="AL788" s="2" t="s">
        <x:v>1550</x:v>
      </x:c>
      <x:c r="AM788" s="2">
        <x:v>18</x:v>
      </x:c>
      <x:c r="AN788" s="2">
        <x:v>18</x:v>
      </x:c>
    </x:row>
    <x:row r="789" ht="39">
      <x:c r="A789" s="2" t="s">
        <x:v>91</x:v>
      </x:c>
      <x:c r="B789" s="2" t="s">
        <x:v>18</x:v>
      </x:c>
      <x:c r="C789" s="3">
        <x:v>17</x:v>
      </x:c>
      <x:c r="D789" s="2" t="s">
        <x:v>516</x:v>
      </x:c>
      <x:c r="E789" s="2" t="s">
        <x:v>556</x:v>
      </x:c>
      <x:c r="F789" s="2" t="s">
        <x:v>464</x:v>
      </x:c>
      <x:c r="G789" s="2" t="s">
        <x:v>2460</x:v>
      </x:c>
      <x:c r="H789" s="2" t="s">
        <x:v>96</x:v>
      </x:c>
      <x:c r="I789" s="2" t="s">
        <x:v>558</x:v>
      </x:c>
      <x:c r="J789" s="2" t="s">
        <x:v>454</x:v>
      </x:c>
      <x:c r="K789" s="2"/>
      <x:c r="L789" s="2" t="s">
        <x:v>559</x:v>
      </x:c>
      <x:c r="M789" s="2"/>
      <x:c r="N789" s="2"/>
      <x:c r="O789" s="2" t="s">
        <x:v>456</x:v>
      </x:c>
      <x:c r="P789" s="2" t="s">
        <x:v>560</x:v>
      </x:c>
      <x:c r="Q789" s="2"/>
      <x:c r="R789" s="3">
        <x:v>3</x:v>
      </x:c>
      <x:c r="S789" s="3"/>
      <x:c r="T789" s="2"/>
      <x:c r="U789" s="2"/>
      <x:c r="V789" s="2"/>
      <x:c r="W789" s="2"/>
      <x:c r="X789" s="3"/>
      <x:c r="Y789" s="3"/>
      <x:c r="Z789" s="2"/>
      <x:c r="AA789" s="2"/>
      <x:c r="AB789" s="2"/>
      <x:c r="AC789" s="2"/>
      <x:c r="AD789" s="2" t="s">
        <x:v>469</x:v>
      </x:c>
      <x:c r="AE789" s="2"/>
      <x:c r="AF789" s="2"/>
      <x:c r="AG789" s="2"/>
      <x:c r="AH789" s="2" t="s">
        <x:v>470</x:v>
      </x:c>
      <x:c r="AI789" s="4">
        <x:v>16</x:v>
      </x:c>
      <x:c r="AJ789" s="2" t="s">
        <x:v>471</x:v>
      </x:c>
      <x:c r="AK789" s="2" t="s">
        <x:v>460</x:v>
      </x:c>
      <x:c r="AL789" s="2" t="s">
        <x:v>1550</x:v>
      </x:c>
      <x:c r="AM789" s="2">
        <x:v>19</x:v>
      </x:c>
      <x:c r="AN789" s="2">
        <x:v>19</x:v>
      </x:c>
    </x:row>
    <x:row r="790" ht="39">
      <x:c r="A790" s="2" t="s">
        <x:v>6</x:v>
      </x:c>
      <x:c r="B790" s="2" t="s">
        <x:v>18</x:v>
      </x:c>
      <x:c r="C790" s="3">
        <x:v>18</x:v>
      </x:c>
      <x:c r="D790" s="2" t="s">
        <x:v>472</x:v>
      </x:c>
      <x:c r="E790" s="2" t="s">
        <x:v>561</x:v>
      </x:c>
      <x:c r="F790" s="2" t="s">
        <x:v>474</x:v>
      </x:c>
      <x:c r="G790" s="2"/>
      <x:c r="H790" s="2" t="s">
        <x:v>96</x:v>
      </x:c>
      <x:c r="I790" s="2" t="s">
        <x:v>563</x:v>
      </x:c>
      <x:c r="J790" s="2" t="s">
        <x:v>477</x:v>
      </x:c>
      <x:c r="K790" s="2"/>
      <x:c r="L790" s="2" t="s">
        <x:v>564</x:v>
      </x:c>
      <x:c r="M790" s="2"/>
      <x:c r="N790" s="2"/>
      <x:c r="O790" s="2" t="s">
        <x:v>456</x:v>
      </x:c>
      <x:c r="P790" s="2" t="s">
        <x:v>565</x:v>
      </x:c>
      <x:c r="Q790" s="2"/>
      <x:c r="R790" s="3">
        <x:v>3</x:v>
      </x:c>
      <x:c r="S790" s="3"/>
      <x:c r="T790" s="2"/>
      <x:c r="U790" s="2"/>
      <x:c r="V790" s="2"/>
      <x:c r="W790" s="2"/>
      <x:c r="X790" s="3"/>
      <x:c r="Y790" s="3"/>
      <x:c r="Z790" s="2"/>
      <x:c r="AA790" s="2"/>
      <x:c r="AB790" s="2"/>
      <x:c r="AC790" s="2"/>
      <x:c r="AD790" s="2" t="s">
        <x:v>480</x:v>
      </x:c>
      <x:c r="AE790" s="2"/>
      <x:c r="AF790" s="2"/>
      <x:c r="AG790" s="2"/>
      <x:c r="AH790" s="2" t="s">
        <x:v>458</x:v>
      </x:c>
      <x:c r="AI790" s="4">
        <x:v>8</x:v>
      </x:c>
      <x:c r="AJ790" s="2" t="s">
        <x:v>481</x:v>
      </x:c>
      <x:c r="AK790" s="2" t="s">
        <x:v>460</x:v>
      </x:c>
      <x:c r="AL790" s="2" t="s">
        <x:v>1550</x:v>
      </x:c>
      <x:c r="AM790" s="2">
        <x:v>20</x:v>
      </x:c>
      <x:c r="AN790" s="2">
        <x:v>20</x:v>
      </x:c>
    </x:row>
    <x:row r="791" ht="52">
      <x:c r="A791" s="2" t="s">
        <x:v>6</x:v>
      </x:c>
      <x:c r="B791" s="2" t="s">
        <x:v>18</x:v>
      </x:c>
      <x:c r="C791" s="3">
        <x:v>19</x:v>
      </x:c>
      <x:c r="D791" s="2" t="s">
        <x:v>505</x:v>
      </x:c>
      <x:c r="E791" s="2" t="s">
        <x:v>566</x:v>
      </x:c>
      <x:c r="F791" s="2" t="s">
        <x:v>484</x:v>
      </x:c>
      <x:c r="G791" s="2"/>
      <x:c r="H791" s="2" t="s">
        <x:v>96</x:v>
      </x:c>
      <x:c r="I791" s="2" t="s">
        <x:v>568</x:v>
      </x:c>
      <x:c r="J791" s="2" t="s">
        <x:v>477</x:v>
      </x:c>
      <x:c r="K791" s="2"/>
      <x:c r="L791" s="2" t="s">
        <x:v>569</x:v>
      </x:c>
      <x:c r="M791" s="2"/>
      <x:c r="N791" s="2"/>
      <x:c r="O791" s="2" t="s">
        <x:v>456</x:v>
      </x:c>
      <x:c r="P791" s="2" t="s">
        <x:v>570</x:v>
      </x:c>
      <x:c r="Q791" s="2"/>
      <x:c r="R791" s="3">
        <x:v>4</x:v>
      </x:c>
      <x:c r="S791" s="3"/>
      <x:c r="T791" s="2"/>
      <x:c r="U791" s="2"/>
      <x:c r="V791" s="2"/>
      <x:c r="W791" s="2"/>
      <x:c r="X791" s="3"/>
      <x:c r="Y791" s="3"/>
      <x:c r="Z791" s="2"/>
      <x:c r="AA791" s="2"/>
      <x:c r="AB791" s="2"/>
      <x:c r="AC791" s="2"/>
      <x:c r="AD791" s="2" t="s">
        <x:v>410</x:v>
      </x:c>
      <x:c r="AE791" s="2"/>
      <x:c r="AF791" s="2"/>
      <x:c r="AG791" s="2"/>
      <x:c r="AH791" s="2" t="s">
        <x:v>470</x:v>
      </x:c>
      <x:c r="AI791" s="4">
        <x:v>12</x:v>
      </x:c>
      <x:c r="AJ791" s="2" t="s">
        <x:v>489</x:v>
      </x:c>
      <x:c r="AK791" s="2" t="s">
        <x:v>460</x:v>
      </x:c>
      <x:c r="AL791" s="2" t="s">
        <x:v>1550</x:v>
      </x:c>
      <x:c r="AM791" s="2">
        <x:v>21</x:v>
      </x:c>
      <x:c r="AN791" s="2">
        <x:v>21</x:v>
      </x:c>
    </x:row>
    <x:row r="792" ht="39">
      <x:c r="A792" s="2" t="s">
        <x:v>6</x:v>
      </x:c>
      <x:c r="B792" s="2" t="s">
        <x:v>18</x:v>
      </x:c>
      <x:c r="C792" s="3">
        <x:v>20</x:v>
      </x:c>
      <x:c r="D792" s="2" t="s">
        <x:v>505</x:v>
      </x:c>
      <x:c r="E792" s="2" t="s">
        <x:v>2461</x:v>
      </x:c>
      <x:c r="F792" s="2" t="s">
        <x:v>464</x:v>
      </x:c>
      <x:c r="G792" s="2"/>
      <x:c r="H792" s="2" t="s">
        <x:v>618</x:v>
      </x:c>
      <x:c r="I792" s="2" t="s">
        <x:v>2462</x:v>
      </x:c>
      <x:c r="J792" s="2" t="s">
        <x:v>477</x:v>
      </x:c>
      <x:c r="K792" s="2"/>
      <x:c r="L792" s="2" t="s">
        <x:v>2463</x:v>
      </x:c>
      <x:c r="M792" s="2"/>
      <x:c r="N792" s="2"/>
      <x:c r="O792" s="2" t="s">
        <x:v>2464</x:v>
      </x:c>
      <x:c r="P792" s="2" t="s">
        <x:v>2465</x:v>
      </x:c>
      <x:c r="Q792" s="2"/>
      <x:c r="R792" s="3">
        <x:v>2</x:v>
      </x:c>
      <x:c r="S792" s="3"/>
      <x:c r="T792" s="2"/>
      <x:c r="U792" s="2"/>
      <x:c r="V792" s="2"/>
      <x:c r="W792" s="2"/>
      <x:c r="X792" s="3"/>
      <x:c r="Y792" s="3"/>
      <x:c r="Z792" s="2"/>
      <x:c r="AA792" s="2"/>
      <x:c r="AB792" s="2"/>
      <x:c r="AC792" s="2"/>
      <x:c r="AD792" s="2" t="s">
        <x:v>469</x:v>
      </x:c>
      <x:c r="AE792" s="2"/>
      <x:c r="AF792" s="2"/>
      <x:c r="AG792" s="2"/>
      <x:c r="AH792" s="2" t="s">
        <x:v>458</x:v>
      </x:c>
      <x:c r="AI792" s="4">
        <x:v>8</x:v>
      </x:c>
      <x:c r="AJ792" s="2" t="s">
        <x:v>2466</x:v>
      </x:c>
      <x:c r="AK792" s="2" t="s">
        <x:v>460</x:v>
      </x:c>
      <x:c r="AL792" s="2" t="s">
        <x:v>1550</x:v>
      </x:c>
      <x:c r="AM792" s="2">
        <x:v>22</x:v>
      </x:c>
      <x:c r="AN792" s="2">
        <x:v>22</x:v>
      </x:c>
    </x:row>
    <x:row r="793" ht="39">
      <x:c r="A793" s="2" t="s">
        <x:v>6</x:v>
      </x:c>
      <x:c r="B793" s="2" t="s">
        <x:v>18</x:v>
      </x:c>
      <x:c r="C793" s="3">
        <x:v>21</x:v>
      </x:c>
      <x:c r="D793" s="2" t="s">
        <x:v>2467</x:v>
      </x:c>
      <x:c r="E793" s="2" t="s">
        <x:v>2461</x:v>
      </x:c>
      <x:c r="F793" s="2" t="s">
        <x:v>464</x:v>
      </x:c>
      <x:c r="G793" s="2"/>
      <x:c r="H793" s="2" t="s">
        <x:v>627</x:v>
      </x:c>
      <x:c r="I793" s="2" t="s">
        <x:v>2462</x:v>
      </x:c>
      <x:c r="J793" s="2" t="s">
        <x:v>2468</x:v>
      </x:c>
      <x:c r="K793" s="2" t="n">
        <x:v>20</x:v>
      </x:c>
      <x:c r="L793" s="2" t="s">
        <x:v>2469</x:v>
      </x:c>
      <x:c r="M793" s="2"/>
      <x:c r="N793" s="2"/>
      <x:c r="O793" s="2" t="s">
        <x:v>2470</x:v>
      </x:c>
      <x:c r="P793" s="2" t="s">
        <x:v>2471</x:v>
      </x:c>
      <x:c r="Q793" s="2"/>
      <x:c r="R793" s="3">
        <x:v>2</x:v>
      </x:c>
      <x:c r="S793" s="3"/>
      <x:c r="T793" s="2"/>
      <x:c r="U793" s="2"/>
      <x:c r="V793" s="2"/>
      <x:c r="W793" s="2"/>
      <x:c r="X793" s="3"/>
      <x:c r="Y793" s="3"/>
      <x:c r="Z793" s="2"/>
      <x:c r="AA793" s="2"/>
      <x:c r="AB793" s="2"/>
      <x:c r="AC793" s="2"/>
      <x:c r="AD793" s="2" t="s">
        <x:v>469</x:v>
      </x:c>
      <x:c r="AE793" s="2"/>
      <x:c r="AF793" s="2"/>
      <x:c r="AG793" s="2"/>
      <x:c r="AH793" s="2" t="s">
        <x:v>458</x:v>
      </x:c>
      <x:c r="AI793" s="4">
        <x:v>8</x:v>
      </x:c>
      <x:c r="AJ793" s="2" t="s">
        <x:v>2472</x:v>
      </x:c>
      <x:c r="AK793" s="2" t="s">
        <x:v>460</x:v>
      </x:c>
      <x:c r="AL793" s="2" t="s">
        <x:v>1550</x:v>
      </x:c>
      <x:c r="AM793" s="2">
        <x:v>23</x:v>
      </x:c>
      <x:c r="AN793" s="2">
        <x:v>23</x:v>
      </x:c>
    </x:row>
    <x:row r="794" ht="39">
      <x:c r="A794" s="2" t="s">
        <x:v>6</x:v>
      </x:c>
      <x:c r="B794" s="2" t="s">
        <x:v>18</x:v>
      </x:c>
      <x:c r="C794" s="3">
        <x:v>22</x:v>
      </x:c>
      <x:c r="D794" s="2" t="s">
        <x:v>2473</x:v>
      </x:c>
      <x:c r="E794" s="2" t="s">
        <x:v>2461</x:v>
      </x:c>
      <x:c r="F794" s="2" t="s">
        <x:v>464</x:v>
      </x:c>
      <x:c r="G794" s="2"/>
      <x:c r="H794" s="2" t="s">
        <x:v>634</x:v>
      </x:c>
      <x:c r="I794" s="2" t="s">
        <x:v>2462</x:v>
      </x:c>
      <x:c r="J794" s="2" t="s">
        <x:v>477</x:v>
      </x:c>
      <x:c r="K794" s="2" t="n">
        <x:v>20</x:v>
      </x:c>
      <x:c r="L794" s="2" t="s">
        <x:v>2463</x:v>
      </x:c>
      <x:c r="M794" s="2"/>
      <x:c r="N794" s="2"/>
      <x:c r="O794" s="2" t="s">
        <x:v>2474</x:v>
      </x:c>
      <x:c r="P794" s="2" t="s">
        <x:v>2475</x:v>
      </x:c>
      <x:c r="Q794" s="2"/>
      <x:c r="R794" s="3">
        <x:v>2</x:v>
      </x:c>
      <x:c r="S794" s="3"/>
      <x:c r="T794" s="2"/>
      <x:c r="U794" s="2"/>
      <x:c r="V794" s="2"/>
      <x:c r="W794" s="2"/>
      <x:c r="X794" s="3"/>
      <x:c r="Y794" s="3"/>
      <x:c r="Z794" s="2"/>
      <x:c r="AA794" s="2"/>
      <x:c r="AB794" s="2"/>
      <x:c r="AC794" s="2"/>
      <x:c r="AD794" s="2" t="s">
        <x:v>469</x:v>
      </x:c>
      <x:c r="AE794" s="2"/>
      <x:c r="AF794" s="2"/>
      <x:c r="AG794" s="2"/>
      <x:c r="AH794" s="2" t="s">
        <x:v>458</x:v>
      </x:c>
      <x:c r="AI794" s="4">
        <x:v>8</x:v>
      </x:c>
      <x:c r="AJ794" s="2" t="s">
        <x:v>635</x:v>
      </x:c>
      <x:c r="AK794" s="2" t="s">
        <x:v>460</x:v>
      </x:c>
      <x:c r="AL794" s="2" t="s">
        <x:v>1550</x:v>
      </x:c>
      <x:c r="AM794" s="2">
        <x:v>24</x:v>
      </x:c>
      <x:c r="AN794" s="2">
        <x:v>24</x:v>
      </x:c>
    </x:row>
    <x:row r="795" ht="39">
      <x:c r="A795" s="2" t="s">
        <x:v>6</x:v>
      </x:c>
      <x:c r="B795" s="2" t="s">
        <x:v>18</x:v>
      </x:c>
      <x:c r="C795" s="3">
        <x:v>23</x:v>
      </x:c>
      <x:c r="D795" s="2" t="s">
        <x:v>2476</x:v>
      </x:c>
      <x:c r="E795" s="2" t="s">
        <x:v>2461</x:v>
      </x:c>
      <x:c r="F795" s="2" t="s">
        <x:v>464</x:v>
      </x:c>
      <x:c r="G795" s="2"/>
      <x:c r="H795" s="2" t="s">
        <x:v>634</x:v>
      </x:c>
      <x:c r="I795" s="2" t="s">
        <x:v>2462</x:v>
      </x:c>
      <x:c r="J795" s="2" t="s">
        <x:v>2468</x:v>
      </x:c>
      <x:c r="K795" s="2" t="n">
        <x:v>20</x:v>
      </x:c>
      <x:c r="L795" s="2" t="s">
        <x:v>2469</x:v>
      </x:c>
      <x:c r="M795" s="2"/>
      <x:c r="N795" s="2"/>
      <x:c r="O795" s="2" t="s">
        <x:v>2477</x:v>
      </x:c>
      <x:c r="P795" s="2" t="s">
        <x:v>1057</x:v>
      </x:c>
      <x:c r="Q795" s="2"/>
      <x:c r="R795" s="3">
        <x:v>2</x:v>
      </x:c>
      <x:c r="S795" s="3"/>
      <x:c r="T795" s="2"/>
      <x:c r="U795" s="2"/>
      <x:c r="V795" s="2"/>
      <x:c r="W795" s="2"/>
      <x:c r="X795" s="3"/>
      <x:c r="Y795" s="3"/>
      <x:c r="Z795" s="2"/>
      <x:c r="AA795" s="2"/>
      <x:c r="AB795" s="2"/>
      <x:c r="AC795" s="2"/>
      <x:c r="AD795" s="2" t="s">
        <x:v>469</x:v>
      </x:c>
      <x:c r="AE795" s="2"/>
      <x:c r="AF795" s="2"/>
      <x:c r="AG795" s="2"/>
      <x:c r="AH795" s="2" t="s">
        <x:v>458</x:v>
      </x:c>
      <x:c r="AI795" s="4">
        <x:v>8</x:v>
      </x:c>
      <x:c r="AJ795" s="2" t="s">
        <x:v>2478</x:v>
      </x:c>
      <x:c r="AK795" s="2" t="s">
        <x:v>460</x:v>
      </x:c>
      <x:c r="AL795" s="2" t="s">
        <x:v>1550</x:v>
      </x:c>
      <x:c r="AM795" s="2">
        <x:v>25</x:v>
      </x:c>
      <x:c r="AN795" s="2">
        <x:v>25</x:v>
      </x:c>
    </x:row>
    <x:row r="796" ht="39">
      <x:c r="A796" s="2" t="s">
        <x:v>91</x:v>
      </x:c>
      <x:c r="B796" s="2" t="s">
        <x:v>18</x:v>
      </x:c>
      <x:c r="C796" s="3">
        <x:v>24</x:v>
      </x:c>
      <x:c r="D796" s="2" t="s">
        <x:v>462</x:v>
      </x:c>
      <x:c r="E796" s="2" t="s">
        <x:v>2479</x:v>
      </x:c>
      <x:c r="F796" s="2" t="s">
        <x:v>474</x:v>
      </x:c>
      <x:c r="G796" s="2" t="s">
        <x:v>2480</x:v>
      </x:c>
      <x:c r="H796" s="2" t="s">
        <x:v>618</x:v>
      </x:c>
      <x:c r="I796" s="2" t="s">
        <x:v>2481</x:v>
      </x:c>
      <x:c r="J796" s="2" t="s">
        <x:v>454</x:v>
      </x:c>
      <x:c r="K796" s="2"/>
      <x:c r="L796" s="2" t="s">
        <x:v>2482</x:v>
      </x:c>
      <x:c r="M796" s="2"/>
      <x:c r="N796" s="2"/>
      <x:c r="O796" s="2" t="s">
        <x:v>2464</x:v>
      </x:c>
      <x:c r="P796" s="2" t="s">
        <x:v>2483</x:v>
      </x:c>
      <x:c r="Q796" s="2"/>
      <x:c r="R796" s="3">
        <x:v>2</x:v>
      </x:c>
      <x:c r="S796" s="3"/>
      <x:c r="T796" s="2"/>
      <x:c r="U796" s="2"/>
      <x:c r="V796" s="2"/>
      <x:c r="W796" s="2"/>
      <x:c r="X796" s="3"/>
      <x:c r="Y796" s="3"/>
      <x:c r="Z796" s="2"/>
      <x:c r="AA796" s="2"/>
      <x:c r="AB796" s="2"/>
      <x:c r="AC796" s="2"/>
      <x:c r="AD796" s="2" t="s">
        <x:v>480</x:v>
      </x:c>
      <x:c r="AE796" s="2"/>
      <x:c r="AF796" s="2"/>
      <x:c r="AG796" s="2"/>
      <x:c r="AH796" s="2" t="s">
        <x:v>470</x:v>
      </x:c>
      <x:c r="AI796" s="4">
        <x:v>12</x:v>
      </x:c>
      <x:c r="AJ796" s="2" t="s">
        <x:v>2484</x:v>
      </x:c>
      <x:c r="AK796" s="2" t="s">
        <x:v>460</x:v>
      </x:c>
      <x:c r="AL796" s="2" t="s">
        <x:v>1550</x:v>
      </x:c>
      <x:c r="AM796" s="2">
        <x:v>26</x:v>
      </x:c>
      <x:c r="AN796" s="2">
        <x:v>26</x:v>
      </x:c>
    </x:row>
    <x:row r="797" ht="39">
      <x:c r="A797" s="2" t="s">
        <x:v>6</x:v>
      </x:c>
      <x:c r="B797" s="2" t="s">
        <x:v>18</x:v>
      </x:c>
      <x:c r="C797" s="3">
        <x:v>25</x:v>
      </x:c>
      <x:c r="D797" s="2" t="s">
        <x:v>2485</x:v>
      </x:c>
      <x:c r="E797" s="2" t="s">
        <x:v>2479</x:v>
      </x:c>
      <x:c r="F797" s="2" t="s">
        <x:v>474</x:v>
      </x:c>
      <x:c r="G797" s="2"/>
      <x:c r="H797" s="2" t="s">
        <x:v>627</x:v>
      </x:c>
      <x:c r="I797" s="2" t="s">
        <x:v>2481</x:v>
      </x:c>
      <x:c r="J797" s="2" t="s">
        <x:v>2468</x:v>
      </x:c>
      <x:c r="K797" s="2" t="n">
        <x:v>24</x:v>
      </x:c>
      <x:c r="L797" s="2" t="s">
        <x:v>2486</x:v>
      </x:c>
      <x:c r="M797" s="2"/>
      <x:c r="N797" s="2"/>
      <x:c r="O797" s="2" t="s">
        <x:v>2470</x:v>
      </x:c>
      <x:c r="P797" s="2" t="s">
        <x:v>2487</x:v>
      </x:c>
      <x:c r="Q797" s="2"/>
      <x:c r="R797" s="3">
        <x:v>2</x:v>
      </x:c>
      <x:c r="S797" s="3"/>
      <x:c r="T797" s="2"/>
      <x:c r="U797" s="2"/>
      <x:c r="V797" s="2"/>
      <x:c r="W797" s="2"/>
      <x:c r="X797" s="3"/>
      <x:c r="Y797" s="3"/>
      <x:c r="Z797" s="2"/>
      <x:c r="AA797" s="2"/>
      <x:c r="AB797" s="2"/>
      <x:c r="AC797" s="2"/>
      <x:c r="AD797" s="2" t="s">
        <x:v>480</x:v>
      </x:c>
      <x:c r="AE797" s="2"/>
      <x:c r="AF797" s="2"/>
      <x:c r="AG797" s="2"/>
      <x:c r="AH797" s="2" t="s">
        <x:v>470</x:v>
      </x:c>
      <x:c r="AI797" s="4">
        <x:v>12</x:v>
      </x:c>
      <x:c r="AJ797" s="2" t="s">
        <x:v>2472</x:v>
      </x:c>
      <x:c r="AK797" s="2" t="s">
        <x:v>460</x:v>
      </x:c>
      <x:c r="AL797" s="2" t="s">
        <x:v>1550</x:v>
      </x:c>
      <x:c r="AM797" s="2">
        <x:v>27</x:v>
      </x:c>
      <x:c r="AN797" s="2">
        <x:v>27</x:v>
      </x:c>
    </x:row>
    <x:row r="798" ht="39">
      <x:c r="A798" s="2" t="s">
        <x:v>6</x:v>
      </x:c>
      <x:c r="B798" s="2" t="s">
        <x:v>18</x:v>
      </x:c>
      <x:c r="C798" s="3">
        <x:v>26</x:v>
      </x:c>
      <x:c r="D798" s="2" t="s">
        <x:v>2488</x:v>
      </x:c>
      <x:c r="E798" s="2" t="s">
        <x:v>2479</x:v>
      </x:c>
      <x:c r="F798" s="2" t="s">
        <x:v>474</x:v>
      </x:c>
      <x:c r="G798" s="2"/>
      <x:c r="H798" s="2" t="s">
        <x:v>634</x:v>
      </x:c>
      <x:c r="I798" s="2" t="s">
        <x:v>2481</x:v>
      </x:c>
      <x:c r="J798" s="2" t="s">
        <x:v>454</x:v>
      </x:c>
      <x:c r="K798" s="2" t="n">
        <x:v>24</x:v>
      </x:c>
      <x:c r="L798" s="2" t="s">
        <x:v>2482</x:v>
      </x:c>
      <x:c r="M798" s="2"/>
      <x:c r="N798" s="2"/>
      <x:c r="O798" s="2" t="s">
        <x:v>2474</x:v>
      </x:c>
      <x:c r="P798" s="2" t="s">
        <x:v>2475</x:v>
      </x:c>
      <x:c r="Q798" s="2"/>
      <x:c r="R798" s="3">
        <x:v>2</x:v>
      </x:c>
      <x:c r="S798" s="3"/>
      <x:c r="T798" s="2"/>
      <x:c r="U798" s="2"/>
      <x:c r="V798" s="2"/>
      <x:c r="W798" s="2"/>
      <x:c r="X798" s="3"/>
      <x:c r="Y798" s="3"/>
      <x:c r="Z798" s="2"/>
      <x:c r="AA798" s="2"/>
      <x:c r="AB798" s="2"/>
      <x:c r="AC798" s="2"/>
      <x:c r="AD798" s="2" t="s">
        <x:v>480</x:v>
      </x:c>
      <x:c r="AE798" s="2"/>
      <x:c r="AF798" s="2"/>
      <x:c r="AG798" s="2"/>
      <x:c r="AH798" s="2" t="s">
        <x:v>470</x:v>
      </x:c>
      <x:c r="AI798" s="4">
        <x:v>12</x:v>
      </x:c>
      <x:c r="AJ798" s="2" t="s">
        <x:v>635</x:v>
      </x:c>
      <x:c r="AK798" s="2" t="s">
        <x:v>460</x:v>
      </x:c>
      <x:c r="AL798" s="2" t="s">
        <x:v>1550</x:v>
      </x:c>
      <x:c r="AM798" s="2">
        <x:v>28</x:v>
      </x:c>
      <x:c r="AN798" s="2">
        <x:v>28</x:v>
      </x:c>
    </x:row>
    <x:row r="799" ht="39">
      <x:c r="A799" s="2" t="s">
        <x:v>6</x:v>
      </x:c>
      <x:c r="B799" s="2" t="s">
        <x:v>18</x:v>
      </x:c>
      <x:c r="C799" s="3">
        <x:v>27</x:v>
      </x:c>
      <x:c r="D799" s="2" t="s">
        <x:v>2489</x:v>
      </x:c>
      <x:c r="E799" s="2" t="s">
        <x:v>2479</x:v>
      </x:c>
      <x:c r="F799" s="2" t="s">
        <x:v>474</x:v>
      </x:c>
      <x:c r="G799" s="2"/>
      <x:c r="H799" s="2" t="s">
        <x:v>634</x:v>
      </x:c>
      <x:c r="I799" s="2" t="s">
        <x:v>2481</x:v>
      </x:c>
      <x:c r="J799" s="2" t="s">
        <x:v>2468</x:v>
      </x:c>
      <x:c r="K799" s="2" t="n">
        <x:v>24</x:v>
      </x:c>
      <x:c r="L799" s="2" t="s">
        <x:v>2486</x:v>
      </x:c>
      <x:c r="M799" s="2"/>
      <x:c r="N799" s="2"/>
      <x:c r="O799" s="2" t="s">
        <x:v>2477</x:v>
      </x:c>
      <x:c r="P799" s="2" t="s">
        <x:v>1057</x:v>
      </x:c>
      <x:c r="Q799" s="2"/>
      <x:c r="R799" s="3">
        <x:v>2</x:v>
      </x:c>
      <x:c r="S799" s="3"/>
      <x:c r="T799" s="2"/>
      <x:c r="U799" s="2"/>
      <x:c r="V799" s="2"/>
      <x:c r="W799" s="2"/>
      <x:c r="X799" s="3"/>
      <x:c r="Y799" s="3"/>
      <x:c r="Z799" s="2"/>
      <x:c r="AA799" s="2"/>
      <x:c r="AB799" s="2"/>
      <x:c r="AC799" s="2"/>
      <x:c r="AD799" s="2" t="s">
        <x:v>480</x:v>
      </x:c>
      <x:c r="AE799" s="2"/>
      <x:c r="AF799" s="2"/>
      <x:c r="AG799" s="2"/>
      <x:c r="AH799" s="2" t="s">
        <x:v>470</x:v>
      </x:c>
      <x:c r="AI799" s="4">
        <x:v>12</x:v>
      </x:c>
      <x:c r="AJ799" s="2" t="s">
        <x:v>2478</x:v>
      </x:c>
      <x:c r="AK799" s="2" t="s">
        <x:v>460</x:v>
      </x:c>
      <x:c r="AL799" s="2" t="s">
        <x:v>1550</x:v>
      </x:c>
      <x:c r="AM799" s="2">
        <x:v>29</x:v>
      </x:c>
      <x:c r="AN799" s="2">
        <x:v>29</x:v>
      </x:c>
    </x:row>
    <x:row r="800" ht="39">
      <x:c r="A800" s="2" t="s">
        <x:v>6</x:v>
      </x:c>
      <x:c r="B800" s="2" t="s">
        <x:v>18</x:v>
      </x:c>
      <x:c r="C800" s="3">
        <x:v>28</x:v>
      </x:c>
      <x:c r="D800" s="2" t="s">
        <x:v>482</x:v>
      </x:c>
      <x:c r="E800" s="2" t="s">
        <x:v>2490</x:v>
      </x:c>
      <x:c r="F800" s="2" t="s">
        <x:v>464</x:v>
      </x:c>
      <x:c r="G800" s="2"/>
      <x:c r="H800" s="2" t="s">
        <x:v>618</x:v>
      </x:c>
      <x:c r="I800" s="2" t="s">
        <x:v>2491</x:v>
      </x:c>
      <x:c r="J800" s="2" t="s">
        <x:v>477</x:v>
      </x:c>
      <x:c r="K800" s="2"/>
      <x:c r="L800" s="2" t="s">
        <x:v>2492</x:v>
      </x:c>
      <x:c r="M800" s="2"/>
      <x:c r="N800" s="2"/>
      <x:c r="O800" s="2" t="s">
        <x:v>2464</x:v>
      </x:c>
      <x:c r="P800" s="2" t="s">
        <x:v>2493</x:v>
      </x:c>
      <x:c r="Q800" s="2"/>
      <x:c r="R800" s="3">
        <x:v>2</x:v>
      </x:c>
      <x:c r="S800" s="3"/>
      <x:c r="T800" s="2"/>
      <x:c r="U800" s="2"/>
      <x:c r="V800" s="2"/>
      <x:c r="W800" s="2"/>
      <x:c r="X800" s="3"/>
      <x:c r="Y800" s="3"/>
      <x:c r="Z800" s="2"/>
      <x:c r="AA800" s="2"/>
      <x:c r="AB800" s="2"/>
      <x:c r="AC800" s="2"/>
      <x:c r="AD800" s="2" t="s">
        <x:v>469</x:v>
      </x:c>
      <x:c r="AE800" s="2"/>
      <x:c r="AF800" s="2"/>
      <x:c r="AG800" s="2"/>
      <x:c r="AH800" s="2" t="s">
        <x:v>470</x:v>
      </x:c>
      <x:c r="AI800" s="4">
        <x:v>12</x:v>
      </x:c>
      <x:c r="AJ800" s="2" t="s">
        <x:v>2494</x:v>
      </x:c>
      <x:c r="AK800" s="2" t="s">
        <x:v>460</x:v>
      </x:c>
      <x:c r="AL800" s="2" t="s">
        <x:v>1550</x:v>
      </x:c>
      <x:c r="AM800" s="2">
        <x:v>30</x:v>
      </x:c>
      <x:c r="AN800" s="2">
        <x:v>30</x:v>
      </x:c>
    </x:row>
    <x:row r="801" ht="39">
      <x:c r="A801" s="2" t="s">
        <x:v>6</x:v>
      </x:c>
      <x:c r="B801" s="2" t="s">
        <x:v>18</x:v>
      </x:c>
      <x:c r="C801" s="3">
        <x:v>29</x:v>
      </x:c>
      <x:c r="D801" s="2" t="s">
        <x:v>2495</x:v>
      </x:c>
      <x:c r="E801" s="2" t="s">
        <x:v>2490</x:v>
      </x:c>
      <x:c r="F801" s="2" t="s">
        <x:v>464</x:v>
      </x:c>
      <x:c r="G801" s="2"/>
      <x:c r="H801" s="2" t="s">
        <x:v>627</x:v>
      </x:c>
      <x:c r="I801" s="2" t="s">
        <x:v>2491</x:v>
      </x:c>
      <x:c r="J801" s="2" t="s">
        <x:v>2468</x:v>
      </x:c>
      <x:c r="K801" s="2" t="n">
        <x:v>28</x:v>
      </x:c>
      <x:c r="L801" s="2" t="s">
        <x:v>2496</x:v>
      </x:c>
      <x:c r="M801" s="2"/>
      <x:c r="N801" s="2"/>
      <x:c r="O801" s="2" t="s">
        <x:v>2470</x:v>
      </x:c>
      <x:c r="P801" s="2" t="s">
        <x:v>2497</x:v>
      </x:c>
      <x:c r="Q801" s="2"/>
      <x:c r="R801" s="3">
        <x:v>2</x:v>
      </x:c>
      <x:c r="S801" s="3"/>
      <x:c r="T801" s="2"/>
      <x:c r="U801" s="2"/>
      <x:c r="V801" s="2"/>
      <x:c r="W801" s="2"/>
      <x:c r="X801" s="3"/>
      <x:c r="Y801" s="3"/>
      <x:c r="Z801" s="2"/>
      <x:c r="AA801" s="2"/>
      <x:c r="AB801" s="2"/>
      <x:c r="AC801" s="2"/>
      <x:c r="AD801" s="2" t="s">
        <x:v>469</x:v>
      </x:c>
      <x:c r="AE801" s="2"/>
      <x:c r="AF801" s="2"/>
      <x:c r="AG801" s="2"/>
      <x:c r="AH801" s="2" t="s">
        <x:v>470</x:v>
      </x:c>
      <x:c r="AI801" s="4">
        <x:v>12</x:v>
      </x:c>
      <x:c r="AJ801" s="2" t="s">
        <x:v>2472</x:v>
      </x:c>
      <x:c r="AK801" s="2" t="s">
        <x:v>460</x:v>
      </x:c>
      <x:c r="AL801" s="2" t="s">
        <x:v>1550</x:v>
      </x:c>
      <x:c r="AM801" s="2">
        <x:v>31</x:v>
      </x:c>
      <x:c r="AN801" s="2">
        <x:v>31</x:v>
      </x:c>
    </x:row>
    <x:row r="802" ht="39">
      <x:c r="A802" s="2" t="s">
        <x:v>6</x:v>
      </x:c>
      <x:c r="B802" s="2" t="s">
        <x:v>18</x:v>
      </x:c>
      <x:c r="C802" s="3">
        <x:v>30</x:v>
      </x:c>
      <x:c r="D802" s="2" t="s">
        <x:v>2498</x:v>
      </x:c>
      <x:c r="E802" s="2" t="s">
        <x:v>2490</x:v>
      </x:c>
      <x:c r="F802" s="2" t="s">
        <x:v>464</x:v>
      </x:c>
      <x:c r="G802" s="2"/>
      <x:c r="H802" s="2" t="s">
        <x:v>634</x:v>
      </x:c>
      <x:c r="I802" s="2" t="s">
        <x:v>2491</x:v>
      </x:c>
      <x:c r="J802" s="2" t="s">
        <x:v>477</x:v>
      </x:c>
      <x:c r="K802" s="2" t="n">
        <x:v>28</x:v>
      </x:c>
      <x:c r="L802" s="2" t="s">
        <x:v>2492</x:v>
      </x:c>
      <x:c r="M802" s="2"/>
      <x:c r="N802" s="2"/>
      <x:c r="O802" s="2" t="s">
        <x:v>2474</x:v>
      </x:c>
      <x:c r="P802" s="2" t="s">
        <x:v>2475</x:v>
      </x:c>
      <x:c r="Q802" s="2"/>
      <x:c r="R802" s="3">
        <x:v>2</x:v>
      </x:c>
      <x:c r="S802" s="3"/>
      <x:c r="T802" s="2"/>
      <x:c r="U802" s="2"/>
      <x:c r="V802" s="2"/>
      <x:c r="W802" s="2"/>
      <x:c r="X802" s="3"/>
      <x:c r="Y802" s="3"/>
      <x:c r="Z802" s="2"/>
      <x:c r="AA802" s="2"/>
      <x:c r="AB802" s="2"/>
      <x:c r="AC802" s="2"/>
      <x:c r="AD802" s="2" t="s">
        <x:v>469</x:v>
      </x:c>
      <x:c r="AE802" s="2"/>
      <x:c r="AF802" s="2"/>
      <x:c r="AG802" s="2"/>
      <x:c r="AH802" s="2" t="s">
        <x:v>470</x:v>
      </x:c>
      <x:c r="AI802" s="4">
        <x:v>12</x:v>
      </x:c>
      <x:c r="AJ802" s="2" t="s">
        <x:v>635</x:v>
      </x:c>
      <x:c r="AK802" s="2" t="s">
        <x:v>460</x:v>
      </x:c>
      <x:c r="AL802" s="2" t="s">
        <x:v>1550</x:v>
      </x:c>
      <x:c r="AM802" s="2">
        <x:v>32</x:v>
      </x:c>
      <x:c r="AN802" s="2">
        <x:v>32</x:v>
      </x:c>
    </x:row>
    <x:row r="803" ht="39">
      <x:c r="A803" s="2" t="s">
        <x:v>6</x:v>
      </x:c>
      <x:c r="B803" s="2" t="s">
        <x:v>18</x:v>
      </x:c>
      <x:c r="C803" s="3">
        <x:v>31</x:v>
      </x:c>
      <x:c r="D803" s="2" t="s">
        <x:v>2499</x:v>
      </x:c>
      <x:c r="E803" s="2" t="s">
        <x:v>2490</x:v>
      </x:c>
      <x:c r="F803" s="2" t="s">
        <x:v>464</x:v>
      </x:c>
      <x:c r="G803" s="2"/>
      <x:c r="H803" s="2" t="s">
        <x:v>634</x:v>
      </x:c>
      <x:c r="I803" s="2" t="s">
        <x:v>2491</x:v>
      </x:c>
      <x:c r="J803" s="2" t="s">
        <x:v>2468</x:v>
      </x:c>
      <x:c r="K803" s="2" t="n">
        <x:v>28</x:v>
      </x:c>
      <x:c r="L803" s="2" t="s">
        <x:v>2496</x:v>
      </x:c>
      <x:c r="M803" s="2"/>
      <x:c r="N803" s="2"/>
      <x:c r="O803" s="2" t="s">
        <x:v>2477</x:v>
      </x:c>
      <x:c r="P803" s="2" t="s">
        <x:v>1057</x:v>
      </x:c>
      <x:c r="Q803" s="2"/>
      <x:c r="R803" s="3">
        <x:v>2</x:v>
      </x:c>
      <x:c r="S803" s="3"/>
      <x:c r="T803" s="2"/>
      <x:c r="U803" s="2"/>
      <x:c r="V803" s="2"/>
      <x:c r="W803" s="2"/>
      <x:c r="X803" s="3"/>
      <x:c r="Y803" s="3"/>
      <x:c r="Z803" s="2"/>
      <x:c r="AA803" s="2"/>
      <x:c r="AB803" s="2"/>
      <x:c r="AC803" s="2"/>
      <x:c r="AD803" s="2" t="s">
        <x:v>469</x:v>
      </x:c>
      <x:c r="AE803" s="2"/>
      <x:c r="AF803" s="2"/>
      <x:c r="AG803" s="2"/>
      <x:c r="AH803" s="2" t="s">
        <x:v>470</x:v>
      </x:c>
      <x:c r="AI803" s="4">
        <x:v>12</x:v>
      </x:c>
      <x:c r="AJ803" s="2" t="s">
        <x:v>2478</x:v>
      </x:c>
      <x:c r="AK803" s="2" t="s">
        <x:v>460</x:v>
      </x:c>
      <x:c r="AL803" s="2" t="s">
        <x:v>1550</x:v>
      </x:c>
      <x:c r="AM803" s="2">
        <x:v>33</x:v>
      </x:c>
      <x:c r="AN803" s="2">
        <x:v>33</x:v>
      </x:c>
    </x:row>
    <x:row r="804" ht="39">
      <x:c r="A804" s="2" t="s">
        <x:v>6</x:v>
      </x:c>
      <x:c r="B804" s="2" t="s">
        <x:v>18</x:v>
      </x:c>
      <x:c r="C804" s="3">
        <x:v>32</x:v>
      </x:c>
      <x:c r="D804" s="2" t="s">
        <x:v>516</x:v>
      </x:c>
      <x:c r="E804" s="2" t="s">
        <x:v>2500</x:v>
      </x:c>
      <x:c r="F804" s="2" t="s">
        <x:v>474</x:v>
      </x:c>
      <x:c r="G804" s="2"/>
      <x:c r="H804" s="2" t="s">
        <x:v>618</x:v>
      </x:c>
      <x:c r="I804" s="2" t="s">
        <x:v>2501</x:v>
      </x:c>
      <x:c r="J804" s="2" t="s">
        <x:v>454</x:v>
      </x:c>
      <x:c r="K804" s="2"/>
      <x:c r="L804" s="2" t="s">
        <x:v>2502</x:v>
      </x:c>
      <x:c r="M804" s="2"/>
      <x:c r="N804" s="2"/>
      <x:c r="O804" s="2" t="s">
        <x:v>2464</x:v>
      </x:c>
      <x:c r="P804" s="2" t="s">
        <x:v>2503</x:v>
      </x:c>
      <x:c r="Q804" s="2"/>
      <x:c r="R804" s="3">
        <x:v>2</x:v>
      </x:c>
      <x:c r="S804" s="3"/>
      <x:c r="T804" s="2"/>
      <x:c r="U804" s="2"/>
      <x:c r="V804" s="2"/>
      <x:c r="W804" s="2"/>
      <x:c r="X804" s="3"/>
      <x:c r="Y804" s="3"/>
      <x:c r="Z804" s="2"/>
      <x:c r="AA804" s="2"/>
      <x:c r="AB804" s="2"/>
      <x:c r="AC804" s="2"/>
      <x:c r="AD804" s="2" t="s">
        <x:v>480</x:v>
      </x:c>
      <x:c r="AE804" s="2"/>
      <x:c r="AF804" s="2"/>
      <x:c r="AG804" s="2"/>
      <x:c r="AH804" s="2" t="s">
        <x:v>458</x:v>
      </x:c>
      <x:c r="AI804" s="4">
        <x:v>16</x:v>
      </x:c>
      <x:c r="AJ804" s="2" t="s">
        <x:v>2504</x:v>
      </x:c>
      <x:c r="AK804" s="2" t="s">
        <x:v>460</x:v>
      </x:c>
      <x:c r="AL804" s="2" t="s">
        <x:v>1550</x:v>
      </x:c>
      <x:c r="AM804" s="2">
        <x:v>34</x:v>
      </x:c>
      <x:c r="AN804" s="2">
        <x:v>34</x:v>
      </x:c>
    </x:row>
    <x:row r="805" ht="39">
      <x:c r="A805" s="2" t="s">
        <x:v>6</x:v>
      </x:c>
      <x:c r="B805" s="2" t="s">
        <x:v>18</x:v>
      </x:c>
      <x:c r="C805" s="3">
        <x:v>33</x:v>
      </x:c>
      <x:c r="D805" s="2" t="s">
        <x:v>2505</x:v>
      </x:c>
      <x:c r="E805" s="2" t="s">
        <x:v>2500</x:v>
      </x:c>
      <x:c r="F805" s="2" t="s">
        <x:v>474</x:v>
      </x:c>
      <x:c r="G805" s="2"/>
      <x:c r="H805" s="2" t="s">
        <x:v>627</x:v>
      </x:c>
      <x:c r="I805" s="2" t="s">
        <x:v>2501</x:v>
      </x:c>
      <x:c r="J805" s="2" t="s">
        <x:v>2468</x:v>
      </x:c>
      <x:c r="K805" s="2" t="n">
        <x:v>32</x:v>
      </x:c>
      <x:c r="L805" s="2" t="s">
        <x:v>2506</x:v>
      </x:c>
      <x:c r="M805" s="2"/>
      <x:c r="N805" s="2"/>
      <x:c r="O805" s="2" t="s">
        <x:v>2470</x:v>
      </x:c>
      <x:c r="P805" s="2" t="s">
        <x:v>2507</x:v>
      </x:c>
      <x:c r="Q805" s="2"/>
      <x:c r="R805" s="3">
        <x:v>2</x:v>
      </x:c>
      <x:c r="S805" s="3"/>
      <x:c r="T805" s="2"/>
      <x:c r="U805" s="2"/>
      <x:c r="V805" s="2"/>
      <x:c r="W805" s="2"/>
      <x:c r="X805" s="3"/>
      <x:c r="Y805" s="3"/>
      <x:c r="Z805" s="2"/>
      <x:c r="AA805" s="2"/>
      <x:c r="AB805" s="2"/>
      <x:c r="AC805" s="2"/>
      <x:c r="AD805" s="2" t="s">
        <x:v>480</x:v>
      </x:c>
      <x:c r="AE805" s="2"/>
      <x:c r="AF805" s="2"/>
      <x:c r="AG805" s="2"/>
      <x:c r="AH805" s="2" t="s">
        <x:v>458</x:v>
      </x:c>
      <x:c r="AI805" s="4">
        <x:v>16</x:v>
      </x:c>
      <x:c r="AJ805" s="2" t="s">
        <x:v>2472</x:v>
      </x:c>
      <x:c r="AK805" s="2" t="s">
        <x:v>460</x:v>
      </x:c>
      <x:c r="AL805" s="2" t="s">
        <x:v>1550</x:v>
      </x:c>
      <x:c r="AM805" s="2">
        <x:v>35</x:v>
      </x:c>
      <x:c r="AN805" s="2">
        <x:v>35</x:v>
      </x:c>
    </x:row>
    <x:row r="806" ht="39">
      <x:c r="A806" s="2" t="s">
        <x:v>6</x:v>
      </x:c>
      <x:c r="B806" s="2" t="s">
        <x:v>18</x:v>
      </x:c>
      <x:c r="C806" s="3">
        <x:v>34</x:v>
      </x:c>
      <x:c r="D806" s="2" t="s">
        <x:v>2508</x:v>
      </x:c>
      <x:c r="E806" s="2" t="s">
        <x:v>2500</x:v>
      </x:c>
      <x:c r="F806" s="2" t="s">
        <x:v>474</x:v>
      </x:c>
      <x:c r="G806" s="2"/>
      <x:c r="H806" s="2" t="s">
        <x:v>634</x:v>
      </x:c>
      <x:c r="I806" s="2" t="s">
        <x:v>2501</x:v>
      </x:c>
      <x:c r="J806" s="2" t="s">
        <x:v>454</x:v>
      </x:c>
      <x:c r="K806" s="2" t="n">
        <x:v>32</x:v>
      </x:c>
      <x:c r="L806" s="2" t="s">
        <x:v>2502</x:v>
      </x:c>
      <x:c r="M806" s="2"/>
      <x:c r="N806" s="2"/>
      <x:c r="O806" s="2" t="s">
        <x:v>2474</x:v>
      </x:c>
      <x:c r="P806" s="2" t="s">
        <x:v>2475</x:v>
      </x:c>
      <x:c r="Q806" s="2"/>
      <x:c r="R806" s="3">
        <x:v>2</x:v>
      </x:c>
      <x:c r="S806" s="3"/>
      <x:c r="T806" s="2"/>
      <x:c r="U806" s="2"/>
      <x:c r="V806" s="2"/>
      <x:c r="W806" s="2"/>
      <x:c r="X806" s="3"/>
      <x:c r="Y806" s="3"/>
      <x:c r="Z806" s="2"/>
      <x:c r="AA806" s="2"/>
      <x:c r="AB806" s="2"/>
      <x:c r="AC806" s="2"/>
      <x:c r="AD806" s="2" t="s">
        <x:v>480</x:v>
      </x:c>
      <x:c r="AE806" s="2"/>
      <x:c r="AF806" s="2"/>
      <x:c r="AG806" s="2"/>
      <x:c r="AH806" s="2" t="s">
        <x:v>458</x:v>
      </x:c>
      <x:c r="AI806" s="4">
        <x:v>16</x:v>
      </x:c>
      <x:c r="AJ806" s="2" t="s">
        <x:v>635</x:v>
      </x:c>
      <x:c r="AK806" s="2" t="s">
        <x:v>460</x:v>
      </x:c>
      <x:c r="AL806" s="2" t="s">
        <x:v>1550</x:v>
      </x:c>
      <x:c r="AM806" s="2">
        <x:v>36</x:v>
      </x:c>
      <x:c r="AN806" s="2">
        <x:v>36</x:v>
      </x:c>
    </x:row>
    <x:row r="807" ht="39">
      <x:c r="A807" s="2" t="s">
        <x:v>6</x:v>
      </x:c>
      <x:c r="B807" s="2" t="s">
        <x:v>18</x:v>
      </x:c>
      <x:c r="C807" s="3">
        <x:v>35</x:v>
      </x:c>
      <x:c r="D807" s="2" t="s">
        <x:v>2509</x:v>
      </x:c>
      <x:c r="E807" s="2" t="s">
        <x:v>2500</x:v>
      </x:c>
      <x:c r="F807" s="2" t="s">
        <x:v>474</x:v>
      </x:c>
      <x:c r="G807" s="2"/>
      <x:c r="H807" s="2" t="s">
        <x:v>634</x:v>
      </x:c>
      <x:c r="I807" s="2" t="s">
        <x:v>2501</x:v>
      </x:c>
      <x:c r="J807" s="2" t="s">
        <x:v>2468</x:v>
      </x:c>
      <x:c r="K807" s="2" t="n">
        <x:v>32</x:v>
      </x:c>
      <x:c r="L807" s="2" t="s">
        <x:v>2506</x:v>
      </x:c>
      <x:c r="M807" s="2"/>
      <x:c r="N807" s="2"/>
      <x:c r="O807" s="2" t="s">
        <x:v>2477</x:v>
      </x:c>
      <x:c r="P807" s="2" t="s">
        <x:v>1057</x:v>
      </x:c>
      <x:c r="Q807" s="2"/>
      <x:c r="R807" s="3">
        <x:v>2</x:v>
      </x:c>
      <x:c r="S807" s="3"/>
      <x:c r="T807" s="2"/>
      <x:c r="U807" s="2"/>
      <x:c r="V807" s="2"/>
      <x:c r="W807" s="2"/>
      <x:c r="X807" s="3"/>
      <x:c r="Y807" s="3"/>
      <x:c r="Z807" s="2"/>
      <x:c r="AA807" s="2"/>
      <x:c r="AB807" s="2"/>
      <x:c r="AC807" s="2"/>
      <x:c r="AD807" s="2" t="s">
        <x:v>480</x:v>
      </x:c>
      <x:c r="AE807" s="2"/>
      <x:c r="AF807" s="2"/>
      <x:c r="AG807" s="2"/>
      <x:c r="AH807" s="2" t="s">
        <x:v>458</x:v>
      </x:c>
      <x:c r="AI807" s="4">
        <x:v>16</x:v>
      </x:c>
      <x:c r="AJ807" s="2" t="s">
        <x:v>2478</x:v>
      </x:c>
      <x:c r="AK807" s="2" t="s">
        <x:v>460</x:v>
      </x:c>
      <x:c r="AL807" s="2" t="s">
        <x:v>1550</x:v>
      </x:c>
      <x:c r="AM807" s="2">
        <x:v>37</x:v>
      </x:c>
      <x:c r="AN807" s="2">
        <x:v>37</x:v>
      </x:c>
    </x:row>
    <x:row r="808" ht="39">
      <x:c r="A808" s="2" t="s">
        <x:v>6</x:v>
      </x:c>
      <x:c r="B808" s="2" t="s">
        <x:v>18</x:v>
      </x:c>
      <x:c r="C808" s="3">
        <x:v>36</x:v>
      </x:c>
      <x:c r="D808" s="2" t="s">
        <x:v>472</x:v>
      </x:c>
      <x:c r="E808" s="2" t="s">
        <x:v>2510</x:v>
      </x:c>
      <x:c r="F808" s="2" t="s">
        <x:v>464</x:v>
      </x:c>
      <x:c r="G808" s="2"/>
      <x:c r="H808" s="2" t="s">
        <x:v>618</x:v>
      </x:c>
      <x:c r="I808" s="2" t="s">
        <x:v>2511</x:v>
      </x:c>
      <x:c r="J808" s="2" t="s">
        <x:v>477</x:v>
      </x:c>
      <x:c r="K808" s="2"/>
      <x:c r="L808" s="2" t="s">
        <x:v>2512</x:v>
      </x:c>
      <x:c r="M808" s="2"/>
      <x:c r="N808" s="2"/>
      <x:c r="O808" s="2" t="s">
        <x:v>2464</x:v>
      </x:c>
      <x:c r="P808" s="2" t="s">
        <x:v>2513</x:v>
      </x:c>
      <x:c r="Q808" s="2"/>
      <x:c r="R808" s="3">
        <x:v>2</x:v>
      </x:c>
      <x:c r="S808" s="3"/>
      <x:c r="T808" s="2"/>
      <x:c r="U808" s="2"/>
      <x:c r="V808" s="2"/>
      <x:c r="W808" s="2"/>
      <x:c r="X808" s="3"/>
      <x:c r="Y808" s="3"/>
      <x:c r="Z808" s="2"/>
      <x:c r="AA808" s="2"/>
      <x:c r="AB808" s="2"/>
      <x:c r="AC808" s="2"/>
      <x:c r="AD808" s="2" t="s">
        <x:v>469</x:v>
      </x:c>
      <x:c r="AE808" s="2"/>
      <x:c r="AF808" s="2"/>
      <x:c r="AG808" s="2"/>
      <x:c r="AH808" s="2" t="s">
        <x:v>458</x:v>
      </x:c>
      <x:c r="AI808" s="4">
        <x:v>16</x:v>
      </x:c>
      <x:c r="AJ808" s="2" t="s">
        <x:v>2514</x:v>
      </x:c>
      <x:c r="AK808" s="2" t="s">
        <x:v>460</x:v>
      </x:c>
      <x:c r="AL808" s="2" t="s">
        <x:v>1550</x:v>
      </x:c>
      <x:c r="AM808" s="2">
        <x:v>38</x:v>
      </x:c>
      <x:c r="AN808" s="2">
        <x:v>38</x:v>
      </x:c>
    </x:row>
    <x:row r="809" ht="39">
      <x:c r="A809" s="2" t="s">
        <x:v>6</x:v>
      </x:c>
      <x:c r="B809" s="2" t="s">
        <x:v>18</x:v>
      </x:c>
      <x:c r="C809" s="3">
        <x:v>37</x:v>
      </x:c>
      <x:c r="D809" s="2" t="s">
        <x:v>2515</x:v>
      </x:c>
      <x:c r="E809" s="2" t="s">
        <x:v>2510</x:v>
      </x:c>
      <x:c r="F809" s="2" t="s">
        <x:v>464</x:v>
      </x:c>
      <x:c r="G809" s="2"/>
      <x:c r="H809" s="2" t="s">
        <x:v>627</x:v>
      </x:c>
      <x:c r="I809" s="2" t="s">
        <x:v>2511</x:v>
      </x:c>
      <x:c r="J809" s="2" t="s">
        <x:v>2468</x:v>
      </x:c>
      <x:c r="K809" s="2" t="n">
        <x:v>36</x:v>
      </x:c>
      <x:c r="L809" s="2" t="s">
        <x:v>2516</x:v>
      </x:c>
      <x:c r="M809" s="2"/>
      <x:c r="N809" s="2"/>
      <x:c r="O809" s="2" t="s">
        <x:v>2470</x:v>
      </x:c>
      <x:c r="P809" s="2" t="s">
        <x:v>2517</x:v>
      </x:c>
      <x:c r="Q809" s="2"/>
      <x:c r="R809" s="3">
        <x:v>2</x:v>
      </x:c>
      <x:c r="S809" s="3"/>
      <x:c r="T809" s="2"/>
      <x:c r="U809" s="2"/>
      <x:c r="V809" s="2"/>
      <x:c r="W809" s="2"/>
      <x:c r="X809" s="3"/>
      <x:c r="Y809" s="3"/>
      <x:c r="Z809" s="2"/>
      <x:c r="AA809" s="2"/>
      <x:c r="AB809" s="2"/>
      <x:c r="AC809" s="2"/>
      <x:c r="AD809" s="2" t="s">
        <x:v>469</x:v>
      </x:c>
      <x:c r="AE809" s="2"/>
      <x:c r="AF809" s="2"/>
      <x:c r="AG809" s="2"/>
      <x:c r="AH809" s="2" t="s">
        <x:v>458</x:v>
      </x:c>
      <x:c r="AI809" s="4">
        <x:v>16</x:v>
      </x:c>
      <x:c r="AJ809" s="2" t="s">
        <x:v>2472</x:v>
      </x:c>
      <x:c r="AK809" s="2" t="s">
        <x:v>460</x:v>
      </x:c>
      <x:c r="AL809" s="2" t="s">
        <x:v>1550</x:v>
      </x:c>
      <x:c r="AM809" s="2">
        <x:v>39</x:v>
      </x:c>
      <x:c r="AN809" s="2">
        <x:v>39</x:v>
      </x:c>
    </x:row>
    <x:row r="810" ht="39">
      <x:c r="A810" s="2" t="s">
        <x:v>91</x:v>
      </x:c>
      <x:c r="B810" s="2" t="s">
        <x:v>18</x:v>
      </x:c>
      <x:c r="C810" s="3">
        <x:v>38</x:v>
      </x:c>
      <x:c r="D810" s="2" t="s">
        <x:v>2518</x:v>
      </x:c>
      <x:c r="E810" s="2" t="s">
        <x:v>2510</x:v>
      </x:c>
      <x:c r="F810" s="2" t="s">
        <x:v>464</x:v>
      </x:c>
      <x:c r="G810" s="2" t="s">
        <x:v>2283</x:v>
      </x:c>
      <x:c r="H810" s="2" t="s">
        <x:v>634</x:v>
      </x:c>
      <x:c r="I810" s="2" t="s">
        <x:v>2511</x:v>
      </x:c>
      <x:c r="J810" s="2" t="s">
        <x:v>477</x:v>
      </x:c>
      <x:c r="K810" s="2" t="n">
        <x:v>36</x:v>
      </x:c>
      <x:c r="L810" s="2" t="s">
        <x:v>2512</x:v>
      </x:c>
      <x:c r="M810" s="2"/>
      <x:c r="N810" s="2"/>
      <x:c r="O810" s="2" t="s">
        <x:v>2474</x:v>
      </x:c>
      <x:c r="P810" s="2" t="s">
        <x:v>2475</x:v>
      </x:c>
      <x:c r="Q810" s="2"/>
      <x:c r="R810" s="3">
        <x:v>2</x:v>
      </x:c>
      <x:c r="S810" s="3"/>
      <x:c r="T810" s="2"/>
      <x:c r="U810" s="2"/>
      <x:c r="V810" s="2"/>
      <x:c r="W810" s="2"/>
      <x:c r="X810" s="3"/>
      <x:c r="Y810" s="3"/>
      <x:c r="Z810" s="2"/>
      <x:c r="AA810" s="2"/>
      <x:c r="AB810" s="2"/>
      <x:c r="AC810" s="2"/>
      <x:c r="AD810" s="2" t="s">
        <x:v>469</x:v>
      </x:c>
      <x:c r="AE810" s="2"/>
      <x:c r="AF810" s="2"/>
      <x:c r="AG810" s="2"/>
      <x:c r="AH810" s="2" t="s">
        <x:v>458</x:v>
      </x:c>
      <x:c r="AI810" s="4">
        <x:v>16</x:v>
      </x:c>
      <x:c r="AJ810" s="2" t="s">
        <x:v>635</x:v>
      </x:c>
      <x:c r="AK810" s="2" t="s">
        <x:v>460</x:v>
      </x:c>
      <x:c r="AL810" s="2" t="s">
        <x:v>1550</x:v>
      </x:c>
      <x:c r="AM810" s="2">
        <x:v>40</x:v>
      </x:c>
      <x:c r="AN810" s="2">
        <x:v>40</x:v>
      </x:c>
    </x:row>
    <x:row r="811" ht="39">
      <x:c r="A811" s="2" t="s">
        <x:v>6</x:v>
      </x:c>
      <x:c r="B811" s="2" t="s">
        <x:v>18</x:v>
      </x:c>
      <x:c r="C811" s="3">
        <x:v>39</x:v>
      </x:c>
      <x:c r="D811" s="2" t="s">
        <x:v>2519</x:v>
      </x:c>
      <x:c r="E811" s="2" t="s">
        <x:v>2510</x:v>
      </x:c>
      <x:c r="F811" s="2" t="s">
        <x:v>464</x:v>
      </x:c>
      <x:c r="G811" s="2" t="s">
        <x:v>2520</x:v>
      </x:c>
      <x:c r="H811" s="2" t="s">
        <x:v>634</x:v>
      </x:c>
      <x:c r="I811" s="2" t="s">
        <x:v>2511</x:v>
      </x:c>
      <x:c r="J811" s="2" t="s">
        <x:v>2468</x:v>
      </x:c>
      <x:c r="K811" s="2" t="n">
        <x:v>36</x:v>
      </x:c>
      <x:c r="L811" s="2" t="s">
        <x:v>2516</x:v>
      </x:c>
      <x:c r="M811" s="2"/>
      <x:c r="N811" s="2"/>
      <x:c r="O811" s="2" t="s">
        <x:v>2477</x:v>
      </x:c>
      <x:c r="P811" s="2" t="s">
        <x:v>1057</x:v>
      </x:c>
      <x:c r="Q811" s="2"/>
      <x:c r="R811" s="3">
        <x:v>2</x:v>
      </x:c>
      <x:c r="S811" s="3"/>
      <x:c r="T811" s="2"/>
      <x:c r="U811" s="2"/>
      <x:c r="V811" s="2"/>
      <x:c r="W811" s="2"/>
      <x:c r="X811" s="3"/>
      <x:c r="Y811" s="3"/>
      <x:c r="Z811" s="2"/>
      <x:c r="AA811" s="2"/>
      <x:c r="AB811" s="2"/>
      <x:c r="AC811" s="2"/>
      <x:c r="AD811" s="2" t="s">
        <x:v>469</x:v>
      </x:c>
      <x:c r="AE811" s="2"/>
      <x:c r="AF811" s="2"/>
      <x:c r="AG811" s="2"/>
      <x:c r="AH811" s="2" t="s">
        <x:v>458</x:v>
      </x:c>
      <x:c r="AI811" s="4">
        <x:v>16</x:v>
      </x:c>
      <x:c r="AJ811" s="2" t="s">
        <x:v>2478</x:v>
      </x:c>
      <x:c r="AK811" s="2" t="s">
        <x:v>460</x:v>
      </x:c>
      <x:c r="AL811" s="2" t="s">
        <x:v>1550</x:v>
      </x:c>
      <x:c r="AM811" s="2">
        <x:v>41</x:v>
      </x:c>
      <x:c r="AN811" s="2">
        <x:v>41</x:v>
      </x:c>
    </x:row>
    <x:row r="812" ht="39">
      <x:c r="A812" s="2" t="s">
        <x:v>6</x:v>
      </x:c>
      <x:c r="B812" s="2" t="s">
        <x:v>18</x:v>
      </x:c>
      <x:c r="C812" s="3">
        <x:v>40</x:v>
      </x:c>
      <x:c r="D812" s="2" t="s">
        <x:v>449</x:v>
      </x:c>
      <x:c r="E812" s="2" t="s">
        <x:v>2521</x:v>
      </x:c>
      <x:c r="F812" s="2" t="s">
        <x:v>474</x:v>
      </x:c>
      <x:c r="G812" s="2"/>
      <x:c r="H812" s="2" t="s">
        <x:v>618</x:v>
      </x:c>
      <x:c r="I812" s="2" t="s">
        <x:v>2522</x:v>
      </x:c>
      <x:c r="J812" s="2" t="s">
        <x:v>454</x:v>
      </x:c>
      <x:c r="K812" s="2"/>
      <x:c r="L812" s="2" t="s">
        <x:v>2523</x:v>
      </x:c>
      <x:c r="M812" s="2"/>
      <x:c r="N812" s="2"/>
      <x:c r="O812" s="2" t="s">
        <x:v>2464</x:v>
      </x:c>
      <x:c r="P812" s="2" t="s">
        <x:v>2524</x:v>
      </x:c>
      <x:c r="Q812" s="2"/>
      <x:c r="R812" s="3">
        <x:v>2</x:v>
      </x:c>
      <x:c r="S812" s="3"/>
      <x:c r="T812" s="2"/>
      <x:c r="U812" s="2"/>
      <x:c r="V812" s="2"/>
      <x:c r="W812" s="2"/>
      <x:c r="X812" s="3"/>
      <x:c r="Y812" s="3"/>
      <x:c r="Z812" s="2"/>
      <x:c r="AA812" s="2"/>
      <x:c r="AB812" s="2"/>
      <x:c r="AC812" s="2"/>
      <x:c r="AD812" s="2" t="s">
        <x:v>480</x:v>
      </x:c>
      <x:c r="AE812" s="2"/>
      <x:c r="AF812" s="2"/>
      <x:c r="AG812" s="2"/>
      <x:c r="AH812" s="2" t="s">
        <x:v>470</x:v>
      </x:c>
      <x:c r="AI812" s="4">
        <x:v>8</x:v>
      </x:c>
      <x:c r="AJ812" s="2" t="s">
        <x:v>2525</x:v>
      </x:c>
      <x:c r="AK812" s="2" t="s">
        <x:v>460</x:v>
      </x:c>
      <x:c r="AL812" s="2" t="s">
        <x:v>1550</x:v>
      </x:c>
      <x:c r="AM812" s="2">
        <x:v>42</x:v>
      </x:c>
      <x:c r="AN812" s="2">
        <x:v>42</x:v>
      </x:c>
    </x:row>
    <x:row r="813" ht="39">
      <x:c r="A813" s="2" t="s">
        <x:v>6</x:v>
      </x:c>
      <x:c r="B813" s="2" t="s">
        <x:v>18</x:v>
      </x:c>
      <x:c r="C813" s="3">
        <x:v>41</x:v>
      </x:c>
      <x:c r="D813" s="2" t="s">
        <x:v>2526</x:v>
      </x:c>
      <x:c r="E813" s="2" t="s">
        <x:v>2521</x:v>
      </x:c>
      <x:c r="F813" s="2" t="s">
        <x:v>474</x:v>
      </x:c>
      <x:c r="G813" s="2"/>
      <x:c r="H813" s="2" t="s">
        <x:v>627</x:v>
      </x:c>
      <x:c r="I813" s="2" t="s">
        <x:v>2522</x:v>
      </x:c>
      <x:c r="J813" s="2" t="s">
        <x:v>2468</x:v>
      </x:c>
      <x:c r="K813" s="2" t="n">
        <x:v>40</x:v>
      </x:c>
      <x:c r="L813" s="2" t="s">
        <x:v>2527</x:v>
      </x:c>
      <x:c r="M813" s="2"/>
      <x:c r="N813" s="2"/>
      <x:c r="O813" s="2" t="s">
        <x:v>2470</x:v>
      </x:c>
      <x:c r="P813" s="2" t="s">
        <x:v>2528</x:v>
      </x:c>
      <x:c r="Q813" s="2"/>
      <x:c r="R813" s="3">
        <x:v>2</x:v>
      </x:c>
      <x:c r="S813" s="3"/>
      <x:c r="T813" s="2"/>
      <x:c r="U813" s="2"/>
      <x:c r="V813" s="2"/>
      <x:c r="W813" s="2"/>
      <x:c r="X813" s="3"/>
      <x:c r="Y813" s="3"/>
      <x:c r="Z813" s="2"/>
      <x:c r="AA813" s="2"/>
      <x:c r="AB813" s="2"/>
      <x:c r="AC813" s="2"/>
      <x:c r="AD813" s="2" t="s">
        <x:v>480</x:v>
      </x:c>
      <x:c r="AE813" s="2"/>
      <x:c r="AF813" s="2"/>
      <x:c r="AG813" s="2"/>
      <x:c r="AH813" s="2" t="s">
        <x:v>470</x:v>
      </x:c>
      <x:c r="AI813" s="4">
        <x:v>8</x:v>
      </x:c>
      <x:c r="AJ813" s="2" t="s">
        <x:v>2472</x:v>
      </x:c>
      <x:c r="AK813" s="2" t="s">
        <x:v>460</x:v>
      </x:c>
      <x:c r="AL813" s="2" t="s">
        <x:v>1550</x:v>
      </x:c>
      <x:c r="AM813" s="2">
        <x:v>43</x:v>
      </x:c>
      <x:c r="AN813" s="2">
        <x:v>43</x:v>
      </x:c>
    </x:row>
    <x:row r="814" ht="39">
      <x:c r="A814" s="2" t="s">
        <x:v>91</x:v>
      </x:c>
      <x:c r="B814" s="2" t="s">
        <x:v>18</x:v>
      </x:c>
      <x:c r="C814" s="3">
        <x:v>42</x:v>
      </x:c>
      <x:c r="D814" s="2" t="s">
        <x:v>2529</x:v>
      </x:c>
      <x:c r="E814" s="2" t="s">
        <x:v>2521</x:v>
      </x:c>
      <x:c r="F814" s="2" t="s">
        <x:v>474</x:v>
      </x:c>
      <x:c r="G814" s="2" t="s">
        <x:v>2530</x:v>
      </x:c>
      <x:c r="H814" s="2" t="s">
        <x:v>634</x:v>
      </x:c>
      <x:c r="I814" s="2" t="s">
        <x:v>2522</x:v>
      </x:c>
      <x:c r="J814" s="2" t="s">
        <x:v>454</x:v>
      </x:c>
      <x:c r="K814" s="2" t="n">
        <x:v>40</x:v>
      </x:c>
      <x:c r="L814" s="2" t="s">
        <x:v>2523</x:v>
      </x:c>
      <x:c r="M814" s="2"/>
      <x:c r="N814" s="2"/>
      <x:c r="O814" s="2" t="s">
        <x:v>2474</x:v>
      </x:c>
      <x:c r="P814" s="2" t="s">
        <x:v>2475</x:v>
      </x:c>
      <x:c r="Q814" s="2"/>
      <x:c r="R814" s="3">
        <x:v>2</x:v>
      </x:c>
      <x:c r="S814" s="3"/>
      <x:c r="T814" s="2"/>
      <x:c r="U814" s="2"/>
      <x:c r="V814" s="2"/>
      <x:c r="W814" s="2"/>
      <x:c r="X814" s="3"/>
      <x:c r="Y814" s="3"/>
      <x:c r="Z814" s="2"/>
      <x:c r="AA814" s="2"/>
      <x:c r="AB814" s="2"/>
      <x:c r="AC814" s="2"/>
      <x:c r="AD814" s="2" t="s">
        <x:v>480</x:v>
      </x:c>
      <x:c r="AE814" s="2"/>
      <x:c r="AF814" s="2"/>
      <x:c r="AG814" s="2"/>
      <x:c r="AH814" s="2" t="s">
        <x:v>470</x:v>
      </x:c>
      <x:c r="AI814" s="4">
        <x:v>8</x:v>
      </x:c>
      <x:c r="AJ814" s="2" t="s">
        <x:v>635</x:v>
      </x:c>
      <x:c r="AK814" s="2" t="s">
        <x:v>460</x:v>
      </x:c>
      <x:c r="AL814" s="2" t="s">
        <x:v>1550</x:v>
      </x:c>
      <x:c r="AM814" s="2">
        <x:v>44</x:v>
      </x:c>
      <x:c r="AN814" s="2">
        <x:v>44</x:v>
      </x:c>
    </x:row>
    <x:row r="815" ht="39">
      <x:c r="A815" s="2" t="s">
        <x:v>6</x:v>
      </x:c>
      <x:c r="B815" s="2" t="s">
        <x:v>18</x:v>
      </x:c>
      <x:c r="C815" s="3">
        <x:v>43</x:v>
      </x:c>
      <x:c r="D815" s="2" t="s">
        <x:v>2531</x:v>
      </x:c>
      <x:c r="E815" s="2" t="s">
        <x:v>2521</x:v>
      </x:c>
      <x:c r="F815" s="2" t="s">
        <x:v>474</x:v>
      </x:c>
      <x:c r="G815" s="2"/>
      <x:c r="H815" s="2" t="s">
        <x:v>634</x:v>
      </x:c>
      <x:c r="I815" s="2" t="s">
        <x:v>2522</x:v>
      </x:c>
      <x:c r="J815" s="2" t="s">
        <x:v>2468</x:v>
      </x:c>
      <x:c r="K815" s="2" t="n">
        <x:v>40</x:v>
      </x:c>
      <x:c r="L815" s="2" t="s">
        <x:v>2527</x:v>
      </x:c>
      <x:c r="M815" s="2"/>
      <x:c r="N815" s="2"/>
      <x:c r="O815" s="2" t="s">
        <x:v>2477</x:v>
      </x:c>
      <x:c r="P815" s="2" t="s">
        <x:v>1057</x:v>
      </x:c>
      <x:c r="Q815" s="2"/>
      <x:c r="R815" s="3">
        <x:v>2</x:v>
      </x:c>
      <x:c r="S815" s="3"/>
      <x:c r="T815" s="2"/>
      <x:c r="U815" s="2"/>
      <x:c r="V815" s="2"/>
      <x:c r="W815" s="2"/>
      <x:c r="X815" s="3"/>
      <x:c r="Y815" s="3"/>
      <x:c r="Z815" s="2"/>
      <x:c r="AA815" s="2"/>
      <x:c r="AB815" s="2"/>
      <x:c r="AC815" s="2"/>
      <x:c r="AD815" s="2" t="s">
        <x:v>480</x:v>
      </x:c>
      <x:c r="AE815" s="2"/>
      <x:c r="AF815" s="2"/>
      <x:c r="AG815" s="2"/>
      <x:c r="AH815" s="2" t="s">
        <x:v>470</x:v>
      </x:c>
      <x:c r="AI815" s="4">
        <x:v>8</x:v>
      </x:c>
      <x:c r="AJ815" s="2" t="s">
        <x:v>2478</x:v>
      </x:c>
      <x:c r="AK815" s="2" t="s">
        <x:v>460</x:v>
      </x:c>
      <x:c r="AL815" s="2" t="s">
        <x:v>1550</x:v>
      </x:c>
      <x:c r="AM815" s="2">
        <x:v>45</x:v>
      </x:c>
      <x:c r="AN815" s="2">
        <x:v>45</x:v>
      </x:c>
    </x:row>
    <x:row r="816" ht="39">
      <x:c r="A816" s="2" t="s">
        <x:v>6</x:v>
      </x:c>
      <x:c r="B816" s="2" t="s">
        <x:v>18</x:v>
      </x:c>
      <x:c r="C816" s="3">
        <x:v>44</x:v>
      </x:c>
      <x:c r="D816" s="2" t="s">
        <x:v>505</x:v>
      </x:c>
      <x:c r="E816" s="2" t="s">
        <x:v>2532</x:v>
      </x:c>
      <x:c r="F816" s="2" t="s">
        <x:v>464</x:v>
      </x:c>
      <x:c r="G816" s="2"/>
      <x:c r="H816" s="2" t="s">
        <x:v>618</x:v>
      </x:c>
      <x:c r="I816" s="2" t="s">
        <x:v>2533</x:v>
      </x:c>
      <x:c r="J816" s="2" t="s">
        <x:v>477</x:v>
      </x:c>
      <x:c r="K816" s="2"/>
      <x:c r="L816" s="2" t="s">
        <x:v>2534</x:v>
      </x:c>
      <x:c r="M816" s="2"/>
      <x:c r="N816" s="2"/>
      <x:c r="O816" s="2" t="s">
        <x:v>2464</x:v>
      </x:c>
      <x:c r="P816" s="2" t="s">
        <x:v>2535</x:v>
      </x:c>
      <x:c r="Q816" s="2"/>
      <x:c r="R816" s="3">
        <x:v>2</x:v>
      </x:c>
      <x:c r="S816" s="3"/>
      <x:c r="T816" s="2"/>
      <x:c r="U816" s="2"/>
      <x:c r="V816" s="2"/>
      <x:c r="W816" s="2"/>
      <x:c r="X816" s="3"/>
      <x:c r="Y816" s="3"/>
      <x:c r="Z816" s="2"/>
      <x:c r="AA816" s="2"/>
      <x:c r="AB816" s="2"/>
      <x:c r="AC816" s="2"/>
      <x:c r="AD816" s="2" t="s">
        <x:v>469</x:v>
      </x:c>
      <x:c r="AE816" s="2"/>
      <x:c r="AF816" s="2"/>
      <x:c r="AG816" s="2"/>
      <x:c r="AH816" s="2" t="s">
        <x:v>470</x:v>
      </x:c>
      <x:c r="AI816" s="4">
        <x:v>8</x:v>
      </x:c>
      <x:c r="AJ816" s="2" t="s">
        <x:v>2466</x:v>
      </x:c>
      <x:c r="AK816" s="2" t="s">
        <x:v>460</x:v>
      </x:c>
      <x:c r="AL816" s="2" t="s">
        <x:v>1550</x:v>
      </x:c>
      <x:c r="AM816" s="2">
        <x:v>46</x:v>
      </x:c>
      <x:c r="AN816" s="2">
        <x:v>46</x:v>
      </x:c>
    </x:row>
    <x:row r="817" ht="39">
      <x:c r="A817" s="2" t="s">
        <x:v>6</x:v>
      </x:c>
      <x:c r="B817" s="2" t="s">
        <x:v>18</x:v>
      </x:c>
      <x:c r="C817" s="3">
        <x:v>45</x:v>
      </x:c>
      <x:c r="D817" s="2" t="s">
        <x:v>2467</x:v>
      </x:c>
      <x:c r="E817" s="2" t="s">
        <x:v>2532</x:v>
      </x:c>
      <x:c r="F817" s="2" t="s">
        <x:v>464</x:v>
      </x:c>
      <x:c r="G817" s="2"/>
      <x:c r="H817" s="2" t="s">
        <x:v>627</x:v>
      </x:c>
      <x:c r="I817" s="2" t="s">
        <x:v>2533</x:v>
      </x:c>
      <x:c r="J817" s="2" t="s">
        <x:v>2468</x:v>
      </x:c>
      <x:c r="K817" s="2" t="n">
        <x:v>44</x:v>
      </x:c>
      <x:c r="L817" s="2" t="s">
        <x:v>2536</x:v>
      </x:c>
      <x:c r="M817" s="2"/>
      <x:c r="N817" s="2"/>
      <x:c r="O817" s="2" t="s">
        <x:v>2470</x:v>
      </x:c>
      <x:c r="P817" s="2" t="s">
        <x:v>2537</x:v>
      </x:c>
      <x:c r="Q817" s="2"/>
      <x:c r="R817" s="3">
        <x:v>2</x:v>
      </x:c>
      <x:c r="S817" s="3"/>
      <x:c r="T817" s="2"/>
      <x:c r="U817" s="2"/>
      <x:c r="V817" s="2"/>
      <x:c r="W817" s="2"/>
      <x:c r="X817" s="3"/>
      <x:c r="Y817" s="3"/>
      <x:c r="Z817" s="2"/>
      <x:c r="AA817" s="2"/>
      <x:c r="AB817" s="2"/>
      <x:c r="AC817" s="2"/>
      <x:c r="AD817" s="2" t="s">
        <x:v>469</x:v>
      </x:c>
      <x:c r="AE817" s="2"/>
      <x:c r="AF817" s="2"/>
      <x:c r="AG817" s="2"/>
      <x:c r="AH817" s="2" t="s">
        <x:v>470</x:v>
      </x:c>
      <x:c r="AI817" s="4">
        <x:v>8</x:v>
      </x:c>
      <x:c r="AJ817" s="2" t="s">
        <x:v>2472</x:v>
      </x:c>
      <x:c r="AK817" s="2" t="s">
        <x:v>460</x:v>
      </x:c>
      <x:c r="AL817" s="2" t="s">
        <x:v>1550</x:v>
      </x:c>
      <x:c r="AM817" s="2">
        <x:v>47</x:v>
      </x:c>
      <x:c r="AN817" s="2">
        <x:v>47</x:v>
      </x:c>
    </x:row>
    <x:row r="818" ht="39">
      <x:c r="A818" s="2" t="s">
        <x:v>6</x:v>
      </x:c>
      <x:c r="B818" s="2" t="s">
        <x:v>18</x:v>
      </x:c>
      <x:c r="C818" s="3">
        <x:v>46</x:v>
      </x:c>
      <x:c r="D818" s="2" t="s">
        <x:v>2538</x:v>
      </x:c>
      <x:c r="E818" s="2" t="s">
        <x:v>2532</x:v>
      </x:c>
      <x:c r="F818" s="2" t="s">
        <x:v>464</x:v>
      </x:c>
      <x:c r="G818" s="2"/>
      <x:c r="H818" s="2" t="s">
        <x:v>634</x:v>
      </x:c>
      <x:c r="I818" s="2" t="s">
        <x:v>2533</x:v>
      </x:c>
      <x:c r="J818" s="2" t="s">
        <x:v>477</x:v>
      </x:c>
      <x:c r="K818" s="2" t="n">
        <x:v>44</x:v>
      </x:c>
      <x:c r="L818" s="2" t="s">
        <x:v>2534</x:v>
      </x:c>
      <x:c r="M818" s="2"/>
      <x:c r="N818" s="2"/>
      <x:c r="O818" s="2" t="s">
        <x:v>2474</x:v>
      </x:c>
      <x:c r="P818" s="2" t="s">
        <x:v>2475</x:v>
      </x:c>
      <x:c r="Q818" s="2"/>
      <x:c r="R818" s="3">
        <x:v>2</x:v>
      </x:c>
      <x:c r="S818" s="3"/>
      <x:c r="T818" s="2"/>
      <x:c r="U818" s="2"/>
      <x:c r="V818" s="2"/>
      <x:c r="W818" s="2"/>
      <x:c r="X818" s="3"/>
      <x:c r="Y818" s="3"/>
      <x:c r="Z818" s="2"/>
      <x:c r="AA818" s="2"/>
      <x:c r="AB818" s="2"/>
      <x:c r="AC818" s="2"/>
      <x:c r="AD818" s="2" t="s">
        <x:v>469</x:v>
      </x:c>
      <x:c r="AE818" s="2"/>
      <x:c r="AF818" s="2"/>
      <x:c r="AG818" s="2"/>
      <x:c r="AH818" s="2" t="s">
        <x:v>470</x:v>
      </x:c>
      <x:c r="AI818" s="4">
        <x:v>8</x:v>
      </x:c>
      <x:c r="AJ818" s="2" t="s">
        <x:v>635</x:v>
      </x:c>
      <x:c r="AK818" s="2" t="s">
        <x:v>460</x:v>
      </x:c>
      <x:c r="AL818" s="2" t="s">
        <x:v>1550</x:v>
      </x:c>
      <x:c r="AM818" s="2">
        <x:v>48</x:v>
      </x:c>
      <x:c r="AN818" s="2">
        <x:v>48</x:v>
      </x:c>
    </x:row>
    <x:row r="819" ht="39">
      <x:c r="A819" s="2" t="s">
        <x:v>6</x:v>
      </x:c>
      <x:c r="B819" s="2" t="s">
        <x:v>18</x:v>
      </x:c>
      <x:c r="C819" s="3">
        <x:v>47</x:v>
      </x:c>
      <x:c r="D819" s="2" t="s">
        <x:v>2539</x:v>
      </x:c>
      <x:c r="E819" s="2" t="s">
        <x:v>2532</x:v>
      </x:c>
      <x:c r="F819" s="2" t="s">
        <x:v>464</x:v>
      </x:c>
      <x:c r="G819" s="2"/>
      <x:c r="H819" s="2" t="s">
        <x:v>634</x:v>
      </x:c>
      <x:c r="I819" s="2" t="s">
        <x:v>2533</x:v>
      </x:c>
      <x:c r="J819" s="2" t="s">
        <x:v>2468</x:v>
      </x:c>
      <x:c r="K819" s="2" t="n">
        <x:v>44</x:v>
      </x:c>
      <x:c r="L819" s="2" t="s">
        <x:v>2536</x:v>
      </x:c>
      <x:c r="M819" s="2"/>
      <x:c r="N819" s="2"/>
      <x:c r="O819" s="2" t="s">
        <x:v>2477</x:v>
      </x:c>
      <x:c r="P819" s="2" t="s">
        <x:v>1057</x:v>
      </x:c>
      <x:c r="Q819" s="2"/>
      <x:c r="R819" s="3">
        <x:v>2</x:v>
      </x:c>
      <x:c r="S819" s="3"/>
      <x:c r="T819" s="2"/>
      <x:c r="U819" s="2"/>
      <x:c r="V819" s="2"/>
      <x:c r="W819" s="2"/>
      <x:c r="X819" s="3"/>
      <x:c r="Y819" s="3"/>
      <x:c r="Z819" s="2"/>
      <x:c r="AA819" s="2"/>
      <x:c r="AB819" s="2"/>
      <x:c r="AC819" s="2"/>
      <x:c r="AD819" s="2" t="s">
        <x:v>469</x:v>
      </x:c>
      <x:c r="AE819" s="2"/>
      <x:c r="AF819" s="2"/>
      <x:c r="AG819" s="2"/>
      <x:c r="AH819" s="2" t="s">
        <x:v>470</x:v>
      </x:c>
      <x:c r="AI819" s="4">
        <x:v>8</x:v>
      </x:c>
      <x:c r="AJ819" s="2" t="s">
        <x:v>2478</x:v>
      </x:c>
      <x:c r="AK819" s="2" t="s">
        <x:v>460</x:v>
      </x:c>
      <x:c r="AL819" s="2" t="s">
        <x:v>1550</x:v>
      </x:c>
      <x:c r="AM819" s="2">
        <x:v>49</x:v>
      </x:c>
      <x:c r="AN819" s="2">
        <x:v>49</x:v>
      </x:c>
    </x:row>
    <x:row r="820" ht="39">
      <x:c r="A820" s="2" t="s">
        <x:v>6</x:v>
      </x:c>
      <x:c r="B820" s="2" t="s">
        <x:v>18</x:v>
      </x:c>
      <x:c r="C820" s="3">
        <x:v>48</x:v>
      </x:c>
      <x:c r="D820" s="2" t="s">
        <x:v>462</x:v>
      </x:c>
      <x:c r="E820" s="2" t="s">
        <x:v>2540</x:v>
      </x:c>
      <x:c r="F820" s="2" t="s">
        <x:v>474</x:v>
      </x:c>
      <x:c r="G820" s="2"/>
      <x:c r="H820" s="2" t="s">
        <x:v>618</x:v>
      </x:c>
      <x:c r="I820" s="2" t="s">
        <x:v>2541</x:v>
      </x:c>
      <x:c r="J820" s="2" t="s">
        <x:v>454</x:v>
      </x:c>
      <x:c r="K820" s="2"/>
      <x:c r="L820" s="2" t="s">
        <x:v>2542</x:v>
      </x:c>
      <x:c r="M820" s="2"/>
      <x:c r="N820" s="2"/>
      <x:c r="O820" s="2" t="s">
        <x:v>2464</x:v>
      </x:c>
      <x:c r="P820" s="2" t="s">
        <x:v>2543</x:v>
      </x:c>
      <x:c r="Q820" s="2"/>
      <x:c r="R820" s="3">
        <x:v>2</x:v>
      </x:c>
      <x:c r="S820" s="3"/>
      <x:c r="T820" s="2"/>
      <x:c r="U820" s="2"/>
      <x:c r="V820" s="2"/>
      <x:c r="W820" s="2"/>
      <x:c r="X820" s="3"/>
      <x:c r="Y820" s="3"/>
      <x:c r="Z820" s="2"/>
      <x:c r="AA820" s="2"/>
      <x:c r="AB820" s="2"/>
      <x:c r="AC820" s="2"/>
      <x:c r="AD820" s="2" t="s">
        <x:v>480</x:v>
      </x:c>
      <x:c r="AE820" s="2"/>
      <x:c r="AF820" s="2"/>
      <x:c r="AG820" s="2"/>
      <x:c r="AH820" s="2" t="s">
        <x:v>458</x:v>
      </x:c>
      <x:c r="AI820" s="4">
        <x:v>12</x:v>
      </x:c>
      <x:c r="AJ820" s="2" t="s">
        <x:v>2484</x:v>
      </x:c>
      <x:c r="AK820" s="2" t="s">
        <x:v>460</x:v>
      </x:c>
      <x:c r="AL820" s="2" t="s">
        <x:v>1550</x:v>
      </x:c>
      <x:c r="AM820" s="2">
        <x:v>50</x:v>
      </x:c>
      <x:c r="AN820" s="2">
        <x:v>50</x:v>
      </x:c>
    </x:row>
    <x:row r="821" ht="39">
      <x:c r="A821" s="2" t="s">
        <x:v>6</x:v>
      </x:c>
      <x:c r="B821" s="2" t="s">
        <x:v>18</x:v>
      </x:c>
      <x:c r="C821" s="3">
        <x:v>49</x:v>
      </x:c>
      <x:c r="D821" s="2" t="s">
        <x:v>2485</x:v>
      </x:c>
      <x:c r="E821" s="2" t="s">
        <x:v>2540</x:v>
      </x:c>
      <x:c r="F821" s="2" t="s">
        <x:v>474</x:v>
      </x:c>
      <x:c r="G821" s="2"/>
      <x:c r="H821" s="2" t="s">
        <x:v>627</x:v>
      </x:c>
      <x:c r="I821" s="2" t="s">
        <x:v>2541</x:v>
      </x:c>
      <x:c r="J821" s="2" t="s">
        <x:v>2468</x:v>
      </x:c>
      <x:c r="K821" s="2" t="n">
        <x:v>48</x:v>
      </x:c>
      <x:c r="L821" s="2" t="s">
        <x:v>2544</x:v>
      </x:c>
      <x:c r="M821" s="2"/>
      <x:c r="N821" s="2"/>
      <x:c r="O821" s="2" t="s">
        <x:v>2470</x:v>
      </x:c>
      <x:c r="P821" s="2" t="s">
        <x:v>2545</x:v>
      </x:c>
      <x:c r="Q821" s="2"/>
      <x:c r="R821" s="3">
        <x:v>2</x:v>
      </x:c>
      <x:c r="S821" s="3"/>
      <x:c r="T821" s="2"/>
      <x:c r="U821" s="2"/>
      <x:c r="V821" s="2"/>
      <x:c r="W821" s="2"/>
      <x:c r="X821" s="3"/>
      <x:c r="Y821" s="3"/>
      <x:c r="Z821" s="2"/>
      <x:c r="AA821" s="2"/>
      <x:c r="AB821" s="2"/>
      <x:c r="AC821" s="2"/>
      <x:c r="AD821" s="2" t="s">
        <x:v>480</x:v>
      </x:c>
      <x:c r="AE821" s="2"/>
      <x:c r="AF821" s="2"/>
      <x:c r="AG821" s="2"/>
      <x:c r="AH821" s="2" t="s">
        <x:v>458</x:v>
      </x:c>
      <x:c r="AI821" s="4">
        <x:v>12</x:v>
      </x:c>
      <x:c r="AJ821" s="2" t="s">
        <x:v>2472</x:v>
      </x:c>
      <x:c r="AK821" s="2" t="s">
        <x:v>460</x:v>
      </x:c>
      <x:c r="AL821" s="2" t="s">
        <x:v>1550</x:v>
      </x:c>
      <x:c r="AM821" s="2">
        <x:v>51</x:v>
      </x:c>
      <x:c r="AN821" s="2">
        <x:v>51</x:v>
      </x:c>
    </x:row>
    <x:row r="822" ht="39">
      <x:c r="A822" s="2" t="s">
        <x:v>91</x:v>
      </x:c>
      <x:c r="B822" s="2" t="s">
        <x:v>18</x:v>
      </x:c>
      <x:c r="C822" s="3">
        <x:v>50</x:v>
      </x:c>
      <x:c r="D822" s="2" t="s">
        <x:v>2546</x:v>
      </x:c>
      <x:c r="E822" s="2" t="s">
        <x:v>2540</x:v>
      </x:c>
      <x:c r="F822" s="2" t="s">
        <x:v>474</x:v>
      </x:c>
      <x:c r="G822" s="2" t="s">
        <x:v>2547</x:v>
      </x:c>
      <x:c r="H822" s="2" t="s">
        <x:v>634</x:v>
      </x:c>
      <x:c r="I822" s="2" t="s">
        <x:v>2541</x:v>
      </x:c>
      <x:c r="J822" s="2" t="s">
        <x:v>454</x:v>
      </x:c>
      <x:c r="K822" s="2" t="n">
        <x:v>48</x:v>
      </x:c>
      <x:c r="L822" s="2" t="s">
        <x:v>2542</x:v>
      </x:c>
      <x:c r="M822" s="2"/>
      <x:c r="N822" s="2"/>
      <x:c r="O822" s="2" t="s">
        <x:v>2474</x:v>
      </x:c>
      <x:c r="P822" s="2" t="s">
        <x:v>2475</x:v>
      </x:c>
      <x:c r="Q822" s="2"/>
      <x:c r="R822" s="3">
        <x:v>2</x:v>
      </x:c>
      <x:c r="S822" s="3"/>
      <x:c r="T822" s="2"/>
      <x:c r="U822" s="2"/>
      <x:c r="V822" s="2"/>
      <x:c r="W822" s="2"/>
      <x:c r="X822" s="3"/>
      <x:c r="Y822" s="3"/>
      <x:c r="Z822" s="2"/>
      <x:c r="AA822" s="2"/>
      <x:c r="AB822" s="2"/>
      <x:c r="AC822" s="2"/>
      <x:c r="AD822" s="2" t="s">
        <x:v>480</x:v>
      </x:c>
      <x:c r="AE822" s="2"/>
      <x:c r="AF822" s="2"/>
      <x:c r="AG822" s="2"/>
      <x:c r="AH822" s="2" t="s">
        <x:v>458</x:v>
      </x:c>
      <x:c r="AI822" s="4">
        <x:v>12</x:v>
      </x:c>
      <x:c r="AJ822" s="2" t="s">
        <x:v>635</x:v>
      </x:c>
      <x:c r="AK822" s="2" t="s">
        <x:v>460</x:v>
      </x:c>
      <x:c r="AL822" s="2" t="s">
        <x:v>1550</x:v>
      </x:c>
      <x:c r="AM822" s="2">
        <x:v>52</x:v>
      </x:c>
      <x:c r="AN822" s="2">
        <x:v>52</x:v>
      </x:c>
    </x:row>
    <x:row r="823" ht="39">
      <x:c r="A823" s="2" t="s">
        <x:v>6</x:v>
      </x:c>
      <x:c r="B823" s="2" t="s">
        <x:v>18</x:v>
      </x:c>
      <x:c r="C823" s="3">
        <x:v>51</x:v>
      </x:c>
      <x:c r="D823" s="2" t="s">
        <x:v>2548</x:v>
      </x:c>
      <x:c r="E823" s="2" t="s">
        <x:v>2540</x:v>
      </x:c>
      <x:c r="F823" s="2" t="s">
        <x:v>474</x:v>
      </x:c>
      <x:c r="G823" s="2"/>
      <x:c r="H823" s="2" t="s">
        <x:v>634</x:v>
      </x:c>
      <x:c r="I823" s="2" t="s">
        <x:v>2541</x:v>
      </x:c>
      <x:c r="J823" s="2" t="s">
        <x:v>2468</x:v>
      </x:c>
      <x:c r="K823" s="2" t="n">
        <x:v>48</x:v>
      </x:c>
      <x:c r="L823" s="2" t="s">
        <x:v>2544</x:v>
      </x:c>
      <x:c r="M823" s="2"/>
      <x:c r="N823" s="2"/>
      <x:c r="O823" s="2" t="s">
        <x:v>2477</x:v>
      </x:c>
      <x:c r="P823" s="2" t="s">
        <x:v>1057</x:v>
      </x:c>
      <x:c r="Q823" s="2"/>
      <x:c r="R823" s="3">
        <x:v>2</x:v>
      </x:c>
      <x:c r="S823" s="3"/>
      <x:c r="T823" s="2"/>
      <x:c r="U823" s="2"/>
      <x:c r="V823" s="2"/>
      <x:c r="W823" s="2"/>
      <x:c r="X823" s="3"/>
      <x:c r="Y823" s="3"/>
      <x:c r="Z823" s="2"/>
      <x:c r="AA823" s="2"/>
      <x:c r="AB823" s="2"/>
      <x:c r="AC823" s="2"/>
      <x:c r="AD823" s="2" t="s">
        <x:v>480</x:v>
      </x:c>
      <x:c r="AE823" s="2"/>
      <x:c r="AF823" s="2"/>
      <x:c r="AG823" s="2"/>
      <x:c r="AH823" s="2" t="s">
        <x:v>458</x:v>
      </x:c>
      <x:c r="AI823" s="4">
        <x:v>12</x:v>
      </x:c>
      <x:c r="AJ823" s="2" t="s">
        <x:v>2478</x:v>
      </x:c>
      <x:c r="AK823" s="2" t="s">
        <x:v>460</x:v>
      </x:c>
      <x:c r="AL823" s="2" t="s">
        <x:v>1550</x:v>
      </x:c>
      <x:c r="AM823" s="2">
        <x:v>53</x:v>
      </x:c>
      <x:c r="AN823" s="2">
        <x:v>53</x:v>
      </x:c>
    </x:row>
    <x:row r="824" ht="39">
      <x:c r="A824" s="2" t="s">
        <x:v>91</x:v>
      </x:c>
      <x:c r="B824" s="2" t="s">
        <x:v>18</x:v>
      </x:c>
      <x:c r="C824" s="3">
        <x:v>52</x:v>
      </x:c>
      <x:c r="D824" s="2" t="s">
        <x:v>482</x:v>
      </x:c>
      <x:c r="E824" s="2" t="s">
        <x:v>2549</x:v>
      </x:c>
      <x:c r="F824" s="2" t="s">
        <x:v>464</x:v>
      </x:c>
      <x:c r="G824" s="2" t="s">
        <x:v>2550</x:v>
      </x:c>
      <x:c r="H824" s="2" t="s">
        <x:v>618</x:v>
      </x:c>
      <x:c r="I824" s="2" t="s">
        <x:v>2551</x:v>
      </x:c>
      <x:c r="J824" s="2" t="s">
        <x:v>477</x:v>
      </x:c>
      <x:c r="K824" s="2"/>
      <x:c r="L824" s="2" t="s">
        <x:v>2552</x:v>
      </x:c>
      <x:c r="M824" s="2"/>
      <x:c r="N824" s="2"/>
      <x:c r="O824" s="2" t="s">
        <x:v>2464</x:v>
      </x:c>
      <x:c r="P824" s="2" t="s">
        <x:v>2553</x:v>
      </x:c>
      <x:c r="Q824" s="2"/>
      <x:c r="R824" s="3">
        <x:v>2</x:v>
      </x:c>
      <x:c r="S824" s="3"/>
      <x:c r="T824" s="2"/>
      <x:c r="U824" s="2"/>
      <x:c r="V824" s="2"/>
      <x:c r="W824" s="2"/>
      <x:c r="X824" s="3"/>
      <x:c r="Y824" s="3"/>
      <x:c r="Z824" s="2"/>
      <x:c r="AA824" s="2"/>
      <x:c r="AB824" s="2"/>
      <x:c r="AC824" s="2"/>
      <x:c r="AD824" s="2" t="s">
        <x:v>469</x:v>
      </x:c>
      <x:c r="AE824" s="2"/>
      <x:c r="AF824" s="2"/>
      <x:c r="AG824" s="2"/>
      <x:c r="AH824" s="2" t="s">
        <x:v>458</x:v>
      </x:c>
      <x:c r="AI824" s="4">
        <x:v>12</x:v>
      </x:c>
      <x:c r="AJ824" s="2" t="s">
        <x:v>2494</x:v>
      </x:c>
      <x:c r="AK824" s="2" t="s">
        <x:v>460</x:v>
      </x:c>
      <x:c r="AL824" s="2" t="s">
        <x:v>1550</x:v>
      </x:c>
      <x:c r="AM824" s="2">
        <x:v>54</x:v>
      </x:c>
      <x:c r="AN824" s="2">
        <x:v>54</x:v>
      </x:c>
    </x:row>
    <x:row r="825" ht="39">
      <x:c r="A825" s="2" t="s">
        <x:v>6</x:v>
      </x:c>
      <x:c r="B825" s="2" t="s">
        <x:v>18</x:v>
      </x:c>
      <x:c r="C825" s="3">
        <x:v>53</x:v>
      </x:c>
      <x:c r="D825" s="2" t="s">
        <x:v>2495</x:v>
      </x:c>
      <x:c r="E825" s="2" t="s">
        <x:v>2549</x:v>
      </x:c>
      <x:c r="F825" s="2" t="s">
        <x:v>464</x:v>
      </x:c>
      <x:c r="G825" s="2"/>
      <x:c r="H825" s="2" t="s">
        <x:v>627</x:v>
      </x:c>
      <x:c r="I825" s="2" t="s">
        <x:v>2551</x:v>
      </x:c>
      <x:c r="J825" s="2" t="s">
        <x:v>2468</x:v>
      </x:c>
      <x:c r="K825" s="2" t="n">
        <x:v>52</x:v>
      </x:c>
      <x:c r="L825" s="2" t="s">
        <x:v>2554</x:v>
      </x:c>
      <x:c r="M825" s="2"/>
      <x:c r="N825" s="2"/>
      <x:c r="O825" s="2" t="s">
        <x:v>2470</x:v>
      </x:c>
      <x:c r="P825" s="2" t="s">
        <x:v>2555</x:v>
      </x:c>
      <x:c r="Q825" s="2"/>
      <x:c r="R825" s="3">
        <x:v>2</x:v>
      </x:c>
      <x:c r="S825" s="3"/>
      <x:c r="T825" s="2"/>
      <x:c r="U825" s="2"/>
      <x:c r="V825" s="2"/>
      <x:c r="W825" s="2"/>
      <x:c r="X825" s="3"/>
      <x:c r="Y825" s="3"/>
      <x:c r="Z825" s="2"/>
      <x:c r="AA825" s="2"/>
      <x:c r="AB825" s="2"/>
      <x:c r="AC825" s="2"/>
      <x:c r="AD825" s="2" t="s">
        <x:v>469</x:v>
      </x:c>
      <x:c r="AE825" s="2"/>
      <x:c r="AF825" s="2"/>
      <x:c r="AG825" s="2"/>
      <x:c r="AH825" s="2" t="s">
        <x:v>458</x:v>
      </x:c>
      <x:c r="AI825" s="4">
        <x:v>12</x:v>
      </x:c>
      <x:c r="AJ825" s="2" t="s">
        <x:v>2472</x:v>
      </x:c>
      <x:c r="AK825" s="2" t="s">
        <x:v>460</x:v>
      </x:c>
      <x:c r="AL825" s="2" t="s">
        <x:v>1550</x:v>
      </x:c>
      <x:c r="AM825" s="2">
        <x:v>55</x:v>
      </x:c>
      <x:c r="AN825" s="2">
        <x:v>55</x:v>
      </x:c>
    </x:row>
    <x:row r="826" ht="39">
      <x:c r="A826" s="2" t="s">
        <x:v>6</x:v>
      </x:c>
      <x:c r="B826" s="2" t="s">
        <x:v>18</x:v>
      </x:c>
      <x:c r="C826" s="3">
        <x:v>54</x:v>
      </x:c>
      <x:c r="D826" s="2" t="s">
        <x:v>2556</x:v>
      </x:c>
      <x:c r="E826" s="2" t="s">
        <x:v>2549</x:v>
      </x:c>
      <x:c r="F826" s="2" t="s">
        <x:v>464</x:v>
      </x:c>
      <x:c r="G826" s="2"/>
      <x:c r="H826" s="2" t="s">
        <x:v>634</x:v>
      </x:c>
      <x:c r="I826" s="2" t="s">
        <x:v>2551</x:v>
      </x:c>
      <x:c r="J826" s="2" t="s">
        <x:v>477</x:v>
      </x:c>
      <x:c r="K826" s="2" t="n">
        <x:v>52</x:v>
      </x:c>
      <x:c r="L826" s="2" t="s">
        <x:v>2552</x:v>
      </x:c>
      <x:c r="M826" s="2"/>
      <x:c r="N826" s="2"/>
      <x:c r="O826" s="2" t="s">
        <x:v>2474</x:v>
      </x:c>
      <x:c r="P826" s="2" t="s">
        <x:v>2475</x:v>
      </x:c>
      <x:c r="Q826" s="2"/>
      <x:c r="R826" s="3">
        <x:v>2</x:v>
      </x:c>
      <x:c r="S826" s="3"/>
      <x:c r="T826" s="2"/>
      <x:c r="U826" s="2"/>
      <x:c r="V826" s="2"/>
      <x:c r="W826" s="2"/>
      <x:c r="X826" s="3"/>
      <x:c r="Y826" s="3"/>
      <x:c r="Z826" s="2"/>
      <x:c r="AA826" s="2"/>
      <x:c r="AB826" s="2"/>
      <x:c r="AC826" s="2"/>
      <x:c r="AD826" s="2" t="s">
        <x:v>469</x:v>
      </x:c>
      <x:c r="AE826" s="2"/>
      <x:c r="AF826" s="2"/>
      <x:c r="AG826" s="2"/>
      <x:c r="AH826" s="2" t="s">
        <x:v>458</x:v>
      </x:c>
      <x:c r="AI826" s="4">
        <x:v>12</x:v>
      </x:c>
      <x:c r="AJ826" s="2" t="s">
        <x:v>635</x:v>
      </x:c>
      <x:c r="AK826" s="2" t="s">
        <x:v>460</x:v>
      </x:c>
      <x:c r="AL826" s="2" t="s">
        <x:v>1550</x:v>
      </x:c>
      <x:c r="AM826" s="2">
        <x:v>56</x:v>
      </x:c>
      <x:c r="AN826" s="2">
        <x:v>56</x:v>
      </x:c>
    </x:row>
    <x:row r="827" ht="39">
      <x:c r="A827" s="2" t="s">
        <x:v>6</x:v>
      </x:c>
      <x:c r="B827" s="2" t="s">
        <x:v>18</x:v>
      </x:c>
      <x:c r="C827" s="3">
        <x:v>55</x:v>
      </x:c>
      <x:c r="D827" s="2" t="s">
        <x:v>2557</x:v>
      </x:c>
      <x:c r="E827" s="2" t="s">
        <x:v>2549</x:v>
      </x:c>
      <x:c r="F827" s="2" t="s">
        <x:v>464</x:v>
      </x:c>
      <x:c r="G827" s="2"/>
      <x:c r="H827" s="2" t="s">
        <x:v>634</x:v>
      </x:c>
      <x:c r="I827" s="2" t="s">
        <x:v>2551</x:v>
      </x:c>
      <x:c r="J827" s="2" t="s">
        <x:v>2468</x:v>
      </x:c>
      <x:c r="K827" s="2" t="n">
        <x:v>52</x:v>
      </x:c>
      <x:c r="L827" s="2" t="s">
        <x:v>2554</x:v>
      </x:c>
      <x:c r="M827" s="2"/>
      <x:c r="N827" s="2"/>
      <x:c r="O827" s="2" t="s">
        <x:v>2477</x:v>
      </x:c>
      <x:c r="P827" s="2" t="s">
        <x:v>1057</x:v>
      </x:c>
      <x:c r="Q827" s="2"/>
      <x:c r="R827" s="3">
        <x:v>2</x:v>
      </x:c>
      <x:c r="S827" s="3"/>
      <x:c r="T827" s="2"/>
      <x:c r="U827" s="2"/>
      <x:c r="V827" s="2"/>
      <x:c r="W827" s="2"/>
      <x:c r="X827" s="3"/>
      <x:c r="Y827" s="3"/>
      <x:c r="Z827" s="2"/>
      <x:c r="AA827" s="2"/>
      <x:c r="AB827" s="2"/>
      <x:c r="AC827" s="2"/>
      <x:c r="AD827" s="2" t="s">
        <x:v>469</x:v>
      </x:c>
      <x:c r="AE827" s="2"/>
      <x:c r="AF827" s="2"/>
      <x:c r="AG827" s="2"/>
      <x:c r="AH827" s="2" t="s">
        <x:v>458</x:v>
      </x:c>
      <x:c r="AI827" s="4">
        <x:v>12</x:v>
      </x:c>
      <x:c r="AJ827" s="2" t="s">
        <x:v>2478</x:v>
      </x:c>
      <x:c r="AK827" s="2" t="s">
        <x:v>460</x:v>
      </x:c>
      <x:c r="AL827" s="2" t="s">
        <x:v>1550</x:v>
      </x:c>
      <x:c r="AM827" s="2">
        <x:v>57</x:v>
      </x:c>
      <x:c r="AN827" s="2">
        <x:v>57</x:v>
      </x:c>
    </x:row>
    <x:row r="828" ht="39">
      <x:c r="A828" s="2" t="s">
        <x:v>6</x:v>
      </x:c>
      <x:c r="B828" s="2" t="s">
        <x:v>18</x:v>
      </x:c>
      <x:c r="C828" s="3">
        <x:v>56</x:v>
      </x:c>
      <x:c r="D828" s="2" t="s">
        <x:v>516</x:v>
      </x:c>
      <x:c r="E828" s="2" t="s">
        <x:v>2558</x:v>
      </x:c>
      <x:c r="F828" s="2" t="s">
        <x:v>474</x:v>
      </x:c>
      <x:c r="G828" s="2"/>
      <x:c r="H828" s="2" t="s">
        <x:v>618</x:v>
      </x:c>
      <x:c r="I828" s="2" t="s">
        <x:v>2559</x:v>
      </x:c>
      <x:c r="J828" s="2" t="s">
        <x:v>454</x:v>
      </x:c>
      <x:c r="K828" s="2"/>
      <x:c r="L828" s="2" t="s">
        <x:v>2560</x:v>
      </x:c>
      <x:c r="M828" s="2"/>
      <x:c r="N828" s="2"/>
      <x:c r="O828" s="2" t="s">
        <x:v>2464</x:v>
      </x:c>
      <x:c r="P828" s="2" t="s">
        <x:v>2561</x:v>
      </x:c>
      <x:c r="Q828" s="2"/>
      <x:c r="R828" s="3">
        <x:v>2</x:v>
      </x:c>
      <x:c r="S828" s="3"/>
      <x:c r="T828" s="2"/>
      <x:c r="U828" s="2"/>
      <x:c r="V828" s="2"/>
      <x:c r="W828" s="2"/>
      <x:c r="X828" s="3"/>
      <x:c r="Y828" s="3"/>
      <x:c r="Z828" s="2"/>
      <x:c r="AA828" s="2"/>
      <x:c r="AB828" s="2"/>
      <x:c r="AC828" s="2"/>
      <x:c r="AD828" s="2" t="s">
        <x:v>480</x:v>
      </x:c>
      <x:c r="AE828" s="2"/>
      <x:c r="AF828" s="2"/>
      <x:c r="AG828" s="2"/>
      <x:c r="AH828" s="2" t="s">
        <x:v>470</x:v>
      </x:c>
      <x:c r="AI828" s="4">
        <x:v>16</x:v>
      </x:c>
      <x:c r="AJ828" s="2" t="s">
        <x:v>2504</x:v>
      </x:c>
      <x:c r="AK828" s="2" t="s">
        <x:v>460</x:v>
      </x:c>
      <x:c r="AL828" s="2" t="s">
        <x:v>1550</x:v>
      </x:c>
      <x:c r="AM828" s="2">
        <x:v>58</x:v>
      </x:c>
      <x:c r="AN828" s="2">
        <x:v>58</x:v>
      </x:c>
    </x:row>
    <x:row r="829" ht="39">
      <x:c r="A829" s="2" t="s">
        <x:v>6</x:v>
      </x:c>
      <x:c r="B829" s="2" t="s">
        <x:v>18</x:v>
      </x:c>
      <x:c r="C829" s="3">
        <x:v>57</x:v>
      </x:c>
      <x:c r="D829" s="2" t="s">
        <x:v>2505</x:v>
      </x:c>
      <x:c r="E829" s="2" t="s">
        <x:v>2558</x:v>
      </x:c>
      <x:c r="F829" s="2" t="s">
        <x:v>474</x:v>
      </x:c>
      <x:c r="G829" s="2"/>
      <x:c r="H829" s="2" t="s">
        <x:v>627</x:v>
      </x:c>
      <x:c r="I829" s="2" t="s">
        <x:v>2559</x:v>
      </x:c>
      <x:c r="J829" s="2" t="s">
        <x:v>2468</x:v>
      </x:c>
      <x:c r="K829" s="2" t="n">
        <x:v>56</x:v>
      </x:c>
      <x:c r="L829" s="2" t="s">
        <x:v>2562</x:v>
      </x:c>
      <x:c r="M829" s="2"/>
      <x:c r="N829" s="2"/>
      <x:c r="O829" s="2" t="s">
        <x:v>2470</x:v>
      </x:c>
      <x:c r="P829" s="2" t="s">
        <x:v>2563</x:v>
      </x:c>
      <x:c r="Q829" s="2"/>
      <x:c r="R829" s="3">
        <x:v>2</x:v>
      </x:c>
      <x:c r="S829" s="3"/>
      <x:c r="T829" s="2"/>
      <x:c r="U829" s="2"/>
      <x:c r="V829" s="2"/>
      <x:c r="W829" s="2"/>
      <x:c r="X829" s="3"/>
      <x:c r="Y829" s="3"/>
      <x:c r="Z829" s="2"/>
      <x:c r="AA829" s="2"/>
      <x:c r="AB829" s="2"/>
      <x:c r="AC829" s="2"/>
      <x:c r="AD829" s="2" t="s">
        <x:v>480</x:v>
      </x:c>
      <x:c r="AE829" s="2"/>
      <x:c r="AF829" s="2"/>
      <x:c r="AG829" s="2"/>
      <x:c r="AH829" s="2" t="s">
        <x:v>470</x:v>
      </x:c>
      <x:c r="AI829" s="4">
        <x:v>16</x:v>
      </x:c>
      <x:c r="AJ829" s="2" t="s">
        <x:v>2472</x:v>
      </x:c>
      <x:c r="AK829" s="2" t="s">
        <x:v>460</x:v>
      </x:c>
      <x:c r="AL829" s="2" t="s">
        <x:v>1550</x:v>
      </x:c>
      <x:c r="AM829" s="2">
        <x:v>59</x:v>
      </x:c>
      <x:c r="AN829" s="2">
        <x:v>59</x:v>
      </x:c>
    </x:row>
    <x:row r="830" ht="39">
      <x:c r="A830" s="2" t="s">
        <x:v>6</x:v>
      </x:c>
      <x:c r="B830" s="2" t="s">
        <x:v>18</x:v>
      </x:c>
      <x:c r="C830" s="3">
        <x:v>58</x:v>
      </x:c>
      <x:c r="D830" s="2" t="s">
        <x:v>2564</x:v>
      </x:c>
      <x:c r="E830" s="2" t="s">
        <x:v>2558</x:v>
      </x:c>
      <x:c r="F830" s="2" t="s">
        <x:v>474</x:v>
      </x:c>
      <x:c r="G830" s="2"/>
      <x:c r="H830" s="2" t="s">
        <x:v>634</x:v>
      </x:c>
      <x:c r="I830" s="2" t="s">
        <x:v>2559</x:v>
      </x:c>
      <x:c r="J830" s="2" t="s">
        <x:v>454</x:v>
      </x:c>
      <x:c r="K830" s="2" t="n">
        <x:v>56</x:v>
      </x:c>
      <x:c r="L830" s="2" t="s">
        <x:v>2560</x:v>
      </x:c>
      <x:c r="M830" s="2"/>
      <x:c r="N830" s="2"/>
      <x:c r="O830" s="2" t="s">
        <x:v>2474</x:v>
      </x:c>
      <x:c r="P830" s="2" t="s">
        <x:v>2475</x:v>
      </x:c>
      <x:c r="Q830" s="2"/>
      <x:c r="R830" s="3">
        <x:v>2</x:v>
      </x:c>
      <x:c r="S830" s="3"/>
      <x:c r="T830" s="2"/>
      <x:c r="U830" s="2"/>
      <x:c r="V830" s="2"/>
      <x:c r="W830" s="2"/>
      <x:c r="X830" s="3"/>
      <x:c r="Y830" s="3"/>
      <x:c r="Z830" s="2"/>
      <x:c r="AA830" s="2"/>
      <x:c r="AB830" s="2"/>
      <x:c r="AC830" s="2"/>
      <x:c r="AD830" s="2" t="s">
        <x:v>480</x:v>
      </x:c>
      <x:c r="AE830" s="2"/>
      <x:c r="AF830" s="2"/>
      <x:c r="AG830" s="2"/>
      <x:c r="AH830" s="2" t="s">
        <x:v>470</x:v>
      </x:c>
      <x:c r="AI830" s="4">
        <x:v>16</x:v>
      </x:c>
      <x:c r="AJ830" s="2" t="s">
        <x:v>635</x:v>
      </x:c>
      <x:c r="AK830" s="2" t="s">
        <x:v>460</x:v>
      </x:c>
      <x:c r="AL830" s="2" t="s">
        <x:v>1550</x:v>
      </x:c>
      <x:c r="AM830" s="2">
        <x:v>60</x:v>
      </x:c>
      <x:c r="AN830" s="2">
        <x:v>60</x:v>
      </x:c>
    </x:row>
    <x:row r="831" ht="39">
      <x:c r="A831" s="2" t="s">
        <x:v>6</x:v>
      </x:c>
      <x:c r="B831" s="2" t="s">
        <x:v>18</x:v>
      </x:c>
      <x:c r="C831" s="3">
        <x:v>59</x:v>
      </x:c>
      <x:c r="D831" s="2" t="s">
        <x:v>2565</x:v>
      </x:c>
      <x:c r="E831" s="2" t="s">
        <x:v>2558</x:v>
      </x:c>
      <x:c r="F831" s="2" t="s">
        <x:v>474</x:v>
      </x:c>
      <x:c r="G831" s="2"/>
      <x:c r="H831" s="2" t="s">
        <x:v>634</x:v>
      </x:c>
      <x:c r="I831" s="2" t="s">
        <x:v>2559</x:v>
      </x:c>
      <x:c r="J831" s="2" t="s">
        <x:v>2468</x:v>
      </x:c>
      <x:c r="K831" s="2" t="n">
        <x:v>56</x:v>
      </x:c>
      <x:c r="L831" s="2" t="s">
        <x:v>2562</x:v>
      </x:c>
      <x:c r="M831" s="2"/>
      <x:c r="N831" s="2"/>
      <x:c r="O831" s="2" t="s">
        <x:v>2477</x:v>
      </x:c>
      <x:c r="P831" s="2" t="s">
        <x:v>1057</x:v>
      </x:c>
      <x:c r="Q831" s="2"/>
      <x:c r="R831" s="3">
        <x:v>2</x:v>
      </x:c>
      <x:c r="S831" s="3"/>
      <x:c r="T831" s="2"/>
      <x:c r="U831" s="2"/>
      <x:c r="V831" s="2"/>
      <x:c r="W831" s="2"/>
      <x:c r="X831" s="3"/>
      <x:c r="Y831" s="3"/>
      <x:c r="Z831" s="2"/>
      <x:c r="AA831" s="2"/>
      <x:c r="AB831" s="2"/>
      <x:c r="AC831" s="2"/>
      <x:c r="AD831" s="2" t="s">
        <x:v>480</x:v>
      </x:c>
      <x:c r="AE831" s="2"/>
      <x:c r="AF831" s="2"/>
      <x:c r="AG831" s="2"/>
      <x:c r="AH831" s="2" t="s">
        <x:v>470</x:v>
      </x:c>
      <x:c r="AI831" s="4">
        <x:v>16</x:v>
      </x:c>
      <x:c r="AJ831" s="2" t="s">
        <x:v>2478</x:v>
      </x:c>
      <x:c r="AK831" s="2" t="s">
        <x:v>460</x:v>
      </x:c>
      <x:c r="AL831" s="2" t="s">
        <x:v>1550</x:v>
      </x:c>
      <x:c r="AM831" s="2">
        <x:v>61</x:v>
      </x:c>
      <x:c r="AN831" s="2">
        <x:v>61</x:v>
      </x:c>
    </x:row>
    <x:row r="832" ht="52">
      <x:c r="A832" s="2" t="s">
        <x:v>91</x:v>
      </x:c>
      <x:c r="B832" s="2" t="s">
        <x:v>18</x:v>
      </x:c>
      <x:c r="C832" s="3">
        <x:v>60</x:v>
      </x:c>
      <x:c r="D832" s="2" t="s">
        <x:v>472</x:v>
      </x:c>
      <x:c r="E832" s="2" t="s">
        <x:v>2566</x:v>
      </x:c>
      <x:c r="F832" s="2" t="s">
        <x:v>464</x:v>
      </x:c>
      <x:c r="G832" s="2" t="s">
        <x:v>2567</x:v>
      </x:c>
      <x:c r="H832" s="2" t="s">
        <x:v>618</x:v>
      </x:c>
      <x:c r="I832" s="2" t="s">
        <x:v>2568</x:v>
      </x:c>
      <x:c r="J832" s="2" t="s">
        <x:v>477</x:v>
      </x:c>
      <x:c r="K832" s="2"/>
      <x:c r="L832" s="2" t="s">
        <x:v>2569</x:v>
      </x:c>
      <x:c r="M832" s="2"/>
      <x:c r="N832" s="2"/>
      <x:c r="O832" s="2" t="s">
        <x:v>2464</x:v>
      </x:c>
      <x:c r="P832" s="2" t="s">
        <x:v>2570</x:v>
      </x:c>
      <x:c r="Q832" s="2"/>
      <x:c r="R832" s="3">
        <x:v>2</x:v>
      </x:c>
      <x:c r="S832" s="3"/>
      <x:c r="T832" s="2"/>
      <x:c r="U832" s="2"/>
      <x:c r="V832" s="2"/>
      <x:c r="W832" s="2"/>
      <x:c r="X832" s="3"/>
      <x:c r="Y832" s="3"/>
      <x:c r="Z832" s="2"/>
      <x:c r="AA832" s="2"/>
      <x:c r="AB832" s="2"/>
      <x:c r="AC832" s="2"/>
      <x:c r="AD832" s="2" t="s">
        <x:v>469</x:v>
      </x:c>
      <x:c r="AE832" s="2"/>
      <x:c r="AF832" s="2"/>
      <x:c r="AG832" s="2"/>
      <x:c r="AH832" s="2" t="s">
        <x:v>470</x:v>
      </x:c>
      <x:c r="AI832" s="4">
        <x:v>16</x:v>
      </x:c>
      <x:c r="AJ832" s="2" t="s">
        <x:v>2514</x:v>
      </x:c>
      <x:c r="AK832" s="2" t="s">
        <x:v>460</x:v>
      </x:c>
      <x:c r="AL832" s="2" t="s">
        <x:v>1550</x:v>
      </x:c>
      <x:c r="AM832" s="2">
        <x:v>62</x:v>
      </x:c>
      <x:c r="AN832" s="2">
        <x:v>62</x:v>
      </x:c>
    </x:row>
    <x:row r="833" ht="39">
      <x:c r="A833" s="2" t="s">
        <x:v>6</x:v>
      </x:c>
      <x:c r="B833" s="2" t="s">
        <x:v>18</x:v>
      </x:c>
      <x:c r="C833" s="3">
        <x:v>61</x:v>
      </x:c>
      <x:c r="D833" s="2" t="s">
        <x:v>2515</x:v>
      </x:c>
      <x:c r="E833" s="2" t="s">
        <x:v>2566</x:v>
      </x:c>
      <x:c r="F833" s="2" t="s">
        <x:v>464</x:v>
      </x:c>
      <x:c r="G833" s="2"/>
      <x:c r="H833" s="2" t="s">
        <x:v>627</x:v>
      </x:c>
      <x:c r="I833" s="2" t="s">
        <x:v>2568</x:v>
      </x:c>
      <x:c r="J833" s="2" t="s">
        <x:v>2468</x:v>
      </x:c>
      <x:c r="K833" s="2" t="n">
        <x:v>60</x:v>
      </x:c>
      <x:c r="L833" s="2" t="s">
        <x:v>2469</x:v>
      </x:c>
      <x:c r="M833" s="2"/>
      <x:c r="N833" s="2"/>
      <x:c r="O833" s="2" t="s">
        <x:v>2470</x:v>
      </x:c>
      <x:c r="P833" s="2" t="s">
        <x:v>2471</x:v>
      </x:c>
      <x:c r="Q833" s="2"/>
      <x:c r="R833" s="3">
        <x:v>2</x:v>
      </x:c>
      <x:c r="S833" s="3"/>
      <x:c r="T833" s="2"/>
      <x:c r="U833" s="2"/>
      <x:c r="V833" s="2"/>
      <x:c r="W833" s="2"/>
      <x:c r="X833" s="3"/>
      <x:c r="Y833" s="3"/>
      <x:c r="Z833" s="2"/>
      <x:c r="AA833" s="2"/>
      <x:c r="AB833" s="2"/>
      <x:c r="AC833" s="2"/>
      <x:c r="AD833" s="2" t="s">
        <x:v>469</x:v>
      </x:c>
      <x:c r="AE833" s="2"/>
      <x:c r="AF833" s="2"/>
      <x:c r="AG833" s="2"/>
      <x:c r="AH833" s="2" t="s">
        <x:v>470</x:v>
      </x:c>
      <x:c r="AI833" s="4">
        <x:v>16</x:v>
      </x:c>
      <x:c r="AJ833" s="2" t="s">
        <x:v>2472</x:v>
      </x:c>
      <x:c r="AK833" s="2" t="s">
        <x:v>460</x:v>
      </x:c>
      <x:c r="AL833" s="2" t="s">
        <x:v>1550</x:v>
      </x:c>
      <x:c r="AM833" s="2">
        <x:v>63</x:v>
      </x:c>
      <x:c r="AN833" s="2">
        <x:v>63</x:v>
      </x:c>
    </x:row>
    <x:row r="834" ht="39">
      <x:c r="A834" s="2" t="s">
        <x:v>6</x:v>
      </x:c>
      <x:c r="B834" s="2" t="s">
        <x:v>18</x:v>
      </x:c>
      <x:c r="C834" s="3">
        <x:v>62</x:v>
      </x:c>
      <x:c r="D834" s="2" t="s">
        <x:v>449</x:v>
      </x:c>
      <x:c r="E834" s="2" t="s">
        <x:v>2571</x:v>
      </x:c>
      <x:c r="F834" s="2" t="s">
        <x:v>474</x:v>
      </x:c>
      <x:c r="G834" s="2"/>
      <x:c r="H834" s="2" t="s">
        <x:v>618</x:v>
      </x:c>
      <x:c r="I834" s="2" t="s">
        <x:v>2572</x:v>
      </x:c>
      <x:c r="J834" s="2" t="s">
        <x:v>454</x:v>
      </x:c>
      <x:c r="K834" s="2"/>
      <x:c r="L834" s="2" t="s">
        <x:v>2573</x:v>
      </x:c>
      <x:c r="M834" s="2"/>
      <x:c r="N834" s="2"/>
      <x:c r="O834" s="2" t="s">
        <x:v>2464</x:v>
      </x:c>
      <x:c r="P834" s="2" t="s">
        <x:v>2574</x:v>
      </x:c>
      <x:c r="Q834" s="2"/>
      <x:c r="R834" s="3">
        <x:v>2</x:v>
      </x:c>
      <x:c r="S834" s="3"/>
      <x:c r="T834" s="2"/>
      <x:c r="U834" s="2"/>
      <x:c r="V834" s="2"/>
      <x:c r="W834" s="2"/>
      <x:c r="X834" s="3"/>
      <x:c r="Y834" s="3"/>
      <x:c r="Z834" s="2"/>
      <x:c r="AA834" s="2"/>
      <x:c r="AB834" s="2"/>
      <x:c r="AC834" s="2"/>
      <x:c r="AD834" s="2" t="s">
        <x:v>480</x:v>
      </x:c>
      <x:c r="AE834" s="2"/>
      <x:c r="AF834" s="2"/>
      <x:c r="AG834" s="2"/>
      <x:c r="AH834" s="2" t="s">
        <x:v>458</x:v>
      </x:c>
      <x:c r="AI834" s="4">
        <x:v>8</x:v>
      </x:c>
      <x:c r="AJ834" s="2" t="s">
        <x:v>2525</x:v>
      </x:c>
      <x:c r="AK834" s="2" t="s">
        <x:v>460</x:v>
      </x:c>
      <x:c r="AL834" s="2" t="s">
        <x:v>1550</x:v>
      </x:c>
      <x:c r="AM834" s="2">
        <x:v>64</x:v>
      </x:c>
      <x:c r="AN834" s="2">
        <x:v>64</x:v>
      </x:c>
    </x:row>
    <x:row r="835" ht="39">
      <x:c r="A835" s="2" t="s">
        <x:v>6</x:v>
      </x:c>
      <x:c r="B835" s="2" t="s">
        <x:v>18</x:v>
      </x:c>
      <x:c r="C835" s="3">
        <x:v>63</x:v>
      </x:c>
      <x:c r="D835" s="2" t="s">
        <x:v>2526</x:v>
      </x:c>
      <x:c r="E835" s="2" t="s">
        <x:v>2571</x:v>
      </x:c>
      <x:c r="F835" s="2" t="s">
        <x:v>474</x:v>
      </x:c>
      <x:c r="G835" s="2"/>
      <x:c r="H835" s="2" t="s">
        <x:v>627</x:v>
      </x:c>
      <x:c r="I835" s="2" t="s">
        <x:v>2572</x:v>
      </x:c>
      <x:c r="J835" s="2" t="s">
        <x:v>2468</x:v>
      </x:c>
      <x:c r="K835" s="2" t="n">
        <x:v>62</x:v>
      </x:c>
      <x:c r="L835" s="2" t="s">
        <x:v>2486</x:v>
      </x:c>
      <x:c r="M835" s="2"/>
      <x:c r="N835" s="2"/>
      <x:c r="O835" s="2" t="s">
        <x:v>2470</x:v>
      </x:c>
      <x:c r="P835" s="2" t="s">
        <x:v>2487</x:v>
      </x:c>
      <x:c r="Q835" s="2"/>
      <x:c r="R835" s="3">
        <x:v>2</x:v>
      </x:c>
      <x:c r="S835" s="3"/>
      <x:c r="T835" s="2"/>
      <x:c r="U835" s="2"/>
      <x:c r="V835" s="2"/>
      <x:c r="W835" s="2"/>
      <x:c r="X835" s="3"/>
      <x:c r="Y835" s="3"/>
      <x:c r="Z835" s="2"/>
      <x:c r="AA835" s="2"/>
      <x:c r="AB835" s="2"/>
      <x:c r="AC835" s="2"/>
      <x:c r="AD835" s="2" t="s">
        <x:v>480</x:v>
      </x:c>
      <x:c r="AE835" s="2"/>
      <x:c r="AF835" s="2"/>
      <x:c r="AG835" s="2"/>
      <x:c r="AH835" s="2" t="s">
        <x:v>458</x:v>
      </x:c>
      <x:c r="AI835" s="4">
        <x:v>8</x:v>
      </x:c>
      <x:c r="AJ835" s="2" t="s">
        <x:v>2472</x:v>
      </x:c>
      <x:c r="AK835" s="2" t="s">
        <x:v>460</x:v>
      </x:c>
      <x:c r="AL835" s="2" t="s">
        <x:v>1550</x:v>
      </x:c>
      <x:c r="AM835" s="2">
        <x:v>65</x:v>
      </x:c>
      <x:c r="AN835" s="2">
        <x:v>65</x:v>
      </x:c>
    </x:row>
    <x:row r="836" ht="39">
      <x:c r="A836" s="2" t="s">
        <x:v>91</x:v>
      </x:c>
      <x:c r="B836" s="2" t="s">
        <x:v>18</x:v>
      </x:c>
      <x:c r="C836" s="3">
        <x:v>64</x:v>
      </x:c>
      <x:c r="D836" s="2" t="s">
        <x:v>505</x:v>
      </x:c>
      <x:c r="E836" s="2" t="s">
        <x:v>2575</x:v>
      </x:c>
      <x:c r="F836" s="2" t="s">
        <x:v>464</x:v>
      </x:c>
      <x:c r="G836" s="2" t="s">
        <x:v>2576</x:v>
      </x:c>
      <x:c r="H836" s="2" t="s">
        <x:v>618</x:v>
      </x:c>
      <x:c r="I836" s="2" t="s">
        <x:v>2577</x:v>
      </x:c>
      <x:c r="J836" s="2" t="s">
        <x:v>477</x:v>
      </x:c>
      <x:c r="K836" s="2"/>
      <x:c r="L836" s="2" t="s">
        <x:v>2578</x:v>
      </x:c>
      <x:c r="M836" s="2"/>
      <x:c r="N836" s="2"/>
      <x:c r="O836" s="2" t="s">
        <x:v>2464</x:v>
      </x:c>
      <x:c r="P836" s="2" t="s">
        <x:v>2579</x:v>
      </x:c>
      <x:c r="Q836" s="2"/>
      <x:c r="R836" s="3">
        <x:v>2</x:v>
      </x:c>
      <x:c r="S836" s="3"/>
      <x:c r="T836" s="2"/>
      <x:c r="U836" s="2"/>
      <x:c r="V836" s="2"/>
      <x:c r="W836" s="2"/>
      <x:c r="X836" s="3"/>
      <x:c r="Y836" s="3"/>
      <x:c r="Z836" s="2"/>
      <x:c r="AA836" s="2"/>
      <x:c r="AB836" s="2"/>
      <x:c r="AC836" s="2"/>
      <x:c r="AD836" s="2" t="s">
        <x:v>469</x:v>
      </x:c>
      <x:c r="AE836" s="2"/>
      <x:c r="AF836" s="2"/>
      <x:c r="AG836" s="2"/>
      <x:c r="AH836" s="2" t="s">
        <x:v>458</x:v>
      </x:c>
      <x:c r="AI836" s="4">
        <x:v>8</x:v>
      </x:c>
      <x:c r="AJ836" s="2" t="s">
        <x:v>2466</x:v>
      </x:c>
      <x:c r="AK836" s="2" t="s">
        <x:v>460</x:v>
      </x:c>
      <x:c r="AL836" s="2" t="s">
        <x:v>1550</x:v>
      </x:c>
      <x:c r="AM836" s="2">
        <x:v>66</x:v>
      </x:c>
      <x:c r="AN836" s="2">
        <x:v>66</x:v>
      </x:c>
    </x:row>
    <x:row r="837" ht="39">
      <x:c r="A837" s="2" t="s">
        <x:v>6</x:v>
      </x:c>
      <x:c r="B837" s="2" t="s">
        <x:v>18</x:v>
      </x:c>
      <x:c r="C837" s="3">
        <x:v>65</x:v>
      </x:c>
      <x:c r="D837" s="2" t="s">
        <x:v>2467</x:v>
      </x:c>
      <x:c r="E837" s="2" t="s">
        <x:v>2575</x:v>
      </x:c>
      <x:c r="F837" s="2" t="s">
        <x:v>464</x:v>
      </x:c>
      <x:c r="G837" s="2"/>
      <x:c r="H837" s="2" t="s">
        <x:v>627</x:v>
      </x:c>
      <x:c r="I837" s="2" t="s">
        <x:v>2577</x:v>
      </x:c>
      <x:c r="J837" s="2" t="s">
        <x:v>2468</x:v>
      </x:c>
      <x:c r="K837" s="2" t="n">
        <x:v>64</x:v>
      </x:c>
      <x:c r="L837" s="2" t="s">
        <x:v>2496</x:v>
      </x:c>
      <x:c r="M837" s="2"/>
      <x:c r="N837" s="2"/>
      <x:c r="O837" s="2" t="s">
        <x:v>2470</x:v>
      </x:c>
      <x:c r="P837" s="2" t="s">
        <x:v>2497</x:v>
      </x:c>
      <x:c r="Q837" s="2"/>
      <x:c r="R837" s="3">
        <x:v>2</x:v>
      </x:c>
      <x:c r="S837" s="3"/>
      <x:c r="T837" s="2"/>
      <x:c r="U837" s="2"/>
      <x:c r="V837" s="2"/>
      <x:c r="W837" s="2"/>
      <x:c r="X837" s="3"/>
      <x:c r="Y837" s="3"/>
      <x:c r="Z837" s="2"/>
      <x:c r="AA837" s="2"/>
      <x:c r="AB837" s="2"/>
      <x:c r="AC837" s="2"/>
      <x:c r="AD837" s="2" t="s">
        <x:v>469</x:v>
      </x:c>
      <x:c r="AE837" s="2"/>
      <x:c r="AF837" s="2"/>
      <x:c r="AG837" s="2"/>
      <x:c r="AH837" s="2" t="s">
        <x:v>458</x:v>
      </x:c>
      <x:c r="AI837" s="4">
        <x:v>8</x:v>
      </x:c>
      <x:c r="AJ837" s="2" t="s">
        <x:v>2472</x:v>
      </x:c>
      <x:c r="AK837" s="2" t="s">
        <x:v>460</x:v>
      </x:c>
      <x:c r="AL837" s="2" t="s">
        <x:v>1550</x:v>
      </x:c>
      <x:c r="AM837" s="2">
        <x:v>67</x:v>
      </x:c>
      <x:c r="AN837" s="2">
        <x:v>67</x:v>
      </x:c>
    </x:row>
    <x:row r="838" ht="39">
      <x:c r="A838" s="2" t="s">
        <x:v>6</x:v>
      </x:c>
      <x:c r="B838" s="2" t="s">
        <x:v>18</x:v>
      </x:c>
      <x:c r="C838" s="3">
        <x:v>66</x:v>
      </x:c>
      <x:c r="D838" s="2" t="s">
        <x:v>462</x:v>
      </x:c>
      <x:c r="E838" s="2" t="s">
        <x:v>2580</x:v>
      </x:c>
      <x:c r="F838" s="2" t="s">
        <x:v>474</x:v>
      </x:c>
      <x:c r="G838" s="2"/>
      <x:c r="H838" s="2" t="s">
        <x:v>618</x:v>
      </x:c>
      <x:c r="I838" s="2" t="s">
        <x:v>2581</x:v>
      </x:c>
      <x:c r="J838" s="2" t="s">
        <x:v>454</x:v>
      </x:c>
      <x:c r="K838" s="2"/>
      <x:c r="L838" s="2" t="s">
        <x:v>2582</x:v>
      </x:c>
      <x:c r="M838" s="2"/>
      <x:c r="N838" s="2"/>
      <x:c r="O838" s="2" t="s">
        <x:v>2464</x:v>
      </x:c>
      <x:c r="P838" s="2" t="s">
        <x:v>2583</x:v>
      </x:c>
      <x:c r="Q838" s="2"/>
      <x:c r="R838" s="3">
        <x:v>2</x:v>
      </x:c>
      <x:c r="S838" s="3"/>
      <x:c r="T838" s="2"/>
      <x:c r="U838" s="2"/>
      <x:c r="V838" s="2"/>
      <x:c r="W838" s="2"/>
      <x:c r="X838" s="3"/>
      <x:c r="Y838" s="3"/>
      <x:c r="Z838" s="2"/>
      <x:c r="AA838" s="2"/>
      <x:c r="AB838" s="2"/>
      <x:c r="AC838" s="2"/>
      <x:c r="AD838" s="2" t="s">
        <x:v>480</x:v>
      </x:c>
      <x:c r="AE838" s="2"/>
      <x:c r="AF838" s="2"/>
      <x:c r="AG838" s="2"/>
      <x:c r="AH838" s="2" t="s">
        <x:v>470</x:v>
      </x:c>
      <x:c r="AI838" s="4">
        <x:v>12</x:v>
      </x:c>
      <x:c r="AJ838" s="2" t="s">
        <x:v>2484</x:v>
      </x:c>
      <x:c r="AK838" s="2" t="s">
        <x:v>460</x:v>
      </x:c>
      <x:c r="AL838" s="2" t="s">
        <x:v>1550</x:v>
      </x:c>
      <x:c r="AM838" s="2">
        <x:v>68</x:v>
      </x:c>
      <x:c r="AN838" s="2">
        <x:v>68</x:v>
      </x:c>
    </x:row>
    <x:row r="839" ht="39">
      <x:c r="A839" s="2" t="s">
        <x:v>6</x:v>
      </x:c>
      <x:c r="B839" s="2" t="s">
        <x:v>18</x:v>
      </x:c>
      <x:c r="C839" s="3">
        <x:v>67</x:v>
      </x:c>
      <x:c r="D839" s="2" t="s">
        <x:v>2485</x:v>
      </x:c>
      <x:c r="E839" s="2" t="s">
        <x:v>2580</x:v>
      </x:c>
      <x:c r="F839" s="2" t="s">
        <x:v>474</x:v>
      </x:c>
      <x:c r="G839" s="2"/>
      <x:c r="H839" s="2" t="s">
        <x:v>627</x:v>
      </x:c>
      <x:c r="I839" s="2" t="s">
        <x:v>2581</x:v>
      </x:c>
      <x:c r="J839" s="2" t="s">
        <x:v>2468</x:v>
      </x:c>
      <x:c r="K839" s="2" t="n">
        <x:v>66</x:v>
      </x:c>
      <x:c r="L839" s="2" t="s">
        <x:v>2506</x:v>
      </x:c>
      <x:c r="M839" s="2"/>
      <x:c r="N839" s="2"/>
      <x:c r="O839" s="2" t="s">
        <x:v>2470</x:v>
      </x:c>
      <x:c r="P839" s="2" t="s">
        <x:v>2507</x:v>
      </x:c>
      <x:c r="Q839" s="2"/>
      <x:c r="R839" s="3">
        <x:v>2</x:v>
      </x:c>
      <x:c r="S839" s="3"/>
      <x:c r="T839" s="2"/>
      <x:c r="U839" s="2"/>
      <x:c r="V839" s="2"/>
      <x:c r="W839" s="2"/>
      <x:c r="X839" s="3"/>
      <x:c r="Y839" s="3"/>
      <x:c r="Z839" s="2"/>
      <x:c r="AA839" s="2"/>
      <x:c r="AB839" s="2"/>
      <x:c r="AC839" s="2"/>
      <x:c r="AD839" s="2" t="s">
        <x:v>480</x:v>
      </x:c>
      <x:c r="AE839" s="2"/>
      <x:c r="AF839" s="2"/>
      <x:c r="AG839" s="2"/>
      <x:c r="AH839" s="2" t="s">
        <x:v>470</x:v>
      </x:c>
      <x:c r="AI839" s="4">
        <x:v>12</x:v>
      </x:c>
      <x:c r="AJ839" s="2" t="s">
        <x:v>2472</x:v>
      </x:c>
      <x:c r="AK839" s="2" t="s">
        <x:v>460</x:v>
      </x:c>
      <x:c r="AL839" s="2" t="s">
        <x:v>1550</x:v>
      </x:c>
      <x:c r="AM839" s="2">
        <x:v>69</x:v>
      </x:c>
      <x:c r="AN839" s="2">
        <x:v>69</x:v>
      </x:c>
    </x:row>
    <x:row r="840" ht="39">
      <x:c r="A840" s="2" t="s">
        <x:v>91</x:v>
      </x:c>
      <x:c r="B840" s="2" t="s">
        <x:v>18</x:v>
      </x:c>
      <x:c r="C840" s="3">
        <x:v>68</x:v>
      </x:c>
      <x:c r="D840" s="2" t="s">
        <x:v>482</x:v>
      </x:c>
      <x:c r="E840" s="2" t="s">
        <x:v>2584</x:v>
      </x:c>
      <x:c r="F840" s="2" t="s">
        <x:v>464</x:v>
      </x:c>
      <x:c r="G840" s="2" t="s">
        <x:v>2585</x:v>
      </x:c>
      <x:c r="H840" s="2" t="s">
        <x:v>618</x:v>
      </x:c>
      <x:c r="I840" s="2" t="s">
        <x:v>2586</x:v>
      </x:c>
      <x:c r="J840" s="2" t="s">
        <x:v>477</x:v>
      </x:c>
      <x:c r="K840" s="2"/>
      <x:c r="L840" s="2" t="s">
        <x:v>2587</x:v>
      </x:c>
      <x:c r="M840" s="2"/>
      <x:c r="N840" s="2"/>
      <x:c r="O840" s="2" t="s">
        <x:v>2464</x:v>
      </x:c>
      <x:c r="P840" s="2" t="s">
        <x:v>2588</x:v>
      </x:c>
      <x:c r="Q840" s="2"/>
      <x:c r="R840" s="3">
        <x:v>2</x:v>
      </x:c>
      <x:c r="S840" s="3"/>
      <x:c r="T840" s="2"/>
      <x:c r="U840" s="2"/>
      <x:c r="V840" s="2"/>
      <x:c r="W840" s="2"/>
      <x:c r="X840" s="3"/>
      <x:c r="Y840" s="3"/>
      <x:c r="Z840" s="2"/>
      <x:c r="AA840" s="2"/>
      <x:c r="AB840" s="2"/>
      <x:c r="AC840" s="2"/>
      <x:c r="AD840" s="2" t="s">
        <x:v>469</x:v>
      </x:c>
      <x:c r="AE840" s="2"/>
      <x:c r="AF840" s="2"/>
      <x:c r="AG840" s="2"/>
      <x:c r="AH840" s="2" t="s">
        <x:v>470</x:v>
      </x:c>
      <x:c r="AI840" s="4">
        <x:v>12</x:v>
      </x:c>
      <x:c r="AJ840" s="2" t="s">
        <x:v>2494</x:v>
      </x:c>
      <x:c r="AK840" s="2" t="s">
        <x:v>460</x:v>
      </x:c>
      <x:c r="AL840" s="2" t="s">
        <x:v>1550</x:v>
      </x:c>
      <x:c r="AM840" s="2">
        <x:v>70</x:v>
      </x:c>
      <x:c r="AN840" s="2">
        <x:v>70</x:v>
      </x:c>
    </x:row>
    <x:row r="841" ht="39">
      <x:c r="A841" s="2" t="s">
        <x:v>6</x:v>
      </x:c>
      <x:c r="B841" s="2" t="s">
        <x:v>18</x:v>
      </x:c>
      <x:c r="C841" s="3">
        <x:v>69</x:v>
      </x:c>
      <x:c r="D841" s="2" t="s">
        <x:v>2495</x:v>
      </x:c>
      <x:c r="E841" s="2" t="s">
        <x:v>2584</x:v>
      </x:c>
      <x:c r="F841" s="2" t="s">
        <x:v>464</x:v>
      </x:c>
      <x:c r="G841" s="2"/>
      <x:c r="H841" s="2" t="s">
        <x:v>627</x:v>
      </x:c>
      <x:c r="I841" s="2" t="s">
        <x:v>2586</x:v>
      </x:c>
      <x:c r="J841" s="2" t="s">
        <x:v>2468</x:v>
      </x:c>
      <x:c r="K841" s="2" t="n">
        <x:v>68</x:v>
      </x:c>
      <x:c r="L841" s="2" t="s">
        <x:v>2516</x:v>
      </x:c>
      <x:c r="M841" s="2"/>
      <x:c r="N841" s="2"/>
      <x:c r="O841" s="2" t="s">
        <x:v>2470</x:v>
      </x:c>
      <x:c r="P841" s="2" t="s">
        <x:v>2517</x:v>
      </x:c>
      <x:c r="Q841" s="2"/>
      <x:c r="R841" s="3">
        <x:v>2</x:v>
      </x:c>
      <x:c r="S841" s="3"/>
      <x:c r="T841" s="2"/>
      <x:c r="U841" s="2"/>
      <x:c r="V841" s="2"/>
      <x:c r="W841" s="2"/>
      <x:c r="X841" s="3"/>
      <x:c r="Y841" s="3"/>
      <x:c r="Z841" s="2"/>
      <x:c r="AA841" s="2"/>
      <x:c r="AB841" s="2"/>
      <x:c r="AC841" s="2"/>
      <x:c r="AD841" s="2" t="s">
        <x:v>469</x:v>
      </x:c>
      <x:c r="AE841" s="2"/>
      <x:c r="AF841" s="2"/>
      <x:c r="AG841" s="2"/>
      <x:c r="AH841" s="2" t="s">
        <x:v>470</x:v>
      </x:c>
      <x:c r="AI841" s="4">
        <x:v>12</x:v>
      </x:c>
      <x:c r="AJ841" s="2" t="s">
        <x:v>2472</x:v>
      </x:c>
      <x:c r="AK841" s="2" t="s">
        <x:v>460</x:v>
      </x:c>
      <x:c r="AL841" s="2" t="s">
        <x:v>1550</x:v>
      </x:c>
      <x:c r="AM841" s="2">
        <x:v>71</x:v>
      </x:c>
      <x:c r="AN841" s="2">
        <x:v>71</x:v>
      </x:c>
    </x:row>
    <x:row r="842" ht="39">
      <x:c r="A842" s="2" t="s">
        <x:v>91</x:v>
      </x:c>
      <x:c r="B842" s="2" t="s">
        <x:v>18</x:v>
      </x:c>
      <x:c r="C842" s="3">
        <x:v>70</x:v>
      </x:c>
      <x:c r="D842" s="2" t="s">
        <x:v>516</x:v>
      </x:c>
      <x:c r="E842" s="2" t="s">
        <x:v>2589</x:v>
      </x:c>
      <x:c r="F842" s="2" t="s">
        <x:v>474</x:v>
      </x:c>
      <x:c r="G842" s="2" t="s">
        <x:v>2590</x:v>
      </x:c>
      <x:c r="H842" s="2" t="s">
        <x:v>618</x:v>
      </x:c>
      <x:c r="I842" s="2" t="s">
        <x:v>2591</x:v>
      </x:c>
      <x:c r="J842" s="2" t="s">
        <x:v>454</x:v>
      </x:c>
      <x:c r="K842" s="2"/>
      <x:c r="L842" s="2" t="s">
        <x:v>2592</x:v>
      </x:c>
      <x:c r="M842" s="2"/>
      <x:c r="N842" s="2"/>
      <x:c r="O842" s="2" t="s">
        <x:v>2464</x:v>
      </x:c>
      <x:c r="P842" s="2" t="s">
        <x:v>2593</x:v>
      </x:c>
      <x:c r="Q842" s="2"/>
      <x:c r="R842" s="3">
        <x:v>2</x:v>
      </x:c>
      <x:c r="S842" s="3"/>
      <x:c r="T842" s="2"/>
      <x:c r="U842" s="2"/>
      <x:c r="V842" s="2"/>
      <x:c r="W842" s="2"/>
      <x:c r="X842" s="3"/>
      <x:c r="Y842" s="3"/>
      <x:c r="Z842" s="2"/>
      <x:c r="AA842" s="2"/>
      <x:c r="AB842" s="2"/>
      <x:c r="AC842" s="2"/>
      <x:c r="AD842" s="2" t="s">
        <x:v>480</x:v>
      </x:c>
      <x:c r="AE842" s="2"/>
      <x:c r="AF842" s="2"/>
      <x:c r="AG842" s="2"/>
      <x:c r="AH842" s="2" t="s">
        <x:v>458</x:v>
      </x:c>
      <x:c r="AI842" s="4">
        <x:v>16</x:v>
      </x:c>
      <x:c r="AJ842" s="2" t="s">
        <x:v>2504</x:v>
      </x:c>
      <x:c r="AK842" s="2" t="s">
        <x:v>460</x:v>
      </x:c>
      <x:c r="AL842" s="2" t="s">
        <x:v>1550</x:v>
      </x:c>
      <x:c r="AM842" s="2">
        <x:v>72</x:v>
      </x:c>
      <x:c r="AN842" s="2">
        <x:v>72</x:v>
      </x:c>
    </x:row>
    <x:row r="843" ht="39">
      <x:c r="A843" s="2" t="s">
        <x:v>6</x:v>
      </x:c>
      <x:c r="B843" s="2" t="s">
        <x:v>18</x:v>
      </x:c>
      <x:c r="C843" s="3">
        <x:v>71</x:v>
      </x:c>
      <x:c r="D843" s="2" t="s">
        <x:v>2505</x:v>
      </x:c>
      <x:c r="E843" s="2" t="s">
        <x:v>2589</x:v>
      </x:c>
      <x:c r="F843" s="2" t="s">
        <x:v>474</x:v>
      </x:c>
      <x:c r="G843" s="2"/>
      <x:c r="H843" s="2" t="s">
        <x:v>627</x:v>
      </x:c>
      <x:c r="I843" s="2" t="s">
        <x:v>2591</x:v>
      </x:c>
      <x:c r="J843" s="2" t="s">
        <x:v>2468</x:v>
      </x:c>
      <x:c r="K843" s="2" t="n">
        <x:v>70</x:v>
      </x:c>
      <x:c r="L843" s="2" t="s">
        <x:v>2527</x:v>
      </x:c>
      <x:c r="M843" s="2"/>
      <x:c r="N843" s="2"/>
      <x:c r="O843" s="2" t="s">
        <x:v>2470</x:v>
      </x:c>
      <x:c r="P843" s="2" t="s">
        <x:v>2528</x:v>
      </x:c>
      <x:c r="Q843" s="2"/>
      <x:c r="R843" s="3">
        <x:v>2</x:v>
      </x:c>
      <x:c r="S843" s="3"/>
      <x:c r="T843" s="2"/>
      <x:c r="U843" s="2"/>
      <x:c r="V843" s="2"/>
      <x:c r="W843" s="2"/>
      <x:c r="X843" s="3"/>
      <x:c r="Y843" s="3"/>
      <x:c r="Z843" s="2"/>
      <x:c r="AA843" s="2"/>
      <x:c r="AB843" s="2"/>
      <x:c r="AC843" s="2"/>
      <x:c r="AD843" s="2" t="s">
        <x:v>480</x:v>
      </x:c>
      <x:c r="AE843" s="2"/>
      <x:c r="AF843" s="2"/>
      <x:c r="AG843" s="2"/>
      <x:c r="AH843" s="2" t="s">
        <x:v>458</x:v>
      </x:c>
      <x:c r="AI843" s="4">
        <x:v>16</x:v>
      </x:c>
      <x:c r="AJ843" s="2" t="s">
        <x:v>2472</x:v>
      </x:c>
      <x:c r="AK843" s="2" t="s">
        <x:v>460</x:v>
      </x:c>
      <x:c r="AL843" s="2" t="s">
        <x:v>1550</x:v>
      </x:c>
      <x:c r="AM843" s="2">
        <x:v>73</x:v>
      </x:c>
      <x:c r="AN843" s="2">
        <x:v>73</x:v>
      </x:c>
    </x:row>
    <x:row r="844" ht="39">
      <x:c r="A844" s="2" t="s">
        <x:v>6</x:v>
      </x:c>
      <x:c r="B844" s="2" t="s">
        <x:v>18</x:v>
      </x:c>
      <x:c r="C844" s="3">
        <x:v>72</x:v>
      </x:c>
      <x:c r="D844" s="2" t="s">
        <x:v>472</x:v>
      </x:c>
      <x:c r="E844" s="2" t="s">
        <x:v>2594</x:v>
      </x:c>
      <x:c r="F844" s="2" t="s">
        <x:v>464</x:v>
      </x:c>
      <x:c r="G844" s="2"/>
      <x:c r="H844" s="2" t="s">
        <x:v>618</x:v>
      </x:c>
      <x:c r="I844" s="2" t="s">
        <x:v>2595</x:v>
      </x:c>
      <x:c r="J844" s="2" t="s">
        <x:v>477</x:v>
      </x:c>
      <x:c r="K844" s="2"/>
      <x:c r="L844" s="2" t="s">
        <x:v>2596</x:v>
      </x:c>
      <x:c r="M844" s="2"/>
      <x:c r="N844" s="2"/>
      <x:c r="O844" s="2" t="s">
        <x:v>2464</x:v>
      </x:c>
      <x:c r="P844" s="2" t="s">
        <x:v>2597</x:v>
      </x:c>
      <x:c r="Q844" s="2"/>
      <x:c r="R844" s="3">
        <x:v>2</x:v>
      </x:c>
      <x:c r="S844" s="3"/>
      <x:c r="T844" s="2"/>
      <x:c r="U844" s="2"/>
      <x:c r="V844" s="2"/>
      <x:c r="W844" s="2"/>
      <x:c r="X844" s="3"/>
      <x:c r="Y844" s="3"/>
      <x:c r="Z844" s="2"/>
      <x:c r="AA844" s="2"/>
      <x:c r="AB844" s="2"/>
      <x:c r="AC844" s="2"/>
      <x:c r="AD844" s="2" t="s">
        <x:v>469</x:v>
      </x:c>
      <x:c r="AE844" s="2"/>
      <x:c r="AF844" s="2"/>
      <x:c r="AG844" s="2"/>
      <x:c r="AH844" s="2" t="s">
        <x:v>458</x:v>
      </x:c>
      <x:c r="AI844" s="4">
        <x:v>16</x:v>
      </x:c>
      <x:c r="AJ844" s="2" t="s">
        <x:v>2514</x:v>
      </x:c>
      <x:c r="AK844" s="2" t="s">
        <x:v>460</x:v>
      </x:c>
      <x:c r="AL844" s="2" t="s">
        <x:v>1550</x:v>
      </x:c>
      <x:c r="AM844" s="2">
        <x:v>74</x:v>
      </x:c>
      <x:c r="AN844" s="2">
        <x:v>74</x:v>
      </x:c>
    </x:row>
    <x:row r="845" ht="39">
      <x:c r="A845" s="2" t="s">
        <x:v>6</x:v>
      </x:c>
      <x:c r="B845" s="2" t="s">
        <x:v>18</x:v>
      </x:c>
      <x:c r="C845" s="3">
        <x:v>73</x:v>
      </x:c>
      <x:c r="D845" s="2" t="s">
        <x:v>2515</x:v>
      </x:c>
      <x:c r="E845" s="2" t="s">
        <x:v>2594</x:v>
      </x:c>
      <x:c r="F845" s="2" t="s">
        <x:v>464</x:v>
      </x:c>
      <x:c r="G845" s="2"/>
      <x:c r="H845" s="2" t="s">
        <x:v>627</x:v>
      </x:c>
      <x:c r="I845" s="2" t="s">
        <x:v>2595</x:v>
      </x:c>
      <x:c r="J845" s="2" t="s">
        <x:v>2468</x:v>
      </x:c>
      <x:c r="K845" s="2" t="n">
        <x:v>72</x:v>
      </x:c>
      <x:c r="L845" s="2" t="s">
        <x:v>2536</x:v>
      </x:c>
      <x:c r="M845" s="2"/>
      <x:c r="N845" s="2"/>
      <x:c r="O845" s="2" t="s">
        <x:v>2470</x:v>
      </x:c>
      <x:c r="P845" s="2" t="s">
        <x:v>2537</x:v>
      </x:c>
      <x:c r="Q845" s="2"/>
      <x:c r="R845" s="3">
        <x:v>2</x:v>
      </x:c>
      <x:c r="S845" s="3"/>
      <x:c r="T845" s="2"/>
      <x:c r="U845" s="2"/>
      <x:c r="V845" s="2"/>
      <x:c r="W845" s="2"/>
      <x:c r="X845" s="3"/>
      <x:c r="Y845" s="3"/>
      <x:c r="Z845" s="2"/>
      <x:c r="AA845" s="2"/>
      <x:c r="AB845" s="2"/>
      <x:c r="AC845" s="2"/>
      <x:c r="AD845" s="2" t="s">
        <x:v>469</x:v>
      </x:c>
      <x:c r="AE845" s="2"/>
      <x:c r="AF845" s="2"/>
      <x:c r="AG845" s="2"/>
      <x:c r="AH845" s="2" t="s">
        <x:v>458</x:v>
      </x:c>
      <x:c r="AI845" s="4">
        <x:v>16</x:v>
      </x:c>
      <x:c r="AJ845" s="2" t="s">
        <x:v>2472</x:v>
      </x:c>
      <x:c r="AK845" s="2" t="s">
        <x:v>460</x:v>
      </x:c>
      <x:c r="AL845" s="2" t="s">
        <x:v>1550</x:v>
      </x:c>
      <x:c r="AM845" s="2">
        <x:v>75</x:v>
      </x:c>
      <x:c r="AN845" s="2">
        <x:v>75</x:v>
      </x:c>
    </x:row>
    <x:row r="846" ht="39">
      <x:c r="A846" s="2" t="s">
        <x:v>6</x:v>
      </x:c>
      <x:c r="B846" s="2" t="s">
        <x:v>18</x:v>
      </x:c>
      <x:c r="C846" s="3">
        <x:v>74</x:v>
      </x:c>
      <x:c r="D846" s="2" t="s">
        <x:v>449</x:v>
      </x:c>
      <x:c r="E846" s="2" t="s">
        <x:v>2598</x:v>
      </x:c>
      <x:c r="F846" s="2" t="s">
        <x:v>474</x:v>
      </x:c>
      <x:c r="G846" s="2"/>
      <x:c r="H846" s="2" t="s">
        <x:v>618</x:v>
      </x:c>
      <x:c r="I846" s="2" t="s">
        <x:v>2599</x:v>
      </x:c>
      <x:c r="J846" s="2" t="s">
        <x:v>454</x:v>
      </x:c>
      <x:c r="K846" s="2"/>
      <x:c r="L846" s="2" t="s">
        <x:v>2600</x:v>
      </x:c>
      <x:c r="M846" s="2"/>
      <x:c r="N846" s="2"/>
      <x:c r="O846" s="2" t="s">
        <x:v>2464</x:v>
      </x:c>
      <x:c r="P846" s="2" t="s">
        <x:v>2601</x:v>
      </x:c>
      <x:c r="Q846" s="2"/>
      <x:c r="R846" s="3">
        <x:v>2</x:v>
      </x:c>
      <x:c r="S846" s="3"/>
      <x:c r="T846" s="2"/>
      <x:c r="U846" s="2"/>
      <x:c r="V846" s="2"/>
      <x:c r="W846" s="2"/>
      <x:c r="X846" s="3"/>
      <x:c r="Y846" s="3"/>
      <x:c r="Z846" s="2"/>
      <x:c r="AA846" s="2"/>
      <x:c r="AB846" s="2"/>
      <x:c r="AC846" s="2"/>
      <x:c r="AD846" s="2" t="s">
        <x:v>480</x:v>
      </x:c>
      <x:c r="AE846" s="2"/>
      <x:c r="AF846" s="2"/>
      <x:c r="AG846" s="2"/>
      <x:c r="AH846" s="2" t="s">
        <x:v>470</x:v>
      </x:c>
      <x:c r="AI846" s="4">
        <x:v>8</x:v>
      </x:c>
      <x:c r="AJ846" s="2" t="s">
        <x:v>2525</x:v>
      </x:c>
      <x:c r="AK846" s="2" t="s">
        <x:v>460</x:v>
      </x:c>
      <x:c r="AL846" s="2" t="s">
        <x:v>1550</x:v>
      </x:c>
      <x:c r="AM846" s="2">
        <x:v>76</x:v>
      </x:c>
      <x:c r="AN846" s="2">
        <x:v>76</x:v>
      </x:c>
    </x:row>
    <x:row r="847" ht="39">
      <x:c r="A847" s="2" t="s">
        <x:v>6</x:v>
      </x:c>
      <x:c r="B847" s="2" t="s">
        <x:v>18</x:v>
      </x:c>
      <x:c r="C847" s="3">
        <x:v>75</x:v>
      </x:c>
      <x:c r="D847" s="2" t="s">
        <x:v>2526</x:v>
      </x:c>
      <x:c r="E847" s="2" t="s">
        <x:v>2598</x:v>
      </x:c>
      <x:c r="F847" s="2" t="s">
        <x:v>474</x:v>
      </x:c>
      <x:c r="G847" s="2"/>
      <x:c r="H847" s="2" t="s">
        <x:v>627</x:v>
      </x:c>
      <x:c r="I847" s="2" t="s">
        <x:v>2599</x:v>
      </x:c>
      <x:c r="J847" s="2" t="s">
        <x:v>2468</x:v>
      </x:c>
      <x:c r="K847" s="2" t="n">
        <x:v>74</x:v>
      </x:c>
      <x:c r="L847" s="2" t="s">
        <x:v>2544</x:v>
      </x:c>
      <x:c r="M847" s="2"/>
      <x:c r="N847" s="2"/>
      <x:c r="O847" s="2" t="s">
        <x:v>2470</x:v>
      </x:c>
      <x:c r="P847" s="2" t="s">
        <x:v>2545</x:v>
      </x:c>
      <x:c r="Q847" s="2"/>
      <x:c r="R847" s="3">
        <x:v>2</x:v>
      </x:c>
      <x:c r="S847" s="3"/>
      <x:c r="T847" s="2"/>
      <x:c r="U847" s="2"/>
      <x:c r="V847" s="2"/>
      <x:c r="W847" s="2"/>
      <x:c r="X847" s="3"/>
      <x:c r="Y847" s="3"/>
      <x:c r="Z847" s="2"/>
      <x:c r="AA847" s="2"/>
      <x:c r="AB847" s="2"/>
      <x:c r="AC847" s="2"/>
      <x:c r="AD847" s="2" t="s">
        <x:v>480</x:v>
      </x:c>
      <x:c r="AE847" s="2"/>
      <x:c r="AF847" s="2"/>
      <x:c r="AG847" s="2"/>
      <x:c r="AH847" s="2" t="s">
        <x:v>470</x:v>
      </x:c>
      <x:c r="AI847" s="4">
        <x:v>8</x:v>
      </x:c>
      <x:c r="AJ847" s="2" t="s">
        <x:v>2472</x:v>
      </x:c>
      <x:c r="AK847" s="2" t="s">
        <x:v>460</x:v>
      </x:c>
      <x:c r="AL847" s="2" t="s">
        <x:v>1550</x:v>
      </x:c>
      <x:c r="AM847" s="2">
        <x:v>77</x:v>
      </x:c>
      <x:c r="AN847" s="2">
        <x:v>77</x:v>
      </x:c>
    </x:row>
    <x:row r="848" ht="39">
      <x:c r="A848" s="2" t="s">
        <x:v>91</x:v>
      </x:c>
      <x:c r="B848" s="2" t="s">
        <x:v>18</x:v>
      </x:c>
      <x:c r="C848" s="3">
        <x:v>76</x:v>
      </x:c>
      <x:c r="D848" s="2" t="s">
        <x:v>505</x:v>
      </x:c>
      <x:c r="E848" s="2" t="s">
        <x:v>2602</x:v>
      </x:c>
      <x:c r="F848" s="2" t="s">
        <x:v>464</x:v>
      </x:c>
      <x:c r="G848" s="2" t="s">
        <x:v>2603</x:v>
      </x:c>
      <x:c r="H848" s="2" t="s">
        <x:v>618</x:v>
      </x:c>
      <x:c r="I848" s="2" t="s">
        <x:v>2604</x:v>
      </x:c>
      <x:c r="J848" s="2" t="s">
        <x:v>477</x:v>
      </x:c>
      <x:c r="K848" s="2"/>
      <x:c r="L848" s="2" t="s">
        <x:v>2605</x:v>
      </x:c>
      <x:c r="M848" s="2"/>
      <x:c r="N848" s="2"/>
      <x:c r="O848" s="2" t="s">
        <x:v>2464</x:v>
      </x:c>
      <x:c r="P848" s="2" t="s">
        <x:v>2606</x:v>
      </x:c>
      <x:c r="Q848" s="2"/>
      <x:c r="R848" s="3">
        <x:v>2</x:v>
      </x:c>
      <x:c r="S848" s="3"/>
      <x:c r="T848" s="2"/>
      <x:c r="U848" s="2"/>
      <x:c r="V848" s="2"/>
      <x:c r="W848" s="2"/>
      <x:c r="X848" s="3"/>
      <x:c r="Y848" s="3"/>
      <x:c r="Z848" s="2"/>
      <x:c r="AA848" s="2"/>
      <x:c r="AB848" s="2"/>
      <x:c r="AC848" s="2"/>
      <x:c r="AD848" s="2" t="s">
        <x:v>469</x:v>
      </x:c>
      <x:c r="AE848" s="2"/>
      <x:c r="AF848" s="2"/>
      <x:c r="AG848" s="2"/>
      <x:c r="AH848" s="2" t="s">
        <x:v>470</x:v>
      </x:c>
      <x:c r="AI848" s="4">
        <x:v>8</x:v>
      </x:c>
      <x:c r="AJ848" s="2" t="s">
        <x:v>2466</x:v>
      </x:c>
      <x:c r="AK848" s="2" t="s">
        <x:v>460</x:v>
      </x:c>
      <x:c r="AL848" s="2" t="s">
        <x:v>1550</x:v>
      </x:c>
      <x:c r="AM848" s="2">
        <x:v>78</x:v>
      </x:c>
      <x:c r="AN848" s="2">
        <x:v>78</x:v>
      </x:c>
    </x:row>
    <x:row r="849" ht="39">
      <x:c r="A849" s="2" t="s">
        <x:v>91</x:v>
      </x:c>
      <x:c r="B849" s="2" t="s">
        <x:v>18</x:v>
      </x:c>
      <x:c r="C849" s="3">
        <x:v>77</x:v>
      </x:c>
      <x:c r="D849" s="2" t="s">
        <x:v>2467</x:v>
      </x:c>
      <x:c r="E849" s="2" t="s">
        <x:v>2602</x:v>
      </x:c>
      <x:c r="F849" s="2" t="s">
        <x:v>464</x:v>
      </x:c>
      <x:c r="G849" s="2" t="s">
        <x:v>2607</x:v>
      </x:c>
      <x:c r="H849" s="2" t="s">
        <x:v>627</x:v>
      </x:c>
      <x:c r="I849" s="2" t="s">
        <x:v>2604</x:v>
      </x:c>
      <x:c r="J849" s="2" t="s">
        <x:v>2468</x:v>
      </x:c>
      <x:c r="K849" s="2" t="n">
        <x:v>76</x:v>
      </x:c>
      <x:c r="L849" s="2" t="s">
        <x:v>2554</x:v>
      </x:c>
      <x:c r="M849" s="2"/>
      <x:c r="N849" s="2"/>
      <x:c r="O849" s="2" t="s">
        <x:v>2470</x:v>
      </x:c>
      <x:c r="P849" s="2" t="s">
        <x:v>2555</x:v>
      </x:c>
      <x:c r="Q849" s="2"/>
      <x:c r="R849" s="3">
        <x:v>2</x:v>
      </x:c>
      <x:c r="S849" s="3"/>
      <x:c r="T849" s="2"/>
      <x:c r="U849" s="2"/>
      <x:c r="V849" s="2"/>
      <x:c r="W849" s="2"/>
      <x:c r="X849" s="3"/>
      <x:c r="Y849" s="3"/>
      <x:c r="Z849" s="2"/>
      <x:c r="AA849" s="2"/>
      <x:c r="AB849" s="2"/>
      <x:c r="AC849" s="2"/>
      <x:c r="AD849" s="2" t="s">
        <x:v>469</x:v>
      </x:c>
      <x:c r="AE849" s="2"/>
      <x:c r="AF849" s="2"/>
      <x:c r="AG849" s="2"/>
      <x:c r="AH849" s="2" t="s">
        <x:v>470</x:v>
      </x:c>
      <x:c r="AI849" s="4">
        <x:v>8</x:v>
      </x:c>
      <x:c r="AJ849" s="2" t="s">
        <x:v>2472</x:v>
      </x:c>
      <x:c r="AK849" s="2" t="s">
        <x:v>460</x:v>
      </x:c>
      <x:c r="AL849" s="2" t="s">
        <x:v>1550</x:v>
      </x:c>
      <x:c r="AM849" s="2">
        <x:v>79</x:v>
      </x:c>
      <x:c r="AN849" s="2">
        <x:v>79</x:v>
      </x:c>
    </x:row>
    <x:row r="850" ht="39">
      <x:c r="A850" s="2" t="s">
        <x:v>91</x:v>
      </x:c>
      <x:c r="B850" s="2" t="s">
        <x:v>18</x:v>
      </x:c>
      <x:c r="C850" s="3">
        <x:v>78</x:v>
      </x:c>
      <x:c r="D850" s="2" t="s">
        <x:v>462</x:v>
      </x:c>
      <x:c r="E850" s="2" t="s">
        <x:v>2608</x:v>
      </x:c>
      <x:c r="F850" s="2" t="s">
        <x:v>474</x:v>
      </x:c>
      <x:c r="G850" s="2" t="s">
        <x:v>2609</x:v>
      </x:c>
      <x:c r="H850" s="2" t="s">
        <x:v>618</x:v>
      </x:c>
      <x:c r="I850" s="2" t="s">
        <x:v>2610</x:v>
      </x:c>
      <x:c r="J850" s="2" t="s">
        <x:v>454</x:v>
      </x:c>
      <x:c r="K850" s="2"/>
      <x:c r="L850" s="2" t="s">
        <x:v>2611</x:v>
      </x:c>
      <x:c r="M850" s="2"/>
      <x:c r="N850" s="2"/>
      <x:c r="O850" s="2" t="s">
        <x:v>2464</x:v>
      </x:c>
      <x:c r="P850" s="2" t="s">
        <x:v>2612</x:v>
      </x:c>
      <x:c r="Q850" s="2"/>
      <x:c r="R850" s="3">
        <x:v>2</x:v>
      </x:c>
      <x:c r="S850" s="3"/>
      <x:c r="T850" s="2"/>
      <x:c r="U850" s="2"/>
      <x:c r="V850" s="2"/>
      <x:c r="W850" s="2"/>
      <x:c r="X850" s="3"/>
      <x:c r="Y850" s="3"/>
      <x:c r="Z850" s="2"/>
      <x:c r="AA850" s="2"/>
      <x:c r="AB850" s="2"/>
      <x:c r="AC850" s="2"/>
      <x:c r="AD850" s="2" t="s">
        <x:v>480</x:v>
      </x:c>
      <x:c r="AE850" s="2"/>
      <x:c r="AF850" s="2"/>
      <x:c r="AG850" s="2"/>
      <x:c r="AH850" s="2" t="s">
        <x:v>458</x:v>
      </x:c>
      <x:c r="AI850" s="4">
        <x:v>12</x:v>
      </x:c>
      <x:c r="AJ850" s="2" t="s">
        <x:v>2484</x:v>
      </x:c>
      <x:c r="AK850" s="2" t="s">
        <x:v>460</x:v>
      </x:c>
      <x:c r="AL850" s="2" t="s">
        <x:v>1550</x:v>
      </x:c>
      <x:c r="AM850" s="2">
        <x:v>80</x:v>
      </x:c>
      <x:c r="AN850" s="2">
        <x:v>80</x:v>
      </x:c>
    </x:row>
    <x:row r="851" ht="39">
      <x:c r="A851" s="2" t="s">
        <x:v>6</x:v>
      </x:c>
      <x:c r="B851" s="2" t="s">
        <x:v>18</x:v>
      </x:c>
      <x:c r="C851" s="3">
        <x:v>79</x:v>
      </x:c>
      <x:c r="D851" s="2" t="s">
        <x:v>2485</x:v>
      </x:c>
      <x:c r="E851" s="2" t="s">
        <x:v>2608</x:v>
      </x:c>
      <x:c r="F851" s="2" t="s">
        <x:v>474</x:v>
      </x:c>
      <x:c r="G851" s="2"/>
      <x:c r="H851" s="2" t="s">
        <x:v>627</x:v>
      </x:c>
      <x:c r="I851" s="2" t="s">
        <x:v>2610</x:v>
      </x:c>
      <x:c r="J851" s="2" t="s">
        <x:v>2468</x:v>
      </x:c>
      <x:c r="K851" s="2" t="n">
        <x:v>78</x:v>
      </x:c>
      <x:c r="L851" s="2" t="s">
        <x:v>2562</x:v>
      </x:c>
      <x:c r="M851" s="2"/>
      <x:c r="N851" s="2"/>
      <x:c r="O851" s="2" t="s">
        <x:v>2470</x:v>
      </x:c>
      <x:c r="P851" s="2" t="s">
        <x:v>2563</x:v>
      </x:c>
      <x:c r="Q851" s="2"/>
      <x:c r="R851" s="3">
        <x:v>2</x:v>
      </x:c>
      <x:c r="S851" s="3"/>
      <x:c r="T851" s="2"/>
      <x:c r="U851" s="2"/>
      <x:c r="V851" s="2"/>
      <x:c r="W851" s="2"/>
      <x:c r="X851" s="3"/>
      <x:c r="Y851" s="3"/>
      <x:c r="Z851" s="2"/>
      <x:c r="AA851" s="2"/>
      <x:c r="AB851" s="2"/>
      <x:c r="AC851" s="2"/>
      <x:c r="AD851" s="2" t="s">
        <x:v>480</x:v>
      </x:c>
      <x:c r="AE851" s="2"/>
      <x:c r="AF851" s="2"/>
      <x:c r="AG851" s="2"/>
      <x:c r="AH851" s="2" t="s">
        <x:v>458</x:v>
      </x:c>
      <x:c r="AI851" s="4">
        <x:v>12</x:v>
      </x:c>
      <x:c r="AJ851" s="2" t="s">
        <x:v>2472</x:v>
      </x:c>
      <x:c r="AK851" s="2" t="s">
        <x:v>460</x:v>
      </x:c>
      <x:c r="AL851" s="2" t="s">
        <x:v>1550</x:v>
      </x:c>
      <x:c r="AM851" s="2">
        <x:v>81</x:v>
      </x:c>
      <x:c r="AN851" s="2">
        <x:v>81</x:v>
      </x:c>
    </x:row>
    <x:row r="852" ht="39">
      <x:c r="A852" s="2" t="s">
        <x:v>6</x:v>
      </x:c>
      <x:c r="B852" s="2" t="s">
        <x:v>18</x:v>
      </x:c>
      <x:c r="C852" s="3">
        <x:v>80</x:v>
      </x:c>
      <x:c r="D852" s="2" t="s">
        <x:v>482</x:v>
      </x:c>
      <x:c r="E852" s="2" t="s">
        <x:v>2613</x:v>
      </x:c>
      <x:c r="F852" s="2" t="s">
        <x:v>464</x:v>
      </x:c>
      <x:c r="G852" s="2"/>
      <x:c r="H852" s="2" t="s">
        <x:v>618</x:v>
      </x:c>
      <x:c r="I852" s="2" t="s">
        <x:v>2614</x:v>
      </x:c>
      <x:c r="J852" s="2" t="s">
        <x:v>477</x:v>
      </x:c>
      <x:c r="K852" s="2"/>
      <x:c r="L852" s="2" t="s">
        <x:v>2615</x:v>
      </x:c>
      <x:c r="M852" s="2"/>
      <x:c r="N852" s="2"/>
      <x:c r="O852" s="2" t="s">
        <x:v>2464</x:v>
      </x:c>
      <x:c r="P852" s="2" t="s">
        <x:v>2616</x:v>
      </x:c>
      <x:c r="Q852" s="2"/>
      <x:c r="R852" s="3">
        <x:v>2</x:v>
      </x:c>
      <x:c r="S852" s="3"/>
      <x:c r="T852" s="2"/>
      <x:c r="U852" s="2"/>
      <x:c r="V852" s="2"/>
      <x:c r="W852" s="2"/>
      <x:c r="X852" s="3"/>
      <x:c r="Y852" s="3"/>
      <x:c r="Z852" s="2"/>
      <x:c r="AA852" s="2"/>
      <x:c r="AB852" s="2"/>
      <x:c r="AC852" s="2"/>
      <x:c r="AD852" s="2" t="s">
        <x:v>469</x:v>
      </x:c>
      <x:c r="AE852" s="2"/>
      <x:c r="AF852" s="2"/>
      <x:c r="AG852" s="2"/>
      <x:c r="AH852" s="2" t="s">
        <x:v>458</x:v>
      </x:c>
      <x:c r="AI852" s="4">
        <x:v>12</x:v>
      </x:c>
      <x:c r="AJ852" s="2" t="s">
        <x:v>2494</x:v>
      </x:c>
      <x:c r="AK852" s="2" t="s">
        <x:v>460</x:v>
      </x:c>
      <x:c r="AL852" s="2" t="s">
        <x:v>1550</x:v>
      </x:c>
      <x:c r="AM852" s="2">
        <x:v>82</x:v>
      </x:c>
      <x:c r="AN852" s="2">
        <x:v>82</x:v>
      </x:c>
    </x:row>
    <x:row r="853" ht="39">
      <x:c r="A853" s="2" t="s">
        <x:v>6</x:v>
      </x:c>
      <x:c r="B853" s="2" t="s">
        <x:v>18</x:v>
      </x:c>
      <x:c r="C853" s="3">
        <x:v>81</x:v>
      </x:c>
      <x:c r="D853" s="2" t="s">
        <x:v>516</x:v>
      </x:c>
      <x:c r="E853" s="2" t="s">
        <x:v>2617</x:v>
      </x:c>
      <x:c r="F853" s="2" t="s">
        <x:v>474</x:v>
      </x:c>
      <x:c r="G853" s="2"/>
      <x:c r="H853" s="2" t="s">
        <x:v>618</x:v>
      </x:c>
      <x:c r="I853" s="2" t="s">
        <x:v>2618</x:v>
      </x:c>
      <x:c r="J853" s="2" t="s">
        <x:v>454</x:v>
      </x:c>
      <x:c r="K853" s="2"/>
      <x:c r="L853" s="2" t="s">
        <x:v>2619</x:v>
      </x:c>
      <x:c r="M853" s="2"/>
      <x:c r="N853" s="2"/>
      <x:c r="O853" s="2" t="s">
        <x:v>2464</x:v>
      </x:c>
      <x:c r="P853" s="2" t="s">
        <x:v>2620</x:v>
      </x:c>
      <x:c r="Q853" s="2"/>
      <x:c r="R853" s="3">
        <x:v>2</x:v>
      </x:c>
      <x:c r="S853" s="3"/>
      <x:c r="T853" s="2"/>
      <x:c r="U853" s="2"/>
      <x:c r="V853" s="2"/>
      <x:c r="W853" s="2"/>
      <x:c r="X853" s="3"/>
      <x:c r="Y853" s="3"/>
      <x:c r="Z853" s="2"/>
      <x:c r="AA853" s="2"/>
      <x:c r="AB853" s="2"/>
      <x:c r="AC853" s="2"/>
      <x:c r="AD853" s="2" t="s">
        <x:v>480</x:v>
      </x:c>
      <x:c r="AE853" s="2"/>
      <x:c r="AF853" s="2"/>
      <x:c r="AG853" s="2"/>
      <x:c r="AH853" s="2" t="s">
        <x:v>470</x:v>
      </x:c>
      <x:c r="AI853" s="4">
        <x:v>16</x:v>
      </x:c>
      <x:c r="AJ853" s="2" t="s">
        <x:v>2504</x:v>
      </x:c>
      <x:c r="AK853" s="2" t="s">
        <x:v>460</x:v>
      </x:c>
      <x:c r="AL853" s="2" t="s">
        <x:v>1550</x:v>
      </x:c>
      <x:c r="AM853" s="2">
        <x:v>83</x:v>
      </x:c>
      <x:c r="AN853" s="2">
        <x:v>83</x:v>
      </x:c>
    </x:row>
    <x:row r="854" ht="65">
      <x:c r="A854" s="2" t="s">
        <x:v>91</x:v>
      </x:c>
      <x:c r="B854" s="2" t="s">
        <x:v>18</x:v>
      </x:c>
      <x:c r="C854" s="3">
        <x:v>82</x:v>
      </x:c>
      <x:c r="D854" s="2" t="s">
        <x:v>472</x:v>
      </x:c>
      <x:c r="E854" s="2" t="s">
        <x:v>2621</x:v>
      </x:c>
      <x:c r="F854" s="2" t="s">
        <x:v>464</x:v>
      </x:c>
      <x:c r="G854" s="2" t="s">
        <x:v>2622</x:v>
      </x:c>
      <x:c r="H854" s="2" t="s">
        <x:v>618</x:v>
      </x:c>
      <x:c r="I854" s="2" t="s">
        <x:v>2623</x:v>
      </x:c>
      <x:c r="J854" s="2" t="s">
        <x:v>477</x:v>
      </x:c>
      <x:c r="K854" s="2"/>
      <x:c r="L854" s="2" t="s">
        <x:v>2624</x:v>
      </x:c>
      <x:c r="M854" s="2"/>
      <x:c r="N854" s="2"/>
      <x:c r="O854" s="2" t="s">
        <x:v>2464</x:v>
      </x:c>
      <x:c r="P854" s="2" t="s">
        <x:v>2625</x:v>
      </x:c>
      <x:c r="Q854" s="2"/>
      <x:c r="R854" s="3">
        <x:v>2</x:v>
      </x:c>
      <x:c r="S854" s="3"/>
      <x:c r="T854" s="2"/>
      <x:c r="U854" s="2"/>
      <x:c r="V854" s="2"/>
      <x:c r="W854" s="2"/>
      <x:c r="X854" s="3"/>
      <x:c r="Y854" s="3"/>
      <x:c r="Z854" s="2"/>
      <x:c r="AA854" s="2"/>
      <x:c r="AB854" s="2"/>
      <x:c r="AC854" s="2"/>
      <x:c r="AD854" s="2" t="s">
        <x:v>469</x:v>
      </x:c>
      <x:c r="AE854" s="2"/>
      <x:c r="AF854" s="2"/>
      <x:c r="AG854" s="2"/>
      <x:c r="AH854" s="2" t="s">
        <x:v>470</x:v>
      </x:c>
      <x:c r="AI854" s="4">
        <x:v>16</x:v>
      </x:c>
      <x:c r="AJ854" s="2" t="s">
        <x:v>2514</x:v>
      </x:c>
      <x:c r="AK854" s="2" t="s">
        <x:v>460</x:v>
      </x:c>
      <x:c r="AL854" s="2" t="s">
        <x:v>1550</x:v>
      </x:c>
      <x:c r="AM854" s="2">
        <x:v>84</x:v>
      </x:c>
      <x:c r="AN854" s="2">
        <x:v>84</x:v>
      </x:c>
    </x:row>
    <x:row r="855" ht="39">
      <x:c r="A855" s="2" t="s">
        <x:v>6</x:v>
      </x:c>
      <x:c r="B855" s="2" t="s">
        <x:v>18</x:v>
      </x:c>
      <x:c r="C855" s="3">
        <x:v>83</x:v>
      </x:c>
      <x:c r="D855" s="2" t="s">
        <x:v>449</x:v>
      </x:c>
      <x:c r="E855" s="2" t="s">
        <x:v>2626</x:v>
      </x:c>
      <x:c r="F855" s="2" t="s">
        <x:v>474</x:v>
      </x:c>
      <x:c r="G855" s="2"/>
      <x:c r="H855" s="2" t="s">
        <x:v>618</x:v>
      </x:c>
      <x:c r="I855" s="2" t="s">
        <x:v>2627</x:v>
      </x:c>
      <x:c r="J855" s="2" t="s">
        <x:v>454</x:v>
      </x:c>
      <x:c r="K855" s="2"/>
      <x:c r="L855" s="2" t="s">
        <x:v>2628</x:v>
      </x:c>
      <x:c r="M855" s="2"/>
      <x:c r="N855" s="2"/>
      <x:c r="O855" s="2" t="s">
        <x:v>2464</x:v>
      </x:c>
      <x:c r="P855" s="2" t="s">
        <x:v>2629</x:v>
      </x:c>
      <x:c r="Q855" s="2"/>
      <x:c r="R855" s="3">
        <x:v>2</x:v>
      </x:c>
      <x:c r="S855" s="3"/>
      <x:c r="T855" s="2"/>
      <x:c r="U855" s="2"/>
      <x:c r="V855" s="2"/>
      <x:c r="W855" s="2"/>
      <x:c r="X855" s="3"/>
      <x:c r="Y855" s="3"/>
      <x:c r="Z855" s="2"/>
      <x:c r="AA855" s="2"/>
      <x:c r="AB855" s="2"/>
      <x:c r="AC855" s="2"/>
      <x:c r="AD855" s="2" t="s">
        <x:v>480</x:v>
      </x:c>
      <x:c r="AE855" s="2"/>
      <x:c r="AF855" s="2"/>
      <x:c r="AG855" s="2"/>
      <x:c r="AH855" s="2" t="s">
        <x:v>458</x:v>
      </x:c>
      <x:c r="AI855" s="4">
        <x:v>8</x:v>
      </x:c>
      <x:c r="AJ855" s="2" t="s">
        <x:v>2525</x:v>
      </x:c>
      <x:c r="AK855" s="2" t="s">
        <x:v>460</x:v>
      </x:c>
      <x:c r="AL855" s="2" t="s">
        <x:v>1550</x:v>
      </x:c>
      <x:c r="AM855" s="2">
        <x:v>85</x:v>
      </x:c>
      <x:c r="AN855" s="2">
        <x:v>85</x:v>
      </x:c>
    </x:row>
    <x:row r="856" ht="39">
      <x:c r="A856" s="2" t="s">
        <x:v>6</x:v>
      </x:c>
      <x:c r="B856" s="2" t="s">
        <x:v>18</x:v>
      </x:c>
      <x:c r="C856" s="3">
        <x:v>84</x:v>
      </x:c>
      <x:c r="D856" s="2" t="s">
        <x:v>505</x:v>
      </x:c>
      <x:c r="E856" s="2" t="s">
        <x:v>2630</x:v>
      </x:c>
      <x:c r="F856" s="2" t="s">
        <x:v>464</x:v>
      </x:c>
      <x:c r="G856" s="2"/>
      <x:c r="H856" s="2" t="s">
        <x:v>618</x:v>
      </x:c>
      <x:c r="I856" s="2" t="s">
        <x:v>2631</x:v>
      </x:c>
      <x:c r="J856" s="2" t="s">
        <x:v>477</x:v>
      </x:c>
      <x:c r="K856" s="2"/>
      <x:c r="L856" s="2" t="s">
        <x:v>2632</x:v>
      </x:c>
      <x:c r="M856" s="2"/>
      <x:c r="N856" s="2"/>
      <x:c r="O856" s="2" t="s">
        <x:v>2464</x:v>
      </x:c>
      <x:c r="P856" s="2" t="s">
        <x:v>2633</x:v>
      </x:c>
      <x:c r="Q856" s="2"/>
      <x:c r="R856" s="3">
        <x:v>2</x:v>
      </x:c>
      <x:c r="S856" s="3"/>
      <x:c r="T856" s="2"/>
      <x:c r="U856" s="2"/>
      <x:c r="V856" s="2"/>
      <x:c r="W856" s="2"/>
      <x:c r="X856" s="3"/>
      <x:c r="Y856" s="3"/>
      <x:c r="Z856" s="2"/>
      <x:c r="AA856" s="2"/>
      <x:c r="AB856" s="2"/>
      <x:c r="AC856" s="2"/>
      <x:c r="AD856" s="2" t="s">
        <x:v>469</x:v>
      </x:c>
      <x:c r="AE856" s="2"/>
      <x:c r="AF856" s="2"/>
      <x:c r="AG856" s="2"/>
      <x:c r="AH856" s="2" t="s">
        <x:v>458</x:v>
      </x:c>
      <x:c r="AI856" s="4">
        <x:v>8</x:v>
      </x:c>
      <x:c r="AJ856" s="2" t="s">
        <x:v>2466</x:v>
      </x:c>
      <x:c r="AK856" s="2" t="s">
        <x:v>460</x:v>
      </x:c>
      <x:c r="AL856" s="2" t="s">
        <x:v>1550</x:v>
      </x:c>
      <x:c r="AM856" s="2">
        <x:v>86</x:v>
      </x:c>
      <x:c r="AN856" s="2">
        <x:v>86</x:v>
      </x:c>
    </x:row>
    <x:row r="857" ht="39">
      <x:c r="A857" s="2" t="s">
        <x:v>91</x:v>
      </x:c>
      <x:c r="B857" s="2" t="s">
        <x:v>18</x:v>
      </x:c>
      <x:c r="C857" s="3">
        <x:v>85</x:v>
      </x:c>
      <x:c r="D857" s="2" t="s">
        <x:v>462</x:v>
      </x:c>
      <x:c r="E857" s="2" t="s">
        <x:v>2634</x:v>
      </x:c>
      <x:c r="F857" s="2" t="s">
        <x:v>474</x:v>
      </x:c>
      <x:c r="G857" s="2" t="s">
        <x:v>2635</x:v>
      </x:c>
      <x:c r="H857" s="2" t="s">
        <x:v>618</x:v>
      </x:c>
      <x:c r="I857" s="2" t="s">
        <x:v>2636</x:v>
      </x:c>
      <x:c r="J857" s="2" t="s">
        <x:v>454</x:v>
      </x:c>
      <x:c r="K857" s="2"/>
      <x:c r="L857" s="2" t="s">
        <x:v>2637</x:v>
      </x:c>
      <x:c r="M857" s="2"/>
      <x:c r="N857" s="2"/>
      <x:c r="O857" s="2" t="s">
        <x:v>2464</x:v>
      </x:c>
      <x:c r="P857" s="2" t="s">
        <x:v>2638</x:v>
      </x:c>
      <x:c r="Q857" s="2"/>
      <x:c r="R857" s="3">
        <x:v>2</x:v>
      </x:c>
      <x:c r="S857" s="3"/>
      <x:c r="T857" s="2"/>
      <x:c r="U857" s="2"/>
      <x:c r="V857" s="2"/>
      <x:c r="W857" s="2"/>
      <x:c r="X857" s="3"/>
      <x:c r="Y857" s="3"/>
      <x:c r="Z857" s="2"/>
      <x:c r="AA857" s="2"/>
      <x:c r="AB857" s="2"/>
      <x:c r="AC857" s="2"/>
      <x:c r="AD857" s="2" t="s">
        <x:v>480</x:v>
      </x:c>
      <x:c r="AE857" s="2"/>
      <x:c r="AF857" s="2"/>
      <x:c r="AG857" s="2"/>
      <x:c r="AH857" s="2" t="s">
        <x:v>470</x:v>
      </x:c>
      <x:c r="AI857" s="4">
        <x:v>12</x:v>
      </x:c>
      <x:c r="AJ857" s="2" t="s">
        <x:v>2484</x:v>
      </x:c>
      <x:c r="AK857" s="2" t="s">
        <x:v>460</x:v>
      </x:c>
      <x:c r="AL857" s="2" t="s">
        <x:v>1550</x:v>
      </x:c>
      <x:c r="AM857" s="2">
        <x:v>87</x:v>
      </x:c>
      <x:c r="AN857" s="2">
        <x:v>87</x:v>
      </x:c>
    </x:row>
    <x:row r="858" ht="39">
      <x:c r="A858" s="2" t="s">
        <x:v>91</x:v>
      </x:c>
      <x:c r="B858" s="2" t="s">
        <x:v>18</x:v>
      </x:c>
      <x:c r="C858" s="3">
        <x:v>86</x:v>
      </x:c>
      <x:c r="D858" s="2" t="s">
        <x:v>482</x:v>
      </x:c>
      <x:c r="E858" s="2" t="s">
        <x:v>2639</x:v>
      </x:c>
      <x:c r="F858" s="2" t="s">
        <x:v>464</x:v>
      </x:c>
      <x:c r="G858" s="2" t="s">
        <x:v>2640</x:v>
      </x:c>
      <x:c r="H858" s="2" t="s">
        <x:v>618</x:v>
      </x:c>
      <x:c r="I858" s="2" t="s">
        <x:v>2641</x:v>
      </x:c>
      <x:c r="J858" s="2" t="s">
        <x:v>477</x:v>
      </x:c>
      <x:c r="K858" s="2"/>
      <x:c r="L858" s="2" t="s">
        <x:v>2642</x:v>
      </x:c>
      <x:c r="M858" s="2"/>
      <x:c r="N858" s="2"/>
      <x:c r="O858" s="2" t="s">
        <x:v>2464</x:v>
      </x:c>
      <x:c r="P858" s="2" t="s">
        <x:v>2643</x:v>
      </x:c>
      <x:c r="Q858" s="2"/>
      <x:c r="R858" s="3">
        <x:v>2</x:v>
      </x:c>
      <x:c r="S858" s="3"/>
      <x:c r="T858" s="2"/>
      <x:c r="U858" s="2"/>
      <x:c r="V858" s="2"/>
      <x:c r="W858" s="2"/>
      <x:c r="X858" s="3"/>
      <x:c r="Y858" s="3"/>
      <x:c r="Z858" s="2"/>
      <x:c r="AA858" s="2"/>
      <x:c r="AB858" s="2"/>
      <x:c r="AC858" s="2"/>
      <x:c r="AD858" s="2" t="s">
        <x:v>469</x:v>
      </x:c>
      <x:c r="AE858" s="2"/>
      <x:c r="AF858" s="2"/>
      <x:c r="AG858" s="2"/>
      <x:c r="AH858" s="2" t="s">
        <x:v>470</x:v>
      </x:c>
      <x:c r="AI858" s="4">
        <x:v>12</x:v>
      </x:c>
      <x:c r="AJ858" s="2" t="s">
        <x:v>2494</x:v>
      </x:c>
      <x:c r="AK858" s="2" t="s">
        <x:v>460</x:v>
      </x:c>
      <x:c r="AL858" s="2" t="s">
        <x:v>1550</x:v>
      </x:c>
      <x:c r="AM858" s="2">
        <x:v>88</x:v>
      </x:c>
      <x:c r="AN858" s="2">
        <x:v>88</x:v>
      </x:c>
    </x:row>
    <x:row r="859" ht="39">
      <x:c r="A859" s="2" t="s">
        <x:v>91</x:v>
      </x:c>
      <x:c r="B859" s="2" t="s">
        <x:v>18</x:v>
      </x:c>
      <x:c r="C859" s="3">
        <x:v>87</x:v>
      </x:c>
      <x:c r="D859" s="2" t="s">
        <x:v>516</x:v>
      </x:c>
      <x:c r="E859" s="2" t="s">
        <x:v>2644</x:v>
      </x:c>
      <x:c r="F859" s="2" t="s">
        <x:v>474</x:v>
      </x:c>
      <x:c r="G859" s="2" t="s">
        <x:v>2645</x:v>
      </x:c>
      <x:c r="H859" s="2" t="s">
        <x:v>618</x:v>
      </x:c>
      <x:c r="I859" s="2" t="s">
        <x:v>2646</x:v>
      </x:c>
      <x:c r="J859" s="2" t="s">
        <x:v>454</x:v>
      </x:c>
      <x:c r="K859" s="2"/>
      <x:c r="L859" s="2" t="s">
        <x:v>2647</x:v>
      </x:c>
      <x:c r="M859" s="2"/>
      <x:c r="N859" s="2"/>
      <x:c r="O859" s="2" t="s">
        <x:v>2464</x:v>
      </x:c>
      <x:c r="P859" s="2" t="s">
        <x:v>2648</x:v>
      </x:c>
      <x:c r="Q859" s="2"/>
      <x:c r="R859" s="3">
        <x:v>2</x:v>
      </x:c>
      <x:c r="S859" s="3"/>
      <x:c r="T859" s="2"/>
      <x:c r="U859" s="2"/>
      <x:c r="V859" s="2"/>
      <x:c r="W859" s="2"/>
      <x:c r="X859" s="3"/>
      <x:c r="Y859" s="3"/>
      <x:c r="Z859" s="2"/>
      <x:c r="AA859" s="2"/>
      <x:c r="AB859" s="2"/>
      <x:c r="AC859" s="2"/>
      <x:c r="AD859" s="2" t="s">
        <x:v>480</x:v>
      </x:c>
      <x:c r="AE859" s="2"/>
      <x:c r="AF859" s="2"/>
      <x:c r="AG859" s="2"/>
      <x:c r="AH859" s="2" t="s">
        <x:v>458</x:v>
      </x:c>
      <x:c r="AI859" s="4">
        <x:v>16</x:v>
      </x:c>
      <x:c r="AJ859" s="2" t="s">
        <x:v>2504</x:v>
      </x:c>
      <x:c r="AK859" s="2" t="s">
        <x:v>460</x:v>
      </x:c>
      <x:c r="AL859" s="2" t="s">
        <x:v>1550</x:v>
      </x:c>
      <x:c r="AM859" s="2">
        <x:v>89</x:v>
      </x:c>
      <x:c r="AN859" s="2">
        <x:v>89</x:v>
      </x:c>
    </x:row>
    <x:row r="860" ht="39">
      <x:c r="A860" s="2" t="s">
        <x:v>6</x:v>
      </x:c>
      <x:c r="B860" s="2" t="s">
        <x:v>18</x:v>
      </x:c>
      <x:c r="C860" s="3">
        <x:v>88</x:v>
      </x:c>
      <x:c r="D860" s="2" t="s">
        <x:v>472</x:v>
      </x:c>
      <x:c r="E860" s="2" t="s">
        <x:v>2649</x:v>
      </x:c>
      <x:c r="F860" s="2" t="s">
        <x:v>464</x:v>
      </x:c>
      <x:c r="G860" s="2"/>
      <x:c r="H860" s="2" t="s">
        <x:v>618</x:v>
      </x:c>
      <x:c r="I860" s="2" t="s">
        <x:v>2650</x:v>
      </x:c>
      <x:c r="J860" s="2" t="s">
        <x:v>477</x:v>
      </x:c>
      <x:c r="K860" s="2"/>
      <x:c r="L860" s="2" t="s">
        <x:v>2651</x:v>
      </x:c>
      <x:c r="M860" s="2"/>
      <x:c r="N860" s="2"/>
      <x:c r="O860" s="2" t="s">
        <x:v>2464</x:v>
      </x:c>
      <x:c r="P860" s="2" t="s">
        <x:v>2652</x:v>
      </x:c>
      <x:c r="Q860" s="2"/>
      <x:c r="R860" s="3">
        <x:v>2</x:v>
      </x:c>
      <x:c r="S860" s="3"/>
      <x:c r="T860" s="2"/>
      <x:c r="U860" s="2"/>
      <x:c r="V860" s="2"/>
      <x:c r="W860" s="2"/>
      <x:c r="X860" s="3"/>
      <x:c r="Y860" s="3"/>
      <x:c r="Z860" s="2"/>
      <x:c r="AA860" s="2"/>
      <x:c r="AB860" s="2"/>
      <x:c r="AC860" s="2"/>
      <x:c r="AD860" s="2" t="s">
        <x:v>469</x:v>
      </x:c>
      <x:c r="AE860" s="2"/>
      <x:c r="AF860" s="2"/>
      <x:c r="AG860" s="2"/>
      <x:c r="AH860" s="2" t="s">
        <x:v>458</x:v>
      </x:c>
      <x:c r="AI860" s="4">
        <x:v>16</x:v>
      </x:c>
      <x:c r="AJ860" s="2" t="s">
        <x:v>2514</x:v>
      </x:c>
      <x:c r="AK860" s="2" t="s">
        <x:v>460</x:v>
      </x:c>
      <x:c r="AL860" s="2" t="s">
        <x:v>1550</x:v>
      </x:c>
      <x:c r="AM860" s="2">
        <x:v>90</x:v>
      </x:c>
      <x:c r="AN860" s="2">
        <x:v>90</x:v>
      </x:c>
    </x:row>
    <x:row r="861" ht="39">
      <x:c r="A861" s="2" t="s">
        <x:v>6</x:v>
      </x:c>
      <x:c r="B861" s="2" t="s">
        <x:v>18</x:v>
      </x:c>
      <x:c r="C861" s="3">
        <x:v>89</x:v>
      </x:c>
      <x:c r="D861" s="2" t="s">
        <x:v>449</x:v>
      </x:c>
      <x:c r="E861" s="2" t="s">
        <x:v>2653</x:v>
      </x:c>
      <x:c r="F861" s="2" t="s">
        <x:v>474</x:v>
      </x:c>
      <x:c r="G861" s="2"/>
      <x:c r="H861" s="2" t="s">
        <x:v>618</x:v>
      </x:c>
      <x:c r="I861" s="2" t="s">
        <x:v>2654</x:v>
      </x:c>
      <x:c r="J861" s="2" t="s">
        <x:v>454</x:v>
      </x:c>
      <x:c r="K861" s="2"/>
      <x:c r="L861" s="2" t="s">
        <x:v>2655</x:v>
      </x:c>
      <x:c r="M861" s="2"/>
      <x:c r="N861" s="2"/>
      <x:c r="O861" s="2" t="s">
        <x:v>2464</x:v>
      </x:c>
      <x:c r="P861" s="2" t="s">
        <x:v>2656</x:v>
      </x:c>
      <x:c r="Q861" s="2"/>
      <x:c r="R861" s="3">
        <x:v>2</x:v>
      </x:c>
      <x:c r="S861" s="3"/>
      <x:c r="T861" s="2"/>
      <x:c r="U861" s="2"/>
      <x:c r="V861" s="2"/>
      <x:c r="W861" s="2"/>
      <x:c r="X861" s="3"/>
      <x:c r="Y861" s="3"/>
      <x:c r="Z861" s="2"/>
      <x:c r="AA861" s="2"/>
      <x:c r="AB861" s="2"/>
      <x:c r="AC861" s="2"/>
      <x:c r="AD861" s="2" t="s">
        <x:v>480</x:v>
      </x:c>
      <x:c r="AE861" s="2"/>
      <x:c r="AF861" s="2"/>
      <x:c r="AG861" s="2"/>
      <x:c r="AH861" s="2" t="s">
        <x:v>470</x:v>
      </x:c>
      <x:c r="AI861" s="4">
        <x:v>8</x:v>
      </x:c>
      <x:c r="AJ861" s="2" t="s">
        <x:v>2525</x:v>
      </x:c>
      <x:c r="AK861" s="2" t="s">
        <x:v>460</x:v>
      </x:c>
      <x:c r="AL861" s="2" t="s">
        <x:v>1550</x:v>
      </x:c>
      <x:c r="AM861" s="2">
        <x:v>91</x:v>
      </x:c>
      <x:c r="AN861" s="2">
        <x:v>91</x:v>
      </x:c>
    </x:row>
    <x:row r="862" ht="39">
      <x:c r="A862" s="2" t="s">
        <x:v>91</x:v>
      </x:c>
      <x:c r="B862" s="2" t="s">
        <x:v>18</x:v>
      </x:c>
      <x:c r="C862" s="3">
        <x:v>90</x:v>
      </x:c>
      <x:c r="D862" s="2" t="s">
        <x:v>505</x:v>
      </x:c>
      <x:c r="E862" s="2" t="s">
        <x:v>2657</x:v>
      </x:c>
      <x:c r="F862" s="2" t="s">
        <x:v>464</x:v>
      </x:c>
      <x:c r="G862" s="2" t="s">
        <x:v>2658</x:v>
      </x:c>
      <x:c r="H862" s="2" t="s">
        <x:v>618</x:v>
      </x:c>
      <x:c r="I862" s="2" t="s">
        <x:v>2659</x:v>
      </x:c>
      <x:c r="J862" s="2" t="s">
        <x:v>477</x:v>
      </x:c>
      <x:c r="K862" s="2"/>
      <x:c r="L862" s="2" t="s">
        <x:v>2660</x:v>
      </x:c>
      <x:c r="M862" s="2"/>
      <x:c r="N862" s="2"/>
      <x:c r="O862" s="2" t="s">
        <x:v>2464</x:v>
      </x:c>
      <x:c r="P862" s="2" t="s">
        <x:v>2661</x:v>
      </x:c>
      <x:c r="Q862" s="2"/>
      <x:c r="R862" s="3">
        <x:v>2</x:v>
      </x:c>
      <x:c r="S862" s="3"/>
      <x:c r="T862" s="2"/>
      <x:c r="U862" s="2"/>
      <x:c r="V862" s="2"/>
      <x:c r="W862" s="2"/>
      <x:c r="X862" s="3"/>
      <x:c r="Y862" s="3"/>
      <x:c r="Z862" s="2"/>
      <x:c r="AA862" s="2"/>
      <x:c r="AB862" s="2"/>
      <x:c r="AC862" s="2"/>
      <x:c r="AD862" s="2" t="s">
        <x:v>469</x:v>
      </x:c>
      <x:c r="AE862" s="2"/>
      <x:c r="AF862" s="2"/>
      <x:c r="AG862" s="2"/>
      <x:c r="AH862" s="2" t="s">
        <x:v>470</x:v>
      </x:c>
      <x:c r="AI862" s="4">
        <x:v>8</x:v>
      </x:c>
      <x:c r="AJ862" s="2" t="s">
        <x:v>2466</x:v>
      </x:c>
      <x:c r="AK862" s="2" t="s">
        <x:v>460</x:v>
      </x:c>
      <x:c r="AL862" s="2" t="s">
        <x:v>1550</x:v>
      </x:c>
      <x:c r="AM862" s="2">
        <x:v>92</x:v>
      </x:c>
      <x:c r="AN862" s="2">
        <x:v>92</x:v>
      </x:c>
    </x:row>
    <x:row r="863" ht="39">
      <x:c r="A863" s="2" t="s">
        <x:v>6</x:v>
      </x:c>
      <x:c r="B863" s="2" t="s">
        <x:v>18</x:v>
      </x:c>
      <x:c r="C863" s="3">
        <x:v>91</x:v>
      </x:c>
      <x:c r="D863" s="2" t="s">
        <x:v>462</x:v>
      </x:c>
      <x:c r="E863" s="2" t="s">
        <x:v>2662</x:v>
      </x:c>
      <x:c r="F863" s="2" t="s">
        <x:v>474</x:v>
      </x:c>
      <x:c r="G863" s="2"/>
      <x:c r="H863" s="2" t="s">
        <x:v>618</x:v>
      </x:c>
      <x:c r="I863" s="2" t="s">
        <x:v>2663</x:v>
      </x:c>
      <x:c r="J863" s="2" t="s">
        <x:v>454</x:v>
      </x:c>
      <x:c r="K863" s="2"/>
      <x:c r="L863" s="2" t="s">
        <x:v>2664</x:v>
      </x:c>
      <x:c r="M863" s="2"/>
      <x:c r="N863" s="2"/>
      <x:c r="O863" s="2" t="s">
        <x:v>2464</x:v>
      </x:c>
      <x:c r="P863" s="2" t="s">
        <x:v>2665</x:v>
      </x:c>
      <x:c r="Q863" s="2"/>
      <x:c r="R863" s="3">
        <x:v>2</x:v>
      </x:c>
      <x:c r="S863" s="3"/>
      <x:c r="T863" s="2"/>
      <x:c r="U863" s="2"/>
      <x:c r="V863" s="2"/>
      <x:c r="W863" s="2"/>
      <x:c r="X863" s="3"/>
      <x:c r="Y863" s="3"/>
      <x:c r="Z863" s="2"/>
      <x:c r="AA863" s="2"/>
      <x:c r="AB863" s="2"/>
      <x:c r="AC863" s="2"/>
      <x:c r="AD863" s="2" t="s">
        <x:v>480</x:v>
      </x:c>
      <x:c r="AE863" s="2"/>
      <x:c r="AF863" s="2"/>
      <x:c r="AG863" s="2"/>
      <x:c r="AH863" s="2" t="s">
        <x:v>458</x:v>
      </x:c>
      <x:c r="AI863" s="4">
        <x:v>12</x:v>
      </x:c>
      <x:c r="AJ863" s="2" t="s">
        <x:v>2484</x:v>
      </x:c>
      <x:c r="AK863" s="2" t="s">
        <x:v>460</x:v>
      </x:c>
      <x:c r="AL863" s="2" t="s">
        <x:v>1550</x:v>
      </x:c>
      <x:c r="AM863" s="2">
        <x:v>93</x:v>
      </x:c>
      <x:c r="AN863" s="2">
        <x:v>93</x:v>
      </x:c>
    </x:row>
    <x:row r="864" ht="39">
      <x:c r="A864" s="2" t="s">
        <x:v>91</x:v>
      </x:c>
      <x:c r="B864" s="2" t="s">
        <x:v>18</x:v>
      </x:c>
      <x:c r="C864" s="3">
        <x:v>92</x:v>
      </x:c>
      <x:c r="D864" s="2" t="s">
        <x:v>482</x:v>
      </x:c>
      <x:c r="E864" s="2" t="s">
        <x:v>2666</x:v>
      </x:c>
      <x:c r="F864" s="2" t="s">
        <x:v>464</x:v>
      </x:c>
      <x:c r="G864" s="2" t="s">
        <x:v>2667</x:v>
      </x:c>
      <x:c r="H864" s="2" t="s">
        <x:v>618</x:v>
      </x:c>
      <x:c r="I864" s="2" t="s">
        <x:v>2668</x:v>
      </x:c>
      <x:c r="J864" s="2" t="s">
        <x:v>477</x:v>
      </x:c>
      <x:c r="K864" s="2"/>
      <x:c r="L864" s="2" t="s">
        <x:v>2669</x:v>
      </x:c>
      <x:c r="M864" s="2"/>
      <x:c r="N864" s="2"/>
      <x:c r="O864" s="2" t="s">
        <x:v>2464</x:v>
      </x:c>
      <x:c r="P864" s="2" t="s">
        <x:v>2670</x:v>
      </x:c>
      <x:c r="Q864" s="2"/>
      <x:c r="R864" s="3">
        <x:v>2</x:v>
      </x:c>
      <x:c r="S864" s="3"/>
      <x:c r="T864" s="2"/>
      <x:c r="U864" s="2"/>
      <x:c r="V864" s="2"/>
      <x:c r="W864" s="2"/>
      <x:c r="X864" s="3"/>
      <x:c r="Y864" s="3"/>
      <x:c r="Z864" s="2"/>
      <x:c r="AA864" s="2"/>
      <x:c r="AB864" s="2"/>
      <x:c r="AC864" s="2"/>
      <x:c r="AD864" s="2" t="s">
        <x:v>469</x:v>
      </x:c>
      <x:c r="AE864" s="2"/>
      <x:c r="AF864" s="2"/>
      <x:c r="AG864" s="2"/>
      <x:c r="AH864" s="2" t="s">
        <x:v>458</x:v>
      </x:c>
      <x:c r="AI864" s="4">
        <x:v>12</x:v>
      </x:c>
      <x:c r="AJ864" s="2" t="s">
        <x:v>2494</x:v>
      </x:c>
      <x:c r="AK864" s="2" t="s">
        <x:v>460</x:v>
      </x:c>
      <x:c r="AL864" s="2" t="s">
        <x:v>1550</x:v>
      </x:c>
      <x:c r="AM864" s="2">
        <x:v>94</x:v>
      </x:c>
      <x:c r="AN864" s="2">
        <x:v>94</x:v>
      </x:c>
    </x:row>
    <x:row r="865" ht="39">
      <x:c r="A865" s="2" t="s">
        <x:v>6</x:v>
      </x:c>
      <x:c r="B865" s="2" t="s">
        <x:v>18</x:v>
      </x:c>
      <x:c r="C865" s="3">
        <x:v>93</x:v>
      </x:c>
      <x:c r="D865" s="2" t="s">
        <x:v>516</x:v>
      </x:c>
      <x:c r="E865" s="2" t="s">
        <x:v>2671</x:v>
      </x:c>
      <x:c r="F865" s="2" t="s">
        <x:v>474</x:v>
      </x:c>
      <x:c r="G865" s="2"/>
      <x:c r="H865" s="2" t="s">
        <x:v>618</x:v>
      </x:c>
      <x:c r="I865" s="2" t="s">
        <x:v>2672</x:v>
      </x:c>
      <x:c r="J865" s="2" t="s">
        <x:v>454</x:v>
      </x:c>
      <x:c r="K865" s="2"/>
      <x:c r="L865" s="2" t="s">
        <x:v>2673</x:v>
      </x:c>
      <x:c r="M865" s="2"/>
      <x:c r="N865" s="2"/>
      <x:c r="O865" s="2" t="s">
        <x:v>2464</x:v>
      </x:c>
      <x:c r="P865" s="2" t="s">
        <x:v>2674</x:v>
      </x:c>
      <x:c r="Q865" s="2"/>
      <x:c r="R865" s="3">
        <x:v>2</x:v>
      </x:c>
      <x:c r="S865" s="3"/>
      <x:c r="T865" s="2"/>
      <x:c r="U865" s="2"/>
      <x:c r="V865" s="2"/>
      <x:c r="W865" s="2"/>
      <x:c r="X865" s="3"/>
      <x:c r="Y865" s="3"/>
      <x:c r="Z865" s="2"/>
      <x:c r="AA865" s="2"/>
      <x:c r="AB865" s="2"/>
      <x:c r="AC865" s="2"/>
      <x:c r="AD865" s="2" t="s">
        <x:v>480</x:v>
      </x:c>
      <x:c r="AE865" s="2"/>
      <x:c r="AF865" s="2"/>
      <x:c r="AG865" s="2"/>
      <x:c r="AH865" s="2" t="s">
        <x:v>470</x:v>
      </x:c>
      <x:c r="AI865" s="4">
        <x:v>16</x:v>
      </x:c>
      <x:c r="AJ865" s="2" t="s">
        <x:v>2504</x:v>
      </x:c>
      <x:c r="AK865" s="2" t="s">
        <x:v>460</x:v>
      </x:c>
      <x:c r="AL865" s="2" t="s">
        <x:v>1550</x:v>
      </x:c>
      <x:c r="AM865" s="2">
        <x:v>95</x:v>
      </x:c>
      <x:c r="AN865" s="2">
        <x:v>95</x:v>
      </x:c>
    </x:row>
    <x:row r="866" ht="39">
      <x:c r="A866" s="2" t="s">
        <x:v>6</x:v>
      </x:c>
      <x:c r="B866" s="2" t="s">
        <x:v>18</x:v>
      </x:c>
      <x:c r="C866" s="3">
        <x:v>94</x:v>
      </x:c>
      <x:c r="D866" s="2" t="s">
        <x:v>472</x:v>
      </x:c>
      <x:c r="E866" s="2" t="s">
        <x:v>2675</x:v>
      </x:c>
      <x:c r="F866" s="2" t="s">
        <x:v>464</x:v>
      </x:c>
      <x:c r="G866" s="2"/>
      <x:c r="H866" s="2" t="s">
        <x:v>618</x:v>
      </x:c>
      <x:c r="I866" s="2" t="s">
        <x:v>2676</x:v>
      </x:c>
      <x:c r="J866" s="2" t="s">
        <x:v>477</x:v>
      </x:c>
      <x:c r="K866" s="2"/>
      <x:c r="L866" s="2" t="s">
        <x:v>2677</x:v>
      </x:c>
      <x:c r="M866" s="2"/>
      <x:c r="N866" s="2"/>
      <x:c r="O866" s="2" t="s">
        <x:v>2464</x:v>
      </x:c>
      <x:c r="P866" s="2" t="s">
        <x:v>2678</x:v>
      </x:c>
      <x:c r="Q866" s="2"/>
      <x:c r="R866" s="3">
        <x:v>2</x:v>
      </x:c>
      <x:c r="S866" s="3"/>
      <x:c r="T866" s="2"/>
      <x:c r="U866" s="2"/>
      <x:c r="V866" s="2"/>
      <x:c r="W866" s="2"/>
      <x:c r="X866" s="3"/>
      <x:c r="Y866" s="3"/>
      <x:c r="Z866" s="2"/>
      <x:c r="AA866" s="2"/>
      <x:c r="AB866" s="2"/>
      <x:c r="AC866" s="2"/>
      <x:c r="AD866" s="2" t="s">
        <x:v>469</x:v>
      </x:c>
      <x:c r="AE866" s="2"/>
      <x:c r="AF866" s="2"/>
      <x:c r="AG866" s="2"/>
      <x:c r="AH866" s="2" t="s">
        <x:v>470</x:v>
      </x:c>
      <x:c r="AI866" s="4">
        <x:v>16</x:v>
      </x:c>
      <x:c r="AJ866" s="2" t="s">
        <x:v>2514</x:v>
      </x:c>
      <x:c r="AK866" s="2" t="s">
        <x:v>460</x:v>
      </x:c>
      <x:c r="AL866" s="2" t="s">
        <x:v>1550</x:v>
      </x:c>
      <x:c r="AM866" s="2">
        <x:v>96</x:v>
      </x:c>
      <x:c r="AN866" s="2">
        <x:v>96</x:v>
      </x:c>
    </x:row>
    <x:row r="867" ht="39">
      <x:c r="A867" s="2" t="s">
        <x:v>91</x:v>
      </x:c>
      <x:c r="B867" s="2" t="s">
        <x:v>18</x:v>
      </x:c>
      <x:c r="C867" s="3">
        <x:v>95</x:v>
      </x:c>
      <x:c r="D867" s="2" t="s">
        <x:v>449</x:v>
      </x:c>
      <x:c r="E867" s="2" t="s">
        <x:v>2679</x:v>
      </x:c>
      <x:c r="F867" s="2" t="s">
        <x:v>474</x:v>
      </x:c>
      <x:c r="G867" s="2" t="s">
        <x:v>2680</x:v>
      </x:c>
      <x:c r="H867" s="2" t="s">
        <x:v>618</x:v>
      </x:c>
      <x:c r="I867" s="2" t="s">
        <x:v>2681</x:v>
      </x:c>
      <x:c r="J867" s="2" t="s">
        <x:v>454</x:v>
      </x:c>
      <x:c r="K867" s="2"/>
      <x:c r="L867" s="2" t="s">
        <x:v>2682</x:v>
      </x:c>
      <x:c r="M867" s="2"/>
      <x:c r="N867" s="2"/>
      <x:c r="O867" s="2" t="s">
        <x:v>2464</x:v>
      </x:c>
      <x:c r="P867" s="2" t="s">
        <x:v>2683</x:v>
      </x:c>
      <x:c r="Q867" s="2"/>
      <x:c r="R867" s="3">
        <x:v>2</x:v>
      </x:c>
      <x:c r="S867" s="3"/>
      <x:c r="T867" s="2"/>
      <x:c r="U867" s="2"/>
      <x:c r="V867" s="2"/>
      <x:c r="W867" s="2"/>
      <x:c r="X867" s="3"/>
      <x:c r="Y867" s="3"/>
      <x:c r="Z867" s="2"/>
      <x:c r="AA867" s="2"/>
      <x:c r="AB867" s="2"/>
      <x:c r="AC867" s="2"/>
      <x:c r="AD867" s="2" t="s">
        <x:v>480</x:v>
      </x:c>
      <x:c r="AE867" s="2"/>
      <x:c r="AF867" s="2"/>
      <x:c r="AG867" s="2"/>
      <x:c r="AH867" s="2" t="s">
        <x:v>458</x:v>
      </x:c>
      <x:c r="AI867" s="4">
        <x:v>8</x:v>
      </x:c>
      <x:c r="AJ867" s="2" t="s">
        <x:v>2525</x:v>
      </x:c>
      <x:c r="AK867" s="2" t="s">
        <x:v>460</x:v>
      </x:c>
      <x:c r="AL867" s="2" t="s">
        <x:v>1550</x:v>
      </x:c>
      <x:c r="AM867" s="2">
        <x:v>97</x:v>
      </x:c>
      <x:c r="AN867" s="2">
        <x:v>97</x:v>
      </x:c>
    </x:row>
    <x:row r="868" ht="52">
      <x:c r="A868" s="2" t="s">
        <x:v>91</x:v>
      </x:c>
      <x:c r="B868" s="2" t="s">
        <x:v>18</x:v>
      </x:c>
      <x:c r="C868" s="3">
        <x:v>96</x:v>
      </x:c>
      <x:c r="D868" s="2" t="s">
        <x:v>505</x:v>
      </x:c>
      <x:c r="E868" s="2" t="s">
        <x:v>2684</x:v>
      </x:c>
      <x:c r="F868" s="2" t="s">
        <x:v>464</x:v>
      </x:c>
      <x:c r="G868" s="2" t="s">
        <x:v>2685</x:v>
      </x:c>
      <x:c r="H868" s="2" t="s">
        <x:v>618</x:v>
      </x:c>
      <x:c r="I868" s="2" t="s">
        <x:v>2686</x:v>
      </x:c>
      <x:c r="J868" s="2" t="s">
        <x:v>477</x:v>
      </x:c>
      <x:c r="K868" s="2"/>
      <x:c r="L868" s="2" t="s">
        <x:v>2687</x:v>
      </x:c>
      <x:c r="M868" s="2"/>
      <x:c r="N868" s="2"/>
      <x:c r="O868" s="2" t="s">
        <x:v>2464</x:v>
      </x:c>
      <x:c r="P868" s="2" t="s">
        <x:v>2688</x:v>
      </x:c>
      <x:c r="Q868" s="2"/>
      <x:c r="R868" s="3">
        <x:v>2</x:v>
      </x:c>
      <x:c r="S868" s="3"/>
      <x:c r="T868" s="2"/>
      <x:c r="U868" s="2"/>
      <x:c r="V868" s="2"/>
      <x:c r="W868" s="2"/>
      <x:c r="X868" s="3"/>
      <x:c r="Y868" s="3"/>
      <x:c r="Z868" s="2"/>
      <x:c r="AA868" s="2"/>
      <x:c r="AB868" s="2"/>
      <x:c r="AC868" s="2"/>
      <x:c r="AD868" s="2" t="s">
        <x:v>469</x:v>
      </x:c>
      <x:c r="AE868" s="2"/>
      <x:c r="AF868" s="2"/>
      <x:c r="AG868" s="2"/>
      <x:c r="AH868" s="2" t="s">
        <x:v>458</x:v>
      </x:c>
      <x:c r="AI868" s="4">
        <x:v>8</x:v>
      </x:c>
      <x:c r="AJ868" s="2" t="s">
        <x:v>2466</x:v>
      </x:c>
      <x:c r="AK868" s="2" t="s">
        <x:v>460</x:v>
      </x:c>
      <x:c r="AL868" s="2" t="s">
        <x:v>1550</x:v>
      </x:c>
      <x:c r="AM868" s="2">
        <x:v>98</x:v>
      </x:c>
      <x:c r="AN868" s="2">
        <x:v>98</x:v>
      </x:c>
    </x:row>
    <x:row r="869" ht="39">
      <x:c r="A869" s="2" t="s">
        <x:v>91</x:v>
      </x:c>
      <x:c r="B869" s="2" t="s">
        <x:v>18</x:v>
      </x:c>
      <x:c r="C869" s="3">
        <x:v>97</x:v>
      </x:c>
      <x:c r="D869" s="2" t="s">
        <x:v>462</x:v>
      </x:c>
      <x:c r="E869" s="2" t="s">
        <x:v>2689</x:v>
      </x:c>
      <x:c r="F869" s="2" t="s">
        <x:v>474</x:v>
      </x:c>
      <x:c r="G869" s="2" t="s">
        <x:v>2690</x:v>
      </x:c>
      <x:c r="H869" s="2" t="s">
        <x:v>618</x:v>
      </x:c>
      <x:c r="I869" s="2" t="s">
        <x:v>2691</x:v>
      </x:c>
      <x:c r="J869" s="2" t="s">
        <x:v>454</x:v>
      </x:c>
      <x:c r="K869" s="2"/>
      <x:c r="L869" s="2" t="s">
        <x:v>2692</x:v>
      </x:c>
      <x:c r="M869" s="2"/>
      <x:c r="N869" s="2"/>
      <x:c r="O869" s="2" t="s">
        <x:v>2464</x:v>
      </x:c>
      <x:c r="P869" s="2" t="s">
        <x:v>2693</x:v>
      </x:c>
      <x:c r="Q869" s="2"/>
      <x:c r="R869" s="3">
        <x:v>2</x:v>
      </x:c>
      <x:c r="S869" s="3"/>
      <x:c r="T869" s="2"/>
      <x:c r="U869" s="2"/>
      <x:c r="V869" s="2"/>
      <x:c r="W869" s="2"/>
      <x:c r="X869" s="3"/>
      <x:c r="Y869" s="3"/>
      <x:c r="Z869" s="2"/>
      <x:c r="AA869" s="2"/>
      <x:c r="AB869" s="2"/>
      <x:c r="AC869" s="2"/>
      <x:c r="AD869" s="2" t="s">
        <x:v>480</x:v>
      </x:c>
      <x:c r="AE869" s="2"/>
      <x:c r="AF869" s="2"/>
      <x:c r="AG869" s="2"/>
      <x:c r="AH869" s="2" t="s">
        <x:v>470</x:v>
      </x:c>
      <x:c r="AI869" s="4">
        <x:v>12</x:v>
      </x:c>
      <x:c r="AJ869" s="2" t="s">
        <x:v>2484</x:v>
      </x:c>
      <x:c r="AK869" s="2" t="s">
        <x:v>460</x:v>
      </x:c>
      <x:c r="AL869" s="2" t="s">
        <x:v>1550</x:v>
      </x:c>
      <x:c r="AM869" s="2">
        <x:v>99</x:v>
      </x:c>
      <x:c r="AN869" s="2">
        <x:v>99</x:v>
      </x:c>
    </x:row>
    <x:row r="870" ht="39">
      <x:c r="A870" s="2" t="s">
        <x:v>91</x:v>
      </x:c>
      <x:c r="B870" s="2" t="s">
        <x:v>18</x:v>
      </x:c>
      <x:c r="C870" s="3">
        <x:v>98</x:v>
      </x:c>
      <x:c r="D870" s="2" t="s">
        <x:v>482</x:v>
      </x:c>
      <x:c r="E870" s="2" t="s">
        <x:v>2694</x:v>
      </x:c>
      <x:c r="F870" s="2" t="s">
        <x:v>464</x:v>
      </x:c>
      <x:c r="G870" s="2" t="s">
        <x:v>2695</x:v>
      </x:c>
      <x:c r="H870" s="2" t="s">
        <x:v>618</x:v>
      </x:c>
      <x:c r="I870" s="2" t="s">
        <x:v>2696</x:v>
      </x:c>
      <x:c r="J870" s="2" t="s">
        <x:v>477</x:v>
      </x:c>
      <x:c r="K870" s="2"/>
      <x:c r="L870" s="2" t="s">
        <x:v>2697</x:v>
      </x:c>
      <x:c r="M870" s="2"/>
      <x:c r="N870" s="2"/>
      <x:c r="O870" s="2" t="s">
        <x:v>2464</x:v>
      </x:c>
      <x:c r="P870" s="2" t="s">
        <x:v>2698</x:v>
      </x:c>
      <x:c r="Q870" s="2"/>
      <x:c r="R870" s="3">
        <x:v>2</x:v>
      </x:c>
      <x:c r="S870" s="3"/>
      <x:c r="T870" s="2"/>
      <x:c r="U870" s="2"/>
      <x:c r="V870" s="2"/>
      <x:c r="W870" s="2"/>
      <x:c r="X870" s="3"/>
      <x:c r="Y870" s="3"/>
      <x:c r="Z870" s="2"/>
      <x:c r="AA870" s="2"/>
      <x:c r="AB870" s="2"/>
      <x:c r="AC870" s="2"/>
      <x:c r="AD870" s="2" t="s">
        <x:v>469</x:v>
      </x:c>
      <x:c r="AE870" s="2"/>
      <x:c r="AF870" s="2"/>
      <x:c r="AG870" s="2"/>
      <x:c r="AH870" s="2" t="s">
        <x:v>470</x:v>
      </x:c>
      <x:c r="AI870" s="4">
        <x:v>12</x:v>
      </x:c>
      <x:c r="AJ870" s="2" t="s">
        <x:v>2494</x:v>
      </x:c>
      <x:c r="AK870" s="2" t="s">
        <x:v>460</x:v>
      </x:c>
      <x:c r="AL870" s="2" t="s">
        <x:v>1550</x:v>
      </x:c>
      <x:c r="AM870" s="2">
        <x:v>100</x:v>
      </x:c>
      <x:c r="AN870" s="2">
        <x:v>100</x:v>
      </x:c>
    </x:row>
    <x:row r="871" ht="39">
      <x:c r="A871" s="2" t="s">
        <x:v>6</x:v>
      </x:c>
      <x:c r="B871" s="2" t="s">
        <x:v>18</x:v>
      </x:c>
      <x:c r="C871" s="3">
        <x:v>99</x:v>
      </x:c>
      <x:c r="D871" s="2" t="s">
        <x:v>516</x:v>
      </x:c>
      <x:c r="E871" s="2" t="s">
        <x:v>2699</x:v>
      </x:c>
      <x:c r="F871" s="2" t="s">
        <x:v>474</x:v>
      </x:c>
      <x:c r="G871" s="2"/>
      <x:c r="H871" s="2" t="s">
        <x:v>618</x:v>
      </x:c>
      <x:c r="I871" s="2" t="s">
        <x:v>2700</x:v>
      </x:c>
      <x:c r="J871" s="2" t="s">
        <x:v>454</x:v>
      </x:c>
      <x:c r="K871" s="2"/>
      <x:c r="L871" s="2" t="s">
        <x:v>2701</x:v>
      </x:c>
      <x:c r="M871" s="2"/>
      <x:c r="N871" s="2"/>
      <x:c r="O871" s="2" t="s">
        <x:v>2464</x:v>
      </x:c>
      <x:c r="P871" s="2" t="s">
        <x:v>2702</x:v>
      </x:c>
      <x:c r="Q871" s="2"/>
      <x:c r="R871" s="3">
        <x:v>2</x:v>
      </x:c>
      <x:c r="S871" s="3"/>
      <x:c r="T871" s="2"/>
      <x:c r="U871" s="2"/>
      <x:c r="V871" s="2"/>
      <x:c r="W871" s="2"/>
      <x:c r="X871" s="3"/>
      <x:c r="Y871" s="3"/>
      <x:c r="Z871" s="2"/>
      <x:c r="AA871" s="2"/>
      <x:c r="AB871" s="2"/>
      <x:c r="AC871" s="2"/>
      <x:c r="AD871" s="2" t="s">
        <x:v>480</x:v>
      </x:c>
      <x:c r="AE871" s="2"/>
      <x:c r="AF871" s="2"/>
      <x:c r="AG871" s="2"/>
      <x:c r="AH871" s="2" t="s">
        <x:v>458</x:v>
      </x:c>
      <x:c r="AI871" s="4">
        <x:v>16</x:v>
      </x:c>
      <x:c r="AJ871" s="2" t="s">
        <x:v>2504</x:v>
      </x:c>
      <x:c r="AK871" s="2" t="s">
        <x:v>460</x:v>
      </x:c>
      <x:c r="AL871" s="2" t="s">
        <x:v>1550</x:v>
      </x:c>
      <x:c r="AM871" s="2">
        <x:v>101</x:v>
      </x:c>
      <x:c r="AN871" s="2">
        <x:v>101</x:v>
      </x:c>
    </x:row>
    <x:row r="872" ht="39">
      <x:c r="A872" s="2" t="s">
        <x:v>6</x:v>
      </x:c>
      <x:c r="B872" s="2" t="s">
        <x:v>18</x:v>
      </x:c>
      <x:c r="C872" s="3">
        <x:v>100</x:v>
      </x:c>
      <x:c r="D872" s="2" t="s">
        <x:v>472</x:v>
      </x:c>
      <x:c r="E872" s="2" t="s">
        <x:v>2703</x:v>
      </x:c>
      <x:c r="F872" s="2" t="s">
        <x:v>464</x:v>
      </x:c>
      <x:c r="G872" s="2"/>
      <x:c r="H872" s="2" t="s">
        <x:v>618</x:v>
      </x:c>
      <x:c r="I872" s="2" t="s">
        <x:v>2704</x:v>
      </x:c>
      <x:c r="J872" s="2" t="s">
        <x:v>477</x:v>
      </x:c>
      <x:c r="K872" s="2"/>
      <x:c r="L872" s="2" t="s">
        <x:v>2463</x:v>
      </x:c>
      <x:c r="M872" s="2"/>
      <x:c r="N872" s="2"/>
      <x:c r="O872" s="2" t="s">
        <x:v>2464</x:v>
      </x:c>
      <x:c r="P872" s="2" t="s">
        <x:v>2465</x:v>
      </x:c>
      <x:c r="Q872" s="2"/>
      <x:c r="R872" s="3">
        <x:v>2</x:v>
      </x:c>
      <x:c r="S872" s="3"/>
      <x:c r="T872" s="2"/>
      <x:c r="U872" s="2"/>
      <x:c r="V872" s="2"/>
      <x:c r="W872" s="2"/>
      <x:c r="X872" s="3"/>
      <x:c r="Y872" s="3"/>
      <x:c r="Z872" s="2"/>
      <x:c r="AA872" s="2"/>
      <x:c r="AB872" s="2"/>
      <x:c r="AC872" s="2"/>
      <x:c r="AD872" s="2" t="s">
        <x:v>469</x:v>
      </x:c>
      <x:c r="AE872" s="2"/>
      <x:c r="AF872" s="2"/>
      <x:c r="AG872" s="2"/>
      <x:c r="AH872" s="2" t="s">
        <x:v>458</x:v>
      </x:c>
      <x:c r="AI872" s="4">
        <x:v>16</x:v>
      </x:c>
      <x:c r="AJ872" s="2" t="s">
        <x:v>2514</x:v>
      </x:c>
      <x:c r="AK872" s="2" t="s">
        <x:v>460</x:v>
      </x:c>
      <x:c r="AL872" s="2" t="s">
        <x:v>1550</x:v>
      </x:c>
      <x:c r="AM872" s="2">
        <x:v>102</x:v>
      </x:c>
      <x:c r="AN872" s="2">
        <x:v>102</x:v>
      </x:c>
    </x:row>
    <x:row r="873" ht="39">
      <x:c r="A873" s="2" t="s">
        <x:v>91</x:v>
      </x:c>
      <x:c r="B873" s="2" t="s">
        <x:v>18</x:v>
      </x:c>
      <x:c r="C873" s="3">
        <x:v>101</x:v>
      </x:c>
      <x:c r="D873" s="2" t="s">
        <x:v>449</x:v>
      </x:c>
      <x:c r="E873" s="2" t="s">
        <x:v>2705</x:v>
      </x:c>
      <x:c r="F873" s="2" t="s">
        <x:v>474</x:v>
      </x:c>
      <x:c r="G873" s="2" t="s">
        <x:v>2706</x:v>
      </x:c>
      <x:c r="H873" s="2" t="s">
        <x:v>618</x:v>
      </x:c>
      <x:c r="I873" s="2" t="s">
        <x:v>2707</x:v>
      </x:c>
      <x:c r="J873" s="2" t="s">
        <x:v>454</x:v>
      </x:c>
      <x:c r="K873" s="2"/>
      <x:c r="L873" s="2" t="s">
        <x:v>2482</x:v>
      </x:c>
      <x:c r="M873" s="2"/>
      <x:c r="N873" s="2"/>
      <x:c r="O873" s="2" t="s">
        <x:v>2464</x:v>
      </x:c>
      <x:c r="P873" s="2" t="s">
        <x:v>2483</x:v>
      </x:c>
      <x:c r="Q873" s="2"/>
      <x:c r="R873" s="3">
        <x:v>2</x:v>
      </x:c>
      <x:c r="S873" s="3"/>
      <x:c r="T873" s="2"/>
      <x:c r="U873" s="2"/>
      <x:c r="V873" s="2"/>
      <x:c r="W873" s="2"/>
      <x:c r="X873" s="3"/>
      <x:c r="Y873" s="3"/>
      <x:c r="Z873" s="2"/>
      <x:c r="AA873" s="2"/>
      <x:c r="AB873" s="2"/>
      <x:c r="AC873" s="2"/>
      <x:c r="AD873" s="2" t="s">
        <x:v>480</x:v>
      </x:c>
      <x:c r="AE873" s="2"/>
      <x:c r="AF873" s="2"/>
      <x:c r="AG873" s="2"/>
      <x:c r="AH873" s="2" t="s">
        <x:v>470</x:v>
      </x:c>
      <x:c r="AI873" s="4">
        <x:v>8</x:v>
      </x:c>
      <x:c r="AJ873" s="2" t="s">
        <x:v>2525</x:v>
      </x:c>
      <x:c r="AK873" s="2" t="s">
        <x:v>460</x:v>
      </x:c>
      <x:c r="AL873" s="2" t="s">
        <x:v>1550</x:v>
      </x:c>
      <x:c r="AM873" s="2">
        <x:v>103</x:v>
      </x:c>
      <x:c r="AN873" s="2">
        <x:v>103</x:v>
      </x:c>
    </x:row>
    <x:row r="874" ht="39">
      <x:c r="A874" s="2" t="s">
        <x:v>6</x:v>
      </x:c>
      <x:c r="B874" s="2" t="s">
        <x:v>18</x:v>
      </x:c>
      <x:c r="C874" s="3">
        <x:v>102</x:v>
      </x:c>
      <x:c r="D874" s="2" t="s">
        <x:v>505</x:v>
      </x:c>
      <x:c r="E874" s="2" t="s">
        <x:v>2708</x:v>
      </x:c>
      <x:c r="F874" s="2" t="s">
        <x:v>464</x:v>
      </x:c>
      <x:c r="G874" s="2"/>
      <x:c r="H874" s="2" t="s">
        <x:v>618</x:v>
      </x:c>
      <x:c r="I874" s="2" t="s">
        <x:v>2709</x:v>
      </x:c>
      <x:c r="J874" s="2" t="s">
        <x:v>477</x:v>
      </x:c>
      <x:c r="K874" s="2"/>
      <x:c r="L874" s="2" t="s">
        <x:v>2492</x:v>
      </x:c>
      <x:c r="M874" s="2"/>
      <x:c r="N874" s="2"/>
      <x:c r="O874" s="2" t="s">
        <x:v>2464</x:v>
      </x:c>
      <x:c r="P874" s="2" t="s">
        <x:v>2493</x:v>
      </x:c>
      <x:c r="Q874" s="2"/>
      <x:c r="R874" s="3">
        <x:v>2</x:v>
      </x:c>
      <x:c r="S874" s="3"/>
      <x:c r="T874" s="2"/>
      <x:c r="U874" s="2"/>
      <x:c r="V874" s="2"/>
      <x:c r="W874" s="2"/>
      <x:c r="X874" s="3"/>
      <x:c r="Y874" s="3"/>
      <x:c r="Z874" s="2"/>
      <x:c r="AA874" s="2"/>
      <x:c r="AB874" s="2"/>
      <x:c r="AC874" s="2"/>
      <x:c r="AD874" s="2" t="s">
        <x:v>469</x:v>
      </x:c>
      <x:c r="AE874" s="2"/>
      <x:c r="AF874" s="2"/>
      <x:c r="AG874" s="2"/>
      <x:c r="AH874" s="2" t="s">
        <x:v>470</x:v>
      </x:c>
      <x:c r="AI874" s="4">
        <x:v>8</x:v>
      </x:c>
      <x:c r="AJ874" s="2" t="s">
        <x:v>2466</x:v>
      </x:c>
      <x:c r="AK874" s="2" t="s">
        <x:v>460</x:v>
      </x:c>
      <x:c r="AL874" s="2" t="s">
        <x:v>1550</x:v>
      </x:c>
      <x:c r="AM874" s="2">
        <x:v>104</x:v>
      </x:c>
      <x:c r="AN874" s="2">
        <x:v>104</x:v>
      </x:c>
    </x:row>
    <x:row r="875" ht="39">
      <x:c r="A875" s="2" t="s">
        <x:v>91</x:v>
      </x:c>
      <x:c r="B875" s="2" t="s">
        <x:v>18</x:v>
      </x:c>
      <x:c r="C875" s="3">
        <x:v>103</x:v>
      </x:c>
      <x:c r="D875" s="2" t="s">
        <x:v>462</x:v>
      </x:c>
      <x:c r="E875" s="2" t="s">
        <x:v>2710</x:v>
      </x:c>
      <x:c r="F875" s="2" t="s">
        <x:v>474</x:v>
      </x:c>
      <x:c r="G875" s="2" t="s">
        <x:v>2711</x:v>
      </x:c>
      <x:c r="H875" s="2" t="s">
        <x:v>618</x:v>
      </x:c>
      <x:c r="I875" s="2" t="s">
        <x:v>2712</x:v>
      </x:c>
      <x:c r="J875" s="2" t="s">
        <x:v>454</x:v>
      </x:c>
      <x:c r="K875" s="2"/>
      <x:c r="L875" s="2" t="s">
        <x:v>2502</x:v>
      </x:c>
      <x:c r="M875" s="2"/>
      <x:c r="N875" s="2"/>
      <x:c r="O875" s="2" t="s">
        <x:v>2464</x:v>
      </x:c>
      <x:c r="P875" s="2" t="s">
        <x:v>2503</x:v>
      </x:c>
      <x:c r="Q875" s="2"/>
      <x:c r="R875" s="3">
        <x:v>2</x:v>
      </x:c>
      <x:c r="S875" s="3"/>
      <x:c r="T875" s="2"/>
      <x:c r="U875" s="2"/>
      <x:c r="V875" s="2"/>
      <x:c r="W875" s="2"/>
      <x:c r="X875" s="3"/>
      <x:c r="Y875" s="3"/>
      <x:c r="Z875" s="2"/>
      <x:c r="AA875" s="2"/>
      <x:c r="AB875" s="2"/>
      <x:c r="AC875" s="2"/>
      <x:c r="AD875" s="2" t="s">
        <x:v>480</x:v>
      </x:c>
      <x:c r="AE875" s="2"/>
      <x:c r="AF875" s="2"/>
      <x:c r="AG875" s="2"/>
      <x:c r="AH875" s="2" t="s">
        <x:v>458</x:v>
      </x:c>
      <x:c r="AI875" s="4">
        <x:v>12</x:v>
      </x:c>
      <x:c r="AJ875" s="2" t="s">
        <x:v>2484</x:v>
      </x:c>
      <x:c r="AK875" s="2" t="s">
        <x:v>460</x:v>
      </x:c>
      <x:c r="AL875" s="2" t="s">
        <x:v>1550</x:v>
      </x:c>
      <x:c r="AM875" s="2">
        <x:v>105</x:v>
      </x:c>
      <x:c r="AN875" s="2">
        <x:v>105</x:v>
      </x:c>
    </x:row>
    <x:row r="876" ht="39">
      <x:c r="A876" s="2" t="s">
        <x:v>6</x:v>
      </x:c>
      <x:c r="B876" s="2" t="s">
        <x:v>18</x:v>
      </x:c>
      <x:c r="C876" s="3">
        <x:v>104</x:v>
      </x:c>
      <x:c r="D876" s="2" t="s">
        <x:v>482</x:v>
      </x:c>
      <x:c r="E876" s="2" t="s">
        <x:v>2713</x:v>
      </x:c>
      <x:c r="F876" s="2" t="s">
        <x:v>464</x:v>
      </x:c>
      <x:c r="G876" s="2"/>
      <x:c r="H876" s="2" t="s">
        <x:v>618</x:v>
      </x:c>
      <x:c r="I876" s="2" t="s">
        <x:v>2714</x:v>
      </x:c>
      <x:c r="J876" s="2" t="s">
        <x:v>477</x:v>
      </x:c>
      <x:c r="K876" s="2"/>
      <x:c r="L876" s="2" t="s">
        <x:v>2512</x:v>
      </x:c>
      <x:c r="M876" s="2"/>
      <x:c r="N876" s="2"/>
      <x:c r="O876" s="2" t="s">
        <x:v>2464</x:v>
      </x:c>
      <x:c r="P876" s="2" t="s">
        <x:v>2513</x:v>
      </x:c>
      <x:c r="Q876" s="2"/>
      <x:c r="R876" s="3">
        <x:v>2</x:v>
      </x:c>
      <x:c r="S876" s="3"/>
      <x:c r="T876" s="2"/>
      <x:c r="U876" s="2"/>
      <x:c r="V876" s="2"/>
      <x:c r="W876" s="2"/>
      <x:c r="X876" s="3"/>
      <x:c r="Y876" s="3"/>
      <x:c r="Z876" s="2"/>
      <x:c r="AA876" s="2"/>
      <x:c r="AB876" s="2"/>
      <x:c r="AC876" s="2"/>
      <x:c r="AD876" s="2" t="s">
        <x:v>469</x:v>
      </x:c>
      <x:c r="AE876" s="2"/>
      <x:c r="AF876" s="2"/>
      <x:c r="AG876" s="2"/>
      <x:c r="AH876" s="2" t="s">
        <x:v>458</x:v>
      </x:c>
      <x:c r="AI876" s="4">
        <x:v>12</x:v>
      </x:c>
      <x:c r="AJ876" s="2" t="s">
        <x:v>2494</x:v>
      </x:c>
      <x:c r="AK876" s="2" t="s">
        <x:v>460</x:v>
      </x:c>
      <x:c r="AL876" s="2" t="s">
        <x:v>1550</x:v>
      </x:c>
      <x:c r="AM876" s="2">
        <x:v>106</x:v>
      </x:c>
      <x:c r="AN876" s="2">
        <x:v>106</x:v>
      </x:c>
    </x:row>
    <x:row r="877" ht="39">
      <x:c r="A877" s="2" t="s">
        <x:v>6</x:v>
      </x:c>
      <x:c r="B877" s="2" t="s">
        <x:v>18</x:v>
      </x:c>
      <x:c r="C877" s="3">
        <x:v>105</x:v>
      </x:c>
      <x:c r="D877" s="2" t="s">
        <x:v>516</x:v>
      </x:c>
      <x:c r="E877" s="2" t="s">
        <x:v>2715</x:v>
      </x:c>
      <x:c r="F877" s="2" t="s">
        <x:v>474</x:v>
      </x:c>
      <x:c r="G877" s="2"/>
      <x:c r="H877" s="2" t="s">
        <x:v>618</x:v>
      </x:c>
      <x:c r="I877" s="2" t="s">
        <x:v>2716</x:v>
      </x:c>
      <x:c r="J877" s="2" t="s">
        <x:v>454</x:v>
      </x:c>
      <x:c r="K877" s="2"/>
      <x:c r="L877" s="2" t="s">
        <x:v>2523</x:v>
      </x:c>
      <x:c r="M877" s="2"/>
      <x:c r="N877" s="2"/>
      <x:c r="O877" s="2" t="s">
        <x:v>2464</x:v>
      </x:c>
      <x:c r="P877" s="2" t="s">
        <x:v>2524</x:v>
      </x:c>
      <x:c r="Q877" s="2"/>
      <x:c r="R877" s="3">
        <x:v>2</x:v>
      </x:c>
      <x:c r="S877" s="3"/>
      <x:c r="T877" s="2"/>
      <x:c r="U877" s="2"/>
      <x:c r="V877" s="2"/>
      <x:c r="W877" s="2"/>
      <x:c r="X877" s="3"/>
      <x:c r="Y877" s="3"/>
      <x:c r="Z877" s="2"/>
      <x:c r="AA877" s="2"/>
      <x:c r="AB877" s="2"/>
      <x:c r="AC877" s="2"/>
      <x:c r="AD877" s="2" t="s">
        <x:v>480</x:v>
      </x:c>
      <x:c r="AE877" s="2"/>
      <x:c r="AF877" s="2"/>
      <x:c r="AG877" s="2"/>
      <x:c r="AH877" s="2" t="s">
        <x:v>470</x:v>
      </x:c>
      <x:c r="AI877" s="4">
        <x:v>16</x:v>
      </x:c>
      <x:c r="AJ877" s="2" t="s">
        <x:v>2504</x:v>
      </x:c>
      <x:c r="AK877" s="2" t="s">
        <x:v>460</x:v>
      </x:c>
      <x:c r="AL877" s="2" t="s">
        <x:v>1550</x:v>
      </x:c>
      <x:c r="AM877" s="2">
        <x:v>107</x:v>
      </x:c>
      <x:c r="AN877" s="2">
        <x:v>107</x:v>
      </x:c>
    </x:row>
    <x:row r="878" ht="39">
      <x:c r="A878" s="2" t="s">
        <x:v>6</x:v>
      </x:c>
      <x:c r="B878" s="2" t="s">
        <x:v>18</x:v>
      </x:c>
      <x:c r="C878" s="3">
        <x:v>106</x:v>
      </x:c>
      <x:c r="D878" s="2" t="s">
        <x:v>472</x:v>
      </x:c>
      <x:c r="E878" s="2" t="s">
        <x:v>2717</x:v>
      </x:c>
      <x:c r="F878" s="2" t="s">
        <x:v>464</x:v>
      </x:c>
      <x:c r="G878" s="2"/>
      <x:c r="H878" s="2" t="s">
        <x:v>618</x:v>
      </x:c>
      <x:c r="I878" s="2" t="s">
        <x:v>2718</x:v>
      </x:c>
      <x:c r="J878" s="2" t="s">
        <x:v>477</x:v>
      </x:c>
      <x:c r="K878" s="2"/>
      <x:c r="L878" s="2" t="s">
        <x:v>2534</x:v>
      </x:c>
      <x:c r="M878" s="2"/>
      <x:c r="N878" s="2"/>
      <x:c r="O878" s="2" t="s">
        <x:v>2464</x:v>
      </x:c>
      <x:c r="P878" s="2" t="s">
        <x:v>2535</x:v>
      </x:c>
      <x:c r="Q878" s="2"/>
      <x:c r="R878" s="3">
        <x:v>2</x:v>
      </x:c>
      <x:c r="S878" s="3"/>
      <x:c r="T878" s="2"/>
      <x:c r="U878" s="2"/>
      <x:c r="V878" s="2"/>
      <x:c r="W878" s="2"/>
      <x:c r="X878" s="3"/>
      <x:c r="Y878" s="3"/>
      <x:c r="Z878" s="2"/>
      <x:c r="AA878" s="2"/>
      <x:c r="AB878" s="2"/>
      <x:c r="AC878" s="2"/>
      <x:c r="AD878" s="2" t="s">
        <x:v>469</x:v>
      </x:c>
      <x:c r="AE878" s="2"/>
      <x:c r="AF878" s="2"/>
      <x:c r="AG878" s="2"/>
      <x:c r="AH878" s="2" t="s">
        <x:v>470</x:v>
      </x:c>
      <x:c r="AI878" s="4">
        <x:v>16</x:v>
      </x:c>
      <x:c r="AJ878" s="2" t="s">
        <x:v>2514</x:v>
      </x:c>
      <x:c r="AK878" s="2" t="s">
        <x:v>460</x:v>
      </x:c>
      <x:c r="AL878" s="2" t="s">
        <x:v>1550</x:v>
      </x:c>
      <x:c r="AM878" s="2">
        <x:v>108</x:v>
      </x:c>
      <x:c r="AN878" s="2">
        <x:v>108</x:v>
      </x:c>
    </x:row>
    <x:row r="879" ht="39">
      <x:c r="A879" s="2" t="s">
        <x:v>6</x:v>
      </x:c>
      <x:c r="B879" s="2" t="s">
        <x:v>18</x:v>
      </x:c>
      <x:c r="C879" s="3">
        <x:v>107</x:v>
      </x:c>
      <x:c r="D879" s="2" t="s">
        <x:v>449</x:v>
      </x:c>
      <x:c r="E879" s="2" t="s">
        <x:v>2719</x:v>
      </x:c>
      <x:c r="F879" s="2" t="s">
        <x:v>474</x:v>
      </x:c>
      <x:c r="G879" s="2"/>
      <x:c r="H879" s="2" t="s">
        <x:v>618</x:v>
      </x:c>
      <x:c r="I879" s="2" t="s">
        <x:v>2720</x:v>
      </x:c>
      <x:c r="J879" s="2" t="s">
        <x:v>454</x:v>
      </x:c>
      <x:c r="K879" s="2"/>
      <x:c r="L879" s="2" t="s">
        <x:v>2542</x:v>
      </x:c>
      <x:c r="M879" s="2"/>
      <x:c r="N879" s="2"/>
      <x:c r="O879" s="2" t="s">
        <x:v>2464</x:v>
      </x:c>
      <x:c r="P879" s="2" t="s">
        <x:v>2543</x:v>
      </x:c>
      <x:c r="Q879" s="2"/>
      <x:c r="R879" s="3">
        <x:v>2</x:v>
      </x:c>
      <x:c r="S879" s="3"/>
      <x:c r="T879" s="2"/>
      <x:c r="U879" s="2"/>
      <x:c r="V879" s="2"/>
      <x:c r="W879" s="2"/>
      <x:c r="X879" s="3"/>
      <x:c r="Y879" s="3"/>
      <x:c r="Z879" s="2"/>
      <x:c r="AA879" s="2"/>
      <x:c r="AB879" s="2"/>
      <x:c r="AC879" s="2"/>
      <x:c r="AD879" s="2" t="s">
        <x:v>480</x:v>
      </x:c>
      <x:c r="AE879" s="2"/>
      <x:c r="AF879" s="2"/>
      <x:c r="AG879" s="2"/>
      <x:c r="AH879" s="2" t="s">
        <x:v>458</x:v>
      </x:c>
      <x:c r="AI879" s="4">
        <x:v>8</x:v>
      </x:c>
      <x:c r="AJ879" s="2" t="s">
        <x:v>2525</x:v>
      </x:c>
      <x:c r="AK879" s="2" t="s">
        <x:v>460</x:v>
      </x:c>
      <x:c r="AL879" s="2" t="s">
        <x:v>1550</x:v>
      </x:c>
      <x:c r="AM879" s="2">
        <x:v>109</x:v>
      </x:c>
      <x:c r="AN879" s="2">
        <x:v>109</x:v>
      </x:c>
    </x:row>
    <x:row r="880" ht="39">
      <x:c r="A880" s="2" t="s">
        <x:v>6</x:v>
      </x:c>
      <x:c r="B880" s="2" t="s">
        <x:v>18</x:v>
      </x:c>
      <x:c r="C880" s="3">
        <x:v>108</x:v>
      </x:c>
      <x:c r="D880" s="2" t="s">
        <x:v>505</x:v>
      </x:c>
      <x:c r="E880" s="2" t="s">
        <x:v>2721</x:v>
      </x:c>
      <x:c r="F880" s="2" t="s">
        <x:v>464</x:v>
      </x:c>
      <x:c r="G880" s="2"/>
      <x:c r="H880" s="2" t="s">
        <x:v>618</x:v>
      </x:c>
      <x:c r="I880" s="2" t="s">
        <x:v>2722</x:v>
      </x:c>
      <x:c r="J880" s="2" t="s">
        <x:v>477</x:v>
      </x:c>
      <x:c r="K880" s="2"/>
      <x:c r="L880" s="2" t="s">
        <x:v>2552</x:v>
      </x:c>
      <x:c r="M880" s="2"/>
      <x:c r="N880" s="2"/>
      <x:c r="O880" s="2" t="s">
        <x:v>2464</x:v>
      </x:c>
      <x:c r="P880" s="2" t="s">
        <x:v>2553</x:v>
      </x:c>
      <x:c r="Q880" s="2"/>
      <x:c r="R880" s="3">
        <x:v>2</x:v>
      </x:c>
      <x:c r="S880" s="3"/>
      <x:c r="T880" s="2"/>
      <x:c r="U880" s="2"/>
      <x:c r="V880" s="2"/>
      <x:c r="W880" s="2"/>
      <x:c r="X880" s="3"/>
      <x:c r="Y880" s="3"/>
      <x:c r="Z880" s="2"/>
      <x:c r="AA880" s="2"/>
      <x:c r="AB880" s="2"/>
      <x:c r="AC880" s="2"/>
      <x:c r="AD880" s="2" t="s">
        <x:v>469</x:v>
      </x:c>
      <x:c r="AE880" s="2"/>
      <x:c r="AF880" s="2"/>
      <x:c r="AG880" s="2"/>
      <x:c r="AH880" s="2" t="s">
        <x:v>458</x:v>
      </x:c>
      <x:c r="AI880" s="4">
        <x:v>8</x:v>
      </x:c>
      <x:c r="AJ880" s="2" t="s">
        <x:v>2466</x:v>
      </x:c>
      <x:c r="AK880" s="2" t="s">
        <x:v>460</x:v>
      </x:c>
      <x:c r="AL880" s="2" t="s">
        <x:v>1550</x:v>
      </x:c>
      <x:c r="AM880" s="2">
        <x:v>110</x:v>
      </x:c>
      <x:c r="AN880" s="2">
        <x:v>110</x:v>
      </x:c>
    </x:row>
    <x:row r="881" ht="39">
      <x:c r="A881" s="2" t="s">
        <x:v>91</x:v>
      </x:c>
      <x:c r="B881" s="2" t="s">
        <x:v>18</x:v>
      </x:c>
      <x:c r="C881" s="3">
        <x:v>109</x:v>
      </x:c>
      <x:c r="D881" s="2" t="s">
        <x:v>462</x:v>
      </x:c>
      <x:c r="E881" s="2" t="s">
        <x:v>2723</x:v>
      </x:c>
      <x:c r="F881" s="2" t="s">
        <x:v>474</x:v>
      </x:c>
      <x:c r="G881" s="2" t="s">
        <x:v>2724</x:v>
      </x:c>
      <x:c r="H881" s="2" t="s">
        <x:v>618</x:v>
      </x:c>
      <x:c r="I881" s="2" t="s">
        <x:v>2725</x:v>
      </x:c>
      <x:c r="J881" s="2" t="s">
        <x:v>454</x:v>
      </x:c>
      <x:c r="K881" s="2"/>
      <x:c r="L881" s="2" t="s">
        <x:v>2560</x:v>
      </x:c>
      <x:c r="M881" s="2"/>
      <x:c r="N881" s="2"/>
      <x:c r="O881" s="2" t="s">
        <x:v>2464</x:v>
      </x:c>
      <x:c r="P881" s="2" t="s">
        <x:v>2561</x:v>
      </x:c>
      <x:c r="Q881" s="2"/>
      <x:c r="R881" s="3">
        <x:v>2</x:v>
      </x:c>
      <x:c r="S881" s="3"/>
      <x:c r="T881" s="2"/>
      <x:c r="U881" s="2"/>
      <x:c r="V881" s="2"/>
      <x:c r="W881" s="2"/>
      <x:c r="X881" s="3"/>
      <x:c r="Y881" s="3"/>
      <x:c r="Z881" s="2"/>
      <x:c r="AA881" s="2"/>
      <x:c r="AB881" s="2"/>
      <x:c r="AC881" s="2"/>
      <x:c r="AD881" s="2" t="s">
        <x:v>480</x:v>
      </x:c>
      <x:c r="AE881" s="2"/>
      <x:c r="AF881" s="2"/>
      <x:c r="AG881" s="2"/>
      <x:c r="AH881" s="2" t="s">
        <x:v>470</x:v>
      </x:c>
      <x:c r="AI881" s="4">
        <x:v>12</x:v>
      </x:c>
      <x:c r="AJ881" s="2" t="s">
        <x:v>2484</x:v>
      </x:c>
      <x:c r="AK881" s="2" t="s">
        <x:v>460</x:v>
      </x:c>
      <x:c r="AL881" s="2" t="s">
        <x:v>1550</x:v>
      </x:c>
      <x:c r="AM881" s="2">
        <x:v>111</x:v>
      </x:c>
      <x:c r="AN881" s="2">
        <x:v>111</x:v>
      </x:c>
    </x:row>
    <x:row r="882" ht="39">
      <x:c r="A882" s="2" t="s">
        <x:v>91</x:v>
      </x:c>
      <x:c r="B882" s="2" t="s">
        <x:v>18</x:v>
      </x:c>
      <x:c r="C882" s="3">
        <x:v>110</x:v>
      </x:c>
      <x:c r="D882" s="2" t="s">
        <x:v>505</x:v>
      </x:c>
      <x:c r="E882" s="2" t="s">
        <x:v>2726</x:v>
      </x:c>
      <x:c r="F882" s="2" t="s">
        <x:v>2727</x:v>
      </x:c>
      <x:c r="G882" s="2" t="s">
        <x:v>2728</x:v>
      </x:c>
      <x:c r="H882" s="2" t="s">
        <x:v>2729</x:v>
      </x:c>
      <x:c r="I882" s="2" t="s">
        <x:v>2730</x:v>
      </x:c>
      <x:c r="J882" s="2" t="s">
        <x:v>477</x:v>
      </x:c>
      <x:c r="K882" s="2"/>
      <x:c r="L882" s="2" t="s">
        <x:v>2731</x:v>
      </x:c>
      <x:c r="M882" s="2"/>
      <x:c r="N882" s="2"/>
      <x:c r="O882" s="2" t="s">
        <x:v>2732</x:v>
      </x:c>
      <x:c r="P882" s="2" t="s">
        <x:v>2733</x:v>
      </x:c>
      <x:c r="Q882" s="2"/>
      <x:c r="R882" s="3">
        <x:v>2</x:v>
      </x:c>
      <x:c r="S882" s="3"/>
      <x:c r="T882" s="2"/>
      <x:c r="U882" s="2"/>
      <x:c r="V882" s="2"/>
      <x:c r="W882" s="2"/>
      <x:c r="X882" s="3"/>
      <x:c r="Y882" s="3"/>
      <x:c r="Z882" s="2"/>
      <x:c r="AA882" s="2"/>
      <x:c r="AB882" s="2"/>
      <x:c r="AC882" s="2"/>
      <x:c r="AD882" s="2" t="s">
        <x:v>237</x:v>
      </x:c>
      <x:c r="AE882" s="2"/>
      <x:c r="AF882" s="2"/>
      <x:c r="AG882" s="2"/>
      <x:c r="AH882" s="2" t="s">
        <x:v>458</x:v>
      </x:c>
      <x:c r="AI882" s="4">
        <x:v>8</x:v>
      </x:c>
      <x:c r="AJ882" s="2" t="s">
        <x:v>2734</x:v>
      </x:c>
      <x:c r="AK882" s="2" t="s">
        <x:v>460</x:v>
      </x:c>
      <x:c r="AL882" s="2" t="s">
        <x:v>1550</x:v>
      </x:c>
      <x:c r="AM882" s="2">
        <x:v>112</x:v>
      </x:c>
      <x:c r="AN882" s="2">
        <x:v>112</x:v>
      </x:c>
    </x:row>
    <x:row r="883" ht="39">
      <x:c r="A883" s="2" t="s">
        <x:v>6</x:v>
      </x:c>
      <x:c r="B883" s="2" t="s">
        <x:v>18</x:v>
      </x:c>
      <x:c r="C883" s="3">
        <x:v>111</x:v>
      </x:c>
      <x:c r="D883" s="2" t="s">
        <x:v>516</x:v>
      </x:c>
      <x:c r="E883" s="2" t="s">
        <x:v>2726</x:v>
      </x:c>
      <x:c r="F883" s="2" t="s">
        <x:v>451</x:v>
      </x:c>
      <x:c r="G883" s="2"/>
      <x:c r="H883" s="2" t="s">
        <x:v>2735</x:v>
      </x:c>
      <x:c r="I883" s="2" t="s">
        <x:v>2730</x:v>
      </x:c>
      <x:c r="J883" s="2" t="s">
        <x:v>454</x:v>
      </x:c>
      <x:c r="K883" s="2" t="n">
        <x:v>110</x:v>
      </x:c>
      <x:c r="L883" s="2" t="s">
        <x:v>2736</x:v>
      </x:c>
      <x:c r="M883" s="2"/>
      <x:c r="N883" s="2"/>
      <x:c r="O883" s="2" t="s">
        <x:v>2737</x:v>
      </x:c>
      <x:c r="P883" s="2" t="s">
        <x:v>2738</x:v>
      </x:c>
      <x:c r="Q883" s="2"/>
      <x:c r="R883" s="3">
        <x:v>2</x:v>
      </x:c>
      <x:c r="S883" s="3"/>
      <x:c r="T883" s="2"/>
      <x:c r="U883" s="2"/>
      <x:c r="V883" s="2"/>
      <x:c r="W883" s="2"/>
      <x:c r="X883" s="3"/>
      <x:c r="Y883" s="3"/>
      <x:c r="Z883" s="2"/>
      <x:c r="AA883" s="2"/>
      <x:c r="AB883" s="2"/>
      <x:c r="AC883" s="2"/>
      <x:c r="AD883" s="2" t="s">
        <x:v>431</x:v>
      </x:c>
      <x:c r="AE883" s="2"/>
      <x:c r="AF883" s="2"/>
      <x:c r="AG883" s="2"/>
      <x:c r="AH883" s="2" t="s">
        <x:v>470</x:v>
      </x:c>
      <x:c r="AI883" s="4">
        <x:v>8</x:v>
      </x:c>
      <x:c r="AJ883" s="2" t="s">
        <x:v>2739</x:v>
      </x:c>
      <x:c r="AK883" s="2" t="s">
        <x:v>460</x:v>
      </x:c>
      <x:c r="AL883" s="2" t="s">
        <x:v>1550</x:v>
      </x:c>
      <x:c r="AM883" s="2">
        <x:v>113</x:v>
      </x:c>
      <x:c r="AN883" s="2">
        <x:v>113</x:v>
      </x:c>
    </x:row>
    <x:row r="884" ht="52">
      <x:c r="A884" s="2" t="s">
        <x:v>6</x:v>
      </x:c>
      <x:c r="B884" s="2" t="s">
        <x:v>18</x:v>
      </x:c>
      <x:c r="C884" s="3">
        <x:v>112</x:v>
      </x:c>
      <x:c r="D884" s="2" t="s">
        <x:v>462</x:v>
      </x:c>
      <x:c r="E884" s="2" t="s">
        <x:v>2740</x:v>
      </x:c>
      <x:c r="F884" s="2" t="s">
        <x:v>2727</x:v>
      </x:c>
      <x:c r="G884" s="2"/>
      <x:c r="H884" s="2" t="s">
        <x:v>2729</x:v>
      </x:c>
      <x:c r="I884" s="2" t="s">
        <x:v>2741</x:v>
      </x:c>
      <x:c r="J884" s="2" t="s">
        <x:v>454</x:v>
      </x:c>
      <x:c r="K884" s="2"/>
      <x:c r="L884" s="2" t="s">
        <x:v>2742</x:v>
      </x:c>
      <x:c r="M884" s="2"/>
      <x:c r="N884" s="2"/>
      <x:c r="O884" s="2" t="s">
        <x:v>2732</x:v>
      </x:c>
      <x:c r="P884" s="2" t="s">
        <x:v>2743</x:v>
      </x:c>
      <x:c r="Q884" s="2"/>
      <x:c r="R884" s="3">
        <x:v>3</x:v>
      </x:c>
      <x:c r="S884" s="3"/>
      <x:c r="T884" s="2"/>
      <x:c r="U884" s="2"/>
      <x:c r="V884" s="2"/>
      <x:c r="W884" s="2"/>
      <x:c r="X884" s="3"/>
      <x:c r="Y884" s="3"/>
      <x:c r="Z884" s="2"/>
      <x:c r="AA884" s="2"/>
      <x:c r="AB884" s="2"/>
      <x:c r="AC884" s="2"/>
      <x:c r="AD884" s="2" t="s">
        <x:v>237</x:v>
      </x:c>
      <x:c r="AE884" s="2"/>
      <x:c r="AF884" s="2"/>
      <x:c r="AG884" s="2"/>
      <x:c r="AH884" s="2" t="s">
        <x:v>458</x:v>
      </x:c>
      <x:c r="AI884" s="4">
        <x:v>12</x:v>
      </x:c>
      <x:c r="AJ884" s="2" t="s">
        <x:v>2744</x:v>
      </x:c>
      <x:c r="AK884" s="2" t="s">
        <x:v>460</x:v>
      </x:c>
      <x:c r="AL884" s="2" t="s">
        <x:v>1550</x:v>
      </x:c>
      <x:c r="AM884" s="2">
        <x:v>114</x:v>
      </x:c>
      <x:c r="AN884" s="2">
        <x:v>114</x:v>
      </x:c>
    </x:row>
    <x:row r="885" ht="52">
      <x:c r="A885" s="2" t="s">
        <x:v>91</x:v>
      </x:c>
      <x:c r="B885" s="2" t="s">
        <x:v>18</x:v>
      </x:c>
      <x:c r="C885" s="3">
        <x:v>113</x:v>
      </x:c>
      <x:c r="D885" s="2" t="s">
        <x:v>472</x:v>
      </x:c>
      <x:c r="E885" s="2" t="s">
        <x:v>2740</x:v>
      </x:c>
      <x:c r="F885" s="2" t="s">
        <x:v>484</x:v>
      </x:c>
      <x:c r="G885" s="2" t="s">
        <x:v>2745</x:v>
      </x:c>
      <x:c r="H885" s="2" t="s">
        <x:v>2735</x:v>
      </x:c>
      <x:c r="I885" s="2" t="s">
        <x:v>2741</x:v>
      </x:c>
      <x:c r="J885" s="2" t="s">
        <x:v>477</x:v>
      </x:c>
      <x:c r="K885" s="2" t="n">
        <x:v>112</x:v>
      </x:c>
      <x:c r="L885" s="2" t="s">
        <x:v>2746</x:v>
      </x:c>
      <x:c r="M885" s="2"/>
      <x:c r="N885" s="2"/>
      <x:c r="O885" s="2" t="s">
        <x:v>2737</x:v>
      </x:c>
      <x:c r="P885" s="2" t="s">
        <x:v>2747</x:v>
      </x:c>
      <x:c r="Q885" s="2"/>
      <x:c r="R885" s="3">
        <x:v>3</x:v>
      </x:c>
      <x:c r="S885" s="3"/>
      <x:c r="T885" s="2"/>
      <x:c r="U885" s="2"/>
      <x:c r="V885" s="2"/>
      <x:c r="W885" s="2"/>
      <x:c r="X885" s="3"/>
      <x:c r="Y885" s="3"/>
      <x:c r="Z885" s="2"/>
      <x:c r="AA885" s="2"/>
      <x:c r="AB885" s="2"/>
      <x:c r="AC885" s="2"/>
      <x:c r="AD885" s="2" t="s">
        <x:v>410</x:v>
      </x:c>
      <x:c r="AE885" s="2"/>
      <x:c r="AF885" s="2"/>
      <x:c r="AG885" s="2"/>
      <x:c r="AH885" s="2" t="s">
        <x:v>470</x:v>
      </x:c>
      <x:c r="AI885" s="4">
        <x:v>12</x:v>
      </x:c>
      <x:c r="AJ885" s="2" t="s">
        <x:v>2739</x:v>
      </x:c>
      <x:c r="AK885" s="2" t="s">
        <x:v>460</x:v>
      </x:c>
      <x:c r="AL885" s="2" t="s">
        <x:v>1550</x:v>
      </x:c>
      <x:c r="AM885" s="2">
        <x:v>115</x:v>
      </x:c>
      <x:c r="AN885" s="2">
        <x:v>115</x:v>
      </x:c>
    </x:row>
    <x:row r="886" ht="39">
      <x:c r="A886" s="2" t="s">
        <x:v>91</x:v>
      </x:c>
      <x:c r="B886" s="2" t="s">
        <x:v>18</x:v>
      </x:c>
      <x:c r="C886" s="3">
        <x:v>114</x:v>
      </x:c>
      <x:c r="D886" s="2" t="s">
        <x:v>482</x:v>
      </x:c>
      <x:c r="E886" s="2" t="s">
        <x:v>2748</x:v>
      </x:c>
      <x:c r="F886" s="2" t="s">
        <x:v>2727</x:v>
      </x:c>
      <x:c r="G886" s="2" t="s">
        <x:v>2728</x:v>
      </x:c>
      <x:c r="H886" s="2" t="s">
        <x:v>2729</x:v>
      </x:c>
      <x:c r="I886" s="2" t="s">
        <x:v>2749</x:v>
      </x:c>
      <x:c r="J886" s="2" t="s">
        <x:v>477</x:v>
      </x:c>
      <x:c r="K886" s="2"/>
      <x:c r="L886" s="2" t="s">
        <x:v>2750</x:v>
      </x:c>
      <x:c r="M886" s="2"/>
      <x:c r="N886" s="2"/>
      <x:c r="O886" s="2" t="s">
        <x:v>2732</x:v>
      </x:c>
      <x:c r="P886" s="2" t="s">
        <x:v>2733</x:v>
      </x:c>
      <x:c r="Q886" s="2"/>
      <x:c r="R886" s="3">
        <x:v>2</x:v>
      </x:c>
      <x:c r="S886" s="3"/>
      <x:c r="T886" s="2"/>
      <x:c r="U886" s="2"/>
      <x:c r="V886" s="2"/>
      <x:c r="W886" s="2"/>
      <x:c r="X886" s="3"/>
      <x:c r="Y886" s="3"/>
      <x:c r="Z886" s="2"/>
      <x:c r="AA886" s="2"/>
      <x:c r="AB886" s="2"/>
      <x:c r="AC886" s="2"/>
      <x:c r="AD886" s="2" t="s">
        <x:v>237</x:v>
      </x:c>
      <x:c r="AE886" s="2"/>
      <x:c r="AF886" s="2"/>
      <x:c r="AG886" s="2"/>
      <x:c r="AH886" s="2" t="s">
        <x:v>470</x:v>
      </x:c>
      <x:c r="AI886" s="4">
        <x:v>12</x:v>
      </x:c>
      <x:c r="AJ886" s="2" t="s">
        <x:v>2734</x:v>
      </x:c>
      <x:c r="AK886" s="2" t="s">
        <x:v>460</x:v>
      </x:c>
      <x:c r="AL886" s="2" t="s">
        <x:v>1550</x:v>
      </x:c>
      <x:c r="AM886" s="2">
        <x:v>116</x:v>
      </x:c>
      <x:c r="AN886" s="2">
        <x:v>116</x:v>
      </x:c>
    </x:row>
    <x:row r="887" ht="39">
      <x:c r="A887" s="2" t="s">
        <x:v>91</x:v>
      </x:c>
      <x:c r="B887" s="2" t="s">
        <x:v>18</x:v>
      </x:c>
      <x:c r="C887" s="3">
        <x:v>115</x:v>
      </x:c>
      <x:c r="D887" s="2" t="s">
        <x:v>449</x:v>
      </x:c>
      <x:c r="E887" s="2" t="s">
        <x:v>2748</x:v>
      </x:c>
      <x:c r="F887" s="2" t="s">
        <x:v>451</x:v>
      </x:c>
      <x:c r="G887" s="2" t="s">
        <x:v>2751</x:v>
      </x:c>
      <x:c r="H887" s="2" t="s">
        <x:v>2735</x:v>
      </x:c>
      <x:c r="I887" s="2" t="s">
        <x:v>2749</x:v>
      </x:c>
      <x:c r="J887" s="2" t="s">
        <x:v>454</x:v>
      </x:c>
      <x:c r="K887" s="2" t="n">
        <x:v>114</x:v>
      </x:c>
      <x:c r="L887" s="2" t="s">
        <x:v>2752</x:v>
      </x:c>
      <x:c r="M887" s="2"/>
      <x:c r="N887" s="2"/>
      <x:c r="O887" s="2" t="s">
        <x:v>2737</x:v>
      </x:c>
      <x:c r="P887" s="2" t="s">
        <x:v>2738</x:v>
      </x:c>
      <x:c r="Q887" s="2"/>
      <x:c r="R887" s="3">
        <x:v>2</x:v>
      </x:c>
      <x:c r="S887" s="3"/>
      <x:c r="T887" s="2"/>
      <x:c r="U887" s="2"/>
      <x:c r="V887" s="2"/>
      <x:c r="W887" s="2"/>
      <x:c r="X887" s="3"/>
      <x:c r="Y887" s="3"/>
      <x:c r="Z887" s="2"/>
      <x:c r="AA887" s="2"/>
      <x:c r="AB887" s="2"/>
      <x:c r="AC887" s="2"/>
      <x:c r="AD887" s="2" t="s">
        <x:v>431</x:v>
      </x:c>
      <x:c r="AE887" s="2"/>
      <x:c r="AF887" s="2"/>
      <x:c r="AG887" s="2"/>
      <x:c r="AH887" s="2" t="s">
        <x:v>458</x:v>
      </x:c>
      <x:c r="AI887" s="4">
        <x:v>12</x:v>
      </x:c>
      <x:c r="AJ887" s="2" t="s">
        <x:v>2739</x:v>
      </x:c>
      <x:c r="AK887" s="2" t="s">
        <x:v>460</x:v>
      </x:c>
      <x:c r="AL887" s="2" t="s">
        <x:v>1550</x:v>
      </x:c>
      <x:c r="AM887" s="2">
        <x:v>117</x:v>
      </x:c>
      <x:c r="AN887" s="2">
        <x:v>117</x:v>
      </x:c>
    </x:row>
    <x:row r="888" ht="52">
      <x:c r="A888" s="2" t="s">
        <x:v>91</x:v>
      </x:c>
      <x:c r="B888" s="2" t="s">
        <x:v>18</x:v>
      </x:c>
      <x:c r="C888" s="3">
        <x:v>116</x:v>
      </x:c>
      <x:c r="D888" s="2" t="s">
        <x:v>516</x:v>
      </x:c>
      <x:c r="E888" s="2" t="s">
        <x:v>2753</x:v>
      </x:c>
      <x:c r="F888" s="2" t="s">
        <x:v>2727</x:v>
      </x:c>
      <x:c r="G888" s="2" t="s">
        <x:v>2754</x:v>
      </x:c>
      <x:c r="H888" s="2" t="s">
        <x:v>2729</x:v>
      </x:c>
      <x:c r="I888" s="2" t="s">
        <x:v>2755</x:v>
      </x:c>
      <x:c r="J888" s="2" t="s">
        <x:v>454</x:v>
      </x:c>
      <x:c r="K888" s="2"/>
      <x:c r="L888" s="2" t="s">
        <x:v>2756</x:v>
      </x:c>
      <x:c r="M888" s="2"/>
      <x:c r="N888" s="2"/>
      <x:c r="O888" s="2" t="s">
        <x:v>2732</x:v>
      </x:c>
      <x:c r="P888" s="2" t="s">
        <x:v>2743</x:v>
      </x:c>
      <x:c r="Q888" s="2"/>
      <x:c r="R888" s="3">
        <x:v>3</x:v>
      </x:c>
      <x:c r="S888" s="3"/>
      <x:c r="T888" s="2"/>
      <x:c r="U888" s="2"/>
      <x:c r="V888" s="2"/>
      <x:c r="W888" s="2"/>
      <x:c r="X888" s="3"/>
      <x:c r="Y888" s="3"/>
      <x:c r="Z888" s="2"/>
      <x:c r="AA888" s="2"/>
      <x:c r="AB888" s="2"/>
      <x:c r="AC888" s="2"/>
      <x:c r="AD888" s="2" t="s">
        <x:v>237</x:v>
      </x:c>
      <x:c r="AE888" s="2"/>
      <x:c r="AF888" s="2"/>
      <x:c r="AG888" s="2"/>
      <x:c r="AH888" s="2" t="s">
        <x:v>470</x:v>
      </x:c>
      <x:c r="AI888" s="4">
        <x:v>16</x:v>
      </x:c>
      <x:c r="AJ888" s="2" t="s">
        <x:v>2744</x:v>
      </x:c>
      <x:c r="AK888" s="2" t="s">
        <x:v>460</x:v>
      </x:c>
      <x:c r="AL888" s="2" t="s">
        <x:v>1550</x:v>
      </x:c>
      <x:c r="AM888" s="2">
        <x:v>118</x:v>
      </x:c>
      <x:c r="AN888" s="2">
        <x:v>118</x:v>
      </x:c>
    </x:row>
    <x:row r="889" ht="52">
      <x:c r="A889" s="2" t="s">
        <x:v>6</x:v>
      </x:c>
      <x:c r="B889" s="2" t="s">
        <x:v>18</x:v>
      </x:c>
      <x:c r="C889" s="3">
        <x:v>117</x:v>
      </x:c>
      <x:c r="D889" s="2" t="s">
        <x:v>505</x:v>
      </x:c>
      <x:c r="E889" s="2" t="s">
        <x:v>2753</x:v>
      </x:c>
      <x:c r="F889" s="2" t="s">
        <x:v>474</x:v>
      </x:c>
      <x:c r="G889" s="2"/>
      <x:c r="H889" s="2" t="s">
        <x:v>2735</x:v>
      </x:c>
      <x:c r="I889" s="2" t="s">
        <x:v>2755</x:v>
      </x:c>
      <x:c r="J889" s="2" t="s">
        <x:v>477</x:v>
      </x:c>
      <x:c r="K889" s="2" t="n">
        <x:v>116</x:v>
      </x:c>
      <x:c r="L889" s="2" t="s">
        <x:v>2757</x:v>
      </x:c>
      <x:c r="M889" s="2"/>
      <x:c r="N889" s="2"/>
      <x:c r="O889" s="2" t="s">
        <x:v>2737</x:v>
      </x:c>
      <x:c r="P889" s="2" t="s">
        <x:v>2758</x:v>
      </x:c>
      <x:c r="Q889" s="2"/>
      <x:c r="R889" s="3">
        <x:v>3</x:v>
      </x:c>
      <x:c r="S889" s="3"/>
      <x:c r="T889" s="2"/>
      <x:c r="U889" s="2"/>
      <x:c r="V889" s="2"/>
      <x:c r="W889" s="2"/>
      <x:c r="X889" s="3"/>
      <x:c r="Y889" s="3"/>
      <x:c r="Z889" s="2"/>
      <x:c r="AA889" s="2"/>
      <x:c r="AB889" s="2"/>
      <x:c r="AC889" s="2"/>
      <x:c r="AD889" s="2" t="s">
        <x:v>480</x:v>
      </x:c>
      <x:c r="AE889" s="2"/>
      <x:c r="AF889" s="2"/>
      <x:c r="AG889" s="2"/>
      <x:c r="AH889" s="2" t="s">
        <x:v>458</x:v>
      </x:c>
      <x:c r="AI889" s="4">
        <x:v>16</x:v>
      </x:c>
      <x:c r="AJ889" s="2" t="s">
        <x:v>2739</x:v>
      </x:c>
      <x:c r="AK889" s="2" t="s">
        <x:v>460</x:v>
      </x:c>
      <x:c r="AL889" s="2" t="s">
        <x:v>1550</x:v>
      </x:c>
      <x:c r="AM889" s="2">
        <x:v>119</x:v>
      </x:c>
      <x:c r="AN889" s="2">
        <x:v>119</x:v>
      </x:c>
    </x:row>
    <x:row r="890" ht="52">
      <x:c r="A890" s="2" t="s">
        <x:v>91</x:v>
      </x:c>
      <x:c r="B890" s="2" t="s">
        <x:v>18</x:v>
      </x:c>
      <x:c r="C890" s="3">
        <x:v>118</x:v>
      </x:c>
      <x:c r="D890" s="2" t="s">
        <x:v>472</x:v>
      </x:c>
      <x:c r="E890" s="2" t="s">
        <x:v>2759</x:v>
      </x:c>
      <x:c r="F890" s="2" t="s">
        <x:v>2727</x:v>
      </x:c>
      <x:c r="G890" s="2" t="s">
        <x:v>2760</x:v>
      </x:c>
      <x:c r="H890" s="2" t="s">
        <x:v>2729</x:v>
      </x:c>
      <x:c r="I890" s="2" t="s">
        <x:v>2761</x:v>
      </x:c>
      <x:c r="J890" s="2" t="s">
        <x:v>477</x:v>
      </x:c>
      <x:c r="K890" s="2"/>
      <x:c r="L890" s="2" t="s">
        <x:v>2762</x:v>
      </x:c>
      <x:c r="M890" s="2"/>
      <x:c r="N890" s="2"/>
      <x:c r="O890" s="2" t="s">
        <x:v>2732</x:v>
      </x:c>
      <x:c r="P890" s="2" t="s">
        <x:v>2733</x:v>
      </x:c>
      <x:c r="Q890" s="2"/>
      <x:c r="R890" s="3">
        <x:v>2</x:v>
      </x:c>
      <x:c r="S890" s="3"/>
      <x:c r="T890" s="2"/>
      <x:c r="U890" s="2"/>
      <x:c r="V890" s="2"/>
      <x:c r="W890" s="2"/>
      <x:c r="X890" s="3"/>
      <x:c r="Y890" s="3"/>
      <x:c r="Z890" s="2"/>
      <x:c r="AA890" s="2"/>
      <x:c r="AB890" s="2"/>
      <x:c r="AC890" s="2"/>
      <x:c r="AD890" s="2" t="s">
        <x:v>237</x:v>
      </x:c>
      <x:c r="AE890" s="2"/>
      <x:c r="AF890" s="2"/>
      <x:c r="AG890" s="2"/>
      <x:c r="AH890" s="2" t="s">
        <x:v>458</x:v>
      </x:c>
      <x:c r="AI890" s="4">
        <x:v>16</x:v>
      </x:c>
      <x:c r="AJ890" s="2" t="s">
        <x:v>2734</x:v>
      </x:c>
      <x:c r="AK890" s="2" t="s">
        <x:v>460</x:v>
      </x:c>
      <x:c r="AL890" s="2" t="s">
        <x:v>1550</x:v>
      </x:c>
      <x:c r="AM890" s="2">
        <x:v>120</x:v>
      </x:c>
      <x:c r="AN890" s="2">
        <x:v>120</x:v>
      </x:c>
    </x:row>
    <x:row r="891" ht="52">
      <x:c r="A891" s="2" t="s">
        <x:v>91</x:v>
      </x:c>
      <x:c r="B891" s="2" t="s">
        <x:v>18</x:v>
      </x:c>
      <x:c r="C891" s="3">
        <x:v>119</x:v>
      </x:c>
      <x:c r="D891" s="2" t="s">
        <x:v>462</x:v>
      </x:c>
      <x:c r="E891" s="2" t="s">
        <x:v>2759</x:v>
      </x:c>
      <x:c r="F891" s="2" t="s">
        <x:v>451</x:v>
      </x:c>
      <x:c r="G891" s="2" t="s">
        <x:v>1290</x:v>
      </x:c>
      <x:c r="H891" s="2" t="s">
        <x:v>2735</x:v>
      </x:c>
      <x:c r="I891" s="2" t="s">
        <x:v>2761</x:v>
      </x:c>
      <x:c r="J891" s="2" t="s">
        <x:v>454</x:v>
      </x:c>
      <x:c r="K891" s="2" t="n">
        <x:v>118</x:v>
      </x:c>
      <x:c r="L891" s="2" t="s">
        <x:v>2763</x:v>
      </x:c>
      <x:c r="M891" s="2"/>
      <x:c r="N891" s="2"/>
      <x:c r="O891" s="2" t="s">
        <x:v>2737</x:v>
      </x:c>
      <x:c r="P891" s="2" t="s">
        <x:v>2738</x:v>
      </x:c>
      <x:c r="Q891" s="2"/>
      <x:c r="R891" s="3">
        <x:v>2</x:v>
      </x:c>
      <x:c r="S891" s="3"/>
      <x:c r="T891" s="2"/>
      <x:c r="U891" s="2"/>
      <x:c r="V891" s="2"/>
      <x:c r="W891" s="2"/>
      <x:c r="X891" s="3"/>
      <x:c r="Y891" s="3"/>
      <x:c r="Z891" s="2"/>
      <x:c r="AA891" s="2"/>
      <x:c r="AB891" s="2"/>
      <x:c r="AC891" s="2"/>
      <x:c r="AD891" s="2" t="s">
        <x:v>431</x:v>
      </x:c>
      <x:c r="AE891" s="2"/>
      <x:c r="AF891" s="2"/>
      <x:c r="AG891" s="2"/>
      <x:c r="AH891" s="2" t="s">
        <x:v>470</x:v>
      </x:c>
      <x:c r="AI891" s="4">
        <x:v>16</x:v>
      </x:c>
      <x:c r="AJ891" s="2" t="s">
        <x:v>2739</x:v>
      </x:c>
      <x:c r="AK891" s="2" t="s">
        <x:v>460</x:v>
      </x:c>
      <x:c r="AL891" s="2" t="s">
        <x:v>1550</x:v>
      </x:c>
      <x:c r="AM891" s="2">
        <x:v>121</x:v>
      </x:c>
      <x:c r="AN891" s="2">
        <x:v>121</x:v>
      </x:c>
    </x:row>
    <x:row r="892" ht="52">
      <x:c r="A892" s="2" t="s">
        <x:v>91</x:v>
      </x:c>
      <x:c r="B892" s="2" t="s">
        <x:v>18</x:v>
      </x:c>
      <x:c r="C892" s="3">
        <x:v>120</x:v>
      </x:c>
      <x:c r="D892" s="2" t="s">
        <x:v>449</x:v>
      </x:c>
      <x:c r="E892" s="2" t="s">
        <x:v>2764</x:v>
      </x:c>
      <x:c r="F892" s="2" t="s">
        <x:v>2727</x:v>
      </x:c>
      <x:c r="G892" s="2" t="s">
        <x:v>2765</x:v>
      </x:c>
      <x:c r="H892" s="2" t="s">
        <x:v>2729</x:v>
      </x:c>
      <x:c r="I892" s="2" t="s">
        <x:v>2766</x:v>
      </x:c>
      <x:c r="J892" s="2" t="s">
        <x:v>454</x:v>
      </x:c>
      <x:c r="K892" s="2"/>
      <x:c r="L892" s="2" t="s">
        <x:v>2767</x:v>
      </x:c>
      <x:c r="M892" s="2"/>
      <x:c r="N892" s="2"/>
      <x:c r="O892" s="2" t="s">
        <x:v>2732</x:v>
      </x:c>
      <x:c r="P892" s="2" t="s">
        <x:v>2743</x:v>
      </x:c>
      <x:c r="Q892" s="2"/>
      <x:c r="R892" s="3">
        <x:v>3</x:v>
      </x:c>
      <x:c r="S892" s="3"/>
      <x:c r="T892" s="2"/>
      <x:c r="U892" s="2"/>
      <x:c r="V892" s="2"/>
      <x:c r="W892" s="2"/>
      <x:c r="X892" s="3"/>
      <x:c r="Y892" s="3"/>
      <x:c r="Z892" s="2"/>
      <x:c r="AA892" s="2"/>
      <x:c r="AB892" s="2"/>
      <x:c r="AC892" s="2"/>
      <x:c r="AD892" s="2" t="s">
        <x:v>237</x:v>
      </x:c>
      <x:c r="AE892" s="2"/>
      <x:c r="AF892" s="2"/>
      <x:c r="AG892" s="2"/>
      <x:c r="AH892" s="2" t="s">
        <x:v>470</x:v>
      </x:c>
      <x:c r="AI892" s="4">
        <x:v>8</x:v>
      </x:c>
      <x:c r="AJ892" s="2" t="s">
        <x:v>2744</x:v>
      </x:c>
      <x:c r="AK892" s="2" t="s">
        <x:v>460</x:v>
      </x:c>
      <x:c r="AL892" s="2" t="s">
        <x:v>1550</x:v>
      </x:c>
      <x:c r="AM892" s="2">
        <x:v>122</x:v>
      </x:c>
      <x:c r="AN892" s="2">
        <x:v>122</x:v>
      </x:c>
    </x:row>
    <x:row r="893" ht="52">
      <x:c r="A893" s="2" t="s">
        <x:v>6</x:v>
      </x:c>
      <x:c r="B893" s="2" t="s">
        <x:v>18</x:v>
      </x:c>
      <x:c r="C893" s="3">
        <x:v>121</x:v>
      </x:c>
      <x:c r="D893" s="2" t="s">
        <x:v>482</x:v>
      </x:c>
      <x:c r="E893" s="2" t="s">
        <x:v>2764</x:v>
      </x:c>
      <x:c r="F893" s="2" t="s">
        <x:v>484</x:v>
      </x:c>
      <x:c r="G893" s="2"/>
      <x:c r="H893" s="2" t="s">
        <x:v>2735</x:v>
      </x:c>
      <x:c r="I893" s="2" t="s">
        <x:v>2766</x:v>
      </x:c>
      <x:c r="J893" s="2" t="s">
        <x:v>477</x:v>
      </x:c>
      <x:c r="K893" s="2" t="n">
        <x:v>120</x:v>
      </x:c>
      <x:c r="L893" s="2" t="s">
        <x:v>2768</x:v>
      </x:c>
      <x:c r="M893" s="2"/>
      <x:c r="N893" s="2"/>
      <x:c r="O893" s="2" t="s">
        <x:v>2737</x:v>
      </x:c>
      <x:c r="P893" s="2" t="s">
        <x:v>2747</x:v>
      </x:c>
      <x:c r="Q893" s="2"/>
      <x:c r="R893" s="3">
        <x:v>3</x:v>
      </x:c>
      <x:c r="S893" s="3"/>
      <x:c r="T893" s="2"/>
      <x:c r="U893" s="2"/>
      <x:c r="V893" s="2"/>
      <x:c r="W893" s="2"/>
      <x:c r="X893" s="3"/>
      <x:c r="Y893" s="3"/>
      <x:c r="Z893" s="2"/>
      <x:c r="AA893" s="2"/>
      <x:c r="AB893" s="2"/>
      <x:c r="AC893" s="2"/>
      <x:c r="AD893" s="2" t="s">
        <x:v>410</x:v>
      </x:c>
      <x:c r="AE893" s="2"/>
      <x:c r="AF893" s="2"/>
      <x:c r="AG893" s="2"/>
      <x:c r="AH893" s="2" t="s">
        <x:v>2769</x:v>
      </x:c>
      <x:c r="AI893" s="4">
        <x:v>8</x:v>
      </x:c>
      <x:c r="AJ893" s="2" t="s">
        <x:v>2739</x:v>
      </x:c>
      <x:c r="AK893" s="2" t="s">
        <x:v>460</x:v>
      </x:c>
      <x:c r="AL893" s="2" t="s">
        <x:v>1550</x:v>
      </x:c>
      <x:c r="AM893" s="2">
        <x:v>123</x:v>
      </x:c>
      <x:c r="AN893" s="2">
        <x:v>123</x:v>
      </x:c>
    </x:row>
    <x:row r="894" ht="39">
      <x:c r="A894" s="2" t="s">
        <x:v>6</x:v>
      </x:c>
      <x:c r="B894" s="2" t="s">
        <x:v>18</x:v>
      </x:c>
      <x:c r="C894" s="3">
        <x:v>122</x:v>
      </x:c>
      <x:c r="D894" s="2" t="s">
        <x:v>505</x:v>
      </x:c>
      <x:c r="E894" s="2" t="s">
        <x:v>2770</x:v>
      </x:c>
      <x:c r="F894" s="2" t="s">
        <x:v>2727</x:v>
      </x:c>
      <x:c r="G894" s="2"/>
      <x:c r="H894" s="2" t="s">
        <x:v>2729</x:v>
      </x:c>
      <x:c r="I894" s="2" t="s">
        <x:v>2771</x:v>
      </x:c>
      <x:c r="J894" s="2" t="s">
        <x:v>477</x:v>
      </x:c>
      <x:c r="K894" s="2"/>
      <x:c r="L894" s="2" t="s">
        <x:v>2772</x:v>
      </x:c>
      <x:c r="M894" s="2"/>
      <x:c r="N894" s="2"/>
      <x:c r="O894" s="2" t="s">
        <x:v>2732</x:v>
      </x:c>
      <x:c r="P894" s="2" t="s">
        <x:v>2733</x:v>
      </x:c>
      <x:c r="Q894" s="2"/>
      <x:c r="R894" s="3">
        <x:v>2</x:v>
      </x:c>
      <x:c r="S894" s="3"/>
      <x:c r="T894" s="2"/>
      <x:c r="U894" s="2"/>
      <x:c r="V894" s="2"/>
      <x:c r="W894" s="2"/>
      <x:c r="X894" s="3"/>
      <x:c r="Y894" s="3"/>
      <x:c r="Z894" s="2"/>
      <x:c r="AA894" s="2"/>
      <x:c r="AB894" s="2"/>
      <x:c r="AC894" s="2"/>
      <x:c r="AD894" s="2" t="s">
        <x:v>237</x:v>
      </x:c>
      <x:c r="AE894" s="2"/>
      <x:c r="AF894" s="2"/>
      <x:c r="AG894" s="2"/>
      <x:c r="AH894" s="2" t="s">
        <x:v>470</x:v>
      </x:c>
      <x:c r="AI894" s="4">
        <x:v>8</x:v>
      </x:c>
      <x:c r="AJ894" s="2" t="s">
        <x:v>2734</x:v>
      </x:c>
      <x:c r="AK894" s="2" t="s">
        <x:v>460</x:v>
      </x:c>
      <x:c r="AL894" s="2" t="s">
        <x:v>1550</x:v>
      </x:c>
      <x:c r="AM894" s="2">
        <x:v>124</x:v>
      </x:c>
      <x:c r="AN894" s="2">
        <x:v>124</x:v>
      </x:c>
    </x:row>
    <x:row r="895" ht="39">
      <x:c r="A895" s="2" t="s">
        <x:v>91</x:v>
      </x:c>
      <x:c r="B895" s="2" t="s">
        <x:v>18</x:v>
      </x:c>
      <x:c r="C895" s="3">
        <x:v>123</x:v>
      </x:c>
      <x:c r="D895" s="2" t="s">
        <x:v>516</x:v>
      </x:c>
      <x:c r="E895" s="2" t="s">
        <x:v>2770</x:v>
      </x:c>
      <x:c r="F895" s="2" t="s">
        <x:v>451</x:v>
      </x:c>
      <x:c r="G895" s="2" t="s">
        <x:v>2773</x:v>
      </x:c>
      <x:c r="H895" s="2" t="s">
        <x:v>2735</x:v>
      </x:c>
      <x:c r="I895" s="2" t="s">
        <x:v>2771</x:v>
      </x:c>
      <x:c r="J895" s="2" t="s">
        <x:v>454</x:v>
      </x:c>
      <x:c r="K895" s="2" t="n">
        <x:v>122</x:v>
      </x:c>
      <x:c r="L895" s="2" t="s">
        <x:v>2774</x:v>
      </x:c>
      <x:c r="M895" s="2"/>
      <x:c r="N895" s="2"/>
      <x:c r="O895" s="2" t="s">
        <x:v>2737</x:v>
      </x:c>
      <x:c r="P895" s="2" t="s">
        <x:v>2738</x:v>
      </x:c>
      <x:c r="Q895" s="2"/>
      <x:c r="R895" s="3">
        <x:v>2</x:v>
      </x:c>
      <x:c r="S895" s="3"/>
      <x:c r="T895" s="2"/>
      <x:c r="U895" s="2"/>
      <x:c r="V895" s="2"/>
      <x:c r="W895" s="2"/>
      <x:c r="X895" s="3"/>
      <x:c r="Y895" s="3"/>
      <x:c r="Z895" s="2"/>
      <x:c r="AA895" s="2"/>
      <x:c r="AB895" s="2"/>
      <x:c r="AC895" s="2"/>
      <x:c r="AD895" s="2" t="s">
        <x:v>431</x:v>
      </x:c>
      <x:c r="AE895" s="2"/>
      <x:c r="AF895" s="2"/>
      <x:c r="AG895" s="2"/>
      <x:c r="AH895" s="2" t="s">
        <x:v>458</x:v>
      </x:c>
      <x:c r="AI895" s="4">
        <x:v>8</x:v>
      </x:c>
      <x:c r="AJ895" s="2" t="s">
        <x:v>2739</x:v>
      </x:c>
      <x:c r="AK895" s="2" t="s">
        <x:v>460</x:v>
      </x:c>
      <x:c r="AL895" s="2" t="s">
        <x:v>1550</x:v>
      </x:c>
      <x:c r="AM895" s="2">
        <x:v>125</x:v>
      </x:c>
      <x:c r="AN895" s="2">
        <x:v>125</x:v>
      </x:c>
    </x:row>
    <x:row r="896" ht="52">
      <x:c r="A896" s="2" t="s">
        <x:v>6</x:v>
      </x:c>
      <x:c r="B896" s="2" t="s">
        <x:v>18</x:v>
      </x:c>
      <x:c r="C896" s="3">
        <x:v>124</x:v>
      </x:c>
      <x:c r="D896" s="2" t="s">
        <x:v>462</x:v>
      </x:c>
      <x:c r="E896" s="2" t="s">
        <x:v>2775</x:v>
      </x:c>
      <x:c r="F896" s="2" t="s">
        <x:v>2727</x:v>
      </x:c>
      <x:c r="G896" s="2"/>
      <x:c r="H896" s="2" t="s">
        <x:v>2729</x:v>
      </x:c>
      <x:c r="I896" s="2" t="s">
        <x:v>2776</x:v>
      </x:c>
      <x:c r="J896" s="2" t="s">
        <x:v>454</x:v>
      </x:c>
      <x:c r="K896" s="2"/>
      <x:c r="L896" s="2" t="s">
        <x:v>2777</x:v>
      </x:c>
      <x:c r="M896" s="2"/>
      <x:c r="N896" s="2"/>
      <x:c r="O896" s="2" t="s">
        <x:v>2732</x:v>
      </x:c>
      <x:c r="P896" s="2" t="s">
        <x:v>2743</x:v>
      </x:c>
      <x:c r="Q896" s="2"/>
      <x:c r="R896" s="3">
        <x:v>3</x:v>
      </x:c>
      <x:c r="S896" s="3"/>
      <x:c r="T896" s="2"/>
      <x:c r="U896" s="2"/>
      <x:c r="V896" s="2"/>
      <x:c r="W896" s="2"/>
      <x:c r="X896" s="3"/>
      <x:c r="Y896" s="3"/>
      <x:c r="Z896" s="2"/>
      <x:c r="AA896" s="2"/>
      <x:c r="AB896" s="2"/>
      <x:c r="AC896" s="2"/>
      <x:c r="AD896" s="2" t="s">
        <x:v>237</x:v>
      </x:c>
      <x:c r="AE896" s="2"/>
      <x:c r="AF896" s="2"/>
      <x:c r="AG896" s="2"/>
      <x:c r="AH896" s="2" t="s">
        <x:v>458</x:v>
      </x:c>
      <x:c r="AI896" s="4">
        <x:v>12</x:v>
      </x:c>
      <x:c r="AJ896" s="2" t="s">
        <x:v>2744</x:v>
      </x:c>
      <x:c r="AK896" s="2" t="s">
        <x:v>460</x:v>
      </x:c>
      <x:c r="AL896" s="2" t="s">
        <x:v>1550</x:v>
      </x:c>
      <x:c r="AM896" s="2">
        <x:v>126</x:v>
      </x:c>
      <x:c r="AN896" s="2">
        <x:v>126</x:v>
      </x:c>
    </x:row>
    <x:row r="897" ht="52">
      <x:c r="A897" s="2" t="s">
        <x:v>6</x:v>
      </x:c>
      <x:c r="B897" s="2" t="s">
        <x:v>18</x:v>
      </x:c>
      <x:c r="C897" s="3">
        <x:v>125</x:v>
      </x:c>
      <x:c r="D897" s="2" t="s">
        <x:v>472</x:v>
      </x:c>
      <x:c r="E897" s="2" t="s">
        <x:v>2775</x:v>
      </x:c>
      <x:c r="F897" s="2" t="s">
        <x:v>474</x:v>
      </x:c>
      <x:c r="G897" s="2"/>
      <x:c r="H897" s="2" t="s">
        <x:v>2735</x:v>
      </x:c>
      <x:c r="I897" s="2" t="s">
        <x:v>2776</x:v>
      </x:c>
      <x:c r="J897" s="2" t="s">
        <x:v>477</x:v>
      </x:c>
      <x:c r="K897" s="2" t="n">
        <x:v>124</x:v>
      </x:c>
      <x:c r="L897" s="2" t="s">
        <x:v>2778</x:v>
      </x:c>
      <x:c r="M897" s="2"/>
      <x:c r="N897" s="2"/>
      <x:c r="O897" s="2" t="s">
        <x:v>2737</x:v>
      </x:c>
      <x:c r="P897" s="2" t="s">
        <x:v>2758</x:v>
      </x:c>
      <x:c r="Q897" s="2"/>
      <x:c r="R897" s="3">
        <x:v>3</x:v>
      </x:c>
      <x:c r="S897" s="3"/>
      <x:c r="T897" s="2"/>
      <x:c r="U897" s="2"/>
      <x:c r="V897" s="2"/>
      <x:c r="W897" s="2"/>
      <x:c r="X897" s="3"/>
      <x:c r="Y897" s="3"/>
      <x:c r="Z897" s="2"/>
      <x:c r="AA897" s="2"/>
      <x:c r="AB897" s="2"/>
      <x:c r="AC897" s="2"/>
      <x:c r="AD897" s="2" t="s">
        <x:v>480</x:v>
      </x:c>
      <x:c r="AE897" s="2"/>
      <x:c r="AF897" s="2"/>
      <x:c r="AG897" s="2"/>
      <x:c r="AH897" s="2" t="s">
        <x:v>470</x:v>
      </x:c>
      <x:c r="AI897" s="4">
        <x:v>12</x:v>
      </x:c>
      <x:c r="AJ897" s="2" t="s">
        <x:v>2739</x:v>
      </x:c>
      <x:c r="AK897" s="2" t="s">
        <x:v>460</x:v>
      </x:c>
      <x:c r="AL897" s="2" t="s">
        <x:v>1550</x:v>
      </x:c>
      <x:c r="AM897" s="2">
        <x:v>127</x:v>
      </x:c>
      <x:c r="AN897" s="2">
        <x:v>127</x:v>
      </x:c>
    </x:row>
    <x:row r="898" ht="52">
      <x:c r="A898" s="2" t="s">
        <x:v>6</x:v>
      </x:c>
      <x:c r="B898" s="2" t="s">
        <x:v>18</x:v>
      </x:c>
      <x:c r="C898" s="3">
        <x:v>126</x:v>
      </x:c>
      <x:c r="D898" s="2" t="s">
        <x:v>482</x:v>
      </x:c>
      <x:c r="E898" s="2" t="s">
        <x:v>2779</x:v>
      </x:c>
      <x:c r="F898" s="2" t="s">
        <x:v>2727</x:v>
      </x:c>
      <x:c r="G898" s="2"/>
      <x:c r="H898" s="2" t="s">
        <x:v>2729</x:v>
      </x:c>
      <x:c r="I898" s="2" t="s">
        <x:v>2780</x:v>
      </x:c>
      <x:c r="J898" s="2" t="s">
        <x:v>477</x:v>
      </x:c>
      <x:c r="K898" s="2"/>
      <x:c r="L898" s="2" t="s">
        <x:v>2781</x:v>
      </x:c>
      <x:c r="M898" s="2"/>
      <x:c r="N898" s="2"/>
      <x:c r="O898" s="2" t="s">
        <x:v>2732</x:v>
      </x:c>
      <x:c r="P898" s="2" t="s">
        <x:v>2733</x:v>
      </x:c>
      <x:c r="Q898" s="2"/>
      <x:c r="R898" s="3">
        <x:v>2</x:v>
      </x:c>
      <x:c r="S898" s="3"/>
      <x:c r="T898" s="2"/>
      <x:c r="U898" s="2"/>
      <x:c r="V898" s="2"/>
      <x:c r="W898" s="2"/>
      <x:c r="X898" s="3"/>
      <x:c r="Y898" s="3"/>
      <x:c r="Z898" s="2"/>
      <x:c r="AA898" s="2"/>
      <x:c r="AB898" s="2"/>
      <x:c r="AC898" s="2"/>
      <x:c r="AD898" s="2" t="s">
        <x:v>237</x:v>
      </x:c>
      <x:c r="AE898" s="2"/>
      <x:c r="AF898" s="2"/>
      <x:c r="AG898" s="2"/>
      <x:c r="AH898" s="2" t="s">
        <x:v>458</x:v>
      </x:c>
      <x:c r="AI898" s="4">
        <x:v>12</x:v>
      </x:c>
      <x:c r="AJ898" s="2" t="s">
        <x:v>2734</x:v>
      </x:c>
      <x:c r="AK898" s="2" t="s">
        <x:v>460</x:v>
      </x:c>
      <x:c r="AL898" s="2" t="s">
        <x:v>1550</x:v>
      </x:c>
      <x:c r="AM898" s="2">
        <x:v>128</x:v>
      </x:c>
      <x:c r="AN898" s="2">
        <x:v>128</x:v>
      </x:c>
    </x:row>
    <x:row r="899" ht="52">
      <x:c r="A899" s="2" t="s">
        <x:v>6</x:v>
      </x:c>
      <x:c r="B899" s="2" t="s">
        <x:v>18</x:v>
      </x:c>
      <x:c r="C899" s="3">
        <x:v>127</x:v>
      </x:c>
      <x:c r="D899" s="2" t="s">
        <x:v>449</x:v>
      </x:c>
      <x:c r="E899" s="2" t="s">
        <x:v>2779</x:v>
      </x:c>
      <x:c r="F899" s="2" t="s">
        <x:v>451</x:v>
      </x:c>
      <x:c r="G899" s="2"/>
      <x:c r="H899" s="2" t="s">
        <x:v>2735</x:v>
      </x:c>
      <x:c r="I899" s="2" t="s">
        <x:v>2780</x:v>
      </x:c>
      <x:c r="J899" s="2" t="s">
        <x:v>454</x:v>
      </x:c>
      <x:c r="K899" s="2" t="n">
        <x:v>126</x:v>
      </x:c>
      <x:c r="L899" s="2" t="s">
        <x:v>2782</x:v>
      </x:c>
      <x:c r="M899" s="2"/>
      <x:c r="N899" s="2"/>
      <x:c r="O899" s="2" t="s">
        <x:v>2737</x:v>
      </x:c>
      <x:c r="P899" s="2" t="s">
        <x:v>2738</x:v>
      </x:c>
      <x:c r="Q899" s="2"/>
      <x:c r="R899" s="3">
        <x:v>2</x:v>
      </x:c>
      <x:c r="S899" s="3"/>
      <x:c r="T899" s="2"/>
      <x:c r="U899" s="2"/>
      <x:c r="V899" s="2"/>
      <x:c r="W899" s="2"/>
      <x:c r="X899" s="3"/>
      <x:c r="Y899" s="3"/>
      <x:c r="Z899" s="2"/>
      <x:c r="AA899" s="2"/>
      <x:c r="AB899" s="2"/>
      <x:c r="AC899" s="2"/>
      <x:c r="AD899" s="2" t="s">
        <x:v>431</x:v>
      </x:c>
      <x:c r="AE899" s="2"/>
      <x:c r="AF899" s="2"/>
      <x:c r="AG899" s="2"/>
      <x:c r="AH899" s="2" t="s">
        <x:v>470</x:v>
      </x:c>
      <x:c r="AI899" s="4">
        <x:v>12</x:v>
      </x:c>
      <x:c r="AJ899" s="2" t="s">
        <x:v>2739</x:v>
      </x:c>
      <x:c r="AK899" s="2" t="s">
        <x:v>460</x:v>
      </x:c>
      <x:c r="AL899" s="2" t="s">
        <x:v>1550</x:v>
      </x:c>
      <x:c r="AM899" s="2">
        <x:v>129</x:v>
      </x:c>
      <x:c r="AN899" s="2">
        <x:v>129</x:v>
      </x:c>
    </x:row>
    <x:row r="900" ht="52">
      <x:c r="A900" s="2" t="s">
        <x:v>6</x:v>
      </x:c>
      <x:c r="B900" s="2" t="s">
        <x:v>18</x:v>
      </x:c>
      <x:c r="C900" s="3">
        <x:v>128</x:v>
      </x:c>
      <x:c r="D900" s="2" t="s">
        <x:v>516</x:v>
      </x:c>
      <x:c r="E900" s="2" t="s">
        <x:v>2783</x:v>
      </x:c>
      <x:c r="F900" s="2" t="s">
        <x:v>2727</x:v>
      </x:c>
      <x:c r="G900" s="2"/>
      <x:c r="H900" s="2" t="s">
        <x:v>2729</x:v>
      </x:c>
      <x:c r="I900" s="2" t="s">
        <x:v>2784</x:v>
      </x:c>
      <x:c r="J900" s="2" t="s">
        <x:v>454</x:v>
      </x:c>
      <x:c r="K900" s="2"/>
      <x:c r="L900" s="2" t="s">
        <x:v>2785</x:v>
      </x:c>
      <x:c r="M900" s="2"/>
      <x:c r="N900" s="2"/>
      <x:c r="O900" s="2" t="s">
        <x:v>2732</x:v>
      </x:c>
      <x:c r="P900" s="2" t="s">
        <x:v>2743</x:v>
      </x:c>
      <x:c r="Q900" s="2"/>
      <x:c r="R900" s="3">
        <x:v>3</x:v>
      </x:c>
      <x:c r="S900" s="3"/>
      <x:c r="T900" s="2"/>
      <x:c r="U900" s="2"/>
      <x:c r="V900" s="2"/>
      <x:c r="W900" s="2"/>
      <x:c r="X900" s="3"/>
      <x:c r="Y900" s="3"/>
      <x:c r="Z900" s="2"/>
      <x:c r="AA900" s="2"/>
      <x:c r="AB900" s="2"/>
      <x:c r="AC900" s="2"/>
      <x:c r="AD900" s="2" t="s">
        <x:v>237</x:v>
      </x:c>
      <x:c r="AE900" s="2"/>
      <x:c r="AF900" s="2"/>
      <x:c r="AG900" s="2"/>
      <x:c r="AH900" s="2" t="s">
        <x:v>470</x:v>
      </x:c>
      <x:c r="AI900" s="4">
        <x:v>16</x:v>
      </x:c>
      <x:c r="AJ900" s="2" t="s">
        <x:v>2744</x:v>
      </x:c>
      <x:c r="AK900" s="2" t="s">
        <x:v>460</x:v>
      </x:c>
      <x:c r="AL900" s="2" t="s">
        <x:v>1550</x:v>
      </x:c>
      <x:c r="AM900" s="2">
        <x:v>130</x:v>
      </x:c>
      <x:c r="AN900" s="2">
        <x:v>130</x:v>
      </x:c>
    </x:row>
    <x:row r="901" ht="52">
      <x:c r="A901" s="2" t="s">
        <x:v>6</x:v>
      </x:c>
      <x:c r="B901" s="2" t="s">
        <x:v>18</x:v>
      </x:c>
      <x:c r="C901" s="3">
        <x:v>129</x:v>
      </x:c>
      <x:c r="D901" s="2" t="s">
        <x:v>505</x:v>
      </x:c>
      <x:c r="E901" s="2" t="s">
        <x:v>2783</x:v>
      </x:c>
      <x:c r="F901" s="2" t="s">
        <x:v>484</x:v>
      </x:c>
      <x:c r="G901" s="2"/>
      <x:c r="H901" s="2" t="s">
        <x:v>2735</x:v>
      </x:c>
      <x:c r="I901" s="2" t="s">
        <x:v>2784</x:v>
      </x:c>
      <x:c r="J901" s="2" t="s">
        <x:v>477</x:v>
      </x:c>
      <x:c r="K901" s="2" t="n">
        <x:v>128</x:v>
      </x:c>
      <x:c r="L901" s="2" t="s">
        <x:v>2786</x:v>
      </x:c>
      <x:c r="M901" s="2"/>
      <x:c r="N901" s="2"/>
      <x:c r="O901" s="2" t="s">
        <x:v>2737</x:v>
      </x:c>
      <x:c r="P901" s="2" t="s">
        <x:v>2747</x:v>
      </x:c>
      <x:c r="Q901" s="2"/>
      <x:c r="R901" s="3">
        <x:v>3</x:v>
      </x:c>
      <x:c r="S901" s="3"/>
      <x:c r="T901" s="2"/>
      <x:c r="U901" s="2"/>
      <x:c r="V901" s="2"/>
      <x:c r="W901" s="2"/>
      <x:c r="X901" s="3"/>
      <x:c r="Y901" s="3"/>
      <x:c r="Z901" s="2"/>
      <x:c r="AA901" s="2"/>
      <x:c r="AB901" s="2"/>
      <x:c r="AC901" s="2"/>
      <x:c r="AD901" s="2" t="s">
        <x:v>410</x:v>
      </x:c>
      <x:c r="AE901" s="2"/>
      <x:c r="AF901" s="2"/>
      <x:c r="AG901" s="2"/>
      <x:c r="AH901" s="2" t="s">
        <x:v>458</x:v>
      </x:c>
      <x:c r="AI901" s="4">
        <x:v>16</x:v>
      </x:c>
      <x:c r="AJ901" s="2" t="s">
        <x:v>2739</x:v>
      </x:c>
      <x:c r="AK901" s="2" t="s">
        <x:v>460</x:v>
      </x:c>
      <x:c r="AL901" s="2" t="s">
        <x:v>1550</x:v>
      </x:c>
      <x:c r="AM901" s="2">
        <x:v>131</x:v>
      </x:c>
      <x:c r="AN901" s="2">
        <x:v>131</x:v>
      </x:c>
    </x:row>
  </x:sheetData>
  <x:conditionalFormatting sqref="A2:A901">
    <x:cfRule type="containsText" dxfId="9" priority="1" operator="containsText" text="Success"/>
    <x:cfRule type="containsText" dxfId="8" priority="2" operator="containsText" text="Failure"/>
  </x:conditionalFormatting>
  <x:dataValidations count="1">
    <x:dataValidation type="list" sqref="A2:A901">
      <x:formula1>"Success,Failure"</x:formula1>
    </x:dataValidation>
  </x:dataValidations>
  <x:pageMargins left="0.7" right="0.7" top="0.75" bottom="0.75" header="0.3" footer="0.3"/>
  <x:tableParts count="1">
    <x:tablePart xmlns:r="http://schemas.openxmlformats.org/officeDocument/2006/relationships" r:id="Re4856a569cb64658"/>
  </x:tableParts>
</x:worksheet>
</file>

<file path=xl/worksheets/sheet5.xml><?xml version="1.0" encoding="utf-8"?>
<x:worksheet xmlns:x="http://schemas.openxmlformats.org/spreadsheetml/2006/main">
  <x:sheetViews>
    <x:sheetView showGridLines="0" workbookViewId="0"/>
  </x:sheetViews>
  <x:sheetFormatPr baseColWidth="10" defaultColWidth="8.83203125" defaultRowHeight="14"/>
  <x:cols>
    <x:col min="1" max="1" width="12" customWidth="1"/>
    <x:col min="2" max="2" width="27" customWidth="1"/>
    <x:col min="3" max="3" width="9" customWidth="1"/>
    <x:col min="4" max="4" width="44" customWidth="1"/>
    <x:col min="5" max="5" width="54" customWidth="1"/>
    <x:col min="6" max="7" width="34" customWidth="1"/>
    <x:col min="8" max="8" width="38" customWidth="1"/>
    <x:col min="9" max="9" width="20" customWidth="1"/>
    <x:col min="10" max="10" width="34" customWidth="1"/>
    <x:col min="11" max="11" width="16" customWidth="1"/>
    <x:col min="12" max="12" width="20" customWidth="1"/>
    <x:col min="13" max="13" width="42" customWidth="1"/>
    <x:col min="14" max="14" width="16" customWidth="1"/>
    <x:col min="15" max="15" width="38" customWidth="1"/>
    <x:col min="16" max="16" width="44" customWidth="1"/>
    <x:col min="17" max="17" width="24" customWidth="1"/>
    <x:col min="18" max="18" width="13" customWidth="1"/>
    <x:col min="19" max="19" width="15" customWidth="1"/>
    <x:col min="20" max="21" width="14" customWidth="1"/>
    <x:col min="22" max="22" width="18" customWidth="1"/>
    <x:col min="23" max="23" width="20" customWidth="1"/>
    <x:col min="24" max="24" width="15" customWidth="1"/>
    <x:col min="25" max="25" width="12" customWidth="1"/>
    <x:col min="26" max="26" width="18" customWidth="1"/>
    <x:col min="27" max="27" width="14" customWidth="1"/>
    <x:col min="28" max="28" width="18" customWidth="1"/>
    <x:col min="29" max="29" width="16" customWidth="1"/>
    <x:col min="30" max="31" width="20" customWidth="1"/>
    <x:col min="32" max="32" width="18" customWidth="1"/>
    <x:col min="33" max="33" width="20" customWidth="1"/>
    <x:col min="34" max="34" width="14" customWidth="1"/>
    <x:col min="35" max="35" width="15" customWidth="1"/>
    <x:col min="36" max="36" width="28" customWidth="1"/>
    <x:col min="37" max="37" width="32" customWidth="1"/>
    <x:col min="38" max="38" width="28" customWidth="1"/>
    <x:col min="39" max="39" width="16" customWidth="1"/>
    <x:col min="40" max="40" width="15" customWidth="1"/>
  </x:cols>
  <x:sheetData>
    <x:row r="1" ht="36" customHeight="1">
      <x:c r="A1" s="1" t="s">
        <x:v>53</x:v>
      </x:c>
      <x:c r="B1" s="1" t="s">
        <x:v>12</x:v>
      </x:c>
      <x:c r="C1" s="1" t="s">
        <x:v>54</x:v>
      </x:c>
      <x:c r="D1" s="1" t="s">
        <x:v>55</x:v>
      </x:c>
      <x:c r="E1" s="1" t="s">
        <x:v>27</x:v>
      </x:c>
      <x:c r="F1" s="1" t="s">
        <x:v>56</x:v>
      </x:c>
      <x:c r="G1" s="1" t="s">
        <x:v>57</x:v>
      </x:c>
      <x:c r="H1" s="1" t="s">
        <x:v>58</x:v>
      </x:c>
      <x:c r="I1" s="1" t="s">
        <x:v>59</x:v>
      </x:c>
      <x:c r="J1" s="1" t="s">
        <x:v>60</x:v>
      </x:c>
      <x:c r="K1" s="1" t="s">
        <x:v>61</x:v>
      </x:c>
      <x:c r="L1" s="1" t="s">
        <x:v>62</x:v>
      </x:c>
      <x:c r="M1" s="1" t="s">
        <x:v>63</x:v>
      </x:c>
      <x:c r="N1" s="1" t="s">
        <x:v>64</x:v>
      </x:c>
      <x:c r="O1" s="1" t="s">
        <x:v>65</x:v>
      </x:c>
      <x:c r="P1" s="1" t="s">
        <x:v>66</x:v>
      </x:c>
      <x:c r="Q1" s="1" t="s">
        <x:v>67</x:v>
      </x:c>
      <x:c r="R1" s="1" t="s">
        <x:v>68</x:v>
      </x:c>
      <x:c r="S1" s="1" t="s">
        <x:v>69</x:v>
      </x:c>
      <x:c r="T1" s="1" t="s">
        <x:v>70</x:v>
      </x:c>
      <x:c r="U1" s="1" t="s">
        <x:v>71</x:v>
      </x:c>
      <x:c r="V1" s="1" t="s">
        <x:v>72</x:v>
      </x:c>
      <x:c r="W1" s="1" t="s">
        <x:v>73</x:v>
      </x:c>
      <x:c r="X1" s="1" t="s">
        <x:v>74</x:v>
      </x:c>
      <x:c r="Y1" s="1" t="s">
        <x:v>75</x:v>
      </x:c>
      <x:c r="Z1" s="1" t="s">
        <x:v>76</x:v>
      </x:c>
      <x:c r="AA1" s="1" t="s">
        <x:v>77</x:v>
      </x:c>
      <x:c r="AB1" s="1" t="s">
        <x:v>78</x:v>
      </x:c>
      <x:c r="AC1" s="1" t="s">
        <x:v>79</x:v>
      </x:c>
      <x:c r="AD1" s="1" t="s">
        <x:v>80</x:v>
      </x:c>
      <x:c r="AE1" s="1" t="s">
        <x:v>81</x:v>
      </x:c>
      <x:c r="AF1" s="1" t="s">
        <x:v>82</x:v>
      </x:c>
      <x:c r="AG1" s="1" t="s">
        <x:v>83</x:v>
      </x:c>
      <x:c r="AH1" s="1" t="s">
        <x:v>84</x:v>
      </x:c>
      <x:c r="AI1" s="1" t="s">
        <x:v>85</x:v>
      </x:c>
      <x:c r="AJ1" s="1" t="s">
        <x:v>86</x:v>
      </x:c>
      <x:c r="AK1" s="1" t="s">
        <x:v>87</x:v>
      </x:c>
      <x:c r="AL1" s="1" t="s">
        <x:v>88</x:v>
      </x:c>
      <x:c r="AM1" s="1" t="s">
        <x:v>89</x:v>
      </x:c>
      <x:c r="AN1" s="1" t="s">
        <x:v>90</x:v>
      </x:c>
    </x:row>
    <x:row r="2" ht="65">
      <x:c r="A2" s="2" t="s">
        <x:v>91</x:v>
      </x:c>
      <x:c r="B2" s="2" t="s">
        <x:v>13</x:v>
      </x:c>
      <x:c r="C2" s="3">
        <x:v>0</x:v>
      </x:c>
      <x:c r="D2" s="2" t="s">
        <x:v>92</x:v>
      </x:c>
      <x:c r="E2" s="2" t="s">
        <x:v>93</x:v>
      </x:c>
      <x:c r="F2" s="2" t="s">
        <x:v>94</x:v>
      </x:c>
      <x:c r="G2" s="2" t="s">
        <x:v>2787</x:v>
      </x:c>
      <x:c r="H2" s="2" t="s">
        <x:v>96</x:v>
      </x:c>
      <x:c r="I2" s="2" t="s">
        <x:v>97</x:v>
      </x:c>
      <x:c r="J2" s="2" t="s">
        <x:v>98</x:v>
      </x:c>
      <x:c r="K2" s="2"/>
      <x:c r="L2" s="2" t="s">
        <x:v>99</x:v>
      </x:c>
      <x:c r="M2" s="2" t="s">
        <x:v>100</x:v>
      </x:c>
      <x:c r="N2" s="2">
        <x:v>1</x:v>
      </x:c>
      <x:c r="O2" s="2" t="s">
        <x:v>101</x:v>
      </x:c>
      <x:c r="P2" s="2" t="s">
        <x:v>102</x:v>
      </x:c>
      <x:c r="Q2" s="2"/>
      <x:c r="R2" s="3">
        <x:v>4</x:v>
      </x:c>
      <x:c r="S2" s="3">
        <x:v>1</x:v>
      </x:c>
      <x:c r="T2" s="2" t="s">
        <x:v>103</x:v>
      </x:c>
      <x:c r="U2" s="2" t="s">
        <x:v>104</x:v>
      </x:c>
      <x:c r="V2" s="2" t="s">
        <x:v>105</x:v>
      </x:c>
      <x:c r="W2" s="2"/>
      <x:c r="X2" s="3"/>
      <x:c r="Y2" s="3"/>
      <x:c r="Z2" s="2"/>
      <x:c r="AA2" s="2"/>
      <x:c r="AB2" s="2"/>
      <x:c r="AC2" s="2"/>
      <x:c r="AD2" s="2"/>
      <x:c r="AE2" s="2"/>
      <x:c r="AF2" s="2"/>
      <x:c r="AG2" s="2"/>
      <x:c r="AH2" s="2"/>
      <x:c r="AI2" s="4"/>
      <x:c r="AJ2" s="2"/>
      <x:c r="AK2" s="2" t="s">
        <x:v>106</x:v>
      </x:c>
      <x:c r="AL2" s="2" t="s">
        <x:v>2788</x:v>
      </x:c>
      <x:c r="AM2" s="2">
        <x:v>2</x:v>
      </x:c>
      <x:c r="AN2" s="2">
        <x:v>2</x:v>
      </x:c>
    </x:row>
    <x:row r="3" ht="39">
      <x:c r="A3" s="2" t="s">
        <x:v>91</x:v>
      </x:c>
      <x:c r="B3" s="2" t="s">
        <x:v>13</x:v>
      </x:c>
      <x:c r="C3" s="3">
        <x:v>1</x:v>
      </x:c>
      <x:c r="D3" s="2" t="s">
        <x:v>108</x:v>
      </x:c>
      <x:c r="E3" s="2" t="s">
        <x:v>109</x:v>
      </x:c>
      <x:c r="F3" s="2" t="s">
        <x:v>94</x:v>
      </x:c>
      <x:c r="G3" s="2" t="s">
        <x:v>572</x:v>
      </x:c>
      <x:c r="H3" s="2" t="s">
        <x:v>96</x:v>
      </x:c>
      <x:c r="I3" s="2" t="s">
        <x:v>111</x:v>
      </x:c>
      <x:c r="J3" s="2" t="s">
        <x:v>98</x:v>
      </x:c>
      <x:c r="K3" s="2"/>
      <x:c r="L3" s="2" t="s">
        <x:v>112</x:v>
      </x:c>
      <x:c r="M3" s="2" t="s">
        <x:v>113</x:v>
      </x:c>
      <x:c r="N3" s="2">
        <x:v>1</x:v>
      </x:c>
      <x:c r="O3" s="2" t="s">
        <x:v>101</x:v>
      </x:c>
      <x:c r="P3" s="2" t="s">
        <x:v>114</x:v>
      </x:c>
      <x:c r="Q3" s="2"/>
      <x:c r="R3" s="3">
        <x:v>2</x:v>
      </x:c>
      <x:c r="S3" s="3">
        <x:v>1</x:v>
      </x:c>
      <x:c r="T3" s="2" t="s">
        <x:v>103</x:v>
      </x:c>
      <x:c r="U3" s="2" t="s">
        <x:v>115</x:v>
      </x:c>
      <x:c r="V3" s="2" t="s">
        <x:v>105</x:v>
      </x:c>
      <x:c r="W3" s="2"/>
      <x:c r="X3" s="3"/>
      <x:c r="Y3" s="3"/>
      <x:c r="Z3" s="2"/>
      <x:c r="AA3" s="2"/>
      <x:c r="AB3" s="2"/>
      <x:c r="AC3" s="2"/>
      <x:c r="AD3" s="2"/>
      <x:c r="AE3" s="2"/>
      <x:c r="AF3" s="2"/>
      <x:c r="AG3" s="2"/>
      <x:c r="AH3" s="2"/>
      <x:c r="AI3" s="4"/>
      <x:c r="AJ3" s="2"/>
      <x:c r="AK3" s="2" t="s">
        <x:v>106</x:v>
      </x:c>
      <x:c r="AL3" s="2" t="s">
        <x:v>2788</x:v>
      </x:c>
      <x:c r="AM3" s="2">
        <x:v>3</x:v>
      </x:c>
      <x:c r="AN3" s="2">
        <x:v>3</x:v>
      </x:c>
    </x:row>
    <x:row r="4" ht="65">
      <x:c r="A4" s="2" t="s">
        <x:v>91</x:v>
      </x:c>
      <x:c r="B4" s="2" t="s">
        <x:v>13</x:v>
      </x:c>
      <x:c r="C4" s="3">
        <x:v>2</x:v>
      </x:c>
      <x:c r="D4" s="2" t="s">
        <x:v>116</x:v>
      </x:c>
      <x:c r="E4" s="2" t="s">
        <x:v>117</x:v>
      </x:c>
      <x:c r="F4" s="2" t="s">
        <x:v>118</x:v>
      </x:c>
      <x:c r="G4" s="2" t="s">
        <x:v>2789</x:v>
      </x:c>
      <x:c r="H4" s="2" t="s">
        <x:v>96</x:v>
      </x:c>
      <x:c r="I4" s="2" t="s">
        <x:v>120</x:v>
      </x:c>
      <x:c r="J4" s="2" t="s">
        <x:v>98</x:v>
      </x:c>
      <x:c r="K4" s="2"/>
      <x:c r="L4" s="2" t="s">
        <x:v>121</x:v>
      </x:c>
      <x:c r="M4" s="2" t="s">
        <x:v>100</x:v>
      </x:c>
      <x:c r="N4" s="2">
        <x:v>1</x:v>
      </x:c>
      <x:c r="O4" s="2" t="s">
        <x:v>101</x:v>
      </x:c>
      <x:c r="P4" s="2" t="s">
        <x:v>102</x:v>
      </x:c>
      <x:c r="Q4" s="2"/>
      <x:c r="R4" s="3">
        <x:v>3</x:v>
      </x:c>
      <x:c r="S4" s="3">
        <x:v>1</x:v>
      </x:c>
      <x:c r="T4" s="2" t="s">
        <x:v>103</x:v>
      </x:c>
      <x:c r="U4" s="2" t="s">
        <x:v>122</x:v>
      </x:c>
      <x:c r="V4" s="2" t="s">
        <x:v>123</x:v>
      </x:c>
      <x:c r="W4" s="2"/>
      <x:c r="X4" s="3"/>
      <x:c r="Y4" s="3"/>
      <x:c r="Z4" s="2"/>
      <x:c r="AA4" s="2"/>
      <x:c r="AB4" s="2"/>
      <x:c r="AC4" s="2"/>
      <x:c r="AD4" s="2"/>
      <x:c r="AE4" s="2"/>
      <x:c r="AF4" s="2"/>
      <x:c r="AG4" s="2"/>
      <x:c r="AH4" s="2"/>
      <x:c r="AI4" s="4"/>
      <x:c r="AJ4" s="2"/>
      <x:c r="AK4" s="2" t="s">
        <x:v>106</x:v>
      </x:c>
      <x:c r="AL4" s="2" t="s">
        <x:v>2788</x:v>
      </x:c>
      <x:c r="AM4" s="2">
        <x:v>4</x:v>
      </x:c>
      <x:c r="AN4" s="2">
        <x:v>4</x:v>
      </x:c>
    </x:row>
    <x:row r="5" ht="39">
      <x:c r="A5" s="2" t="s">
        <x:v>91</x:v>
      </x:c>
      <x:c r="B5" s="2" t="s">
        <x:v>13</x:v>
      </x:c>
      <x:c r="C5" s="3">
        <x:v>3</x:v>
      </x:c>
      <x:c r="D5" s="2" t="s">
        <x:v>124</x:v>
      </x:c>
      <x:c r="E5" s="2" t="s">
        <x:v>125</x:v>
      </x:c>
      <x:c r="F5" s="2" t="s">
        <x:v>118</x:v>
      </x:c>
      <x:c r="G5" s="2" t="s">
        <x:v>2790</x:v>
      </x:c>
      <x:c r="H5" s="2" t="s">
        <x:v>96</x:v>
      </x:c>
      <x:c r="I5" s="2" t="s">
        <x:v>127</x:v>
      </x:c>
      <x:c r="J5" s="2" t="s">
        <x:v>98</x:v>
      </x:c>
      <x:c r="K5" s="2"/>
      <x:c r="L5" s="2" t="s">
        <x:v>128</x:v>
      </x:c>
      <x:c r="M5" s="2" t="s">
        <x:v>113</x:v>
      </x:c>
      <x:c r="N5" s="2">
        <x:v>1</x:v>
      </x:c>
      <x:c r="O5" s="2" t="s">
        <x:v>101</x:v>
      </x:c>
      <x:c r="P5" s="2" t="s">
        <x:v>114</x:v>
      </x:c>
      <x:c r="Q5" s="2"/>
      <x:c r="R5" s="3">
        <x:v>4</x:v>
      </x:c>
      <x:c r="S5" s="3">
        <x:v>1</x:v>
      </x:c>
      <x:c r="T5" s="2" t="s">
        <x:v>103</x:v>
      </x:c>
      <x:c r="U5" s="2" t="s">
        <x:v>129</x:v>
      </x:c>
      <x:c r="V5" s="2" t="s">
        <x:v>123</x:v>
      </x:c>
      <x:c r="W5" s="2"/>
      <x:c r="X5" s="3"/>
      <x:c r="Y5" s="3"/>
      <x:c r="Z5" s="2"/>
      <x:c r="AA5" s="2"/>
      <x:c r="AB5" s="2"/>
      <x:c r="AC5" s="2"/>
      <x:c r="AD5" s="2"/>
      <x:c r="AE5" s="2"/>
      <x:c r="AF5" s="2"/>
      <x:c r="AG5" s="2"/>
      <x:c r="AH5" s="2"/>
      <x:c r="AI5" s="4"/>
      <x:c r="AJ5" s="2"/>
      <x:c r="AK5" s="2" t="s">
        <x:v>106</x:v>
      </x:c>
      <x:c r="AL5" s="2" t="s">
        <x:v>2788</x:v>
      </x:c>
      <x:c r="AM5" s="2">
        <x:v>5</x:v>
      </x:c>
      <x:c r="AN5" s="2">
        <x:v>5</x:v>
      </x:c>
    </x:row>
    <x:row r="6" ht="65">
      <x:c r="A6" s="2" t="s">
        <x:v>6</x:v>
      </x:c>
      <x:c r="B6" s="2" t="s">
        <x:v>13</x:v>
      </x:c>
      <x:c r="C6" s="3">
        <x:v>4</x:v>
      </x:c>
      <x:c r="D6" s="2" t="s">
        <x:v>130</x:v>
      </x:c>
      <x:c r="E6" s="2" t="s">
        <x:v>131</x:v>
      </x:c>
      <x:c r="F6" s="2" t="s">
        <x:v>132</x:v>
      </x:c>
      <x:c r="G6" s="2"/>
      <x:c r="H6" s="2" t="s">
        <x:v>96</x:v>
      </x:c>
      <x:c r="I6" s="2" t="s">
        <x:v>134</x:v>
      </x:c>
      <x:c r="J6" s="2" t="s">
        <x:v>98</x:v>
      </x:c>
      <x:c r="K6" s="2"/>
      <x:c r="L6" s="2" t="s">
        <x:v>135</x:v>
      </x:c>
      <x:c r="M6" s="2" t="s">
        <x:v>100</x:v>
      </x:c>
      <x:c r="N6" s="2">
        <x:v>1</x:v>
      </x:c>
      <x:c r="O6" s="2" t="s">
        <x:v>101</x:v>
      </x:c>
      <x:c r="P6" s="2" t="s">
        <x:v>102</x:v>
      </x:c>
      <x:c r="Q6" s="2"/>
      <x:c r="R6" s="3">
        <x:v>3</x:v>
      </x:c>
      <x:c r="S6" s="3">
        <x:v>1</x:v>
      </x:c>
      <x:c r="T6" s="2" t="s">
        <x:v>103</x:v>
      </x:c>
      <x:c r="U6" s="2" t="s">
        <x:v>104</x:v>
      </x:c>
      <x:c r="V6" s="2" t="s">
        <x:v>136</x:v>
      </x:c>
      <x:c r="W6" s="2"/>
      <x:c r="X6" s="3"/>
      <x:c r="Y6" s="3"/>
      <x:c r="Z6" s="2"/>
      <x:c r="AA6" s="2"/>
      <x:c r="AB6" s="2"/>
      <x:c r="AC6" s="2"/>
      <x:c r="AD6" s="2"/>
      <x:c r="AE6" s="2"/>
      <x:c r="AF6" s="2"/>
      <x:c r="AG6" s="2"/>
      <x:c r="AH6" s="2"/>
      <x:c r="AI6" s="4"/>
      <x:c r="AJ6" s="2"/>
      <x:c r="AK6" s="2" t="s">
        <x:v>106</x:v>
      </x:c>
      <x:c r="AL6" s="2" t="s">
        <x:v>2788</x:v>
      </x:c>
      <x:c r="AM6" s="2">
        <x:v>6</x:v>
      </x:c>
      <x:c r="AN6" s="2">
        <x:v>6</x:v>
      </x:c>
    </x:row>
    <x:row r="7" ht="39">
      <x:c r="A7" s="2" t="s">
        <x:v>91</x:v>
      </x:c>
      <x:c r="B7" s="2" t="s">
        <x:v>13</x:v>
      </x:c>
      <x:c r="C7" s="3">
        <x:v>5</x:v>
      </x:c>
      <x:c r="D7" s="2" t="s">
        <x:v>137</x:v>
      </x:c>
      <x:c r="E7" s="2" t="s">
        <x:v>138</x:v>
      </x:c>
      <x:c r="F7" s="2" t="s">
        <x:v>139</x:v>
      </x:c>
      <x:c r="G7" s="2" t="s">
        <x:v>878</x:v>
      </x:c>
      <x:c r="H7" s="2" t="s">
        <x:v>96</x:v>
      </x:c>
      <x:c r="I7" s="2" t="s">
        <x:v>140</x:v>
      </x:c>
      <x:c r="J7" s="2" t="s">
        <x:v>98</x:v>
      </x:c>
      <x:c r="K7" s="2"/>
      <x:c r="L7" s="2" t="s">
        <x:v>141</x:v>
      </x:c>
      <x:c r="M7" s="2" t="s">
        <x:v>113</x:v>
      </x:c>
      <x:c r="N7" s="2">
        <x:v>1</x:v>
      </x:c>
      <x:c r="O7" s="2" t="s">
        <x:v>101</x:v>
      </x:c>
      <x:c r="P7" s="2" t="s">
        <x:v>114</x:v>
      </x:c>
      <x:c r="Q7" s="2"/>
      <x:c r="R7" s="3">
        <x:v>2</x:v>
      </x:c>
      <x:c r="S7" s="3">
        <x:v>1</x:v>
      </x:c>
      <x:c r="T7" s="2" t="s">
        <x:v>103</x:v>
      </x:c>
      <x:c r="U7" s="2" t="s">
        <x:v>129</x:v>
      </x:c>
      <x:c r="V7" s="2" t="s">
        <x:v>136</x:v>
      </x:c>
      <x:c r="W7" s="2"/>
      <x:c r="X7" s="3"/>
      <x:c r="Y7" s="3"/>
      <x:c r="Z7" s="2"/>
      <x:c r="AA7" s="2"/>
      <x:c r="AB7" s="2"/>
      <x:c r="AC7" s="2"/>
      <x:c r="AD7" s="2"/>
      <x:c r="AE7" s="2"/>
      <x:c r="AF7" s="2"/>
      <x:c r="AG7" s="2"/>
      <x:c r="AH7" s="2"/>
      <x:c r="AI7" s="4"/>
      <x:c r="AJ7" s="2"/>
      <x:c r="AK7" s="2" t="s">
        <x:v>106</x:v>
      </x:c>
      <x:c r="AL7" s="2" t="s">
        <x:v>2788</x:v>
      </x:c>
      <x:c r="AM7" s="2">
        <x:v>7</x:v>
      </x:c>
      <x:c r="AN7" s="2">
        <x:v>7</x:v>
      </x:c>
    </x:row>
    <x:row r="8" ht="39">
      <x:c r="A8" s="2" t="s">
        <x:v>6</x:v>
      </x:c>
      <x:c r="B8" s="2" t="s">
        <x:v>13</x:v>
      </x:c>
      <x:c r="C8" s="3">
        <x:v>6</x:v>
      </x:c>
      <x:c r="D8" s="2" t="s">
        <x:v>142</x:v>
      </x:c>
      <x:c r="E8" s="2" t="s">
        <x:v>143</x:v>
      </x:c>
      <x:c r="F8" s="2" t="s">
        <x:v>132</x:v>
      </x:c>
      <x:c r="G8" s="2"/>
      <x:c r="H8" s="2" t="s">
        <x:v>96</x:v>
      </x:c>
      <x:c r="I8" s="2" t="s">
        <x:v>145</x:v>
      </x:c>
      <x:c r="J8" s="2" t="s">
        <x:v>98</x:v>
      </x:c>
      <x:c r="K8" s="2"/>
      <x:c r="L8" s="2" t="s">
        <x:v>146</x:v>
      </x:c>
      <x:c r="M8" s="2" t="s">
        <x:v>113</x:v>
      </x:c>
      <x:c r="N8" s="2">
        <x:v>1</x:v>
      </x:c>
      <x:c r="O8" s="2" t="s">
        <x:v>101</x:v>
      </x:c>
      <x:c r="P8" s="2" t="s">
        <x:v>147</x:v>
      </x:c>
      <x:c r="Q8" s="2"/>
      <x:c r="R8" s="3">
        <x:v>2</x:v>
      </x:c>
      <x:c r="S8" s="3">
        <x:v>1</x:v>
      </x:c>
      <x:c r="T8" s="2" t="s">
        <x:v>103</x:v>
      </x:c>
      <x:c r="U8" s="2" t="s">
        <x:v>115</x:v>
      </x:c>
      <x:c r="V8" s="2" t="s">
        <x:v>136</x:v>
      </x:c>
      <x:c r="W8" s="2"/>
      <x:c r="X8" s="3"/>
      <x:c r="Y8" s="3"/>
      <x:c r="Z8" s="2"/>
      <x:c r="AA8" s="2"/>
      <x:c r="AB8" s="2"/>
      <x:c r="AC8" s="2"/>
      <x:c r="AD8" s="2"/>
      <x:c r="AE8" s="2"/>
      <x:c r="AF8" s="2"/>
      <x:c r="AG8" s="2"/>
      <x:c r="AH8" s="2"/>
      <x:c r="AI8" s="4"/>
      <x:c r="AJ8" s="2"/>
      <x:c r="AK8" s="2" t="s">
        <x:v>106</x:v>
      </x:c>
      <x:c r="AL8" s="2" t="s">
        <x:v>2788</x:v>
      </x:c>
      <x:c r="AM8" s="2">
        <x:v>8</x:v>
      </x:c>
      <x:c r="AN8" s="2">
        <x:v>8</x:v>
      </x:c>
    </x:row>
    <x:row r="9" ht="65">
      <x:c r="A9" s="2" t="s">
        <x:v>91</x:v>
      </x:c>
      <x:c r="B9" s="2" t="s">
        <x:v>13</x:v>
      </x:c>
      <x:c r="C9" s="3">
        <x:v>7</x:v>
      </x:c>
      <x:c r="D9" s="2" t="s">
        <x:v>148</x:v>
      </x:c>
      <x:c r="E9" s="2" t="s">
        <x:v>149</x:v>
      </x:c>
      <x:c r="F9" s="2" t="s">
        <x:v>150</x:v>
      </x:c>
      <x:c r="G9" s="2" t="s">
        <x:v>2791</x:v>
      </x:c>
      <x:c r="H9" s="2" t="s">
        <x:v>96</x:v>
      </x:c>
      <x:c r="I9" s="2" t="s">
        <x:v>152</x:v>
      </x:c>
      <x:c r="J9" s="2" t="s">
        <x:v>98</x:v>
      </x:c>
      <x:c r="K9" s="2"/>
      <x:c r="L9" s="2" t="s">
        <x:v>153</x:v>
      </x:c>
      <x:c r="M9" s="2" t="s">
        <x:v>100</x:v>
      </x:c>
      <x:c r="N9" s="2">
        <x:v>1</x:v>
      </x:c>
      <x:c r="O9" s="2" t="s">
        <x:v>101</x:v>
      </x:c>
      <x:c r="P9" s="2" t="s">
        <x:v>102</x:v>
      </x:c>
      <x:c r="Q9" s="2"/>
      <x:c r="R9" s="3">
        <x:v>3</x:v>
      </x:c>
      <x:c r="S9" s="3">
        <x:v>1</x:v>
      </x:c>
      <x:c r="T9" s="2" t="s">
        <x:v>103</x:v>
      </x:c>
      <x:c r="U9" s="2" t="s">
        <x:v>122</x:v>
      </x:c>
      <x:c r="V9" s="2" t="s">
        <x:v>154</x:v>
      </x:c>
      <x:c r="W9" s="2"/>
      <x:c r="X9" s="3"/>
      <x:c r="Y9" s="3"/>
      <x:c r="Z9" s="2"/>
      <x:c r="AA9" s="2"/>
      <x:c r="AB9" s="2"/>
      <x:c r="AC9" s="2"/>
      <x:c r="AD9" s="2"/>
      <x:c r="AE9" s="2"/>
      <x:c r="AF9" s="2"/>
      <x:c r="AG9" s="2"/>
      <x:c r="AH9" s="2"/>
      <x:c r="AI9" s="4"/>
      <x:c r="AJ9" s="2"/>
      <x:c r="AK9" s="2" t="s">
        <x:v>106</x:v>
      </x:c>
      <x:c r="AL9" s="2" t="s">
        <x:v>2788</x:v>
      </x:c>
      <x:c r="AM9" s="2">
        <x:v>9</x:v>
      </x:c>
      <x:c r="AN9" s="2">
        <x:v>9</x:v>
      </x:c>
    </x:row>
    <x:row r="10" ht="65">
      <x:c r="A10" s="2" t="s">
        <x:v>91</x:v>
      </x:c>
      <x:c r="B10" s="2" t="s">
        <x:v>13</x:v>
      </x:c>
      <x:c r="C10" s="3">
        <x:v>8</x:v>
      </x:c>
      <x:c r="D10" s="2" t="s">
        <x:v>155</x:v>
      </x:c>
      <x:c r="E10" s="2" t="s">
        <x:v>156</x:v>
      </x:c>
      <x:c r="F10" s="2" t="s">
        <x:v>157</x:v>
      </x:c>
      <x:c r="G10" s="2" t="s">
        <x:v>2792</x:v>
      </x:c>
      <x:c r="H10" s="2" t="s">
        <x:v>96</x:v>
      </x:c>
      <x:c r="I10" s="2" t="s">
        <x:v>159</x:v>
      </x:c>
      <x:c r="J10" s="2" t="s">
        <x:v>98</x:v>
      </x:c>
      <x:c r="K10" s="2"/>
      <x:c r="L10" s="2" t="s">
        <x:v>160</x:v>
      </x:c>
      <x:c r="M10" s="2" t="s">
        <x:v>100</x:v>
      </x:c>
      <x:c r="N10" s="2">
        <x:v>1</x:v>
      </x:c>
      <x:c r="O10" s="2" t="s">
        <x:v>101</x:v>
      </x:c>
      <x:c r="P10" s="2" t="s">
        <x:v>102</x:v>
      </x:c>
      <x:c r="Q10" s="2"/>
      <x:c r="R10" s="3">
        <x:v>3</x:v>
      </x:c>
      <x:c r="S10" s="3">
        <x:v>1</x:v>
      </x:c>
      <x:c r="T10" s="2" t="s">
        <x:v>103</x:v>
      </x:c>
      <x:c r="U10" s="2" t="s">
        <x:v>104</x:v>
      </x:c>
      <x:c r="V10" s="2" t="s">
        <x:v>154</x:v>
      </x:c>
      <x:c r="W10" s="2"/>
      <x:c r="X10" s="3"/>
      <x:c r="Y10" s="3"/>
      <x:c r="Z10" s="2"/>
      <x:c r="AA10" s="2"/>
      <x:c r="AB10" s="2"/>
      <x:c r="AC10" s="2"/>
      <x:c r="AD10" s="2"/>
      <x:c r="AE10" s="2"/>
      <x:c r="AF10" s="2"/>
      <x:c r="AG10" s="2"/>
      <x:c r="AH10" s="2"/>
      <x:c r="AI10" s="4"/>
      <x:c r="AJ10" s="2"/>
      <x:c r="AK10" s="2" t="s">
        <x:v>106</x:v>
      </x:c>
      <x:c r="AL10" s="2" t="s">
        <x:v>2788</x:v>
      </x:c>
      <x:c r="AM10" s="2">
        <x:v>10</x:v>
      </x:c>
      <x:c r="AN10" s="2">
        <x:v>10</x:v>
      </x:c>
    </x:row>
    <x:row r="11" ht="39">
      <x:c r="A11" s="2" t="s">
        <x:v>91</x:v>
      </x:c>
      <x:c r="B11" s="2" t="s">
        <x:v>13</x:v>
      </x:c>
      <x:c r="C11" s="3">
        <x:v>9</x:v>
      </x:c>
      <x:c r="D11" s="2" t="s">
        <x:v>161</x:v>
      </x:c>
      <x:c r="E11" s="2" t="s">
        <x:v>162</x:v>
      </x:c>
      <x:c r="F11" s="2" t="s">
        <x:v>157</x:v>
      </x:c>
      <x:c r="G11" s="2" t="s">
        <x:v>2793</x:v>
      </x:c>
      <x:c r="H11" s="2" t="s">
        <x:v>96</x:v>
      </x:c>
      <x:c r="I11" s="2" t="s">
        <x:v>164</x:v>
      </x:c>
      <x:c r="J11" s="2" t="s">
        <x:v>98</x:v>
      </x:c>
      <x:c r="K11" s="2"/>
      <x:c r="L11" s="2" t="s">
        <x:v>165</x:v>
      </x:c>
      <x:c r="M11" s="2" t="s">
        <x:v>113</x:v>
      </x:c>
      <x:c r="N11" s="2">
        <x:v>1</x:v>
      </x:c>
      <x:c r="O11" s="2" t="s">
        <x:v>101</x:v>
      </x:c>
      <x:c r="P11" s="2" t="s">
        <x:v>147</x:v>
      </x:c>
      <x:c r="Q11" s="2"/>
      <x:c r="R11" s="3">
        <x:v>2</x:v>
      </x:c>
      <x:c r="S11" s="3">
        <x:v>1</x:v>
      </x:c>
      <x:c r="T11" s="2" t="s">
        <x:v>103</x:v>
      </x:c>
      <x:c r="U11" s="2" t="s">
        <x:v>129</x:v>
      </x:c>
      <x:c r="V11" s="2" t="s">
        <x:v>154</x:v>
      </x:c>
      <x:c r="W11" s="2"/>
      <x:c r="X11" s="3"/>
      <x:c r="Y11" s="3"/>
      <x:c r="Z11" s="2"/>
      <x:c r="AA11" s="2"/>
      <x:c r="AB11" s="2"/>
      <x:c r="AC11" s="2"/>
      <x:c r="AD11" s="2"/>
      <x:c r="AE11" s="2"/>
      <x:c r="AF11" s="2"/>
      <x:c r="AG11" s="2"/>
      <x:c r="AH11" s="2"/>
      <x:c r="AI11" s="4"/>
      <x:c r="AJ11" s="2"/>
      <x:c r="AK11" s="2" t="s">
        <x:v>106</x:v>
      </x:c>
      <x:c r="AL11" s="2" t="s">
        <x:v>2788</x:v>
      </x:c>
      <x:c r="AM11" s="2">
        <x:v>11</x:v>
      </x:c>
      <x:c r="AN11" s="2">
        <x:v>11</x:v>
      </x:c>
    </x:row>
    <x:row r="12" ht="65">
      <x:c r="A12" s="2" t="s">
        <x:v>91</x:v>
      </x:c>
      <x:c r="B12" s="2" t="s">
        <x:v>13</x:v>
      </x:c>
      <x:c r="C12" s="3">
        <x:v>10</x:v>
      </x:c>
      <x:c r="D12" s="2" t="s">
        <x:v>574</x:v>
      </x:c>
      <x:c r="E12" s="2" t="s">
        <x:v>575</x:v>
      </x:c>
      <x:c r="F12" s="2" t="s">
        <x:v>576</x:v>
      </x:c>
      <x:c r="G12" s="2" t="s">
        <x:v>695</x:v>
      </x:c>
      <x:c r="H12" s="2" t="s">
        <x:v>96</x:v>
      </x:c>
      <x:c r="I12" s="2" t="s">
        <x:v>578</x:v>
      </x:c>
      <x:c r="J12" s="2" t="s">
        <x:v>98</x:v>
      </x:c>
      <x:c r="K12" s="2"/>
      <x:c r="L12" s="2" t="s">
        <x:v>579</x:v>
      </x:c>
      <x:c r="M12" s="2" t="s">
        <x:v>100</x:v>
      </x:c>
      <x:c r="N12" s="2">
        <x:v>1</x:v>
      </x:c>
      <x:c r="O12" s="2" t="s">
        <x:v>101</x:v>
      </x:c>
      <x:c r="P12" s="2" t="s">
        <x:v>102</x:v>
      </x:c>
      <x:c r="Q12" s="2"/>
      <x:c r="R12" s="3">
        <x:v>4</x:v>
      </x:c>
      <x:c r="S12" s="3">
        <x:v>1</x:v>
      </x:c>
      <x:c r="T12" s="2" t="s">
        <x:v>103</x:v>
      </x:c>
      <x:c r="U12" s="2" t="s">
        <x:v>122</x:v>
      </x:c>
      <x:c r="V12" s="2" t="s">
        <x:v>105</x:v>
      </x:c>
      <x:c r="W12" s="2"/>
      <x:c r="X12" s="3"/>
      <x:c r="Y12" s="3"/>
      <x:c r="Z12" s="2"/>
      <x:c r="AA12" s="2"/>
      <x:c r="AB12" s="2"/>
      <x:c r="AC12" s="2"/>
      <x:c r="AD12" s="2"/>
      <x:c r="AE12" s="2"/>
      <x:c r="AF12" s="2"/>
      <x:c r="AG12" s="2"/>
      <x:c r="AH12" s="2"/>
      <x:c r="AI12" s="4"/>
      <x:c r="AJ12" s="2"/>
      <x:c r="AK12" s="2" t="s">
        <x:v>106</x:v>
      </x:c>
      <x:c r="AL12" s="2" t="s">
        <x:v>2788</x:v>
      </x:c>
      <x:c r="AM12" s="2">
        <x:v>12</x:v>
      </x:c>
      <x:c r="AN12" s="2">
        <x:v>12</x:v>
      </x:c>
    </x:row>
    <x:row r="13" ht="65">
      <x:c r="A13" s="2" t="s">
        <x:v>91</x:v>
      </x:c>
      <x:c r="B13" s="2" t="s">
        <x:v>13</x:v>
      </x:c>
      <x:c r="C13" s="3">
        <x:v>11</x:v>
      </x:c>
      <x:c r="D13" s="2" t="s">
        <x:v>580</x:v>
      </x:c>
      <x:c r="E13" s="2" t="s">
        <x:v>581</x:v>
      </x:c>
      <x:c r="F13" s="2" t="s">
        <x:v>94</x:v>
      </x:c>
      <x:c r="G13" s="2" t="s">
        <x:v>793</x:v>
      </x:c>
      <x:c r="H13" s="2" t="s">
        <x:v>96</x:v>
      </x:c>
      <x:c r="I13" s="2" t="s">
        <x:v>582</x:v>
      </x:c>
      <x:c r="J13" s="2" t="s">
        <x:v>98</x:v>
      </x:c>
      <x:c r="K13" s="2"/>
      <x:c r="L13" s="2" t="s">
        <x:v>583</x:v>
      </x:c>
      <x:c r="M13" s="2" t="s">
        <x:v>100</x:v>
      </x:c>
      <x:c r="N13" s="2">
        <x:v>1</x:v>
      </x:c>
      <x:c r="O13" s="2" t="s">
        <x:v>101</x:v>
      </x:c>
      <x:c r="P13" s="2" t="s">
        <x:v>102</x:v>
      </x:c>
      <x:c r="Q13" s="2"/>
      <x:c r="R13" s="3">
        <x:v>3</x:v>
      </x:c>
      <x:c r="S13" s="3">
        <x:v>1</x:v>
      </x:c>
      <x:c r="T13" s="2" t="s">
        <x:v>103</x:v>
      </x:c>
      <x:c r="U13" s="2" t="s">
        <x:v>122</x:v>
      </x:c>
      <x:c r="V13" s="2" t="s">
        <x:v>105</x:v>
      </x:c>
      <x:c r="W13" s="2"/>
      <x:c r="X13" s="3"/>
      <x:c r="Y13" s="3"/>
      <x:c r="Z13" s="2"/>
      <x:c r="AA13" s="2"/>
      <x:c r="AB13" s="2"/>
      <x:c r="AC13" s="2"/>
      <x:c r="AD13" s="2"/>
      <x:c r="AE13" s="2"/>
      <x:c r="AF13" s="2"/>
      <x:c r="AG13" s="2"/>
      <x:c r="AH13" s="2"/>
      <x:c r="AI13" s="4"/>
      <x:c r="AJ13" s="2"/>
      <x:c r="AK13" s="2" t="s">
        <x:v>106</x:v>
      </x:c>
      <x:c r="AL13" s="2" t="s">
        <x:v>2788</x:v>
      </x:c>
      <x:c r="AM13" s="2">
        <x:v>13</x:v>
      </x:c>
      <x:c r="AN13" s="2">
        <x:v>13</x:v>
      </x:c>
    </x:row>
    <x:row r="14" ht="65">
      <x:c r="A14" s="2" t="s">
        <x:v>6</x:v>
      </x:c>
      <x:c r="B14" s="2" t="s">
        <x:v>13</x:v>
      </x:c>
      <x:c r="C14" s="3">
        <x:v>12</x:v>
      </x:c>
      <x:c r="D14" s="2" t="s">
        <x:v>92</x:v>
      </x:c>
      <x:c r="E14" s="2" t="s">
        <x:v>584</x:v>
      </x:c>
      <x:c r="F14" s="2" t="s">
        <x:v>576</x:v>
      </x:c>
      <x:c r="G14" s="2"/>
      <x:c r="H14" s="2" t="s">
        <x:v>96</x:v>
      </x:c>
      <x:c r="I14" s="2" t="s">
        <x:v>585</x:v>
      </x:c>
      <x:c r="J14" s="2" t="s">
        <x:v>98</x:v>
      </x:c>
      <x:c r="K14" s="2"/>
      <x:c r="L14" s="2" t="s">
        <x:v>586</x:v>
      </x:c>
      <x:c r="M14" s="2" t="s">
        <x:v>100</x:v>
      </x:c>
      <x:c r="N14" s="2">
        <x:v>1</x:v>
      </x:c>
      <x:c r="O14" s="2" t="s">
        <x:v>101</x:v>
      </x:c>
      <x:c r="P14" s="2" t="s">
        <x:v>102</x:v>
      </x:c>
      <x:c r="Q14" s="2"/>
      <x:c r="R14" s="3">
        <x:v>3</x:v>
      </x:c>
      <x:c r="S14" s="3">
        <x:v>1</x:v>
      </x:c>
      <x:c r="T14" s="2" t="s">
        <x:v>103</x:v>
      </x:c>
      <x:c r="U14" s="2" t="s">
        <x:v>104</x:v>
      </x:c>
      <x:c r="V14" s="2" t="s">
        <x:v>105</x:v>
      </x:c>
      <x:c r="W14" s="2"/>
      <x:c r="X14" s="3"/>
      <x:c r="Y14" s="3"/>
      <x:c r="Z14" s="2"/>
      <x:c r="AA14" s="2"/>
      <x:c r="AB14" s="2"/>
      <x:c r="AC14" s="2"/>
      <x:c r="AD14" s="2"/>
      <x:c r="AE14" s="2"/>
      <x:c r="AF14" s="2"/>
      <x:c r="AG14" s="2"/>
      <x:c r="AH14" s="2"/>
      <x:c r="AI14" s="4"/>
      <x:c r="AJ14" s="2"/>
      <x:c r="AK14" s="2" t="s">
        <x:v>106</x:v>
      </x:c>
      <x:c r="AL14" s="2" t="s">
        <x:v>2788</x:v>
      </x:c>
      <x:c r="AM14" s="2">
        <x:v>14</x:v>
      </x:c>
      <x:c r="AN14" s="2">
        <x:v>14</x:v>
      </x:c>
    </x:row>
    <x:row r="15" ht="52">
      <x:c r="A15" s="2" t="s">
        <x:v>6</x:v>
      </x:c>
      <x:c r="B15" s="2" t="s">
        <x:v>13</x:v>
      </x:c>
      <x:c r="C15" s="3">
        <x:v>13</x:v>
      </x:c>
      <x:c r="D15" s="2" t="s">
        <x:v>587</x:v>
      </x:c>
      <x:c r="E15" s="2" t="s">
        <x:v>588</x:v>
      </x:c>
      <x:c r="F15" s="2" t="s">
        <x:v>589</x:v>
      </x:c>
      <x:c r="G15" s="2"/>
      <x:c r="H15" s="2" t="s">
        <x:v>96</x:v>
      </x:c>
      <x:c r="I15" s="2" t="s">
        <x:v>590</x:v>
      </x:c>
      <x:c r="J15" s="2" t="s">
        <x:v>98</x:v>
      </x:c>
      <x:c r="K15" s="2"/>
      <x:c r="L15" s="2" t="s">
        <x:v>591</x:v>
      </x:c>
      <x:c r="M15" s="2" t="s">
        <x:v>113</x:v>
      </x:c>
      <x:c r="N15" s="2">
        <x:v>1</x:v>
      </x:c>
      <x:c r="O15" s="2" t="s">
        <x:v>101</x:v>
      </x:c>
      <x:c r="P15" s="2" t="s">
        <x:v>114</x:v>
      </x:c>
      <x:c r="Q15" s="2"/>
      <x:c r="R15" s="3">
        <x:v>2</x:v>
      </x:c>
      <x:c r="S15" s="3">
        <x:v>1</x:v>
      </x:c>
      <x:c r="T15" s="2" t="s">
        <x:v>103</x:v>
      </x:c>
      <x:c r="U15" s="2" t="s">
        <x:v>129</x:v>
      </x:c>
      <x:c r="V15" s="2" t="s">
        <x:v>123</x:v>
      </x:c>
      <x:c r="W15" s="2"/>
      <x:c r="X15" s="3"/>
      <x:c r="Y15" s="3"/>
      <x:c r="Z15" s="2"/>
      <x:c r="AA15" s="2"/>
      <x:c r="AB15" s="2"/>
      <x:c r="AC15" s="2"/>
      <x:c r="AD15" s="2"/>
      <x:c r="AE15" s="2"/>
      <x:c r="AF15" s="2"/>
      <x:c r="AG15" s="2"/>
      <x:c r="AH15" s="2"/>
      <x:c r="AI15" s="4"/>
      <x:c r="AJ15" s="2"/>
      <x:c r="AK15" s="2" t="s">
        <x:v>106</x:v>
      </x:c>
      <x:c r="AL15" s="2" t="s">
        <x:v>2788</x:v>
      </x:c>
      <x:c r="AM15" s="2">
        <x:v>15</x:v>
      </x:c>
      <x:c r="AN15" s="2">
        <x:v>15</x:v>
      </x:c>
    </x:row>
    <x:row r="16" ht="52">
      <x:c r="A16" s="2" t="s">
        <x:v>91</x:v>
      </x:c>
      <x:c r="B16" s="2" t="s">
        <x:v>13</x:v>
      </x:c>
      <x:c r="C16" s="3">
        <x:v>14</x:v>
      </x:c>
      <x:c r="D16" s="2" t="s">
        <x:v>592</x:v>
      </x:c>
      <x:c r="E16" s="2" t="s">
        <x:v>593</x:v>
      </x:c>
      <x:c r="F16" s="2" t="s">
        <x:v>589</x:v>
      </x:c>
      <x:c r="G16" s="2" t="s">
        <x:v>2794</x:v>
      </x:c>
      <x:c r="H16" s="2" t="s">
        <x:v>96</x:v>
      </x:c>
      <x:c r="I16" s="2" t="s">
        <x:v>594</x:v>
      </x:c>
      <x:c r="J16" s="2" t="s">
        <x:v>98</x:v>
      </x:c>
      <x:c r="K16" s="2"/>
      <x:c r="L16" s="2" t="s">
        <x:v>595</x:v>
      </x:c>
      <x:c r="M16" s="2" t="s">
        <x:v>113</x:v>
      </x:c>
      <x:c r="N16" s="2">
        <x:v>1</x:v>
      </x:c>
      <x:c r="O16" s="2" t="s">
        <x:v>101</x:v>
      </x:c>
      <x:c r="P16" s="2" t="s">
        <x:v>114</x:v>
      </x:c>
      <x:c r="Q16" s="2"/>
      <x:c r="R16" s="3">
        <x:v>4</x:v>
      </x:c>
      <x:c r="S16" s="3">
        <x:v>1</x:v>
      </x:c>
      <x:c r="T16" s="2" t="s">
        <x:v>103</x:v>
      </x:c>
      <x:c r="U16" s="2" t="s">
        <x:v>115</x:v>
      </x:c>
      <x:c r="V16" s="2" t="s">
        <x:v>123</x:v>
      </x:c>
      <x:c r="W16" s="2"/>
      <x:c r="X16" s="3"/>
      <x:c r="Y16" s="3"/>
      <x:c r="Z16" s="2"/>
      <x:c r="AA16" s="2"/>
      <x:c r="AB16" s="2"/>
      <x:c r="AC16" s="2"/>
      <x:c r="AD16" s="2"/>
      <x:c r="AE16" s="2"/>
      <x:c r="AF16" s="2"/>
      <x:c r="AG16" s="2"/>
      <x:c r="AH16" s="2"/>
      <x:c r="AI16" s="4"/>
      <x:c r="AJ16" s="2"/>
      <x:c r="AK16" s="2" t="s">
        <x:v>106</x:v>
      </x:c>
      <x:c r="AL16" s="2" t="s">
        <x:v>2788</x:v>
      </x:c>
      <x:c r="AM16" s="2">
        <x:v>16</x:v>
      </x:c>
      <x:c r="AN16" s="2">
        <x:v>16</x:v>
      </x:c>
    </x:row>
    <x:row r="17" ht="52">
      <x:c r="A17" s="2" t="s">
        <x:v>91</x:v>
      </x:c>
      <x:c r="B17" s="2" t="s">
        <x:v>13</x:v>
      </x:c>
      <x:c r="C17" s="3">
        <x:v>15</x:v>
      </x:c>
      <x:c r="D17" s="2" t="s">
        <x:v>596</x:v>
      </x:c>
      <x:c r="E17" s="2" t="s">
        <x:v>597</x:v>
      </x:c>
      <x:c r="F17" s="2" t="s">
        <x:v>118</x:v>
      </x:c>
      <x:c r="G17" s="2" t="s">
        <x:v>2795</x:v>
      </x:c>
      <x:c r="H17" s="2" t="s">
        <x:v>96</x:v>
      </x:c>
      <x:c r="I17" s="2" t="s">
        <x:v>598</x:v>
      </x:c>
      <x:c r="J17" s="2" t="s">
        <x:v>98</x:v>
      </x:c>
      <x:c r="K17" s="2"/>
      <x:c r="L17" s="2" t="s">
        <x:v>599</x:v>
      </x:c>
      <x:c r="M17" s="2" t="s">
        <x:v>113</x:v>
      </x:c>
      <x:c r="N17" s="2">
        <x:v>1</x:v>
      </x:c>
      <x:c r="O17" s="2" t="s">
        <x:v>101</x:v>
      </x:c>
      <x:c r="P17" s="2" t="s">
        <x:v>147</x:v>
      </x:c>
      <x:c r="Q17" s="2"/>
      <x:c r="R17" s="3">
        <x:v>2</x:v>
      </x:c>
      <x:c r="S17" s="3">
        <x:v>1</x:v>
      </x:c>
      <x:c r="T17" s="2" t="s">
        <x:v>103</x:v>
      </x:c>
      <x:c r="U17" s="2" t="s">
        <x:v>115</x:v>
      </x:c>
      <x:c r="V17" s="2" t="s">
        <x:v>123</x:v>
      </x:c>
      <x:c r="W17" s="2"/>
      <x:c r="X17" s="3"/>
      <x:c r="Y17" s="3"/>
      <x:c r="Z17" s="2"/>
      <x:c r="AA17" s="2"/>
      <x:c r="AB17" s="2"/>
      <x:c r="AC17" s="2"/>
      <x:c r="AD17" s="2"/>
      <x:c r="AE17" s="2"/>
      <x:c r="AF17" s="2"/>
      <x:c r="AG17" s="2"/>
      <x:c r="AH17" s="2"/>
      <x:c r="AI17" s="4"/>
      <x:c r="AJ17" s="2"/>
      <x:c r="AK17" s="2" t="s">
        <x:v>106</x:v>
      </x:c>
      <x:c r="AL17" s="2" t="s">
        <x:v>2788</x:v>
      </x:c>
      <x:c r="AM17" s="2">
        <x:v>17</x:v>
      </x:c>
      <x:c r="AN17" s="2">
        <x:v>17</x:v>
      </x:c>
    </x:row>
    <x:row r="18" ht="52">
      <x:c r="A18" s="2" t="s">
        <x:v>91</x:v>
      </x:c>
      <x:c r="B18" s="2" t="s">
        <x:v>13</x:v>
      </x:c>
      <x:c r="C18" s="3">
        <x:v>16</x:v>
      </x:c>
      <x:c r="D18" s="2" t="s">
        <x:v>600</x:v>
      </x:c>
      <x:c r="E18" s="2" t="s">
        <x:v>601</x:v>
      </x:c>
      <x:c r="F18" s="2" t="s">
        <x:v>139</x:v>
      </x:c>
      <x:c r="G18" s="2" t="s">
        <x:v>2796</x:v>
      </x:c>
      <x:c r="H18" s="2" t="s">
        <x:v>96</x:v>
      </x:c>
      <x:c r="I18" s="2" t="s">
        <x:v>603</x:v>
      </x:c>
      <x:c r="J18" s="2" t="s">
        <x:v>98</x:v>
      </x:c>
      <x:c r="K18" s="2"/>
      <x:c r="L18" s="2" t="s">
        <x:v>604</x:v>
      </x:c>
      <x:c r="M18" s="2" t="s">
        <x:v>113</x:v>
      </x:c>
      <x:c r="N18" s="2">
        <x:v>1</x:v>
      </x:c>
      <x:c r="O18" s="2" t="s">
        <x:v>101</x:v>
      </x:c>
      <x:c r="P18" s="2" t="s">
        <x:v>147</x:v>
      </x:c>
      <x:c r="Q18" s="2"/>
      <x:c r="R18" s="3">
        <x:v>4</x:v>
      </x:c>
      <x:c r="S18" s="3">
        <x:v>1</x:v>
      </x:c>
      <x:c r="T18" s="2" t="s">
        <x:v>103</x:v>
      </x:c>
      <x:c r="U18" s="2" t="s">
        <x:v>129</x:v>
      </x:c>
      <x:c r="V18" s="2" t="s">
        <x:v>136</x:v>
      </x:c>
      <x:c r="W18" s="2"/>
      <x:c r="X18" s="3"/>
      <x:c r="Y18" s="3"/>
      <x:c r="Z18" s="2"/>
      <x:c r="AA18" s="2"/>
      <x:c r="AB18" s="2"/>
      <x:c r="AC18" s="2"/>
      <x:c r="AD18" s="2"/>
      <x:c r="AE18" s="2"/>
      <x:c r="AF18" s="2"/>
      <x:c r="AG18" s="2"/>
      <x:c r="AH18" s="2"/>
      <x:c r="AI18" s="4"/>
      <x:c r="AJ18" s="2"/>
      <x:c r="AK18" s="2" t="s">
        <x:v>106</x:v>
      </x:c>
      <x:c r="AL18" s="2" t="s">
        <x:v>2788</x:v>
      </x:c>
      <x:c r="AM18" s="2">
        <x:v>18</x:v>
      </x:c>
      <x:c r="AN18" s="2">
        <x:v>18</x:v>
      </x:c>
    </x:row>
    <x:row r="19" ht="52">
      <x:c r="A19" s="2" t="s">
        <x:v>91</x:v>
      </x:c>
      <x:c r="B19" s="2" t="s">
        <x:v>13</x:v>
      </x:c>
      <x:c r="C19" s="3">
        <x:v>17</x:v>
      </x:c>
      <x:c r="D19" s="2" t="s">
        <x:v>605</x:v>
      </x:c>
      <x:c r="E19" s="2" t="s">
        <x:v>606</x:v>
      </x:c>
      <x:c r="F19" s="2" t="s">
        <x:v>139</x:v>
      </x:c>
      <x:c r="G19" s="2" t="s">
        <x:v>2797</x:v>
      </x:c>
      <x:c r="H19" s="2" t="s">
        <x:v>96</x:v>
      </x:c>
      <x:c r="I19" s="2" t="s">
        <x:v>607</x:v>
      </x:c>
      <x:c r="J19" s="2" t="s">
        <x:v>98</x:v>
      </x:c>
      <x:c r="K19" s="2"/>
      <x:c r="L19" s="2" t="s">
        <x:v>608</x:v>
      </x:c>
      <x:c r="M19" s="2" t="s">
        <x:v>113</x:v>
      </x:c>
      <x:c r="N19" s="2">
        <x:v>1</x:v>
      </x:c>
      <x:c r="O19" s="2" t="s">
        <x:v>101</x:v>
      </x:c>
      <x:c r="P19" s="2" t="s">
        <x:v>147</x:v>
      </x:c>
      <x:c r="Q19" s="2"/>
      <x:c r="R19" s="3">
        <x:v>3</x:v>
      </x:c>
      <x:c r="S19" s="3">
        <x:v>1</x:v>
      </x:c>
      <x:c r="T19" s="2" t="s">
        <x:v>103</x:v>
      </x:c>
      <x:c r="U19" s="2" t="s">
        <x:v>115</x:v>
      </x:c>
      <x:c r="V19" s="2" t="s">
        <x:v>136</x:v>
      </x:c>
      <x:c r="W19" s="2"/>
      <x:c r="X19" s="3"/>
      <x:c r="Y19" s="3"/>
      <x:c r="Z19" s="2"/>
      <x:c r="AA19" s="2"/>
      <x:c r="AB19" s="2"/>
      <x:c r="AC19" s="2"/>
      <x:c r="AD19" s="2"/>
      <x:c r="AE19" s="2"/>
      <x:c r="AF19" s="2"/>
      <x:c r="AG19" s="2"/>
      <x:c r="AH19" s="2"/>
      <x:c r="AI19" s="4"/>
      <x:c r="AJ19" s="2"/>
      <x:c r="AK19" s="2" t="s">
        <x:v>106</x:v>
      </x:c>
      <x:c r="AL19" s="2" t="s">
        <x:v>2788</x:v>
      </x:c>
      <x:c r="AM19" s="2">
        <x:v>19</x:v>
      </x:c>
      <x:c r="AN19" s="2">
        <x:v>19</x:v>
      </x:c>
    </x:row>
    <x:row r="20" ht="65">
      <x:c r="A20" s="2" t="s">
        <x:v>91</x:v>
      </x:c>
      <x:c r="B20" s="2" t="s">
        <x:v>13</x:v>
      </x:c>
      <x:c r="C20" s="3">
        <x:v>18</x:v>
      </x:c>
      <x:c r="D20" s="2" t="s">
        <x:v>609</x:v>
      </x:c>
      <x:c r="E20" s="2" t="s">
        <x:v>610</x:v>
      </x:c>
      <x:c r="F20" s="2" t="s">
        <x:v>150</x:v>
      </x:c>
      <x:c r="G20" s="2" t="s">
        <x:v>2798</x:v>
      </x:c>
      <x:c r="H20" s="2" t="s">
        <x:v>96</x:v>
      </x:c>
      <x:c r="I20" s="2" t="s">
        <x:v>611</x:v>
      </x:c>
      <x:c r="J20" s="2" t="s">
        <x:v>98</x:v>
      </x:c>
      <x:c r="K20" s="2"/>
      <x:c r="L20" s="2" t="s">
        <x:v>612</x:v>
      </x:c>
      <x:c r="M20" s="2" t="s">
        <x:v>100</x:v>
      </x:c>
      <x:c r="N20" s="2">
        <x:v>1</x:v>
      </x:c>
      <x:c r="O20" s="2" t="s">
        <x:v>101</x:v>
      </x:c>
      <x:c r="P20" s="2" t="s">
        <x:v>102</x:v>
      </x:c>
      <x:c r="Q20" s="2"/>
      <x:c r="R20" s="3">
        <x:v>4</x:v>
      </x:c>
      <x:c r="S20" s="3">
        <x:v>1</x:v>
      </x:c>
      <x:c r="T20" s="2" t="s">
        <x:v>103</x:v>
      </x:c>
      <x:c r="U20" s="2" t="s">
        <x:v>122</x:v>
      </x:c>
      <x:c r="V20" s="2" t="s">
        <x:v>154</x:v>
      </x:c>
      <x:c r="W20" s="2"/>
      <x:c r="X20" s="3"/>
      <x:c r="Y20" s="3"/>
      <x:c r="Z20" s="2"/>
      <x:c r="AA20" s="2"/>
      <x:c r="AB20" s="2"/>
      <x:c r="AC20" s="2"/>
      <x:c r="AD20" s="2"/>
      <x:c r="AE20" s="2"/>
      <x:c r="AF20" s="2"/>
      <x:c r="AG20" s="2"/>
      <x:c r="AH20" s="2"/>
      <x:c r="AI20" s="4"/>
      <x:c r="AJ20" s="2"/>
      <x:c r="AK20" s="2" t="s">
        <x:v>106</x:v>
      </x:c>
      <x:c r="AL20" s="2" t="s">
        <x:v>2788</x:v>
      </x:c>
      <x:c r="AM20" s="2">
        <x:v>20</x:v>
      </x:c>
      <x:c r="AN20" s="2">
        <x:v>20</x:v>
      </x:c>
    </x:row>
    <x:row r="21" ht="65">
      <x:c r="A21" s="2" t="s">
        <x:v>91</x:v>
      </x:c>
      <x:c r="B21" s="2" t="s">
        <x:v>13</x:v>
      </x:c>
      <x:c r="C21" s="3">
        <x:v>19</x:v>
      </x:c>
      <x:c r="D21" s="2" t="s">
        <x:v>155</x:v>
      </x:c>
      <x:c r="E21" s="2" t="s">
        <x:v>613</x:v>
      </x:c>
      <x:c r="F21" s="2" t="s">
        <x:v>157</x:v>
      </x:c>
      <x:c r="G21" s="2" t="s">
        <x:v>2799</x:v>
      </x:c>
      <x:c r="H21" s="2" t="s">
        <x:v>96</x:v>
      </x:c>
      <x:c r="I21" s="2" t="s">
        <x:v>614</x:v>
      </x:c>
      <x:c r="J21" s="2" t="s">
        <x:v>98</x:v>
      </x:c>
      <x:c r="K21" s="2"/>
      <x:c r="L21" s="2" t="s">
        <x:v>615</x:v>
      </x:c>
      <x:c r="M21" s="2" t="s">
        <x:v>100</x:v>
      </x:c>
      <x:c r="N21" s="2">
        <x:v>1</x:v>
      </x:c>
      <x:c r="O21" s="2" t="s">
        <x:v>101</x:v>
      </x:c>
      <x:c r="P21" s="2" t="s">
        <x:v>102</x:v>
      </x:c>
      <x:c r="Q21" s="2"/>
      <x:c r="R21" s="3">
        <x:v>4</x:v>
      </x:c>
      <x:c r="S21" s="3">
        <x:v>1</x:v>
      </x:c>
      <x:c r="T21" s="2" t="s">
        <x:v>103</x:v>
      </x:c>
      <x:c r="U21" s="2" t="s">
        <x:v>104</x:v>
      </x:c>
      <x:c r="V21" s="2" t="s">
        <x:v>154</x:v>
      </x:c>
      <x:c r="W21" s="2"/>
      <x:c r="X21" s="3"/>
      <x:c r="Y21" s="3"/>
      <x:c r="Z21" s="2"/>
      <x:c r="AA21" s="2"/>
      <x:c r="AB21" s="2"/>
      <x:c r="AC21" s="2"/>
      <x:c r="AD21" s="2"/>
      <x:c r="AE21" s="2"/>
      <x:c r="AF21" s="2"/>
      <x:c r="AG21" s="2"/>
      <x:c r="AH21" s="2"/>
      <x:c r="AI21" s="4"/>
      <x:c r="AJ21" s="2"/>
      <x:c r="AK21" s="2" t="s">
        <x:v>106</x:v>
      </x:c>
      <x:c r="AL21" s="2" t="s">
        <x:v>2788</x:v>
      </x:c>
      <x:c r="AM21" s="2">
        <x:v>21</x:v>
      </x:c>
      <x:c r="AN21" s="2">
        <x:v>21</x:v>
      </x:c>
    </x:row>
    <x:row r="22" ht="26">
      <x:c r="A22" s="2" t="s">
        <x:v>91</x:v>
      </x:c>
      <x:c r="B22" s="2" t="s">
        <x:v>14</x:v>
      </x:c>
      <x:c r="C22" s="3">
        <x:v>0</x:v>
      </x:c>
      <x:c r="D22" s="2" t="s">
        <x:v>166</x:v>
      </x:c>
      <x:c r="E22" s="2" t="s">
        <x:v>167</x:v>
      </x:c>
      <x:c r="F22" s="2" t="s">
        <x:v>168</x:v>
      </x:c>
      <x:c r="G22" s="2" t="s">
        <x:v>2800</x:v>
      </x:c>
      <x:c r="H22" s="2" t="s">
        <x:v>96</x:v>
      </x:c>
      <x:c r="I22" s="2" t="s">
        <x:v>169</x:v>
      </x:c>
      <x:c r="J22" s="2" t="s">
        <x:v>170</x:v>
      </x:c>
      <x:c r="K22" s="2"/>
      <x:c r="L22" s="2" t="s">
        <x:v>171</x:v>
      </x:c>
      <x:c r="M22" s="2" t="s">
        <x:v>172</x:v>
      </x:c>
      <x:c r="N22" s="2">
        <x:v>1</x:v>
      </x:c>
      <x:c r="O22" s="2" t="s">
        <x:v>173</x:v>
      </x:c>
      <x:c r="P22" s="2" t="s">
        <x:v>174</x:v>
      </x:c>
      <x:c r="Q22" s="2"/>
      <x:c r="R22" s="3"/>
      <x:c r="S22" s="3"/>
      <x:c r="T22" s="2"/>
      <x:c r="U22" s="2"/>
      <x:c r="V22" s="2"/>
      <x:c r="W22" s="2" t="s">
        <x:v>169</x:v>
      </x:c>
      <x:c r="X22" s="3">
        <x:v>0</x:v>
      </x:c>
      <x:c r="Y22" s="3">
        <x:v>1</x:v>
      </x:c>
      <x:c r="Z22" s="2" t="s">
        <x:v>175</x:v>
      </x:c>
      <x:c r="AA22" s="2"/>
      <x:c r="AB22" s="2"/>
      <x:c r="AC22" s="2"/>
      <x:c r="AD22" s="2"/>
      <x:c r="AE22" s="2"/>
      <x:c r="AF22" s="2"/>
      <x:c r="AG22" s="2"/>
      <x:c r="AH22" s="2"/>
      <x:c r="AI22" s="4"/>
      <x:c r="AJ22" s="2"/>
      <x:c r="AK22" s="2" t="s">
        <x:v>176</x:v>
      </x:c>
      <x:c r="AL22" s="2" t="s">
        <x:v>2801</x:v>
      </x:c>
      <x:c r="AM22" s="2">
        <x:v>2</x:v>
      </x:c>
      <x:c r="AN22" s="2">
        <x:v>2</x:v>
      </x:c>
    </x:row>
    <x:row r="23" ht="26">
      <x:c r="A23" s="2" t="s">
        <x:v>91</x:v>
      </x:c>
      <x:c r="B23" s="2" t="s">
        <x:v>14</x:v>
      </x:c>
      <x:c r="C23" s="3">
        <x:v>1</x:v>
      </x:c>
      <x:c r="D23" s="2" t="s">
        <x:v>177</x:v>
      </x:c>
      <x:c r="E23" s="2" t="s">
        <x:v>178</x:v>
      </x:c>
      <x:c r="F23" s="2" t="s">
        <x:v>179</x:v>
      </x:c>
      <x:c r="G23" s="2" t="s">
        <x:v>2802</x:v>
      </x:c>
      <x:c r="H23" s="2" t="s">
        <x:v>96</x:v>
      </x:c>
      <x:c r="I23" s="2" t="s">
        <x:v>169</x:v>
      </x:c>
      <x:c r="J23" s="2" t="s">
        <x:v>181</x:v>
      </x:c>
      <x:c r="K23" s="2"/>
      <x:c r="L23" s="2" t="s">
        <x:v>182</x:v>
      </x:c>
      <x:c r="M23" s="2" t="s">
        <x:v>172</x:v>
      </x:c>
      <x:c r="N23" s="2">
        <x:v>1</x:v>
      </x:c>
      <x:c r="O23" s="2" t="s">
        <x:v>183</x:v>
      </x:c>
      <x:c r="P23" s="2" t="s">
        <x:v>174</x:v>
      </x:c>
      <x:c r="Q23" s="2"/>
      <x:c r="R23" s="3"/>
      <x:c r="S23" s="3"/>
      <x:c r="T23" s="2"/>
      <x:c r="U23" s="2"/>
      <x:c r="V23" s="2"/>
      <x:c r="W23" s="2" t="s">
        <x:v>169</x:v>
      </x:c>
      <x:c r="X23" s="3">
        <x:v>1</x:v>
      </x:c>
      <x:c r="Y23" s="3">
        <x:v>2</x:v>
      </x:c>
      <x:c r="Z23" s="2" t="s">
        <x:v>175</x:v>
      </x:c>
      <x:c r="AA23" s="2"/>
      <x:c r="AB23" s="2"/>
      <x:c r="AC23" s="2"/>
      <x:c r="AD23" s="2"/>
      <x:c r="AE23" s="2"/>
      <x:c r="AF23" s="2"/>
      <x:c r="AG23" s="2"/>
      <x:c r="AH23" s="2"/>
      <x:c r="AI23" s="4"/>
      <x:c r="AJ23" s="2"/>
      <x:c r="AK23" s="2" t="s">
        <x:v>176</x:v>
      </x:c>
      <x:c r="AL23" s="2" t="s">
        <x:v>2801</x:v>
      </x:c>
      <x:c r="AM23" s="2">
        <x:v>3</x:v>
      </x:c>
      <x:c r="AN23" s="2">
        <x:v>3</x:v>
      </x:c>
    </x:row>
    <x:row r="24" ht="26">
      <x:c r="A24" s="2" t="s">
        <x:v>6</x:v>
      </x:c>
      <x:c r="B24" s="2" t="s">
        <x:v>14</x:v>
      </x:c>
      <x:c r="C24" s="3">
        <x:v>2</x:v>
      </x:c>
      <x:c r="D24" s="2" t="s">
        <x:v>184</x:v>
      </x:c>
      <x:c r="E24" s="2" t="s">
        <x:v>185</x:v>
      </x:c>
      <x:c r="F24" s="2" t="s">
        <x:v>186</x:v>
      </x:c>
      <x:c r="G24" s="2" t="s">
        <x:v>2803</x:v>
      </x:c>
      <x:c r="H24" s="2" t="s">
        <x:v>96</x:v>
      </x:c>
      <x:c r="I24" s="2" t="s">
        <x:v>169</x:v>
      </x:c>
      <x:c r="J24" s="2" t="s">
        <x:v>188</x:v>
      </x:c>
      <x:c r="K24" s="2"/>
      <x:c r="L24" s="2" t="s">
        <x:v>189</x:v>
      </x:c>
      <x:c r="M24" s="2" t="s">
        <x:v>172</x:v>
      </x:c>
      <x:c r="N24" s="2">
        <x:v>1</x:v>
      </x:c>
      <x:c r="O24" s="2" t="s">
        <x:v>190</x:v>
      </x:c>
      <x:c r="P24" s="2" t="s">
        <x:v>174</x:v>
      </x:c>
      <x:c r="Q24" s="2"/>
      <x:c r="R24" s="3"/>
      <x:c r="S24" s="3"/>
      <x:c r="T24" s="2"/>
      <x:c r="U24" s="2"/>
      <x:c r="V24" s="2"/>
      <x:c r="W24" s="2" t="s">
        <x:v>169</x:v>
      </x:c>
      <x:c r="X24" s="3">
        <x:v>4</x:v>
      </x:c>
      <x:c r="Y24" s="3">
        <x:v>3</x:v>
      </x:c>
      <x:c r="Z24" s="2" t="s">
        <x:v>191</x:v>
      </x:c>
      <x:c r="AA24" s="2"/>
      <x:c r="AB24" s="2"/>
      <x:c r="AC24" s="2"/>
      <x:c r="AD24" s="2"/>
      <x:c r="AE24" s="2"/>
      <x:c r="AF24" s="2"/>
      <x:c r="AG24" s="2"/>
      <x:c r="AH24" s="2"/>
      <x:c r="AI24" s="4"/>
      <x:c r="AJ24" s="2"/>
      <x:c r="AK24" s="2" t="s">
        <x:v>176</x:v>
      </x:c>
      <x:c r="AL24" s="2" t="s">
        <x:v>2801</x:v>
      </x:c>
      <x:c r="AM24" s="2">
        <x:v>4</x:v>
      </x:c>
      <x:c r="AN24" s="2">
        <x:v>4</x:v>
      </x:c>
    </x:row>
    <x:row r="25" ht="26">
      <x:c r="A25" s="2" t="s">
        <x:v>91</x:v>
      </x:c>
      <x:c r="B25" s="2" t="s">
        <x:v>14</x:v>
      </x:c>
      <x:c r="C25" s="3">
        <x:v>3</x:v>
      </x:c>
      <x:c r="D25" s="2" t="s">
        <x:v>192</x:v>
      </x:c>
      <x:c r="E25" s="2" t="s">
        <x:v>193</x:v>
      </x:c>
      <x:c r="F25" s="2" t="s">
        <x:v>194</x:v>
      </x:c>
      <x:c r="G25" s="2" t="s">
        <x:v>2804</x:v>
      </x:c>
      <x:c r="H25" s="2" t="s">
        <x:v>96</x:v>
      </x:c>
      <x:c r="I25" s="2" t="s">
        <x:v>169</x:v>
      </x:c>
      <x:c r="J25" s="2" t="s">
        <x:v>195</x:v>
      </x:c>
      <x:c r="K25" s="2"/>
      <x:c r="L25" s="2" t="s">
        <x:v>196</x:v>
      </x:c>
      <x:c r="M25" s="2" t="s">
        <x:v>172</x:v>
      </x:c>
      <x:c r="N25" s="2">
        <x:v>1</x:v>
      </x:c>
      <x:c r="O25" s="2" t="s">
        <x:v>197</x:v>
      </x:c>
      <x:c r="P25" s="2" t="s">
        <x:v>174</x:v>
      </x:c>
      <x:c r="Q25" s="2"/>
      <x:c r="R25" s="3"/>
      <x:c r="S25" s="3"/>
      <x:c r="T25" s="2"/>
      <x:c r="U25" s="2"/>
      <x:c r="V25" s="2"/>
      <x:c r="W25" s="2" t="s">
        <x:v>169</x:v>
      </x:c>
      <x:c r="X25" s="3">
        <x:v>1</x:v>
      </x:c>
      <x:c r="Y25" s="3">
        <x:v>0</x:v>
      </x:c>
      <x:c r="Z25" s="2" t="s">
        <x:v>191</x:v>
      </x:c>
      <x:c r="AA25" s="2"/>
      <x:c r="AB25" s="2"/>
      <x:c r="AC25" s="2"/>
      <x:c r="AD25" s="2"/>
      <x:c r="AE25" s="2"/>
      <x:c r="AF25" s="2"/>
      <x:c r="AG25" s="2"/>
      <x:c r="AH25" s="2"/>
      <x:c r="AI25" s="4"/>
      <x:c r="AJ25" s="2"/>
      <x:c r="AK25" s="2" t="s">
        <x:v>176</x:v>
      </x:c>
      <x:c r="AL25" s="2" t="s">
        <x:v>2801</x:v>
      </x:c>
      <x:c r="AM25" s="2">
        <x:v>5</x:v>
      </x:c>
      <x:c r="AN25" s="2">
        <x:v>5</x:v>
      </x:c>
    </x:row>
    <x:row r="26" ht="26">
      <x:c r="A26" s="2" t="s">
        <x:v>6</x:v>
      </x:c>
      <x:c r="B26" s="2" t="s">
        <x:v>14</x:v>
      </x:c>
      <x:c r="C26" s="3">
        <x:v>4</x:v>
      </x:c>
      <x:c r="D26" s="2" t="s">
        <x:v>166</x:v>
      </x:c>
      <x:c r="E26" s="2" t="s">
        <x:v>198</x:v>
      </x:c>
      <x:c r="F26" s="2" t="s">
        <x:v>168</x:v>
      </x:c>
      <x:c r="G26" s="2" t="s">
        <x:v>2805</x:v>
      </x:c>
      <x:c r="H26" s="2" t="s">
        <x:v>96</x:v>
      </x:c>
      <x:c r="I26" s="2" t="s">
        <x:v>200</x:v>
      </x:c>
      <x:c r="J26" s="2" t="s">
        <x:v>170</x:v>
      </x:c>
      <x:c r="K26" s="2"/>
      <x:c r="L26" s="2" t="s">
        <x:v>201</x:v>
      </x:c>
      <x:c r="M26" s="2" t="s">
        <x:v>172</x:v>
      </x:c>
      <x:c r="N26" s="2">
        <x:v>1</x:v>
      </x:c>
      <x:c r="O26" s="2" t="s">
        <x:v>202</x:v>
      </x:c>
      <x:c r="P26" s="2" t="s">
        <x:v>174</x:v>
      </x:c>
      <x:c r="Q26" s="2"/>
      <x:c r="R26" s="3"/>
      <x:c r="S26" s="3"/>
      <x:c r="T26" s="2"/>
      <x:c r="U26" s="2"/>
      <x:c r="V26" s="2"/>
      <x:c r="W26" s="2" t="s">
        <x:v>200</x:v>
      </x:c>
      <x:c r="X26" s="3">
        <x:v>0</x:v>
      </x:c>
      <x:c r="Y26" s="3">
        <x:v>1</x:v>
      </x:c>
      <x:c r="Z26" s="2" t="s">
        <x:v>175</x:v>
      </x:c>
      <x:c r="AA26" s="2"/>
      <x:c r="AB26" s="2"/>
      <x:c r="AC26" s="2"/>
      <x:c r="AD26" s="2"/>
      <x:c r="AE26" s="2"/>
      <x:c r="AF26" s="2"/>
      <x:c r="AG26" s="2"/>
      <x:c r="AH26" s="2"/>
      <x:c r="AI26" s="4"/>
      <x:c r="AJ26" s="2"/>
      <x:c r="AK26" s="2" t="s">
        <x:v>176</x:v>
      </x:c>
      <x:c r="AL26" s="2" t="s">
        <x:v>2801</x:v>
      </x:c>
      <x:c r="AM26" s="2">
        <x:v>6</x:v>
      </x:c>
      <x:c r="AN26" s="2">
        <x:v>6</x:v>
      </x:c>
    </x:row>
    <x:row r="27" ht="26">
      <x:c r="A27" s="2" t="s">
        <x:v>91</x:v>
      </x:c>
      <x:c r="B27" s="2" t="s">
        <x:v>14</x:v>
      </x:c>
      <x:c r="C27" s="3">
        <x:v>6</x:v>
      </x:c>
      <x:c r="D27" s="2" t="s">
        <x:v>184</x:v>
      </x:c>
      <x:c r="E27" s="2" t="s">
        <x:v>207</x:v>
      </x:c>
      <x:c r="F27" s="2" t="s">
        <x:v>186</x:v>
      </x:c>
      <x:c r="G27" s="2" t="s">
        <x:v>2806</x:v>
      </x:c>
      <x:c r="H27" s="2" t="s">
        <x:v>96</x:v>
      </x:c>
      <x:c r="I27" s="2" t="s">
        <x:v>200</x:v>
      </x:c>
      <x:c r="J27" s="2" t="s">
        <x:v>188</x:v>
      </x:c>
      <x:c r="K27" s="2"/>
      <x:c r="L27" s="2" t="s">
        <x:v>209</x:v>
      </x:c>
      <x:c r="M27" s="2" t="s">
        <x:v>172</x:v>
      </x:c>
      <x:c r="N27" s="2">
        <x:v>1</x:v>
      </x:c>
      <x:c r="O27" s="2" t="s">
        <x:v>210</x:v>
      </x:c>
      <x:c r="P27" s="2" t="s">
        <x:v>174</x:v>
      </x:c>
      <x:c r="Q27" s="2"/>
      <x:c r="R27" s="3"/>
      <x:c r="S27" s="3"/>
      <x:c r="T27" s="2"/>
      <x:c r="U27" s="2"/>
      <x:c r="V27" s="2"/>
      <x:c r="W27" s="2" t="s">
        <x:v>200</x:v>
      </x:c>
      <x:c r="X27" s="3">
        <x:v>4</x:v>
      </x:c>
      <x:c r="Y27" s="3">
        <x:v>3</x:v>
      </x:c>
      <x:c r="Z27" s="2" t="s">
        <x:v>191</x:v>
      </x:c>
      <x:c r="AA27" s="2"/>
      <x:c r="AB27" s="2"/>
      <x:c r="AC27" s="2"/>
      <x:c r="AD27" s="2"/>
      <x:c r="AE27" s="2"/>
      <x:c r="AF27" s="2"/>
      <x:c r="AG27" s="2"/>
      <x:c r="AH27" s="2"/>
      <x:c r="AI27" s="4"/>
      <x:c r="AJ27" s="2"/>
      <x:c r="AK27" s="2" t="s">
        <x:v>176</x:v>
      </x:c>
      <x:c r="AL27" s="2" t="s">
        <x:v>2801</x:v>
      </x:c>
      <x:c r="AM27" s="2">
        <x:v>8</x:v>
      </x:c>
      <x:c r="AN27" s="2">
        <x:v>8</x:v>
      </x:c>
    </x:row>
    <x:row r="28" ht="26">
      <x:c r="A28" s="2" t="s">
        <x:v>91</x:v>
      </x:c>
      <x:c r="B28" s="2" t="s">
        <x:v>14</x:v>
      </x:c>
      <x:c r="C28" s="3">
        <x:v>7</x:v>
      </x:c>
      <x:c r="D28" s="2" t="s">
        <x:v>192</x:v>
      </x:c>
      <x:c r="E28" s="2" t="s">
        <x:v>211</x:v>
      </x:c>
      <x:c r="F28" s="2" t="s">
        <x:v>194</x:v>
      </x:c>
      <x:c r="G28" s="2" t="s">
        <x:v>2807</x:v>
      </x:c>
      <x:c r="H28" s="2" t="s">
        <x:v>96</x:v>
      </x:c>
      <x:c r="I28" s="2" t="s">
        <x:v>200</x:v>
      </x:c>
      <x:c r="J28" s="2" t="s">
        <x:v>195</x:v>
      </x:c>
      <x:c r="K28" s="2"/>
      <x:c r="L28" s="2" t="s">
        <x:v>212</x:v>
      </x:c>
      <x:c r="M28" s="2" t="s">
        <x:v>172</x:v>
      </x:c>
      <x:c r="N28" s="2">
        <x:v>1</x:v>
      </x:c>
      <x:c r="O28" s="2" t="s">
        <x:v>213</x:v>
      </x:c>
      <x:c r="P28" s="2" t="s">
        <x:v>174</x:v>
      </x:c>
      <x:c r="Q28" s="2"/>
      <x:c r="R28" s="3"/>
      <x:c r="S28" s="3"/>
      <x:c r="T28" s="2"/>
      <x:c r="U28" s="2"/>
      <x:c r="V28" s="2"/>
      <x:c r="W28" s="2" t="s">
        <x:v>200</x:v>
      </x:c>
      <x:c r="X28" s="3">
        <x:v>1</x:v>
      </x:c>
      <x:c r="Y28" s="3">
        <x:v>0</x:v>
      </x:c>
      <x:c r="Z28" s="2" t="s">
        <x:v>191</x:v>
      </x:c>
      <x:c r="AA28" s="2"/>
      <x:c r="AB28" s="2"/>
      <x:c r="AC28" s="2"/>
      <x:c r="AD28" s="2"/>
      <x:c r="AE28" s="2"/>
      <x:c r="AF28" s="2"/>
      <x:c r="AG28" s="2"/>
      <x:c r="AH28" s="2"/>
      <x:c r="AI28" s="4"/>
      <x:c r="AJ28" s="2"/>
      <x:c r="AK28" s="2" t="s">
        <x:v>176</x:v>
      </x:c>
      <x:c r="AL28" s="2" t="s">
        <x:v>2801</x:v>
      </x:c>
      <x:c r="AM28" s="2">
        <x:v>9</x:v>
      </x:c>
      <x:c r="AN28" s="2">
        <x:v>9</x:v>
      </x:c>
    </x:row>
    <x:row r="29" ht="26">
      <x:c r="A29" s="2" t="s">
        <x:v>6</x:v>
      </x:c>
      <x:c r="B29" s="2" t="s">
        <x:v>14</x:v>
      </x:c>
      <x:c r="C29" s="3">
        <x:v>8</x:v>
      </x:c>
      <x:c r="D29" s="2" t="s">
        <x:v>166</x:v>
      </x:c>
      <x:c r="E29" s="2" t="s">
        <x:v>214</x:v>
      </x:c>
      <x:c r="F29" s="2" t="s">
        <x:v>168</x:v>
      </x:c>
      <x:c r="G29" s="2" t="s">
        <x:v>968</x:v>
      </x:c>
      <x:c r="H29" s="2" t="s">
        <x:v>96</x:v>
      </x:c>
      <x:c r="I29" s="2" t="s">
        <x:v>216</x:v>
      </x:c>
      <x:c r="J29" s="2" t="s">
        <x:v>170</x:v>
      </x:c>
      <x:c r="K29" s="2"/>
      <x:c r="L29" s="2" t="s">
        <x:v>217</x:v>
      </x:c>
      <x:c r="M29" s="2" t="s">
        <x:v>172</x:v>
      </x:c>
      <x:c r="N29" s="2">
        <x:v>1</x:v>
      </x:c>
      <x:c r="O29" s="2" t="s">
        <x:v>218</x:v>
      </x:c>
      <x:c r="P29" s="2" t="s">
        <x:v>174</x:v>
      </x:c>
      <x:c r="Q29" s="2"/>
      <x:c r="R29" s="3"/>
      <x:c r="S29" s="3"/>
      <x:c r="T29" s="2"/>
      <x:c r="U29" s="2"/>
      <x:c r="V29" s="2"/>
      <x:c r="W29" s="2" t="s">
        <x:v>216</x:v>
      </x:c>
      <x:c r="X29" s="3">
        <x:v>0</x:v>
      </x:c>
      <x:c r="Y29" s="3">
        <x:v>1</x:v>
      </x:c>
      <x:c r="Z29" s="2" t="s">
        <x:v>175</x:v>
      </x:c>
      <x:c r="AA29" s="2"/>
      <x:c r="AB29" s="2"/>
      <x:c r="AC29" s="2"/>
      <x:c r="AD29" s="2"/>
      <x:c r="AE29" s="2"/>
      <x:c r="AF29" s="2"/>
      <x:c r="AG29" s="2"/>
      <x:c r="AH29" s="2"/>
      <x:c r="AI29" s="4"/>
      <x:c r="AJ29" s="2"/>
      <x:c r="AK29" s="2" t="s">
        <x:v>176</x:v>
      </x:c>
      <x:c r="AL29" s="2" t="s">
        <x:v>2801</x:v>
      </x:c>
      <x:c r="AM29" s="2">
        <x:v>10</x:v>
      </x:c>
      <x:c r="AN29" s="2">
        <x:v>10</x:v>
      </x:c>
    </x:row>
    <x:row r="30" ht="26">
      <x:c r="A30" s="2" t="s">
        <x:v>6</x:v>
      </x:c>
      <x:c r="B30" s="2" t="s">
        <x:v>14</x:v>
      </x:c>
      <x:c r="C30" s="3">
        <x:v>9</x:v>
      </x:c>
      <x:c r="D30" s="2" t="s">
        <x:v>177</x:v>
      </x:c>
      <x:c r="E30" s="2" t="s">
        <x:v>193</x:v>
      </x:c>
      <x:c r="F30" s="2" t="s">
        <x:v>179</x:v>
      </x:c>
      <x:c r="G30" s="2" t="s">
        <x:v>2326</x:v>
      </x:c>
      <x:c r="H30" s="2" t="s">
        <x:v>96</x:v>
      </x:c>
      <x:c r="I30" s="2" t="s">
        <x:v>216</x:v>
      </x:c>
      <x:c r="J30" s="2" t="s">
        <x:v>181</x:v>
      </x:c>
      <x:c r="K30" s="2"/>
      <x:c r="L30" s="2" t="s">
        <x:v>220</x:v>
      </x:c>
      <x:c r="M30" s="2" t="s">
        <x:v>172</x:v>
      </x:c>
      <x:c r="N30" s="2">
        <x:v>1</x:v>
      </x:c>
      <x:c r="O30" s="2" t="s">
        <x:v>221</x:v>
      </x:c>
      <x:c r="P30" s="2" t="s">
        <x:v>174</x:v>
      </x:c>
      <x:c r="Q30" s="2"/>
      <x:c r="R30" s="3"/>
      <x:c r="S30" s="3"/>
      <x:c r="T30" s="2"/>
      <x:c r="U30" s="2"/>
      <x:c r="V30" s="2"/>
      <x:c r="W30" s="2" t="s">
        <x:v>216</x:v>
      </x:c>
      <x:c r="X30" s="3">
        <x:v>1</x:v>
      </x:c>
      <x:c r="Y30" s="3">
        <x:v>2</x:v>
      </x:c>
      <x:c r="Z30" s="2" t="s">
        <x:v>175</x:v>
      </x:c>
      <x:c r="AA30" s="2"/>
      <x:c r="AB30" s="2"/>
      <x:c r="AC30" s="2"/>
      <x:c r="AD30" s="2"/>
      <x:c r="AE30" s="2"/>
      <x:c r="AF30" s="2"/>
      <x:c r="AG30" s="2"/>
      <x:c r="AH30" s="2"/>
      <x:c r="AI30" s="4"/>
      <x:c r="AJ30" s="2"/>
      <x:c r="AK30" s="2" t="s">
        <x:v>176</x:v>
      </x:c>
      <x:c r="AL30" s="2" t="s">
        <x:v>2801</x:v>
      </x:c>
      <x:c r="AM30" s="2">
        <x:v>11</x:v>
      </x:c>
      <x:c r="AN30" s="2">
        <x:v>11</x:v>
      </x:c>
    </x:row>
    <x:row r="31" ht="26">
      <x:c r="A31" s="2" t="s">
        <x:v>91</x:v>
      </x:c>
      <x:c r="B31" s="2" t="s">
        <x:v>14</x:v>
      </x:c>
      <x:c r="C31" s="3">
        <x:v>10</x:v>
      </x:c>
      <x:c r="D31" s="2" t="s">
        <x:v>184</x:v>
      </x:c>
      <x:c r="E31" s="2" t="s">
        <x:v>973</x:v>
      </x:c>
      <x:c r="F31" s="2" t="s">
        <x:v>186</x:v>
      </x:c>
      <x:c r="G31" s="2" t="s">
        <x:v>2808</x:v>
      </x:c>
      <x:c r="H31" s="2" t="s">
        <x:v>96</x:v>
      </x:c>
      <x:c r="I31" s="2" t="s">
        <x:v>216</x:v>
      </x:c>
      <x:c r="J31" s="2" t="s">
        <x:v>188</x:v>
      </x:c>
      <x:c r="K31" s="2"/>
      <x:c r="L31" s="2" t="s">
        <x:v>975</x:v>
      </x:c>
      <x:c r="M31" s="2" t="s">
        <x:v>172</x:v>
      </x:c>
      <x:c r="N31" s="2">
        <x:v>1</x:v>
      </x:c>
      <x:c r="O31" s="2" t="s">
        <x:v>976</x:v>
      </x:c>
      <x:c r="P31" s="2" t="s">
        <x:v>174</x:v>
      </x:c>
      <x:c r="Q31" s="2"/>
      <x:c r="R31" s="3"/>
      <x:c r="S31" s="3"/>
      <x:c r="T31" s="2"/>
      <x:c r="U31" s="2"/>
      <x:c r="V31" s="2"/>
      <x:c r="W31" s="2" t="s">
        <x:v>216</x:v>
      </x:c>
      <x:c r="X31" s="3">
        <x:v>4</x:v>
      </x:c>
      <x:c r="Y31" s="3">
        <x:v>3</x:v>
      </x:c>
      <x:c r="Z31" s="2" t="s">
        <x:v>191</x:v>
      </x:c>
      <x:c r="AA31" s="2"/>
      <x:c r="AB31" s="2"/>
      <x:c r="AC31" s="2"/>
      <x:c r="AD31" s="2"/>
      <x:c r="AE31" s="2"/>
      <x:c r="AF31" s="2"/>
      <x:c r="AG31" s="2"/>
      <x:c r="AH31" s="2"/>
      <x:c r="AI31" s="4"/>
      <x:c r="AJ31" s="2"/>
      <x:c r="AK31" s="2" t="s">
        <x:v>176</x:v>
      </x:c>
      <x:c r="AL31" s="2" t="s">
        <x:v>2801</x:v>
      </x:c>
      <x:c r="AM31" s="2">
        <x:v>12</x:v>
      </x:c>
      <x:c r="AN31" s="2">
        <x:v>12</x:v>
      </x:c>
    </x:row>
    <x:row r="32" ht="26">
      <x:c r="A32" s="2" t="s">
        <x:v>91</x:v>
      </x:c>
      <x:c r="B32" s="2" t="s">
        <x:v>14</x:v>
      </x:c>
      <x:c r="C32" s="3">
        <x:v>11</x:v>
      </x:c>
      <x:c r="D32" s="2" t="s">
        <x:v>977</x:v>
      </x:c>
      <x:c r="E32" s="2" t="s">
        <x:v>978</x:v>
      </x:c>
      <x:c r="F32" s="2" t="s">
        <x:v>194</x:v>
      </x:c>
      <x:c r="G32" s="2" t="s">
        <x:v>2809</x:v>
      </x:c>
      <x:c r="H32" s="2" t="s">
        <x:v>96</x:v>
      </x:c>
      <x:c r="I32" s="2" t="s">
        <x:v>216</x:v>
      </x:c>
      <x:c r="J32" s="2" t="s">
        <x:v>195</x:v>
      </x:c>
      <x:c r="K32" s="2"/>
      <x:c r="L32" s="2" t="s">
        <x:v>979</x:v>
      </x:c>
      <x:c r="M32" s="2" t="s">
        <x:v>172</x:v>
      </x:c>
      <x:c r="N32" s="2">
        <x:v>1</x:v>
      </x:c>
      <x:c r="O32" s="2" t="s">
        <x:v>980</x:v>
      </x:c>
      <x:c r="P32" s="2" t="s">
        <x:v>174</x:v>
      </x:c>
      <x:c r="Q32" s="2"/>
      <x:c r="R32" s="3"/>
      <x:c r="S32" s="3"/>
      <x:c r="T32" s="2"/>
      <x:c r="U32" s="2"/>
      <x:c r="V32" s="2"/>
      <x:c r="W32" s="2" t="s">
        <x:v>216</x:v>
      </x:c>
      <x:c r="X32" s="3">
        <x:v>1</x:v>
      </x:c>
      <x:c r="Y32" s="3">
        <x:v>0</x:v>
      </x:c>
      <x:c r="Z32" s="2" t="s">
        <x:v>191</x:v>
      </x:c>
      <x:c r="AA32" s="2"/>
      <x:c r="AB32" s="2"/>
      <x:c r="AC32" s="2"/>
      <x:c r="AD32" s="2"/>
      <x:c r="AE32" s="2"/>
      <x:c r="AF32" s="2"/>
      <x:c r="AG32" s="2"/>
      <x:c r="AH32" s="2"/>
      <x:c r="AI32" s="4"/>
      <x:c r="AJ32" s="2"/>
      <x:c r="AK32" s="2" t="s">
        <x:v>176</x:v>
      </x:c>
      <x:c r="AL32" s="2" t="s">
        <x:v>2801</x:v>
      </x:c>
      <x:c r="AM32" s="2">
        <x:v>13</x:v>
      </x:c>
      <x:c r="AN32" s="2">
        <x:v>13</x:v>
      </x:c>
    </x:row>
    <x:row r="33" ht="26">
      <x:c r="A33" s="2" t="s">
        <x:v>6</x:v>
      </x:c>
      <x:c r="B33" s="2" t="s">
        <x:v>14</x:v>
      </x:c>
      <x:c r="C33" s="3">
        <x:v>12</x:v>
      </x:c>
      <x:c r="D33" s="2" t="s">
        <x:v>166</x:v>
      </x:c>
      <x:c r="E33" s="2" t="s">
        <x:v>981</x:v>
      </x:c>
      <x:c r="F33" s="2" t="s">
        <x:v>168</x:v>
      </x:c>
      <x:c r="G33" s="2" t="s">
        <x:v>2810</x:v>
      </x:c>
      <x:c r="H33" s="2" t="s">
        <x:v>96</x:v>
      </x:c>
      <x:c r="I33" s="2" t="s">
        <x:v>982</x:v>
      </x:c>
      <x:c r="J33" s="2" t="s">
        <x:v>170</x:v>
      </x:c>
      <x:c r="K33" s="2"/>
      <x:c r="L33" s="2" t="s">
        <x:v>983</x:v>
      </x:c>
      <x:c r="M33" s="2" t="s">
        <x:v>172</x:v>
      </x:c>
      <x:c r="N33" s="2">
        <x:v>1</x:v>
      </x:c>
      <x:c r="O33" s="2" t="s">
        <x:v>984</x:v>
      </x:c>
      <x:c r="P33" s="2" t="s">
        <x:v>174</x:v>
      </x:c>
      <x:c r="Q33" s="2"/>
      <x:c r="R33" s="3"/>
      <x:c r="S33" s="3"/>
      <x:c r="T33" s="2"/>
      <x:c r="U33" s="2"/>
      <x:c r="V33" s="2"/>
      <x:c r="W33" s="2" t="s">
        <x:v>982</x:v>
      </x:c>
      <x:c r="X33" s="3">
        <x:v>0</x:v>
      </x:c>
      <x:c r="Y33" s="3">
        <x:v>1</x:v>
      </x:c>
      <x:c r="Z33" s="2" t="s">
        <x:v>175</x:v>
      </x:c>
      <x:c r="AA33" s="2"/>
      <x:c r="AB33" s="2"/>
      <x:c r="AC33" s="2"/>
      <x:c r="AD33" s="2"/>
      <x:c r="AE33" s="2"/>
      <x:c r="AF33" s="2"/>
      <x:c r="AG33" s="2"/>
      <x:c r="AH33" s="2"/>
      <x:c r="AI33" s="4"/>
      <x:c r="AJ33" s="2"/>
      <x:c r="AK33" s="2" t="s">
        <x:v>176</x:v>
      </x:c>
      <x:c r="AL33" s="2" t="s">
        <x:v>2801</x:v>
      </x:c>
      <x:c r="AM33" s="2">
        <x:v>14</x:v>
      </x:c>
      <x:c r="AN33" s="2">
        <x:v>14</x:v>
      </x:c>
    </x:row>
    <x:row r="34" ht="26">
      <x:c r="A34" s="2" t="s">
        <x:v>6</x:v>
      </x:c>
      <x:c r="B34" s="2" t="s">
        <x:v>14</x:v>
      </x:c>
      <x:c r="C34" s="3">
        <x:v>13</x:v>
      </x:c>
      <x:c r="D34" s="2" t="s">
        <x:v>985</x:v>
      </x:c>
      <x:c r="E34" s="2" t="s">
        <x:v>986</x:v>
      </x:c>
      <x:c r="F34" s="2" t="s">
        <x:v>179</x:v>
      </x:c>
      <x:c r="G34" s="2" t="s">
        <x:v>2811</x:v>
      </x:c>
      <x:c r="H34" s="2" t="s">
        <x:v>96</x:v>
      </x:c>
      <x:c r="I34" s="2" t="s">
        <x:v>982</x:v>
      </x:c>
      <x:c r="J34" s="2" t="s">
        <x:v>181</x:v>
      </x:c>
      <x:c r="K34" s="2"/>
      <x:c r="L34" s="2" t="s">
        <x:v>987</x:v>
      </x:c>
      <x:c r="M34" s="2" t="s">
        <x:v>172</x:v>
      </x:c>
      <x:c r="N34" s="2">
        <x:v>1</x:v>
      </x:c>
      <x:c r="O34" s="2" t="s">
        <x:v>988</x:v>
      </x:c>
      <x:c r="P34" s="2" t="s">
        <x:v>174</x:v>
      </x:c>
      <x:c r="Q34" s="2"/>
      <x:c r="R34" s="3"/>
      <x:c r="S34" s="3"/>
      <x:c r="T34" s="2"/>
      <x:c r="U34" s="2"/>
      <x:c r="V34" s="2"/>
      <x:c r="W34" s="2" t="s">
        <x:v>982</x:v>
      </x:c>
      <x:c r="X34" s="3">
        <x:v>1</x:v>
      </x:c>
      <x:c r="Y34" s="3">
        <x:v>2</x:v>
      </x:c>
      <x:c r="Z34" s="2" t="s">
        <x:v>175</x:v>
      </x:c>
      <x:c r="AA34" s="2"/>
      <x:c r="AB34" s="2"/>
      <x:c r="AC34" s="2"/>
      <x:c r="AD34" s="2"/>
      <x:c r="AE34" s="2"/>
      <x:c r="AF34" s="2"/>
      <x:c r="AG34" s="2"/>
      <x:c r="AH34" s="2"/>
      <x:c r="AI34" s="4"/>
      <x:c r="AJ34" s="2"/>
      <x:c r="AK34" s="2" t="s">
        <x:v>176</x:v>
      </x:c>
      <x:c r="AL34" s="2" t="s">
        <x:v>2801</x:v>
      </x:c>
      <x:c r="AM34" s="2">
        <x:v>15</x:v>
      </x:c>
      <x:c r="AN34" s="2">
        <x:v>15</x:v>
      </x:c>
    </x:row>
    <x:row r="35" ht="26">
      <x:c r="A35" s="2" t="s">
        <x:v>91</x:v>
      </x:c>
      <x:c r="B35" s="2" t="s">
        <x:v>14</x:v>
      </x:c>
      <x:c r="C35" s="3">
        <x:v>14</x:v>
      </x:c>
      <x:c r="D35" s="2" t="s">
        <x:v>184</x:v>
      </x:c>
      <x:c r="E35" s="2" t="s">
        <x:v>989</x:v>
      </x:c>
      <x:c r="F35" s="2" t="s">
        <x:v>186</x:v>
      </x:c>
      <x:c r="G35" s="2" t="s">
        <x:v>2812</x:v>
      </x:c>
      <x:c r="H35" s="2" t="s">
        <x:v>96</x:v>
      </x:c>
      <x:c r="I35" s="2" t="s">
        <x:v>982</x:v>
      </x:c>
      <x:c r="J35" s="2" t="s">
        <x:v>188</x:v>
      </x:c>
      <x:c r="K35" s="2"/>
      <x:c r="L35" s="2" t="s">
        <x:v>991</x:v>
      </x:c>
      <x:c r="M35" s="2" t="s">
        <x:v>172</x:v>
      </x:c>
      <x:c r="N35" s="2">
        <x:v>1</x:v>
      </x:c>
      <x:c r="O35" s="2" t="s">
        <x:v>992</x:v>
      </x:c>
      <x:c r="P35" s="2" t="s">
        <x:v>174</x:v>
      </x:c>
      <x:c r="Q35" s="2"/>
      <x:c r="R35" s="3"/>
      <x:c r="S35" s="3"/>
      <x:c r="T35" s="2"/>
      <x:c r="U35" s="2"/>
      <x:c r="V35" s="2"/>
      <x:c r="W35" s="2" t="s">
        <x:v>982</x:v>
      </x:c>
      <x:c r="X35" s="3">
        <x:v>4</x:v>
      </x:c>
      <x:c r="Y35" s="3">
        <x:v>3</x:v>
      </x:c>
      <x:c r="Z35" s="2" t="s">
        <x:v>191</x:v>
      </x:c>
      <x:c r="AA35" s="2"/>
      <x:c r="AB35" s="2"/>
      <x:c r="AC35" s="2"/>
      <x:c r="AD35" s="2"/>
      <x:c r="AE35" s="2"/>
      <x:c r="AF35" s="2"/>
      <x:c r="AG35" s="2"/>
      <x:c r="AH35" s="2"/>
      <x:c r="AI35" s="4"/>
      <x:c r="AJ35" s="2"/>
      <x:c r="AK35" s="2" t="s">
        <x:v>176</x:v>
      </x:c>
      <x:c r="AL35" s="2" t="s">
        <x:v>2801</x:v>
      </x:c>
      <x:c r="AM35" s="2">
        <x:v>16</x:v>
      </x:c>
      <x:c r="AN35" s="2">
        <x:v>16</x:v>
      </x:c>
    </x:row>
    <x:row r="36" ht="39">
      <x:c r="A36" s="2" t="s">
        <x:v>91</x:v>
      </x:c>
      <x:c r="B36" s="2" t="s">
        <x:v>14</x:v>
      </x:c>
      <x:c r="C36" s="3">
        <x:v>15</x:v>
      </x:c>
      <x:c r="D36" s="2" t="s">
        <x:v>993</x:v>
      </x:c>
      <x:c r="E36" s="2" t="s">
        <x:v>994</x:v>
      </x:c>
      <x:c r="F36" s="2" t="s">
        <x:v>194</x:v>
      </x:c>
      <x:c r="G36" s="2" t="s">
        <x:v>2813</x:v>
      </x:c>
      <x:c r="H36" s="2" t="s">
        <x:v>96</x:v>
      </x:c>
      <x:c r="I36" s="2" t="s">
        <x:v>982</x:v>
      </x:c>
      <x:c r="J36" s="2" t="s">
        <x:v>195</x:v>
      </x:c>
      <x:c r="K36" s="2"/>
      <x:c r="L36" s="2" t="s">
        <x:v>995</x:v>
      </x:c>
      <x:c r="M36" s="2" t="s">
        <x:v>172</x:v>
      </x:c>
      <x:c r="N36" s="2">
        <x:v>1</x:v>
      </x:c>
      <x:c r="O36" s="2" t="s">
        <x:v>996</x:v>
      </x:c>
      <x:c r="P36" s="2" t="s">
        <x:v>174</x:v>
      </x:c>
      <x:c r="Q36" s="2"/>
      <x:c r="R36" s="3"/>
      <x:c r="S36" s="3"/>
      <x:c r="T36" s="2"/>
      <x:c r="U36" s="2"/>
      <x:c r="V36" s="2"/>
      <x:c r="W36" s="2" t="s">
        <x:v>982</x:v>
      </x:c>
      <x:c r="X36" s="3">
        <x:v>1</x:v>
      </x:c>
      <x:c r="Y36" s="3">
        <x:v>0</x:v>
      </x:c>
      <x:c r="Z36" s="2" t="s">
        <x:v>191</x:v>
      </x:c>
      <x:c r="AA36" s="2"/>
      <x:c r="AB36" s="2"/>
      <x:c r="AC36" s="2"/>
      <x:c r="AD36" s="2"/>
      <x:c r="AE36" s="2"/>
      <x:c r="AF36" s="2"/>
      <x:c r="AG36" s="2"/>
      <x:c r="AH36" s="2"/>
      <x:c r="AI36" s="4"/>
      <x:c r="AJ36" s="2"/>
      <x:c r="AK36" s="2" t="s">
        <x:v>176</x:v>
      </x:c>
      <x:c r="AL36" s="2" t="s">
        <x:v>2801</x:v>
      </x:c>
      <x:c r="AM36" s="2">
        <x:v>17</x:v>
      </x:c>
      <x:c r="AN36" s="2">
        <x:v>17</x:v>
      </x:c>
    </x:row>
    <x:row r="37" ht="26">
      <x:c r="A37" s="2" t="s">
        <x:v>91</x:v>
      </x:c>
      <x:c r="B37" s="2" t="s">
        <x:v>14</x:v>
      </x:c>
      <x:c r="C37" s="3">
        <x:v>16</x:v>
      </x:c>
      <x:c r="D37" s="2" t="s">
        <x:v>166</x:v>
      </x:c>
      <x:c r="E37" s="2" t="s">
        <x:v>997</x:v>
      </x:c>
      <x:c r="F37" s="2" t="s">
        <x:v>998</x:v>
      </x:c>
      <x:c r="G37" s="2" t="s">
        <x:v>2814</x:v>
      </x:c>
      <x:c r="H37" s="2" t="s">
        <x:v>96</x:v>
      </x:c>
      <x:c r="I37" s="2" t="s">
        <x:v>999</x:v>
      </x:c>
      <x:c r="J37" s="2" t="s">
        <x:v>170</x:v>
      </x:c>
      <x:c r="K37" s="2"/>
      <x:c r="L37" s="2" t="s">
        <x:v>1000</x:v>
      </x:c>
      <x:c r="M37" s="2" t="s">
        <x:v>172</x:v>
      </x:c>
      <x:c r="N37" s="2">
        <x:v>1</x:v>
      </x:c>
      <x:c r="O37" s="2" t="s">
        <x:v>1001</x:v>
      </x:c>
      <x:c r="P37" s="2" t="s">
        <x:v>174</x:v>
      </x:c>
      <x:c r="Q37" s="2"/>
      <x:c r="R37" s="3"/>
      <x:c r="S37" s="3"/>
      <x:c r="T37" s="2"/>
      <x:c r="U37" s="2"/>
      <x:c r="V37" s="2"/>
      <x:c r="W37" s="2" t="s">
        <x:v>999</x:v>
      </x:c>
      <x:c r="X37" s="3">
        <x:v>0</x:v>
      </x:c>
      <x:c r="Y37" s="3">
        <x:v>1</x:v>
      </x:c>
      <x:c r="Z37" s="2" t="s">
        <x:v>175</x:v>
      </x:c>
      <x:c r="AA37" s="2"/>
      <x:c r="AB37" s="2"/>
      <x:c r="AC37" s="2"/>
      <x:c r="AD37" s="2"/>
      <x:c r="AE37" s="2"/>
      <x:c r="AF37" s="2"/>
      <x:c r="AG37" s="2"/>
      <x:c r="AH37" s="2"/>
      <x:c r="AI37" s="4"/>
      <x:c r="AJ37" s="2"/>
      <x:c r="AK37" s="2" t="s">
        <x:v>176</x:v>
      </x:c>
      <x:c r="AL37" s="2" t="s">
        <x:v>2801</x:v>
      </x:c>
      <x:c r="AM37" s="2">
        <x:v>18</x:v>
      </x:c>
      <x:c r="AN37" s="2">
        <x:v>18</x:v>
      </x:c>
    </x:row>
    <x:row r="38" ht="26">
      <x:c r="A38" s="2" t="s">
        <x:v>91</x:v>
      </x:c>
      <x:c r="B38" s="2" t="s">
        <x:v>14</x:v>
      </x:c>
      <x:c r="C38" s="3">
        <x:v>17</x:v>
      </x:c>
      <x:c r="D38" s="2" t="s">
        <x:v>985</x:v>
      </x:c>
      <x:c r="E38" s="2" t="s">
        <x:v>978</x:v>
      </x:c>
      <x:c r="F38" s="2" t="s">
        <x:v>1002</x:v>
      </x:c>
      <x:c r="G38" s="2" t="s">
        <x:v>2815</x:v>
      </x:c>
      <x:c r="H38" s="2" t="s">
        <x:v>96</x:v>
      </x:c>
      <x:c r="I38" s="2" t="s">
        <x:v>999</x:v>
      </x:c>
      <x:c r="J38" s="2" t="s">
        <x:v>181</x:v>
      </x:c>
      <x:c r="K38" s="2"/>
      <x:c r="L38" s="2" t="s">
        <x:v>1003</x:v>
      </x:c>
      <x:c r="M38" s="2" t="s">
        <x:v>172</x:v>
      </x:c>
      <x:c r="N38" s="2">
        <x:v>1</x:v>
      </x:c>
      <x:c r="O38" s="2" t="s">
        <x:v>1004</x:v>
      </x:c>
      <x:c r="P38" s="2" t="s">
        <x:v>174</x:v>
      </x:c>
      <x:c r="Q38" s="2"/>
      <x:c r="R38" s="3"/>
      <x:c r="S38" s="3"/>
      <x:c r="T38" s="2"/>
      <x:c r="U38" s="2"/>
      <x:c r="V38" s="2"/>
      <x:c r="W38" s="2" t="s">
        <x:v>999</x:v>
      </x:c>
      <x:c r="X38" s="3">
        <x:v>1</x:v>
      </x:c>
      <x:c r="Y38" s="3">
        <x:v>2</x:v>
      </x:c>
      <x:c r="Z38" s="2" t="s">
        <x:v>175</x:v>
      </x:c>
      <x:c r="AA38" s="2"/>
      <x:c r="AB38" s="2"/>
      <x:c r="AC38" s="2"/>
      <x:c r="AD38" s="2"/>
      <x:c r="AE38" s="2"/>
      <x:c r="AF38" s="2"/>
      <x:c r="AG38" s="2"/>
      <x:c r="AH38" s="2"/>
      <x:c r="AI38" s="4"/>
      <x:c r="AJ38" s="2"/>
      <x:c r="AK38" s="2" t="s">
        <x:v>176</x:v>
      </x:c>
      <x:c r="AL38" s="2" t="s">
        <x:v>2801</x:v>
      </x:c>
      <x:c r="AM38" s="2">
        <x:v>19</x:v>
      </x:c>
      <x:c r="AN38" s="2">
        <x:v>19</x:v>
      </x:c>
    </x:row>
    <x:row r="39" ht="26">
      <x:c r="A39" s="2" t="s">
        <x:v>6</x:v>
      </x:c>
      <x:c r="B39" s="2" t="s">
        <x:v>14</x:v>
      </x:c>
      <x:c r="C39" s="3">
        <x:v>18</x:v>
      </x:c>
      <x:c r="D39" s="2" t="s">
        <x:v>184</x:v>
      </x:c>
      <x:c r="E39" s="2" t="s">
        <x:v>989</x:v>
      </x:c>
      <x:c r="F39" s="2" t="s">
        <x:v>186</x:v>
      </x:c>
      <x:c r="G39" s="2" t="s">
        <x:v>2816</x:v>
      </x:c>
      <x:c r="H39" s="2" t="s">
        <x:v>96</x:v>
      </x:c>
      <x:c r="I39" s="2" t="s">
        <x:v>999</x:v>
      </x:c>
      <x:c r="J39" s="2" t="s">
        <x:v>188</x:v>
      </x:c>
      <x:c r="K39" s="2"/>
      <x:c r="L39" s="2" t="s">
        <x:v>1005</x:v>
      </x:c>
      <x:c r="M39" s="2" t="s">
        <x:v>172</x:v>
      </x:c>
      <x:c r="N39" s="2">
        <x:v>1</x:v>
      </x:c>
      <x:c r="O39" s="2" t="s">
        <x:v>1006</x:v>
      </x:c>
      <x:c r="P39" s="2" t="s">
        <x:v>174</x:v>
      </x:c>
      <x:c r="Q39" s="2"/>
      <x:c r="R39" s="3"/>
      <x:c r="S39" s="3"/>
      <x:c r="T39" s="2"/>
      <x:c r="U39" s="2"/>
      <x:c r="V39" s="2"/>
      <x:c r="W39" s="2" t="s">
        <x:v>999</x:v>
      </x:c>
      <x:c r="X39" s="3">
        <x:v>4</x:v>
      </x:c>
      <x:c r="Y39" s="3">
        <x:v>3</x:v>
      </x:c>
      <x:c r="Z39" s="2" t="s">
        <x:v>191</x:v>
      </x:c>
      <x:c r="AA39" s="2"/>
      <x:c r="AB39" s="2"/>
      <x:c r="AC39" s="2"/>
      <x:c r="AD39" s="2"/>
      <x:c r="AE39" s="2"/>
      <x:c r="AF39" s="2"/>
      <x:c r="AG39" s="2"/>
      <x:c r="AH39" s="2"/>
      <x:c r="AI39" s="4"/>
      <x:c r="AJ39" s="2"/>
      <x:c r="AK39" s="2" t="s">
        <x:v>176</x:v>
      </x:c>
      <x:c r="AL39" s="2" t="s">
        <x:v>2801</x:v>
      </x:c>
      <x:c r="AM39" s="2">
        <x:v>20</x:v>
      </x:c>
      <x:c r="AN39" s="2">
        <x:v>20</x:v>
      </x:c>
    </x:row>
    <x:row r="40" ht="26">
      <x:c r="A40" s="2" t="s">
        <x:v>91</x:v>
      </x:c>
      <x:c r="B40" s="2" t="s">
        <x:v>14</x:v>
      </x:c>
      <x:c r="C40" s="3">
        <x:v>19</x:v>
      </x:c>
      <x:c r="D40" s="2" t="s">
        <x:v>977</x:v>
      </x:c>
      <x:c r="E40" s="2" t="s">
        <x:v>1007</x:v>
      </x:c>
      <x:c r="F40" s="2" t="s">
        <x:v>194</x:v>
      </x:c>
      <x:c r="G40" s="2" t="s">
        <x:v>158</x:v>
      </x:c>
      <x:c r="H40" s="2" t="s">
        <x:v>96</x:v>
      </x:c>
      <x:c r="I40" s="2" t="s">
        <x:v>999</x:v>
      </x:c>
      <x:c r="J40" s="2" t="s">
        <x:v>195</x:v>
      </x:c>
      <x:c r="K40" s="2"/>
      <x:c r="L40" s="2" t="s">
        <x:v>1008</x:v>
      </x:c>
      <x:c r="M40" s="2" t="s">
        <x:v>172</x:v>
      </x:c>
      <x:c r="N40" s="2">
        <x:v>1</x:v>
      </x:c>
      <x:c r="O40" s="2" t="s">
        <x:v>1009</x:v>
      </x:c>
      <x:c r="P40" s="2" t="s">
        <x:v>174</x:v>
      </x:c>
      <x:c r="Q40" s="2"/>
      <x:c r="R40" s="3"/>
      <x:c r="S40" s="3"/>
      <x:c r="T40" s="2"/>
      <x:c r="U40" s="2"/>
      <x:c r="V40" s="2"/>
      <x:c r="W40" s="2" t="s">
        <x:v>999</x:v>
      </x:c>
      <x:c r="X40" s="3">
        <x:v>1</x:v>
      </x:c>
      <x:c r="Y40" s="3">
        <x:v>0</x:v>
      </x:c>
      <x:c r="Z40" s="2" t="s">
        <x:v>191</x:v>
      </x:c>
      <x:c r="AA40" s="2"/>
      <x:c r="AB40" s="2"/>
      <x:c r="AC40" s="2"/>
      <x:c r="AD40" s="2"/>
      <x:c r="AE40" s="2"/>
      <x:c r="AF40" s="2"/>
      <x:c r="AG40" s="2"/>
      <x:c r="AH40" s="2"/>
      <x:c r="AI40" s="4"/>
      <x:c r="AJ40" s="2"/>
      <x:c r="AK40" s="2" t="s">
        <x:v>176</x:v>
      </x:c>
      <x:c r="AL40" s="2" t="s">
        <x:v>2801</x:v>
      </x:c>
      <x:c r="AM40" s="2">
        <x:v>21</x:v>
      </x:c>
      <x:c r="AN40" s="2">
        <x:v>21</x:v>
      </x:c>
    </x:row>
    <x:row r="41" ht="39">
      <x:c r="A41" s="2" t="s">
        <x:v>91</x:v>
      </x:c>
      <x:c r="B41" s="2" t="s">
        <x:v>15</x:v>
      </x:c>
      <x:c r="C41" s="3">
        <x:v>0</x:v>
      </x:c>
      <x:c r="D41" s="2" t="s">
        <x:v>222</x:v>
      </x:c>
      <x:c r="E41" s="2" t="s">
        <x:v>223</x:v>
      </x:c>
      <x:c r="F41" s="2" t="s">
        <x:v>224</x:v>
      </x:c>
      <x:c r="G41" s="2" t="s">
        <x:v>2817</x:v>
      </x:c>
      <x:c r="H41" s="2" t="s">
        <x:v>96</x:v>
      </x:c>
      <x:c r="I41" s="2" t="s">
        <x:v>226</x:v>
      </x:c>
      <x:c r="J41" s="2" t="s">
        <x:v>227</x:v>
      </x:c>
      <x:c r="K41" s="2"/>
      <x:c r="L41" s="2"/>
      <x:c r="M41" s="2"/>
      <x:c r="N41" s="2" t="s">
        <x:v>228</x:v>
      </x:c>
      <x:c r="O41" s="2" t="s">
        <x:v>229</x:v>
      </x:c>
      <x:c r="P41" s="2" t="s">
        <x:v>230</x:v>
      </x:c>
      <x:c r="Q41" s="2"/>
      <x:c r="R41" s="3">
        <x:v>2</x:v>
      </x:c>
      <x:c r="S41" s="3"/>
      <x:c r="T41" s="2"/>
      <x:c r="U41" s="2"/>
      <x:c r="V41" s="2"/>
      <x:c r="W41" s="2" t="s">
        <x:v>231</x:v>
      </x:c>
      <x:c r="X41" s="3"/>
      <x:c r="Y41" s="3"/>
      <x:c r="Z41" s="2"/>
      <x:c r="AA41" s="2" t="s">
        <x:v>232</x:v>
      </x:c>
      <x:c r="AB41" s="2" t="s">
        <x:v>233</x:v>
      </x:c>
      <x:c r="AC41" s="2"/>
      <x:c r="AD41" s="2"/>
      <x:c r="AE41" s="2"/>
      <x:c r="AF41" s="2"/>
      <x:c r="AG41" s="2"/>
      <x:c r="AH41" s="2"/>
      <x:c r="AI41" s="4"/>
      <x:c r="AJ41" s="2"/>
      <x:c r="AK41" s="2" t="s">
        <x:v>234</x:v>
      </x:c>
      <x:c r="AL41" s="2" t="s">
        <x:v>2788</x:v>
      </x:c>
      <x:c r="AM41" s="2">
        <x:v>2</x:v>
      </x:c>
      <x:c r="AN41" s="2">
        <x:v>2</x:v>
      </x:c>
    </x:row>
    <x:row r="42" ht="39">
      <x:c r="A42" s="2" t="s">
        <x:v>91</x:v>
      </x:c>
      <x:c r="B42" s="2" t="s">
        <x:v>15</x:v>
      </x:c>
      <x:c r="C42" s="3">
        <x:v>1</x:v>
      </x:c>
      <x:c r="D42" s="2" t="s">
        <x:v>236</x:v>
      </x:c>
      <x:c r="E42" s="2" t="s">
        <x:v>223</x:v>
      </x:c>
      <x:c r="F42" s="2" t="s">
        <x:v>237</x:v>
      </x:c>
      <x:c r="G42" s="2" t="s">
        <x:v>2818</x:v>
      </x:c>
      <x:c r="H42" s="2" t="s">
        <x:v>96</x:v>
      </x:c>
      <x:c r="I42" s="2" t="s">
        <x:v>239</x:v>
      </x:c>
      <x:c r="J42" s="2" t="s">
        <x:v>240</x:v>
      </x:c>
      <x:c r="K42" s="2"/>
      <x:c r="L42" s="2"/>
      <x:c r="M42" s="2"/>
      <x:c r="N42" s="2" t="s">
        <x:v>228</x:v>
      </x:c>
      <x:c r="O42" s="2" t="s">
        <x:v>241</x:v>
      </x:c>
      <x:c r="P42" s="2" t="s">
        <x:v>242</x:v>
      </x:c>
      <x:c r="Q42" s="2"/>
      <x:c r="R42" s="3">
        <x:v>2</x:v>
      </x:c>
      <x:c r="S42" s="3"/>
      <x:c r="T42" s="2"/>
      <x:c r="U42" s="2"/>
      <x:c r="V42" s="2"/>
      <x:c r="W42" s="2" t="s">
        <x:v>231</x:v>
      </x:c>
      <x:c r="X42" s="3"/>
      <x:c r="Y42" s="3"/>
      <x:c r="Z42" s="2"/>
      <x:c r="AA42" s="2" t="s">
        <x:v>243</x:v>
      </x:c>
      <x:c r="AB42" s="2" t="s">
        <x:v>244</x:v>
      </x:c>
      <x:c r="AC42" s="2"/>
      <x:c r="AD42" s="2"/>
      <x:c r="AE42" s="2"/>
      <x:c r="AF42" s="2"/>
      <x:c r="AG42" s="2"/>
      <x:c r="AH42" s="2"/>
      <x:c r="AI42" s="4"/>
      <x:c r="AJ42" s="2"/>
      <x:c r="AK42" s="2" t="s">
        <x:v>234</x:v>
      </x:c>
      <x:c r="AL42" s="2" t="s">
        <x:v>2788</x:v>
      </x:c>
      <x:c r="AM42" s="2">
        <x:v>3</x:v>
      </x:c>
      <x:c r="AN42" s="2">
        <x:v>3</x:v>
      </x:c>
    </x:row>
    <x:row r="43" ht="39">
      <x:c r="A43" s="2" t="s">
        <x:v>91</x:v>
      </x:c>
      <x:c r="B43" s="2" t="s">
        <x:v>15</x:v>
      </x:c>
      <x:c r="C43" s="3">
        <x:v>2</x:v>
      </x:c>
      <x:c r="D43" s="2" t="s">
        <x:v>245</x:v>
      </x:c>
      <x:c r="E43" s="2" t="s">
        <x:v>246</x:v>
      </x:c>
      <x:c r="F43" s="2" t="s">
        <x:v>247</x:v>
      </x:c>
      <x:c r="G43" s="2" t="s">
        <x:v>2819</x:v>
      </x:c>
      <x:c r="H43" s="2" t="s">
        <x:v>96</x:v>
      </x:c>
      <x:c r="I43" s="2" t="s">
        <x:v>248</x:v>
      </x:c>
      <x:c r="J43" s="2" t="s">
        <x:v>249</x:v>
      </x:c>
      <x:c r="K43" s="2"/>
      <x:c r="L43" s="2"/>
      <x:c r="M43" s="2"/>
      <x:c r="N43" s="2" t="s">
        <x:v>228</x:v>
      </x:c>
      <x:c r="O43" s="2" t="s">
        <x:v>250</x:v>
      </x:c>
      <x:c r="P43" s="2" t="s">
        <x:v>251</x:v>
      </x:c>
      <x:c r="Q43" s="2"/>
      <x:c r="R43" s="3">
        <x:v>2</x:v>
      </x:c>
      <x:c r="S43" s="3"/>
      <x:c r="T43" s="2"/>
      <x:c r="U43" s="2"/>
      <x:c r="V43" s="2"/>
      <x:c r="W43" s="2" t="s">
        <x:v>231</x:v>
      </x:c>
      <x:c r="X43" s="3"/>
      <x:c r="Y43" s="3"/>
      <x:c r="Z43" s="2"/>
      <x:c r="AA43" s="2" t="s">
        <x:v>243</x:v>
      </x:c>
      <x:c r="AB43" s="2" t="s">
        <x:v>244</x:v>
      </x:c>
      <x:c r="AC43" s="2"/>
      <x:c r="AD43" s="2"/>
      <x:c r="AE43" s="2"/>
      <x:c r="AF43" s="2"/>
      <x:c r="AG43" s="2"/>
      <x:c r="AH43" s="2"/>
      <x:c r="AI43" s="4"/>
      <x:c r="AJ43" s="2"/>
      <x:c r="AK43" s="2" t="s">
        <x:v>234</x:v>
      </x:c>
      <x:c r="AL43" s="2" t="s">
        <x:v>2788</x:v>
      </x:c>
      <x:c r="AM43" s="2">
        <x:v>4</x:v>
      </x:c>
      <x:c r="AN43" s="2">
        <x:v>4</x:v>
      </x:c>
    </x:row>
    <x:row r="44" ht="39">
      <x:c r="A44" s="2" t="s">
        <x:v>91</x:v>
      </x:c>
      <x:c r="B44" s="2" t="s">
        <x:v>15</x:v>
      </x:c>
      <x:c r="C44" s="3">
        <x:v>3</x:v>
      </x:c>
      <x:c r="D44" s="2" t="s">
        <x:v>252</x:v>
      </x:c>
      <x:c r="E44" s="2" t="s">
        <x:v>253</x:v>
      </x:c>
      <x:c r="F44" s="2" t="s">
        <x:v>254</x:v>
      </x:c>
      <x:c r="G44" s="2" t="s">
        <x:v>2820</x:v>
      </x:c>
      <x:c r="H44" s="2" t="s">
        <x:v>96</x:v>
      </x:c>
      <x:c r="I44" s="2" t="s">
        <x:v>256</x:v>
      </x:c>
      <x:c r="J44" s="2" t="s">
        <x:v>257</x:v>
      </x:c>
      <x:c r="K44" s="2"/>
      <x:c r="L44" s="2"/>
      <x:c r="M44" s="2"/>
      <x:c r="N44" s="2" t="s">
        <x:v>228</x:v>
      </x:c>
      <x:c r="O44" s="2" t="s">
        <x:v>258</x:v>
      </x:c>
      <x:c r="P44" s="2" t="s">
        <x:v>259</x:v>
      </x:c>
      <x:c r="Q44" s="2"/>
      <x:c r="R44" s="3">
        <x:v>2</x:v>
      </x:c>
      <x:c r="S44" s="3"/>
      <x:c r="T44" s="2"/>
      <x:c r="U44" s="2"/>
      <x:c r="V44" s="2"/>
      <x:c r="W44" s="2" t="s">
        <x:v>231</x:v>
      </x:c>
      <x:c r="X44" s="3"/>
      <x:c r="Y44" s="3"/>
      <x:c r="Z44" s="2"/>
      <x:c r="AA44" s="2" t="s">
        <x:v>232</x:v>
      </x:c>
      <x:c r="AB44" s="2" t="s">
        <x:v>233</x:v>
      </x:c>
      <x:c r="AC44" s="2"/>
      <x:c r="AD44" s="2"/>
      <x:c r="AE44" s="2"/>
      <x:c r="AF44" s="2"/>
      <x:c r="AG44" s="2"/>
      <x:c r="AH44" s="2"/>
      <x:c r="AI44" s="4"/>
      <x:c r="AJ44" s="2"/>
      <x:c r="AK44" s="2" t="s">
        <x:v>234</x:v>
      </x:c>
      <x:c r="AL44" s="2" t="s">
        <x:v>2788</x:v>
      </x:c>
      <x:c r="AM44" s="2">
        <x:v>5</x:v>
      </x:c>
      <x:c r="AN44" s="2">
        <x:v>5</x:v>
      </x:c>
    </x:row>
    <x:row r="45" ht="39">
      <x:c r="A45" s="2" t="s">
        <x:v>91</x:v>
      </x:c>
      <x:c r="B45" s="2" t="s">
        <x:v>15</x:v>
      </x:c>
      <x:c r="C45" s="3">
        <x:v>4</x:v>
      </x:c>
      <x:c r="D45" s="2" t="s">
        <x:v>260</x:v>
      </x:c>
      <x:c r="E45" s="2" t="s">
        <x:v>261</x:v>
      </x:c>
      <x:c r="F45" s="2" t="s">
        <x:v>237</x:v>
      </x:c>
      <x:c r="G45" s="2" t="s">
        <x:v>1415</x:v>
      </x:c>
      <x:c r="H45" s="2" t="s">
        <x:v>96</x:v>
      </x:c>
      <x:c r="I45" s="2" t="s">
        <x:v>263</x:v>
      </x:c>
      <x:c r="J45" s="2" t="s">
        <x:v>264</x:v>
      </x:c>
      <x:c r="K45" s="2"/>
      <x:c r="L45" s="2"/>
      <x:c r="M45" s="2"/>
      <x:c r="N45" s="2" t="s">
        <x:v>228</x:v>
      </x:c>
      <x:c r="O45" s="2" t="s">
        <x:v>265</x:v>
      </x:c>
      <x:c r="P45" s="2" t="s">
        <x:v>266</x:v>
      </x:c>
      <x:c r="Q45" s="2"/>
      <x:c r="R45" s="3">
        <x:v>3</x:v>
      </x:c>
      <x:c r="S45" s="3"/>
      <x:c r="T45" s="2"/>
      <x:c r="U45" s="2"/>
      <x:c r="V45" s="2"/>
      <x:c r="W45" s="2" t="s">
        <x:v>231</x:v>
      </x:c>
      <x:c r="X45" s="3"/>
      <x:c r="Y45" s="3"/>
      <x:c r="Z45" s="2"/>
      <x:c r="AA45" s="2" t="s">
        <x:v>232</x:v>
      </x:c>
      <x:c r="AB45" s="2" t="s">
        <x:v>267</x:v>
      </x:c>
      <x:c r="AC45" s="2"/>
      <x:c r="AD45" s="2"/>
      <x:c r="AE45" s="2"/>
      <x:c r="AF45" s="2"/>
      <x:c r="AG45" s="2"/>
      <x:c r="AH45" s="2"/>
      <x:c r="AI45" s="4"/>
      <x:c r="AJ45" s="2"/>
      <x:c r="AK45" s="2" t="s">
        <x:v>234</x:v>
      </x:c>
      <x:c r="AL45" s="2" t="s">
        <x:v>2788</x:v>
      </x:c>
      <x:c r="AM45" s="2">
        <x:v>6</x:v>
      </x:c>
      <x:c r="AN45" s="2">
        <x:v>6</x:v>
      </x:c>
    </x:row>
    <x:row r="46" ht="39">
      <x:c r="A46" s="2" t="s">
        <x:v>91</x:v>
      </x:c>
      <x:c r="B46" s="2" t="s">
        <x:v>15</x:v>
      </x:c>
      <x:c r="C46" s="3">
        <x:v>5</x:v>
      </x:c>
      <x:c r="D46" s="2" t="s">
        <x:v>268</x:v>
      </x:c>
      <x:c r="E46" s="2" t="s">
        <x:v>269</x:v>
      </x:c>
      <x:c r="F46" s="2" t="s">
        <x:v>224</x:v>
      </x:c>
      <x:c r="G46" s="2" t="s">
        <x:v>1452</x:v>
      </x:c>
      <x:c r="H46" s="2" t="s">
        <x:v>96</x:v>
      </x:c>
      <x:c r="I46" s="2" t="s">
        <x:v>271</x:v>
      </x:c>
      <x:c r="J46" s="2" t="s">
        <x:v>272</x:v>
      </x:c>
      <x:c r="K46" s="2"/>
      <x:c r="L46" s="2"/>
      <x:c r="M46" s="2"/>
      <x:c r="N46" s="2" t="s">
        <x:v>228</x:v>
      </x:c>
      <x:c r="O46" s="2" t="s">
        <x:v>273</x:v>
      </x:c>
      <x:c r="P46" s="2" t="s">
        <x:v>274</x:v>
      </x:c>
      <x:c r="Q46" s="2"/>
      <x:c r="R46" s="3">
        <x:v>3</x:v>
      </x:c>
      <x:c r="S46" s="3"/>
      <x:c r="T46" s="2"/>
      <x:c r="U46" s="2"/>
      <x:c r="V46" s="2"/>
      <x:c r="W46" s="2" t="s">
        <x:v>231</x:v>
      </x:c>
      <x:c r="X46" s="3"/>
      <x:c r="Y46" s="3"/>
      <x:c r="Z46" s="2"/>
      <x:c r="AA46" s="2" t="s">
        <x:v>275</x:v>
      </x:c>
      <x:c r="AB46" s="2" t="s">
        <x:v>276</x:v>
      </x:c>
      <x:c r="AC46" s="2"/>
      <x:c r="AD46" s="2"/>
      <x:c r="AE46" s="2"/>
      <x:c r="AF46" s="2"/>
      <x:c r="AG46" s="2"/>
      <x:c r="AH46" s="2"/>
      <x:c r="AI46" s="4"/>
      <x:c r="AJ46" s="2"/>
      <x:c r="AK46" s="2" t="s">
        <x:v>234</x:v>
      </x:c>
      <x:c r="AL46" s="2" t="s">
        <x:v>2788</x:v>
      </x:c>
      <x:c r="AM46" s="2">
        <x:v>7</x:v>
      </x:c>
      <x:c r="AN46" s="2">
        <x:v>7</x:v>
      </x:c>
    </x:row>
    <x:row r="47" ht="39">
      <x:c r="A47" s="2" t="s">
        <x:v>6</x:v>
      </x:c>
      <x:c r="B47" s="2" t="s">
        <x:v>15</x:v>
      </x:c>
      <x:c r="C47" s="3">
        <x:v>6</x:v>
      </x:c>
      <x:c r="D47" s="2" t="s">
        <x:v>277</x:v>
      </x:c>
      <x:c r="E47" s="2" t="s">
        <x:v>278</x:v>
      </x:c>
      <x:c r="F47" s="2" t="s">
        <x:v>254</x:v>
      </x:c>
      <x:c r="G47" s="2"/>
      <x:c r="H47" s="2" t="s">
        <x:v>96</x:v>
      </x:c>
      <x:c r="I47" s="2" t="s">
        <x:v>280</x:v>
      </x:c>
      <x:c r="J47" s="2" t="s">
        <x:v>281</x:v>
      </x:c>
      <x:c r="K47" s="2"/>
      <x:c r="L47" s="2"/>
      <x:c r="M47" s="2"/>
      <x:c r="N47" s="2" t="s">
        <x:v>228</x:v>
      </x:c>
      <x:c r="O47" s="2" t="s">
        <x:v>282</x:v>
      </x:c>
      <x:c r="P47" s="2" t="s">
        <x:v>283</x:v>
      </x:c>
      <x:c r="Q47" s="2"/>
      <x:c r="R47" s="3">
        <x:v>3</x:v>
      </x:c>
      <x:c r="S47" s="3"/>
      <x:c r="T47" s="2"/>
      <x:c r="U47" s="2"/>
      <x:c r="V47" s="2"/>
      <x:c r="W47" s="2" t="s">
        <x:v>231</x:v>
      </x:c>
      <x:c r="X47" s="3"/>
      <x:c r="Y47" s="3"/>
      <x:c r="Z47" s="2"/>
      <x:c r="AA47" s="2" t="s">
        <x:v>275</x:v>
      </x:c>
      <x:c r="AB47" s="2" t="s">
        <x:v>284</x:v>
      </x:c>
      <x:c r="AC47" s="2"/>
      <x:c r="AD47" s="2"/>
      <x:c r="AE47" s="2"/>
      <x:c r="AF47" s="2"/>
      <x:c r="AG47" s="2"/>
      <x:c r="AH47" s="2"/>
      <x:c r="AI47" s="4"/>
      <x:c r="AJ47" s="2"/>
      <x:c r="AK47" s="2" t="s">
        <x:v>234</x:v>
      </x:c>
      <x:c r="AL47" s="2" t="s">
        <x:v>2788</x:v>
      </x:c>
      <x:c r="AM47" s="2">
        <x:v>8</x:v>
      </x:c>
      <x:c r="AN47" s="2">
        <x:v>8</x:v>
      </x:c>
    </x:row>
    <x:row r="48" ht="39">
      <x:c r="A48" s="2" t="s">
        <x:v>91</x:v>
      </x:c>
      <x:c r="B48" s="2" t="s">
        <x:v>15</x:v>
      </x:c>
      <x:c r="C48" s="3">
        <x:v>7</x:v>
      </x:c>
      <x:c r="D48" s="2" t="s">
        <x:v>285</x:v>
      </x:c>
      <x:c r="E48" s="2" t="s">
        <x:v>286</x:v>
      </x:c>
      <x:c r="F48" s="2" t="s">
        <x:v>247</x:v>
      </x:c>
      <x:c r="G48" s="2" t="s">
        <x:v>1290</x:v>
      </x:c>
      <x:c r="H48" s="2" t="s">
        <x:v>96</x:v>
      </x:c>
      <x:c r="I48" s="2" t="s">
        <x:v>288</x:v>
      </x:c>
      <x:c r="J48" s="2" t="s">
        <x:v>289</x:v>
      </x:c>
      <x:c r="K48" s="2"/>
      <x:c r="L48" s="2"/>
      <x:c r="M48" s="2"/>
      <x:c r="N48" s="2" t="s">
        <x:v>228</x:v>
      </x:c>
      <x:c r="O48" s="2" t="s">
        <x:v>290</x:v>
      </x:c>
      <x:c r="P48" s="2" t="s">
        <x:v>291</x:v>
      </x:c>
      <x:c r="Q48" s="2"/>
      <x:c r="R48" s="3">
        <x:v>3</x:v>
      </x:c>
      <x:c r="S48" s="3"/>
      <x:c r="T48" s="2"/>
      <x:c r="U48" s="2"/>
      <x:c r="V48" s="2"/>
      <x:c r="W48" s="2" t="s">
        <x:v>231</x:v>
      </x:c>
      <x:c r="X48" s="3"/>
      <x:c r="Y48" s="3"/>
      <x:c r="Z48" s="2"/>
      <x:c r="AA48" s="2" t="s">
        <x:v>232</x:v>
      </x:c>
      <x:c r="AB48" s="2" t="s">
        <x:v>292</x:v>
      </x:c>
      <x:c r="AC48" s="2"/>
      <x:c r="AD48" s="2"/>
      <x:c r="AE48" s="2"/>
      <x:c r="AF48" s="2"/>
      <x:c r="AG48" s="2"/>
      <x:c r="AH48" s="2"/>
      <x:c r="AI48" s="4"/>
      <x:c r="AJ48" s="2"/>
      <x:c r="AK48" s="2" t="s">
        <x:v>234</x:v>
      </x:c>
      <x:c r="AL48" s="2" t="s">
        <x:v>2788</x:v>
      </x:c>
      <x:c r="AM48" s="2">
        <x:v>9</x:v>
      </x:c>
      <x:c r="AN48" s="2">
        <x:v>9</x:v>
      </x:c>
    </x:row>
    <x:row r="49" ht="39">
      <x:c r="A49" s="2" t="s">
        <x:v>91</x:v>
      </x:c>
      <x:c r="B49" s="2" t="s">
        <x:v>15</x:v>
      </x:c>
      <x:c r="C49" s="3">
        <x:v>8</x:v>
      </x:c>
      <x:c r="D49" s="2" t="s">
        <x:v>293</x:v>
      </x:c>
      <x:c r="E49" s="2" t="s">
        <x:v>294</x:v>
      </x:c>
      <x:c r="F49" s="2" t="s">
        <x:v>224</x:v>
      </x:c>
      <x:c r="G49" s="2" t="s">
        <x:v>1290</x:v>
      </x:c>
      <x:c r="H49" s="2" t="s">
        <x:v>96</x:v>
      </x:c>
      <x:c r="I49" s="2" t="s">
        <x:v>296</x:v>
      </x:c>
      <x:c r="J49" s="2" t="s">
        <x:v>297</x:v>
      </x:c>
      <x:c r="K49" s="2"/>
      <x:c r="L49" s="2"/>
      <x:c r="M49" s="2"/>
      <x:c r="N49" s="2" t="s">
        <x:v>228</x:v>
      </x:c>
      <x:c r="O49" s="2" t="s">
        <x:v>298</x:v>
      </x:c>
      <x:c r="P49" s="2" t="s">
        <x:v>299</x:v>
      </x:c>
      <x:c r="Q49" s="2"/>
      <x:c r="R49" s="3">
        <x:v>4</x:v>
      </x:c>
      <x:c r="S49" s="3"/>
      <x:c r="T49" s="2"/>
      <x:c r="U49" s="2"/>
      <x:c r="V49" s="2"/>
      <x:c r="W49" s="2" t="s">
        <x:v>231</x:v>
      </x:c>
      <x:c r="X49" s="3"/>
      <x:c r="Y49" s="3"/>
      <x:c r="Z49" s="2"/>
      <x:c r="AA49" s="2" t="s">
        <x:v>232</x:v>
      </x:c>
      <x:c r="AB49" s="2" t="s">
        <x:v>300</x:v>
      </x:c>
      <x:c r="AC49" s="2"/>
      <x:c r="AD49" s="2"/>
      <x:c r="AE49" s="2"/>
      <x:c r="AF49" s="2"/>
      <x:c r="AG49" s="2"/>
      <x:c r="AH49" s="2"/>
      <x:c r="AI49" s="4"/>
      <x:c r="AJ49" s="2"/>
      <x:c r="AK49" s="2" t="s">
        <x:v>234</x:v>
      </x:c>
      <x:c r="AL49" s="2" t="s">
        <x:v>2788</x:v>
      </x:c>
      <x:c r="AM49" s="2">
        <x:v>10</x:v>
      </x:c>
      <x:c r="AN49" s="2">
        <x:v>10</x:v>
      </x:c>
    </x:row>
    <x:row r="50" ht="39">
      <x:c r="A50" s="2" t="s">
        <x:v>91</x:v>
      </x:c>
      <x:c r="B50" s="2" t="s">
        <x:v>15</x:v>
      </x:c>
      <x:c r="C50" s="3">
        <x:v>9</x:v>
      </x:c>
      <x:c r="D50" s="2" t="s">
        <x:v>236</x:v>
      </x:c>
      <x:c r="E50" s="2" t="s">
        <x:v>301</x:v>
      </x:c>
      <x:c r="F50" s="2" t="s">
        <x:v>237</x:v>
      </x:c>
      <x:c r="G50" s="2" t="s">
        <x:v>1276</x:v>
      </x:c>
      <x:c r="H50" s="2" t="s">
        <x:v>96</x:v>
      </x:c>
      <x:c r="I50" s="2" t="s">
        <x:v>303</x:v>
      </x:c>
      <x:c r="J50" s="2" t="s">
        <x:v>304</x:v>
      </x:c>
      <x:c r="K50" s="2"/>
      <x:c r="L50" s="2"/>
      <x:c r="M50" s="2"/>
      <x:c r="N50" s="2" t="s">
        <x:v>228</x:v>
      </x:c>
      <x:c r="O50" s="2" t="s">
        <x:v>305</x:v>
      </x:c>
      <x:c r="P50" s="2" t="s">
        <x:v>306</x:v>
      </x:c>
      <x:c r="Q50" s="2"/>
      <x:c r="R50" s="3">
        <x:v>4</x:v>
      </x:c>
      <x:c r="S50" s="3"/>
      <x:c r="T50" s="2"/>
      <x:c r="U50" s="2"/>
      <x:c r="V50" s="2"/>
      <x:c r="W50" s="2" t="s">
        <x:v>231</x:v>
      </x:c>
      <x:c r="X50" s="3"/>
      <x:c r="Y50" s="3"/>
      <x:c r="Z50" s="2"/>
      <x:c r="AA50" s="2" t="s">
        <x:v>243</x:v>
      </x:c>
      <x:c r="AB50" s="2" t="s">
        <x:v>244</x:v>
      </x:c>
      <x:c r="AC50" s="2"/>
      <x:c r="AD50" s="2"/>
      <x:c r="AE50" s="2"/>
      <x:c r="AF50" s="2"/>
      <x:c r="AG50" s="2"/>
      <x:c r="AH50" s="2"/>
      <x:c r="AI50" s="4"/>
      <x:c r="AJ50" s="2"/>
      <x:c r="AK50" s="2" t="s">
        <x:v>234</x:v>
      </x:c>
      <x:c r="AL50" s="2" t="s">
        <x:v>2788</x:v>
      </x:c>
      <x:c r="AM50" s="2">
        <x:v>11</x:v>
      </x:c>
      <x:c r="AN50" s="2">
        <x:v>11</x:v>
      </x:c>
    </x:row>
    <x:row r="51" ht="39">
      <x:c r="A51" s="2" t="s">
        <x:v>6</x:v>
      </x:c>
      <x:c r="B51" s="2" t="s">
        <x:v>15</x:v>
      </x:c>
      <x:c r="C51" s="3">
        <x:v>10</x:v>
      </x:c>
      <x:c r="D51" s="2" t="s">
        <x:v>1281</x:v>
      </x:c>
      <x:c r="E51" s="2" t="s">
        <x:v>1282</x:v>
      </x:c>
      <x:c r="F51" s="2" t="s">
        <x:v>254</x:v>
      </x:c>
      <x:c r="G51" s="2"/>
      <x:c r="H51" s="2" t="s">
        <x:v>96</x:v>
      </x:c>
      <x:c r="I51" s="2" t="s">
        <x:v>1284</x:v>
      </x:c>
      <x:c r="J51" s="2" t="s">
        <x:v>1285</x:v>
      </x:c>
      <x:c r="K51" s="2"/>
      <x:c r="L51" s="2"/>
      <x:c r="M51" s="2"/>
      <x:c r="N51" s="2" t="s">
        <x:v>228</x:v>
      </x:c>
      <x:c r="O51" s="2" t="s">
        <x:v>1286</x:v>
      </x:c>
      <x:c r="P51" s="2" t="s">
        <x:v>1287</x:v>
      </x:c>
      <x:c r="Q51" s="2"/>
      <x:c r="R51" s="3">
        <x:v>4</x:v>
      </x:c>
      <x:c r="S51" s="3"/>
      <x:c r="T51" s="2"/>
      <x:c r="U51" s="2"/>
      <x:c r="V51" s="2"/>
      <x:c r="W51" s="2" t="s">
        <x:v>231</x:v>
      </x:c>
      <x:c r="X51" s="3"/>
      <x:c r="Y51" s="3"/>
      <x:c r="Z51" s="2"/>
      <x:c r="AA51" s="2" t="s">
        <x:v>243</x:v>
      </x:c>
      <x:c r="AB51" s="2" t="s">
        <x:v>244</x:v>
      </x:c>
      <x:c r="AC51" s="2"/>
      <x:c r="AD51" s="2"/>
      <x:c r="AE51" s="2"/>
      <x:c r="AF51" s="2"/>
      <x:c r="AG51" s="2"/>
      <x:c r="AH51" s="2"/>
      <x:c r="AI51" s="4"/>
      <x:c r="AJ51" s="2"/>
      <x:c r="AK51" s="2" t="s">
        <x:v>234</x:v>
      </x:c>
      <x:c r="AL51" s="2" t="s">
        <x:v>2788</x:v>
      </x:c>
      <x:c r="AM51" s="2">
        <x:v>12</x:v>
      </x:c>
      <x:c r="AN51" s="2">
        <x:v>12</x:v>
      </x:c>
    </x:row>
    <x:row r="52" ht="39">
      <x:c r="A52" s="2" t="s">
        <x:v>91</x:v>
      </x:c>
      <x:c r="B52" s="2" t="s">
        <x:v>15</x:v>
      </x:c>
      <x:c r="C52" s="3">
        <x:v>11</x:v>
      </x:c>
      <x:c r="D52" s="2" t="s">
        <x:v>1288</x:v>
      </x:c>
      <x:c r="E52" s="2" t="s">
        <x:v>1289</x:v>
      </x:c>
      <x:c r="F52" s="2" t="s">
        <x:v>247</x:v>
      </x:c>
      <x:c r="G52" s="2" t="s">
        <x:v>1273</x:v>
      </x:c>
      <x:c r="H52" s="2" t="s">
        <x:v>96</x:v>
      </x:c>
      <x:c r="I52" s="2" t="s">
        <x:v>1291</x:v>
      </x:c>
      <x:c r="J52" s="2" t="s">
        <x:v>1292</x:v>
      </x:c>
      <x:c r="K52" s="2"/>
      <x:c r="L52" s="2"/>
      <x:c r="M52" s="2"/>
      <x:c r="N52" s="2" t="s">
        <x:v>228</x:v>
      </x:c>
      <x:c r="O52" s="2" t="s">
        <x:v>1293</x:v>
      </x:c>
      <x:c r="P52" s="2" t="s">
        <x:v>1294</x:v>
      </x:c>
      <x:c r="Q52" s="2"/>
      <x:c r="R52" s="3">
        <x:v>4</x:v>
      </x:c>
      <x:c r="S52" s="3"/>
      <x:c r="T52" s="2"/>
      <x:c r="U52" s="2"/>
      <x:c r="V52" s="2"/>
      <x:c r="W52" s="2" t="s">
        <x:v>231</x:v>
      </x:c>
      <x:c r="X52" s="3"/>
      <x:c r="Y52" s="3"/>
      <x:c r="Z52" s="2"/>
      <x:c r="AA52" s="2" t="s">
        <x:v>232</x:v>
      </x:c>
      <x:c r="AB52" s="2" t="s">
        <x:v>300</x:v>
      </x:c>
      <x:c r="AC52" s="2"/>
      <x:c r="AD52" s="2"/>
      <x:c r="AE52" s="2"/>
      <x:c r="AF52" s="2"/>
      <x:c r="AG52" s="2"/>
      <x:c r="AH52" s="2"/>
      <x:c r="AI52" s="4"/>
      <x:c r="AJ52" s="2"/>
      <x:c r="AK52" s="2" t="s">
        <x:v>234</x:v>
      </x:c>
      <x:c r="AL52" s="2" t="s">
        <x:v>2788</x:v>
      </x:c>
      <x:c r="AM52" s="2">
        <x:v>13</x:v>
      </x:c>
      <x:c r="AN52" s="2">
        <x:v>13</x:v>
      </x:c>
    </x:row>
    <x:row r="53" ht="39">
      <x:c r="A53" s="2" t="s">
        <x:v>91</x:v>
      </x:c>
      <x:c r="B53" s="2" t="s">
        <x:v>15</x:v>
      </x:c>
      <x:c r="C53" s="3">
        <x:v>12</x:v>
      </x:c>
      <x:c r="D53" s="2" t="s">
        <x:v>1295</x:v>
      </x:c>
      <x:c r="E53" s="2" t="s">
        <x:v>1296</x:v>
      </x:c>
      <x:c r="F53" s="2" t="s">
        <x:v>254</x:v>
      </x:c>
      <x:c r="G53" s="2" t="s">
        <x:v>1373</x:v>
      </x:c>
      <x:c r="H53" s="2" t="s">
        <x:v>96</x:v>
      </x:c>
      <x:c r="I53" s="2" t="s">
        <x:v>1297</x:v>
      </x:c>
      <x:c r="J53" s="2" t="s">
        <x:v>1298</x:v>
      </x:c>
      <x:c r="K53" s="2"/>
      <x:c r="L53" s="2"/>
      <x:c r="M53" s="2"/>
      <x:c r="N53" s="2" t="s">
        <x:v>228</x:v>
      </x:c>
      <x:c r="O53" s="2" t="s">
        <x:v>1299</x:v>
      </x:c>
      <x:c r="P53" s="2" t="s">
        <x:v>1300</x:v>
      </x:c>
      <x:c r="Q53" s="2"/>
      <x:c r="R53" s="3">
        <x:v>4</x:v>
      </x:c>
      <x:c r="S53" s="3"/>
      <x:c r="T53" s="2"/>
      <x:c r="U53" s="2"/>
      <x:c r="V53" s="2"/>
      <x:c r="W53" s="2" t="s">
        <x:v>231</x:v>
      </x:c>
      <x:c r="X53" s="3"/>
      <x:c r="Y53" s="3"/>
      <x:c r="Z53" s="2"/>
      <x:c r="AA53" s="2" t="s">
        <x:v>232</x:v>
      </x:c>
      <x:c r="AB53" s="2" t="s">
        <x:v>292</x:v>
      </x:c>
      <x:c r="AC53" s="2"/>
      <x:c r="AD53" s="2"/>
      <x:c r="AE53" s="2"/>
      <x:c r="AF53" s="2"/>
      <x:c r="AG53" s="2"/>
      <x:c r="AH53" s="2"/>
      <x:c r="AI53" s="4"/>
      <x:c r="AJ53" s="2"/>
      <x:c r="AK53" s="2" t="s">
        <x:v>234</x:v>
      </x:c>
      <x:c r="AL53" s="2" t="s">
        <x:v>2788</x:v>
      </x:c>
      <x:c r="AM53" s="2">
        <x:v>14</x:v>
      </x:c>
      <x:c r="AN53" s="2">
        <x:v>14</x:v>
      </x:c>
    </x:row>
    <x:row r="54" ht="39">
      <x:c r="A54" s="2" t="s">
        <x:v>6</x:v>
      </x:c>
      <x:c r="B54" s="2" t="s">
        <x:v>15</x:v>
      </x:c>
      <x:c r="C54" s="3">
        <x:v>13</x:v>
      </x:c>
      <x:c r="D54" s="2" t="s">
        <x:v>1301</x:v>
      </x:c>
      <x:c r="E54" s="2" t="s">
        <x:v>1302</x:v>
      </x:c>
      <x:c r="F54" s="2" t="s">
        <x:v>247</x:v>
      </x:c>
      <x:c r="G54" s="2"/>
      <x:c r="H54" s="2" t="s">
        <x:v>96</x:v>
      </x:c>
      <x:c r="I54" s="2" t="s">
        <x:v>1304</x:v>
      </x:c>
      <x:c r="J54" s="2" t="s">
        <x:v>1305</x:v>
      </x:c>
      <x:c r="K54" s="2"/>
      <x:c r="L54" s="2"/>
      <x:c r="M54" s="2"/>
      <x:c r="N54" s="2" t="s">
        <x:v>228</x:v>
      </x:c>
      <x:c r="O54" s="2" t="s">
        <x:v>1306</x:v>
      </x:c>
      <x:c r="P54" s="2" t="s">
        <x:v>1307</x:v>
      </x:c>
      <x:c r="Q54" s="2"/>
      <x:c r="R54" s="3">
        <x:v>4</x:v>
      </x:c>
      <x:c r="S54" s="3"/>
      <x:c r="T54" s="2"/>
      <x:c r="U54" s="2"/>
      <x:c r="V54" s="2"/>
      <x:c r="W54" s="2" t="s">
        <x:v>231</x:v>
      </x:c>
      <x:c r="X54" s="3"/>
      <x:c r="Y54" s="3"/>
      <x:c r="Z54" s="2"/>
      <x:c r="AA54" s="2" t="s">
        <x:v>243</x:v>
      </x:c>
      <x:c r="AB54" s="2" t="s">
        <x:v>267</x:v>
      </x:c>
      <x:c r="AC54" s="2"/>
      <x:c r="AD54" s="2"/>
      <x:c r="AE54" s="2"/>
      <x:c r="AF54" s="2"/>
      <x:c r="AG54" s="2"/>
      <x:c r="AH54" s="2"/>
      <x:c r="AI54" s="4"/>
      <x:c r="AJ54" s="2"/>
      <x:c r="AK54" s="2" t="s">
        <x:v>234</x:v>
      </x:c>
      <x:c r="AL54" s="2" t="s">
        <x:v>2788</x:v>
      </x:c>
      <x:c r="AM54" s="2">
        <x:v>15</x:v>
      </x:c>
      <x:c r="AN54" s="2">
        <x:v>15</x:v>
      </x:c>
    </x:row>
    <x:row r="55" ht="39">
      <x:c r="A55" s="2" t="s">
        <x:v>91</x:v>
      </x:c>
      <x:c r="B55" s="2" t="s">
        <x:v>15</x:v>
      </x:c>
      <x:c r="C55" s="3">
        <x:v>14</x:v>
      </x:c>
      <x:c r="D55" s="2" t="s">
        <x:v>1308</x:v>
      </x:c>
      <x:c r="E55" s="2" t="s">
        <x:v>1309</x:v>
      </x:c>
      <x:c r="F55" s="2" t="s">
        <x:v>247</x:v>
      </x:c>
      <x:c r="G55" s="2" t="s">
        <x:v>1276</x:v>
      </x:c>
      <x:c r="H55" s="2" t="s">
        <x:v>96</x:v>
      </x:c>
      <x:c r="I55" s="2" t="s">
        <x:v>1310</x:v>
      </x:c>
      <x:c r="J55" s="2" t="s">
        <x:v>1311</x:v>
      </x:c>
      <x:c r="K55" s="2"/>
      <x:c r="L55" s="2"/>
      <x:c r="M55" s="2"/>
      <x:c r="N55" s="2" t="s">
        <x:v>228</x:v>
      </x:c>
      <x:c r="O55" s="2" t="s">
        <x:v>1312</x:v>
      </x:c>
      <x:c r="P55" s="2" t="s">
        <x:v>1313</x:v>
      </x:c>
      <x:c r="Q55" s="2"/>
      <x:c r="R55" s="3">
        <x:v>4</x:v>
      </x:c>
      <x:c r="S55" s="3"/>
      <x:c r="T55" s="2"/>
      <x:c r="U55" s="2"/>
      <x:c r="V55" s="2"/>
      <x:c r="W55" s="2" t="s">
        <x:v>231</x:v>
      </x:c>
      <x:c r="X55" s="3"/>
      <x:c r="Y55" s="3"/>
      <x:c r="Z55" s="2"/>
      <x:c r="AA55" s="2" t="s">
        <x:v>1314</x:v>
      </x:c>
      <x:c r="AB55" s="2" t="s">
        <x:v>1315</x:v>
      </x:c>
      <x:c r="AC55" s="2"/>
      <x:c r="AD55" s="2"/>
      <x:c r="AE55" s="2"/>
      <x:c r="AF55" s="2"/>
      <x:c r="AG55" s="2"/>
      <x:c r="AH55" s="2"/>
      <x:c r="AI55" s="4"/>
      <x:c r="AJ55" s="2"/>
      <x:c r="AK55" s="2" t="s">
        <x:v>234</x:v>
      </x:c>
      <x:c r="AL55" s="2" t="s">
        <x:v>2788</x:v>
      </x:c>
      <x:c r="AM55" s="2">
        <x:v>16</x:v>
      </x:c>
      <x:c r="AN55" s="2">
        <x:v>16</x:v>
      </x:c>
    </x:row>
    <x:row r="56" ht="39">
      <x:c r="A56" s="2" t="s">
        <x:v>91</x:v>
      </x:c>
      <x:c r="B56" s="2" t="s">
        <x:v>15</x:v>
      </x:c>
      <x:c r="C56" s="3">
        <x:v>15</x:v>
      </x:c>
      <x:c r="D56" s="2" t="s">
        <x:v>1316</x:v>
      </x:c>
      <x:c r="E56" s="2" t="s">
        <x:v>1317</x:v>
      </x:c>
      <x:c r="F56" s="2" t="s">
        <x:v>237</x:v>
      </x:c>
      <x:c r="G56" s="2" t="s">
        <x:v>1277</x:v>
      </x:c>
      <x:c r="H56" s="2" t="s">
        <x:v>96</x:v>
      </x:c>
      <x:c r="I56" s="2" t="s">
        <x:v>1318</x:v>
      </x:c>
      <x:c r="J56" s="2" t="s">
        <x:v>1319</x:v>
      </x:c>
      <x:c r="K56" s="2"/>
      <x:c r="L56" s="2"/>
      <x:c r="M56" s="2"/>
      <x:c r="N56" s="2" t="s">
        <x:v>228</x:v>
      </x:c>
      <x:c r="O56" s="2" t="s">
        <x:v>1320</x:v>
      </x:c>
      <x:c r="P56" s="2" t="s">
        <x:v>1321</x:v>
      </x:c>
      <x:c r="Q56" s="2"/>
      <x:c r="R56" s="3">
        <x:v>4</x:v>
      </x:c>
      <x:c r="S56" s="3"/>
      <x:c r="T56" s="2"/>
      <x:c r="U56" s="2"/>
      <x:c r="V56" s="2"/>
      <x:c r="W56" s="2" t="s">
        <x:v>231</x:v>
      </x:c>
      <x:c r="X56" s="3"/>
      <x:c r="Y56" s="3"/>
      <x:c r="Z56" s="2"/>
      <x:c r="AA56" s="2" t="s">
        <x:v>275</x:v>
      </x:c>
      <x:c r="AB56" s="2" t="s">
        <x:v>233</x:v>
      </x:c>
      <x:c r="AC56" s="2"/>
      <x:c r="AD56" s="2"/>
      <x:c r="AE56" s="2"/>
      <x:c r="AF56" s="2"/>
      <x:c r="AG56" s="2"/>
      <x:c r="AH56" s="2"/>
      <x:c r="AI56" s="4"/>
      <x:c r="AJ56" s="2"/>
      <x:c r="AK56" s="2" t="s">
        <x:v>234</x:v>
      </x:c>
      <x:c r="AL56" s="2" t="s">
        <x:v>2788</x:v>
      </x:c>
      <x:c r="AM56" s="2">
        <x:v>17</x:v>
      </x:c>
      <x:c r="AN56" s="2">
        <x:v>17</x:v>
      </x:c>
    </x:row>
    <x:row r="57" ht="39">
      <x:c r="A57" s="2" t="s">
        <x:v>91</x:v>
      </x:c>
      <x:c r="B57" s="2" t="s">
        <x:v>15</x:v>
      </x:c>
      <x:c r="C57" s="3">
        <x:v>16</x:v>
      </x:c>
      <x:c r="D57" s="2" t="s">
        <x:v>1322</x:v>
      </x:c>
      <x:c r="E57" s="2" t="s">
        <x:v>1323</x:v>
      </x:c>
      <x:c r="F57" s="2" t="s">
        <x:v>254</x:v>
      </x:c>
      <x:c r="G57" s="2" t="s">
        <x:v>1277</x:v>
      </x:c>
      <x:c r="H57" s="2" t="s">
        <x:v>96</x:v>
      </x:c>
      <x:c r="I57" s="2" t="s">
        <x:v>1325</x:v>
      </x:c>
      <x:c r="J57" s="2" t="s">
        <x:v>1326</x:v>
      </x:c>
      <x:c r="K57" s="2"/>
      <x:c r="L57" s="2"/>
      <x:c r="M57" s="2"/>
      <x:c r="N57" s="2" t="s">
        <x:v>228</x:v>
      </x:c>
      <x:c r="O57" s="2" t="s">
        <x:v>1327</x:v>
      </x:c>
      <x:c r="P57" s="2" t="s">
        <x:v>1328</x:v>
      </x:c>
      <x:c r="Q57" s="2"/>
      <x:c r="R57" s="3">
        <x:v>4</x:v>
      </x:c>
      <x:c r="S57" s="3"/>
      <x:c r="T57" s="2"/>
      <x:c r="U57" s="2"/>
      <x:c r="V57" s="2"/>
      <x:c r="W57" s="2" t="s">
        <x:v>231</x:v>
      </x:c>
      <x:c r="X57" s="3"/>
      <x:c r="Y57" s="3"/>
      <x:c r="Z57" s="2"/>
      <x:c r="AA57" s="2" t="s">
        <x:v>275</x:v>
      </x:c>
      <x:c r="AB57" s="2" t="s">
        <x:v>284</x:v>
      </x:c>
      <x:c r="AC57" s="2"/>
      <x:c r="AD57" s="2"/>
      <x:c r="AE57" s="2"/>
      <x:c r="AF57" s="2"/>
      <x:c r="AG57" s="2"/>
      <x:c r="AH57" s="2"/>
      <x:c r="AI57" s="4"/>
      <x:c r="AJ57" s="2"/>
      <x:c r="AK57" s="2" t="s">
        <x:v>234</x:v>
      </x:c>
      <x:c r="AL57" s="2" t="s">
        <x:v>2788</x:v>
      </x:c>
      <x:c r="AM57" s="2">
        <x:v>18</x:v>
      </x:c>
      <x:c r="AN57" s="2">
        <x:v>18</x:v>
      </x:c>
    </x:row>
    <x:row r="58" ht="39">
      <x:c r="A58" s="2" t="s">
        <x:v>91</x:v>
      </x:c>
      <x:c r="B58" s="2" t="s">
        <x:v>15</x:v>
      </x:c>
      <x:c r="C58" s="3">
        <x:v>17</x:v>
      </x:c>
      <x:c r="D58" s="2" t="s">
        <x:v>1329</x:v>
      </x:c>
      <x:c r="E58" s="2" t="s">
        <x:v>1330</x:v>
      </x:c>
      <x:c r="F58" s="2" t="s">
        <x:v>224</x:v>
      </x:c>
      <x:c r="G58" s="2" t="s">
        <x:v>2821</x:v>
      </x:c>
      <x:c r="H58" s="2" t="s">
        <x:v>96</x:v>
      </x:c>
      <x:c r="I58" s="2" t="s">
        <x:v>1331</x:v>
      </x:c>
      <x:c r="J58" s="2" t="s">
        <x:v>1332</x:v>
      </x:c>
      <x:c r="K58" s="2"/>
      <x:c r="L58" s="2"/>
      <x:c r="M58" s="2"/>
      <x:c r="N58" s="2" t="s">
        <x:v>228</x:v>
      </x:c>
      <x:c r="O58" s="2" t="s">
        <x:v>1333</x:v>
      </x:c>
      <x:c r="P58" s="2" t="s">
        <x:v>1334</x:v>
      </x:c>
      <x:c r="Q58" s="2"/>
      <x:c r="R58" s="3">
        <x:v>4</x:v>
      </x:c>
      <x:c r="S58" s="3"/>
      <x:c r="T58" s="2"/>
      <x:c r="U58" s="2"/>
      <x:c r="V58" s="2"/>
      <x:c r="W58" s="2" t="s">
        <x:v>231</x:v>
      </x:c>
      <x:c r="X58" s="3"/>
      <x:c r="Y58" s="3"/>
      <x:c r="Z58" s="2"/>
      <x:c r="AA58" s="2" t="s">
        <x:v>1314</x:v>
      </x:c>
      <x:c r="AB58" s="2" t="s">
        <x:v>276</x:v>
      </x:c>
      <x:c r="AC58" s="2"/>
      <x:c r="AD58" s="2"/>
      <x:c r="AE58" s="2"/>
      <x:c r="AF58" s="2"/>
      <x:c r="AG58" s="2"/>
      <x:c r="AH58" s="2"/>
      <x:c r="AI58" s="4"/>
      <x:c r="AJ58" s="2"/>
      <x:c r="AK58" s="2" t="s">
        <x:v>234</x:v>
      </x:c>
      <x:c r="AL58" s="2" t="s">
        <x:v>2788</x:v>
      </x:c>
      <x:c r="AM58" s="2">
        <x:v>19</x:v>
      </x:c>
      <x:c r="AN58" s="2">
        <x:v>19</x:v>
      </x:c>
    </x:row>
    <x:row r="59" ht="39">
      <x:c r="A59" s="2" t="s">
        <x:v>91</x:v>
      </x:c>
      <x:c r="B59" s="2" t="s">
        <x:v>15</x:v>
      </x:c>
      <x:c r="C59" s="3">
        <x:v>18</x:v>
      </x:c>
      <x:c r="D59" s="2" t="s">
        <x:v>1335</x:v>
      </x:c>
      <x:c r="E59" s="2" t="s">
        <x:v>1289</x:v>
      </x:c>
      <x:c r="F59" s="2" t="s">
        <x:v>224</x:v>
      </x:c>
      <x:c r="G59" s="2" t="s">
        <x:v>1290</x:v>
      </x:c>
      <x:c r="H59" s="2" t="s">
        <x:v>96</x:v>
      </x:c>
      <x:c r="I59" s="2" t="s">
        <x:v>1336</x:v>
      </x:c>
      <x:c r="J59" s="2" t="s">
        <x:v>1337</x:v>
      </x:c>
      <x:c r="K59" s="2"/>
      <x:c r="L59" s="2"/>
      <x:c r="M59" s="2"/>
      <x:c r="N59" s="2" t="s">
        <x:v>228</x:v>
      </x:c>
      <x:c r="O59" s="2" t="s">
        <x:v>1338</x:v>
      </x:c>
      <x:c r="P59" s="2" t="s">
        <x:v>1339</x:v>
      </x:c>
      <x:c r="Q59" s="2"/>
      <x:c r="R59" s="3">
        <x:v>4</x:v>
      </x:c>
      <x:c r="S59" s="3"/>
      <x:c r="T59" s="2"/>
      <x:c r="U59" s="2"/>
      <x:c r="V59" s="2"/>
      <x:c r="W59" s="2" t="s">
        <x:v>231</x:v>
      </x:c>
      <x:c r="X59" s="3"/>
      <x:c r="Y59" s="3"/>
      <x:c r="Z59" s="2"/>
      <x:c r="AA59" s="2" t="s">
        <x:v>1314</x:v>
      </x:c>
      <x:c r="AB59" s="2" t="s">
        <x:v>276</x:v>
      </x:c>
      <x:c r="AC59" s="2"/>
      <x:c r="AD59" s="2"/>
      <x:c r="AE59" s="2"/>
      <x:c r="AF59" s="2"/>
      <x:c r="AG59" s="2"/>
      <x:c r="AH59" s="2"/>
      <x:c r="AI59" s="4"/>
      <x:c r="AJ59" s="2"/>
      <x:c r="AK59" s="2" t="s">
        <x:v>234</x:v>
      </x:c>
      <x:c r="AL59" s="2" t="s">
        <x:v>2788</x:v>
      </x:c>
      <x:c r="AM59" s="2">
        <x:v>20</x:v>
      </x:c>
      <x:c r="AN59" s="2">
        <x:v>20</x:v>
      </x:c>
    </x:row>
    <x:row r="60" ht="39">
      <x:c r="A60" s="2" t="s">
        <x:v>91</x:v>
      </x:c>
      <x:c r="B60" s="2" t="s">
        <x:v>15</x:v>
      </x:c>
      <x:c r="C60" s="3">
        <x:v>19</x:v>
      </x:c>
      <x:c r="D60" s="2" t="s">
        <x:v>1340</x:v>
      </x:c>
      <x:c r="E60" s="2" t="s">
        <x:v>1341</x:v>
      </x:c>
      <x:c r="F60" s="2" t="s">
        <x:v>237</x:v>
      </x:c>
      <x:c r="G60" s="2" t="s">
        <x:v>1373</x:v>
      </x:c>
      <x:c r="H60" s="2" t="s">
        <x:v>96</x:v>
      </x:c>
      <x:c r="I60" s="2" t="s">
        <x:v>1342</x:v>
      </x:c>
      <x:c r="J60" s="2" t="s">
        <x:v>1343</x:v>
      </x:c>
      <x:c r="K60" s="2"/>
      <x:c r="L60" s="2"/>
      <x:c r="M60" s="2"/>
      <x:c r="N60" s="2" t="s">
        <x:v>228</x:v>
      </x:c>
      <x:c r="O60" s="2" t="s">
        <x:v>1344</x:v>
      </x:c>
      <x:c r="P60" s="2" t="s">
        <x:v>1345</x:v>
      </x:c>
      <x:c r="Q60" s="2"/>
      <x:c r="R60" s="3">
        <x:v>4</x:v>
      </x:c>
      <x:c r="S60" s="3"/>
      <x:c r="T60" s="2"/>
      <x:c r="U60" s="2"/>
      <x:c r="V60" s="2"/>
      <x:c r="W60" s="2" t="s">
        <x:v>231</x:v>
      </x:c>
      <x:c r="X60" s="3"/>
      <x:c r="Y60" s="3"/>
      <x:c r="Z60" s="2"/>
      <x:c r="AA60" s="2" t="s">
        <x:v>275</x:v>
      </x:c>
      <x:c r="AB60" s="2" t="s">
        <x:v>284</x:v>
      </x:c>
      <x:c r="AC60" s="2"/>
      <x:c r="AD60" s="2"/>
      <x:c r="AE60" s="2"/>
      <x:c r="AF60" s="2"/>
      <x:c r="AG60" s="2"/>
      <x:c r="AH60" s="2"/>
      <x:c r="AI60" s="4"/>
      <x:c r="AJ60" s="2"/>
      <x:c r="AK60" s="2" t="s">
        <x:v>234</x:v>
      </x:c>
      <x:c r="AL60" s="2" t="s">
        <x:v>2788</x:v>
      </x:c>
      <x:c r="AM60" s="2">
        <x:v>21</x:v>
      </x:c>
      <x:c r="AN60" s="2">
        <x:v>21</x:v>
      </x:c>
    </x:row>
    <x:row r="61" ht="39">
      <x:c r="A61" s="2" t="s">
        <x:v>91</x:v>
      </x:c>
      <x:c r="B61" s="2" t="s">
        <x:v>16</x:v>
      </x:c>
      <x:c r="C61" s="3">
        <x:v>0</x:v>
      </x:c>
      <x:c r="D61" s="2" t="s">
        <x:v>307</x:v>
      </x:c>
      <x:c r="E61" s="2" t="s">
        <x:v>308</x:v>
      </x:c>
      <x:c r="F61" s="2" t="s">
        <x:v>309</x:v>
      </x:c>
      <x:c r="G61" s="2" t="s">
        <x:v>2822</x:v>
      </x:c>
      <x:c r="H61" s="2" t="s">
        <x:v>96</x:v>
      </x:c>
      <x:c r="I61" s="2" t="s">
        <x:v>311</x:v>
      </x:c>
      <x:c r="J61" s="2" t="s">
        <x:v>312</x:v>
      </x:c>
      <x:c r="K61" s="2"/>
      <x:c r="L61" s="2" t="s">
        <x:v>313</x:v>
      </x:c>
      <x:c r="M61" s="2"/>
      <x:c r="N61" s="2"/>
      <x:c r="O61" s="2" t="s">
        <x:v>314</x:v>
      </x:c>
      <x:c r="P61" s="2" t="s">
        <x:v>315</x:v>
      </x:c>
      <x:c r="Q61" s="2"/>
      <x:c r="R61" s="3">
        <x:v>3</x:v>
      </x:c>
      <x:c r="S61" s="3"/>
      <x:c r="T61" s="2"/>
      <x:c r="U61" s="2"/>
      <x:c r="V61" s="2"/>
      <x:c r="W61" s="2"/>
      <x:c r="X61" s="3"/>
      <x:c r="Y61" s="3"/>
      <x:c r="Z61" s="2"/>
      <x:c r="AA61" s="2"/>
      <x:c r="AB61" s="2"/>
      <x:c r="AC61" s="2" t="s">
        <x:v>316</x:v>
      </x:c>
      <x:c r="AD61" s="2" t="s">
        <x:v>317</x:v>
      </x:c>
      <x:c r="AE61" s="2" t="s">
        <x:v>318</x:v>
      </x:c>
      <x:c r="AF61" s="2" t="s">
        <x:v>319</x:v>
      </x:c>
      <x:c r="AG61" s="2"/>
      <x:c r="AH61" s="2"/>
      <x:c r="AI61" s="4"/>
      <x:c r="AJ61" s="2"/>
      <x:c r="AK61" s="2" t="s">
        <x:v>320</x:v>
      </x:c>
      <x:c r="AL61" s="2" t="s">
        <x:v>2801</x:v>
      </x:c>
      <x:c r="AM61" s="2">
        <x:v>2</x:v>
      </x:c>
      <x:c r="AN61" s="2">
        <x:v>2</x:v>
      </x:c>
    </x:row>
    <x:row r="62" ht="39">
      <x:c r="A62" s="2" t="s">
        <x:v>91</x:v>
      </x:c>
      <x:c r="B62" s="2" t="s">
        <x:v>16</x:v>
      </x:c>
      <x:c r="C62" s="3">
        <x:v>1</x:v>
      </x:c>
      <x:c r="D62" s="2" t="s">
        <x:v>321</x:v>
      </x:c>
      <x:c r="E62" s="2" t="s">
        <x:v>308</x:v>
      </x:c>
      <x:c r="F62" s="2" t="s">
        <x:v>322</x:v>
      </x:c>
      <x:c r="G62" s="2" t="s">
        <x:v>2823</x:v>
      </x:c>
      <x:c r="H62" s="2" t="s">
        <x:v>96</x:v>
      </x:c>
      <x:c r="I62" s="2" t="s">
        <x:v>311</x:v>
      </x:c>
      <x:c r="J62" s="2" t="s">
        <x:v>312</x:v>
      </x:c>
      <x:c r="K62" s="2" t="n">
        <x:v>0</x:v>
      </x:c>
      <x:c r="L62" s="2" t="s">
        <x:v>323</x:v>
      </x:c>
      <x:c r="M62" s="2"/>
      <x:c r="N62" s="2"/>
      <x:c r="O62" s="2" t="s">
        <x:v>324</x:v>
      </x:c>
      <x:c r="P62" s="2" t="s">
        <x:v>325</x:v>
      </x:c>
      <x:c r="Q62" s="2"/>
      <x:c r="R62" s="3">
        <x:v>3</x:v>
      </x:c>
      <x:c r="S62" s="3"/>
      <x:c r="T62" s="2"/>
      <x:c r="U62" s="2"/>
      <x:c r="V62" s="2"/>
      <x:c r="W62" s="2"/>
      <x:c r="X62" s="3"/>
      <x:c r="Y62" s="3"/>
      <x:c r="Z62" s="2"/>
      <x:c r="AA62" s="2"/>
      <x:c r="AB62" s="2"/>
      <x:c r="AC62" s="2" t="s">
        <x:v>326</x:v>
      </x:c>
      <x:c r="AD62" s="2" t="s">
        <x:v>317</x:v>
      </x:c>
      <x:c r="AE62" s="2" t="s">
        <x:v>318</x:v>
      </x:c>
      <x:c r="AF62" s="2" t="s">
        <x:v>319</x:v>
      </x:c>
      <x:c r="AG62" s="2"/>
      <x:c r="AH62" s="2"/>
      <x:c r="AI62" s="4"/>
      <x:c r="AJ62" s="2"/>
      <x:c r="AK62" s="2" t="s">
        <x:v>320</x:v>
      </x:c>
      <x:c r="AL62" s="2" t="s">
        <x:v>2801</x:v>
      </x:c>
      <x:c r="AM62" s="2">
        <x:v>3</x:v>
      </x:c>
      <x:c r="AN62" s="2">
        <x:v>3</x:v>
      </x:c>
    </x:row>
    <x:row r="63" ht="39">
      <x:c r="A63" s="2" t="s">
        <x:v>91</x:v>
      </x:c>
      <x:c r="B63" s="2" t="s">
        <x:v>16</x:v>
      </x:c>
      <x:c r="C63" s="3">
        <x:v>2</x:v>
      </x:c>
      <x:c r="D63" s="2" t="s">
        <x:v>327</x:v>
      </x:c>
      <x:c r="E63" s="2" t="s">
        <x:v>308</x:v>
      </x:c>
      <x:c r="F63" s="2" t="s">
        <x:v>328</x:v>
      </x:c>
      <x:c r="G63" s="2" t="s">
        <x:v>2824</x:v>
      </x:c>
      <x:c r="H63" s="2" t="s">
        <x:v>96</x:v>
      </x:c>
      <x:c r="I63" s="2" t="s">
        <x:v>311</x:v>
      </x:c>
      <x:c r="J63" s="2" t="s">
        <x:v>312</x:v>
      </x:c>
      <x:c r="K63" s="2" t="n">
        <x:v>0</x:v>
      </x:c>
      <x:c r="L63" s="2" t="s">
        <x:v>330</x:v>
      </x:c>
      <x:c r="M63" s="2"/>
      <x:c r="N63" s="2"/>
      <x:c r="O63" s="2" t="s">
        <x:v>324</x:v>
      </x:c>
      <x:c r="P63" s="2" t="s">
        <x:v>331</x:v>
      </x:c>
      <x:c r="Q63" s="2"/>
      <x:c r="R63" s="3">
        <x:v>3</x:v>
      </x:c>
      <x:c r="S63" s="3"/>
      <x:c r="T63" s="2"/>
      <x:c r="U63" s="2"/>
      <x:c r="V63" s="2"/>
      <x:c r="W63" s="2"/>
      <x:c r="X63" s="3"/>
      <x:c r="Y63" s="3"/>
      <x:c r="Z63" s="2"/>
      <x:c r="AA63" s="2"/>
      <x:c r="AB63" s="2"/>
      <x:c r="AC63" s="2" t="s">
        <x:v>316</x:v>
      </x:c>
      <x:c r="AD63" s="2" t="s">
        <x:v>318</x:v>
      </x:c>
      <x:c r="AE63" s="2" t="s">
        <x:v>317</x:v>
      </x:c>
      <x:c r="AF63" s="2" t="s">
        <x:v>319</x:v>
      </x:c>
      <x:c r="AG63" s="2"/>
      <x:c r="AH63" s="2"/>
      <x:c r="AI63" s="4"/>
      <x:c r="AJ63" s="2"/>
      <x:c r="AK63" s="2" t="s">
        <x:v>320</x:v>
      </x:c>
      <x:c r="AL63" s="2" t="s">
        <x:v>2801</x:v>
      </x:c>
      <x:c r="AM63" s="2">
        <x:v>4</x:v>
      </x:c>
      <x:c r="AN63" s="2">
        <x:v>4</x:v>
      </x:c>
    </x:row>
    <x:row r="64" ht="39">
      <x:c r="A64" s="2" t="s">
        <x:v>91</x:v>
      </x:c>
      <x:c r="B64" s="2" t="s">
        <x:v>16</x:v>
      </x:c>
      <x:c r="C64" s="3">
        <x:v>3</x:v>
      </x:c>
      <x:c r="D64" s="2" t="s">
        <x:v>332</x:v>
      </x:c>
      <x:c r="E64" s="2" t="s">
        <x:v>308</x:v>
      </x:c>
      <x:c r="F64" s="2" t="s">
        <x:v>333</x:v>
      </x:c>
      <x:c r="G64" s="2" t="s">
        <x:v>2825</x:v>
      </x:c>
      <x:c r="H64" s="2" t="s">
        <x:v>96</x:v>
      </x:c>
      <x:c r="I64" s="2" t="s">
        <x:v>311</x:v>
      </x:c>
      <x:c r="J64" s="2" t="s">
        <x:v>312</x:v>
      </x:c>
      <x:c r="K64" s="2" t="n">
        <x:v>0</x:v>
      </x:c>
      <x:c r="L64" s="2" t="s">
        <x:v>335</x:v>
      </x:c>
      <x:c r="M64" s="2"/>
      <x:c r="N64" s="2"/>
      <x:c r="O64" s="2" t="s">
        <x:v>324</x:v>
      </x:c>
      <x:c r="P64" s="2" t="s">
        <x:v>336</x:v>
      </x:c>
      <x:c r="Q64" s="2"/>
      <x:c r="R64" s="3">
        <x:v>3</x:v>
      </x:c>
      <x:c r="S64" s="3"/>
      <x:c r="T64" s="2"/>
      <x:c r="U64" s="2"/>
      <x:c r="V64" s="2"/>
      <x:c r="W64" s="2"/>
      <x:c r="X64" s="3"/>
      <x:c r="Y64" s="3"/>
      <x:c r="Z64" s="2"/>
      <x:c r="AA64" s="2"/>
      <x:c r="AB64" s="2"/>
      <x:c r="AC64" s="2" t="s">
        <x:v>326</x:v>
      </x:c>
      <x:c r="AD64" s="2" t="s">
        <x:v>318</x:v>
      </x:c>
      <x:c r="AE64" s="2" t="s">
        <x:v>317</x:v>
      </x:c>
      <x:c r="AF64" s="2" t="s">
        <x:v>319</x:v>
      </x:c>
      <x:c r="AG64" s="2"/>
      <x:c r="AH64" s="2"/>
      <x:c r="AI64" s="4"/>
      <x:c r="AJ64" s="2"/>
      <x:c r="AK64" s="2" t="s">
        <x:v>320</x:v>
      </x:c>
      <x:c r="AL64" s="2" t="s">
        <x:v>2801</x:v>
      </x:c>
      <x:c r="AM64" s="2">
        <x:v>5</x:v>
      </x:c>
      <x:c r="AN64" s="2">
        <x:v>5</x:v>
      </x:c>
    </x:row>
    <x:row r="65" ht="39">
      <x:c r="A65" s="2" t="s">
        <x:v>91</x:v>
      </x:c>
      <x:c r="B65" s="2" t="s">
        <x:v>16</x:v>
      </x:c>
      <x:c r="C65" s="3">
        <x:v>4</x:v>
      </x:c>
      <x:c r="D65" s="2" t="s">
        <x:v>337</x:v>
      </x:c>
      <x:c r="E65" s="2" t="s">
        <x:v>338</x:v>
      </x:c>
      <x:c r="F65" s="2" t="s">
        <x:v>339</x:v>
      </x:c>
      <x:c r="G65" s="2" t="s">
        <x:v>2826</x:v>
      </x:c>
      <x:c r="H65" s="2" t="s">
        <x:v>96</x:v>
      </x:c>
      <x:c r="I65" s="2" t="s">
        <x:v>341</x:v>
      </x:c>
      <x:c r="J65" s="2" t="s">
        <x:v>312</x:v>
      </x:c>
      <x:c r="K65" s="2"/>
      <x:c r="L65" s="2" t="s">
        <x:v>342</x:v>
      </x:c>
      <x:c r="M65" s="2"/>
      <x:c r="N65" s="2"/>
      <x:c r="O65" s="2" t="s">
        <x:v>314</x:v>
      </x:c>
      <x:c r="P65" s="2" t="s">
        <x:v>343</x:v>
      </x:c>
      <x:c r="Q65" s="2"/>
      <x:c r="R65" s="3">
        <x:v>4</x:v>
      </x:c>
      <x:c r="S65" s="3"/>
      <x:c r="T65" s="2"/>
      <x:c r="U65" s="2"/>
      <x:c r="V65" s="2"/>
      <x:c r="W65" s="2"/>
      <x:c r="X65" s="3"/>
      <x:c r="Y65" s="3"/>
      <x:c r="Z65" s="2"/>
      <x:c r="AA65" s="2"/>
      <x:c r="AB65" s="2"/>
      <x:c r="AC65" s="2" t="s">
        <x:v>316</x:v>
      </x:c>
      <x:c r="AD65" s="2" t="s">
        <x:v>317</x:v>
      </x:c>
      <x:c r="AE65" s="2" t="s">
        <x:v>344</x:v>
      </x:c>
      <x:c r="AF65" s="2" t="s">
        <x:v>319</x:v>
      </x:c>
      <x:c r="AG65" s="2"/>
      <x:c r="AH65" s="2"/>
      <x:c r="AI65" s="4"/>
      <x:c r="AJ65" s="2"/>
      <x:c r="AK65" s="2" t="s">
        <x:v>320</x:v>
      </x:c>
      <x:c r="AL65" s="2" t="s">
        <x:v>2801</x:v>
      </x:c>
      <x:c r="AM65" s="2">
        <x:v>6</x:v>
      </x:c>
      <x:c r="AN65" s="2">
        <x:v>6</x:v>
      </x:c>
    </x:row>
    <x:row r="66" ht="39">
      <x:c r="A66" s="2" t="s">
        <x:v>91</x:v>
      </x:c>
      <x:c r="B66" s="2" t="s">
        <x:v>16</x:v>
      </x:c>
      <x:c r="C66" s="3">
        <x:v>5</x:v>
      </x:c>
      <x:c r="D66" s="2" t="s">
        <x:v>345</x:v>
      </x:c>
      <x:c r="E66" s="2" t="s">
        <x:v>338</x:v>
      </x:c>
      <x:c r="F66" s="2" t="s">
        <x:v>346</x:v>
      </x:c>
      <x:c r="G66" s="2" t="s">
        <x:v>2827</x:v>
      </x:c>
      <x:c r="H66" s="2" t="s">
        <x:v>96</x:v>
      </x:c>
      <x:c r="I66" s="2" t="s">
        <x:v>341</x:v>
      </x:c>
      <x:c r="J66" s="2" t="s">
        <x:v>312</x:v>
      </x:c>
      <x:c r="K66" s="2" t="n">
        <x:v>4</x:v>
      </x:c>
      <x:c r="L66" s="2" t="s">
        <x:v>348</x:v>
      </x:c>
      <x:c r="M66" s="2"/>
      <x:c r="N66" s="2"/>
      <x:c r="O66" s="2" t="s">
        <x:v>324</x:v>
      </x:c>
      <x:c r="P66" s="2" t="s">
        <x:v>349</x:v>
      </x:c>
      <x:c r="Q66" s="2"/>
      <x:c r="R66" s="3">
        <x:v>4</x:v>
      </x:c>
      <x:c r="S66" s="3"/>
      <x:c r="T66" s="2"/>
      <x:c r="U66" s="2"/>
      <x:c r="V66" s="2"/>
      <x:c r="W66" s="2"/>
      <x:c r="X66" s="3"/>
      <x:c r="Y66" s="3"/>
      <x:c r="Z66" s="2"/>
      <x:c r="AA66" s="2"/>
      <x:c r="AB66" s="2"/>
      <x:c r="AC66" s="2" t="s">
        <x:v>326</x:v>
      </x:c>
      <x:c r="AD66" s="2" t="s">
        <x:v>317</x:v>
      </x:c>
      <x:c r="AE66" s="2" t="s">
        <x:v>344</x:v>
      </x:c>
      <x:c r="AF66" s="2" t="s">
        <x:v>319</x:v>
      </x:c>
      <x:c r="AG66" s="2"/>
      <x:c r="AH66" s="2"/>
      <x:c r="AI66" s="4"/>
      <x:c r="AJ66" s="2"/>
      <x:c r="AK66" s="2" t="s">
        <x:v>320</x:v>
      </x:c>
      <x:c r="AL66" s="2" t="s">
        <x:v>2801</x:v>
      </x:c>
      <x:c r="AM66" s="2">
        <x:v>7</x:v>
      </x:c>
      <x:c r="AN66" s="2">
        <x:v>7</x:v>
      </x:c>
    </x:row>
    <x:row r="67" ht="39">
      <x:c r="A67" s="2" t="s">
        <x:v>91</x:v>
      </x:c>
      <x:c r="B67" s="2" t="s">
        <x:v>16</x:v>
      </x:c>
      <x:c r="C67" s="3">
        <x:v>6</x:v>
      </x:c>
      <x:c r="D67" s="2" t="s">
        <x:v>350</x:v>
      </x:c>
      <x:c r="E67" s="2" t="s">
        <x:v>338</x:v>
      </x:c>
      <x:c r="F67" s="2" t="s">
        <x:v>351</x:v>
      </x:c>
      <x:c r="G67" s="2" t="s">
        <x:v>2828</x:v>
      </x:c>
      <x:c r="H67" s="2" t="s">
        <x:v>96</x:v>
      </x:c>
      <x:c r="I67" s="2" t="s">
        <x:v>341</x:v>
      </x:c>
      <x:c r="J67" s="2" t="s">
        <x:v>312</x:v>
      </x:c>
      <x:c r="K67" s="2" t="n">
        <x:v>4</x:v>
      </x:c>
      <x:c r="L67" s="2" t="s">
        <x:v>353</x:v>
      </x:c>
      <x:c r="M67" s="2"/>
      <x:c r="N67" s="2"/>
      <x:c r="O67" s="2" t="s">
        <x:v>324</x:v>
      </x:c>
      <x:c r="P67" s="2" t="s">
        <x:v>354</x:v>
      </x:c>
      <x:c r="Q67" s="2"/>
      <x:c r="R67" s="3">
        <x:v>4</x:v>
      </x:c>
      <x:c r="S67" s="3"/>
      <x:c r="T67" s="2"/>
      <x:c r="U67" s="2"/>
      <x:c r="V67" s="2"/>
      <x:c r="W67" s="2"/>
      <x:c r="X67" s="3"/>
      <x:c r="Y67" s="3"/>
      <x:c r="Z67" s="2"/>
      <x:c r="AA67" s="2"/>
      <x:c r="AB67" s="2"/>
      <x:c r="AC67" s="2" t="s">
        <x:v>316</x:v>
      </x:c>
      <x:c r="AD67" s="2" t="s">
        <x:v>344</x:v>
      </x:c>
      <x:c r="AE67" s="2" t="s">
        <x:v>317</x:v>
      </x:c>
      <x:c r="AF67" s="2" t="s">
        <x:v>319</x:v>
      </x:c>
      <x:c r="AG67" s="2"/>
      <x:c r="AH67" s="2"/>
      <x:c r="AI67" s="4"/>
      <x:c r="AJ67" s="2"/>
      <x:c r="AK67" s="2" t="s">
        <x:v>320</x:v>
      </x:c>
      <x:c r="AL67" s="2" t="s">
        <x:v>2801</x:v>
      </x:c>
      <x:c r="AM67" s="2">
        <x:v>8</x:v>
      </x:c>
      <x:c r="AN67" s="2">
        <x:v>8</x:v>
      </x:c>
    </x:row>
    <x:row r="68" ht="39">
      <x:c r="A68" s="2" t="s">
        <x:v>91</x:v>
      </x:c>
      <x:c r="B68" s="2" t="s">
        <x:v>16</x:v>
      </x:c>
      <x:c r="C68" s="3">
        <x:v>7</x:v>
      </x:c>
      <x:c r="D68" s="2" t="s">
        <x:v>355</x:v>
      </x:c>
      <x:c r="E68" s="2" t="s">
        <x:v>338</x:v>
      </x:c>
      <x:c r="F68" s="2" t="s">
        <x:v>356</x:v>
      </x:c>
      <x:c r="G68" s="2" t="s">
        <x:v>2829</x:v>
      </x:c>
      <x:c r="H68" s="2" t="s">
        <x:v>96</x:v>
      </x:c>
      <x:c r="I68" s="2" t="s">
        <x:v>341</x:v>
      </x:c>
      <x:c r="J68" s="2" t="s">
        <x:v>312</x:v>
      </x:c>
      <x:c r="K68" s="2" t="n">
        <x:v>4</x:v>
      </x:c>
      <x:c r="L68" s="2" t="s">
        <x:v>357</x:v>
      </x:c>
      <x:c r="M68" s="2"/>
      <x:c r="N68" s="2"/>
      <x:c r="O68" s="2" t="s">
        <x:v>324</x:v>
      </x:c>
      <x:c r="P68" s="2" t="s">
        <x:v>358</x:v>
      </x:c>
      <x:c r="Q68" s="2"/>
      <x:c r="R68" s="3">
        <x:v>4</x:v>
      </x:c>
      <x:c r="S68" s="3"/>
      <x:c r="T68" s="2"/>
      <x:c r="U68" s="2"/>
      <x:c r="V68" s="2"/>
      <x:c r="W68" s="2"/>
      <x:c r="X68" s="3"/>
      <x:c r="Y68" s="3"/>
      <x:c r="Z68" s="2"/>
      <x:c r="AA68" s="2"/>
      <x:c r="AB68" s="2"/>
      <x:c r="AC68" s="2" t="s">
        <x:v>326</x:v>
      </x:c>
      <x:c r="AD68" s="2" t="s">
        <x:v>344</x:v>
      </x:c>
      <x:c r="AE68" s="2" t="s">
        <x:v>317</x:v>
      </x:c>
      <x:c r="AF68" s="2" t="s">
        <x:v>319</x:v>
      </x:c>
      <x:c r="AG68" s="2"/>
      <x:c r="AH68" s="2"/>
      <x:c r="AI68" s="4"/>
      <x:c r="AJ68" s="2"/>
      <x:c r="AK68" s="2" t="s">
        <x:v>320</x:v>
      </x:c>
      <x:c r="AL68" s="2" t="s">
        <x:v>2801</x:v>
      </x:c>
      <x:c r="AM68" s="2">
        <x:v>9</x:v>
      </x:c>
      <x:c r="AN68" s="2">
        <x:v>9</x:v>
      </x:c>
    </x:row>
    <x:row r="69" ht="39">
      <x:c r="A69" s="2" t="s">
        <x:v>91</x:v>
      </x:c>
      <x:c r="B69" s="2" t="s">
        <x:v>16</x:v>
      </x:c>
      <x:c r="C69" s="3">
        <x:v>8</x:v>
      </x:c>
      <x:c r="D69" s="2" t="s">
        <x:v>359</x:v>
      </x:c>
      <x:c r="E69" s="2" t="s">
        <x:v>360</x:v>
      </x:c>
      <x:c r="F69" s="2" t="s">
        <x:v>361</x:v>
      </x:c>
      <x:c r="G69" s="2" t="s">
        <x:v>2830</x:v>
      </x:c>
      <x:c r="H69" s="2" t="s">
        <x:v>96</x:v>
      </x:c>
      <x:c r="I69" s="2" t="s">
        <x:v>363</x:v>
      </x:c>
      <x:c r="J69" s="2" t="s">
        <x:v>364</x:v>
      </x:c>
      <x:c r="K69" s="2"/>
      <x:c r="L69" s="2" t="s">
        <x:v>365</x:v>
      </x:c>
      <x:c r="M69" s="2"/>
      <x:c r="N69" s="2"/>
      <x:c r="O69" s="2" t="s">
        <x:v>314</x:v>
      </x:c>
      <x:c r="P69" s="2" t="s">
        <x:v>366</x:v>
      </x:c>
      <x:c r="Q69" s="2"/>
      <x:c r="R69" s="3">
        <x:v>3</x:v>
      </x:c>
      <x:c r="S69" s="3"/>
      <x:c r="T69" s="2"/>
      <x:c r="U69" s="2"/>
      <x:c r="V69" s="2"/>
      <x:c r="W69" s="2"/>
      <x:c r="X69" s="3"/>
      <x:c r="Y69" s="3"/>
      <x:c r="Z69" s="2"/>
      <x:c r="AA69" s="2"/>
      <x:c r="AB69" s="2"/>
      <x:c r="AC69" s="2" t="s">
        <x:v>367</x:v>
      </x:c>
      <x:c r="AD69" s="2" t="s">
        <x:v>368</x:v>
      </x:c>
      <x:c r="AE69" s="2" t="s">
        <x:v>318</x:v>
      </x:c>
      <x:c r="AF69" s="2" t="s">
        <x:v>319</x:v>
      </x:c>
      <x:c r="AG69" s="2"/>
      <x:c r="AH69" s="2"/>
      <x:c r="AI69" s="4"/>
      <x:c r="AJ69" s="2"/>
      <x:c r="AK69" s="2" t="s">
        <x:v>320</x:v>
      </x:c>
      <x:c r="AL69" s="2" t="s">
        <x:v>2801</x:v>
      </x:c>
      <x:c r="AM69" s="2">
        <x:v>10</x:v>
      </x:c>
      <x:c r="AN69" s="2">
        <x:v>10</x:v>
      </x:c>
    </x:row>
    <x:row r="70" ht="39">
      <x:c r="A70" s="2" t="s">
        <x:v>91</x:v>
      </x:c>
      <x:c r="B70" s="2" t="s">
        <x:v>16</x:v>
      </x:c>
      <x:c r="C70" s="3">
        <x:v>9</x:v>
      </x:c>
      <x:c r="D70" s="2" t="s">
        <x:v>369</x:v>
      </x:c>
      <x:c r="E70" s="2" t="s">
        <x:v>360</x:v>
      </x:c>
      <x:c r="F70" s="2" t="s">
        <x:v>370</x:v>
      </x:c>
      <x:c r="G70" s="2" t="s">
        <x:v>2831</x:v>
      </x:c>
      <x:c r="H70" s="2" t="s">
        <x:v>96</x:v>
      </x:c>
      <x:c r="I70" s="2" t="s">
        <x:v>363</x:v>
      </x:c>
      <x:c r="J70" s="2" t="s">
        <x:v>364</x:v>
      </x:c>
      <x:c r="K70" s="2" t="n">
        <x:v>8</x:v>
      </x:c>
      <x:c r="L70" s="2" t="s">
        <x:v>372</x:v>
      </x:c>
      <x:c r="M70" s="2"/>
      <x:c r="N70" s="2"/>
      <x:c r="O70" s="2" t="s">
        <x:v>324</x:v>
      </x:c>
      <x:c r="P70" s="2" t="s">
        <x:v>373</x:v>
      </x:c>
      <x:c r="Q70" s="2"/>
      <x:c r="R70" s="3">
        <x:v>3</x:v>
      </x:c>
      <x:c r="S70" s="3"/>
      <x:c r="T70" s="2"/>
      <x:c r="U70" s="2"/>
      <x:c r="V70" s="2"/>
      <x:c r="W70" s="2"/>
      <x:c r="X70" s="3"/>
      <x:c r="Y70" s="3"/>
      <x:c r="Z70" s="2"/>
      <x:c r="AA70" s="2"/>
      <x:c r="AB70" s="2"/>
      <x:c r="AC70" s="2" t="s">
        <x:v>374</x:v>
      </x:c>
      <x:c r="AD70" s="2" t="s">
        <x:v>368</x:v>
      </x:c>
      <x:c r="AE70" s="2" t="s">
        <x:v>318</x:v>
      </x:c>
      <x:c r="AF70" s="2" t="s">
        <x:v>319</x:v>
      </x:c>
      <x:c r="AG70" s="2"/>
      <x:c r="AH70" s="2"/>
      <x:c r="AI70" s="4"/>
      <x:c r="AJ70" s="2"/>
      <x:c r="AK70" s="2" t="s">
        <x:v>320</x:v>
      </x:c>
      <x:c r="AL70" s="2" t="s">
        <x:v>2801</x:v>
      </x:c>
      <x:c r="AM70" s="2">
        <x:v>11</x:v>
      </x:c>
      <x:c r="AN70" s="2">
        <x:v>11</x:v>
      </x:c>
    </x:row>
    <x:row r="71" ht="39">
      <x:c r="A71" s="2" t="s">
        <x:v>91</x:v>
      </x:c>
      <x:c r="B71" s="2" t="s">
        <x:v>16</x:v>
      </x:c>
      <x:c r="C71" s="3">
        <x:v>10</x:v>
      </x:c>
      <x:c r="D71" s="2" t="s">
        <x:v>375</x:v>
      </x:c>
      <x:c r="E71" s="2" t="s">
        <x:v>360</x:v>
      </x:c>
      <x:c r="F71" s="2" t="s">
        <x:v>376</x:v>
      </x:c>
      <x:c r="G71" s="2" t="s">
        <x:v>2832</x:v>
      </x:c>
      <x:c r="H71" s="2" t="s">
        <x:v>96</x:v>
      </x:c>
      <x:c r="I71" s="2" t="s">
        <x:v>363</x:v>
      </x:c>
      <x:c r="J71" s="2" t="s">
        <x:v>364</x:v>
      </x:c>
      <x:c r="K71" s="2" t="n">
        <x:v>8</x:v>
      </x:c>
      <x:c r="L71" s="2" t="s">
        <x:v>378</x:v>
      </x:c>
      <x:c r="M71" s="2"/>
      <x:c r="N71" s="2"/>
      <x:c r="O71" s="2" t="s">
        <x:v>324</x:v>
      </x:c>
      <x:c r="P71" s="2" t="s">
        <x:v>379</x:v>
      </x:c>
      <x:c r="Q71" s="2"/>
      <x:c r="R71" s="3">
        <x:v>3</x:v>
      </x:c>
      <x:c r="S71" s="3"/>
      <x:c r="T71" s="2"/>
      <x:c r="U71" s="2"/>
      <x:c r="V71" s="2"/>
      <x:c r="W71" s="2"/>
      <x:c r="X71" s="3"/>
      <x:c r="Y71" s="3"/>
      <x:c r="Z71" s="2"/>
      <x:c r="AA71" s="2"/>
      <x:c r="AB71" s="2"/>
      <x:c r="AC71" s="2" t="s">
        <x:v>367</x:v>
      </x:c>
      <x:c r="AD71" s="2" t="s">
        <x:v>318</x:v>
      </x:c>
      <x:c r="AE71" s="2" t="s">
        <x:v>368</x:v>
      </x:c>
      <x:c r="AF71" s="2" t="s">
        <x:v>319</x:v>
      </x:c>
      <x:c r="AG71" s="2"/>
      <x:c r="AH71" s="2"/>
      <x:c r="AI71" s="4"/>
      <x:c r="AJ71" s="2"/>
      <x:c r="AK71" s="2" t="s">
        <x:v>320</x:v>
      </x:c>
      <x:c r="AL71" s="2" t="s">
        <x:v>2801</x:v>
      </x:c>
      <x:c r="AM71" s="2">
        <x:v>12</x:v>
      </x:c>
      <x:c r="AN71" s="2">
        <x:v>12</x:v>
      </x:c>
    </x:row>
    <x:row r="72" ht="52">
      <x:c r="A72" s="2" t="s">
        <x:v>91</x:v>
      </x:c>
      <x:c r="B72" s="2" t="s">
        <x:v>16</x:v>
      </x:c>
      <x:c r="C72" s="3">
        <x:v>11</x:v>
      </x:c>
      <x:c r="D72" s="2" t="s">
        <x:v>380</x:v>
      </x:c>
      <x:c r="E72" s="2" t="s">
        <x:v>360</x:v>
      </x:c>
      <x:c r="F72" s="2" t="s">
        <x:v>381</x:v>
      </x:c>
      <x:c r="G72" s="2" t="s">
        <x:v>2833</x:v>
      </x:c>
      <x:c r="H72" s="2" t="s">
        <x:v>96</x:v>
      </x:c>
      <x:c r="I72" s="2" t="s">
        <x:v>363</x:v>
      </x:c>
      <x:c r="J72" s="2" t="s">
        <x:v>364</x:v>
      </x:c>
      <x:c r="K72" s="2" t="n">
        <x:v>8</x:v>
      </x:c>
      <x:c r="L72" s="2" t="s">
        <x:v>382</x:v>
      </x:c>
      <x:c r="M72" s="2"/>
      <x:c r="N72" s="2"/>
      <x:c r="O72" s="2" t="s">
        <x:v>324</x:v>
      </x:c>
      <x:c r="P72" s="2" t="s">
        <x:v>383</x:v>
      </x:c>
      <x:c r="Q72" s="2"/>
      <x:c r="R72" s="3">
        <x:v>3</x:v>
      </x:c>
      <x:c r="S72" s="3"/>
      <x:c r="T72" s="2"/>
      <x:c r="U72" s="2"/>
      <x:c r="V72" s="2"/>
      <x:c r="W72" s="2"/>
      <x:c r="X72" s="3"/>
      <x:c r="Y72" s="3"/>
      <x:c r="Z72" s="2"/>
      <x:c r="AA72" s="2"/>
      <x:c r="AB72" s="2"/>
      <x:c r="AC72" s="2" t="s">
        <x:v>374</x:v>
      </x:c>
      <x:c r="AD72" s="2" t="s">
        <x:v>318</x:v>
      </x:c>
      <x:c r="AE72" s="2" t="s">
        <x:v>368</x:v>
      </x:c>
      <x:c r="AF72" s="2" t="s">
        <x:v>319</x:v>
      </x:c>
      <x:c r="AG72" s="2"/>
      <x:c r="AH72" s="2"/>
      <x:c r="AI72" s="4"/>
      <x:c r="AJ72" s="2"/>
      <x:c r="AK72" s="2" t="s">
        <x:v>320</x:v>
      </x:c>
      <x:c r="AL72" s="2" t="s">
        <x:v>2801</x:v>
      </x:c>
      <x:c r="AM72" s="2">
        <x:v>13</x:v>
      </x:c>
      <x:c r="AN72" s="2">
        <x:v>13</x:v>
      </x:c>
    </x:row>
    <x:row r="73" ht="39">
      <x:c r="A73" s="2" t="s">
        <x:v>91</x:v>
      </x:c>
      <x:c r="B73" s="2" t="s">
        <x:v>16</x:v>
      </x:c>
      <x:c r="C73" s="3">
        <x:v>12</x:v>
      </x:c>
      <x:c r="D73" s="2" t="s">
        <x:v>1554</x:v>
      </x:c>
      <x:c r="E73" s="2" t="s">
        <x:v>1555</x:v>
      </x:c>
      <x:c r="F73" s="2" t="s">
        <x:v>1556</x:v>
      </x:c>
      <x:c r="G73" s="2" t="s">
        <x:v>2834</x:v>
      </x:c>
      <x:c r="H73" s="2" t="s">
        <x:v>96</x:v>
      </x:c>
      <x:c r="I73" s="2" t="s">
        <x:v>1557</x:v>
      </x:c>
      <x:c r="J73" s="2" t="s">
        <x:v>364</x:v>
      </x:c>
      <x:c r="K73" s="2"/>
      <x:c r="L73" s="2" t="s">
        <x:v>1558</x:v>
      </x:c>
      <x:c r="M73" s="2"/>
      <x:c r="N73" s="2"/>
      <x:c r="O73" s="2" t="s">
        <x:v>314</x:v>
      </x:c>
      <x:c r="P73" s="2" t="s">
        <x:v>1559</x:v>
      </x:c>
      <x:c r="Q73" s="2"/>
      <x:c r="R73" s="3">
        <x:v>4</x:v>
      </x:c>
      <x:c r="S73" s="3"/>
      <x:c r="T73" s="2"/>
      <x:c r="U73" s="2"/>
      <x:c r="V73" s="2"/>
      <x:c r="W73" s="2"/>
      <x:c r="X73" s="3"/>
      <x:c r="Y73" s="3"/>
      <x:c r="Z73" s="2"/>
      <x:c r="AA73" s="2"/>
      <x:c r="AB73" s="2"/>
      <x:c r="AC73" s="2" t="s">
        <x:v>367</x:v>
      </x:c>
      <x:c r="AD73" s="2" t="s">
        <x:v>368</x:v>
      </x:c>
      <x:c r="AE73" s="2" t="s">
        <x:v>344</x:v>
      </x:c>
      <x:c r="AF73" s="2" t="s">
        <x:v>319</x:v>
      </x:c>
      <x:c r="AG73" s="2"/>
      <x:c r="AH73" s="2"/>
      <x:c r="AI73" s="4"/>
      <x:c r="AJ73" s="2"/>
      <x:c r="AK73" s="2" t="s">
        <x:v>320</x:v>
      </x:c>
      <x:c r="AL73" s="2" t="s">
        <x:v>2801</x:v>
      </x:c>
      <x:c r="AM73" s="2">
        <x:v>14</x:v>
      </x:c>
      <x:c r="AN73" s="2">
        <x:v>14</x:v>
      </x:c>
    </x:row>
    <x:row r="74" ht="39">
      <x:c r="A74" s="2" t="s">
        <x:v>91</x:v>
      </x:c>
      <x:c r="B74" s="2" t="s">
        <x:v>16</x:v>
      </x:c>
      <x:c r="C74" s="3">
        <x:v>13</x:v>
      </x:c>
      <x:c r="D74" s="2" t="s">
        <x:v>1560</x:v>
      </x:c>
      <x:c r="E74" s="2" t="s">
        <x:v>1555</x:v>
      </x:c>
      <x:c r="F74" s="2" t="s">
        <x:v>1561</x:v>
      </x:c>
      <x:c r="G74" s="2" t="s">
        <x:v>2835</x:v>
      </x:c>
      <x:c r="H74" s="2" t="s">
        <x:v>96</x:v>
      </x:c>
      <x:c r="I74" s="2" t="s">
        <x:v>1557</x:v>
      </x:c>
      <x:c r="J74" s="2" t="s">
        <x:v>364</x:v>
      </x:c>
      <x:c r="K74" s="2" t="n">
        <x:v>12</x:v>
      </x:c>
      <x:c r="L74" s="2" t="s">
        <x:v>1563</x:v>
      </x:c>
      <x:c r="M74" s="2"/>
      <x:c r="N74" s="2"/>
      <x:c r="O74" s="2" t="s">
        <x:v>324</x:v>
      </x:c>
      <x:c r="P74" s="2" t="s">
        <x:v>1564</x:v>
      </x:c>
      <x:c r="Q74" s="2"/>
      <x:c r="R74" s="3">
        <x:v>4</x:v>
      </x:c>
      <x:c r="S74" s="3"/>
      <x:c r="T74" s="2"/>
      <x:c r="U74" s="2"/>
      <x:c r="V74" s="2"/>
      <x:c r="W74" s="2"/>
      <x:c r="X74" s="3"/>
      <x:c r="Y74" s="3"/>
      <x:c r="Z74" s="2"/>
      <x:c r="AA74" s="2"/>
      <x:c r="AB74" s="2"/>
      <x:c r="AC74" s="2" t="s">
        <x:v>374</x:v>
      </x:c>
      <x:c r="AD74" s="2" t="s">
        <x:v>368</x:v>
      </x:c>
      <x:c r="AE74" s="2" t="s">
        <x:v>344</x:v>
      </x:c>
      <x:c r="AF74" s="2" t="s">
        <x:v>319</x:v>
      </x:c>
      <x:c r="AG74" s="2"/>
      <x:c r="AH74" s="2"/>
      <x:c r="AI74" s="4"/>
      <x:c r="AJ74" s="2"/>
      <x:c r="AK74" s="2" t="s">
        <x:v>320</x:v>
      </x:c>
      <x:c r="AL74" s="2" t="s">
        <x:v>2801</x:v>
      </x:c>
      <x:c r="AM74" s="2">
        <x:v>15</x:v>
      </x:c>
      <x:c r="AN74" s="2">
        <x:v>15</x:v>
      </x:c>
    </x:row>
    <x:row r="75" ht="39">
      <x:c r="A75" s="2" t="s">
        <x:v>91</x:v>
      </x:c>
      <x:c r="B75" s="2" t="s">
        <x:v>16</x:v>
      </x:c>
      <x:c r="C75" s="3">
        <x:v>14</x:v>
      </x:c>
      <x:c r="D75" s="2" t="s">
        <x:v>1565</x:v>
      </x:c>
      <x:c r="E75" s="2" t="s">
        <x:v>1555</x:v>
      </x:c>
      <x:c r="F75" s="2" t="s">
        <x:v>1566</x:v>
      </x:c>
      <x:c r="G75" s="2" t="s">
        <x:v>2836</x:v>
      </x:c>
      <x:c r="H75" s="2" t="s">
        <x:v>96</x:v>
      </x:c>
      <x:c r="I75" s="2" t="s">
        <x:v>1557</x:v>
      </x:c>
      <x:c r="J75" s="2" t="s">
        <x:v>364</x:v>
      </x:c>
      <x:c r="K75" s="2" t="n">
        <x:v>12</x:v>
      </x:c>
      <x:c r="L75" s="2" t="s">
        <x:v>1568</x:v>
      </x:c>
      <x:c r="M75" s="2"/>
      <x:c r="N75" s="2"/>
      <x:c r="O75" s="2" t="s">
        <x:v>324</x:v>
      </x:c>
      <x:c r="P75" s="2" t="s">
        <x:v>1569</x:v>
      </x:c>
      <x:c r="Q75" s="2"/>
      <x:c r="R75" s="3">
        <x:v>4</x:v>
      </x:c>
      <x:c r="S75" s="3"/>
      <x:c r="T75" s="2"/>
      <x:c r="U75" s="2"/>
      <x:c r="V75" s="2"/>
      <x:c r="W75" s="2"/>
      <x:c r="X75" s="3"/>
      <x:c r="Y75" s="3"/>
      <x:c r="Z75" s="2"/>
      <x:c r="AA75" s="2"/>
      <x:c r="AB75" s="2"/>
      <x:c r="AC75" s="2" t="s">
        <x:v>367</x:v>
      </x:c>
      <x:c r="AD75" s="2" t="s">
        <x:v>344</x:v>
      </x:c>
      <x:c r="AE75" s="2" t="s">
        <x:v>368</x:v>
      </x:c>
      <x:c r="AF75" s="2" t="s">
        <x:v>319</x:v>
      </x:c>
      <x:c r="AG75" s="2"/>
      <x:c r="AH75" s="2"/>
      <x:c r="AI75" s="4"/>
      <x:c r="AJ75" s="2"/>
      <x:c r="AK75" s="2" t="s">
        <x:v>320</x:v>
      </x:c>
      <x:c r="AL75" s="2" t="s">
        <x:v>2801</x:v>
      </x:c>
      <x:c r="AM75" s="2">
        <x:v>16</x:v>
      </x:c>
      <x:c r="AN75" s="2">
        <x:v>16</x:v>
      </x:c>
    </x:row>
    <x:row r="76" ht="39">
      <x:c r="A76" s="2" t="s">
        <x:v>91</x:v>
      </x:c>
      <x:c r="B76" s="2" t="s">
        <x:v>16</x:v>
      </x:c>
      <x:c r="C76" s="3">
        <x:v>15</x:v>
      </x:c>
      <x:c r="D76" s="2" t="s">
        <x:v>1570</x:v>
      </x:c>
      <x:c r="E76" s="2" t="s">
        <x:v>1555</x:v>
      </x:c>
      <x:c r="F76" s="2" t="s">
        <x:v>1571</x:v>
      </x:c>
      <x:c r="G76" s="2" t="s">
        <x:v>2836</x:v>
      </x:c>
      <x:c r="H76" s="2" t="s">
        <x:v>96</x:v>
      </x:c>
      <x:c r="I76" s="2" t="s">
        <x:v>1557</x:v>
      </x:c>
      <x:c r="J76" s="2" t="s">
        <x:v>364</x:v>
      </x:c>
      <x:c r="K76" s="2" t="n">
        <x:v>12</x:v>
      </x:c>
      <x:c r="L76" s="2" t="s">
        <x:v>1572</x:v>
      </x:c>
      <x:c r="M76" s="2"/>
      <x:c r="N76" s="2"/>
      <x:c r="O76" s="2" t="s">
        <x:v>324</x:v>
      </x:c>
      <x:c r="P76" s="2" t="s">
        <x:v>1573</x:v>
      </x:c>
      <x:c r="Q76" s="2"/>
      <x:c r="R76" s="3">
        <x:v>4</x:v>
      </x:c>
      <x:c r="S76" s="3"/>
      <x:c r="T76" s="2"/>
      <x:c r="U76" s="2"/>
      <x:c r="V76" s="2"/>
      <x:c r="W76" s="2"/>
      <x:c r="X76" s="3"/>
      <x:c r="Y76" s="3"/>
      <x:c r="Z76" s="2"/>
      <x:c r="AA76" s="2"/>
      <x:c r="AB76" s="2"/>
      <x:c r="AC76" s="2" t="s">
        <x:v>374</x:v>
      </x:c>
      <x:c r="AD76" s="2" t="s">
        <x:v>344</x:v>
      </x:c>
      <x:c r="AE76" s="2" t="s">
        <x:v>368</x:v>
      </x:c>
      <x:c r="AF76" s="2" t="s">
        <x:v>319</x:v>
      </x:c>
      <x:c r="AG76" s="2"/>
      <x:c r="AH76" s="2"/>
      <x:c r="AI76" s="4"/>
      <x:c r="AJ76" s="2"/>
      <x:c r="AK76" s="2" t="s">
        <x:v>320</x:v>
      </x:c>
      <x:c r="AL76" s="2" t="s">
        <x:v>2801</x:v>
      </x:c>
      <x:c r="AM76" s="2">
        <x:v>17</x:v>
      </x:c>
      <x:c r="AN76" s="2">
        <x:v>17</x:v>
      </x:c>
    </x:row>
    <x:row r="77" ht="39">
      <x:c r="A77" s="2" t="s">
        <x:v>91</x:v>
      </x:c>
      <x:c r="B77" s="2" t="s">
        <x:v>16</x:v>
      </x:c>
      <x:c r="C77" s="3">
        <x:v>16</x:v>
      </x:c>
      <x:c r="D77" s="2" t="s">
        <x:v>1574</x:v>
      </x:c>
      <x:c r="E77" s="2" t="s">
        <x:v>1575</x:v>
      </x:c>
      <x:c r="F77" s="2" t="s">
        <x:v>1576</x:v>
      </x:c>
      <x:c r="G77" s="2" t="s">
        <x:v>2837</x:v>
      </x:c>
      <x:c r="H77" s="2" t="s">
        <x:v>96</x:v>
      </x:c>
      <x:c r="I77" s="2" t="s">
        <x:v>1577</x:v>
      </x:c>
      <x:c r="J77" s="2" t="s">
        <x:v>1578</x:v>
      </x:c>
      <x:c r="K77" s="2"/>
      <x:c r="L77" s="2" t="s">
        <x:v>1579</x:v>
      </x:c>
      <x:c r="M77" s="2"/>
      <x:c r="N77" s="2"/>
      <x:c r="O77" s="2" t="s">
        <x:v>314</x:v>
      </x:c>
      <x:c r="P77" s="2" t="s">
        <x:v>1580</x:v>
      </x:c>
      <x:c r="Q77" s="2"/>
      <x:c r="R77" s="3">
        <x:v>4</x:v>
      </x:c>
      <x:c r="S77" s="3"/>
      <x:c r="T77" s="2"/>
      <x:c r="U77" s="2"/>
      <x:c r="V77" s="2"/>
      <x:c r="W77" s="2"/>
      <x:c r="X77" s="3"/>
      <x:c r="Y77" s="3"/>
      <x:c r="Z77" s="2"/>
      <x:c r="AA77" s="2"/>
      <x:c r="AB77" s="2"/>
      <x:c r="AC77" s="2" t="s">
        <x:v>367</x:v>
      </x:c>
      <x:c r="AD77" s="2" t="s">
        <x:v>317</x:v>
      </x:c>
      <x:c r="AE77" s="2" t="s">
        <x:v>318</x:v>
      </x:c>
      <x:c r="AF77" s="2" t="s">
        <x:v>319</x:v>
      </x:c>
      <x:c r="AG77" s="2"/>
      <x:c r="AH77" s="2"/>
      <x:c r="AI77" s="4"/>
      <x:c r="AJ77" s="2"/>
      <x:c r="AK77" s="2" t="s">
        <x:v>320</x:v>
      </x:c>
      <x:c r="AL77" s="2" t="s">
        <x:v>2801</x:v>
      </x:c>
      <x:c r="AM77" s="2">
        <x:v>18</x:v>
      </x:c>
      <x:c r="AN77" s="2">
        <x:v>18</x:v>
      </x:c>
    </x:row>
    <x:row r="78" ht="39">
      <x:c r="A78" s="2" t="s">
        <x:v>91</x:v>
      </x:c>
      <x:c r="B78" s="2" t="s">
        <x:v>16</x:v>
      </x:c>
      <x:c r="C78" s="3">
        <x:v>17</x:v>
      </x:c>
      <x:c r="D78" s="2" t="s">
        <x:v>1581</x:v>
      </x:c>
      <x:c r="E78" s="2" t="s">
        <x:v>1575</x:v>
      </x:c>
      <x:c r="F78" s="2" t="s">
        <x:v>1582</x:v>
      </x:c>
      <x:c r="G78" s="2" t="s">
        <x:v>2838</x:v>
      </x:c>
      <x:c r="H78" s="2" t="s">
        <x:v>96</x:v>
      </x:c>
      <x:c r="I78" s="2" t="s">
        <x:v>1577</x:v>
      </x:c>
      <x:c r="J78" s="2" t="s">
        <x:v>1578</x:v>
      </x:c>
      <x:c r="K78" s="2" t="n">
        <x:v>16</x:v>
      </x:c>
      <x:c r="L78" s="2" t="s">
        <x:v>1583</x:v>
      </x:c>
      <x:c r="M78" s="2"/>
      <x:c r="N78" s="2"/>
      <x:c r="O78" s="2" t="s">
        <x:v>324</x:v>
      </x:c>
      <x:c r="P78" s="2" t="s">
        <x:v>1584</x:v>
      </x:c>
      <x:c r="Q78" s="2"/>
      <x:c r="R78" s="3">
        <x:v>4</x:v>
      </x:c>
      <x:c r="S78" s="3"/>
      <x:c r="T78" s="2"/>
      <x:c r="U78" s="2"/>
      <x:c r="V78" s="2"/>
      <x:c r="W78" s="2"/>
      <x:c r="X78" s="3"/>
      <x:c r="Y78" s="3"/>
      <x:c r="Z78" s="2"/>
      <x:c r="AA78" s="2"/>
      <x:c r="AB78" s="2"/>
      <x:c r="AC78" s="2" t="s">
        <x:v>374</x:v>
      </x:c>
      <x:c r="AD78" s="2" t="s">
        <x:v>318</x:v>
      </x:c>
      <x:c r="AE78" s="2" t="s">
        <x:v>317</x:v>
      </x:c>
      <x:c r="AF78" s="2" t="s">
        <x:v>319</x:v>
      </x:c>
      <x:c r="AG78" s="2"/>
      <x:c r="AH78" s="2"/>
      <x:c r="AI78" s="4"/>
      <x:c r="AJ78" s="2"/>
      <x:c r="AK78" s="2" t="s">
        <x:v>320</x:v>
      </x:c>
      <x:c r="AL78" s="2" t="s">
        <x:v>2801</x:v>
      </x:c>
      <x:c r="AM78" s="2">
        <x:v>19</x:v>
      </x:c>
      <x:c r="AN78" s="2">
        <x:v>19</x:v>
      </x:c>
    </x:row>
    <x:row r="79" ht="39">
      <x:c r="A79" s="2" t="s">
        <x:v>91</x:v>
      </x:c>
      <x:c r="B79" s="2" t="s">
        <x:v>16</x:v>
      </x:c>
      <x:c r="C79" s="3">
        <x:v>18</x:v>
      </x:c>
      <x:c r="D79" s="2" t="s">
        <x:v>1585</x:v>
      </x:c>
      <x:c r="E79" s="2" t="s">
        <x:v>1575</x:v>
      </x:c>
      <x:c r="F79" s="2" t="s">
        <x:v>1586</x:v>
      </x:c>
      <x:c r="G79" s="2" t="s">
        <x:v>2839</x:v>
      </x:c>
      <x:c r="H79" s="2" t="s">
        <x:v>96</x:v>
      </x:c>
      <x:c r="I79" s="2" t="s">
        <x:v>1577</x:v>
      </x:c>
      <x:c r="J79" s="2" t="s">
        <x:v>1578</x:v>
      </x:c>
      <x:c r="K79" s="2" t="n">
        <x:v>16</x:v>
      </x:c>
      <x:c r="L79" s="2" t="s">
        <x:v>1587</x:v>
      </x:c>
      <x:c r="M79" s="2"/>
      <x:c r="N79" s="2"/>
      <x:c r="O79" s="2" t="s">
        <x:v>324</x:v>
      </x:c>
      <x:c r="P79" s="2" t="s">
        <x:v>1588</x:v>
      </x:c>
      <x:c r="Q79" s="2"/>
      <x:c r="R79" s="3">
        <x:v>4</x:v>
      </x:c>
      <x:c r="S79" s="3"/>
      <x:c r="T79" s="2"/>
      <x:c r="U79" s="2"/>
      <x:c r="V79" s="2"/>
      <x:c r="W79" s="2"/>
      <x:c r="X79" s="3"/>
      <x:c r="Y79" s="3"/>
      <x:c r="Z79" s="2"/>
      <x:c r="AA79" s="2"/>
      <x:c r="AB79" s="2"/>
      <x:c r="AC79" s="2" t="s">
        <x:v>316</x:v>
      </x:c>
      <x:c r="AD79" s="2" t="s">
        <x:v>368</x:v>
      </x:c>
      <x:c r="AE79" s="2" t="s">
        <x:v>344</x:v>
      </x:c>
      <x:c r="AF79" s="2" t="s">
        <x:v>319</x:v>
      </x:c>
      <x:c r="AG79" s="2"/>
      <x:c r="AH79" s="2"/>
      <x:c r="AI79" s="4"/>
      <x:c r="AJ79" s="2"/>
      <x:c r="AK79" s="2" t="s">
        <x:v>320</x:v>
      </x:c>
      <x:c r="AL79" s="2" t="s">
        <x:v>2801</x:v>
      </x:c>
      <x:c r="AM79" s="2">
        <x:v>20</x:v>
      </x:c>
      <x:c r="AN79" s="2">
        <x:v>20</x:v>
      </x:c>
    </x:row>
    <x:row r="80" ht="39">
      <x:c r="A80" s="2" t="s">
        <x:v>91</x:v>
      </x:c>
      <x:c r="B80" s="2" t="s">
        <x:v>16</x:v>
      </x:c>
      <x:c r="C80" s="3">
        <x:v>19</x:v>
      </x:c>
      <x:c r="D80" s="2" t="s">
        <x:v>1589</x:v>
      </x:c>
      <x:c r="E80" s="2" t="s">
        <x:v>1575</x:v>
      </x:c>
      <x:c r="F80" s="2" t="s">
        <x:v>1590</x:v>
      </x:c>
      <x:c r="G80" s="2" t="s">
        <x:v>2840</x:v>
      </x:c>
      <x:c r="H80" s="2" t="s">
        <x:v>96</x:v>
      </x:c>
      <x:c r="I80" s="2" t="s">
        <x:v>1577</x:v>
      </x:c>
      <x:c r="J80" s="2" t="s">
        <x:v>1578</x:v>
      </x:c>
      <x:c r="K80" s="2" t="n">
        <x:v>16</x:v>
      </x:c>
      <x:c r="L80" s="2" t="s">
        <x:v>1591</x:v>
      </x:c>
      <x:c r="M80" s="2"/>
      <x:c r="N80" s="2"/>
      <x:c r="O80" s="2" t="s">
        <x:v>324</x:v>
      </x:c>
      <x:c r="P80" s="2" t="s">
        <x:v>1592</x:v>
      </x:c>
      <x:c r="Q80" s="2"/>
      <x:c r="R80" s="3">
        <x:v>4</x:v>
      </x:c>
      <x:c r="S80" s="3"/>
      <x:c r="T80" s="2"/>
      <x:c r="U80" s="2"/>
      <x:c r="V80" s="2"/>
      <x:c r="W80" s="2"/>
      <x:c r="X80" s="3"/>
      <x:c r="Y80" s="3"/>
      <x:c r="Z80" s="2"/>
      <x:c r="AA80" s="2"/>
      <x:c r="AB80" s="2"/>
      <x:c r="AC80" s="2" t="s">
        <x:v>326</x:v>
      </x:c>
      <x:c r="AD80" s="2" t="s">
        <x:v>344</x:v>
      </x:c>
      <x:c r="AE80" s="2" t="s">
        <x:v>368</x:v>
      </x:c>
      <x:c r="AF80" s="2" t="s">
        <x:v>319</x:v>
      </x:c>
      <x:c r="AG80" s="2"/>
      <x:c r="AH80" s="2"/>
      <x:c r="AI80" s="4"/>
      <x:c r="AJ80" s="2"/>
      <x:c r="AK80" s="2" t="s">
        <x:v>320</x:v>
      </x:c>
      <x:c r="AL80" s="2" t="s">
        <x:v>2801</x:v>
      </x:c>
      <x:c r="AM80" s="2">
        <x:v>21</x:v>
      </x:c>
      <x:c r="AN80" s="2">
        <x:v>21</x:v>
      </x:c>
    </x:row>
    <x:row r="81" ht="52">
      <x:c r="A81" s="2" t="s">
        <x:v>6</x:v>
      </x:c>
      <x:c r="B81" s="2" t="s">
        <x:v>17</x:v>
      </x:c>
      <x:c r="C81" s="3">
        <x:v>0</x:v>
      </x:c>
      <x:c r="D81" s="2" t="s">
        <x:v>384</x:v>
      </x:c>
      <x:c r="E81" s="2" t="s">
        <x:v>385</x:v>
      </x:c>
      <x:c r="F81" s="2" t="s">
        <x:v>386</x:v>
      </x:c>
      <x:c r="G81" s="2"/>
      <x:c r="H81" s="2" t="s">
        <x:v>96</x:v>
      </x:c>
      <x:c r="I81" s="2" t="s">
        <x:v>388</x:v>
      </x:c>
      <x:c r="J81" s="2" t="s">
        <x:v>389</x:v>
      </x:c>
      <x:c r="K81" s="2"/>
      <x:c r="L81" s="2" t="s">
        <x:v>390</x:v>
      </x:c>
      <x:c r="M81" s="2" t="s">
        <x:v>391</x:v>
      </x:c>
      <x:c r="N81" s="2">
        <x:v>1</x:v>
      </x:c>
      <x:c r="O81" s="2" t="s">
        <x:v>392</x:v>
      </x:c>
      <x:c r="P81" s="2" t="s">
        <x:v>393</x:v>
      </x:c>
      <x:c r="Q81" s="2"/>
      <x:c r="R81" s="3">
        <x:v>4</x:v>
      </x:c>
      <x:c r="S81" s="3">
        <x:v>1</x:v>
      </x:c>
      <x:c r="T81" s="2" t="s">
        <x:v>103</x:v>
      </x:c>
      <x:c r="U81" s="2"/>
      <x:c r="V81" s="2"/>
      <x:c r="W81" s="2"/>
      <x:c r="X81" s="3"/>
      <x:c r="Y81" s="3"/>
      <x:c r="Z81" s="2"/>
      <x:c r="AA81" s="2"/>
      <x:c r="AB81" s="2" t="s">
        <x:v>394</x:v>
      </x:c>
      <x:c r="AC81" s="2"/>
      <x:c r="AD81" s="2"/>
      <x:c r="AE81" s="2"/>
      <x:c r="AF81" s="2"/>
      <x:c r="AG81" s="2" t="s">
        <x:v>395</x:v>
      </x:c>
      <x:c r="AH81" s="2"/>
      <x:c r="AI81" s="4"/>
      <x:c r="AJ81" s="2"/>
      <x:c r="AK81" s="2" t="s">
        <x:v>396</x:v>
      </x:c>
      <x:c r="AL81" s="2" t="s">
        <x:v>2788</x:v>
      </x:c>
      <x:c r="AM81" s="2">
        <x:v>2</x:v>
      </x:c>
      <x:c r="AN81" s="2">
        <x:v>2</x:v>
      </x:c>
    </x:row>
    <x:row r="82" ht="52">
      <x:c r="A82" s="2" t="s">
        <x:v>91</x:v>
      </x:c>
      <x:c r="B82" s="2" t="s">
        <x:v>17</x:v>
      </x:c>
      <x:c r="C82" s="3">
        <x:v>1</x:v>
      </x:c>
      <x:c r="D82" s="2" t="s">
        <x:v>397</x:v>
      </x:c>
      <x:c r="E82" s="2" t="s">
        <x:v>398</x:v>
      </x:c>
      <x:c r="F82" s="2" t="s">
        <x:v>386</x:v>
      </x:c>
      <x:c r="G82" s="2" t="s">
        <x:v>2841</x:v>
      </x:c>
      <x:c r="H82" s="2" t="s">
        <x:v>96</x:v>
      </x:c>
      <x:c r="I82" s="2" t="s">
        <x:v>400</x:v>
      </x:c>
      <x:c r="J82" s="2" t="s">
        <x:v>389</x:v>
      </x:c>
      <x:c r="K82" s="2"/>
      <x:c r="L82" s="2" t="s">
        <x:v>401</x:v>
      </x:c>
      <x:c r="M82" s="2" t="s">
        <x:v>391</x:v>
      </x:c>
      <x:c r="N82" s="2">
        <x:v>1</x:v>
      </x:c>
      <x:c r="O82" s="2" t="s">
        <x:v>402</x:v>
      </x:c>
      <x:c r="P82" s="2" t="s">
        <x:v>393</x:v>
      </x:c>
      <x:c r="Q82" s="2"/>
      <x:c r="R82" s="3">
        <x:v>5</x:v>
      </x:c>
      <x:c r="S82" s="3">
        <x:v>1</x:v>
      </x:c>
      <x:c r="T82" s="2" t="s">
        <x:v>103</x:v>
      </x:c>
      <x:c r="U82" s="2"/>
      <x:c r="V82" s="2"/>
      <x:c r="W82" s="2"/>
      <x:c r="X82" s="3"/>
      <x:c r="Y82" s="3"/>
      <x:c r="Z82" s="2"/>
      <x:c r="AA82" s="2"/>
      <x:c r="AB82" s="2" t="s">
        <x:v>394</x:v>
      </x:c>
      <x:c r="AC82" s="2"/>
      <x:c r="AD82" s="2"/>
      <x:c r="AE82" s="2"/>
      <x:c r="AF82" s="2"/>
      <x:c r="AG82" s="2" t="s">
        <x:v>395</x:v>
      </x:c>
      <x:c r="AH82" s="2"/>
      <x:c r="AI82" s="4"/>
      <x:c r="AJ82" s="2"/>
      <x:c r="AK82" s="2" t="s">
        <x:v>396</x:v>
      </x:c>
      <x:c r="AL82" s="2" t="s">
        <x:v>2788</x:v>
      </x:c>
      <x:c r="AM82" s="2">
        <x:v>3</x:v>
      </x:c>
      <x:c r="AN82" s="2">
        <x:v>3</x:v>
      </x:c>
    </x:row>
    <x:row r="83" ht="52">
      <x:c r="A83" s="2" t="s">
        <x:v>91</x:v>
      </x:c>
      <x:c r="B83" s="2" t="s">
        <x:v>17</x:v>
      </x:c>
      <x:c r="C83" s="3">
        <x:v>2</x:v>
      </x:c>
      <x:c r="D83" s="2" t="s">
        <x:v>403</x:v>
      </x:c>
      <x:c r="E83" s="2" t="s">
        <x:v>404</x:v>
      </x:c>
      <x:c r="F83" s="2" t="s">
        <x:v>386</x:v>
      </x:c>
      <x:c r="G83" s="2" t="s">
        <x:v>2028</x:v>
      </x:c>
      <x:c r="H83" s="2" t="s">
        <x:v>96</x:v>
      </x:c>
      <x:c r="I83" s="2" t="s">
        <x:v>406</x:v>
      </x:c>
      <x:c r="J83" s="2" t="s">
        <x:v>389</x:v>
      </x:c>
      <x:c r="K83" s="2"/>
      <x:c r="L83" s="2" t="s">
        <x:v>407</x:v>
      </x:c>
      <x:c r="M83" s="2" t="s">
        <x:v>391</x:v>
      </x:c>
      <x:c r="N83" s="2">
        <x:v>1</x:v>
      </x:c>
      <x:c r="O83" s="2" t="s">
        <x:v>392</x:v>
      </x:c>
      <x:c r="P83" s="2" t="s">
        <x:v>393</x:v>
      </x:c>
      <x:c r="Q83" s="2"/>
      <x:c r="R83" s="3">
        <x:v>4</x:v>
      </x:c>
      <x:c r="S83" s="3">
        <x:v>1</x:v>
      </x:c>
      <x:c r="T83" s="2" t="s">
        <x:v>103</x:v>
      </x:c>
      <x:c r="U83" s="2"/>
      <x:c r="V83" s="2"/>
      <x:c r="W83" s="2"/>
      <x:c r="X83" s="3"/>
      <x:c r="Y83" s="3"/>
      <x:c r="Z83" s="2"/>
      <x:c r="AA83" s="2"/>
      <x:c r="AB83" s="2" t="s">
        <x:v>394</x:v>
      </x:c>
      <x:c r="AC83" s="2"/>
      <x:c r="AD83" s="2"/>
      <x:c r="AE83" s="2"/>
      <x:c r="AF83" s="2"/>
      <x:c r="AG83" s="2" t="s">
        <x:v>395</x:v>
      </x:c>
      <x:c r="AH83" s="2"/>
      <x:c r="AI83" s="4"/>
      <x:c r="AJ83" s="2"/>
      <x:c r="AK83" s="2" t="s">
        <x:v>396</x:v>
      </x:c>
      <x:c r="AL83" s="2" t="s">
        <x:v>2788</x:v>
      </x:c>
      <x:c r="AM83" s="2">
        <x:v>4</x:v>
      </x:c>
      <x:c r="AN83" s="2">
        <x:v>4</x:v>
      </x:c>
    </x:row>
    <x:row r="84" ht="52">
      <x:c r="A84" s="2" t="s">
        <x:v>91</x:v>
      </x:c>
      <x:c r="B84" s="2" t="s">
        <x:v>17</x:v>
      </x:c>
      <x:c r="C84" s="3">
        <x:v>3</x:v>
      </x:c>
      <x:c r="D84" s="2" t="s">
        <x:v>408</x:v>
      </x:c>
      <x:c r="E84" s="2" t="s">
        <x:v>409</x:v>
      </x:c>
      <x:c r="F84" s="2" t="s">
        <x:v>410</x:v>
      </x:c>
      <x:c r="G84" s="2" t="s">
        <x:v>2841</x:v>
      </x:c>
      <x:c r="H84" s="2" t="s">
        <x:v>96</x:v>
      </x:c>
      <x:c r="I84" s="2" t="s">
        <x:v>412</x:v>
      </x:c>
      <x:c r="J84" s="2" t="s">
        <x:v>389</x:v>
      </x:c>
      <x:c r="K84" s="2"/>
      <x:c r="L84" s="2" t="s">
        <x:v>413</x:v>
      </x:c>
      <x:c r="M84" s="2" t="s">
        <x:v>391</x:v>
      </x:c>
      <x:c r="N84" s="2">
        <x:v>1</x:v>
      </x:c>
      <x:c r="O84" s="2" t="s">
        <x:v>414</x:v>
      </x:c>
      <x:c r="P84" s="2" t="s">
        <x:v>393</x:v>
      </x:c>
      <x:c r="Q84" s="2"/>
      <x:c r="R84" s="3">
        <x:v>3</x:v>
      </x:c>
      <x:c r="S84" s="3">
        <x:v>1</x:v>
      </x:c>
      <x:c r="T84" s="2" t="s">
        <x:v>103</x:v>
      </x:c>
      <x:c r="U84" s="2"/>
      <x:c r="V84" s="2"/>
      <x:c r="W84" s="2"/>
      <x:c r="X84" s="3"/>
      <x:c r="Y84" s="3"/>
      <x:c r="Z84" s="2"/>
      <x:c r="AA84" s="2"/>
      <x:c r="AB84" s="2" t="s">
        <x:v>415</x:v>
      </x:c>
      <x:c r="AC84" s="2"/>
      <x:c r="AD84" s="2"/>
      <x:c r="AE84" s="2"/>
      <x:c r="AF84" s="2"/>
      <x:c r="AG84" s="2" t="s">
        <x:v>395</x:v>
      </x:c>
      <x:c r="AH84" s="2"/>
      <x:c r="AI84" s="4"/>
      <x:c r="AJ84" s="2"/>
      <x:c r="AK84" s="2" t="s">
        <x:v>396</x:v>
      </x:c>
      <x:c r="AL84" s="2" t="s">
        <x:v>2788</x:v>
      </x:c>
      <x:c r="AM84" s="2">
        <x:v>5</x:v>
      </x:c>
      <x:c r="AN84" s="2">
        <x:v>5</x:v>
      </x:c>
    </x:row>
    <x:row r="85" ht="52">
      <x:c r="A85" s="2" t="s">
        <x:v>6</x:v>
      </x:c>
      <x:c r="B85" s="2" t="s">
        <x:v>17</x:v>
      </x:c>
      <x:c r="C85" s="3">
        <x:v>4</x:v>
      </x:c>
      <x:c r="D85" s="2" t="s">
        <x:v>416</x:v>
      </x:c>
      <x:c r="E85" s="2" t="s">
        <x:v>417</x:v>
      </x:c>
      <x:c r="F85" s="2" t="s">
        <x:v>386</x:v>
      </x:c>
      <x:c r="G85" s="2"/>
      <x:c r="H85" s="2" t="s">
        <x:v>96</x:v>
      </x:c>
      <x:c r="I85" s="2" t="s">
        <x:v>419</x:v>
      </x:c>
      <x:c r="J85" s="2" t="s">
        <x:v>389</x:v>
      </x:c>
      <x:c r="K85" s="2"/>
      <x:c r="L85" s="2" t="s">
        <x:v>420</x:v>
      </x:c>
      <x:c r="M85" s="2" t="s">
        <x:v>391</x:v>
      </x:c>
      <x:c r="N85" s="2">
        <x:v>1</x:v>
      </x:c>
      <x:c r="O85" s="2" t="s">
        <x:v>392</x:v>
      </x:c>
      <x:c r="P85" s="2" t="s">
        <x:v>393</x:v>
      </x:c>
      <x:c r="Q85" s="2"/>
      <x:c r="R85" s="3">
        <x:v>4</x:v>
      </x:c>
      <x:c r="S85" s="3">
        <x:v>1</x:v>
      </x:c>
      <x:c r="T85" s="2" t="s">
        <x:v>103</x:v>
      </x:c>
      <x:c r="U85" s="2"/>
      <x:c r="V85" s="2"/>
      <x:c r="W85" s="2"/>
      <x:c r="X85" s="3"/>
      <x:c r="Y85" s="3"/>
      <x:c r="Z85" s="2"/>
      <x:c r="AA85" s="2"/>
      <x:c r="AB85" s="2" t="s">
        <x:v>415</x:v>
      </x:c>
      <x:c r="AC85" s="2"/>
      <x:c r="AD85" s="2"/>
      <x:c r="AE85" s="2"/>
      <x:c r="AF85" s="2"/>
      <x:c r="AG85" s="2" t="s">
        <x:v>395</x:v>
      </x:c>
      <x:c r="AH85" s="2"/>
      <x:c r="AI85" s="4"/>
      <x:c r="AJ85" s="2"/>
      <x:c r="AK85" s="2" t="s">
        <x:v>396</x:v>
      </x:c>
      <x:c r="AL85" s="2" t="s">
        <x:v>2788</x:v>
      </x:c>
      <x:c r="AM85" s="2">
        <x:v>6</x:v>
      </x:c>
      <x:c r="AN85" s="2">
        <x:v>6</x:v>
      </x:c>
    </x:row>
    <x:row r="86" ht="52">
      <x:c r="A86" s="2" t="s">
        <x:v>91</x:v>
      </x:c>
      <x:c r="B86" s="2" t="s">
        <x:v>17</x:v>
      </x:c>
      <x:c r="C86" s="3">
        <x:v>5</x:v>
      </x:c>
      <x:c r="D86" s="2" t="s">
        <x:v>421</x:v>
      </x:c>
      <x:c r="E86" s="2" t="s">
        <x:v>422</x:v>
      </x:c>
      <x:c r="F86" s="2" t="s">
        <x:v>423</x:v>
      </x:c>
      <x:c r="G86" s="2" t="s">
        <x:v>2842</x:v>
      </x:c>
      <x:c r="H86" s="2" t="s">
        <x:v>96</x:v>
      </x:c>
      <x:c r="I86" s="2" t="s">
        <x:v>425</x:v>
      </x:c>
      <x:c r="J86" s="2" t="s">
        <x:v>389</x:v>
      </x:c>
      <x:c r="K86" s="2"/>
      <x:c r="L86" s="2" t="s">
        <x:v>426</x:v>
      </x:c>
      <x:c r="M86" s="2" t="s">
        <x:v>391</x:v>
      </x:c>
      <x:c r="N86" s="2">
        <x:v>1</x:v>
      </x:c>
      <x:c r="O86" s="2" t="s">
        <x:v>414</x:v>
      </x:c>
      <x:c r="P86" s="2" t="s">
        <x:v>393</x:v>
      </x:c>
      <x:c r="Q86" s="2"/>
      <x:c r="R86" s="3">
        <x:v>3</x:v>
      </x:c>
      <x:c r="S86" s="3">
        <x:v>1</x:v>
      </x:c>
      <x:c r="T86" s="2" t="s">
        <x:v>103</x:v>
      </x:c>
      <x:c r="U86" s="2"/>
      <x:c r="V86" s="2"/>
      <x:c r="W86" s="2"/>
      <x:c r="X86" s="3"/>
      <x:c r="Y86" s="3"/>
      <x:c r="Z86" s="2"/>
      <x:c r="AA86" s="2"/>
      <x:c r="AB86" s="2" t="s">
        <x:v>427</x:v>
      </x:c>
      <x:c r="AC86" s="2"/>
      <x:c r="AD86" s="2"/>
      <x:c r="AE86" s="2"/>
      <x:c r="AF86" s="2"/>
      <x:c r="AG86" s="2" t="s">
        <x:v>428</x:v>
      </x:c>
      <x:c r="AH86" s="2"/>
      <x:c r="AI86" s="4"/>
      <x:c r="AJ86" s="2"/>
      <x:c r="AK86" s="2" t="s">
        <x:v>396</x:v>
      </x:c>
      <x:c r="AL86" s="2" t="s">
        <x:v>2788</x:v>
      </x:c>
      <x:c r="AM86" s="2">
        <x:v>7</x:v>
      </x:c>
      <x:c r="AN86" s="2">
        <x:v>7</x:v>
      </x:c>
    </x:row>
    <x:row r="87" ht="52">
      <x:c r="A87" s="2" t="s">
        <x:v>91</x:v>
      </x:c>
      <x:c r="B87" s="2" t="s">
        <x:v>17</x:v>
      </x:c>
      <x:c r="C87" s="3">
        <x:v>6</x:v>
      </x:c>
      <x:c r="D87" s="2" t="s">
        <x:v>429</x:v>
      </x:c>
      <x:c r="E87" s="2" t="s">
        <x:v>430</x:v>
      </x:c>
      <x:c r="F87" s="2" t="s">
        <x:v>431</x:v>
      </x:c>
      <x:c r="G87" s="2" t="s">
        <x:v>2843</x:v>
      </x:c>
      <x:c r="H87" s="2" t="s">
        <x:v>96</x:v>
      </x:c>
      <x:c r="I87" s="2" t="s">
        <x:v>433</x:v>
      </x:c>
      <x:c r="J87" s="2" t="s">
        <x:v>389</x:v>
      </x:c>
      <x:c r="K87" s="2"/>
      <x:c r="L87" s="2" t="s">
        <x:v>434</x:v>
      </x:c>
      <x:c r="M87" s="2" t="s">
        <x:v>391</x:v>
      </x:c>
      <x:c r="N87" s="2">
        <x:v>1</x:v>
      </x:c>
      <x:c r="O87" s="2" t="s">
        <x:v>392</x:v>
      </x:c>
      <x:c r="P87" s="2" t="s">
        <x:v>393</x:v>
      </x:c>
      <x:c r="Q87" s="2"/>
      <x:c r="R87" s="3">
        <x:v>4</x:v>
      </x:c>
      <x:c r="S87" s="3">
        <x:v>1</x:v>
      </x:c>
      <x:c r="T87" s="2" t="s">
        <x:v>103</x:v>
      </x:c>
      <x:c r="U87" s="2"/>
      <x:c r="V87" s="2"/>
      <x:c r="W87" s="2"/>
      <x:c r="X87" s="3"/>
      <x:c r="Y87" s="3"/>
      <x:c r="Z87" s="2"/>
      <x:c r="AA87" s="2"/>
      <x:c r="AB87" s="2" t="s">
        <x:v>427</x:v>
      </x:c>
      <x:c r="AC87" s="2"/>
      <x:c r="AD87" s="2"/>
      <x:c r="AE87" s="2"/>
      <x:c r="AF87" s="2"/>
      <x:c r="AG87" s="2" t="s">
        <x:v>428</x:v>
      </x:c>
      <x:c r="AH87" s="2"/>
      <x:c r="AI87" s="4"/>
      <x:c r="AJ87" s="2"/>
      <x:c r="AK87" s="2" t="s">
        <x:v>396</x:v>
      </x:c>
      <x:c r="AL87" s="2" t="s">
        <x:v>2788</x:v>
      </x:c>
      <x:c r="AM87" s="2">
        <x:v>8</x:v>
      </x:c>
      <x:c r="AN87" s="2">
        <x:v>8</x:v>
      </x:c>
    </x:row>
    <x:row r="88" ht="52">
      <x:c r="A88" s="2" t="s">
        <x:v>6</x:v>
      </x:c>
      <x:c r="B88" s="2" t="s">
        <x:v>17</x:v>
      </x:c>
      <x:c r="C88" s="3">
        <x:v>7</x:v>
      </x:c>
      <x:c r="D88" s="2" t="s">
        <x:v>435</x:v>
      </x:c>
      <x:c r="E88" s="2" t="s">
        <x:v>436</x:v>
      </x:c>
      <x:c r="F88" s="2" t="s">
        <x:v>423</x:v>
      </x:c>
      <x:c r="G88" s="2"/>
      <x:c r="H88" s="2" t="s">
        <x:v>96</x:v>
      </x:c>
      <x:c r="I88" s="2" t="s">
        <x:v>438</x:v>
      </x:c>
      <x:c r="J88" s="2" t="s">
        <x:v>389</x:v>
      </x:c>
      <x:c r="K88" s="2"/>
      <x:c r="L88" s="2" t="s">
        <x:v>439</x:v>
      </x:c>
      <x:c r="M88" s="2" t="s">
        <x:v>391</x:v>
      </x:c>
      <x:c r="N88" s="2">
        <x:v>1</x:v>
      </x:c>
      <x:c r="O88" s="2" t="s">
        <x:v>414</x:v>
      </x:c>
      <x:c r="P88" s="2" t="s">
        <x:v>393</x:v>
      </x:c>
      <x:c r="Q88" s="2"/>
      <x:c r="R88" s="3">
        <x:v>3</x:v>
      </x:c>
      <x:c r="S88" s="3">
        <x:v>1</x:v>
      </x:c>
      <x:c r="T88" s="2" t="s">
        <x:v>103</x:v>
      </x:c>
      <x:c r="U88" s="2"/>
      <x:c r="V88" s="2"/>
      <x:c r="W88" s="2"/>
      <x:c r="X88" s="3"/>
      <x:c r="Y88" s="3"/>
      <x:c r="Z88" s="2"/>
      <x:c r="AA88" s="2"/>
      <x:c r="AB88" s="2" t="s">
        <x:v>427</x:v>
      </x:c>
      <x:c r="AC88" s="2"/>
      <x:c r="AD88" s="2"/>
      <x:c r="AE88" s="2"/>
      <x:c r="AF88" s="2"/>
      <x:c r="AG88" s="2" t="s">
        <x:v>428</x:v>
      </x:c>
      <x:c r="AH88" s="2"/>
      <x:c r="AI88" s="4"/>
      <x:c r="AJ88" s="2"/>
      <x:c r="AK88" s="2" t="s">
        <x:v>396</x:v>
      </x:c>
      <x:c r="AL88" s="2" t="s">
        <x:v>2788</x:v>
      </x:c>
      <x:c r="AM88" s="2">
        <x:v>9</x:v>
      </x:c>
      <x:c r="AN88" s="2">
        <x:v>9</x:v>
      </x:c>
    </x:row>
    <x:row r="89" ht="52">
      <x:c r="A89" s="2" t="s">
        <x:v>91</x:v>
      </x:c>
      <x:c r="B89" s="2" t="s">
        <x:v>17</x:v>
      </x:c>
      <x:c r="C89" s="3">
        <x:v>8</x:v>
      </x:c>
      <x:c r="D89" s="2" t="s">
        <x:v>440</x:v>
      </x:c>
      <x:c r="E89" s="2" t="s">
        <x:v>441</x:v>
      </x:c>
      <x:c r="F89" s="2" t="s">
        <x:v>423</x:v>
      </x:c>
      <x:c r="G89" s="2" t="s">
        <x:v>1280</x:v>
      </x:c>
      <x:c r="H89" s="2" t="s">
        <x:v>96</x:v>
      </x:c>
      <x:c r="I89" s="2" t="s">
        <x:v>443</x:v>
      </x:c>
      <x:c r="J89" s="2" t="s">
        <x:v>389</x:v>
      </x:c>
      <x:c r="K89" s="2"/>
      <x:c r="L89" s="2" t="s">
        <x:v>444</x:v>
      </x:c>
      <x:c r="M89" s="2" t="s">
        <x:v>391</x:v>
      </x:c>
      <x:c r="N89" s="2">
        <x:v>1</x:v>
      </x:c>
      <x:c r="O89" s="2" t="s">
        <x:v>392</x:v>
      </x:c>
      <x:c r="P89" s="2" t="s">
        <x:v>393</x:v>
      </x:c>
      <x:c r="Q89" s="2"/>
      <x:c r="R89" s="3">
        <x:v>4</x:v>
      </x:c>
      <x:c r="S89" s="3">
        <x:v>1</x:v>
      </x:c>
      <x:c r="T89" s="2" t="s">
        <x:v>103</x:v>
      </x:c>
      <x:c r="U89" s="2"/>
      <x:c r="V89" s="2"/>
      <x:c r="W89" s="2"/>
      <x:c r="X89" s="3"/>
      <x:c r="Y89" s="3"/>
      <x:c r="Z89" s="2"/>
      <x:c r="AA89" s="2"/>
      <x:c r="AB89" s="2" t="s">
        <x:v>415</x:v>
      </x:c>
      <x:c r="AC89" s="2"/>
      <x:c r="AD89" s="2"/>
      <x:c r="AE89" s="2"/>
      <x:c r="AF89" s="2"/>
      <x:c r="AG89" s="2" t="s">
        <x:v>428</x:v>
      </x:c>
      <x:c r="AH89" s="2"/>
      <x:c r="AI89" s="4"/>
      <x:c r="AJ89" s="2"/>
      <x:c r="AK89" s="2" t="s">
        <x:v>396</x:v>
      </x:c>
      <x:c r="AL89" s="2" t="s">
        <x:v>2788</x:v>
      </x:c>
      <x:c r="AM89" s="2">
        <x:v>10</x:v>
      </x:c>
      <x:c r="AN89" s="2">
        <x:v>10</x:v>
      </x:c>
    </x:row>
    <x:row r="90" ht="52">
      <x:c r="A90" s="2" t="s">
        <x:v>91</x:v>
      </x:c>
      <x:c r="B90" s="2" t="s">
        <x:v>17</x:v>
      </x:c>
      <x:c r="C90" s="3">
        <x:v>9</x:v>
      </x:c>
      <x:c r="D90" s="2" t="s">
        <x:v>445</x:v>
      </x:c>
      <x:c r="E90" s="2" t="s">
        <x:v>436</x:v>
      </x:c>
      <x:c r="F90" s="2" t="s">
        <x:v>431</x:v>
      </x:c>
      <x:c r="G90" s="2" t="s">
        <x:v>2844</x:v>
      </x:c>
      <x:c r="H90" s="2" t="s">
        <x:v>96</x:v>
      </x:c>
      <x:c r="I90" s="2" t="s">
        <x:v>447</x:v>
      </x:c>
      <x:c r="J90" s="2" t="s">
        <x:v>389</x:v>
      </x:c>
      <x:c r="K90" s="2"/>
      <x:c r="L90" s="2" t="s">
        <x:v>448</x:v>
      </x:c>
      <x:c r="M90" s="2" t="s">
        <x:v>391</x:v>
      </x:c>
      <x:c r="N90" s="2">
        <x:v>1</x:v>
      </x:c>
      <x:c r="O90" s="2" t="s">
        <x:v>414</x:v>
      </x:c>
      <x:c r="P90" s="2" t="s">
        <x:v>393</x:v>
      </x:c>
      <x:c r="Q90" s="2"/>
      <x:c r="R90" s="3">
        <x:v>3</x:v>
      </x:c>
      <x:c r="S90" s="3">
        <x:v>1</x:v>
      </x:c>
      <x:c r="T90" s="2" t="s">
        <x:v>103</x:v>
      </x:c>
      <x:c r="U90" s="2"/>
      <x:c r="V90" s="2"/>
      <x:c r="W90" s="2"/>
      <x:c r="X90" s="3"/>
      <x:c r="Y90" s="3"/>
      <x:c r="Z90" s="2"/>
      <x:c r="AA90" s="2"/>
      <x:c r="AB90" s="2" t="s">
        <x:v>415</x:v>
      </x:c>
      <x:c r="AC90" s="2"/>
      <x:c r="AD90" s="2"/>
      <x:c r="AE90" s="2"/>
      <x:c r="AF90" s="2"/>
      <x:c r="AG90" s="2" t="s">
        <x:v>428</x:v>
      </x:c>
      <x:c r="AH90" s="2"/>
      <x:c r="AI90" s="4"/>
      <x:c r="AJ90" s="2"/>
      <x:c r="AK90" s="2" t="s">
        <x:v>396</x:v>
      </x:c>
      <x:c r="AL90" s="2" t="s">
        <x:v>2788</x:v>
      </x:c>
      <x:c r="AM90" s="2">
        <x:v>11</x:v>
      </x:c>
      <x:c r="AN90" s="2">
        <x:v>11</x:v>
      </x:c>
    </x:row>
    <x:row r="91" ht="52">
      <x:c r="A91" s="2" t="s">
        <x:v>6</x:v>
      </x:c>
      <x:c r="B91" s="2" t="s">
        <x:v>17</x:v>
      </x:c>
      <x:c r="C91" s="3">
        <x:v>10</x:v>
      </x:c>
      <x:c r="D91" s="2" t="s">
        <x:v>2032</x:v>
      </x:c>
      <x:c r="E91" s="2" t="s">
        <x:v>2033</x:v>
      </x:c>
      <x:c r="F91" s="2" t="s">
        <x:v>237</x:v>
      </x:c>
      <x:c r="G91" s="2"/>
      <x:c r="H91" s="2" t="s">
        <x:v>96</x:v>
      </x:c>
      <x:c r="I91" s="2" t="s">
        <x:v>2034</x:v>
      </x:c>
      <x:c r="J91" s="2" t="s">
        <x:v>389</x:v>
      </x:c>
      <x:c r="K91" s="2"/>
      <x:c r="L91" s="2" t="s">
        <x:v>2035</x:v>
      </x:c>
      <x:c r="M91" s="2" t="s">
        <x:v>391</x:v>
      </x:c>
      <x:c r="N91" s="2">
        <x:v>1</x:v>
      </x:c>
      <x:c r="O91" s="2" t="s">
        <x:v>392</x:v>
      </x:c>
      <x:c r="P91" s="2" t="s">
        <x:v>393</x:v>
      </x:c>
      <x:c r="Q91" s="2"/>
      <x:c r="R91" s="3">
        <x:v>4</x:v>
      </x:c>
      <x:c r="S91" s="3">
        <x:v>1</x:v>
      </x:c>
      <x:c r="T91" s="2" t="s">
        <x:v>103</x:v>
      </x:c>
      <x:c r="U91" s="2"/>
      <x:c r="V91" s="2"/>
      <x:c r="W91" s="2"/>
      <x:c r="X91" s="3"/>
      <x:c r="Y91" s="3"/>
      <x:c r="Z91" s="2"/>
      <x:c r="AA91" s="2"/>
      <x:c r="AB91" s="2" t="s">
        <x:v>427</x:v>
      </x:c>
      <x:c r="AC91" s="2"/>
      <x:c r="AD91" s="2"/>
      <x:c r="AE91" s="2"/>
      <x:c r="AF91" s="2"/>
      <x:c r="AG91" s="2" t="s">
        <x:v>2036</x:v>
      </x:c>
      <x:c r="AH91" s="2"/>
      <x:c r="AI91" s="4"/>
      <x:c r="AJ91" s="2"/>
      <x:c r="AK91" s="2" t="s">
        <x:v>396</x:v>
      </x:c>
      <x:c r="AL91" s="2" t="s">
        <x:v>2788</x:v>
      </x:c>
      <x:c r="AM91" s="2">
        <x:v>12</x:v>
      </x:c>
      <x:c r="AN91" s="2">
        <x:v>12</x:v>
      </x:c>
    </x:row>
    <x:row r="92" ht="52">
      <x:c r="A92" s="2" t="s">
        <x:v>91</x:v>
      </x:c>
      <x:c r="B92" s="2" t="s">
        <x:v>17</x:v>
      </x:c>
      <x:c r="C92" s="3">
        <x:v>11</x:v>
      </x:c>
      <x:c r="D92" s="2" t="s">
        <x:v>2037</x:v>
      </x:c>
      <x:c r="E92" s="2" t="s">
        <x:v>2038</x:v>
      </x:c>
      <x:c r="F92" s="2" t="s">
        <x:v>237</x:v>
      </x:c>
      <x:c r="G92" s="2" t="s">
        <x:v>2394</x:v>
      </x:c>
      <x:c r="H92" s="2" t="s">
        <x:v>96</x:v>
      </x:c>
      <x:c r="I92" s="2" t="s">
        <x:v>2039</x:v>
      </x:c>
      <x:c r="J92" s="2" t="s">
        <x:v>389</x:v>
      </x:c>
      <x:c r="K92" s="2"/>
      <x:c r="L92" s="2" t="s">
        <x:v>2040</x:v>
      </x:c>
      <x:c r="M92" s="2" t="s">
        <x:v>391</x:v>
      </x:c>
      <x:c r="N92" s="2">
        <x:v>1</x:v>
      </x:c>
      <x:c r="O92" s="2" t="s">
        <x:v>414</x:v>
      </x:c>
      <x:c r="P92" s="2" t="s">
        <x:v>393</x:v>
      </x:c>
      <x:c r="Q92" s="2"/>
      <x:c r="R92" s="3">
        <x:v>3</x:v>
      </x:c>
      <x:c r="S92" s="3">
        <x:v>1</x:v>
      </x:c>
      <x:c r="T92" s="2" t="s">
        <x:v>103</x:v>
      </x:c>
      <x:c r="U92" s="2"/>
      <x:c r="V92" s="2"/>
      <x:c r="W92" s="2"/>
      <x:c r="X92" s="3"/>
      <x:c r="Y92" s="3"/>
      <x:c r="Z92" s="2"/>
      <x:c r="AA92" s="2"/>
      <x:c r="AB92" s="2" t="s">
        <x:v>427</x:v>
      </x:c>
      <x:c r="AC92" s="2"/>
      <x:c r="AD92" s="2"/>
      <x:c r="AE92" s="2"/>
      <x:c r="AF92" s="2"/>
      <x:c r="AG92" s="2" t="s">
        <x:v>2036</x:v>
      </x:c>
      <x:c r="AH92" s="2"/>
      <x:c r="AI92" s="4"/>
      <x:c r="AJ92" s="2"/>
      <x:c r="AK92" s="2" t="s">
        <x:v>396</x:v>
      </x:c>
      <x:c r="AL92" s="2" t="s">
        <x:v>2788</x:v>
      </x:c>
      <x:c r="AM92" s="2">
        <x:v>13</x:v>
      </x:c>
      <x:c r="AN92" s="2">
        <x:v>13</x:v>
      </x:c>
    </x:row>
    <x:row r="93" ht="52">
      <x:c r="A93" s="2" t="s">
        <x:v>91</x:v>
      </x:c>
      <x:c r="B93" s="2" t="s">
        <x:v>17</x:v>
      </x:c>
      <x:c r="C93" s="3">
        <x:v>12</x:v>
      </x:c>
      <x:c r="D93" s="2" t="s">
        <x:v>2041</x:v>
      </x:c>
      <x:c r="E93" s="2" t="s">
        <x:v>2042</x:v>
      </x:c>
      <x:c r="F93" s="2" t="s">
        <x:v>237</x:v>
      </x:c>
      <x:c r="G93" s="2" t="s">
        <x:v>2435</x:v>
      </x:c>
      <x:c r="H93" s="2" t="s">
        <x:v>96</x:v>
      </x:c>
      <x:c r="I93" s="2" t="s">
        <x:v>2043</x:v>
      </x:c>
      <x:c r="J93" s="2" t="s">
        <x:v>389</x:v>
      </x:c>
      <x:c r="K93" s="2"/>
      <x:c r="L93" s="2" t="s">
        <x:v>2044</x:v>
      </x:c>
      <x:c r="M93" s="2" t="s">
        <x:v>391</x:v>
      </x:c>
      <x:c r="N93" s="2">
        <x:v>1</x:v>
      </x:c>
      <x:c r="O93" s="2" t="s">
        <x:v>402</x:v>
      </x:c>
      <x:c r="P93" s="2" t="s">
        <x:v>393</x:v>
      </x:c>
      <x:c r="Q93" s="2"/>
      <x:c r="R93" s="3">
        <x:v>5</x:v>
      </x:c>
      <x:c r="S93" s="3">
        <x:v>1</x:v>
      </x:c>
      <x:c r="T93" s="2" t="s">
        <x:v>103</x:v>
      </x:c>
      <x:c r="U93" s="2"/>
      <x:c r="V93" s="2"/>
      <x:c r="W93" s="2"/>
      <x:c r="X93" s="3"/>
      <x:c r="Y93" s="3"/>
      <x:c r="Z93" s="2"/>
      <x:c r="AA93" s="2"/>
      <x:c r="AB93" s="2" t="s">
        <x:v>394</x:v>
      </x:c>
      <x:c r="AC93" s="2"/>
      <x:c r="AD93" s="2"/>
      <x:c r="AE93" s="2"/>
      <x:c r="AF93" s="2"/>
      <x:c r="AG93" s="2" t="s">
        <x:v>2036</x:v>
      </x:c>
      <x:c r="AH93" s="2"/>
      <x:c r="AI93" s="4"/>
      <x:c r="AJ93" s="2"/>
      <x:c r="AK93" s="2" t="s">
        <x:v>396</x:v>
      </x:c>
      <x:c r="AL93" s="2" t="s">
        <x:v>2788</x:v>
      </x:c>
      <x:c r="AM93" s="2">
        <x:v>14</x:v>
      </x:c>
      <x:c r="AN93" s="2">
        <x:v>14</x:v>
      </x:c>
    </x:row>
    <x:row r="94" ht="52">
      <x:c r="A94" s="2" t="s">
        <x:v>91</x:v>
      </x:c>
      <x:c r="B94" s="2" t="s">
        <x:v>17</x:v>
      </x:c>
      <x:c r="C94" s="3">
        <x:v>13</x:v>
      </x:c>
      <x:c r="D94" s="2" t="s">
        <x:v>2045</x:v>
      </x:c>
      <x:c r="E94" s="2" t="s">
        <x:v>2046</x:v>
      </x:c>
      <x:c r="F94" s="2" t="s">
        <x:v>2047</x:v>
      </x:c>
      <x:c r="G94" s="2" t="s">
        <x:v>2123</x:v>
      </x:c>
      <x:c r="H94" s="2" t="s">
        <x:v>96</x:v>
      </x:c>
      <x:c r="I94" s="2" t="s">
        <x:v>2048</x:v>
      </x:c>
      <x:c r="J94" s="2" t="s">
        <x:v>389</x:v>
      </x:c>
      <x:c r="K94" s="2"/>
      <x:c r="L94" s="2" t="s">
        <x:v>2049</x:v>
      </x:c>
      <x:c r="M94" s="2" t="s">
        <x:v>391</x:v>
      </x:c>
      <x:c r="N94" s="2">
        <x:v>1</x:v>
      </x:c>
      <x:c r="O94" s="2" t="s">
        <x:v>392</x:v>
      </x:c>
      <x:c r="P94" s="2" t="s">
        <x:v>393</x:v>
      </x:c>
      <x:c r="Q94" s="2"/>
      <x:c r="R94" s="3">
        <x:v>4</x:v>
      </x:c>
      <x:c r="S94" s="3">
        <x:v>1</x:v>
      </x:c>
      <x:c r="T94" s="2" t="s">
        <x:v>103</x:v>
      </x:c>
      <x:c r="U94" s="2"/>
      <x:c r="V94" s="2"/>
      <x:c r="W94" s="2"/>
      <x:c r="X94" s="3"/>
      <x:c r="Y94" s="3"/>
      <x:c r="Z94" s="2"/>
      <x:c r="AA94" s="2"/>
      <x:c r="AB94" s="2" t="s">
        <x:v>394</x:v>
      </x:c>
      <x:c r="AC94" s="2"/>
      <x:c r="AD94" s="2"/>
      <x:c r="AE94" s="2"/>
      <x:c r="AF94" s="2"/>
      <x:c r="AG94" s="2" t="s">
        <x:v>2036</x:v>
      </x:c>
      <x:c r="AH94" s="2"/>
      <x:c r="AI94" s="4"/>
      <x:c r="AJ94" s="2"/>
      <x:c r="AK94" s="2" t="s">
        <x:v>396</x:v>
      </x:c>
      <x:c r="AL94" s="2" t="s">
        <x:v>2788</x:v>
      </x:c>
      <x:c r="AM94" s="2">
        <x:v>15</x:v>
      </x:c>
      <x:c r="AN94" s="2">
        <x:v>15</x:v>
      </x:c>
    </x:row>
    <x:row r="95" ht="52">
      <x:c r="A95" s="2" t="s">
        <x:v>91</x:v>
      </x:c>
      <x:c r="B95" s="2" t="s">
        <x:v>17</x:v>
      </x:c>
      <x:c r="C95" s="3">
        <x:v>14</x:v>
      </x:c>
      <x:c r="D95" s="2" t="s">
        <x:v>2050</x:v>
      </x:c>
      <x:c r="E95" s="2" t="s">
        <x:v>2051</x:v>
      </x:c>
      <x:c r="F95" s="2" t="s">
        <x:v>237</x:v>
      </x:c>
      <x:c r="G95" s="2" t="s">
        <x:v>2845</x:v>
      </x:c>
      <x:c r="H95" s="2" t="s">
        <x:v>96</x:v>
      </x:c>
      <x:c r="I95" s="2" t="s">
        <x:v>2053</x:v>
      </x:c>
      <x:c r="J95" s="2" t="s">
        <x:v>389</x:v>
      </x:c>
      <x:c r="K95" s="2"/>
      <x:c r="L95" s="2" t="s">
        <x:v>2054</x:v>
      </x:c>
      <x:c r="M95" s="2" t="s">
        <x:v>391</x:v>
      </x:c>
      <x:c r="N95" s="2">
        <x:v>1</x:v>
      </x:c>
      <x:c r="O95" s="2" t="s">
        <x:v>402</x:v>
      </x:c>
      <x:c r="P95" s="2" t="s">
        <x:v>393</x:v>
      </x:c>
      <x:c r="Q95" s="2"/>
      <x:c r="R95" s="3">
        <x:v>5</x:v>
      </x:c>
      <x:c r="S95" s="3">
        <x:v>1</x:v>
      </x:c>
      <x:c r="T95" s="2" t="s">
        <x:v>103</x:v>
      </x:c>
      <x:c r="U95" s="2"/>
      <x:c r="V95" s="2"/>
      <x:c r="W95" s="2"/>
      <x:c r="X95" s="3"/>
      <x:c r="Y95" s="3"/>
      <x:c r="Z95" s="2"/>
      <x:c r="AA95" s="2"/>
      <x:c r="AB95" s="2" t="s">
        <x:v>394</x:v>
      </x:c>
      <x:c r="AC95" s="2"/>
      <x:c r="AD95" s="2"/>
      <x:c r="AE95" s="2"/>
      <x:c r="AF95" s="2"/>
      <x:c r="AG95" s="2" t="s">
        <x:v>2036</x:v>
      </x:c>
      <x:c r="AH95" s="2"/>
      <x:c r="AI95" s="4"/>
      <x:c r="AJ95" s="2"/>
      <x:c r="AK95" s="2" t="s">
        <x:v>396</x:v>
      </x:c>
      <x:c r="AL95" s="2" t="s">
        <x:v>2788</x:v>
      </x:c>
      <x:c r="AM95" s="2">
        <x:v>16</x:v>
      </x:c>
      <x:c r="AN95" s="2">
        <x:v>16</x:v>
      </x:c>
    </x:row>
    <x:row r="96" ht="52">
      <x:c r="A96" s="2" t="s">
        <x:v>91</x:v>
      </x:c>
      <x:c r="B96" s="2" t="s">
        <x:v>17</x:v>
      </x:c>
      <x:c r="C96" s="3">
        <x:v>15</x:v>
      </x:c>
      <x:c r="D96" s="2" t="s">
        <x:v>2055</x:v>
      </x:c>
      <x:c r="E96" s="2" t="s">
        <x:v>2056</x:v>
      </x:c>
      <x:c r="F96" s="2" t="s">
        <x:v>317</x:v>
      </x:c>
      <x:c r="G96" s="2" t="s">
        <x:v>2028</x:v>
      </x:c>
      <x:c r="H96" s="2" t="s">
        <x:v>96</x:v>
      </x:c>
      <x:c r="I96" s="2" t="s">
        <x:v>2058</x:v>
      </x:c>
      <x:c r="J96" s="2" t="s">
        <x:v>389</x:v>
      </x:c>
      <x:c r="K96" s="2"/>
      <x:c r="L96" s="2" t="s">
        <x:v>2059</x:v>
      </x:c>
      <x:c r="M96" s="2" t="s">
        <x:v>391</x:v>
      </x:c>
      <x:c r="N96" s="2">
        <x:v>1</x:v>
      </x:c>
      <x:c r="O96" s="2" t="s">
        <x:v>392</x:v>
      </x:c>
      <x:c r="P96" s="2" t="s">
        <x:v>393</x:v>
      </x:c>
      <x:c r="Q96" s="2"/>
      <x:c r="R96" s="3">
        <x:v>4</x:v>
      </x:c>
      <x:c r="S96" s="3">
        <x:v>1</x:v>
      </x:c>
      <x:c r="T96" s="2" t="s">
        <x:v>103</x:v>
      </x:c>
      <x:c r="U96" s="2"/>
      <x:c r="V96" s="2"/>
      <x:c r="W96" s="2"/>
      <x:c r="X96" s="3"/>
      <x:c r="Y96" s="3"/>
      <x:c r="Z96" s="2"/>
      <x:c r="AA96" s="2"/>
      <x:c r="AB96" s="2" t="s">
        <x:v>427</x:v>
      </x:c>
      <x:c r="AC96" s="2"/>
      <x:c r="AD96" s="2"/>
      <x:c r="AE96" s="2"/>
      <x:c r="AF96" s="2"/>
      <x:c r="AG96" s="2" t="s">
        <x:v>2060</x:v>
      </x:c>
      <x:c r="AH96" s="2"/>
      <x:c r="AI96" s="4"/>
      <x:c r="AJ96" s="2"/>
      <x:c r="AK96" s="2" t="s">
        <x:v>396</x:v>
      </x:c>
      <x:c r="AL96" s="2" t="s">
        <x:v>2788</x:v>
      </x:c>
      <x:c r="AM96" s="2">
        <x:v>17</x:v>
      </x:c>
      <x:c r="AN96" s="2">
        <x:v>17</x:v>
      </x:c>
    </x:row>
    <x:row r="97" ht="52">
      <x:c r="A97" s="2" t="s">
        <x:v>91</x:v>
      </x:c>
      <x:c r="B97" s="2" t="s">
        <x:v>17</x:v>
      </x:c>
      <x:c r="C97" s="3">
        <x:v>16</x:v>
      </x:c>
      <x:c r="D97" s="2" t="s">
        <x:v>2061</x:v>
      </x:c>
      <x:c r="E97" s="2" t="s">
        <x:v>2062</x:v>
      </x:c>
      <x:c r="F97" s="2" t="s">
        <x:v>254</x:v>
      </x:c>
      <x:c r="G97" s="2" t="s">
        <x:v>1290</x:v>
      </x:c>
      <x:c r="H97" s="2" t="s">
        <x:v>96</x:v>
      </x:c>
      <x:c r="I97" s="2" t="s">
        <x:v>2063</x:v>
      </x:c>
      <x:c r="J97" s="2" t="s">
        <x:v>389</x:v>
      </x:c>
      <x:c r="K97" s="2"/>
      <x:c r="L97" s="2" t="s">
        <x:v>2064</x:v>
      </x:c>
      <x:c r="M97" s="2" t="s">
        <x:v>391</x:v>
      </x:c>
      <x:c r="N97" s="2">
        <x:v>1</x:v>
      </x:c>
      <x:c r="O97" s="2" t="s">
        <x:v>392</x:v>
      </x:c>
      <x:c r="P97" s="2" t="s">
        <x:v>393</x:v>
      </x:c>
      <x:c r="Q97" s="2"/>
      <x:c r="R97" s="3">
        <x:v>4</x:v>
      </x:c>
      <x:c r="S97" s="3">
        <x:v>1</x:v>
      </x:c>
      <x:c r="T97" s="2" t="s">
        <x:v>103</x:v>
      </x:c>
      <x:c r="U97" s="2"/>
      <x:c r="V97" s="2"/>
      <x:c r="W97" s="2"/>
      <x:c r="X97" s="3"/>
      <x:c r="Y97" s="3"/>
      <x:c r="Z97" s="2"/>
      <x:c r="AA97" s="2"/>
      <x:c r="AB97" s="2" t="s">
        <x:v>427</x:v>
      </x:c>
      <x:c r="AC97" s="2"/>
      <x:c r="AD97" s="2"/>
      <x:c r="AE97" s="2"/>
      <x:c r="AF97" s="2"/>
      <x:c r="AG97" s="2" t="s">
        <x:v>2060</x:v>
      </x:c>
      <x:c r="AH97" s="2"/>
      <x:c r="AI97" s="4"/>
      <x:c r="AJ97" s="2"/>
      <x:c r="AK97" s="2" t="s">
        <x:v>396</x:v>
      </x:c>
      <x:c r="AL97" s="2" t="s">
        <x:v>2788</x:v>
      </x:c>
      <x:c r="AM97" s="2">
        <x:v>18</x:v>
      </x:c>
      <x:c r="AN97" s="2">
        <x:v>18</x:v>
      </x:c>
    </x:row>
    <x:row r="98" ht="52">
      <x:c r="A98" s="2" t="s">
        <x:v>91</x:v>
      </x:c>
      <x:c r="B98" s="2" t="s">
        <x:v>17</x:v>
      </x:c>
      <x:c r="C98" s="3">
        <x:v>17</x:v>
      </x:c>
      <x:c r="D98" s="2" t="s">
        <x:v>2065</x:v>
      </x:c>
      <x:c r="E98" s="2" t="s">
        <x:v>2066</x:v>
      </x:c>
      <x:c r="F98" s="2" t="s">
        <x:v>254</x:v>
      </x:c>
      <x:c r="G98" s="2" t="s">
        <x:v>2846</x:v>
      </x:c>
      <x:c r="H98" s="2" t="s">
        <x:v>96</x:v>
      </x:c>
      <x:c r="I98" s="2" t="s">
        <x:v>2067</x:v>
      </x:c>
      <x:c r="J98" s="2" t="s">
        <x:v>389</x:v>
      </x:c>
      <x:c r="K98" s="2"/>
      <x:c r="L98" s="2" t="s">
        <x:v>2068</x:v>
      </x:c>
      <x:c r="M98" s="2" t="s">
        <x:v>391</x:v>
      </x:c>
      <x:c r="N98" s="2">
        <x:v>1</x:v>
      </x:c>
      <x:c r="O98" s="2" t="s">
        <x:v>414</x:v>
      </x:c>
      <x:c r="P98" s="2" t="s">
        <x:v>393</x:v>
      </x:c>
      <x:c r="Q98" s="2"/>
      <x:c r="R98" s="3">
        <x:v>3</x:v>
      </x:c>
      <x:c r="S98" s="3">
        <x:v>1</x:v>
      </x:c>
      <x:c r="T98" s="2" t="s">
        <x:v>103</x:v>
      </x:c>
      <x:c r="U98" s="2"/>
      <x:c r="V98" s="2"/>
      <x:c r="W98" s="2"/>
      <x:c r="X98" s="3"/>
      <x:c r="Y98" s="3"/>
      <x:c r="Z98" s="2"/>
      <x:c r="AA98" s="2"/>
      <x:c r="AB98" s="2" t="s">
        <x:v>415</x:v>
      </x:c>
      <x:c r="AC98" s="2"/>
      <x:c r="AD98" s="2"/>
      <x:c r="AE98" s="2"/>
      <x:c r="AF98" s="2"/>
      <x:c r="AG98" s="2" t="s">
        <x:v>2060</x:v>
      </x:c>
      <x:c r="AH98" s="2"/>
      <x:c r="AI98" s="4"/>
      <x:c r="AJ98" s="2"/>
      <x:c r="AK98" s="2" t="s">
        <x:v>396</x:v>
      </x:c>
      <x:c r="AL98" s="2" t="s">
        <x:v>2788</x:v>
      </x:c>
      <x:c r="AM98" s="2">
        <x:v>19</x:v>
      </x:c>
      <x:c r="AN98" s="2">
        <x:v>19</x:v>
      </x:c>
    </x:row>
    <x:row r="99" ht="52">
      <x:c r="A99" s="2" t="s">
        <x:v>91</x:v>
      </x:c>
      <x:c r="B99" s="2" t="s">
        <x:v>17</x:v>
      </x:c>
      <x:c r="C99" s="3">
        <x:v>18</x:v>
      </x:c>
      <x:c r="D99" s="2" t="s">
        <x:v>2069</x:v>
      </x:c>
      <x:c r="E99" s="2" t="s">
        <x:v>2070</x:v>
      </x:c>
      <x:c r="F99" s="2" t="s">
        <x:v>317</x:v>
      </x:c>
      <x:c r="G99" s="2" t="s">
        <x:v>2326</x:v>
      </x:c>
      <x:c r="H99" s="2" t="s">
        <x:v>96</x:v>
      </x:c>
      <x:c r="I99" s="2" t="s">
        <x:v>2071</x:v>
      </x:c>
      <x:c r="J99" s="2" t="s">
        <x:v>389</x:v>
      </x:c>
      <x:c r="K99" s="2"/>
      <x:c r="L99" s="2" t="s">
        <x:v>2072</x:v>
      </x:c>
      <x:c r="M99" s="2" t="s">
        <x:v>391</x:v>
      </x:c>
      <x:c r="N99" s="2">
        <x:v>1</x:v>
      </x:c>
      <x:c r="O99" s="2" t="s">
        <x:v>392</x:v>
      </x:c>
      <x:c r="P99" s="2" t="s">
        <x:v>393</x:v>
      </x:c>
      <x:c r="Q99" s="2"/>
      <x:c r="R99" s="3">
        <x:v>4</x:v>
      </x:c>
      <x:c r="S99" s="3">
        <x:v>1</x:v>
      </x:c>
      <x:c r="T99" s="2" t="s">
        <x:v>103</x:v>
      </x:c>
      <x:c r="U99" s="2"/>
      <x:c r="V99" s="2"/>
      <x:c r="W99" s="2"/>
      <x:c r="X99" s="3"/>
      <x:c r="Y99" s="3"/>
      <x:c r="Z99" s="2"/>
      <x:c r="AA99" s="2"/>
      <x:c r="AB99" s="2" t="s">
        <x:v>415</x:v>
      </x:c>
      <x:c r="AC99" s="2"/>
      <x:c r="AD99" s="2"/>
      <x:c r="AE99" s="2"/>
      <x:c r="AF99" s="2"/>
      <x:c r="AG99" s="2" t="s">
        <x:v>2060</x:v>
      </x:c>
      <x:c r="AH99" s="2"/>
      <x:c r="AI99" s="4"/>
      <x:c r="AJ99" s="2"/>
      <x:c r="AK99" s="2" t="s">
        <x:v>396</x:v>
      </x:c>
      <x:c r="AL99" s="2" t="s">
        <x:v>2788</x:v>
      </x:c>
      <x:c r="AM99" s="2">
        <x:v>20</x:v>
      </x:c>
      <x:c r="AN99" s="2">
        <x:v>20</x:v>
      </x:c>
    </x:row>
    <x:row r="100" ht="52">
      <x:c r="A100" s="2" t="s">
        <x:v>91</x:v>
      </x:c>
      <x:c r="B100" s="2" t="s">
        <x:v>17</x:v>
      </x:c>
      <x:c r="C100" s="3">
        <x:v>19</x:v>
      </x:c>
      <x:c r="D100" s="2" t="s">
        <x:v>2073</x:v>
      </x:c>
      <x:c r="E100" s="2" t="s">
        <x:v>2074</x:v>
      </x:c>
      <x:c r="F100" s="2" t="s">
        <x:v>254</x:v>
      </x:c>
      <x:c r="G100" s="2" t="s">
        <x:v>2847</x:v>
      </x:c>
      <x:c r="H100" s="2" t="s">
        <x:v>96</x:v>
      </x:c>
      <x:c r="I100" s="2" t="s">
        <x:v>2075</x:v>
      </x:c>
      <x:c r="J100" s="2" t="s">
        <x:v>389</x:v>
      </x:c>
      <x:c r="K100" s="2"/>
      <x:c r="L100" s="2" t="s">
        <x:v>2076</x:v>
      </x:c>
      <x:c r="M100" s="2" t="s">
        <x:v>391</x:v>
      </x:c>
      <x:c r="N100" s="2">
        <x:v>1</x:v>
      </x:c>
      <x:c r="O100" s="2" t="s">
        <x:v>414</x:v>
      </x:c>
      <x:c r="P100" s="2" t="s">
        <x:v>393</x:v>
      </x:c>
      <x:c r="Q100" s="2"/>
      <x:c r="R100" s="3">
        <x:v>3</x:v>
      </x:c>
      <x:c r="S100" s="3">
        <x:v>1</x:v>
      </x:c>
      <x:c r="T100" s="2" t="s">
        <x:v>103</x:v>
      </x:c>
      <x:c r="U100" s="2"/>
      <x:c r="V100" s="2"/>
      <x:c r="W100" s="2"/>
      <x:c r="X100" s="3"/>
      <x:c r="Y100" s="3"/>
      <x:c r="Z100" s="2"/>
      <x:c r="AA100" s="2"/>
      <x:c r="AB100" s="2" t="s">
        <x:v>415</x:v>
      </x:c>
      <x:c r="AC100" s="2"/>
      <x:c r="AD100" s="2"/>
      <x:c r="AE100" s="2"/>
      <x:c r="AF100" s="2"/>
      <x:c r="AG100" s="2" t="s">
        <x:v>2060</x:v>
      </x:c>
      <x:c r="AH100" s="2"/>
      <x:c r="AI100" s="4"/>
      <x:c r="AJ100" s="2"/>
      <x:c r="AK100" s="2" t="s">
        <x:v>396</x:v>
      </x:c>
      <x:c r="AL100" s="2" t="s">
        <x:v>2788</x:v>
      </x:c>
      <x:c r="AM100" s="2">
        <x:v>21</x:v>
      </x:c>
      <x:c r="AN100" s="2">
        <x:v>21</x:v>
      </x:c>
    </x:row>
    <x:row r="101" ht="39">
      <x:c r="A101" s="2" t="s">
        <x:v>6</x:v>
      </x:c>
      <x:c r="B101" s="2" t="s">
        <x:v>18</x:v>
      </x:c>
      <x:c r="C101" s="3">
        <x:v>0</x:v>
      </x:c>
      <x:c r="D101" s="2" t="s">
        <x:v>449</x:v>
      </x:c>
      <x:c r="E101" s="2" t="s">
        <x:v>450</x:v>
      </x:c>
      <x:c r="F101" s="2" t="s">
        <x:v>451</x:v>
      </x:c>
      <x:c r="G101" s="2"/>
      <x:c r="H101" s="2" t="s">
        <x:v>96</x:v>
      </x:c>
      <x:c r="I101" s="2" t="s">
        <x:v>453</x:v>
      </x:c>
      <x:c r="J101" s="2" t="s">
        <x:v>454</x:v>
      </x:c>
      <x:c r="K101" s="2"/>
      <x:c r="L101" s="2" t="s">
        <x:v>455</x:v>
      </x:c>
      <x:c r="M101" s="2"/>
      <x:c r="N101" s="2"/>
      <x:c r="O101" s="2" t="s">
        <x:v>456</x:v>
      </x:c>
      <x:c r="P101" s="2" t="s">
        <x:v>457</x:v>
      </x:c>
      <x:c r="Q101" s="2"/>
      <x:c r="R101" s="3">
        <x:v>4</x:v>
      </x:c>
      <x:c r="S101" s="3"/>
      <x:c r="T101" s="2"/>
      <x:c r="U101" s="2"/>
      <x:c r="V101" s="2"/>
      <x:c r="W101" s="2"/>
      <x:c r="X101" s="3"/>
      <x:c r="Y101" s="3"/>
      <x:c r="Z101" s="2"/>
      <x:c r="AA101" s="2"/>
      <x:c r="AB101" s="2"/>
      <x:c r="AC101" s="2"/>
      <x:c r="AD101" s="2" t="s">
        <x:v>431</x:v>
      </x:c>
      <x:c r="AE101" s="2"/>
      <x:c r="AF101" s="2"/>
      <x:c r="AG101" s="2"/>
      <x:c r="AH101" s="2" t="s">
        <x:v>458</x:v>
      </x:c>
      <x:c r="AI101" s="4">
        <x:v>8</x:v>
      </x:c>
      <x:c r="AJ101" s="2" t="s">
        <x:v>459</x:v>
      </x:c>
      <x:c r="AK101" s="2" t="s">
        <x:v>460</x:v>
      </x:c>
      <x:c r="AL101" s="2" t="s">
        <x:v>2788</x:v>
      </x:c>
      <x:c r="AM101" s="2">
        <x:v>2</x:v>
      </x:c>
      <x:c r="AN101" s="2">
        <x:v>2</x:v>
      </x:c>
    </x:row>
    <x:row r="102" ht="39">
      <x:c r="A102" s="2" t="s">
        <x:v>91</x:v>
      </x:c>
      <x:c r="B102" s="2" t="s">
        <x:v>18</x:v>
      </x:c>
      <x:c r="C102" s="3">
        <x:v>1</x:v>
      </x:c>
      <x:c r="D102" s="2" t="s">
        <x:v>462</x:v>
      </x:c>
      <x:c r="E102" s="2" t="s">
        <x:v>463</x:v>
      </x:c>
      <x:c r="F102" s="2" t="s">
        <x:v>464</x:v>
      </x:c>
      <x:c r="G102" s="2" t="s">
        <x:v>2848</x:v>
      </x:c>
      <x:c r="H102" s="2" t="s">
        <x:v>96</x:v>
      </x:c>
      <x:c r="I102" s="2" t="s">
        <x:v>466</x:v>
      </x:c>
      <x:c r="J102" s="2" t="s">
        <x:v>454</x:v>
      </x:c>
      <x:c r="K102" s="2"/>
      <x:c r="L102" s="2" t="s">
        <x:v>467</x:v>
      </x:c>
      <x:c r="M102" s="2"/>
      <x:c r="N102" s="2"/>
      <x:c r="O102" s="2" t="s">
        <x:v>456</x:v>
      </x:c>
      <x:c r="P102" s="2" t="s">
        <x:v>468</x:v>
      </x:c>
      <x:c r="Q102" s="2"/>
      <x:c r="R102" s="3">
        <x:v>3</x:v>
      </x:c>
      <x:c r="S102" s="3"/>
      <x:c r="T102" s="2"/>
      <x:c r="U102" s="2"/>
      <x:c r="V102" s="2"/>
      <x:c r="W102" s="2"/>
      <x:c r="X102" s="3"/>
      <x:c r="Y102" s="3"/>
      <x:c r="Z102" s="2"/>
      <x:c r="AA102" s="2"/>
      <x:c r="AB102" s="2"/>
      <x:c r="AC102" s="2"/>
      <x:c r="AD102" s="2" t="s">
        <x:v>469</x:v>
      </x:c>
      <x:c r="AE102" s="2"/>
      <x:c r="AF102" s="2"/>
      <x:c r="AG102" s="2"/>
      <x:c r="AH102" s="2" t="s">
        <x:v>470</x:v>
      </x:c>
      <x:c r="AI102" s="4">
        <x:v>12</x:v>
      </x:c>
      <x:c r="AJ102" s="2" t="s">
        <x:v>471</x:v>
      </x:c>
      <x:c r="AK102" s="2" t="s">
        <x:v>460</x:v>
      </x:c>
      <x:c r="AL102" s="2" t="s">
        <x:v>2788</x:v>
      </x:c>
      <x:c r="AM102" s="2">
        <x:v>3</x:v>
      </x:c>
      <x:c r="AN102" s="2">
        <x:v>3</x:v>
      </x:c>
    </x:row>
    <x:row r="103" ht="39">
      <x:c r="A103" s="2" t="s">
        <x:v>6</x:v>
      </x:c>
      <x:c r="B103" s="2" t="s">
        <x:v>18</x:v>
      </x:c>
      <x:c r="C103" s="3">
        <x:v>2</x:v>
      </x:c>
      <x:c r="D103" s="2" t="s">
        <x:v>472</x:v>
      </x:c>
      <x:c r="E103" s="2" t="s">
        <x:v>473</x:v>
      </x:c>
      <x:c r="F103" s="2" t="s">
        <x:v>474</x:v>
      </x:c>
      <x:c r="G103" s="2" t="s">
        <x:v>2849</x:v>
      </x:c>
      <x:c r="H103" s="2" t="s">
        <x:v>96</x:v>
      </x:c>
      <x:c r="I103" s="2" t="s">
        <x:v>476</x:v>
      </x:c>
      <x:c r="J103" s="2" t="s">
        <x:v>477</x:v>
      </x:c>
      <x:c r="K103" s="2"/>
      <x:c r="L103" s="2" t="s">
        <x:v>478</x:v>
      </x:c>
      <x:c r="M103" s="2"/>
      <x:c r="N103" s="2"/>
      <x:c r="O103" s="2" t="s">
        <x:v>456</x:v>
      </x:c>
      <x:c r="P103" s="2" t="s">
        <x:v>479</x:v>
      </x:c>
      <x:c r="Q103" s="2"/>
      <x:c r="R103" s="3">
        <x:v>3</x:v>
      </x:c>
      <x:c r="S103" s="3"/>
      <x:c r="T103" s="2"/>
      <x:c r="U103" s="2"/>
      <x:c r="V103" s="2"/>
      <x:c r="W103" s="2"/>
      <x:c r="X103" s="3"/>
      <x:c r="Y103" s="3"/>
      <x:c r="Z103" s="2"/>
      <x:c r="AA103" s="2"/>
      <x:c r="AB103" s="2"/>
      <x:c r="AC103" s="2"/>
      <x:c r="AD103" s="2" t="s">
        <x:v>480</x:v>
      </x:c>
      <x:c r="AE103" s="2"/>
      <x:c r="AF103" s="2"/>
      <x:c r="AG103" s="2"/>
      <x:c r="AH103" s="2" t="s">
        <x:v>458</x:v>
      </x:c>
      <x:c r="AI103" s="4">
        <x:v>16</x:v>
      </x:c>
      <x:c r="AJ103" s="2" t="s">
        <x:v>481</x:v>
      </x:c>
      <x:c r="AK103" s="2" t="s">
        <x:v>460</x:v>
      </x:c>
      <x:c r="AL103" s="2" t="s">
        <x:v>2788</x:v>
      </x:c>
      <x:c r="AM103" s="2">
        <x:v>4</x:v>
      </x:c>
      <x:c r="AN103" s="2">
        <x:v>4</x:v>
      </x:c>
    </x:row>
    <x:row r="104" ht="39">
      <x:c r="A104" s="2" t="s">
        <x:v>91</x:v>
      </x:c>
      <x:c r="B104" s="2" t="s">
        <x:v>18</x:v>
      </x:c>
      <x:c r="C104" s="3">
        <x:v>3</x:v>
      </x:c>
      <x:c r="D104" s="2" t="s">
        <x:v>482</x:v>
      </x:c>
      <x:c r="E104" s="2" t="s">
        <x:v>483</x:v>
      </x:c>
      <x:c r="F104" s="2" t="s">
        <x:v>484</x:v>
      </x:c>
      <x:c r="G104" s="2" t="s">
        <x:v>2850</x:v>
      </x:c>
      <x:c r="H104" s="2" t="s">
        <x:v>96</x:v>
      </x:c>
      <x:c r="I104" s="2" t="s">
        <x:v>486</x:v>
      </x:c>
      <x:c r="J104" s="2" t="s">
        <x:v>477</x:v>
      </x:c>
      <x:c r="K104" s="2"/>
      <x:c r="L104" s="2" t="s">
        <x:v>487</x:v>
      </x:c>
      <x:c r="M104" s="2"/>
      <x:c r="N104" s="2"/>
      <x:c r="O104" s="2" t="s">
        <x:v>456</x:v>
      </x:c>
      <x:c r="P104" s="2" t="s">
        <x:v>488</x:v>
      </x:c>
      <x:c r="Q104" s="2"/>
      <x:c r="R104" s="3">
        <x:v>4</x:v>
      </x:c>
      <x:c r="S104" s="3"/>
      <x:c r="T104" s="2"/>
      <x:c r="U104" s="2"/>
      <x:c r="V104" s="2"/>
      <x:c r="W104" s="2"/>
      <x:c r="X104" s="3"/>
      <x:c r="Y104" s="3"/>
      <x:c r="Z104" s="2"/>
      <x:c r="AA104" s="2"/>
      <x:c r="AB104" s="2"/>
      <x:c r="AC104" s="2"/>
      <x:c r="AD104" s="2" t="s">
        <x:v>410</x:v>
      </x:c>
      <x:c r="AE104" s="2"/>
      <x:c r="AF104" s="2"/>
      <x:c r="AG104" s="2"/>
      <x:c r="AH104" s="2" t="s">
        <x:v>470</x:v>
      </x:c>
      <x:c r="AI104" s="4">
        <x:v>8</x:v>
      </x:c>
      <x:c r="AJ104" s="2" t="s">
        <x:v>489</x:v>
      </x:c>
      <x:c r="AK104" s="2" t="s">
        <x:v>460</x:v>
      </x:c>
      <x:c r="AL104" s="2" t="s">
        <x:v>2788</x:v>
      </x:c>
      <x:c r="AM104" s="2">
        <x:v>5</x:v>
      </x:c>
      <x:c r="AN104" s="2">
        <x:v>5</x:v>
      </x:c>
    </x:row>
    <x:row r="105" ht="52">
      <x:c r="A105" s="2" t="s">
        <x:v>91</x:v>
      </x:c>
      <x:c r="B105" s="2" t="s">
        <x:v>18</x:v>
      </x:c>
      <x:c r="C105" s="3">
        <x:v>4</x:v>
      </x:c>
      <x:c r="D105" s="2" t="s">
        <x:v>462</x:v>
      </x:c>
      <x:c r="E105" s="2" t="s">
        <x:v>490</x:v>
      </x:c>
      <x:c r="F105" s="2" t="s">
        <x:v>451</x:v>
      </x:c>
      <x:c r="G105" s="2" t="s">
        <x:v>2851</x:v>
      </x:c>
      <x:c r="H105" s="2" t="s">
        <x:v>96</x:v>
      </x:c>
      <x:c r="I105" s="2" t="s">
        <x:v>492</x:v>
      </x:c>
      <x:c r="J105" s="2" t="s">
        <x:v>454</x:v>
      </x:c>
      <x:c r="K105" s="2"/>
      <x:c r="L105" s="2" t="s">
        <x:v>493</x:v>
      </x:c>
      <x:c r="M105" s="2"/>
      <x:c r="N105" s="2"/>
      <x:c r="O105" s="2" t="s">
        <x:v>456</x:v>
      </x:c>
      <x:c r="P105" s="2" t="s">
        <x:v>494</x:v>
      </x:c>
      <x:c r="Q105" s="2"/>
      <x:c r="R105" s="3">
        <x:v>4</x:v>
      </x:c>
      <x:c r="S105" s="3"/>
      <x:c r="T105" s="2"/>
      <x:c r="U105" s="2"/>
      <x:c r="V105" s="2"/>
      <x:c r="W105" s="2"/>
      <x:c r="X105" s="3"/>
      <x:c r="Y105" s="3"/>
      <x:c r="Z105" s="2"/>
      <x:c r="AA105" s="2"/>
      <x:c r="AB105" s="2"/>
      <x:c r="AC105" s="2"/>
      <x:c r="AD105" s="2" t="s">
        <x:v>431</x:v>
      </x:c>
      <x:c r="AE105" s="2"/>
      <x:c r="AF105" s="2"/>
      <x:c r="AG105" s="2"/>
      <x:c r="AH105" s="2" t="s">
        <x:v>470</x:v>
      </x:c>
      <x:c r="AI105" s="4">
        <x:v>12</x:v>
      </x:c>
      <x:c r="AJ105" s="2" t="s">
        <x:v>459</x:v>
      </x:c>
      <x:c r="AK105" s="2" t="s">
        <x:v>460</x:v>
      </x:c>
      <x:c r="AL105" s="2" t="s">
        <x:v>2788</x:v>
      </x:c>
      <x:c r="AM105" s="2">
        <x:v>6</x:v>
      </x:c>
      <x:c r="AN105" s="2">
        <x:v>6</x:v>
      </x:c>
    </x:row>
    <x:row r="106" ht="39">
      <x:c r="A106" s="2" t="s">
        <x:v>91</x:v>
      </x:c>
      <x:c r="B106" s="2" t="s">
        <x:v>18</x:v>
      </x:c>
      <x:c r="C106" s="3">
        <x:v>5</x:v>
      </x:c>
      <x:c r="D106" s="2" t="s">
        <x:v>462</x:v>
      </x:c>
      <x:c r="E106" s="2" t="s">
        <x:v>495</x:v>
      </x:c>
      <x:c r="F106" s="2" t="s">
        <x:v>464</x:v>
      </x:c>
      <x:c r="G106" s="2" t="s">
        <x:v>2852</x:v>
      </x:c>
      <x:c r="H106" s="2" t="s">
        <x:v>96</x:v>
      </x:c>
      <x:c r="I106" s="2" t="s">
        <x:v>497</x:v>
      </x:c>
      <x:c r="J106" s="2" t="s">
        <x:v>454</x:v>
      </x:c>
      <x:c r="K106" s="2"/>
      <x:c r="L106" s="2" t="s">
        <x:v>498</x:v>
      </x:c>
      <x:c r="M106" s="2"/>
      <x:c r="N106" s="2"/>
      <x:c r="O106" s="2" t="s">
        <x:v>456</x:v>
      </x:c>
      <x:c r="P106" s="2" t="s">
        <x:v>499</x:v>
      </x:c>
      <x:c r="Q106" s="2"/>
      <x:c r="R106" s="3">
        <x:v>3</x:v>
      </x:c>
      <x:c r="S106" s="3"/>
      <x:c r="T106" s="2"/>
      <x:c r="U106" s="2"/>
      <x:c r="V106" s="2"/>
      <x:c r="W106" s="2"/>
      <x:c r="X106" s="3"/>
      <x:c r="Y106" s="3"/>
      <x:c r="Z106" s="2"/>
      <x:c r="AA106" s="2"/>
      <x:c r="AB106" s="2"/>
      <x:c r="AC106" s="2"/>
      <x:c r="AD106" s="2" t="s">
        <x:v>469</x:v>
      </x:c>
      <x:c r="AE106" s="2"/>
      <x:c r="AF106" s="2"/>
      <x:c r="AG106" s="2"/>
      <x:c r="AH106" s="2" t="s">
        <x:v>458</x:v>
      </x:c>
      <x:c r="AI106" s="4">
        <x:v>16</x:v>
      </x:c>
      <x:c r="AJ106" s="2" t="s">
        <x:v>471</x:v>
      </x:c>
      <x:c r="AK106" s="2" t="s">
        <x:v>460</x:v>
      </x:c>
      <x:c r="AL106" s="2" t="s">
        <x:v>2788</x:v>
      </x:c>
      <x:c r="AM106" s="2">
        <x:v>7</x:v>
      </x:c>
      <x:c r="AN106" s="2">
        <x:v>7</x:v>
      </x:c>
    </x:row>
    <x:row r="107" ht="39">
      <x:c r="A107" s="2" t="s">
        <x:v>91</x:v>
      </x:c>
      <x:c r="B107" s="2" t="s">
        <x:v>18</x:v>
      </x:c>
      <x:c r="C107" s="3">
        <x:v>6</x:v>
      </x:c>
      <x:c r="D107" s="2" t="s">
        <x:v>482</x:v>
      </x:c>
      <x:c r="E107" s="2" t="s">
        <x:v>500</x:v>
      </x:c>
      <x:c r="F107" s="2" t="s">
        <x:v>474</x:v>
      </x:c>
      <x:c r="G107" s="2" t="s">
        <x:v>2658</x:v>
      </x:c>
      <x:c r="H107" s="2" t="s">
        <x:v>96</x:v>
      </x:c>
      <x:c r="I107" s="2" t="s">
        <x:v>502</x:v>
      </x:c>
      <x:c r="J107" s="2" t="s">
        <x:v>477</x:v>
      </x:c>
      <x:c r="K107" s="2"/>
      <x:c r="L107" s="2" t="s">
        <x:v>503</x:v>
      </x:c>
      <x:c r="M107" s="2"/>
      <x:c r="N107" s="2"/>
      <x:c r="O107" s="2" t="s">
        <x:v>456</x:v>
      </x:c>
      <x:c r="P107" s="2" t="s">
        <x:v>504</x:v>
      </x:c>
      <x:c r="Q107" s="2"/>
      <x:c r="R107" s="3">
        <x:v>3</x:v>
      </x:c>
      <x:c r="S107" s="3"/>
      <x:c r="T107" s="2"/>
      <x:c r="U107" s="2"/>
      <x:c r="V107" s="2"/>
      <x:c r="W107" s="2"/>
      <x:c r="X107" s="3"/>
      <x:c r="Y107" s="3"/>
      <x:c r="Z107" s="2"/>
      <x:c r="AA107" s="2"/>
      <x:c r="AB107" s="2"/>
      <x:c r="AC107" s="2"/>
      <x:c r="AD107" s="2" t="s">
        <x:v>480</x:v>
      </x:c>
      <x:c r="AE107" s="2"/>
      <x:c r="AF107" s="2"/>
      <x:c r="AG107" s="2"/>
      <x:c r="AH107" s="2" t="s">
        <x:v>470</x:v>
      </x:c>
      <x:c r="AI107" s="4">
        <x:v>8</x:v>
      </x:c>
      <x:c r="AJ107" s="2" t="s">
        <x:v>481</x:v>
      </x:c>
      <x:c r="AK107" s="2" t="s">
        <x:v>460</x:v>
      </x:c>
      <x:c r="AL107" s="2" t="s">
        <x:v>2788</x:v>
      </x:c>
      <x:c r="AM107" s="2">
        <x:v>8</x:v>
      </x:c>
      <x:c r="AN107" s="2">
        <x:v>8</x:v>
      </x:c>
    </x:row>
    <x:row r="108" ht="52">
      <x:c r="A108" s="2" t="s">
        <x:v>91</x:v>
      </x:c>
      <x:c r="B108" s="2" t="s">
        <x:v>18</x:v>
      </x:c>
      <x:c r="C108" s="3">
        <x:v>7</x:v>
      </x:c>
      <x:c r="D108" s="2" t="s">
        <x:v>505</x:v>
      </x:c>
      <x:c r="E108" s="2" t="s">
        <x:v>506</x:v>
      </x:c>
      <x:c r="F108" s="2" t="s">
        <x:v>484</x:v>
      </x:c>
      <x:c r="G108" s="2" t="s">
        <x:v>2853</x:v>
      </x:c>
      <x:c r="H108" s="2" t="s">
        <x:v>96</x:v>
      </x:c>
      <x:c r="I108" s="2" t="s">
        <x:v>508</x:v>
      </x:c>
      <x:c r="J108" s="2" t="s">
        <x:v>477</x:v>
      </x:c>
      <x:c r="K108" s="2"/>
      <x:c r="L108" s="2" t="s">
        <x:v>509</x:v>
      </x:c>
      <x:c r="M108" s="2"/>
      <x:c r="N108" s="2"/>
      <x:c r="O108" s="2" t="s">
        <x:v>456</x:v>
      </x:c>
      <x:c r="P108" s="2" t="s">
        <x:v>510</x:v>
      </x:c>
      <x:c r="Q108" s="2"/>
      <x:c r="R108" s="3">
        <x:v>4</x:v>
      </x:c>
      <x:c r="S108" s="3"/>
      <x:c r="T108" s="2"/>
      <x:c r="U108" s="2"/>
      <x:c r="V108" s="2"/>
      <x:c r="W108" s="2"/>
      <x:c r="X108" s="3"/>
      <x:c r="Y108" s="3"/>
      <x:c r="Z108" s="2"/>
      <x:c r="AA108" s="2"/>
      <x:c r="AB108" s="2"/>
      <x:c r="AC108" s="2"/>
      <x:c r="AD108" s="2" t="s">
        <x:v>410</x:v>
      </x:c>
      <x:c r="AE108" s="2"/>
      <x:c r="AF108" s="2"/>
      <x:c r="AG108" s="2"/>
      <x:c r="AH108" s="2" t="s">
        <x:v>458</x:v>
      </x:c>
      <x:c r="AI108" s="4">
        <x:v>12</x:v>
      </x:c>
      <x:c r="AJ108" s="2" t="s">
        <x:v>489</x:v>
      </x:c>
      <x:c r="AK108" s="2" t="s">
        <x:v>460</x:v>
      </x:c>
      <x:c r="AL108" s="2" t="s">
        <x:v>2788</x:v>
      </x:c>
      <x:c r="AM108" s="2">
        <x:v>9</x:v>
      </x:c>
      <x:c r="AN108" s="2">
        <x:v>9</x:v>
      </x:c>
    </x:row>
    <x:row r="109" ht="52">
      <x:c r="A109" s="2" t="s">
        <x:v>6</x:v>
      </x:c>
      <x:c r="B109" s="2" t="s">
        <x:v>18</x:v>
      </x:c>
      <x:c r="C109" s="3">
        <x:v>8</x:v>
      </x:c>
      <x:c r="D109" s="2" t="s">
        <x:v>449</x:v>
      </x:c>
      <x:c r="E109" s="2" t="s">
        <x:v>511</x:v>
      </x:c>
      <x:c r="F109" s="2" t="s">
        <x:v>451</x:v>
      </x:c>
      <x:c r="G109" s="2"/>
      <x:c r="H109" s="2" t="s">
        <x:v>96</x:v>
      </x:c>
      <x:c r="I109" s="2" t="s">
        <x:v>513</x:v>
      </x:c>
      <x:c r="J109" s="2" t="s">
        <x:v>454</x:v>
      </x:c>
      <x:c r="K109" s="2"/>
      <x:c r="L109" s="2" t="s">
        <x:v>514</x:v>
      </x:c>
      <x:c r="M109" s="2"/>
      <x:c r="N109" s="2"/>
      <x:c r="O109" s="2" t="s">
        <x:v>456</x:v>
      </x:c>
      <x:c r="P109" s="2" t="s">
        <x:v>515</x:v>
      </x:c>
      <x:c r="Q109" s="2"/>
      <x:c r="R109" s="3">
        <x:v>4</x:v>
      </x:c>
      <x:c r="S109" s="3"/>
      <x:c r="T109" s="2"/>
      <x:c r="U109" s="2"/>
      <x:c r="V109" s="2"/>
      <x:c r="W109" s="2"/>
      <x:c r="X109" s="3"/>
      <x:c r="Y109" s="3"/>
      <x:c r="Z109" s="2"/>
      <x:c r="AA109" s="2"/>
      <x:c r="AB109" s="2"/>
      <x:c r="AC109" s="2"/>
      <x:c r="AD109" s="2" t="s">
        <x:v>431</x:v>
      </x:c>
      <x:c r="AE109" s="2"/>
      <x:c r="AF109" s="2"/>
      <x:c r="AG109" s="2"/>
      <x:c r="AH109" s="2" t="s">
        <x:v>458</x:v>
      </x:c>
      <x:c r="AI109" s="4">
        <x:v>16</x:v>
      </x:c>
      <x:c r="AJ109" s="2" t="s">
        <x:v>459</x:v>
      </x:c>
      <x:c r="AK109" s="2" t="s">
        <x:v>460</x:v>
      </x:c>
      <x:c r="AL109" s="2" t="s">
        <x:v>2788</x:v>
      </x:c>
      <x:c r="AM109" s="2">
        <x:v>10</x:v>
      </x:c>
      <x:c r="AN109" s="2">
        <x:v>10</x:v>
      </x:c>
    </x:row>
    <x:row r="110" ht="39">
      <x:c r="A110" s="2" t="s">
        <x:v>6</x:v>
      </x:c>
      <x:c r="B110" s="2" t="s">
        <x:v>18</x:v>
      </x:c>
      <x:c r="C110" s="3">
        <x:v>9</x:v>
      </x:c>
      <x:c r="D110" s="2" t="s">
        <x:v>516</x:v>
      </x:c>
      <x:c r="E110" s="2" t="s">
        <x:v>517</x:v>
      </x:c>
      <x:c r="F110" s="2" t="s">
        <x:v>464</x:v>
      </x:c>
      <x:c r="G110" s="2"/>
      <x:c r="H110" s="2" t="s">
        <x:v>96</x:v>
      </x:c>
      <x:c r="I110" s="2" t="s">
        <x:v>519</x:v>
      </x:c>
      <x:c r="J110" s="2" t="s">
        <x:v>454</x:v>
      </x:c>
      <x:c r="K110" s="2"/>
      <x:c r="L110" s="2" t="s">
        <x:v>520</x:v>
      </x:c>
      <x:c r="M110" s="2"/>
      <x:c r="N110" s="2"/>
      <x:c r="O110" s="2" t="s">
        <x:v>456</x:v>
      </x:c>
      <x:c r="P110" s="2" t="s">
        <x:v>521</x:v>
      </x:c>
      <x:c r="Q110" s="2"/>
      <x:c r="R110" s="3">
        <x:v>3</x:v>
      </x:c>
      <x:c r="S110" s="3"/>
      <x:c r="T110" s="2"/>
      <x:c r="U110" s="2"/>
      <x:c r="V110" s="2"/>
      <x:c r="W110" s="2"/>
      <x:c r="X110" s="3"/>
      <x:c r="Y110" s="3"/>
      <x:c r="Z110" s="2"/>
      <x:c r="AA110" s="2"/>
      <x:c r="AB110" s="2"/>
      <x:c r="AC110" s="2"/>
      <x:c r="AD110" s="2" t="s">
        <x:v>469</x:v>
      </x:c>
      <x:c r="AE110" s="2"/>
      <x:c r="AF110" s="2"/>
      <x:c r="AG110" s="2"/>
      <x:c r="AH110" s="2" t="s">
        <x:v>470</x:v>
      </x:c>
      <x:c r="AI110" s="4">
        <x:v>8</x:v>
      </x:c>
      <x:c r="AJ110" s="2" t="s">
        <x:v>471</x:v>
      </x:c>
      <x:c r="AK110" s="2" t="s">
        <x:v>460</x:v>
      </x:c>
      <x:c r="AL110" s="2" t="s">
        <x:v>2788</x:v>
      </x:c>
      <x:c r="AM110" s="2">
        <x:v>11</x:v>
      </x:c>
      <x:c r="AN110" s="2">
        <x:v>11</x:v>
      </x:c>
    </x:row>
    <x:row r="111" ht="39">
      <x:c r="A111" s="2" t="s">
        <x:v>91</x:v>
      </x:c>
      <x:c r="B111" s="2" t="s">
        <x:v>18</x:v>
      </x:c>
      <x:c r="C111" s="3">
        <x:v>10</x:v>
      </x:c>
      <x:c r="D111" s="2" t="s">
        <x:v>482</x:v>
      </x:c>
      <x:c r="E111" s="2" t="s">
        <x:v>522</x:v>
      </x:c>
      <x:c r="F111" s="2" t="s">
        <x:v>474</x:v>
      </x:c>
      <x:c r="G111" s="2" t="s">
        <x:v>2854</x:v>
      </x:c>
      <x:c r="H111" s="2" t="s">
        <x:v>96</x:v>
      </x:c>
      <x:c r="I111" s="2" t="s">
        <x:v>524</x:v>
      </x:c>
      <x:c r="J111" s="2" t="s">
        <x:v>477</x:v>
      </x:c>
      <x:c r="K111" s="2"/>
      <x:c r="L111" s="2" t="s">
        <x:v>525</x:v>
      </x:c>
      <x:c r="M111" s="2"/>
      <x:c r="N111" s="2"/>
      <x:c r="O111" s="2" t="s">
        <x:v>456</x:v>
      </x:c>
      <x:c r="P111" s="2" t="s">
        <x:v>526</x:v>
      </x:c>
      <x:c r="Q111" s="2"/>
      <x:c r="R111" s="3">
        <x:v>3</x:v>
      </x:c>
      <x:c r="S111" s="3"/>
      <x:c r="T111" s="2"/>
      <x:c r="U111" s="2"/>
      <x:c r="V111" s="2"/>
      <x:c r="W111" s="2"/>
      <x:c r="X111" s="3"/>
      <x:c r="Y111" s="3"/>
      <x:c r="Z111" s="2"/>
      <x:c r="AA111" s="2"/>
      <x:c r="AB111" s="2"/>
      <x:c r="AC111" s="2"/>
      <x:c r="AD111" s="2" t="s">
        <x:v>480</x:v>
      </x:c>
      <x:c r="AE111" s="2"/>
      <x:c r="AF111" s="2"/>
      <x:c r="AG111" s="2"/>
      <x:c r="AH111" s="2" t="s">
        <x:v>458</x:v>
      </x:c>
      <x:c r="AI111" s="4">
        <x:v>12</x:v>
      </x:c>
      <x:c r="AJ111" s="2" t="s">
        <x:v>481</x:v>
      </x:c>
      <x:c r="AK111" s="2" t="s">
        <x:v>460</x:v>
      </x:c>
      <x:c r="AL111" s="2" t="s">
        <x:v>2788</x:v>
      </x:c>
      <x:c r="AM111" s="2">
        <x:v>12</x:v>
      </x:c>
      <x:c r="AN111" s="2">
        <x:v>12</x:v>
      </x:c>
    </x:row>
    <x:row r="112" ht="39">
      <x:c r="A112" s="2" t="s">
        <x:v>6</x:v>
      </x:c>
      <x:c r="B112" s="2" t="s">
        <x:v>18</x:v>
      </x:c>
      <x:c r="C112" s="3">
        <x:v>11</x:v>
      </x:c>
      <x:c r="D112" s="2" t="s">
        <x:v>472</x:v>
      </x:c>
      <x:c r="E112" s="2" t="s">
        <x:v>527</x:v>
      </x:c>
      <x:c r="F112" s="2" t="s">
        <x:v>484</x:v>
      </x:c>
      <x:c r="G112" s="2"/>
      <x:c r="H112" s="2" t="s">
        <x:v>96</x:v>
      </x:c>
      <x:c r="I112" s="2" t="s">
        <x:v>529</x:v>
      </x:c>
      <x:c r="J112" s="2" t="s">
        <x:v>477</x:v>
      </x:c>
      <x:c r="K112" s="2"/>
      <x:c r="L112" s="2" t="s">
        <x:v>530</x:v>
      </x:c>
      <x:c r="M112" s="2"/>
      <x:c r="N112" s="2"/>
      <x:c r="O112" s="2" t="s">
        <x:v>456</x:v>
      </x:c>
      <x:c r="P112" s="2" t="s">
        <x:v>531</x:v>
      </x:c>
      <x:c r="Q112" s="2"/>
      <x:c r="R112" s="3">
        <x:v>4</x:v>
      </x:c>
      <x:c r="S112" s="3"/>
      <x:c r="T112" s="2"/>
      <x:c r="U112" s="2"/>
      <x:c r="V112" s="2"/>
      <x:c r="W112" s="2"/>
      <x:c r="X112" s="3"/>
      <x:c r="Y112" s="3"/>
      <x:c r="Z112" s="2"/>
      <x:c r="AA112" s="2"/>
      <x:c r="AB112" s="2"/>
      <x:c r="AC112" s="2"/>
      <x:c r="AD112" s="2" t="s">
        <x:v>410</x:v>
      </x:c>
      <x:c r="AE112" s="2"/>
      <x:c r="AF112" s="2"/>
      <x:c r="AG112" s="2"/>
      <x:c r="AH112" s="2" t="s">
        <x:v>470</x:v>
      </x:c>
      <x:c r="AI112" s="4">
        <x:v>16</x:v>
      </x:c>
      <x:c r="AJ112" s="2" t="s">
        <x:v>489</x:v>
      </x:c>
      <x:c r="AK112" s="2" t="s">
        <x:v>460</x:v>
      </x:c>
      <x:c r="AL112" s="2" t="s">
        <x:v>2788</x:v>
      </x:c>
      <x:c r="AM112" s="2">
        <x:v>13</x:v>
      </x:c>
      <x:c r="AN112" s="2">
        <x:v>13</x:v>
      </x:c>
    </x:row>
    <x:row r="113" ht="39">
      <x:c r="A113" s="2" t="s">
        <x:v>6</x:v>
      </x:c>
      <x:c r="B113" s="2" t="s">
        <x:v>18</x:v>
      </x:c>
      <x:c r="C113" s="3">
        <x:v>12</x:v>
      </x:c>
      <x:c r="D113" s="2" t="s">
        <x:v>516</x:v>
      </x:c>
      <x:c r="E113" s="2" t="s">
        <x:v>532</x:v>
      </x:c>
      <x:c r="F113" s="2" t="s">
        <x:v>451</x:v>
      </x:c>
      <x:c r="G113" s="2"/>
      <x:c r="H113" s="2" t="s">
        <x:v>96</x:v>
      </x:c>
      <x:c r="I113" s="2" t="s">
        <x:v>533</x:v>
      </x:c>
      <x:c r="J113" s="2" t="s">
        <x:v>454</x:v>
      </x:c>
      <x:c r="K113" s="2"/>
      <x:c r="L113" s="2" t="s">
        <x:v>534</x:v>
      </x:c>
      <x:c r="M113" s="2"/>
      <x:c r="N113" s="2"/>
      <x:c r="O113" s="2" t="s">
        <x:v>456</x:v>
      </x:c>
      <x:c r="P113" s="2" t="s">
        <x:v>535</x:v>
      </x:c>
      <x:c r="Q113" s="2"/>
      <x:c r="R113" s="3">
        <x:v>4</x:v>
      </x:c>
      <x:c r="S113" s="3"/>
      <x:c r="T113" s="2"/>
      <x:c r="U113" s="2"/>
      <x:c r="V113" s="2"/>
      <x:c r="W113" s="2"/>
      <x:c r="X113" s="3"/>
      <x:c r="Y113" s="3"/>
      <x:c r="Z113" s="2"/>
      <x:c r="AA113" s="2"/>
      <x:c r="AB113" s="2"/>
      <x:c r="AC113" s="2"/>
      <x:c r="AD113" s="2" t="s">
        <x:v>431</x:v>
      </x:c>
      <x:c r="AE113" s="2"/>
      <x:c r="AF113" s="2"/>
      <x:c r="AG113" s="2"/>
      <x:c r="AH113" s="2" t="s">
        <x:v>470</x:v>
      </x:c>
      <x:c r="AI113" s="4">
        <x:v>8</x:v>
      </x:c>
      <x:c r="AJ113" s="2" t="s">
        <x:v>459</x:v>
      </x:c>
      <x:c r="AK113" s="2" t="s">
        <x:v>460</x:v>
      </x:c>
      <x:c r="AL113" s="2" t="s">
        <x:v>2788</x:v>
      </x:c>
      <x:c r="AM113" s="2">
        <x:v>14</x:v>
      </x:c>
      <x:c r="AN113" s="2">
        <x:v>14</x:v>
      </x:c>
    </x:row>
    <x:row r="114" ht="39">
      <x:c r="A114" s="2" t="s">
        <x:v>91</x:v>
      </x:c>
      <x:c r="B114" s="2" t="s">
        <x:v>18</x:v>
      </x:c>
      <x:c r="C114" s="3">
        <x:v>13</x:v>
      </x:c>
      <x:c r="D114" s="2" t="s">
        <x:v>516</x:v>
      </x:c>
      <x:c r="E114" s="2" t="s">
        <x:v>536</x:v>
      </x:c>
      <x:c r="F114" s="2" t="s">
        <x:v>464</x:v>
      </x:c>
      <x:c r="G114" s="2" t="s">
        <x:v>2028</x:v>
      </x:c>
      <x:c r="H114" s="2" t="s">
        <x:v>96</x:v>
      </x:c>
      <x:c r="I114" s="2" t="s">
        <x:v>538</x:v>
      </x:c>
      <x:c r="J114" s="2" t="s">
        <x:v>454</x:v>
      </x:c>
      <x:c r="K114" s="2"/>
      <x:c r="L114" s="2" t="s">
        <x:v>539</x:v>
      </x:c>
      <x:c r="M114" s="2"/>
      <x:c r="N114" s="2"/>
      <x:c r="O114" s="2" t="s">
        <x:v>456</x:v>
      </x:c>
      <x:c r="P114" s="2" t="s">
        <x:v>540</x:v>
      </x:c>
      <x:c r="Q114" s="2"/>
      <x:c r="R114" s="3">
        <x:v>3</x:v>
      </x:c>
      <x:c r="S114" s="3"/>
      <x:c r="T114" s="2"/>
      <x:c r="U114" s="2"/>
      <x:c r="V114" s="2"/>
      <x:c r="W114" s="2"/>
      <x:c r="X114" s="3"/>
      <x:c r="Y114" s="3"/>
      <x:c r="Z114" s="2"/>
      <x:c r="AA114" s="2"/>
      <x:c r="AB114" s="2"/>
      <x:c r="AC114" s="2"/>
      <x:c r="AD114" s="2" t="s">
        <x:v>469</x:v>
      </x:c>
      <x:c r="AE114" s="2"/>
      <x:c r="AF114" s="2"/>
      <x:c r="AG114" s="2"/>
      <x:c r="AH114" s="2" t="s">
        <x:v>458</x:v>
      </x:c>
      <x:c r="AI114" s="4">
        <x:v>12</x:v>
      </x:c>
      <x:c r="AJ114" s="2" t="s">
        <x:v>471</x:v>
      </x:c>
      <x:c r="AK114" s="2" t="s">
        <x:v>460</x:v>
      </x:c>
      <x:c r="AL114" s="2" t="s">
        <x:v>2788</x:v>
      </x:c>
      <x:c r="AM114" s="2">
        <x:v>15</x:v>
      </x:c>
      <x:c r="AN114" s="2">
        <x:v>15</x:v>
      </x:c>
    </x:row>
    <x:row r="115" ht="39">
      <x:c r="A115" s="2" t="s">
        <x:v>91</x:v>
      </x:c>
      <x:c r="B115" s="2" t="s">
        <x:v>18</x:v>
      </x:c>
      <x:c r="C115" s="3">
        <x:v>14</x:v>
      </x:c>
      <x:c r="D115" s="2" t="s">
        <x:v>482</x:v>
      </x:c>
      <x:c r="E115" s="2" t="s">
        <x:v>541</x:v>
      </x:c>
      <x:c r="F115" s="2" t="s">
        <x:v>474</x:v>
      </x:c>
      <x:c r="G115" s="2" t="s">
        <x:v>158</x:v>
      </x:c>
      <x:c r="H115" s="2" t="s">
        <x:v>96</x:v>
      </x:c>
      <x:c r="I115" s="2" t="s">
        <x:v>543</x:v>
      </x:c>
      <x:c r="J115" s="2" t="s">
        <x:v>477</x:v>
      </x:c>
      <x:c r="K115" s="2"/>
      <x:c r="L115" s="2" t="s">
        <x:v>544</x:v>
      </x:c>
      <x:c r="M115" s="2"/>
      <x:c r="N115" s="2"/>
      <x:c r="O115" s="2" t="s">
        <x:v>456</x:v>
      </x:c>
      <x:c r="P115" s="2" t="s">
        <x:v>545</x:v>
      </x:c>
      <x:c r="Q115" s="2"/>
      <x:c r="R115" s="3">
        <x:v>3</x:v>
      </x:c>
      <x:c r="S115" s="3"/>
      <x:c r="T115" s="2"/>
      <x:c r="U115" s="2"/>
      <x:c r="V115" s="2"/>
      <x:c r="W115" s="2"/>
      <x:c r="X115" s="3"/>
      <x:c r="Y115" s="3"/>
      <x:c r="Z115" s="2"/>
      <x:c r="AA115" s="2"/>
      <x:c r="AB115" s="2"/>
      <x:c r="AC115" s="2"/>
      <x:c r="AD115" s="2" t="s">
        <x:v>480</x:v>
      </x:c>
      <x:c r="AE115" s="2"/>
      <x:c r="AF115" s="2"/>
      <x:c r="AG115" s="2"/>
      <x:c r="AH115" s="2" t="s">
        <x:v>470</x:v>
      </x:c>
      <x:c r="AI115" s="4">
        <x:v>16</x:v>
      </x:c>
      <x:c r="AJ115" s="2" t="s">
        <x:v>481</x:v>
      </x:c>
      <x:c r="AK115" s="2" t="s">
        <x:v>460</x:v>
      </x:c>
      <x:c r="AL115" s="2" t="s">
        <x:v>2788</x:v>
      </x:c>
      <x:c r="AM115" s="2">
        <x:v>16</x:v>
      </x:c>
      <x:c r="AN115" s="2">
        <x:v>16</x:v>
      </x:c>
    </x:row>
    <x:row r="116" ht="52">
      <x:c r="A116" s="2" t="s">
        <x:v>91</x:v>
      </x:c>
      <x:c r="B116" s="2" t="s">
        <x:v>18</x:v>
      </x:c>
      <x:c r="C116" s="3">
        <x:v>15</x:v>
      </x:c>
      <x:c r="D116" s="2" t="s">
        <x:v>472</x:v>
      </x:c>
      <x:c r="E116" s="2" t="s">
        <x:v>546</x:v>
      </x:c>
      <x:c r="F116" s="2" t="s">
        <x:v>484</x:v>
      </x:c>
      <x:c r="G116" s="2" t="s">
        <x:v>2855</x:v>
      </x:c>
      <x:c r="H116" s="2" t="s">
        <x:v>96</x:v>
      </x:c>
      <x:c r="I116" s="2" t="s">
        <x:v>548</x:v>
      </x:c>
      <x:c r="J116" s="2" t="s">
        <x:v>477</x:v>
      </x:c>
      <x:c r="K116" s="2"/>
      <x:c r="L116" s="2" t="s">
        <x:v>549</x:v>
      </x:c>
      <x:c r="M116" s="2"/>
      <x:c r="N116" s="2"/>
      <x:c r="O116" s="2" t="s">
        <x:v>456</x:v>
      </x:c>
      <x:c r="P116" s="2" t="s">
        <x:v>550</x:v>
      </x:c>
      <x:c r="Q116" s="2"/>
      <x:c r="R116" s="3">
        <x:v>4</x:v>
      </x:c>
      <x:c r="S116" s="3"/>
      <x:c r="T116" s="2"/>
      <x:c r="U116" s="2"/>
      <x:c r="V116" s="2"/>
      <x:c r="W116" s="2"/>
      <x:c r="X116" s="3"/>
      <x:c r="Y116" s="3"/>
      <x:c r="Z116" s="2"/>
      <x:c r="AA116" s="2"/>
      <x:c r="AB116" s="2"/>
      <x:c r="AC116" s="2"/>
      <x:c r="AD116" s="2" t="s">
        <x:v>410</x:v>
      </x:c>
      <x:c r="AE116" s="2"/>
      <x:c r="AF116" s="2"/>
      <x:c r="AG116" s="2"/>
      <x:c r="AH116" s="2" t="s">
        <x:v>458</x:v>
      </x:c>
      <x:c r="AI116" s="4">
        <x:v>8</x:v>
      </x:c>
      <x:c r="AJ116" s="2" t="s">
        <x:v>489</x:v>
      </x:c>
      <x:c r="AK116" s="2" t="s">
        <x:v>460</x:v>
      </x:c>
      <x:c r="AL116" s="2" t="s">
        <x:v>2788</x:v>
      </x:c>
      <x:c r="AM116" s="2">
        <x:v>17</x:v>
      </x:c>
      <x:c r="AN116" s="2">
        <x:v>17</x:v>
      </x:c>
    </x:row>
    <x:row r="117" ht="52">
      <x:c r="A117" s="2" t="s">
        <x:v>6</x:v>
      </x:c>
      <x:c r="B117" s="2" t="s">
        <x:v>18</x:v>
      </x:c>
      <x:c r="C117" s="3">
        <x:v>16</x:v>
      </x:c>
      <x:c r="D117" s="2" t="s">
        <x:v>449</x:v>
      </x:c>
      <x:c r="E117" s="2" t="s">
        <x:v>551</x:v>
      </x:c>
      <x:c r="F117" s="2" t="s">
        <x:v>451</x:v>
      </x:c>
      <x:c r="G117" s="2"/>
      <x:c r="H117" s="2" t="s">
        <x:v>96</x:v>
      </x:c>
      <x:c r="I117" s="2" t="s">
        <x:v>553</x:v>
      </x:c>
      <x:c r="J117" s="2" t="s">
        <x:v>454</x:v>
      </x:c>
      <x:c r="K117" s="2"/>
      <x:c r="L117" s="2" t="s">
        <x:v>554</x:v>
      </x:c>
      <x:c r="M117" s="2"/>
      <x:c r="N117" s="2"/>
      <x:c r="O117" s="2" t="s">
        <x:v>456</x:v>
      </x:c>
      <x:c r="P117" s="2" t="s">
        <x:v>555</x:v>
      </x:c>
      <x:c r="Q117" s="2"/>
      <x:c r="R117" s="3">
        <x:v>4</x:v>
      </x:c>
      <x:c r="S117" s="3"/>
      <x:c r="T117" s="2"/>
      <x:c r="U117" s="2"/>
      <x:c r="V117" s="2"/>
      <x:c r="W117" s="2"/>
      <x:c r="X117" s="3"/>
      <x:c r="Y117" s="3"/>
      <x:c r="Z117" s="2"/>
      <x:c r="AA117" s="2"/>
      <x:c r="AB117" s="2"/>
      <x:c r="AC117" s="2"/>
      <x:c r="AD117" s="2" t="s">
        <x:v>431</x:v>
      </x:c>
      <x:c r="AE117" s="2"/>
      <x:c r="AF117" s="2"/>
      <x:c r="AG117" s="2"/>
      <x:c r="AH117" s="2" t="s">
        <x:v>458</x:v>
      </x:c>
      <x:c r="AI117" s="4">
        <x:v>12</x:v>
      </x:c>
      <x:c r="AJ117" s="2" t="s">
        <x:v>459</x:v>
      </x:c>
      <x:c r="AK117" s="2" t="s">
        <x:v>460</x:v>
      </x:c>
      <x:c r="AL117" s="2" t="s">
        <x:v>2788</x:v>
      </x:c>
      <x:c r="AM117" s="2">
        <x:v>18</x:v>
      </x:c>
      <x:c r="AN117" s="2">
        <x:v>18</x:v>
      </x:c>
    </x:row>
    <x:row r="118" ht="39">
      <x:c r="A118" s="2" t="s">
        <x:v>91</x:v>
      </x:c>
      <x:c r="B118" s="2" t="s">
        <x:v>18</x:v>
      </x:c>
      <x:c r="C118" s="3">
        <x:v>17</x:v>
      </x:c>
      <x:c r="D118" s="2" t="s">
        <x:v>516</x:v>
      </x:c>
      <x:c r="E118" s="2" t="s">
        <x:v>556</x:v>
      </x:c>
      <x:c r="F118" s="2" t="s">
        <x:v>464</x:v>
      </x:c>
      <x:c r="G118" s="2" t="s">
        <x:v>2856</x:v>
      </x:c>
      <x:c r="H118" s="2" t="s">
        <x:v>96</x:v>
      </x:c>
      <x:c r="I118" s="2" t="s">
        <x:v>558</x:v>
      </x:c>
      <x:c r="J118" s="2" t="s">
        <x:v>454</x:v>
      </x:c>
      <x:c r="K118" s="2"/>
      <x:c r="L118" s="2" t="s">
        <x:v>559</x:v>
      </x:c>
      <x:c r="M118" s="2"/>
      <x:c r="N118" s="2"/>
      <x:c r="O118" s="2" t="s">
        <x:v>456</x:v>
      </x:c>
      <x:c r="P118" s="2" t="s">
        <x:v>560</x:v>
      </x:c>
      <x:c r="Q118" s="2"/>
      <x:c r="R118" s="3">
        <x:v>3</x:v>
      </x:c>
      <x:c r="S118" s="3"/>
      <x:c r="T118" s="2"/>
      <x:c r="U118" s="2"/>
      <x:c r="V118" s="2"/>
      <x:c r="W118" s="2"/>
      <x:c r="X118" s="3"/>
      <x:c r="Y118" s="3"/>
      <x:c r="Z118" s="2"/>
      <x:c r="AA118" s="2"/>
      <x:c r="AB118" s="2"/>
      <x:c r="AC118" s="2"/>
      <x:c r="AD118" s="2" t="s">
        <x:v>469</x:v>
      </x:c>
      <x:c r="AE118" s="2"/>
      <x:c r="AF118" s="2"/>
      <x:c r="AG118" s="2"/>
      <x:c r="AH118" s="2" t="s">
        <x:v>470</x:v>
      </x:c>
      <x:c r="AI118" s="4">
        <x:v>16</x:v>
      </x:c>
      <x:c r="AJ118" s="2" t="s">
        <x:v>471</x:v>
      </x:c>
      <x:c r="AK118" s="2" t="s">
        <x:v>460</x:v>
      </x:c>
      <x:c r="AL118" s="2" t="s">
        <x:v>2788</x:v>
      </x:c>
      <x:c r="AM118" s="2">
        <x:v>19</x:v>
      </x:c>
      <x:c r="AN118" s="2">
        <x:v>19</x:v>
      </x:c>
    </x:row>
    <x:row r="119" ht="39">
      <x:c r="A119" s="2" t="s">
        <x:v>91</x:v>
      </x:c>
      <x:c r="B119" s="2" t="s">
        <x:v>18</x:v>
      </x:c>
      <x:c r="C119" s="3">
        <x:v>18</x:v>
      </x:c>
      <x:c r="D119" s="2" t="s">
        <x:v>472</x:v>
      </x:c>
      <x:c r="E119" s="2" t="s">
        <x:v>561</x:v>
      </x:c>
      <x:c r="F119" s="2" t="s">
        <x:v>474</x:v>
      </x:c>
      <x:c r="G119" s="2" t="s">
        <x:v>2855</x:v>
      </x:c>
      <x:c r="H119" s="2" t="s">
        <x:v>96</x:v>
      </x:c>
      <x:c r="I119" s="2" t="s">
        <x:v>563</x:v>
      </x:c>
      <x:c r="J119" s="2" t="s">
        <x:v>477</x:v>
      </x:c>
      <x:c r="K119" s="2"/>
      <x:c r="L119" s="2" t="s">
        <x:v>564</x:v>
      </x:c>
      <x:c r="M119" s="2"/>
      <x:c r="N119" s="2"/>
      <x:c r="O119" s="2" t="s">
        <x:v>456</x:v>
      </x:c>
      <x:c r="P119" s="2" t="s">
        <x:v>565</x:v>
      </x:c>
      <x:c r="Q119" s="2"/>
      <x:c r="R119" s="3">
        <x:v>3</x:v>
      </x:c>
      <x:c r="S119" s="3"/>
      <x:c r="T119" s="2"/>
      <x:c r="U119" s="2"/>
      <x:c r="V119" s="2"/>
      <x:c r="W119" s="2"/>
      <x:c r="X119" s="3"/>
      <x:c r="Y119" s="3"/>
      <x:c r="Z119" s="2"/>
      <x:c r="AA119" s="2"/>
      <x:c r="AB119" s="2"/>
      <x:c r="AC119" s="2"/>
      <x:c r="AD119" s="2" t="s">
        <x:v>480</x:v>
      </x:c>
      <x:c r="AE119" s="2"/>
      <x:c r="AF119" s="2"/>
      <x:c r="AG119" s="2"/>
      <x:c r="AH119" s="2" t="s">
        <x:v>458</x:v>
      </x:c>
      <x:c r="AI119" s="4">
        <x:v>8</x:v>
      </x:c>
      <x:c r="AJ119" s="2" t="s">
        <x:v>481</x:v>
      </x:c>
      <x:c r="AK119" s="2" t="s">
        <x:v>460</x:v>
      </x:c>
      <x:c r="AL119" s="2" t="s">
        <x:v>2788</x:v>
      </x:c>
      <x:c r="AM119" s="2">
        <x:v>20</x:v>
      </x:c>
      <x:c r="AN119" s="2">
        <x:v>20</x:v>
      </x:c>
    </x:row>
    <x:row r="120" ht="52">
      <x:c r="A120" s="2" t="s">
        <x:v>91</x:v>
      </x:c>
      <x:c r="B120" s="2" t="s">
        <x:v>18</x:v>
      </x:c>
      <x:c r="C120" s="3">
        <x:v>19</x:v>
      </x:c>
      <x:c r="D120" s="2" t="s">
        <x:v>505</x:v>
      </x:c>
      <x:c r="E120" s="2" t="s">
        <x:v>566</x:v>
      </x:c>
      <x:c r="F120" s="2" t="s">
        <x:v>484</x:v>
      </x:c>
      <x:c r="G120" s="2" t="s">
        <x:v>2855</x:v>
      </x:c>
      <x:c r="H120" s="2" t="s">
        <x:v>96</x:v>
      </x:c>
      <x:c r="I120" s="2" t="s">
        <x:v>568</x:v>
      </x:c>
      <x:c r="J120" s="2" t="s">
        <x:v>477</x:v>
      </x:c>
      <x:c r="K120" s="2"/>
      <x:c r="L120" s="2" t="s">
        <x:v>569</x:v>
      </x:c>
      <x:c r="M120" s="2"/>
      <x:c r="N120" s="2"/>
      <x:c r="O120" s="2" t="s">
        <x:v>456</x:v>
      </x:c>
      <x:c r="P120" s="2" t="s">
        <x:v>570</x:v>
      </x:c>
      <x:c r="Q120" s="2"/>
      <x:c r="R120" s="3">
        <x:v>4</x:v>
      </x:c>
      <x:c r="S120" s="3"/>
      <x:c r="T120" s="2"/>
      <x:c r="U120" s="2"/>
      <x:c r="V120" s="2"/>
      <x:c r="W120" s="2"/>
      <x:c r="X120" s="3"/>
      <x:c r="Y120" s="3"/>
      <x:c r="Z120" s="2"/>
      <x:c r="AA120" s="2"/>
      <x:c r="AB120" s="2"/>
      <x:c r="AC120" s="2"/>
      <x:c r="AD120" s="2" t="s">
        <x:v>410</x:v>
      </x:c>
      <x:c r="AE120" s="2"/>
      <x:c r="AF120" s="2"/>
      <x:c r="AG120" s="2"/>
      <x:c r="AH120" s="2" t="s">
        <x:v>470</x:v>
      </x:c>
      <x:c r="AI120" s="4">
        <x:v>12</x:v>
      </x:c>
      <x:c r="AJ120" s="2" t="s">
        <x:v>489</x:v>
      </x:c>
      <x:c r="AK120" s="2" t="s">
        <x:v>460</x:v>
      </x:c>
      <x:c r="AL120" s="2" t="s">
        <x:v>2788</x:v>
      </x:c>
      <x:c r="AM120" s="2">
        <x:v>21</x:v>
      </x:c>
      <x:c r="AN120" s="2">
        <x:v>21</x:v>
      </x:c>
    </x:row>
    <x:row r="121">
      <x:c r="A121" t="str">
        <x:v>Failure</x:v>
      </x:c>
      <x:c r="B121" t="str">
        <x:v>Counting</x:v>
      </x:c>
      <x:c r="C121" t="n">
        <x:v>5</x:v>
      </x:c>
      <x:c r="D121" t="str">
        <x:v>Adjust the bowl so that it contains two objects.</x:v>
      </x:c>
      <x:c r="E121" t="str">
        <x:v>Bowl objects: [green pencil sharpener] | Table objects: [yellow block, airplane toy without propellers]</x:v>
      </x:c>
      <x:c r="F121" t="str">
        <x:v>ADD any one table object; finish with 2 objects in the bowl</x:v>
      </x:c>
      <x:c r="G121"/>
      <x:c r="H121" t="str">
        <x:v>In-distribution concept baseline</x:v>
      </x:c>
      <x:c r="I121" t="str">
        <x:v>ID-F02</x:v>
      </x:c>
      <x:c r="J121" t="str">
        <x:v>In-distribution: two via trained 1→2 addition</x:v>
      </x:c>
      <x:c r="K121"/>
      <x:c r="L121" t="str">
        <x:v>859</x:v>
      </x:c>
      <x:c r="M121" t="str">
        <x:v>Exact trained cell: prompt, count transition, and scene-object membership match; physical layout is not copied exactly.</x:v>
      </x:c>
      <x:c r="N121" t="n">
        <x:v>1</x:v>
      </x:c>
      <x:c r="O121" t="str">
        <x:v>Recreate the listed bowl/table membership from training episode 859.</x:v>
      </x:c>
      <x:c r="P121" t="str">
        <x:v>Exact trained count transition and scene-object membership. Any object that reaches the requested final count is acceptable.</x:v>
      </x:c>
      <x:c r="Q121"/>
      <x:c r="R121"/>
      <x:c r="S121"/>
      <x:c r="T121"/>
      <x:c r="U121"/>
      <x:c r="V121"/>
      <x:c r="W121" t="str">
        <x:v>ID-F02</x:v>
      </x:c>
      <x:c r="X121" t="n">
        <x:v>1</x:v>
      </x:c>
      <x:c r="Y121" t="n">
        <x:v>2</x:v>
      </x:c>
      <x:c r="Z121" t="str">
        <x:v>ADD</x:v>
      </x:c>
      <x:c r="AA121"/>
      <x:c r="AB121"/>
      <x:c r="AC121"/>
      <x:c r="AD121"/>
      <x:c r="AE121"/>
      <x:c r="AF121"/>
      <x:c r="AG121"/>
      <x:c r="AH121"/>
      <x:c r="AI121"/>
      <x:c r="AJ121"/>
      <x:c r="AK121" t="str">
        <x:v>Eval_Counting.xlsm</x:v>
      </x:c>
      <x:c r="AL121" t="str">
        <x:v>GR00T Results</x:v>
      </x:c>
      <x:c r="AM121" t="n">
        <x:v>7</x:v>
      </x:c>
      <x:c r="AN121" t="n">
        <x:v>7</x:v>
      </x:c>
    </x:row>
  </x:sheetData>
  <x:conditionalFormatting sqref="A2:A120">
    <x:cfRule type="containsText" dxfId="7" priority="1" operator="containsText" text="Success"/>
    <x:cfRule type="containsText" dxfId="6" priority="2" operator="containsText" text="Failure"/>
  </x:conditionalFormatting>
  <x:dataValidations count="1">
    <x:dataValidation type="list" sqref="A2:A120">
      <x:formula1>"Success,Failure"</x:formula1>
    </x:dataValidation>
  </x:dataValidations>
  <x:pageMargins left="0.7" right="0.7" top="0.75" bottom="0.75" header="0.3" footer="0.3"/>
  <x:tableParts count="1">
    <x:tablePart xmlns:r="http://schemas.openxmlformats.org/officeDocument/2006/relationships" r:id="R3a790c14007444cc"/>
  </x:tableParts>
</x:worksheet>
</file>

<file path=xl/worksheets/sheet6.xml><?xml version="1.0" encoding="utf-8"?>
<x:worksheet xmlns:x="http://schemas.openxmlformats.org/spreadsheetml/2006/main">
  <x:sheetViews>
    <x:sheetView showGridLines="0" workbookViewId="0"/>
  </x:sheetViews>
  <x:sheetFormatPr baseColWidth="10" defaultColWidth="8.83203125" defaultRowHeight="14"/>
  <x:cols>
    <x:col min="1" max="1" width="12" customWidth="1"/>
    <x:col min="2" max="2" width="27" customWidth="1"/>
    <x:col min="3" max="3" width="9" customWidth="1"/>
    <x:col min="4" max="4" width="44" customWidth="1"/>
    <x:col min="5" max="5" width="54" customWidth="1"/>
    <x:col min="6" max="7" width="34" customWidth="1"/>
    <x:col min="8" max="8" width="38" customWidth="1"/>
    <x:col min="9" max="9" width="20" customWidth="1"/>
    <x:col min="10" max="10" width="34" customWidth="1"/>
    <x:col min="11" max="11" width="16" customWidth="1"/>
    <x:col min="12" max="12" width="20" customWidth="1"/>
    <x:col min="13" max="13" width="42" customWidth="1"/>
    <x:col min="14" max="14" width="16" customWidth="1"/>
    <x:col min="15" max="15" width="38" customWidth="1"/>
    <x:col min="16" max="16" width="44" customWidth="1"/>
    <x:col min="17" max="17" width="24" customWidth="1"/>
    <x:col min="18" max="18" width="13" customWidth="1"/>
    <x:col min="19" max="19" width="15" customWidth="1"/>
    <x:col min="20" max="21" width="14" customWidth="1"/>
    <x:col min="22" max="22" width="18" customWidth="1"/>
    <x:col min="23" max="23" width="20" customWidth="1"/>
    <x:col min="24" max="24" width="15" customWidth="1"/>
    <x:col min="25" max="25" width="12" customWidth="1"/>
    <x:col min="26" max="26" width="18" customWidth="1"/>
    <x:col min="27" max="27" width="14" customWidth="1"/>
    <x:col min="28" max="28" width="18" customWidth="1"/>
    <x:col min="29" max="29" width="16" customWidth="1"/>
    <x:col min="30" max="31" width="20" customWidth="1"/>
    <x:col min="32" max="32" width="18" customWidth="1"/>
    <x:col min="33" max="33" width="20" customWidth="1"/>
    <x:col min="34" max="34" width="14" customWidth="1"/>
    <x:col min="35" max="35" width="15" customWidth="1"/>
    <x:col min="36" max="36" width="28" customWidth="1"/>
    <x:col min="37" max="37" width="32" customWidth="1"/>
    <x:col min="38" max="38" width="28" customWidth="1"/>
    <x:col min="39" max="39" width="16" customWidth="1"/>
    <x:col min="40" max="40" width="15" customWidth="1"/>
    <x:col min="41" max="41" width="25.83203125" hidden="1" customWidth="1"/>
    <x:col min="42" max="42" width="9.33203125" customWidth="1"/>
    <x:col min="43" max="43" width="8.5" customWidth="1"/>
    <x:col min="44" max="44" width="11.6640625" customWidth="1"/>
  </x:cols>
  <x:sheetData>
    <x:row r="1" ht="36" customHeight="1">
      <x:c r="A1" s="1" t="s">
        <x:v>53</x:v>
      </x:c>
      <x:c r="B1" s="1" t="s">
        <x:v>12</x:v>
      </x:c>
      <x:c r="C1" s="1" t="s">
        <x:v>54</x:v>
      </x:c>
      <x:c r="D1" s="1" t="s">
        <x:v>55</x:v>
      </x:c>
      <x:c r="E1" s="1" t="s">
        <x:v>27</x:v>
      </x:c>
      <x:c r="F1" s="1" t="s">
        <x:v>56</x:v>
      </x:c>
      <x:c r="G1" s="1" t="s">
        <x:v>57</x:v>
      </x:c>
      <x:c r="H1" s="1" t="s">
        <x:v>58</x:v>
      </x:c>
      <x:c r="I1" s="1" t="s">
        <x:v>59</x:v>
      </x:c>
      <x:c r="J1" s="1" t="s">
        <x:v>60</x:v>
      </x:c>
      <x:c r="K1" s="1" t="s">
        <x:v>61</x:v>
      </x:c>
      <x:c r="L1" s="1" t="s">
        <x:v>62</x:v>
      </x:c>
      <x:c r="M1" s="1" t="s">
        <x:v>63</x:v>
      </x:c>
      <x:c r="N1" s="1" t="s">
        <x:v>64</x:v>
      </x:c>
      <x:c r="O1" s="1" t="s">
        <x:v>65</x:v>
      </x:c>
      <x:c r="P1" s="1" t="s">
        <x:v>66</x:v>
      </x:c>
      <x:c r="Q1" s="1" t="s">
        <x:v>67</x:v>
      </x:c>
      <x:c r="R1" s="1" t="s">
        <x:v>68</x:v>
      </x:c>
      <x:c r="S1" s="1" t="s">
        <x:v>69</x:v>
      </x:c>
      <x:c r="T1" s="1" t="s">
        <x:v>70</x:v>
      </x:c>
      <x:c r="U1" s="1" t="s">
        <x:v>71</x:v>
      </x:c>
      <x:c r="V1" s="1" t="s">
        <x:v>72</x:v>
      </x:c>
      <x:c r="W1" s="1" t="s">
        <x:v>73</x:v>
      </x:c>
      <x:c r="X1" s="1" t="s">
        <x:v>74</x:v>
      </x:c>
      <x:c r="Y1" s="1" t="s">
        <x:v>75</x:v>
      </x:c>
      <x:c r="Z1" s="1" t="s">
        <x:v>76</x:v>
      </x:c>
      <x:c r="AA1" s="1" t="s">
        <x:v>77</x:v>
      </x:c>
      <x:c r="AB1" s="1" t="s">
        <x:v>78</x:v>
      </x:c>
      <x:c r="AC1" s="1" t="s">
        <x:v>79</x:v>
      </x:c>
      <x:c r="AD1" s="1" t="s">
        <x:v>80</x:v>
      </x:c>
      <x:c r="AE1" s="1" t="s">
        <x:v>81</x:v>
      </x:c>
      <x:c r="AF1" s="1" t="s">
        <x:v>82</x:v>
      </x:c>
      <x:c r="AG1" s="1" t="s">
        <x:v>83</x:v>
      </x:c>
      <x:c r="AH1" s="1" t="s">
        <x:v>84</x:v>
      </x:c>
      <x:c r="AI1" s="1" t="s">
        <x:v>85</x:v>
      </x:c>
      <x:c r="AJ1" s="1" t="s">
        <x:v>86</x:v>
      </x:c>
      <x:c r="AK1" s="1" t="s">
        <x:v>87</x:v>
      </x:c>
      <x:c r="AL1" s="1" t="s">
        <x:v>88</x:v>
      </x:c>
      <x:c r="AM1" s="1" t="s">
        <x:v>89</x:v>
      </x:c>
      <x:c r="AN1" s="1" t="s">
        <x:v>90</x:v>
      </x:c>
      <x:c r="AO1" s="54"/>
      <x:c r="AP1" s="54" t="str">
        <x:v>Success</x:v>
      </x:c>
      <x:c r="AQ1" t="str">
        <x:v>Failure</x:v>
      </x:c>
    </x:row>
    <x:row r="2" ht="65">
      <x:c r="A2" s="2" t="s">
        <x:v>6</x:v>
      </x:c>
      <x:c r="B2" s="2" t="s">
        <x:v>13</x:v>
      </x:c>
      <x:c r="C2" s="3">
        <x:v>0</x:v>
      </x:c>
      <x:c r="D2" s="2" t="s">
        <x:v>92</x:v>
      </x:c>
      <x:c r="E2" s="2" t="s">
        <x:v>93</x:v>
      </x:c>
      <x:c r="F2" s="2" t="s">
        <x:v>94</x:v>
      </x:c>
      <x:c r="G2" s="2"/>
      <x:c r="H2" s="2" t="s">
        <x:v>96</x:v>
      </x:c>
      <x:c r="I2" s="2" t="s">
        <x:v>97</x:v>
      </x:c>
      <x:c r="J2" s="2" t="s">
        <x:v>98</x:v>
      </x:c>
      <x:c r="K2" s="2"/>
      <x:c r="L2" s="2" t="s">
        <x:v>99</x:v>
      </x:c>
      <x:c r="M2" s="2" t="s">
        <x:v>100</x:v>
      </x:c>
      <x:c r="N2" s="2">
        <x:v>1</x:v>
      </x:c>
      <x:c r="O2" s="2" t="s">
        <x:v>101</x:v>
      </x:c>
      <x:c r="P2" s="2" t="s">
        <x:v>102</x:v>
      </x:c>
      <x:c r="Q2" s="2"/>
      <x:c r="R2" s="3">
        <x:v>4</x:v>
      </x:c>
      <x:c r="S2" s="3">
        <x:v>1</x:v>
      </x:c>
      <x:c r="T2" s="2" t="s">
        <x:v>103</x:v>
      </x:c>
      <x:c r="U2" s="2" t="s">
        <x:v>104</x:v>
      </x:c>
      <x:c r="V2" s="2" t="s">
        <x:v>105</x:v>
      </x:c>
      <x:c r="W2" s="2"/>
      <x:c r="X2" s="3"/>
      <x:c r="Y2" s="3"/>
      <x:c r="Z2" s="2"/>
      <x:c r="AA2" s="2"/>
      <x:c r="AB2" s="2"/>
      <x:c r="AC2" s="2"/>
      <x:c r="AD2" s="2"/>
      <x:c r="AE2" s="2"/>
      <x:c r="AF2" s="2"/>
      <x:c r="AG2" s="2"/>
      <x:c r="AH2" s="2"/>
      <x:c r="AI2" s="4"/>
      <x:c r="AJ2" s="2"/>
      <x:c r="AK2" s="2" t="s">
        <x:v>106</x:v>
      </x:c>
      <x:c r="AL2" s="2" t="s">
        <x:v>2857</x:v>
      </x:c>
      <x:c r="AM2" s="2">
        <x:v>2</x:v>
      </x:c>
      <x:c r="AN2" s="2">
        <x:v>2</x:v>
      </x:c>
      <x:c r="AO2" s="54" t="str">
        <x:v>Row Labels</x:v>
      </x:c>
      <x:c r="AP2" t="str"/>
      <x:c r="AQ2" t="str"/>
    </x:row>
    <x:row r="3" ht="39">
      <x:c r="A3" s="2" t="s">
        <x:v>6</x:v>
      </x:c>
      <x:c r="B3" s="2" t="s">
        <x:v>13</x:v>
      </x:c>
      <x:c r="C3" s="3">
        <x:v>1</x:v>
      </x:c>
      <x:c r="D3" s="2" t="s">
        <x:v>108</x:v>
      </x:c>
      <x:c r="E3" s="2" t="s">
        <x:v>109</x:v>
      </x:c>
      <x:c r="F3" s="2" t="s">
        <x:v>94</x:v>
      </x:c>
      <x:c r="G3" s="2"/>
      <x:c r="H3" s="2" t="s">
        <x:v>96</x:v>
      </x:c>
      <x:c r="I3" s="2" t="s">
        <x:v>111</x:v>
      </x:c>
      <x:c r="J3" s="2" t="s">
        <x:v>98</x:v>
      </x:c>
      <x:c r="K3" s="2"/>
      <x:c r="L3" s="2" t="s">
        <x:v>112</x:v>
      </x:c>
      <x:c r="M3" s="2" t="s">
        <x:v>113</x:v>
      </x:c>
      <x:c r="N3" s="2">
        <x:v>1</x:v>
      </x:c>
      <x:c r="O3" s="2" t="s">
        <x:v>101</x:v>
      </x:c>
      <x:c r="P3" s="2" t="s">
        <x:v>114</x:v>
      </x:c>
      <x:c r="Q3" s="2"/>
      <x:c r="R3" s="3">
        <x:v>2</x:v>
      </x:c>
      <x:c r="S3" s="3">
        <x:v>1</x:v>
      </x:c>
      <x:c r="T3" s="2" t="s">
        <x:v>103</x:v>
      </x:c>
      <x:c r="U3" s="2" t="s">
        <x:v>115</x:v>
      </x:c>
      <x:c r="V3" s="2" t="s">
        <x:v>105</x:v>
      </x:c>
      <x:c r="W3" s="2"/>
      <x:c r="X3" s="3"/>
      <x:c r="Y3" s="3"/>
      <x:c r="Z3" s="2"/>
      <x:c r="AA3" s="2"/>
      <x:c r="AB3" s="2"/>
      <x:c r="AC3" s="2"/>
      <x:c r="AD3" s="2"/>
      <x:c r="AE3" s="2"/>
      <x:c r="AF3" s="2"/>
      <x:c r="AG3" s="2"/>
      <x:c r="AH3" s="2"/>
      <x:c r="AI3" s="4"/>
      <x:c r="AJ3" s="2"/>
      <x:c r="AK3" s="2" t="s">
        <x:v>106</x:v>
      </x:c>
      <x:c r="AL3" s="2" t="s">
        <x:v>2857</x:v>
      </x:c>
      <x:c r="AM3" s="2">
        <x:v>3</x:v>
      </x:c>
      <x:c r="AN3" s="2">
        <x:v>3</x:v>
      </x:c>
      <x:c r="AO3" t="str">
        <x:v>Concept/compositional transfer</x:v>
      </x:c>
      <x:c r="AP3" s="57" t="n">
        <x:v>0.52</x:v>
      </x:c>
      <x:c r="AQ3" s="57" t="n">
        <x:v>0.48</x:v>
      </x:c>
    </x:row>
    <x:row r="4" ht="65">
      <x:c r="A4" s="2" t="s">
        <x:v>6</x:v>
      </x:c>
      <x:c r="B4" s="2" t="s">
        <x:v>13</x:v>
      </x:c>
      <x:c r="C4" s="3">
        <x:v>2</x:v>
      </x:c>
      <x:c r="D4" s="2" t="s">
        <x:v>116</x:v>
      </x:c>
      <x:c r="E4" s="2" t="s">
        <x:v>117</x:v>
      </x:c>
      <x:c r="F4" s="2" t="s">
        <x:v>118</x:v>
      </x:c>
      <x:c r="G4" s="2"/>
      <x:c r="H4" s="2" t="s">
        <x:v>96</x:v>
      </x:c>
      <x:c r="I4" s="2" t="s">
        <x:v>120</x:v>
      </x:c>
      <x:c r="J4" s="2" t="s">
        <x:v>98</x:v>
      </x:c>
      <x:c r="K4" s="2"/>
      <x:c r="L4" s="2" t="s">
        <x:v>121</x:v>
      </x:c>
      <x:c r="M4" s="2" t="s">
        <x:v>100</x:v>
      </x:c>
      <x:c r="N4" s="2">
        <x:v>1</x:v>
      </x:c>
      <x:c r="O4" s="2" t="s">
        <x:v>101</x:v>
      </x:c>
      <x:c r="P4" s="2" t="s">
        <x:v>102</x:v>
      </x:c>
      <x:c r="Q4" s="2"/>
      <x:c r="R4" s="3">
        <x:v>3</x:v>
      </x:c>
      <x:c r="S4" s="3">
        <x:v>1</x:v>
      </x:c>
      <x:c r="T4" s="2" t="s">
        <x:v>103</x:v>
      </x:c>
      <x:c r="U4" s="2" t="s">
        <x:v>122</x:v>
      </x:c>
      <x:c r="V4" s="2" t="s">
        <x:v>123</x:v>
      </x:c>
      <x:c r="W4" s="2"/>
      <x:c r="X4" s="3"/>
      <x:c r="Y4" s="3"/>
      <x:c r="Z4" s="2"/>
      <x:c r="AA4" s="2"/>
      <x:c r="AB4" s="2"/>
      <x:c r="AC4" s="2"/>
      <x:c r="AD4" s="2"/>
      <x:c r="AE4" s="2"/>
      <x:c r="AF4" s="2"/>
      <x:c r="AG4" s="2"/>
      <x:c r="AH4" s="2"/>
      <x:c r="AI4" s="4"/>
      <x:c r="AJ4" s="2"/>
      <x:c r="AK4" s="2" t="s">
        <x:v>106</x:v>
      </x:c>
      <x:c r="AL4" s="2" t="s">
        <x:v>2857</x:v>
      </x:c>
      <x:c r="AM4" s="2">
        <x:v>4</x:v>
      </x:c>
      <x:c r="AN4" s="2">
        <x:v>4</x:v>
      </x:c>
      <x:c r="AO4" t="str">
        <x:v>In-distribution concept baseline</x:v>
      </x:c>
      <x:c r="AP4" s="57" t="n">
        <x:v>0.725</x:v>
      </x:c>
      <x:c r="AQ4" s="57" t="n">
        <x:v>0.275</x:v>
      </x:c>
    </x:row>
    <x:row r="5" ht="39">
      <x:c r="A5" s="2" t="s">
        <x:v>6</x:v>
      </x:c>
      <x:c r="B5" s="2" t="s">
        <x:v>13</x:v>
      </x:c>
      <x:c r="C5" s="3">
        <x:v>3</x:v>
      </x:c>
      <x:c r="D5" s="2" t="s">
        <x:v>124</x:v>
      </x:c>
      <x:c r="E5" s="2" t="s">
        <x:v>125</x:v>
      </x:c>
      <x:c r="F5" s="2" t="s">
        <x:v>118</x:v>
      </x:c>
      <x:c r="G5" s="2"/>
      <x:c r="H5" s="2" t="s">
        <x:v>96</x:v>
      </x:c>
      <x:c r="I5" s="2" t="s">
        <x:v>127</x:v>
      </x:c>
      <x:c r="J5" s="2" t="s">
        <x:v>98</x:v>
      </x:c>
      <x:c r="K5" s="2"/>
      <x:c r="L5" s="2" t="s">
        <x:v>128</x:v>
      </x:c>
      <x:c r="M5" s="2" t="s">
        <x:v>113</x:v>
      </x:c>
      <x:c r="N5" s="2">
        <x:v>1</x:v>
      </x:c>
      <x:c r="O5" s="2" t="s">
        <x:v>101</x:v>
      </x:c>
      <x:c r="P5" s="2" t="s">
        <x:v>114</x:v>
      </x:c>
      <x:c r="Q5" s="2"/>
      <x:c r="R5" s="3">
        <x:v>4</x:v>
      </x:c>
      <x:c r="S5" s="3">
        <x:v>1</x:v>
      </x:c>
      <x:c r="T5" s="2" t="s">
        <x:v>103</x:v>
      </x:c>
      <x:c r="U5" s="2" t="s">
        <x:v>129</x:v>
      </x:c>
      <x:c r="V5" s="2" t="s">
        <x:v>123</x:v>
      </x:c>
      <x:c r="W5" s="2"/>
      <x:c r="X5" s="3"/>
      <x:c r="Y5" s="3"/>
      <x:c r="Z5" s="2"/>
      <x:c r="AA5" s="2"/>
      <x:c r="AB5" s="2"/>
      <x:c r="AC5" s="2"/>
      <x:c r="AD5" s="2"/>
      <x:c r="AE5" s="2"/>
      <x:c r="AF5" s="2"/>
      <x:c r="AG5" s="2"/>
      <x:c r="AH5" s="2"/>
      <x:c r="AI5" s="4"/>
      <x:c r="AJ5" s="2"/>
      <x:c r="AK5" s="2" t="s">
        <x:v>106</x:v>
      </x:c>
      <x:c r="AL5" s="2" t="s">
        <x:v>2857</x:v>
      </x:c>
      <x:c r="AM5" s="2">
        <x:v>5</x:v>
      </x:c>
      <x:c r="AN5" s="2">
        <x:v>5</x:v>
      </x:c>
      <x:c r="AO5" t="str">
        <x:v>Matched manipulation control</x:v>
      </x:c>
      <x:c r="AP5" s="57" t="n">
        <x:v>0.8916666666666667</x:v>
      </x:c>
      <x:c r="AQ5" s="57" t="n">
        <x:v>0.10833333333333334</x:v>
      </x:c>
    </x:row>
    <x:row r="6" ht="65">
      <x:c r="A6" s="2" t="s">
        <x:v>6</x:v>
      </x:c>
      <x:c r="B6" s="2" t="s">
        <x:v>13</x:v>
      </x:c>
      <x:c r="C6" s="3">
        <x:v>4</x:v>
      </x:c>
      <x:c r="D6" s="2" t="s">
        <x:v>130</x:v>
      </x:c>
      <x:c r="E6" s="2" t="s">
        <x:v>131</x:v>
      </x:c>
      <x:c r="F6" s="2" t="s">
        <x:v>132</x:v>
      </x:c>
      <x:c r="G6" s="2"/>
      <x:c r="H6" s="2" t="s">
        <x:v>96</x:v>
      </x:c>
      <x:c r="I6" s="2" t="s">
        <x:v>134</x:v>
      </x:c>
      <x:c r="J6" s="2" t="s">
        <x:v>98</x:v>
      </x:c>
      <x:c r="K6" s="2"/>
      <x:c r="L6" s="2" t="s">
        <x:v>135</x:v>
      </x:c>
      <x:c r="M6" s="2" t="s">
        <x:v>100</x:v>
      </x:c>
      <x:c r="N6" s="2">
        <x:v>1</x:v>
      </x:c>
      <x:c r="O6" s="2" t="s">
        <x:v>101</x:v>
      </x:c>
      <x:c r="P6" s="2" t="s">
        <x:v>102</x:v>
      </x:c>
      <x:c r="Q6" s="2"/>
      <x:c r="R6" s="3">
        <x:v>3</x:v>
      </x:c>
      <x:c r="S6" s="3">
        <x:v>1</x:v>
      </x:c>
      <x:c r="T6" s="2" t="s">
        <x:v>103</x:v>
      </x:c>
      <x:c r="U6" s="2" t="s">
        <x:v>104</x:v>
      </x:c>
      <x:c r="V6" s="2" t="s">
        <x:v>136</x:v>
      </x:c>
      <x:c r="W6" s="2"/>
      <x:c r="X6" s="3"/>
      <x:c r="Y6" s="3"/>
      <x:c r="Z6" s="2"/>
      <x:c r="AA6" s="2"/>
      <x:c r="AB6" s="2"/>
      <x:c r="AC6" s="2"/>
      <x:c r="AD6" s="2"/>
      <x:c r="AE6" s="2"/>
      <x:c r="AF6" s="2"/>
      <x:c r="AG6" s="2"/>
      <x:c r="AH6" s="2"/>
      <x:c r="AI6" s="4"/>
      <x:c r="AJ6" s="2"/>
      <x:c r="AK6" s="2" t="s">
        <x:v>106</x:v>
      </x:c>
      <x:c r="AL6" s="2" t="s">
        <x:v>2857</x:v>
      </x:c>
      <x:c r="AM6" s="2">
        <x:v>6</x:v>
      </x:c>
      <x:c r="AN6" s="2">
        <x:v>6</x:v>
      </x:c>
    </x:row>
    <x:row r="7" ht="39">
      <x:c r="A7" s="2" t="s">
        <x:v>6</x:v>
      </x:c>
      <x:c r="B7" s="2" t="s">
        <x:v>13</x:v>
      </x:c>
      <x:c r="C7" s="3">
        <x:v>5</x:v>
      </x:c>
      <x:c r="D7" s="2" t="s">
        <x:v>137</x:v>
      </x:c>
      <x:c r="E7" s="2" t="s">
        <x:v>138</x:v>
      </x:c>
      <x:c r="F7" s="2" t="s">
        <x:v>139</x:v>
      </x:c>
      <x:c r="G7" s="2"/>
      <x:c r="H7" s="2" t="s">
        <x:v>96</x:v>
      </x:c>
      <x:c r="I7" s="2" t="s">
        <x:v>140</x:v>
      </x:c>
      <x:c r="J7" s="2" t="s">
        <x:v>98</x:v>
      </x:c>
      <x:c r="K7" s="2"/>
      <x:c r="L7" s="2" t="s">
        <x:v>141</x:v>
      </x:c>
      <x:c r="M7" s="2" t="s">
        <x:v>113</x:v>
      </x:c>
      <x:c r="N7" s="2">
        <x:v>1</x:v>
      </x:c>
      <x:c r="O7" s="2" t="s">
        <x:v>101</x:v>
      </x:c>
      <x:c r="P7" s="2" t="s">
        <x:v>114</x:v>
      </x:c>
      <x:c r="Q7" s="2"/>
      <x:c r="R7" s="3">
        <x:v>2</x:v>
      </x:c>
      <x:c r="S7" s="3">
        <x:v>1</x:v>
      </x:c>
      <x:c r="T7" s="2" t="s">
        <x:v>103</x:v>
      </x:c>
      <x:c r="U7" s="2" t="s">
        <x:v>129</x:v>
      </x:c>
      <x:c r="V7" s="2" t="s">
        <x:v>136</x:v>
      </x:c>
      <x:c r="W7" s="2"/>
      <x:c r="X7" s="3"/>
      <x:c r="Y7" s="3"/>
      <x:c r="Z7" s="2"/>
      <x:c r="AA7" s="2"/>
      <x:c r="AB7" s="2"/>
      <x:c r="AC7" s="2"/>
      <x:c r="AD7" s="2"/>
      <x:c r="AE7" s="2"/>
      <x:c r="AF7" s="2"/>
      <x:c r="AG7" s="2"/>
      <x:c r="AH7" s="2"/>
      <x:c r="AI7" s="4"/>
      <x:c r="AJ7" s="2"/>
      <x:c r="AK7" s="2" t="s">
        <x:v>106</x:v>
      </x:c>
      <x:c r="AL7" s="2" t="s">
        <x:v>2857</x:v>
      </x:c>
      <x:c r="AM7" s="2">
        <x:v>7</x:v>
      </x:c>
      <x:c r="AN7" s="2">
        <x:v>7</x:v>
      </x:c>
    </x:row>
    <x:row r="8" ht="39">
      <x:c r="A8" s="2" t="s">
        <x:v>6</x:v>
      </x:c>
      <x:c r="B8" s="2" t="s">
        <x:v>13</x:v>
      </x:c>
      <x:c r="C8" s="3">
        <x:v>6</x:v>
      </x:c>
      <x:c r="D8" s="2" t="s">
        <x:v>142</x:v>
      </x:c>
      <x:c r="E8" s="2" t="s">
        <x:v>143</x:v>
      </x:c>
      <x:c r="F8" s="2" t="s">
        <x:v>132</x:v>
      </x:c>
      <x:c r="G8" s="2"/>
      <x:c r="H8" s="2" t="s">
        <x:v>96</x:v>
      </x:c>
      <x:c r="I8" s="2" t="s">
        <x:v>145</x:v>
      </x:c>
      <x:c r="J8" s="2" t="s">
        <x:v>98</x:v>
      </x:c>
      <x:c r="K8" s="2"/>
      <x:c r="L8" s="2" t="s">
        <x:v>146</x:v>
      </x:c>
      <x:c r="M8" s="2" t="s">
        <x:v>113</x:v>
      </x:c>
      <x:c r="N8" s="2">
        <x:v>1</x:v>
      </x:c>
      <x:c r="O8" s="2" t="s">
        <x:v>101</x:v>
      </x:c>
      <x:c r="P8" s="2" t="s">
        <x:v>147</x:v>
      </x:c>
      <x:c r="Q8" s="2"/>
      <x:c r="R8" s="3">
        <x:v>2</x:v>
      </x:c>
      <x:c r="S8" s="3">
        <x:v>1</x:v>
      </x:c>
      <x:c r="T8" s="2" t="s">
        <x:v>103</x:v>
      </x:c>
      <x:c r="U8" s="2" t="s">
        <x:v>115</x:v>
      </x:c>
      <x:c r="V8" s="2" t="s">
        <x:v>136</x:v>
      </x:c>
      <x:c r="W8" s="2"/>
      <x:c r="X8" s="3"/>
      <x:c r="Y8" s="3"/>
      <x:c r="Z8" s="2"/>
      <x:c r="AA8" s="2"/>
      <x:c r="AB8" s="2"/>
      <x:c r="AC8" s="2"/>
      <x:c r="AD8" s="2"/>
      <x:c r="AE8" s="2"/>
      <x:c r="AF8" s="2"/>
      <x:c r="AG8" s="2"/>
      <x:c r="AH8" s="2"/>
      <x:c r="AI8" s="4"/>
      <x:c r="AJ8" s="2"/>
      <x:c r="AK8" s="2" t="s">
        <x:v>106</x:v>
      </x:c>
      <x:c r="AL8" s="2" t="s">
        <x:v>2857</x:v>
      </x:c>
      <x:c r="AM8" s="2">
        <x:v>8</x:v>
      </x:c>
      <x:c r="AN8" s="2">
        <x:v>8</x:v>
      </x:c>
    </x:row>
    <x:row r="9" ht="65">
      <x:c r="A9" s="2" t="s">
        <x:v>6</x:v>
      </x:c>
      <x:c r="B9" s="2" t="s">
        <x:v>13</x:v>
      </x:c>
      <x:c r="C9" s="3">
        <x:v>7</x:v>
      </x:c>
      <x:c r="D9" s="2" t="s">
        <x:v>148</x:v>
      </x:c>
      <x:c r="E9" s="2" t="s">
        <x:v>149</x:v>
      </x:c>
      <x:c r="F9" s="2" t="s">
        <x:v>150</x:v>
      </x:c>
      <x:c r="G9" s="2"/>
      <x:c r="H9" s="2" t="s">
        <x:v>96</x:v>
      </x:c>
      <x:c r="I9" s="2" t="s">
        <x:v>152</x:v>
      </x:c>
      <x:c r="J9" s="2" t="s">
        <x:v>98</x:v>
      </x:c>
      <x:c r="K9" s="2"/>
      <x:c r="L9" s="2" t="s">
        <x:v>153</x:v>
      </x:c>
      <x:c r="M9" s="2" t="s">
        <x:v>100</x:v>
      </x:c>
      <x:c r="N9" s="2">
        <x:v>1</x:v>
      </x:c>
      <x:c r="O9" s="2" t="s">
        <x:v>101</x:v>
      </x:c>
      <x:c r="P9" s="2" t="s">
        <x:v>102</x:v>
      </x:c>
      <x:c r="Q9" s="2"/>
      <x:c r="R9" s="3">
        <x:v>3</x:v>
      </x:c>
      <x:c r="S9" s="3">
        <x:v>1</x:v>
      </x:c>
      <x:c r="T9" s="2" t="s">
        <x:v>103</x:v>
      </x:c>
      <x:c r="U9" s="2" t="s">
        <x:v>122</x:v>
      </x:c>
      <x:c r="V9" s="2" t="s">
        <x:v>154</x:v>
      </x:c>
      <x:c r="W9" s="2"/>
      <x:c r="X9" s="3"/>
      <x:c r="Y9" s="3"/>
      <x:c r="Z9" s="2"/>
      <x:c r="AA9" s="2"/>
      <x:c r="AB9" s="2"/>
      <x:c r="AC9" s="2"/>
      <x:c r="AD9" s="2"/>
      <x:c r="AE9" s="2"/>
      <x:c r="AF9" s="2"/>
      <x:c r="AG9" s="2"/>
      <x:c r="AH9" s="2"/>
      <x:c r="AI9" s="4"/>
      <x:c r="AJ9" s="2"/>
      <x:c r="AK9" s="2" t="s">
        <x:v>106</x:v>
      </x:c>
      <x:c r="AL9" s="2" t="s">
        <x:v>2857</x:v>
      </x:c>
      <x:c r="AM9" s="2">
        <x:v>9</x:v>
      </x:c>
      <x:c r="AN9" s="2">
        <x:v>9</x:v>
      </x:c>
    </x:row>
    <x:row r="10" ht="65">
      <x:c r="A10" s="2" t="s">
        <x:v>6</x:v>
      </x:c>
      <x:c r="B10" s="2" t="s">
        <x:v>13</x:v>
      </x:c>
      <x:c r="C10" s="3">
        <x:v>8</x:v>
      </x:c>
      <x:c r="D10" s="2" t="s">
        <x:v>155</x:v>
      </x:c>
      <x:c r="E10" s="2" t="s">
        <x:v>156</x:v>
      </x:c>
      <x:c r="F10" s="2" t="s">
        <x:v>157</x:v>
      </x:c>
      <x:c r="G10" s="2"/>
      <x:c r="H10" s="2" t="s">
        <x:v>96</x:v>
      </x:c>
      <x:c r="I10" s="2" t="s">
        <x:v>159</x:v>
      </x:c>
      <x:c r="J10" s="2" t="s">
        <x:v>98</x:v>
      </x:c>
      <x:c r="K10" s="2"/>
      <x:c r="L10" s="2" t="s">
        <x:v>160</x:v>
      </x:c>
      <x:c r="M10" s="2" t="s">
        <x:v>100</x:v>
      </x:c>
      <x:c r="N10" s="2">
        <x:v>1</x:v>
      </x:c>
      <x:c r="O10" s="2" t="s">
        <x:v>101</x:v>
      </x:c>
      <x:c r="P10" s="2" t="s">
        <x:v>102</x:v>
      </x:c>
      <x:c r="Q10" s="2"/>
      <x:c r="R10" s="3">
        <x:v>3</x:v>
      </x:c>
      <x:c r="S10" s="3">
        <x:v>1</x:v>
      </x:c>
      <x:c r="T10" s="2" t="s">
        <x:v>103</x:v>
      </x:c>
      <x:c r="U10" s="2" t="s">
        <x:v>104</x:v>
      </x:c>
      <x:c r="V10" s="2" t="s">
        <x:v>154</x:v>
      </x:c>
      <x:c r="W10" s="2"/>
      <x:c r="X10" s="3"/>
      <x:c r="Y10" s="3"/>
      <x:c r="Z10" s="2"/>
      <x:c r="AA10" s="2"/>
      <x:c r="AB10" s="2"/>
      <x:c r="AC10" s="2"/>
      <x:c r="AD10" s="2"/>
      <x:c r="AE10" s="2"/>
      <x:c r="AF10" s="2"/>
      <x:c r="AG10" s="2"/>
      <x:c r="AH10" s="2"/>
      <x:c r="AI10" s="4"/>
      <x:c r="AJ10" s="2"/>
      <x:c r="AK10" s="2" t="s">
        <x:v>106</x:v>
      </x:c>
      <x:c r="AL10" s="2" t="s">
        <x:v>2857</x:v>
      </x:c>
      <x:c r="AM10" s="2">
        <x:v>10</x:v>
      </x:c>
      <x:c r="AN10" s="2">
        <x:v>10</x:v>
      </x:c>
    </x:row>
    <x:row r="11" ht="39">
      <x:c r="A11" s="2" t="s">
        <x:v>6</x:v>
      </x:c>
      <x:c r="B11" s="2" t="s">
        <x:v>13</x:v>
      </x:c>
      <x:c r="C11" s="3">
        <x:v>9</x:v>
      </x:c>
      <x:c r="D11" s="2" t="s">
        <x:v>161</x:v>
      </x:c>
      <x:c r="E11" s="2" t="s">
        <x:v>162</x:v>
      </x:c>
      <x:c r="F11" s="2" t="s">
        <x:v>157</x:v>
      </x:c>
      <x:c r="G11" s="2"/>
      <x:c r="H11" s="2" t="s">
        <x:v>96</x:v>
      </x:c>
      <x:c r="I11" s="2" t="s">
        <x:v>164</x:v>
      </x:c>
      <x:c r="J11" s="2" t="s">
        <x:v>98</x:v>
      </x:c>
      <x:c r="K11" s="2"/>
      <x:c r="L11" s="2" t="s">
        <x:v>165</x:v>
      </x:c>
      <x:c r="M11" s="2" t="s">
        <x:v>113</x:v>
      </x:c>
      <x:c r="N11" s="2">
        <x:v>1</x:v>
      </x:c>
      <x:c r="O11" s="2" t="s">
        <x:v>101</x:v>
      </x:c>
      <x:c r="P11" s="2" t="s">
        <x:v>147</x:v>
      </x:c>
      <x:c r="Q11" s="2"/>
      <x:c r="R11" s="3">
        <x:v>2</x:v>
      </x:c>
      <x:c r="S11" s="3">
        <x:v>1</x:v>
      </x:c>
      <x:c r="T11" s="2" t="s">
        <x:v>103</x:v>
      </x:c>
      <x:c r="U11" s="2" t="s">
        <x:v>129</x:v>
      </x:c>
      <x:c r="V11" s="2" t="s">
        <x:v>154</x:v>
      </x:c>
      <x:c r="W11" s="2"/>
      <x:c r="X11" s="3"/>
      <x:c r="Y11" s="3"/>
      <x:c r="Z11" s="2"/>
      <x:c r="AA11" s="2"/>
      <x:c r="AB11" s="2"/>
      <x:c r="AC11" s="2"/>
      <x:c r="AD11" s="2"/>
      <x:c r="AE11" s="2"/>
      <x:c r="AF11" s="2"/>
      <x:c r="AG11" s="2"/>
      <x:c r="AH11" s="2"/>
      <x:c r="AI11" s="4"/>
      <x:c r="AJ11" s="2"/>
      <x:c r="AK11" s="2" t="s">
        <x:v>106</x:v>
      </x:c>
      <x:c r="AL11" s="2" t="s">
        <x:v>2857</x:v>
      </x:c>
      <x:c r="AM11" s="2">
        <x:v>11</x:v>
      </x:c>
      <x:c r="AN11" s="2">
        <x:v>11</x:v>
      </x:c>
    </x:row>
    <x:row r="12" ht="65">
      <x:c r="A12" s="2" t="s">
        <x:v>6</x:v>
      </x:c>
      <x:c r="B12" s="2" t="s">
        <x:v>13</x:v>
      </x:c>
      <x:c r="C12" s="3">
        <x:v>10</x:v>
      </x:c>
      <x:c r="D12" s="2" t="s">
        <x:v>574</x:v>
      </x:c>
      <x:c r="E12" s="2" t="s">
        <x:v>575</x:v>
      </x:c>
      <x:c r="F12" s="2" t="s">
        <x:v>576</x:v>
      </x:c>
      <x:c r="G12" s="2"/>
      <x:c r="H12" s="2" t="s">
        <x:v>96</x:v>
      </x:c>
      <x:c r="I12" s="2" t="s">
        <x:v>578</x:v>
      </x:c>
      <x:c r="J12" s="2" t="s">
        <x:v>98</x:v>
      </x:c>
      <x:c r="K12" s="2"/>
      <x:c r="L12" s="2" t="s">
        <x:v>579</x:v>
      </x:c>
      <x:c r="M12" s="2" t="s">
        <x:v>100</x:v>
      </x:c>
      <x:c r="N12" s="2">
        <x:v>1</x:v>
      </x:c>
      <x:c r="O12" s="2" t="s">
        <x:v>101</x:v>
      </x:c>
      <x:c r="P12" s="2" t="s">
        <x:v>102</x:v>
      </x:c>
      <x:c r="Q12" s="2"/>
      <x:c r="R12" s="3">
        <x:v>4</x:v>
      </x:c>
      <x:c r="S12" s="3">
        <x:v>1</x:v>
      </x:c>
      <x:c r="T12" s="2" t="s">
        <x:v>103</x:v>
      </x:c>
      <x:c r="U12" s="2" t="s">
        <x:v>122</x:v>
      </x:c>
      <x:c r="V12" s="2" t="s">
        <x:v>105</x:v>
      </x:c>
      <x:c r="W12" s="2"/>
      <x:c r="X12" s="3"/>
      <x:c r="Y12" s="3"/>
      <x:c r="Z12" s="2"/>
      <x:c r="AA12" s="2"/>
      <x:c r="AB12" s="2"/>
      <x:c r="AC12" s="2"/>
      <x:c r="AD12" s="2"/>
      <x:c r="AE12" s="2"/>
      <x:c r="AF12" s="2"/>
      <x:c r="AG12" s="2"/>
      <x:c r="AH12" s="2"/>
      <x:c r="AI12" s="4"/>
      <x:c r="AJ12" s="2"/>
      <x:c r="AK12" s="2" t="s">
        <x:v>106</x:v>
      </x:c>
      <x:c r="AL12" s="2" t="s">
        <x:v>2857</x:v>
      </x:c>
      <x:c r="AM12" s="2">
        <x:v>12</x:v>
      </x:c>
      <x:c r="AN12" s="2">
        <x:v>12</x:v>
      </x:c>
    </x:row>
    <x:row r="13" ht="65">
      <x:c r="A13" s="2" t="s">
        <x:v>6</x:v>
      </x:c>
      <x:c r="B13" s="2" t="s">
        <x:v>13</x:v>
      </x:c>
      <x:c r="C13" s="3">
        <x:v>11</x:v>
      </x:c>
      <x:c r="D13" s="2" t="s">
        <x:v>580</x:v>
      </x:c>
      <x:c r="E13" s="2" t="s">
        <x:v>581</x:v>
      </x:c>
      <x:c r="F13" s="2" t="s">
        <x:v>94</x:v>
      </x:c>
      <x:c r="G13" s="2"/>
      <x:c r="H13" s="2" t="s">
        <x:v>96</x:v>
      </x:c>
      <x:c r="I13" s="2" t="s">
        <x:v>582</x:v>
      </x:c>
      <x:c r="J13" s="2" t="s">
        <x:v>98</x:v>
      </x:c>
      <x:c r="K13" s="2"/>
      <x:c r="L13" s="2" t="s">
        <x:v>583</x:v>
      </x:c>
      <x:c r="M13" s="2" t="s">
        <x:v>100</x:v>
      </x:c>
      <x:c r="N13" s="2">
        <x:v>1</x:v>
      </x:c>
      <x:c r="O13" s="2" t="s">
        <x:v>101</x:v>
      </x:c>
      <x:c r="P13" s="2" t="s">
        <x:v>102</x:v>
      </x:c>
      <x:c r="Q13" s="2"/>
      <x:c r="R13" s="3">
        <x:v>3</x:v>
      </x:c>
      <x:c r="S13" s="3">
        <x:v>1</x:v>
      </x:c>
      <x:c r="T13" s="2" t="s">
        <x:v>103</x:v>
      </x:c>
      <x:c r="U13" s="2" t="s">
        <x:v>122</x:v>
      </x:c>
      <x:c r="V13" s="2" t="s">
        <x:v>105</x:v>
      </x:c>
      <x:c r="W13" s="2"/>
      <x:c r="X13" s="3"/>
      <x:c r="Y13" s="3"/>
      <x:c r="Z13" s="2"/>
      <x:c r="AA13" s="2"/>
      <x:c r="AB13" s="2"/>
      <x:c r="AC13" s="2"/>
      <x:c r="AD13" s="2"/>
      <x:c r="AE13" s="2"/>
      <x:c r="AF13" s="2"/>
      <x:c r="AG13" s="2"/>
      <x:c r="AH13" s="2"/>
      <x:c r="AI13" s="4"/>
      <x:c r="AJ13" s="2"/>
      <x:c r="AK13" s="2" t="s">
        <x:v>106</x:v>
      </x:c>
      <x:c r="AL13" s="2" t="s">
        <x:v>2857</x:v>
      </x:c>
      <x:c r="AM13" s="2">
        <x:v>13</x:v>
      </x:c>
      <x:c r="AN13" s="2">
        <x:v>13</x:v>
      </x:c>
    </x:row>
    <x:row r="14" ht="65">
      <x:c r="A14" s="2" t="s">
        <x:v>6</x:v>
      </x:c>
      <x:c r="B14" s="2" t="s">
        <x:v>13</x:v>
      </x:c>
      <x:c r="C14" s="3">
        <x:v>12</x:v>
      </x:c>
      <x:c r="D14" s="2" t="s">
        <x:v>92</x:v>
      </x:c>
      <x:c r="E14" s="2" t="s">
        <x:v>584</x:v>
      </x:c>
      <x:c r="F14" s="2" t="s">
        <x:v>576</x:v>
      </x:c>
      <x:c r="G14" s="2"/>
      <x:c r="H14" s="2" t="s">
        <x:v>96</x:v>
      </x:c>
      <x:c r="I14" s="2" t="s">
        <x:v>585</x:v>
      </x:c>
      <x:c r="J14" s="2" t="s">
        <x:v>98</x:v>
      </x:c>
      <x:c r="K14" s="2"/>
      <x:c r="L14" s="2" t="s">
        <x:v>586</x:v>
      </x:c>
      <x:c r="M14" s="2" t="s">
        <x:v>100</x:v>
      </x:c>
      <x:c r="N14" s="2">
        <x:v>1</x:v>
      </x:c>
      <x:c r="O14" s="2" t="s">
        <x:v>101</x:v>
      </x:c>
      <x:c r="P14" s="2" t="s">
        <x:v>102</x:v>
      </x:c>
      <x:c r="Q14" s="2"/>
      <x:c r="R14" s="3">
        <x:v>3</x:v>
      </x:c>
      <x:c r="S14" s="3">
        <x:v>1</x:v>
      </x:c>
      <x:c r="T14" s="2" t="s">
        <x:v>103</x:v>
      </x:c>
      <x:c r="U14" s="2" t="s">
        <x:v>104</x:v>
      </x:c>
      <x:c r="V14" s="2" t="s">
        <x:v>105</x:v>
      </x:c>
      <x:c r="W14" s="2"/>
      <x:c r="X14" s="3"/>
      <x:c r="Y14" s="3"/>
      <x:c r="Z14" s="2"/>
      <x:c r="AA14" s="2"/>
      <x:c r="AB14" s="2"/>
      <x:c r="AC14" s="2"/>
      <x:c r="AD14" s="2"/>
      <x:c r="AE14" s="2"/>
      <x:c r="AF14" s="2"/>
      <x:c r="AG14" s="2"/>
      <x:c r="AH14" s="2"/>
      <x:c r="AI14" s="4"/>
      <x:c r="AJ14" s="2"/>
      <x:c r="AK14" s="2" t="s">
        <x:v>106</x:v>
      </x:c>
      <x:c r="AL14" s="2" t="s">
        <x:v>2857</x:v>
      </x:c>
      <x:c r="AM14" s="2">
        <x:v>14</x:v>
      </x:c>
      <x:c r="AN14" s="2">
        <x:v>14</x:v>
      </x:c>
    </x:row>
    <x:row r="15" ht="39">
      <x:c r="A15" s="2" t="s">
        <x:v>6</x:v>
      </x:c>
      <x:c r="B15" s="2" t="s">
        <x:v>13</x:v>
      </x:c>
      <x:c r="C15" s="3">
        <x:v>13</x:v>
      </x:c>
      <x:c r="D15" s="2" t="s">
        <x:v>587</x:v>
      </x:c>
      <x:c r="E15" s="2" t="s">
        <x:v>588</x:v>
      </x:c>
      <x:c r="F15" s="2" t="s">
        <x:v>589</x:v>
      </x:c>
      <x:c r="G15" s="2"/>
      <x:c r="H15" s="2" t="s">
        <x:v>96</x:v>
      </x:c>
      <x:c r="I15" s="2" t="s">
        <x:v>590</x:v>
      </x:c>
      <x:c r="J15" s="2" t="s">
        <x:v>98</x:v>
      </x:c>
      <x:c r="K15" s="2"/>
      <x:c r="L15" s="2" t="s">
        <x:v>591</x:v>
      </x:c>
      <x:c r="M15" s="2" t="s">
        <x:v>113</x:v>
      </x:c>
      <x:c r="N15" s="2">
        <x:v>1</x:v>
      </x:c>
      <x:c r="O15" s="2" t="s">
        <x:v>101</x:v>
      </x:c>
      <x:c r="P15" s="2" t="s">
        <x:v>114</x:v>
      </x:c>
      <x:c r="Q15" s="2"/>
      <x:c r="R15" s="3">
        <x:v>2</x:v>
      </x:c>
      <x:c r="S15" s="3">
        <x:v>1</x:v>
      </x:c>
      <x:c r="T15" s="2" t="s">
        <x:v>103</x:v>
      </x:c>
      <x:c r="U15" s="2" t="s">
        <x:v>129</x:v>
      </x:c>
      <x:c r="V15" s="2" t="s">
        <x:v>123</x:v>
      </x:c>
      <x:c r="W15" s="2"/>
      <x:c r="X15" s="3"/>
      <x:c r="Y15" s="3"/>
      <x:c r="Z15" s="2"/>
      <x:c r="AA15" s="2"/>
      <x:c r="AB15" s="2"/>
      <x:c r="AC15" s="2"/>
      <x:c r="AD15" s="2"/>
      <x:c r="AE15" s="2"/>
      <x:c r="AF15" s="2"/>
      <x:c r="AG15" s="2"/>
      <x:c r="AH15" s="2"/>
      <x:c r="AI15" s="4"/>
      <x:c r="AJ15" s="2"/>
      <x:c r="AK15" s="2" t="s">
        <x:v>106</x:v>
      </x:c>
      <x:c r="AL15" s="2" t="s">
        <x:v>2857</x:v>
      </x:c>
      <x:c r="AM15" s="2">
        <x:v>15</x:v>
      </x:c>
      <x:c r="AN15" s="2">
        <x:v>15</x:v>
      </x:c>
    </x:row>
    <x:row r="16" ht="39">
      <x:c r="A16" s="2" t="s">
        <x:v>6</x:v>
      </x:c>
      <x:c r="B16" s="2" t="s">
        <x:v>13</x:v>
      </x:c>
      <x:c r="C16" s="3">
        <x:v>14</x:v>
      </x:c>
      <x:c r="D16" s="2" t="s">
        <x:v>592</x:v>
      </x:c>
      <x:c r="E16" s="2" t="s">
        <x:v>593</x:v>
      </x:c>
      <x:c r="F16" s="2" t="s">
        <x:v>589</x:v>
      </x:c>
      <x:c r="G16" s="2"/>
      <x:c r="H16" s="2" t="s">
        <x:v>96</x:v>
      </x:c>
      <x:c r="I16" s="2" t="s">
        <x:v>594</x:v>
      </x:c>
      <x:c r="J16" s="2" t="s">
        <x:v>98</x:v>
      </x:c>
      <x:c r="K16" s="2"/>
      <x:c r="L16" s="2" t="s">
        <x:v>595</x:v>
      </x:c>
      <x:c r="M16" s="2" t="s">
        <x:v>113</x:v>
      </x:c>
      <x:c r="N16" s="2">
        <x:v>1</x:v>
      </x:c>
      <x:c r="O16" s="2" t="s">
        <x:v>101</x:v>
      </x:c>
      <x:c r="P16" s="2" t="s">
        <x:v>114</x:v>
      </x:c>
      <x:c r="Q16" s="2"/>
      <x:c r="R16" s="3">
        <x:v>4</x:v>
      </x:c>
      <x:c r="S16" s="3">
        <x:v>1</x:v>
      </x:c>
      <x:c r="T16" s="2" t="s">
        <x:v>103</x:v>
      </x:c>
      <x:c r="U16" s="2" t="s">
        <x:v>115</x:v>
      </x:c>
      <x:c r="V16" s="2" t="s">
        <x:v>123</x:v>
      </x:c>
      <x:c r="W16" s="2"/>
      <x:c r="X16" s="3"/>
      <x:c r="Y16" s="3"/>
      <x:c r="Z16" s="2"/>
      <x:c r="AA16" s="2"/>
      <x:c r="AB16" s="2"/>
      <x:c r="AC16" s="2"/>
      <x:c r="AD16" s="2"/>
      <x:c r="AE16" s="2"/>
      <x:c r="AF16" s="2"/>
      <x:c r="AG16" s="2"/>
      <x:c r="AH16" s="2"/>
      <x:c r="AI16" s="4"/>
      <x:c r="AJ16" s="2"/>
      <x:c r="AK16" s="2" t="s">
        <x:v>106</x:v>
      </x:c>
      <x:c r="AL16" s="2" t="s">
        <x:v>2857</x:v>
      </x:c>
      <x:c r="AM16" s="2">
        <x:v>16</x:v>
      </x:c>
      <x:c r="AN16" s="2">
        <x:v>16</x:v>
      </x:c>
    </x:row>
    <x:row r="17" ht="39">
      <x:c r="A17" s="2" t="s">
        <x:v>91</x:v>
      </x:c>
      <x:c r="B17" s="2" t="s">
        <x:v>13</x:v>
      </x:c>
      <x:c r="C17" s="3">
        <x:v>15</x:v>
      </x:c>
      <x:c r="D17" s="2" t="s">
        <x:v>596</x:v>
      </x:c>
      <x:c r="E17" s="2" t="s">
        <x:v>597</x:v>
      </x:c>
      <x:c r="F17" s="2" t="s">
        <x:v>118</x:v>
      </x:c>
      <x:c r="G17" s="2" t="s">
        <x:v>2858</x:v>
      </x:c>
      <x:c r="H17" s="2" t="s">
        <x:v>96</x:v>
      </x:c>
      <x:c r="I17" s="2" t="s">
        <x:v>598</x:v>
      </x:c>
      <x:c r="J17" s="2" t="s">
        <x:v>98</x:v>
      </x:c>
      <x:c r="K17" s="2"/>
      <x:c r="L17" s="2" t="s">
        <x:v>599</x:v>
      </x:c>
      <x:c r="M17" s="2" t="s">
        <x:v>113</x:v>
      </x:c>
      <x:c r="N17" s="2">
        <x:v>1</x:v>
      </x:c>
      <x:c r="O17" s="2" t="s">
        <x:v>101</x:v>
      </x:c>
      <x:c r="P17" s="2" t="s">
        <x:v>147</x:v>
      </x:c>
      <x:c r="Q17" s="2"/>
      <x:c r="R17" s="3">
        <x:v>2</x:v>
      </x:c>
      <x:c r="S17" s="3">
        <x:v>1</x:v>
      </x:c>
      <x:c r="T17" s="2" t="s">
        <x:v>103</x:v>
      </x:c>
      <x:c r="U17" s="2" t="s">
        <x:v>115</x:v>
      </x:c>
      <x:c r="V17" s="2" t="s">
        <x:v>123</x:v>
      </x:c>
      <x:c r="W17" s="2"/>
      <x:c r="X17" s="3"/>
      <x:c r="Y17" s="3"/>
      <x:c r="Z17" s="2"/>
      <x:c r="AA17" s="2"/>
      <x:c r="AB17" s="2"/>
      <x:c r="AC17" s="2"/>
      <x:c r="AD17" s="2"/>
      <x:c r="AE17" s="2"/>
      <x:c r="AF17" s="2"/>
      <x:c r="AG17" s="2"/>
      <x:c r="AH17" s="2"/>
      <x:c r="AI17" s="4"/>
      <x:c r="AJ17" s="2"/>
      <x:c r="AK17" s="2" t="s">
        <x:v>106</x:v>
      </x:c>
      <x:c r="AL17" s="2" t="s">
        <x:v>2857</x:v>
      </x:c>
      <x:c r="AM17" s="2">
        <x:v>17</x:v>
      </x:c>
      <x:c r="AN17" s="2">
        <x:v>17</x:v>
      </x:c>
    </x:row>
    <x:row r="18" ht="39">
      <x:c r="A18" s="2" t="s">
        <x:v>6</x:v>
      </x:c>
      <x:c r="B18" s="2" t="s">
        <x:v>13</x:v>
      </x:c>
      <x:c r="C18" s="3">
        <x:v>16</x:v>
      </x:c>
      <x:c r="D18" s="2" t="s">
        <x:v>600</x:v>
      </x:c>
      <x:c r="E18" s="2" t="s">
        <x:v>601</x:v>
      </x:c>
      <x:c r="F18" s="2" t="s">
        <x:v>139</x:v>
      </x:c>
      <x:c r="G18" s="2"/>
      <x:c r="H18" s="2" t="s">
        <x:v>96</x:v>
      </x:c>
      <x:c r="I18" s="2" t="s">
        <x:v>603</x:v>
      </x:c>
      <x:c r="J18" s="2" t="s">
        <x:v>98</x:v>
      </x:c>
      <x:c r="K18" s="2"/>
      <x:c r="L18" s="2" t="s">
        <x:v>604</x:v>
      </x:c>
      <x:c r="M18" s="2" t="s">
        <x:v>113</x:v>
      </x:c>
      <x:c r="N18" s="2">
        <x:v>1</x:v>
      </x:c>
      <x:c r="O18" s="2" t="s">
        <x:v>101</x:v>
      </x:c>
      <x:c r="P18" s="2" t="s">
        <x:v>147</x:v>
      </x:c>
      <x:c r="Q18" s="2"/>
      <x:c r="R18" s="3">
        <x:v>4</x:v>
      </x:c>
      <x:c r="S18" s="3">
        <x:v>1</x:v>
      </x:c>
      <x:c r="T18" s="2" t="s">
        <x:v>103</x:v>
      </x:c>
      <x:c r="U18" s="2" t="s">
        <x:v>129</x:v>
      </x:c>
      <x:c r="V18" s="2" t="s">
        <x:v>136</x:v>
      </x:c>
      <x:c r="W18" s="2"/>
      <x:c r="X18" s="3"/>
      <x:c r="Y18" s="3"/>
      <x:c r="Z18" s="2"/>
      <x:c r="AA18" s="2"/>
      <x:c r="AB18" s="2"/>
      <x:c r="AC18" s="2"/>
      <x:c r="AD18" s="2"/>
      <x:c r="AE18" s="2"/>
      <x:c r="AF18" s="2"/>
      <x:c r="AG18" s="2"/>
      <x:c r="AH18" s="2"/>
      <x:c r="AI18" s="4"/>
      <x:c r="AJ18" s="2"/>
      <x:c r="AK18" s="2" t="s">
        <x:v>106</x:v>
      </x:c>
      <x:c r="AL18" s="2" t="s">
        <x:v>2857</x:v>
      </x:c>
      <x:c r="AM18" s="2">
        <x:v>18</x:v>
      </x:c>
      <x:c r="AN18" s="2">
        <x:v>18</x:v>
      </x:c>
    </x:row>
    <x:row r="19" ht="39">
      <x:c r="A19" s="2" t="s">
        <x:v>91</x:v>
      </x:c>
      <x:c r="B19" s="2" t="s">
        <x:v>13</x:v>
      </x:c>
      <x:c r="C19" s="3">
        <x:v>17</x:v>
      </x:c>
      <x:c r="D19" s="2" t="s">
        <x:v>605</x:v>
      </x:c>
      <x:c r="E19" s="2" t="s">
        <x:v>606</x:v>
      </x:c>
      <x:c r="F19" s="2" t="s">
        <x:v>139</x:v>
      </x:c>
      <x:c r="G19" s="2" t="s">
        <x:v>2859</x:v>
      </x:c>
      <x:c r="H19" s="2" t="s">
        <x:v>96</x:v>
      </x:c>
      <x:c r="I19" s="2" t="s">
        <x:v>607</x:v>
      </x:c>
      <x:c r="J19" s="2" t="s">
        <x:v>98</x:v>
      </x:c>
      <x:c r="K19" s="2"/>
      <x:c r="L19" s="2" t="s">
        <x:v>608</x:v>
      </x:c>
      <x:c r="M19" s="2" t="s">
        <x:v>113</x:v>
      </x:c>
      <x:c r="N19" s="2">
        <x:v>1</x:v>
      </x:c>
      <x:c r="O19" s="2" t="s">
        <x:v>101</x:v>
      </x:c>
      <x:c r="P19" s="2" t="s">
        <x:v>147</x:v>
      </x:c>
      <x:c r="Q19" s="2"/>
      <x:c r="R19" s="3">
        <x:v>3</x:v>
      </x:c>
      <x:c r="S19" s="3">
        <x:v>1</x:v>
      </x:c>
      <x:c r="T19" s="2" t="s">
        <x:v>103</x:v>
      </x:c>
      <x:c r="U19" s="2" t="s">
        <x:v>115</x:v>
      </x:c>
      <x:c r="V19" s="2" t="s">
        <x:v>136</x:v>
      </x:c>
      <x:c r="W19" s="2"/>
      <x:c r="X19" s="3"/>
      <x:c r="Y19" s="3"/>
      <x:c r="Z19" s="2"/>
      <x:c r="AA19" s="2"/>
      <x:c r="AB19" s="2"/>
      <x:c r="AC19" s="2"/>
      <x:c r="AD19" s="2"/>
      <x:c r="AE19" s="2"/>
      <x:c r="AF19" s="2"/>
      <x:c r="AG19" s="2"/>
      <x:c r="AH19" s="2"/>
      <x:c r="AI19" s="4"/>
      <x:c r="AJ19" s="2"/>
      <x:c r="AK19" s="2" t="s">
        <x:v>106</x:v>
      </x:c>
      <x:c r="AL19" s="2" t="s">
        <x:v>2857</x:v>
      </x:c>
      <x:c r="AM19" s="2">
        <x:v>19</x:v>
      </x:c>
      <x:c r="AN19" s="2">
        <x:v>19</x:v>
      </x:c>
    </x:row>
    <x:row r="20" ht="65">
      <x:c r="A20" s="2" t="s">
        <x:v>6</x:v>
      </x:c>
      <x:c r="B20" s="2" t="s">
        <x:v>13</x:v>
      </x:c>
      <x:c r="C20" s="3">
        <x:v>18</x:v>
      </x:c>
      <x:c r="D20" s="2" t="s">
        <x:v>609</x:v>
      </x:c>
      <x:c r="E20" s="2" t="s">
        <x:v>610</x:v>
      </x:c>
      <x:c r="F20" s="2" t="s">
        <x:v>150</x:v>
      </x:c>
      <x:c r="G20" s="2"/>
      <x:c r="H20" s="2" t="s">
        <x:v>96</x:v>
      </x:c>
      <x:c r="I20" s="2" t="s">
        <x:v>611</x:v>
      </x:c>
      <x:c r="J20" s="2" t="s">
        <x:v>98</x:v>
      </x:c>
      <x:c r="K20" s="2"/>
      <x:c r="L20" s="2" t="s">
        <x:v>612</x:v>
      </x:c>
      <x:c r="M20" s="2" t="s">
        <x:v>100</x:v>
      </x:c>
      <x:c r="N20" s="2">
        <x:v>1</x:v>
      </x:c>
      <x:c r="O20" s="2" t="s">
        <x:v>101</x:v>
      </x:c>
      <x:c r="P20" s="2" t="s">
        <x:v>102</x:v>
      </x:c>
      <x:c r="Q20" s="2"/>
      <x:c r="R20" s="3">
        <x:v>4</x:v>
      </x:c>
      <x:c r="S20" s="3">
        <x:v>1</x:v>
      </x:c>
      <x:c r="T20" s="2" t="s">
        <x:v>103</x:v>
      </x:c>
      <x:c r="U20" s="2" t="s">
        <x:v>122</x:v>
      </x:c>
      <x:c r="V20" s="2" t="s">
        <x:v>154</x:v>
      </x:c>
      <x:c r="W20" s="2"/>
      <x:c r="X20" s="3"/>
      <x:c r="Y20" s="3"/>
      <x:c r="Z20" s="2"/>
      <x:c r="AA20" s="2"/>
      <x:c r="AB20" s="2"/>
      <x:c r="AC20" s="2"/>
      <x:c r="AD20" s="2"/>
      <x:c r="AE20" s="2"/>
      <x:c r="AF20" s="2"/>
      <x:c r="AG20" s="2"/>
      <x:c r="AH20" s="2"/>
      <x:c r="AI20" s="4"/>
      <x:c r="AJ20" s="2"/>
      <x:c r="AK20" s="2" t="s">
        <x:v>106</x:v>
      </x:c>
      <x:c r="AL20" s="2" t="s">
        <x:v>2857</x:v>
      </x:c>
      <x:c r="AM20" s="2">
        <x:v>20</x:v>
      </x:c>
      <x:c r="AN20" s="2">
        <x:v>20</x:v>
      </x:c>
    </x:row>
    <x:row r="21" ht="65">
      <x:c r="A21" s="2" t="s">
        <x:v>6</x:v>
      </x:c>
      <x:c r="B21" s="2" t="s">
        <x:v>13</x:v>
      </x:c>
      <x:c r="C21" s="3">
        <x:v>19</x:v>
      </x:c>
      <x:c r="D21" s="2" t="s">
        <x:v>155</x:v>
      </x:c>
      <x:c r="E21" s="2" t="s">
        <x:v>613</x:v>
      </x:c>
      <x:c r="F21" s="2" t="s">
        <x:v>157</x:v>
      </x:c>
      <x:c r="G21" s="2"/>
      <x:c r="H21" s="2" t="s">
        <x:v>96</x:v>
      </x:c>
      <x:c r="I21" s="2" t="s">
        <x:v>614</x:v>
      </x:c>
      <x:c r="J21" s="2" t="s">
        <x:v>98</x:v>
      </x:c>
      <x:c r="K21" s="2"/>
      <x:c r="L21" s="2" t="s">
        <x:v>615</x:v>
      </x:c>
      <x:c r="M21" s="2" t="s">
        <x:v>100</x:v>
      </x:c>
      <x:c r="N21" s="2">
        <x:v>1</x:v>
      </x:c>
      <x:c r="O21" s="2" t="s">
        <x:v>101</x:v>
      </x:c>
      <x:c r="P21" s="2" t="s">
        <x:v>102</x:v>
      </x:c>
      <x:c r="Q21" s="2"/>
      <x:c r="R21" s="3">
        <x:v>4</x:v>
      </x:c>
      <x:c r="S21" s="3">
        <x:v>1</x:v>
      </x:c>
      <x:c r="T21" s="2" t="s">
        <x:v>103</x:v>
      </x:c>
      <x:c r="U21" s="2" t="s">
        <x:v>104</x:v>
      </x:c>
      <x:c r="V21" s="2" t="s">
        <x:v>154</x:v>
      </x:c>
      <x:c r="W21" s="2"/>
      <x:c r="X21" s="3"/>
      <x:c r="Y21" s="3"/>
      <x:c r="Z21" s="2"/>
      <x:c r="AA21" s="2"/>
      <x:c r="AB21" s="2"/>
      <x:c r="AC21" s="2"/>
      <x:c r="AD21" s="2"/>
      <x:c r="AE21" s="2"/>
      <x:c r="AF21" s="2"/>
      <x:c r="AG21" s="2"/>
      <x:c r="AH21" s="2"/>
      <x:c r="AI21" s="4"/>
      <x:c r="AJ21" s="2"/>
      <x:c r="AK21" s="2" t="s">
        <x:v>106</x:v>
      </x:c>
      <x:c r="AL21" s="2" t="s">
        <x:v>2857</x:v>
      </x:c>
      <x:c r="AM21" s="2">
        <x:v>21</x:v>
      </x:c>
      <x:c r="AN21" s="2">
        <x:v>21</x:v>
      </x:c>
    </x:row>
    <x:row r="22" ht="39">
      <x:c r="A22" s="2" t="s">
        <x:v>6</x:v>
      </x:c>
      <x:c r="B22" s="2" t="s">
        <x:v>13</x:v>
      </x:c>
      <x:c r="C22" s="3">
        <x:v>20</x:v>
      </x:c>
      <x:c r="D22" s="2" t="s">
        <x:v>616</x:v>
      </x:c>
      <x:c r="E22" s="2" t="s">
        <x:v>617</x:v>
      </x:c>
      <x:c r="F22" s="2" t="s">
        <x:v>94</x:v>
      </x:c>
      <x:c r="G22" s="2"/>
      <x:c r="H22" s="2" t="s">
        <x:v>618</x:v>
      </x:c>
      <x:c r="I22" s="2" t="s">
        <x:v>619</x:v>
      </x:c>
      <x:c r="J22" s="2" t="s">
        <x:v>620</x:v>
      </x:c>
      <x:c r="K22" s="2"/>
      <x:c r="L22" s="2" t="s">
        <x:v>621</x:v>
      </x:c>
      <x:c r="M22" s="2" t="s">
        <x:v>622</x:v>
      </x:c>
      <x:c r="N22" s="2">
        <x:v>2</x:v>
      </x:c>
      <x:c r="O22" s="2" t="s">
        <x:v>623</x:v>
      </x:c>
      <x:c r="P22" s="2" t="s">
        <x:v>624</x:v>
      </x:c>
      <x:c r="Q22" s="2"/>
      <x:c r="R22" s="3">
        <x:v>2</x:v>
      </x:c>
      <x:c r="S22" s="3">
        <x:v>1</x:v>
      </x:c>
      <x:c r="T22" s="2" t="s">
        <x:v>103</x:v>
      </x:c>
      <x:c r="U22" s="2" t="s">
        <x:v>129</x:v>
      </x:c>
      <x:c r="V22" s="2" t="s">
        <x:v>105</x:v>
      </x:c>
      <x:c r="W22" s="2"/>
      <x:c r="X22" s="3"/>
      <x:c r="Y22" s="3"/>
      <x:c r="Z22" s="2"/>
      <x:c r="AA22" s="2"/>
      <x:c r="AB22" s="2"/>
      <x:c r="AC22" s="2"/>
      <x:c r="AD22" s="2"/>
      <x:c r="AE22" s="2"/>
      <x:c r="AF22" s="2"/>
      <x:c r="AG22" s="2"/>
      <x:c r="AH22" s="2"/>
      <x:c r="AI22" s="4"/>
      <x:c r="AJ22" s="2"/>
      <x:c r="AK22" s="2" t="s">
        <x:v>106</x:v>
      </x:c>
      <x:c r="AL22" s="2" t="s">
        <x:v>2857</x:v>
      </x:c>
      <x:c r="AM22" s="2">
        <x:v>22</x:v>
      </x:c>
      <x:c r="AN22" s="2">
        <x:v>22</x:v>
      </x:c>
    </x:row>
    <x:row r="23" ht="52">
      <x:c r="A23" s="2" t="s">
        <x:v>6</x:v>
      </x:c>
      <x:c r="B23" s="2" t="s">
        <x:v>13</x:v>
      </x:c>
      <x:c r="C23" s="3">
        <x:v>21</x:v>
      </x:c>
      <x:c r="D23" s="2" t="s">
        <x:v>625</x:v>
      </x:c>
      <x:c r="E23" s="2" t="s">
        <x:v>626</x:v>
      </x:c>
      <x:c r="F23" s="2" t="s">
        <x:v>94</x:v>
      </x:c>
      <x:c r="G23" s="2"/>
      <x:c r="H23" s="2" t="s">
        <x:v>627</x:v>
      </x:c>
      <x:c r="I23" s="2" t="s">
        <x:v>619</x:v>
      </x:c>
      <x:c r="J23" s="2" t="s">
        <x:v>628</x:v>
      </x:c>
      <x:c r="K23" s="2" t="n">
        <x:v>20</x:v>
      </x:c>
      <x:c r="L23" s="2">
        <x:v>35</x:v>
      </x:c>
      <x:c r="M23" s="2" t="s">
        <x:v>629</x:v>
      </x:c>
      <x:c r="N23" s="2">
        <x:v>2</x:v>
      </x:c>
      <x:c r="O23" s="2" t="s">
        <x:v>630</x:v>
      </x:c>
      <x:c r="P23" s="2" t="s">
        <x:v>631</x:v>
      </x:c>
      <x:c r="Q23" s="2"/>
      <x:c r="R23" s="3">
        <x:v>2</x:v>
      </x:c>
      <x:c r="S23" s="3">
        <x:v>1</x:v>
      </x:c>
      <x:c r="T23" s="2" t="s">
        <x:v>103</x:v>
      </x:c>
      <x:c r="U23" s="2" t="s">
        <x:v>632</x:v>
      </x:c>
      <x:c r="V23" s="2" t="s">
        <x:v>105</x:v>
      </x:c>
      <x:c r="W23" s="2"/>
      <x:c r="X23" s="3"/>
      <x:c r="Y23" s="3"/>
      <x:c r="Z23" s="2"/>
      <x:c r="AA23" s="2"/>
      <x:c r="AB23" s="2"/>
      <x:c r="AC23" s="2"/>
      <x:c r="AD23" s="2"/>
      <x:c r="AE23" s="2"/>
      <x:c r="AF23" s="2"/>
      <x:c r="AG23" s="2"/>
      <x:c r="AH23" s="2"/>
      <x:c r="AI23" s="4"/>
      <x:c r="AJ23" s="2"/>
      <x:c r="AK23" s="2" t="s">
        <x:v>106</x:v>
      </x:c>
      <x:c r="AL23" s="2" t="s">
        <x:v>2857</x:v>
      </x:c>
      <x:c r="AM23" s="2">
        <x:v>23</x:v>
      </x:c>
      <x:c r="AN23" s="2">
        <x:v>23</x:v>
      </x:c>
    </x:row>
    <x:row r="24" ht="52">
      <x:c r="A24" s="2" t="s">
        <x:v>6</x:v>
      </x:c>
      <x:c r="B24" s="2" t="s">
        <x:v>13</x:v>
      </x:c>
      <x:c r="C24" s="3">
        <x:v>22</x:v>
      </x:c>
      <x:c r="D24" s="2" t="s">
        <x:v>633</x:v>
      </x:c>
      <x:c r="E24" s="2" t="s">
        <x:v>617</x:v>
      </x:c>
      <x:c r="F24" s="2" t="s">
        <x:v>94</x:v>
      </x:c>
      <x:c r="G24" s="2"/>
      <x:c r="H24" s="2" t="s">
        <x:v>634</x:v>
      </x:c>
      <x:c r="I24" s="2" t="s">
        <x:v>619</x:v>
      </x:c>
      <x:c r="J24" s="2" t="s">
        <x:v>635</x:v>
      </x:c>
      <x:c r="K24" s="2" t="n">
        <x:v>20</x:v>
      </x:c>
      <x:c r="L24" s="2" t="s">
        <x:v>621</x:v>
      </x:c>
      <x:c r="M24" s="2" t="s">
        <x:v>636</x:v>
      </x:c>
      <x:c r="N24" s="2">
        <x:v>2</x:v>
      </x:c>
      <x:c r="O24" s="2" t="s">
        <x:v>637</x:v>
      </x:c>
      <x:c r="P24" s="2" t="s">
        <x:v>638</x:v>
      </x:c>
      <x:c r="Q24" s="2"/>
      <x:c r="R24" s="3">
        <x:v>2</x:v>
      </x:c>
      <x:c r="S24" s="3">
        <x:v>1</x:v>
      </x:c>
      <x:c r="T24" s="2" t="s">
        <x:v>103</x:v>
      </x:c>
      <x:c r="U24" s="2" t="s">
        <x:v>129</x:v>
      </x:c>
      <x:c r="V24" s="2" t="s">
        <x:v>105</x:v>
      </x:c>
      <x:c r="W24" s="2"/>
      <x:c r="X24" s="3"/>
      <x:c r="Y24" s="3"/>
      <x:c r="Z24" s="2"/>
      <x:c r="AA24" s="2"/>
      <x:c r="AB24" s="2"/>
      <x:c r="AC24" s="2"/>
      <x:c r="AD24" s="2"/>
      <x:c r="AE24" s="2"/>
      <x:c r="AF24" s="2"/>
      <x:c r="AG24" s="2"/>
      <x:c r="AH24" s="2"/>
      <x:c r="AI24" s="4"/>
      <x:c r="AJ24" s="2"/>
      <x:c r="AK24" s="2" t="s">
        <x:v>106</x:v>
      </x:c>
      <x:c r="AL24" s="2" t="s">
        <x:v>2857</x:v>
      </x:c>
      <x:c r="AM24" s="2">
        <x:v>24</x:v>
      </x:c>
      <x:c r="AN24" s="2">
        <x:v>24</x:v>
      </x:c>
    </x:row>
    <x:row r="25" ht="39">
      <x:c r="A25" s="2" t="s">
        <x:v>6</x:v>
      </x:c>
      <x:c r="B25" s="2" t="s">
        <x:v>13</x:v>
      </x:c>
      <x:c r="C25" s="3">
        <x:v>23</x:v>
      </x:c>
      <x:c r="D25" s="2" t="s">
        <x:v>639</x:v>
      </x:c>
      <x:c r="E25" s="2" t="s">
        <x:v>626</x:v>
      </x:c>
      <x:c r="F25" s="2" t="s">
        <x:v>94</x:v>
      </x:c>
      <x:c r="G25" s="2"/>
      <x:c r="H25" s="2" t="s">
        <x:v>634</x:v>
      </x:c>
      <x:c r="I25" s="2" t="s">
        <x:v>619</x:v>
      </x:c>
      <x:c r="J25" s="2" t="s">
        <x:v>640</x:v>
      </x:c>
      <x:c r="K25" s="2" t="n">
        <x:v>20</x:v>
      </x:c>
      <x:c r="L25" s="2">
        <x:v>35</x:v>
      </x:c>
      <x:c r="M25" s="2" t="s">
        <x:v>641</x:v>
      </x:c>
      <x:c r="N25" s="2">
        <x:v>2</x:v>
      </x:c>
      <x:c r="O25" s="2" t="s">
        <x:v>642</x:v>
      </x:c>
      <x:c r="P25" s="2" t="s">
        <x:v>643</x:v>
      </x:c>
      <x:c r="Q25" s="2"/>
      <x:c r="R25" s="3">
        <x:v>2</x:v>
      </x:c>
      <x:c r="S25" s="3">
        <x:v>1</x:v>
      </x:c>
      <x:c r="T25" s="2" t="s">
        <x:v>103</x:v>
      </x:c>
      <x:c r="U25" s="2" t="s">
        <x:v>632</x:v>
      </x:c>
      <x:c r="V25" s="2" t="s">
        <x:v>105</x:v>
      </x:c>
      <x:c r="W25" s="2"/>
      <x:c r="X25" s="3"/>
      <x:c r="Y25" s="3"/>
      <x:c r="Z25" s="2"/>
      <x:c r="AA25" s="2"/>
      <x:c r="AB25" s="2"/>
      <x:c r="AC25" s="2"/>
      <x:c r="AD25" s="2"/>
      <x:c r="AE25" s="2"/>
      <x:c r="AF25" s="2"/>
      <x:c r="AG25" s="2"/>
      <x:c r="AH25" s="2"/>
      <x:c r="AI25" s="4"/>
      <x:c r="AJ25" s="2"/>
      <x:c r="AK25" s="2" t="s">
        <x:v>106</x:v>
      </x:c>
      <x:c r="AL25" s="2" t="s">
        <x:v>2857</x:v>
      </x:c>
      <x:c r="AM25" s="2">
        <x:v>25</x:v>
      </x:c>
      <x:c r="AN25" s="2">
        <x:v>25</x:v>
      </x:c>
    </x:row>
    <x:row r="26" ht="65">
      <x:c r="A26" s="2" t="s">
        <x:v>6</x:v>
      </x:c>
      <x:c r="B26" s="2" t="s">
        <x:v>13</x:v>
      </x:c>
      <x:c r="C26" s="3">
        <x:v>24</x:v>
      </x:c>
      <x:c r="D26" s="2" t="s">
        <x:v>644</x:v>
      </x:c>
      <x:c r="E26" s="2" t="s">
        <x:v>645</x:v>
      </x:c>
      <x:c r="F26" s="2" t="s">
        <x:v>118</x:v>
      </x:c>
      <x:c r="G26" s="2"/>
      <x:c r="H26" s="2" t="s">
        <x:v>618</x:v>
      </x:c>
      <x:c r="I26" s="2" t="s">
        <x:v>646</x:v>
      </x:c>
      <x:c r="J26" s="2" t="s">
        <x:v>620</x:v>
      </x:c>
      <x:c r="K26" s="2"/>
      <x:c r="L26" s="2" t="s">
        <x:v>647</x:v>
      </x:c>
      <x:c r="M26" s="2" t="s">
        <x:v>648</x:v>
      </x:c>
      <x:c r="N26" s="2">
        <x:v>2</x:v>
      </x:c>
      <x:c r="O26" s="2" t="s">
        <x:v>623</x:v>
      </x:c>
      <x:c r="P26" s="2" t="s">
        <x:v>649</x:v>
      </x:c>
      <x:c r="Q26" s="2"/>
      <x:c r="R26" s="3">
        <x:v>3</x:v>
      </x:c>
      <x:c r="S26" s="3">
        <x:v>1</x:v>
      </x:c>
      <x:c r="T26" s="2" t="s">
        <x:v>103</x:v>
      </x:c>
      <x:c r="U26" s="2" t="s">
        <x:v>104</x:v>
      </x:c>
      <x:c r="V26" s="2" t="s">
        <x:v>123</x:v>
      </x:c>
      <x:c r="W26" s="2"/>
      <x:c r="X26" s="3"/>
      <x:c r="Y26" s="3"/>
      <x:c r="Z26" s="2"/>
      <x:c r="AA26" s="2"/>
      <x:c r="AB26" s="2"/>
      <x:c r="AC26" s="2"/>
      <x:c r="AD26" s="2"/>
      <x:c r="AE26" s="2"/>
      <x:c r="AF26" s="2"/>
      <x:c r="AG26" s="2"/>
      <x:c r="AH26" s="2"/>
      <x:c r="AI26" s="4"/>
      <x:c r="AJ26" s="2"/>
      <x:c r="AK26" s="2" t="s">
        <x:v>106</x:v>
      </x:c>
      <x:c r="AL26" s="2" t="s">
        <x:v>2857</x:v>
      </x:c>
      <x:c r="AM26" s="2">
        <x:v>26</x:v>
      </x:c>
      <x:c r="AN26" s="2">
        <x:v>26</x:v>
      </x:c>
    </x:row>
    <x:row r="27" ht="65">
      <x:c r="A27" s="2" t="s">
        <x:v>6</x:v>
      </x:c>
      <x:c r="B27" s="2" t="s">
        <x:v>13</x:v>
      </x:c>
      <x:c r="C27" s="3">
        <x:v>25</x:v>
      </x:c>
      <x:c r="D27" s="2" t="s">
        <x:v>650</x:v>
      </x:c>
      <x:c r="E27" s="2" t="s">
        <x:v>651</x:v>
      </x:c>
      <x:c r="F27" s="2" t="s">
        <x:v>118</x:v>
      </x:c>
      <x:c r="G27" s="2"/>
      <x:c r="H27" s="2" t="s">
        <x:v>627</x:v>
      </x:c>
      <x:c r="I27" s="2" t="s">
        <x:v>646</x:v>
      </x:c>
      <x:c r="J27" s="2" t="s">
        <x:v>628</x:v>
      </x:c>
      <x:c r="K27" s="2" t="n">
        <x:v>24</x:v>
      </x:c>
      <x:c r="L27" s="2">
        <x:v>64</x:v>
      </x:c>
      <x:c r="M27" s="2" t="s">
        <x:v>652</x:v>
      </x:c>
      <x:c r="N27" s="2">
        <x:v>2</x:v>
      </x:c>
      <x:c r="O27" s="2" t="s">
        <x:v>653</x:v>
      </x:c>
      <x:c r="P27" s="2" t="s">
        <x:v>654</x:v>
      </x:c>
      <x:c r="Q27" s="2"/>
      <x:c r="R27" s="3">
        <x:v>3</x:v>
      </x:c>
      <x:c r="S27" s="3">
        <x:v>1</x:v>
      </x:c>
      <x:c r="T27" s="2" t="s">
        <x:v>103</x:v>
      </x:c>
      <x:c r="U27" s="2" t="s">
        <x:v>632</x:v>
      </x:c>
      <x:c r="V27" s="2" t="s">
        <x:v>123</x:v>
      </x:c>
      <x:c r="W27" s="2"/>
      <x:c r="X27" s="3"/>
      <x:c r="Y27" s="3"/>
      <x:c r="Z27" s="2"/>
      <x:c r="AA27" s="2"/>
      <x:c r="AB27" s="2"/>
      <x:c r="AC27" s="2"/>
      <x:c r="AD27" s="2"/>
      <x:c r="AE27" s="2"/>
      <x:c r="AF27" s="2"/>
      <x:c r="AG27" s="2"/>
      <x:c r="AH27" s="2"/>
      <x:c r="AI27" s="4"/>
      <x:c r="AJ27" s="2"/>
      <x:c r="AK27" s="2" t="s">
        <x:v>106</x:v>
      </x:c>
      <x:c r="AL27" s="2" t="s">
        <x:v>2857</x:v>
      </x:c>
      <x:c r="AM27" s="2">
        <x:v>27</x:v>
      </x:c>
      <x:c r="AN27" s="2">
        <x:v>27</x:v>
      </x:c>
    </x:row>
    <x:row r="28" ht="65">
      <x:c r="A28" s="2" t="s">
        <x:v>6</x:v>
      </x:c>
      <x:c r="B28" s="2" t="s">
        <x:v>13</x:v>
      </x:c>
      <x:c r="C28" s="3">
        <x:v>26</x:v>
      </x:c>
      <x:c r="D28" s="2" t="s">
        <x:v>655</x:v>
      </x:c>
      <x:c r="E28" s="2" t="s">
        <x:v>645</x:v>
      </x:c>
      <x:c r="F28" s="2" t="s">
        <x:v>118</x:v>
      </x:c>
      <x:c r="G28" s="2"/>
      <x:c r="H28" s="2" t="s">
        <x:v>634</x:v>
      </x:c>
      <x:c r="I28" s="2" t="s">
        <x:v>646</x:v>
      </x:c>
      <x:c r="J28" s="2" t="s">
        <x:v>635</x:v>
      </x:c>
      <x:c r="K28" s="2" t="n">
        <x:v>24</x:v>
      </x:c>
      <x:c r="L28" s="2" t="s">
        <x:v>647</x:v>
      </x:c>
      <x:c r="M28" s="2" t="s">
        <x:v>656</x:v>
      </x:c>
      <x:c r="N28" s="2">
        <x:v>2</x:v>
      </x:c>
      <x:c r="O28" s="2" t="s">
        <x:v>637</x:v>
      </x:c>
      <x:c r="P28" s="2" t="s">
        <x:v>657</x:v>
      </x:c>
      <x:c r="Q28" s="2"/>
      <x:c r="R28" s="3">
        <x:v>3</x:v>
      </x:c>
      <x:c r="S28" s="3">
        <x:v>1</x:v>
      </x:c>
      <x:c r="T28" s="2" t="s">
        <x:v>103</x:v>
      </x:c>
      <x:c r="U28" s="2" t="s">
        <x:v>104</x:v>
      </x:c>
      <x:c r="V28" s="2" t="s">
        <x:v>123</x:v>
      </x:c>
      <x:c r="W28" s="2"/>
      <x:c r="X28" s="3"/>
      <x:c r="Y28" s="3"/>
      <x:c r="Z28" s="2"/>
      <x:c r="AA28" s="2"/>
      <x:c r="AB28" s="2"/>
      <x:c r="AC28" s="2"/>
      <x:c r="AD28" s="2"/>
      <x:c r="AE28" s="2"/>
      <x:c r="AF28" s="2"/>
      <x:c r="AG28" s="2"/>
      <x:c r="AH28" s="2"/>
      <x:c r="AI28" s="4"/>
      <x:c r="AJ28" s="2"/>
      <x:c r="AK28" s="2" t="s">
        <x:v>106</x:v>
      </x:c>
      <x:c r="AL28" s="2" t="s">
        <x:v>2857</x:v>
      </x:c>
      <x:c r="AM28" s="2">
        <x:v>28</x:v>
      </x:c>
      <x:c r="AN28" s="2">
        <x:v>28</x:v>
      </x:c>
    </x:row>
    <x:row r="29" ht="39">
      <x:c r="A29" s="2" t="s">
        <x:v>6</x:v>
      </x:c>
      <x:c r="B29" s="2" t="s">
        <x:v>13</x:v>
      </x:c>
      <x:c r="C29" s="3">
        <x:v>27</x:v>
      </x:c>
      <x:c r="D29" s="2" t="s">
        <x:v>658</x:v>
      </x:c>
      <x:c r="E29" s="2" t="s">
        <x:v>651</x:v>
      </x:c>
      <x:c r="F29" s="2" t="s">
        <x:v>118</x:v>
      </x:c>
      <x:c r="G29" s="2"/>
      <x:c r="H29" s="2" t="s">
        <x:v>634</x:v>
      </x:c>
      <x:c r="I29" s="2" t="s">
        <x:v>646</x:v>
      </x:c>
      <x:c r="J29" s="2" t="s">
        <x:v>640</x:v>
      </x:c>
      <x:c r="K29" s="2" t="n">
        <x:v>24</x:v>
      </x:c>
      <x:c r="L29" s="2">
        <x:v>64</x:v>
      </x:c>
      <x:c r="M29" s="2" t="s">
        <x:v>659</x:v>
      </x:c>
      <x:c r="N29" s="2">
        <x:v>2</x:v>
      </x:c>
      <x:c r="O29" s="2" t="s">
        <x:v>642</x:v>
      </x:c>
      <x:c r="P29" s="2" t="s">
        <x:v>643</x:v>
      </x:c>
      <x:c r="Q29" s="2"/>
      <x:c r="R29" s="3">
        <x:v>3</x:v>
      </x:c>
      <x:c r="S29" s="3">
        <x:v>1</x:v>
      </x:c>
      <x:c r="T29" s="2" t="s">
        <x:v>103</x:v>
      </x:c>
      <x:c r="U29" s="2" t="s">
        <x:v>632</x:v>
      </x:c>
      <x:c r="V29" s="2" t="s">
        <x:v>123</x:v>
      </x:c>
      <x:c r="W29" s="2"/>
      <x:c r="X29" s="3"/>
      <x:c r="Y29" s="3"/>
      <x:c r="Z29" s="2"/>
      <x:c r="AA29" s="2"/>
      <x:c r="AB29" s="2"/>
      <x:c r="AC29" s="2"/>
      <x:c r="AD29" s="2"/>
      <x:c r="AE29" s="2"/>
      <x:c r="AF29" s="2"/>
      <x:c r="AG29" s="2"/>
      <x:c r="AH29" s="2"/>
      <x:c r="AI29" s="4"/>
      <x:c r="AJ29" s="2"/>
      <x:c r="AK29" s="2" t="s">
        <x:v>106</x:v>
      </x:c>
      <x:c r="AL29" s="2" t="s">
        <x:v>2857</x:v>
      </x:c>
      <x:c r="AM29" s="2">
        <x:v>29</x:v>
      </x:c>
      <x:c r="AN29" s="2">
        <x:v>29</x:v>
      </x:c>
    </x:row>
    <x:row r="30" ht="39">
      <x:c r="A30" s="2" t="s">
        <x:v>91</x:v>
      </x:c>
      <x:c r="B30" s="2" t="s">
        <x:v>13</x:v>
      </x:c>
      <x:c r="C30" s="3">
        <x:v>28</x:v>
      </x:c>
      <x:c r="D30" s="2" t="s">
        <x:v>660</x:v>
      </x:c>
      <x:c r="E30" s="2" t="s">
        <x:v>661</x:v>
      </x:c>
      <x:c r="F30" s="2" t="s">
        <x:v>157</x:v>
      </x:c>
      <x:c r="G30" s="2" t="s">
        <x:v>662</x:v>
      </x:c>
      <x:c r="H30" s="2" t="s">
        <x:v>618</x:v>
      </x:c>
      <x:c r="I30" s="2" t="s">
        <x:v>663</x:v>
      </x:c>
      <x:c r="J30" s="2" t="s">
        <x:v>620</x:v>
      </x:c>
      <x:c r="K30" s="2"/>
      <x:c r="L30" s="2" t="s">
        <x:v>664</x:v>
      </x:c>
      <x:c r="M30" s="2" t="s">
        <x:v>622</x:v>
      </x:c>
      <x:c r="N30" s="2">
        <x:v>2</x:v>
      </x:c>
      <x:c r="O30" s="2" t="s">
        <x:v>623</x:v>
      </x:c>
      <x:c r="P30" s="2" t="s">
        <x:v>624</x:v>
      </x:c>
      <x:c r="Q30" s="2"/>
      <x:c r="R30" s="3">
        <x:v>2</x:v>
      </x:c>
      <x:c r="S30" s="3">
        <x:v>1</x:v>
      </x:c>
      <x:c r="T30" s="2" t="s">
        <x:v>103</x:v>
      </x:c>
      <x:c r="U30" s="2" t="s">
        <x:v>115</x:v>
      </x:c>
      <x:c r="V30" s="2" t="s">
        <x:v>154</x:v>
      </x:c>
      <x:c r="W30" s="2"/>
      <x:c r="X30" s="3"/>
      <x:c r="Y30" s="3"/>
      <x:c r="Z30" s="2"/>
      <x:c r="AA30" s="2"/>
      <x:c r="AB30" s="2"/>
      <x:c r="AC30" s="2"/>
      <x:c r="AD30" s="2"/>
      <x:c r="AE30" s="2"/>
      <x:c r="AF30" s="2"/>
      <x:c r="AG30" s="2"/>
      <x:c r="AH30" s="2"/>
      <x:c r="AI30" s="4"/>
      <x:c r="AJ30" s="2"/>
      <x:c r="AK30" s="2" t="s">
        <x:v>106</x:v>
      </x:c>
      <x:c r="AL30" s="2" t="s">
        <x:v>2857</x:v>
      </x:c>
      <x:c r="AM30" s="2">
        <x:v>30</x:v>
      </x:c>
      <x:c r="AN30" s="2">
        <x:v>30</x:v>
      </x:c>
    </x:row>
    <x:row r="31" ht="52">
      <x:c r="A31" s="2" t="s">
        <x:v>6</x:v>
      </x:c>
      <x:c r="B31" s="2" t="s">
        <x:v>13</x:v>
      </x:c>
      <x:c r="C31" s="3">
        <x:v>29</x:v>
      </x:c>
      <x:c r="D31" s="2" t="s">
        <x:v>665</x:v>
      </x:c>
      <x:c r="E31" s="2" t="s">
        <x:v>666</x:v>
      </x:c>
      <x:c r="F31" s="2" t="s">
        <x:v>157</x:v>
      </x:c>
      <x:c r="G31" s="2"/>
      <x:c r="H31" s="2" t="s">
        <x:v>627</x:v>
      </x:c>
      <x:c r="I31" s="2" t="s">
        <x:v>663</x:v>
      </x:c>
      <x:c r="J31" s="2" t="s">
        <x:v>628</x:v>
      </x:c>
      <x:c r="K31" s="2" t="n">
        <x:v>28</x:v>
      </x:c>
      <x:c r="L31" s="2">
        <x:v>169</x:v>
      </x:c>
      <x:c r="M31" s="2" t="s">
        <x:v>667</x:v>
      </x:c>
      <x:c r="N31" s="2">
        <x:v>2</x:v>
      </x:c>
      <x:c r="O31" s="2" t="s">
        <x:v>668</x:v>
      </x:c>
      <x:c r="P31" s="2" t="s">
        <x:v>631</x:v>
      </x:c>
      <x:c r="Q31" s="2"/>
      <x:c r="R31" s="3">
        <x:v>2</x:v>
      </x:c>
      <x:c r="S31" s="3">
        <x:v>1</x:v>
      </x:c>
      <x:c r="T31" s="2" t="s">
        <x:v>103</x:v>
      </x:c>
      <x:c r="U31" s="2" t="s">
        <x:v>632</x:v>
      </x:c>
      <x:c r="V31" s="2" t="s">
        <x:v>154</x:v>
      </x:c>
      <x:c r="W31" s="2"/>
      <x:c r="X31" s="3"/>
      <x:c r="Y31" s="3"/>
      <x:c r="Z31" s="2"/>
      <x:c r="AA31" s="2"/>
      <x:c r="AB31" s="2"/>
      <x:c r="AC31" s="2"/>
      <x:c r="AD31" s="2"/>
      <x:c r="AE31" s="2"/>
      <x:c r="AF31" s="2"/>
      <x:c r="AG31" s="2"/>
      <x:c r="AH31" s="2"/>
      <x:c r="AI31" s="4"/>
      <x:c r="AJ31" s="2"/>
      <x:c r="AK31" s="2" t="s">
        <x:v>106</x:v>
      </x:c>
      <x:c r="AL31" s="2" t="s">
        <x:v>2857</x:v>
      </x:c>
      <x:c r="AM31" s="2">
        <x:v>31</x:v>
      </x:c>
      <x:c r="AN31" s="2">
        <x:v>31</x:v>
      </x:c>
    </x:row>
    <x:row r="32" ht="52">
      <x:c r="A32" s="2" t="s">
        <x:v>91</x:v>
      </x:c>
      <x:c r="B32" s="2" t="s">
        <x:v>13</x:v>
      </x:c>
      <x:c r="C32" s="3">
        <x:v>30</x:v>
      </x:c>
      <x:c r="D32" s="2" t="s">
        <x:v>669</x:v>
      </x:c>
      <x:c r="E32" s="2" t="s">
        <x:v>661</x:v>
      </x:c>
      <x:c r="F32" s="2" t="s">
        <x:v>157</x:v>
      </x:c>
      <x:c r="G32" s="2" t="s">
        <x:v>662</x:v>
      </x:c>
      <x:c r="H32" s="2" t="s">
        <x:v>634</x:v>
      </x:c>
      <x:c r="I32" s="2" t="s">
        <x:v>663</x:v>
      </x:c>
      <x:c r="J32" s="2" t="s">
        <x:v>635</x:v>
      </x:c>
      <x:c r="K32" s="2" t="n">
        <x:v>28</x:v>
      </x:c>
      <x:c r="L32" s="2" t="s">
        <x:v>664</x:v>
      </x:c>
      <x:c r="M32" s="2" t="s">
        <x:v>636</x:v>
      </x:c>
      <x:c r="N32" s="2">
        <x:v>2</x:v>
      </x:c>
      <x:c r="O32" s="2" t="s">
        <x:v>637</x:v>
      </x:c>
      <x:c r="P32" s="2" t="s">
        <x:v>638</x:v>
      </x:c>
      <x:c r="Q32" s="2"/>
      <x:c r="R32" s="3">
        <x:v>2</x:v>
      </x:c>
      <x:c r="S32" s="3">
        <x:v>1</x:v>
      </x:c>
      <x:c r="T32" s="2" t="s">
        <x:v>103</x:v>
      </x:c>
      <x:c r="U32" s="2" t="s">
        <x:v>115</x:v>
      </x:c>
      <x:c r="V32" s="2" t="s">
        <x:v>154</x:v>
      </x:c>
      <x:c r="W32" s="2"/>
      <x:c r="X32" s="3"/>
      <x:c r="Y32" s="3"/>
      <x:c r="Z32" s="2"/>
      <x:c r="AA32" s="2"/>
      <x:c r="AB32" s="2"/>
      <x:c r="AC32" s="2"/>
      <x:c r="AD32" s="2"/>
      <x:c r="AE32" s="2"/>
      <x:c r="AF32" s="2"/>
      <x:c r="AG32" s="2"/>
      <x:c r="AH32" s="2"/>
      <x:c r="AI32" s="4"/>
      <x:c r="AJ32" s="2"/>
      <x:c r="AK32" s="2" t="s">
        <x:v>106</x:v>
      </x:c>
      <x:c r="AL32" s="2" t="s">
        <x:v>2857</x:v>
      </x:c>
      <x:c r="AM32" s="2">
        <x:v>32</x:v>
      </x:c>
      <x:c r="AN32" s="2">
        <x:v>32</x:v>
      </x:c>
    </x:row>
    <x:row r="33" ht="39">
      <x:c r="A33" s="2" t="s">
        <x:v>6</x:v>
      </x:c>
      <x:c r="B33" s="2" t="s">
        <x:v>13</x:v>
      </x:c>
      <x:c r="C33" s="3">
        <x:v>31</x:v>
      </x:c>
      <x:c r="D33" s="2" t="s">
        <x:v>670</x:v>
      </x:c>
      <x:c r="E33" s="2" t="s">
        <x:v>666</x:v>
      </x:c>
      <x:c r="F33" s="2" t="s">
        <x:v>157</x:v>
      </x:c>
      <x:c r="G33" s="2"/>
      <x:c r="H33" s="2" t="s">
        <x:v>634</x:v>
      </x:c>
      <x:c r="I33" s="2" t="s">
        <x:v>663</x:v>
      </x:c>
      <x:c r="J33" s="2" t="s">
        <x:v>640</x:v>
      </x:c>
      <x:c r="K33" s="2" t="n">
        <x:v>28</x:v>
      </x:c>
      <x:c r="L33" s="2">
        <x:v>169</x:v>
      </x:c>
      <x:c r="M33" s="2" t="s">
        <x:v>671</x:v>
      </x:c>
      <x:c r="N33" s="2">
        <x:v>2</x:v>
      </x:c>
      <x:c r="O33" s="2" t="s">
        <x:v>642</x:v>
      </x:c>
      <x:c r="P33" s="2" t="s">
        <x:v>643</x:v>
      </x:c>
      <x:c r="Q33" s="2"/>
      <x:c r="R33" s="3">
        <x:v>2</x:v>
      </x:c>
      <x:c r="S33" s="3">
        <x:v>1</x:v>
      </x:c>
      <x:c r="T33" s="2" t="s">
        <x:v>103</x:v>
      </x:c>
      <x:c r="U33" s="2" t="s">
        <x:v>632</x:v>
      </x:c>
      <x:c r="V33" s="2" t="s">
        <x:v>154</x:v>
      </x:c>
      <x:c r="W33" s="2"/>
      <x:c r="X33" s="3"/>
      <x:c r="Y33" s="3"/>
      <x:c r="Z33" s="2"/>
      <x:c r="AA33" s="2"/>
      <x:c r="AB33" s="2"/>
      <x:c r="AC33" s="2"/>
      <x:c r="AD33" s="2"/>
      <x:c r="AE33" s="2"/>
      <x:c r="AF33" s="2"/>
      <x:c r="AG33" s="2"/>
      <x:c r="AH33" s="2"/>
      <x:c r="AI33" s="4"/>
      <x:c r="AJ33" s="2"/>
      <x:c r="AK33" s="2" t="s">
        <x:v>106</x:v>
      </x:c>
      <x:c r="AL33" s="2" t="s">
        <x:v>2857</x:v>
      </x:c>
      <x:c r="AM33" s="2">
        <x:v>33</x:v>
      </x:c>
      <x:c r="AN33" s="2">
        <x:v>33</x:v>
      </x:c>
    </x:row>
    <x:row r="34" ht="39">
      <x:c r="A34" s="2" t="s">
        <x:v>6</x:v>
      </x:c>
      <x:c r="B34" s="2" t="s">
        <x:v>13</x:v>
      </x:c>
      <x:c r="C34" s="3">
        <x:v>32</x:v>
      </x:c>
      <x:c r="D34" s="2" t="s">
        <x:v>616</x:v>
      </x:c>
      <x:c r="E34" s="2" t="s">
        <x:v>672</x:v>
      </x:c>
      <x:c r="F34" s="2" t="s">
        <x:v>94</x:v>
      </x:c>
      <x:c r="G34" s="2"/>
      <x:c r="H34" s="2" t="s">
        <x:v>618</x:v>
      </x:c>
      <x:c r="I34" s="2" t="s">
        <x:v>673</x:v>
      </x:c>
      <x:c r="J34" s="2" t="s">
        <x:v>620</x:v>
      </x:c>
      <x:c r="K34" s="2"/>
      <x:c r="L34" s="2" t="s">
        <x:v>674</x:v>
      </x:c>
      <x:c r="M34" s="2" t="s">
        <x:v>622</x:v>
      </x:c>
      <x:c r="N34" s="2">
        <x:v>2</x:v>
      </x:c>
      <x:c r="O34" s="2" t="s">
        <x:v>623</x:v>
      </x:c>
      <x:c r="P34" s="2" t="s">
        <x:v>675</x:v>
      </x:c>
      <x:c r="Q34" s="2"/>
      <x:c r="R34" s="3">
        <x:v>3</x:v>
      </x:c>
      <x:c r="S34" s="3">
        <x:v>1</x:v>
      </x:c>
      <x:c r="T34" s="2" t="s">
        <x:v>103</x:v>
      </x:c>
      <x:c r="U34" s="2" t="s">
        <x:v>129</x:v>
      </x:c>
      <x:c r="V34" s="2" t="s">
        <x:v>105</x:v>
      </x:c>
      <x:c r="W34" s="2"/>
      <x:c r="X34" s="3"/>
      <x:c r="Y34" s="3"/>
      <x:c r="Z34" s="2"/>
      <x:c r="AA34" s="2"/>
      <x:c r="AB34" s="2"/>
      <x:c r="AC34" s="2"/>
      <x:c r="AD34" s="2"/>
      <x:c r="AE34" s="2"/>
      <x:c r="AF34" s="2"/>
      <x:c r="AG34" s="2"/>
      <x:c r="AH34" s="2"/>
      <x:c r="AI34" s="4"/>
      <x:c r="AJ34" s="2"/>
      <x:c r="AK34" s="2" t="s">
        <x:v>106</x:v>
      </x:c>
      <x:c r="AL34" s="2" t="s">
        <x:v>2857</x:v>
      </x:c>
      <x:c r="AM34" s="2">
        <x:v>34</x:v>
      </x:c>
      <x:c r="AN34" s="2">
        <x:v>34</x:v>
      </x:c>
    </x:row>
    <x:row r="35" ht="52">
      <x:c r="A35" s="2" t="s">
        <x:v>6</x:v>
      </x:c>
      <x:c r="B35" s="2" t="s">
        <x:v>13</x:v>
      </x:c>
      <x:c r="C35" s="3">
        <x:v>33</x:v>
      </x:c>
      <x:c r="D35" s="2" t="s">
        <x:v>676</x:v>
      </x:c>
      <x:c r="E35" s="2" t="s">
        <x:v>677</x:v>
      </x:c>
      <x:c r="F35" s="2" t="s">
        <x:v>94</x:v>
      </x:c>
      <x:c r="G35" s="2"/>
      <x:c r="H35" s="2" t="s">
        <x:v>627</x:v>
      </x:c>
      <x:c r="I35" s="2" t="s">
        <x:v>673</x:v>
      </x:c>
      <x:c r="J35" s="2" t="s">
        <x:v>628</x:v>
      </x:c>
      <x:c r="K35" s="2" t="n">
        <x:v>32</x:v>
      </x:c>
      <x:c r="L35" s="2">
        <x:v>30</x:v>
      </x:c>
      <x:c r="M35" s="2" t="s">
        <x:v>678</x:v>
      </x:c>
      <x:c r="N35" s="2">
        <x:v>2</x:v>
      </x:c>
      <x:c r="O35" s="2" t="s">
        <x:v>630</x:v>
      </x:c>
      <x:c r="P35" s="2" t="s">
        <x:v>631</x:v>
      </x:c>
      <x:c r="Q35" s="2"/>
      <x:c r="R35" s="3">
        <x:v>3</x:v>
      </x:c>
      <x:c r="S35" s="3">
        <x:v>1</x:v>
      </x:c>
      <x:c r="T35" s="2" t="s">
        <x:v>103</x:v>
      </x:c>
      <x:c r="U35" s="2" t="s">
        <x:v>632</x:v>
      </x:c>
      <x:c r="V35" s="2" t="s">
        <x:v>105</x:v>
      </x:c>
      <x:c r="W35" s="2"/>
      <x:c r="X35" s="3"/>
      <x:c r="Y35" s="3"/>
      <x:c r="Z35" s="2"/>
      <x:c r="AA35" s="2"/>
      <x:c r="AB35" s="2"/>
      <x:c r="AC35" s="2"/>
      <x:c r="AD35" s="2"/>
      <x:c r="AE35" s="2"/>
      <x:c r="AF35" s="2"/>
      <x:c r="AG35" s="2"/>
      <x:c r="AH35" s="2"/>
      <x:c r="AI35" s="4"/>
      <x:c r="AJ35" s="2"/>
      <x:c r="AK35" s="2" t="s">
        <x:v>106</x:v>
      </x:c>
      <x:c r="AL35" s="2" t="s">
        <x:v>2857</x:v>
      </x:c>
      <x:c r="AM35" s="2">
        <x:v>35</x:v>
      </x:c>
      <x:c r="AN35" s="2">
        <x:v>35</x:v>
      </x:c>
    </x:row>
    <x:row r="36" ht="52">
      <x:c r="A36" s="2" t="s">
        <x:v>6</x:v>
      </x:c>
      <x:c r="B36" s="2" t="s">
        <x:v>13</x:v>
      </x:c>
      <x:c r="C36" s="3">
        <x:v>34</x:v>
      </x:c>
      <x:c r="D36" s="2" t="s">
        <x:v>633</x:v>
      </x:c>
      <x:c r="E36" s="2" t="s">
        <x:v>672</x:v>
      </x:c>
      <x:c r="F36" s="2" t="s">
        <x:v>94</x:v>
      </x:c>
      <x:c r="G36" s="2"/>
      <x:c r="H36" s="2" t="s">
        <x:v>634</x:v>
      </x:c>
      <x:c r="I36" s="2" t="s">
        <x:v>673</x:v>
      </x:c>
      <x:c r="J36" s="2" t="s">
        <x:v>635</x:v>
      </x:c>
      <x:c r="K36" s="2" t="n">
        <x:v>32</x:v>
      </x:c>
      <x:c r="L36" s="2" t="s">
        <x:v>674</x:v>
      </x:c>
      <x:c r="M36" s="2" t="s">
        <x:v>636</x:v>
      </x:c>
      <x:c r="N36" s="2">
        <x:v>2</x:v>
      </x:c>
      <x:c r="O36" s="2" t="s">
        <x:v>637</x:v>
      </x:c>
      <x:c r="P36" s="2" t="s">
        <x:v>679</x:v>
      </x:c>
      <x:c r="Q36" s="2"/>
      <x:c r="R36" s="3">
        <x:v>3</x:v>
      </x:c>
      <x:c r="S36" s="3">
        <x:v>1</x:v>
      </x:c>
      <x:c r="T36" s="2" t="s">
        <x:v>103</x:v>
      </x:c>
      <x:c r="U36" s="2" t="s">
        <x:v>129</x:v>
      </x:c>
      <x:c r="V36" s="2" t="s">
        <x:v>105</x:v>
      </x:c>
      <x:c r="W36" s="2"/>
      <x:c r="X36" s="3"/>
      <x:c r="Y36" s="3"/>
      <x:c r="Z36" s="2"/>
      <x:c r="AA36" s="2"/>
      <x:c r="AB36" s="2"/>
      <x:c r="AC36" s="2"/>
      <x:c r="AD36" s="2"/>
      <x:c r="AE36" s="2"/>
      <x:c r="AF36" s="2"/>
      <x:c r="AG36" s="2"/>
      <x:c r="AH36" s="2"/>
      <x:c r="AI36" s="4"/>
      <x:c r="AJ36" s="2"/>
      <x:c r="AK36" s="2" t="s">
        <x:v>106</x:v>
      </x:c>
      <x:c r="AL36" s="2" t="s">
        <x:v>2857</x:v>
      </x:c>
      <x:c r="AM36" s="2">
        <x:v>36</x:v>
      </x:c>
      <x:c r="AN36" s="2">
        <x:v>36</x:v>
      </x:c>
    </x:row>
    <x:row r="37" ht="39">
      <x:c r="A37" s="2" t="s">
        <x:v>6</x:v>
      </x:c>
      <x:c r="B37" s="2" t="s">
        <x:v>13</x:v>
      </x:c>
      <x:c r="C37" s="3">
        <x:v>35</x:v>
      </x:c>
      <x:c r="D37" s="2" t="s">
        <x:v>680</x:v>
      </x:c>
      <x:c r="E37" s="2" t="s">
        <x:v>677</x:v>
      </x:c>
      <x:c r="F37" s="2" t="s">
        <x:v>94</x:v>
      </x:c>
      <x:c r="G37" s="2"/>
      <x:c r="H37" s="2" t="s">
        <x:v>634</x:v>
      </x:c>
      <x:c r="I37" s="2" t="s">
        <x:v>673</x:v>
      </x:c>
      <x:c r="J37" s="2" t="s">
        <x:v>640</x:v>
      </x:c>
      <x:c r="K37" s="2" t="n">
        <x:v>32</x:v>
      </x:c>
      <x:c r="L37" s="2">
        <x:v>30</x:v>
      </x:c>
      <x:c r="M37" s="2" t="s">
        <x:v>681</x:v>
      </x:c>
      <x:c r="N37" s="2">
        <x:v>2</x:v>
      </x:c>
      <x:c r="O37" s="2" t="s">
        <x:v>642</x:v>
      </x:c>
      <x:c r="P37" s="2" t="s">
        <x:v>643</x:v>
      </x:c>
      <x:c r="Q37" s="2"/>
      <x:c r="R37" s="3">
        <x:v>3</x:v>
      </x:c>
      <x:c r="S37" s="3">
        <x:v>1</x:v>
      </x:c>
      <x:c r="T37" s="2" t="s">
        <x:v>103</x:v>
      </x:c>
      <x:c r="U37" s="2" t="s">
        <x:v>632</x:v>
      </x:c>
      <x:c r="V37" s="2" t="s">
        <x:v>105</x:v>
      </x:c>
      <x:c r="W37" s="2"/>
      <x:c r="X37" s="3"/>
      <x:c r="Y37" s="3"/>
      <x:c r="Z37" s="2"/>
      <x:c r="AA37" s="2"/>
      <x:c r="AB37" s="2"/>
      <x:c r="AC37" s="2"/>
      <x:c r="AD37" s="2"/>
      <x:c r="AE37" s="2"/>
      <x:c r="AF37" s="2"/>
      <x:c r="AG37" s="2"/>
      <x:c r="AH37" s="2"/>
      <x:c r="AI37" s="4"/>
      <x:c r="AJ37" s="2"/>
      <x:c r="AK37" s="2" t="s">
        <x:v>106</x:v>
      </x:c>
      <x:c r="AL37" s="2" t="s">
        <x:v>2857</x:v>
      </x:c>
      <x:c r="AM37" s="2">
        <x:v>37</x:v>
      </x:c>
      <x:c r="AN37" s="2">
        <x:v>37</x:v>
      </x:c>
    </x:row>
    <x:row r="38" ht="65">
      <x:c r="A38" s="2" t="s">
        <x:v>6</x:v>
      </x:c>
      <x:c r="B38" s="2" t="s">
        <x:v>13</x:v>
      </x:c>
      <x:c r="C38" s="3">
        <x:v>36</x:v>
      </x:c>
      <x:c r="D38" s="2" t="s">
        <x:v>682</x:v>
      </x:c>
      <x:c r="E38" s="2" t="s">
        <x:v>683</x:v>
      </x:c>
      <x:c r="F38" s="2" t="s">
        <x:v>139</x:v>
      </x:c>
      <x:c r="G38" s="2"/>
      <x:c r="H38" s="2" t="s">
        <x:v>618</x:v>
      </x:c>
      <x:c r="I38" s="2" t="s">
        <x:v>684</x:v>
      </x:c>
      <x:c r="J38" s="2" t="s">
        <x:v>620</x:v>
      </x:c>
      <x:c r="K38" s="2"/>
      <x:c r="L38" s="2" t="s">
        <x:v>685</x:v>
      </x:c>
      <x:c r="M38" s="2" t="s">
        <x:v>648</x:v>
      </x:c>
      <x:c r="N38" s="2">
        <x:v>2</x:v>
      </x:c>
      <x:c r="O38" s="2" t="s">
        <x:v>623</x:v>
      </x:c>
      <x:c r="P38" s="2" t="s">
        <x:v>649</x:v>
      </x:c>
      <x:c r="Q38" s="2"/>
      <x:c r="R38" s="3">
        <x:v>4</x:v>
      </x:c>
      <x:c r="S38" s="3">
        <x:v>1</x:v>
      </x:c>
      <x:c r="T38" s="2" t="s">
        <x:v>103</x:v>
      </x:c>
      <x:c r="U38" s="2" t="s">
        <x:v>122</x:v>
      </x:c>
      <x:c r="V38" s="2" t="s">
        <x:v>136</x:v>
      </x:c>
      <x:c r="W38" s="2"/>
      <x:c r="X38" s="3"/>
      <x:c r="Y38" s="3"/>
      <x:c r="Z38" s="2"/>
      <x:c r="AA38" s="2"/>
      <x:c r="AB38" s="2"/>
      <x:c r="AC38" s="2"/>
      <x:c r="AD38" s="2"/>
      <x:c r="AE38" s="2"/>
      <x:c r="AF38" s="2"/>
      <x:c r="AG38" s="2"/>
      <x:c r="AH38" s="2"/>
      <x:c r="AI38" s="4"/>
      <x:c r="AJ38" s="2"/>
      <x:c r="AK38" s="2" t="s">
        <x:v>106</x:v>
      </x:c>
      <x:c r="AL38" s="2" t="s">
        <x:v>2857</x:v>
      </x:c>
      <x:c r="AM38" s="2">
        <x:v>38</x:v>
      </x:c>
      <x:c r="AN38" s="2">
        <x:v>38</x:v>
      </x:c>
    </x:row>
    <x:row r="39" ht="65">
      <x:c r="A39" s="2" t="s">
        <x:v>6</x:v>
      </x:c>
      <x:c r="B39" s="2" t="s">
        <x:v>13</x:v>
      </x:c>
      <x:c r="C39" s="3">
        <x:v>37</x:v>
      </x:c>
      <x:c r="D39" s="2" t="s">
        <x:v>686</x:v>
      </x:c>
      <x:c r="E39" s="2" t="s">
        <x:v>687</x:v>
      </x:c>
      <x:c r="F39" s="2" t="s">
        <x:v>139</x:v>
      </x:c>
      <x:c r="G39" s="2"/>
      <x:c r="H39" s="2" t="s">
        <x:v>627</x:v>
      </x:c>
      <x:c r="I39" s="2" t="s">
        <x:v>684</x:v>
      </x:c>
      <x:c r="J39" s="2" t="s">
        <x:v>628</x:v>
      </x:c>
      <x:c r="K39" s="2" t="n">
        <x:v>36</x:v>
      </x:c>
      <x:c r="L39" s="2">
        <x:v>100</x:v>
      </x:c>
      <x:c r="M39" s="2" t="s">
        <x:v>688</x:v>
      </x:c>
      <x:c r="N39" s="2">
        <x:v>2</x:v>
      </x:c>
      <x:c r="O39" s="2" t="s">
        <x:v>689</x:v>
      </x:c>
      <x:c r="P39" s="2" t="s">
        <x:v>654</x:v>
      </x:c>
      <x:c r="Q39" s="2"/>
      <x:c r="R39" s="3">
        <x:v>4</x:v>
      </x:c>
      <x:c r="S39" s="3">
        <x:v>1</x:v>
      </x:c>
      <x:c r="T39" s="2" t="s">
        <x:v>103</x:v>
      </x:c>
      <x:c r="U39" s="2" t="s">
        <x:v>632</x:v>
      </x:c>
      <x:c r="V39" s="2" t="s">
        <x:v>136</x:v>
      </x:c>
      <x:c r="W39" s="2"/>
      <x:c r="X39" s="3"/>
      <x:c r="Y39" s="3"/>
      <x:c r="Z39" s="2"/>
      <x:c r="AA39" s="2"/>
      <x:c r="AB39" s="2"/>
      <x:c r="AC39" s="2"/>
      <x:c r="AD39" s="2"/>
      <x:c r="AE39" s="2"/>
      <x:c r="AF39" s="2"/>
      <x:c r="AG39" s="2"/>
      <x:c r="AH39" s="2"/>
      <x:c r="AI39" s="4"/>
      <x:c r="AJ39" s="2"/>
      <x:c r="AK39" s="2" t="s">
        <x:v>106</x:v>
      </x:c>
      <x:c r="AL39" s="2" t="s">
        <x:v>2857</x:v>
      </x:c>
      <x:c r="AM39" s="2">
        <x:v>39</x:v>
      </x:c>
      <x:c r="AN39" s="2">
        <x:v>39</x:v>
      </x:c>
    </x:row>
    <x:row r="40" ht="65">
      <x:c r="A40" s="2" t="s">
        <x:v>6</x:v>
      </x:c>
      <x:c r="B40" s="2" t="s">
        <x:v>13</x:v>
      </x:c>
      <x:c r="C40" s="3">
        <x:v>38</x:v>
      </x:c>
      <x:c r="D40" s="2" t="s">
        <x:v>690</x:v>
      </x:c>
      <x:c r="E40" s="2" t="s">
        <x:v>683</x:v>
      </x:c>
      <x:c r="F40" s="2" t="s">
        <x:v>139</x:v>
      </x:c>
      <x:c r="G40" s="2"/>
      <x:c r="H40" s="2" t="s">
        <x:v>634</x:v>
      </x:c>
      <x:c r="I40" s="2" t="s">
        <x:v>684</x:v>
      </x:c>
      <x:c r="J40" s="2" t="s">
        <x:v>635</x:v>
      </x:c>
      <x:c r="K40" s="2" t="n">
        <x:v>36</x:v>
      </x:c>
      <x:c r="L40" s="2" t="s">
        <x:v>685</x:v>
      </x:c>
      <x:c r="M40" s="2" t="s">
        <x:v>656</x:v>
      </x:c>
      <x:c r="N40" s="2">
        <x:v>2</x:v>
      </x:c>
      <x:c r="O40" s="2" t="s">
        <x:v>637</x:v>
      </x:c>
      <x:c r="P40" s="2" t="s">
        <x:v>657</x:v>
      </x:c>
      <x:c r="Q40" s="2"/>
      <x:c r="R40" s="3">
        <x:v>4</x:v>
      </x:c>
      <x:c r="S40" s="3">
        <x:v>1</x:v>
      </x:c>
      <x:c r="T40" s="2" t="s">
        <x:v>103</x:v>
      </x:c>
      <x:c r="U40" s="2" t="s">
        <x:v>122</x:v>
      </x:c>
      <x:c r="V40" s="2" t="s">
        <x:v>136</x:v>
      </x:c>
      <x:c r="W40" s="2"/>
      <x:c r="X40" s="3"/>
      <x:c r="Y40" s="3"/>
      <x:c r="Z40" s="2"/>
      <x:c r="AA40" s="2"/>
      <x:c r="AB40" s="2"/>
      <x:c r="AC40" s="2"/>
      <x:c r="AD40" s="2"/>
      <x:c r="AE40" s="2"/>
      <x:c r="AF40" s="2"/>
      <x:c r="AG40" s="2"/>
      <x:c r="AH40" s="2"/>
      <x:c r="AI40" s="4"/>
      <x:c r="AJ40" s="2"/>
      <x:c r="AK40" s="2" t="s">
        <x:v>106</x:v>
      </x:c>
      <x:c r="AL40" s="2" t="s">
        <x:v>2857</x:v>
      </x:c>
      <x:c r="AM40" s="2">
        <x:v>40</x:v>
      </x:c>
      <x:c r="AN40" s="2">
        <x:v>40</x:v>
      </x:c>
    </x:row>
    <x:row r="41" ht="39">
      <x:c r="A41" s="2" t="s">
        <x:v>6</x:v>
      </x:c>
      <x:c r="B41" s="2" t="s">
        <x:v>13</x:v>
      </x:c>
      <x:c r="C41" s="3">
        <x:v>39</x:v>
      </x:c>
      <x:c r="D41" s="2" t="s">
        <x:v>692</x:v>
      </x:c>
      <x:c r="E41" s="2" t="s">
        <x:v>687</x:v>
      </x:c>
      <x:c r="F41" s="2" t="s">
        <x:v>139</x:v>
      </x:c>
      <x:c r="G41" s="2"/>
      <x:c r="H41" s="2" t="s">
        <x:v>634</x:v>
      </x:c>
      <x:c r="I41" s="2" t="s">
        <x:v>684</x:v>
      </x:c>
      <x:c r="J41" s="2" t="s">
        <x:v>640</x:v>
      </x:c>
      <x:c r="K41" s="2" t="n">
        <x:v>36</x:v>
      </x:c>
      <x:c r="L41" s="2">
        <x:v>100</x:v>
      </x:c>
      <x:c r="M41" s="2" t="s">
        <x:v>693</x:v>
      </x:c>
      <x:c r="N41" s="2">
        <x:v>2</x:v>
      </x:c>
      <x:c r="O41" s="2" t="s">
        <x:v>642</x:v>
      </x:c>
      <x:c r="P41" s="2" t="s">
        <x:v>643</x:v>
      </x:c>
      <x:c r="Q41" s="2"/>
      <x:c r="R41" s="3">
        <x:v>4</x:v>
      </x:c>
      <x:c r="S41" s="3">
        <x:v>1</x:v>
      </x:c>
      <x:c r="T41" s="2" t="s">
        <x:v>103</x:v>
      </x:c>
      <x:c r="U41" s="2" t="s">
        <x:v>632</x:v>
      </x:c>
      <x:c r="V41" s="2" t="s">
        <x:v>136</x:v>
      </x:c>
      <x:c r="W41" s="2"/>
      <x:c r="X41" s="3"/>
      <x:c r="Y41" s="3"/>
      <x:c r="Z41" s="2"/>
      <x:c r="AA41" s="2"/>
      <x:c r="AB41" s="2"/>
      <x:c r="AC41" s="2"/>
      <x:c r="AD41" s="2"/>
      <x:c r="AE41" s="2"/>
      <x:c r="AF41" s="2"/>
      <x:c r="AG41" s="2"/>
      <x:c r="AH41" s="2"/>
      <x:c r="AI41" s="4"/>
      <x:c r="AJ41" s="2"/>
      <x:c r="AK41" s="2" t="s">
        <x:v>106</x:v>
      </x:c>
      <x:c r="AL41" s="2" t="s">
        <x:v>2857</x:v>
      </x:c>
      <x:c r="AM41" s="2">
        <x:v>41</x:v>
      </x:c>
      <x:c r="AN41" s="2">
        <x:v>41</x:v>
      </x:c>
    </x:row>
    <x:row r="42" ht="65">
      <x:c r="A42" s="2" t="s">
        <x:v>91</x:v>
      </x:c>
      <x:c r="B42" s="2" t="s">
        <x:v>13</x:v>
      </x:c>
      <x:c r="C42" s="3">
        <x:v>40</x:v>
      </x:c>
      <x:c r="D42" s="2" t="s">
        <x:v>644</x:v>
      </x:c>
      <x:c r="E42" s="2" t="s">
        <x:v>694</x:v>
      </x:c>
      <x:c r="F42" s="2" t="s">
        <x:v>118</x:v>
      </x:c>
      <x:c r="G42" s="2" t="s">
        <x:v>2860</x:v>
      </x:c>
      <x:c r="H42" s="2" t="s">
        <x:v>618</x:v>
      </x:c>
      <x:c r="I42" s="2" t="s">
        <x:v>696</x:v>
      </x:c>
      <x:c r="J42" s="2" t="s">
        <x:v>620</x:v>
      </x:c>
      <x:c r="K42" s="2"/>
      <x:c r="L42" s="2" t="s">
        <x:v>697</x:v>
      </x:c>
      <x:c r="M42" s="2" t="s">
        <x:v>648</x:v>
      </x:c>
      <x:c r="N42" s="2">
        <x:v>2</x:v>
      </x:c>
      <x:c r="O42" s="2" t="s">
        <x:v>623</x:v>
      </x:c>
      <x:c r="P42" s="2" t="s">
        <x:v>649</x:v>
      </x:c>
      <x:c r="Q42" s="2"/>
      <x:c r="R42" s="3">
        <x:v>4</x:v>
      </x:c>
      <x:c r="S42" s="3">
        <x:v>1</x:v>
      </x:c>
      <x:c r="T42" s="2" t="s">
        <x:v>103</x:v>
      </x:c>
      <x:c r="U42" s="2" t="s">
        <x:v>104</x:v>
      </x:c>
      <x:c r="V42" s="2" t="s">
        <x:v>123</x:v>
      </x:c>
      <x:c r="W42" s="2"/>
      <x:c r="X42" s="3"/>
      <x:c r="Y42" s="3"/>
      <x:c r="Z42" s="2"/>
      <x:c r="AA42" s="2"/>
      <x:c r="AB42" s="2"/>
      <x:c r="AC42" s="2"/>
      <x:c r="AD42" s="2"/>
      <x:c r="AE42" s="2"/>
      <x:c r="AF42" s="2"/>
      <x:c r="AG42" s="2"/>
      <x:c r="AH42" s="2"/>
      <x:c r="AI42" s="4"/>
      <x:c r="AJ42" s="2"/>
      <x:c r="AK42" s="2" t="s">
        <x:v>106</x:v>
      </x:c>
      <x:c r="AL42" s="2" t="s">
        <x:v>2857</x:v>
      </x:c>
      <x:c r="AM42" s="2">
        <x:v>42</x:v>
      </x:c>
      <x:c r="AN42" s="2">
        <x:v>42</x:v>
      </x:c>
    </x:row>
    <x:row r="43" ht="65">
      <x:c r="A43" s="2" t="s">
        <x:v>6</x:v>
      </x:c>
      <x:c r="B43" s="2" t="s">
        <x:v>13</x:v>
      </x:c>
      <x:c r="C43" s="3">
        <x:v>41</x:v>
      </x:c>
      <x:c r="D43" s="2" t="s">
        <x:v>698</x:v>
      </x:c>
      <x:c r="E43" s="2" t="s">
        <x:v>699</x:v>
      </x:c>
      <x:c r="F43" s="2" t="s">
        <x:v>118</x:v>
      </x:c>
      <x:c r="G43" s="2"/>
      <x:c r="H43" s="2" t="s">
        <x:v>627</x:v>
      </x:c>
      <x:c r="I43" s="2" t="s">
        <x:v>696</x:v>
      </x:c>
      <x:c r="J43" s="2" t="s">
        <x:v>628</x:v>
      </x:c>
      <x:c r="K43" s="2" t="n">
        <x:v>40</x:v>
      </x:c>
      <x:c r="L43" s="2">
        <x:v>53</x:v>
      </x:c>
      <x:c r="M43" s="2" t="s">
        <x:v>700</x:v>
      </x:c>
      <x:c r="N43" s="2">
        <x:v>2</x:v>
      </x:c>
      <x:c r="O43" s="2" t="s">
        <x:v>701</x:v>
      </x:c>
      <x:c r="P43" s="2" t="s">
        <x:v>654</x:v>
      </x:c>
      <x:c r="Q43" s="2"/>
      <x:c r="R43" s="3">
        <x:v>4</x:v>
      </x:c>
      <x:c r="S43" s="3">
        <x:v>1</x:v>
      </x:c>
      <x:c r="T43" s="2" t="s">
        <x:v>103</x:v>
      </x:c>
      <x:c r="U43" s="2" t="s">
        <x:v>632</x:v>
      </x:c>
      <x:c r="V43" s="2" t="s">
        <x:v>123</x:v>
      </x:c>
      <x:c r="W43" s="2"/>
      <x:c r="X43" s="3"/>
      <x:c r="Y43" s="3"/>
      <x:c r="Z43" s="2"/>
      <x:c r="AA43" s="2"/>
      <x:c r="AB43" s="2"/>
      <x:c r="AC43" s="2"/>
      <x:c r="AD43" s="2"/>
      <x:c r="AE43" s="2"/>
      <x:c r="AF43" s="2"/>
      <x:c r="AG43" s="2"/>
      <x:c r="AH43" s="2"/>
      <x:c r="AI43" s="4"/>
      <x:c r="AJ43" s="2"/>
      <x:c r="AK43" s="2" t="s">
        <x:v>106</x:v>
      </x:c>
      <x:c r="AL43" s="2" t="s">
        <x:v>2857</x:v>
      </x:c>
      <x:c r="AM43" s="2">
        <x:v>43</x:v>
      </x:c>
      <x:c r="AN43" s="2">
        <x:v>43</x:v>
      </x:c>
    </x:row>
    <x:row r="44" ht="65">
      <x:c r="A44" s="2" t="s">
        <x:v>91</x:v>
      </x:c>
      <x:c r="B44" s="2" t="s">
        <x:v>13</x:v>
      </x:c>
      <x:c r="C44" s="3">
        <x:v>42</x:v>
      </x:c>
      <x:c r="D44" s="2" t="s">
        <x:v>655</x:v>
      </x:c>
      <x:c r="E44" s="2" t="s">
        <x:v>694</x:v>
      </x:c>
      <x:c r="F44" s="2" t="s">
        <x:v>118</x:v>
      </x:c>
      <x:c r="G44" s="2" t="s">
        <x:v>2860</x:v>
      </x:c>
      <x:c r="H44" s="2" t="s">
        <x:v>634</x:v>
      </x:c>
      <x:c r="I44" s="2" t="s">
        <x:v>696</x:v>
      </x:c>
      <x:c r="J44" s="2" t="s">
        <x:v>635</x:v>
      </x:c>
      <x:c r="K44" s="2" t="n">
        <x:v>40</x:v>
      </x:c>
      <x:c r="L44" s="2" t="s">
        <x:v>697</x:v>
      </x:c>
      <x:c r="M44" s="2" t="s">
        <x:v>656</x:v>
      </x:c>
      <x:c r="N44" s="2">
        <x:v>2</x:v>
      </x:c>
      <x:c r="O44" s="2" t="s">
        <x:v>637</x:v>
      </x:c>
      <x:c r="P44" s="2" t="s">
        <x:v>657</x:v>
      </x:c>
      <x:c r="Q44" s="2"/>
      <x:c r="R44" s="3">
        <x:v>4</x:v>
      </x:c>
      <x:c r="S44" s="3">
        <x:v>1</x:v>
      </x:c>
      <x:c r="T44" s="2" t="s">
        <x:v>103</x:v>
      </x:c>
      <x:c r="U44" s="2" t="s">
        <x:v>104</x:v>
      </x:c>
      <x:c r="V44" s="2" t="s">
        <x:v>123</x:v>
      </x:c>
      <x:c r="W44" s="2"/>
      <x:c r="X44" s="3"/>
      <x:c r="Y44" s="3"/>
      <x:c r="Z44" s="2"/>
      <x:c r="AA44" s="2"/>
      <x:c r="AB44" s="2"/>
      <x:c r="AC44" s="2"/>
      <x:c r="AD44" s="2"/>
      <x:c r="AE44" s="2"/>
      <x:c r="AF44" s="2"/>
      <x:c r="AG44" s="2"/>
      <x:c r="AH44" s="2"/>
      <x:c r="AI44" s="4"/>
      <x:c r="AJ44" s="2"/>
      <x:c r="AK44" s="2" t="s">
        <x:v>106</x:v>
      </x:c>
      <x:c r="AL44" s="2" t="s">
        <x:v>2857</x:v>
      </x:c>
      <x:c r="AM44" s="2">
        <x:v>44</x:v>
      </x:c>
      <x:c r="AN44" s="2">
        <x:v>44</x:v>
      </x:c>
    </x:row>
    <x:row r="45" ht="39">
      <x:c r="A45" s="2" t="s">
        <x:v>6</x:v>
      </x:c>
      <x:c r="B45" s="2" t="s">
        <x:v>13</x:v>
      </x:c>
      <x:c r="C45" s="3">
        <x:v>43</x:v>
      </x:c>
      <x:c r="D45" s="2" t="s">
        <x:v>702</x:v>
      </x:c>
      <x:c r="E45" s="2" t="s">
        <x:v>699</x:v>
      </x:c>
      <x:c r="F45" s="2" t="s">
        <x:v>118</x:v>
      </x:c>
      <x:c r="G45" s="2"/>
      <x:c r="H45" s="2" t="s">
        <x:v>634</x:v>
      </x:c>
      <x:c r="I45" s="2" t="s">
        <x:v>696</x:v>
      </x:c>
      <x:c r="J45" s="2" t="s">
        <x:v>640</x:v>
      </x:c>
      <x:c r="K45" s="2" t="n">
        <x:v>40</x:v>
      </x:c>
      <x:c r="L45" s="2">
        <x:v>53</x:v>
      </x:c>
      <x:c r="M45" s="2" t="s">
        <x:v>704</x:v>
      </x:c>
      <x:c r="N45" s="2">
        <x:v>2</x:v>
      </x:c>
      <x:c r="O45" s="2" t="s">
        <x:v>642</x:v>
      </x:c>
      <x:c r="P45" s="2" t="s">
        <x:v>643</x:v>
      </x:c>
      <x:c r="Q45" s="2"/>
      <x:c r="R45" s="3">
        <x:v>4</x:v>
      </x:c>
      <x:c r="S45" s="3">
        <x:v>1</x:v>
      </x:c>
      <x:c r="T45" s="2" t="s">
        <x:v>103</x:v>
      </x:c>
      <x:c r="U45" s="2" t="s">
        <x:v>632</x:v>
      </x:c>
      <x:c r="V45" s="2" t="s">
        <x:v>123</x:v>
      </x:c>
      <x:c r="W45" s="2"/>
      <x:c r="X45" s="3"/>
      <x:c r="Y45" s="3"/>
      <x:c r="Z45" s="2"/>
      <x:c r="AA45" s="2"/>
      <x:c r="AB45" s="2"/>
      <x:c r="AC45" s="2"/>
      <x:c r="AD45" s="2"/>
      <x:c r="AE45" s="2"/>
      <x:c r="AF45" s="2"/>
      <x:c r="AG45" s="2"/>
      <x:c r="AH45" s="2"/>
      <x:c r="AI45" s="4"/>
      <x:c r="AJ45" s="2"/>
      <x:c r="AK45" s="2" t="s">
        <x:v>106</x:v>
      </x:c>
      <x:c r="AL45" s="2" t="s">
        <x:v>2857</x:v>
      </x:c>
      <x:c r="AM45" s="2">
        <x:v>45</x:v>
      </x:c>
      <x:c r="AN45" s="2">
        <x:v>45</x:v>
      </x:c>
    </x:row>
    <x:row r="46" ht="65">
      <x:c r="A46" s="2" t="s">
        <x:v>6</x:v>
      </x:c>
      <x:c r="B46" s="2" t="s">
        <x:v>13</x:v>
      </x:c>
      <x:c r="C46" s="3">
        <x:v>44</x:v>
      </x:c>
      <x:c r="D46" s="2" t="s">
        <x:v>682</x:v>
      </x:c>
      <x:c r="E46" s="2" t="s">
        <x:v>705</x:v>
      </x:c>
      <x:c r="F46" s="2" t="s">
        <x:v>139</x:v>
      </x:c>
      <x:c r="G46" s="2"/>
      <x:c r="H46" s="2" t="s">
        <x:v>618</x:v>
      </x:c>
      <x:c r="I46" s="2" t="s">
        <x:v>707</x:v>
      </x:c>
      <x:c r="J46" s="2" t="s">
        <x:v>620</x:v>
      </x:c>
      <x:c r="K46" s="2"/>
      <x:c r="L46" s="2" t="s">
        <x:v>708</x:v>
      </x:c>
      <x:c r="M46" s="2" t="s">
        <x:v>648</x:v>
      </x:c>
      <x:c r="N46" s="2">
        <x:v>2</x:v>
      </x:c>
      <x:c r="O46" s="2" t="s">
        <x:v>623</x:v>
      </x:c>
      <x:c r="P46" s="2" t="s">
        <x:v>649</x:v>
      </x:c>
      <x:c r="Q46" s="2"/>
      <x:c r="R46" s="3">
        <x:v>2</x:v>
      </x:c>
      <x:c r="S46" s="3">
        <x:v>1</x:v>
      </x:c>
      <x:c r="T46" s="2" t="s">
        <x:v>103</x:v>
      </x:c>
      <x:c r="U46" s="2" t="s">
        <x:v>122</x:v>
      </x:c>
      <x:c r="V46" s="2" t="s">
        <x:v>136</x:v>
      </x:c>
      <x:c r="W46" s="2"/>
      <x:c r="X46" s="3"/>
      <x:c r="Y46" s="3"/>
      <x:c r="Z46" s="2"/>
      <x:c r="AA46" s="2"/>
      <x:c r="AB46" s="2"/>
      <x:c r="AC46" s="2"/>
      <x:c r="AD46" s="2"/>
      <x:c r="AE46" s="2"/>
      <x:c r="AF46" s="2"/>
      <x:c r="AG46" s="2"/>
      <x:c r="AH46" s="2"/>
      <x:c r="AI46" s="4"/>
      <x:c r="AJ46" s="2"/>
      <x:c r="AK46" s="2" t="s">
        <x:v>106</x:v>
      </x:c>
      <x:c r="AL46" s="2" t="s">
        <x:v>2857</x:v>
      </x:c>
      <x:c r="AM46" s="2">
        <x:v>46</x:v>
      </x:c>
      <x:c r="AN46" s="2">
        <x:v>46</x:v>
      </x:c>
    </x:row>
    <x:row r="47" ht="65">
      <x:c r="A47" s="2" t="s">
        <x:v>6</x:v>
      </x:c>
      <x:c r="B47" s="2" t="s">
        <x:v>13</x:v>
      </x:c>
      <x:c r="C47" s="3">
        <x:v>45</x:v>
      </x:c>
      <x:c r="D47" s="2" t="s">
        <x:v>709</x:v>
      </x:c>
      <x:c r="E47" s="2" t="s">
        <x:v>710</x:v>
      </x:c>
      <x:c r="F47" s="2" t="s">
        <x:v>139</x:v>
      </x:c>
      <x:c r="G47" s="2"/>
      <x:c r="H47" s="2" t="s">
        <x:v>627</x:v>
      </x:c>
      <x:c r="I47" s="2" t="s">
        <x:v>707</x:v>
      </x:c>
      <x:c r="J47" s="2" t="s">
        <x:v>628</x:v>
      </x:c>
      <x:c r="K47" s="2" t="n">
        <x:v>44</x:v>
      </x:c>
      <x:c r="L47" s="2">
        <x:v>107</x:v>
      </x:c>
      <x:c r="M47" s="2" t="s">
        <x:v>711</x:v>
      </x:c>
      <x:c r="N47" s="2">
        <x:v>2</x:v>
      </x:c>
      <x:c r="O47" s="2" t="s">
        <x:v>712</x:v>
      </x:c>
      <x:c r="P47" s="2" t="s">
        <x:v>654</x:v>
      </x:c>
      <x:c r="Q47" s="2"/>
      <x:c r="R47" s="3">
        <x:v>2</x:v>
      </x:c>
      <x:c r="S47" s="3">
        <x:v>1</x:v>
      </x:c>
      <x:c r="T47" s="2" t="s">
        <x:v>103</x:v>
      </x:c>
      <x:c r="U47" s="2" t="s">
        <x:v>632</x:v>
      </x:c>
      <x:c r="V47" s="2" t="s">
        <x:v>136</x:v>
      </x:c>
      <x:c r="W47" s="2"/>
      <x:c r="X47" s="3"/>
      <x:c r="Y47" s="3"/>
      <x:c r="Z47" s="2"/>
      <x:c r="AA47" s="2"/>
      <x:c r="AB47" s="2"/>
      <x:c r="AC47" s="2"/>
      <x:c r="AD47" s="2"/>
      <x:c r="AE47" s="2"/>
      <x:c r="AF47" s="2"/>
      <x:c r="AG47" s="2"/>
      <x:c r="AH47" s="2"/>
      <x:c r="AI47" s="4"/>
      <x:c r="AJ47" s="2"/>
      <x:c r="AK47" s="2" t="s">
        <x:v>106</x:v>
      </x:c>
      <x:c r="AL47" s="2" t="s">
        <x:v>2857</x:v>
      </x:c>
      <x:c r="AM47" s="2">
        <x:v>47</x:v>
      </x:c>
      <x:c r="AN47" s="2">
        <x:v>47</x:v>
      </x:c>
    </x:row>
    <x:row r="48" ht="65">
      <x:c r="A48" s="2" t="s">
        <x:v>6</x:v>
      </x:c>
      <x:c r="B48" s="2" t="s">
        <x:v>13</x:v>
      </x:c>
      <x:c r="C48" s="3">
        <x:v>46</x:v>
      </x:c>
      <x:c r="D48" s="2" t="s">
        <x:v>690</x:v>
      </x:c>
      <x:c r="E48" s="2" t="s">
        <x:v>705</x:v>
      </x:c>
      <x:c r="F48" s="2" t="s">
        <x:v>139</x:v>
      </x:c>
      <x:c r="G48" s="2"/>
      <x:c r="H48" s="2" t="s">
        <x:v>634</x:v>
      </x:c>
      <x:c r="I48" s="2" t="s">
        <x:v>707</x:v>
      </x:c>
      <x:c r="J48" s="2" t="s">
        <x:v>635</x:v>
      </x:c>
      <x:c r="K48" s="2" t="n">
        <x:v>44</x:v>
      </x:c>
      <x:c r="L48" s="2" t="s">
        <x:v>708</x:v>
      </x:c>
      <x:c r="M48" s="2" t="s">
        <x:v>656</x:v>
      </x:c>
      <x:c r="N48" s="2">
        <x:v>2</x:v>
      </x:c>
      <x:c r="O48" s="2" t="s">
        <x:v>637</x:v>
      </x:c>
      <x:c r="P48" s="2" t="s">
        <x:v>657</x:v>
      </x:c>
      <x:c r="Q48" s="2"/>
      <x:c r="R48" s="3">
        <x:v>2</x:v>
      </x:c>
      <x:c r="S48" s="3">
        <x:v>1</x:v>
      </x:c>
      <x:c r="T48" s="2" t="s">
        <x:v>103</x:v>
      </x:c>
      <x:c r="U48" s="2" t="s">
        <x:v>122</x:v>
      </x:c>
      <x:c r="V48" s="2" t="s">
        <x:v>136</x:v>
      </x:c>
      <x:c r="W48" s="2"/>
      <x:c r="X48" s="3"/>
      <x:c r="Y48" s="3"/>
      <x:c r="Z48" s="2"/>
      <x:c r="AA48" s="2"/>
      <x:c r="AB48" s="2"/>
      <x:c r="AC48" s="2"/>
      <x:c r="AD48" s="2"/>
      <x:c r="AE48" s="2"/>
      <x:c r="AF48" s="2"/>
      <x:c r="AG48" s="2"/>
      <x:c r="AH48" s="2"/>
      <x:c r="AI48" s="4"/>
      <x:c r="AJ48" s="2"/>
      <x:c r="AK48" s="2" t="s">
        <x:v>106</x:v>
      </x:c>
      <x:c r="AL48" s="2" t="s">
        <x:v>2857</x:v>
      </x:c>
      <x:c r="AM48" s="2">
        <x:v>48</x:v>
      </x:c>
      <x:c r="AN48" s="2">
        <x:v>48</x:v>
      </x:c>
    </x:row>
    <x:row r="49" ht="39">
      <x:c r="A49" s="2" t="s">
        <x:v>6</x:v>
      </x:c>
      <x:c r="B49" s="2" t="s">
        <x:v>13</x:v>
      </x:c>
      <x:c r="C49" s="3">
        <x:v>47</x:v>
      </x:c>
      <x:c r="D49" s="2" t="s">
        <x:v>713</x:v>
      </x:c>
      <x:c r="E49" s="2" t="s">
        <x:v>710</x:v>
      </x:c>
      <x:c r="F49" s="2" t="s">
        <x:v>139</x:v>
      </x:c>
      <x:c r="G49" s="2"/>
      <x:c r="H49" s="2" t="s">
        <x:v>634</x:v>
      </x:c>
      <x:c r="I49" s="2" t="s">
        <x:v>707</x:v>
      </x:c>
      <x:c r="J49" s="2" t="s">
        <x:v>640</x:v>
      </x:c>
      <x:c r="K49" s="2" t="n">
        <x:v>44</x:v>
      </x:c>
      <x:c r="L49" s="2">
        <x:v>107</x:v>
      </x:c>
      <x:c r="M49" s="2" t="s">
        <x:v>714</x:v>
      </x:c>
      <x:c r="N49" s="2">
        <x:v>2</x:v>
      </x:c>
      <x:c r="O49" s="2" t="s">
        <x:v>642</x:v>
      </x:c>
      <x:c r="P49" s="2" t="s">
        <x:v>643</x:v>
      </x:c>
      <x:c r="Q49" s="2"/>
      <x:c r="R49" s="3">
        <x:v>2</x:v>
      </x:c>
      <x:c r="S49" s="3">
        <x:v>1</x:v>
      </x:c>
      <x:c r="T49" s="2" t="s">
        <x:v>103</x:v>
      </x:c>
      <x:c r="U49" s="2" t="s">
        <x:v>632</x:v>
      </x:c>
      <x:c r="V49" s="2" t="s">
        <x:v>136</x:v>
      </x:c>
      <x:c r="W49" s="2"/>
      <x:c r="X49" s="3"/>
      <x:c r="Y49" s="3"/>
      <x:c r="Z49" s="2"/>
      <x:c r="AA49" s="2"/>
      <x:c r="AB49" s="2"/>
      <x:c r="AC49" s="2"/>
      <x:c r="AD49" s="2"/>
      <x:c r="AE49" s="2"/>
      <x:c r="AF49" s="2"/>
      <x:c r="AG49" s="2"/>
      <x:c r="AH49" s="2"/>
      <x:c r="AI49" s="4"/>
      <x:c r="AJ49" s="2"/>
      <x:c r="AK49" s="2" t="s">
        <x:v>106</x:v>
      </x:c>
      <x:c r="AL49" s="2" t="s">
        <x:v>2857</x:v>
      </x:c>
      <x:c r="AM49" s="2">
        <x:v>49</x:v>
      </x:c>
      <x:c r="AN49" s="2">
        <x:v>49</x:v>
      </x:c>
    </x:row>
    <x:row r="50" ht="39">
      <x:c r="A50" s="2" t="s">
        <x:v>6</x:v>
      </x:c>
      <x:c r="B50" s="2" t="s">
        <x:v>13</x:v>
      </x:c>
      <x:c r="C50" s="3">
        <x:v>48</x:v>
      </x:c>
      <x:c r="D50" s="2" t="s">
        <x:v>660</x:v>
      </x:c>
      <x:c r="E50" s="2" t="s">
        <x:v>715</x:v>
      </x:c>
      <x:c r="F50" s="2" t="s">
        <x:v>157</x:v>
      </x:c>
      <x:c r="G50" s="2"/>
      <x:c r="H50" s="2" t="s">
        <x:v>618</x:v>
      </x:c>
      <x:c r="I50" s="2" t="s">
        <x:v>716</x:v>
      </x:c>
      <x:c r="J50" s="2" t="s">
        <x:v>620</x:v>
      </x:c>
      <x:c r="K50" s="2"/>
      <x:c r="L50" s="2" t="s">
        <x:v>717</x:v>
      </x:c>
      <x:c r="M50" s="2" t="s">
        <x:v>622</x:v>
      </x:c>
      <x:c r="N50" s="2">
        <x:v>2</x:v>
      </x:c>
      <x:c r="O50" s="2" t="s">
        <x:v>623</x:v>
      </x:c>
      <x:c r="P50" s="2" t="s">
        <x:v>675</x:v>
      </x:c>
      <x:c r="Q50" s="2"/>
      <x:c r="R50" s="3">
        <x:v>3</x:v>
      </x:c>
      <x:c r="S50" s="3">
        <x:v>1</x:v>
      </x:c>
      <x:c r="T50" s="2" t="s">
        <x:v>103</x:v>
      </x:c>
      <x:c r="U50" s="2" t="s">
        <x:v>115</x:v>
      </x:c>
      <x:c r="V50" s="2" t="s">
        <x:v>154</x:v>
      </x:c>
      <x:c r="W50" s="2"/>
      <x:c r="X50" s="3"/>
      <x:c r="Y50" s="3"/>
      <x:c r="Z50" s="2"/>
      <x:c r="AA50" s="2"/>
      <x:c r="AB50" s="2"/>
      <x:c r="AC50" s="2"/>
      <x:c r="AD50" s="2"/>
      <x:c r="AE50" s="2"/>
      <x:c r="AF50" s="2"/>
      <x:c r="AG50" s="2"/>
      <x:c r="AH50" s="2"/>
      <x:c r="AI50" s="4"/>
      <x:c r="AJ50" s="2"/>
      <x:c r="AK50" s="2" t="s">
        <x:v>106</x:v>
      </x:c>
      <x:c r="AL50" s="2" t="s">
        <x:v>2857</x:v>
      </x:c>
      <x:c r="AM50" s="2">
        <x:v>50</x:v>
      </x:c>
      <x:c r="AN50" s="2">
        <x:v>50</x:v>
      </x:c>
    </x:row>
    <x:row r="51" ht="52">
      <x:c r="A51" s="2" t="s">
        <x:v>6</x:v>
      </x:c>
      <x:c r="B51" s="2" t="s">
        <x:v>13</x:v>
      </x:c>
      <x:c r="C51" s="3">
        <x:v>49</x:v>
      </x:c>
      <x:c r="D51" s="2" t="s">
        <x:v>718</x:v>
      </x:c>
      <x:c r="E51" s="2" t="s">
        <x:v>719</x:v>
      </x:c>
      <x:c r="F51" s="2" t="s">
        <x:v>157</x:v>
      </x:c>
      <x:c r="G51" s="2"/>
      <x:c r="H51" s="2" t="s">
        <x:v>627</x:v>
      </x:c>
      <x:c r="I51" s="2" t="s">
        <x:v>716</x:v>
      </x:c>
      <x:c r="J51" s="2" t="s">
        <x:v>628</x:v>
      </x:c>
      <x:c r="K51" s="2" t="n">
        <x:v>48</x:v>
      </x:c>
      <x:c r="L51" s="2">
        <x:v>153</x:v>
      </x:c>
      <x:c r="M51" s="2" t="s">
        <x:v>720</x:v>
      </x:c>
      <x:c r="N51" s="2">
        <x:v>2</x:v>
      </x:c>
      <x:c r="O51" s="2" t="s">
        <x:v>721</x:v>
      </x:c>
      <x:c r="P51" s="2" t="s">
        <x:v>631</x:v>
      </x:c>
      <x:c r="Q51" s="2"/>
      <x:c r="R51" s="3">
        <x:v>3</x:v>
      </x:c>
      <x:c r="S51" s="3">
        <x:v>1</x:v>
      </x:c>
      <x:c r="T51" s="2" t="s">
        <x:v>103</x:v>
      </x:c>
      <x:c r="U51" s="2" t="s">
        <x:v>632</x:v>
      </x:c>
      <x:c r="V51" s="2" t="s">
        <x:v>154</x:v>
      </x:c>
      <x:c r="W51" s="2"/>
      <x:c r="X51" s="3"/>
      <x:c r="Y51" s="3"/>
      <x:c r="Z51" s="2"/>
      <x:c r="AA51" s="2"/>
      <x:c r="AB51" s="2"/>
      <x:c r="AC51" s="2"/>
      <x:c r="AD51" s="2"/>
      <x:c r="AE51" s="2"/>
      <x:c r="AF51" s="2"/>
      <x:c r="AG51" s="2"/>
      <x:c r="AH51" s="2"/>
      <x:c r="AI51" s="4"/>
      <x:c r="AJ51" s="2"/>
      <x:c r="AK51" s="2" t="s">
        <x:v>106</x:v>
      </x:c>
      <x:c r="AL51" s="2" t="s">
        <x:v>2857</x:v>
      </x:c>
      <x:c r="AM51" s="2">
        <x:v>51</x:v>
      </x:c>
      <x:c r="AN51" s="2">
        <x:v>51</x:v>
      </x:c>
    </x:row>
    <x:row r="52" ht="52">
      <x:c r="A52" s="2" t="s">
        <x:v>6</x:v>
      </x:c>
      <x:c r="B52" s="2" t="s">
        <x:v>13</x:v>
      </x:c>
      <x:c r="C52" s="3">
        <x:v>50</x:v>
      </x:c>
      <x:c r="D52" s="2" t="s">
        <x:v>669</x:v>
      </x:c>
      <x:c r="E52" s="2" t="s">
        <x:v>715</x:v>
      </x:c>
      <x:c r="F52" s="2" t="s">
        <x:v>157</x:v>
      </x:c>
      <x:c r="G52" s="2"/>
      <x:c r="H52" s="2" t="s">
        <x:v>634</x:v>
      </x:c>
      <x:c r="I52" s="2" t="s">
        <x:v>716</x:v>
      </x:c>
      <x:c r="J52" s="2" t="s">
        <x:v>635</x:v>
      </x:c>
      <x:c r="K52" s="2" t="n">
        <x:v>48</x:v>
      </x:c>
      <x:c r="L52" s="2" t="s">
        <x:v>717</x:v>
      </x:c>
      <x:c r="M52" s="2" t="s">
        <x:v>636</x:v>
      </x:c>
      <x:c r="N52" s="2">
        <x:v>2</x:v>
      </x:c>
      <x:c r="O52" s="2" t="s">
        <x:v>637</x:v>
      </x:c>
      <x:c r="P52" s="2" t="s">
        <x:v>679</x:v>
      </x:c>
      <x:c r="Q52" s="2"/>
      <x:c r="R52" s="3">
        <x:v>3</x:v>
      </x:c>
      <x:c r="S52" s="3">
        <x:v>1</x:v>
      </x:c>
      <x:c r="T52" s="2" t="s">
        <x:v>103</x:v>
      </x:c>
      <x:c r="U52" s="2" t="s">
        <x:v>115</x:v>
      </x:c>
      <x:c r="V52" s="2" t="s">
        <x:v>154</x:v>
      </x:c>
      <x:c r="W52" s="2"/>
      <x:c r="X52" s="3"/>
      <x:c r="Y52" s="3"/>
      <x:c r="Z52" s="2"/>
      <x:c r="AA52" s="2"/>
      <x:c r="AB52" s="2"/>
      <x:c r="AC52" s="2"/>
      <x:c r="AD52" s="2"/>
      <x:c r="AE52" s="2"/>
      <x:c r="AF52" s="2"/>
      <x:c r="AG52" s="2"/>
      <x:c r="AH52" s="2"/>
      <x:c r="AI52" s="4"/>
      <x:c r="AJ52" s="2"/>
      <x:c r="AK52" s="2" t="s">
        <x:v>106</x:v>
      </x:c>
      <x:c r="AL52" s="2" t="s">
        <x:v>2857</x:v>
      </x:c>
      <x:c r="AM52" s="2">
        <x:v>52</x:v>
      </x:c>
      <x:c r="AN52" s="2">
        <x:v>52</x:v>
      </x:c>
    </x:row>
    <x:row r="53" ht="39">
      <x:c r="A53" s="2" t="s">
        <x:v>6</x:v>
      </x:c>
      <x:c r="B53" s="2" t="s">
        <x:v>13</x:v>
      </x:c>
      <x:c r="C53" s="3">
        <x:v>51</x:v>
      </x:c>
      <x:c r="D53" s="2" t="s">
        <x:v>722</x:v>
      </x:c>
      <x:c r="E53" s="2" t="s">
        <x:v>719</x:v>
      </x:c>
      <x:c r="F53" s="2" t="s">
        <x:v>157</x:v>
      </x:c>
      <x:c r="G53" s="2"/>
      <x:c r="H53" s="2" t="s">
        <x:v>634</x:v>
      </x:c>
      <x:c r="I53" s="2" t="s">
        <x:v>716</x:v>
      </x:c>
      <x:c r="J53" s="2" t="s">
        <x:v>640</x:v>
      </x:c>
      <x:c r="K53" s="2" t="n">
        <x:v>48</x:v>
      </x:c>
      <x:c r="L53" s="2">
        <x:v>153</x:v>
      </x:c>
      <x:c r="M53" s="2" t="s">
        <x:v>723</x:v>
      </x:c>
      <x:c r="N53" s="2">
        <x:v>2</x:v>
      </x:c>
      <x:c r="O53" s="2" t="s">
        <x:v>642</x:v>
      </x:c>
      <x:c r="P53" s="2" t="s">
        <x:v>643</x:v>
      </x:c>
      <x:c r="Q53" s="2"/>
      <x:c r="R53" s="3">
        <x:v>3</x:v>
      </x:c>
      <x:c r="S53" s="3">
        <x:v>1</x:v>
      </x:c>
      <x:c r="T53" s="2" t="s">
        <x:v>103</x:v>
      </x:c>
      <x:c r="U53" s="2" t="s">
        <x:v>632</x:v>
      </x:c>
      <x:c r="V53" s="2" t="s">
        <x:v>154</x:v>
      </x:c>
      <x:c r="W53" s="2"/>
      <x:c r="X53" s="3"/>
      <x:c r="Y53" s="3"/>
      <x:c r="Z53" s="2"/>
      <x:c r="AA53" s="2"/>
      <x:c r="AB53" s="2"/>
      <x:c r="AC53" s="2"/>
      <x:c r="AD53" s="2"/>
      <x:c r="AE53" s="2"/>
      <x:c r="AF53" s="2"/>
      <x:c r="AG53" s="2"/>
      <x:c r="AH53" s="2"/>
      <x:c r="AI53" s="4"/>
      <x:c r="AJ53" s="2"/>
      <x:c r="AK53" s="2" t="s">
        <x:v>106</x:v>
      </x:c>
      <x:c r="AL53" s="2" t="s">
        <x:v>2857</x:v>
      </x:c>
      <x:c r="AM53" s="2">
        <x:v>53</x:v>
      </x:c>
      <x:c r="AN53" s="2">
        <x:v>53</x:v>
      </x:c>
    </x:row>
    <x:row r="54" ht="39">
      <x:c r="A54" s="2" t="s">
        <x:v>6</x:v>
      </x:c>
      <x:c r="B54" s="2" t="s">
        <x:v>13</x:v>
      </x:c>
      <x:c r="C54" s="3">
        <x:v>52</x:v>
      </x:c>
      <x:c r="D54" s="2" t="s">
        <x:v>616</x:v>
      </x:c>
      <x:c r="E54" s="2" t="s">
        <x:v>724</x:v>
      </x:c>
      <x:c r="F54" s="2" t="s">
        <x:v>94</x:v>
      </x:c>
      <x:c r="G54" s="2"/>
      <x:c r="H54" s="2" t="s">
        <x:v>618</x:v>
      </x:c>
      <x:c r="I54" s="2" t="s">
        <x:v>725</x:v>
      </x:c>
      <x:c r="J54" s="2" t="s">
        <x:v>620</x:v>
      </x:c>
      <x:c r="K54" s="2"/>
      <x:c r="L54" s="2" t="s">
        <x:v>726</x:v>
      </x:c>
      <x:c r="M54" s="2" t="s">
        <x:v>622</x:v>
      </x:c>
      <x:c r="N54" s="2">
        <x:v>2</x:v>
      </x:c>
      <x:c r="O54" s="2" t="s">
        <x:v>623</x:v>
      </x:c>
      <x:c r="P54" s="2" t="s">
        <x:v>624</x:v>
      </x:c>
      <x:c r="Q54" s="2"/>
      <x:c r="R54" s="3">
        <x:v>4</x:v>
      </x:c>
      <x:c r="S54" s="3">
        <x:v>1</x:v>
      </x:c>
      <x:c r="T54" s="2" t="s">
        <x:v>103</x:v>
      </x:c>
      <x:c r="U54" s="2" t="s">
        <x:v>129</x:v>
      </x:c>
      <x:c r="V54" s="2" t="s">
        <x:v>105</x:v>
      </x:c>
      <x:c r="W54" s="2"/>
      <x:c r="X54" s="3"/>
      <x:c r="Y54" s="3"/>
      <x:c r="Z54" s="2"/>
      <x:c r="AA54" s="2"/>
      <x:c r="AB54" s="2"/>
      <x:c r="AC54" s="2"/>
      <x:c r="AD54" s="2"/>
      <x:c r="AE54" s="2"/>
      <x:c r="AF54" s="2"/>
      <x:c r="AG54" s="2"/>
      <x:c r="AH54" s="2"/>
      <x:c r="AI54" s="4"/>
      <x:c r="AJ54" s="2"/>
      <x:c r="AK54" s="2" t="s">
        <x:v>106</x:v>
      </x:c>
      <x:c r="AL54" s="2" t="s">
        <x:v>2857</x:v>
      </x:c>
      <x:c r="AM54" s="2">
        <x:v>54</x:v>
      </x:c>
      <x:c r="AN54" s="2">
        <x:v>54</x:v>
      </x:c>
    </x:row>
    <x:row r="55" ht="39">
      <x:c r="A55" s="2" t="s">
        <x:v>6</x:v>
      </x:c>
      <x:c r="B55" s="2" t="s">
        <x:v>13</x:v>
      </x:c>
      <x:c r="C55" s="3">
        <x:v>53</x:v>
      </x:c>
      <x:c r="D55" s="2" t="s">
        <x:v>676</x:v>
      </x:c>
      <x:c r="E55" s="2" t="s">
        <x:v>727</x:v>
      </x:c>
      <x:c r="F55" s="2" t="s">
        <x:v>94</x:v>
      </x:c>
      <x:c r="G55" s="2"/>
      <x:c r="H55" s="2" t="s">
        <x:v>627</x:v>
      </x:c>
      <x:c r="I55" s="2" t="s">
        <x:v>725</x:v>
      </x:c>
      <x:c r="J55" s="2" t="s">
        <x:v>628</x:v>
      </x:c>
      <x:c r="K55" s="2" t="n">
        <x:v>52</x:v>
      </x:c>
      <x:c r="L55" s="2">
        <x:v>39</x:v>
      </x:c>
      <x:c r="M55" s="2" t="s">
        <x:v>729</x:v>
      </x:c>
      <x:c r="N55" s="2">
        <x:v>2</x:v>
      </x:c>
      <x:c r="O55" s="2" t="s">
        <x:v>730</x:v>
      </x:c>
      <x:c r="P55" s="2" t="s">
        <x:v>631</x:v>
      </x:c>
      <x:c r="Q55" s="2"/>
      <x:c r="R55" s="3">
        <x:v>4</x:v>
      </x:c>
      <x:c r="S55" s="3">
        <x:v>1</x:v>
      </x:c>
      <x:c r="T55" s="2" t="s">
        <x:v>103</x:v>
      </x:c>
      <x:c r="U55" s="2" t="s">
        <x:v>632</x:v>
      </x:c>
      <x:c r="V55" s="2" t="s">
        <x:v>105</x:v>
      </x:c>
      <x:c r="W55" s="2"/>
      <x:c r="X55" s="3"/>
      <x:c r="Y55" s="3"/>
      <x:c r="Z55" s="2"/>
      <x:c r="AA55" s="2"/>
      <x:c r="AB55" s="2"/>
      <x:c r="AC55" s="2"/>
      <x:c r="AD55" s="2"/>
      <x:c r="AE55" s="2"/>
      <x:c r="AF55" s="2"/>
      <x:c r="AG55" s="2"/>
      <x:c r="AH55" s="2"/>
      <x:c r="AI55" s="4"/>
      <x:c r="AJ55" s="2"/>
      <x:c r="AK55" s="2" t="s">
        <x:v>106</x:v>
      </x:c>
      <x:c r="AL55" s="2" t="s">
        <x:v>2857</x:v>
      </x:c>
      <x:c r="AM55" s="2">
        <x:v>55</x:v>
      </x:c>
      <x:c r="AN55" s="2">
        <x:v>55</x:v>
      </x:c>
    </x:row>
    <x:row r="56" ht="52">
      <x:c r="A56" s="2" t="s">
        <x:v>6</x:v>
      </x:c>
      <x:c r="B56" s="2" t="s">
        <x:v>13</x:v>
      </x:c>
      <x:c r="C56" s="3">
        <x:v>54</x:v>
      </x:c>
      <x:c r="D56" s="2" t="s">
        <x:v>633</x:v>
      </x:c>
      <x:c r="E56" s="2" t="s">
        <x:v>724</x:v>
      </x:c>
      <x:c r="F56" s="2" t="s">
        <x:v>94</x:v>
      </x:c>
      <x:c r="G56" s="2"/>
      <x:c r="H56" s="2" t="s">
        <x:v>634</x:v>
      </x:c>
      <x:c r="I56" s="2" t="s">
        <x:v>725</x:v>
      </x:c>
      <x:c r="J56" s="2" t="s">
        <x:v>635</x:v>
      </x:c>
      <x:c r="K56" s="2" t="n">
        <x:v>52</x:v>
      </x:c>
      <x:c r="L56" s="2" t="s">
        <x:v>726</x:v>
      </x:c>
      <x:c r="M56" s="2" t="s">
        <x:v>636</x:v>
      </x:c>
      <x:c r="N56" s="2">
        <x:v>2</x:v>
      </x:c>
      <x:c r="O56" s="2" t="s">
        <x:v>637</x:v>
      </x:c>
      <x:c r="P56" s="2" t="s">
        <x:v>638</x:v>
      </x:c>
      <x:c r="Q56" s="2"/>
      <x:c r="R56" s="3">
        <x:v>4</x:v>
      </x:c>
      <x:c r="S56" s="3">
        <x:v>1</x:v>
      </x:c>
      <x:c r="T56" s="2" t="s">
        <x:v>103</x:v>
      </x:c>
      <x:c r="U56" s="2" t="s">
        <x:v>129</x:v>
      </x:c>
      <x:c r="V56" s="2" t="s">
        <x:v>105</x:v>
      </x:c>
      <x:c r="W56" s="2"/>
      <x:c r="X56" s="3"/>
      <x:c r="Y56" s="3"/>
      <x:c r="Z56" s="2"/>
      <x:c r="AA56" s="2"/>
      <x:c r="AB56" s="2"/>
      <x:c r="AC56" s="2"/>
      <x:c r="AD56" s="2"/>
      <x:c r="AE56" s="2"/>
      <x:c r="AF56" s="2"/>
      <x:c r="AG56" s="2"/>
      <x:c r="AH56" s="2"/>
      <x:c r="AI56" s="4"/>
      <x:c r="AJ56" s="2"/>
      <x:c r="AK56" s="2" t="s">
        <x:v>106</x:v>
      </x:c>
      <x:c r="AL56" s="2" t="s">
        <x:v>2857</x:v>
      </x:c>
      <x:c r="AM56" s="2">
        <x:v>56</x:v>
      </x:c>
      <x:c r="AN56" s="2">
        <x:v>56</x:v>
      </x:c>
    </x:row>
    <x:row r="57" ht="39">
      <x:c r="A57" s="2" t="s">
        <x:v>6</x:v>
      </x:c>
      <x:c r="B57" s="2" t="s">
        <x:v>13</x:v>
      </x:c>
      <x:c r="C57" s="3">
        <x:v>55</x:v>
      </x:c>
      <x:c r="D57" s="2" t="s">
        <x:v>731</x:v>
      </x:c>
      <x:c r="E57" s="2" t="s">
        <x:v>727</x:v>
      </x:c>
      <x:c r="F57" s="2" t="s">
        <x:v>94</x:v>
      </x:c>
      <x:c r="G57" s="2"/>
      <x:c r="H57" s="2" t="s">
        <x:v>634</x:v>
      </x:c>
      <x:c r="I57" s="2" t="s">
        <x:v>725</x:v>
      </x:c>
      <x:c r="J57" s="2" t="s">
        <x:v>640</x:v>
      </x:c>
      <x:c r="K57" s="2" t="n">
        <x:v>52</x:v>
      </x:c>
      <x:c r="L57" s="2">
        <x:v>39</x:v>
      </x:c>
      <x:c r="M57" s="2" t="s">
        <x:v>732</x:v>
      </x:c>
      <x:c r="N57" s="2">
        <x:v>2</x:v>
      </x:c>
      <x:c r="O57" s="2" t="s">
        <x:v>642</x:v>
      </x:c>
      <x:c r="P57" s="2" t="s">
        <x:v>643</x:v>
      </x:c>
      <x:c r="Q57" s="2"/>
      <x:c r="R57" s="3">
        <x:v>4</x:v>
      </x:c>
      <x:c r="S57" s="3">
        <x:v>1</x:v>
      </x:c>
      <x:c r="T57" s="2" t="s">
        <x:v>103</x:v>
      </x:c>
      <x:c r="U57" s="2" t="s">
        <x:v>632</x:v>
      </x:c>
      <x:c r="V57" s="2" t="s">
        <x:v>105</x:v>
      </x:c>
      <x:c r="W57" s="2"/>
      <x:c r="X57" s="3"/>
      <x:c r="Y57" s="3"/>
      <x:c r="Z57" s="2"/>
      <x:c r="AA57" s="2"/>
      <x:c r="AB57" s="2"/>
      <x:c r="AC57" s="2"/>
      <x:c r="AD57" s="2"/>
      <x:c r="AE57" s="2"/>
      <x:c r="AF57" s="2"/>
      <x:c r="AG57" s="2"/>
      <x:c r="AH57" s="2"/>
      <x:c r="AI57" s="4"/>
      <x:c r="AJ57" s="2"/>
      <x:c r="AK57" s="2" t="s">
        <x:v>106</x:v>
      </x:c>
      <x:c r="AL57" s="2" t="s">
        <x:v>2857</x:v>
      </x:c>
      <x:c r="AM57" s="2">
        <x:v>57</x:v>
      </x:c>
      <x:c r="AN57" s="2">
        <x:v>57</x:v>
      </x:c>
    </x:row>
    <x:row r="58" ht="65">
      <x:c r="A58" s="2" t="s">
        <x:v>6</x:v>
      </x:c>
      <x:c r="B58" s="2" t="s">
        <x:v>13</x:v>
      </x:c>
      <x:c r="C58" s="3">
        <x:v>56</x:v>
      </x:c>
      <x:c r="D58" s="2" t="s">
        <x:v>644</x:v>
      </x:c>
      <x:c r="E58" s="2" t="s">
        <x:v>733</x:v>
      </x:c>
      <x:c r="F58" s="2" t="s">
        <x:v>118</x:v>
      </x:c>
      <x:c r="G58" s="2"/>
      <x:c r="H58" s="2" t="s">
        <x:v>618</x:v>
      </x:c>
      <x:c r="I58" s="2" t="s">
        <x:v>734</x:v>
      </x:c>
      <x:c r="J58" s="2" t="s">
        <x:v>620</x:v>
      </x:c>
      <x:c r="K58" s="2"/>
      <x:c r="L58" s="2" t="s">
        <x:v>735</x:v>
      </x:c>
      <x:c r="M58" s="2" t="s">
        <x:v>648</x:v>
      </x:c>
      <x:c r="N58" s="2">
        <x:v>2</x:v>
      </x:c>
      <x:c r="O58" s="2" t="s">
        <x:v>623</x:v>
      </x:c>
      <x:c r="P58" s="2" t="s">
        <x:v>649</x:v>
      </x:c>
      <x:c r="Q58" s="2"/>
      <x:c r="R58" s="3">
        <x:v>2</x:v>
      </x:c>
      <x:c r="S58" s="3">
        <x:v>1</x:v>
      </x:c>
      <x:c r="T58" s="2" t="s">
        <x:v>103</x:v>
      </x:c>
      <x:c r="U58" s="2" t="s">
        <x:v>104</x:v>
      </x:c>
      <x:c r="V58" s="2" t="s">
        <x:v>123</x:v>
      </x:c>
      <x:c r="W58" s="2"/>
      <x:c r="X58" s="3"/>
      <x:c r="Y58" s="3"/>
      <x:c r="Z58" s="2"/>
      <x:c r="AA58" s="2"/>
      <x:c r="AB58" s="2"/>
      <x:c r="AC58" s="2"/>
      <x:c r="AD58" s="2"/>
      <x:c r="AE58" s="2"/>
      <x:c r="AF58" s="2"/>
      <x:c r="AG58" s="2"/>
      <x:c r="AH58" s="2"/>
      <x:c r="AI58" s="4"/>
      <x:c r="AJ58" s="2"/>
      <x:c r="AK58" s="2" t="s">
        <x:v>106</x:v>
      </x:c>
      <x:c r="AL58" s="2" t="s">
        <x:v>2857</x:v>
      </x:c>
      <x:c r="AM58" s="2">
        <x:v>58</x:v>
      </x:c>
      <x:c r="AN58" s="2">
        <x:v>58</x:v>
      </x:c>
    </x:row>
    <x:row r="59" ht="65">
      <x:c r="A59" s="2" t="s">
        <x:v>6</x:v>
      </x:c>
      <x:c r="B59" s="2" t="s">
        <x:v>13</x:v>
      </x:c>
      <x:c r="C59" s="3">
        <x:v>57</x:v>
      </x:c>
      <x:c r="D59" s="2" t="s">
        <x:v>698</x:v>
      </x:c>
      <x:c r="E59" s="2" t="s">
        <x:v>736</x:v>
      </x:c>
      <x:c r="F59" s="2" t="s">
        <x:v>118</x:v>
      </x:c>
      <x:c r="G59" s="2"/>
      <x:c r="H59" s="2" t="s">
        <x:v>627</x:v>
      </x:c>
      <x:c r="I59" s="2" t="s">
        <x:v>734</x:v>
      </x:c>
      <x:c r="J59" s="2" t="s">
        <x:v>628</x:v>
      </x:c>
      <x:c r="K59" s="2" t="n">
        <x:v>56</x:v>
      </x:c>
      <x:c r="L59" s="2">
        <x:v>71</x:v>
      </x:c>
      <x:c r="M59" s="2" t="s">
        <x:v>737</x:v>
      </x:c>
      <x:c r="N59" s="2">
        <x:v>2</x:v>
      </x:c>
      <x:c r="O59" s="2" t="s">
        <x:v>738</x:v>
      </x:c>
      <x:c r="P59" s="2" t="s">
        <x:v>654</x:v>
      </x:c>
      <x:c r="Q59" s="2"/>
      <x:c r="R59" s="3">
        <x:v>2</x:v>
      </x:c>
      <x:c r="S59" s="3">
        <x:v>1</x:v>
      </x:c>
      <x:c r="T59" s="2" t="s">
        <x:v>103</x:v>
      </x:c>
      <x:c r="U59" s="2" t="s">
        <x:v>632</x:v>
      </x:c>
      <x:c r="V59" s="2" t="s">
        <x:v>123</x:v>
      </x:c>
      <x:c r="W59" s="2"/>
      <x:c r="X59" s="3"/>
      <x:c r="Y59" s="3"/>
      <x:c r="Z59" s="2"/>
      <x:c r="AA59" s="2"/>
      <x:c r="AB59" s="2"/>
      <x:c r="AC59" s="2"/>
      <x:c r="AD59" s="2"/>
      <x:c r="AE59" s="2"/>
      <x:c r="AF59" s="2"/>
      <x:c r="AG59" s="2"/>
      <x:c r="AH59" s="2"/>
      <x:c r="AI59" s="4"/>
      <x:c r="AJ59" s="2"/>
      <x:c r="AK59" s="2" t="s">
        <x:v>106</x:v>
      </x:c>
      <x:c r="AL59" s="2" t="s">
        <x:v>2857</x:v>
      </x:c>
      <x:c r="AM59" s="2">
        <x:v>59</x:v>
      </x:c>
      <x:c r="AN59" s="2">
        <x:v>59</x:v>
      </x:c>
    </x:row>
    <x:row r="60" ht="65">
      <x:c r="A60" s="2" t="s">
        <x:v>6</x:v>
      </x:c>
      <x:c r="B60" s="2" t="s">
        <x:v>13</x:v>
      </x:c>
      <x:c r="C60" s="3">
        <x:v>58</x:v>
      </x:c>
      <x:c r="D60" s="2" t="s">
        <x:v>655</x:v>
      </x:c>
      <x:c r="E60" s="2" t="s">
        <x:v>733</x:v>
      </x:c>
      <x:c r="F60" s="2" t="s">
        <x:v>118</x:v>
      </x:c>
      <x:c r="G60" s="2"/>
      <x:c r="H60" s="2" t="s">
        <x:v>634</x:v>
      </x:c>
      <x:c r="I60" s="2" t="s">
        <x:v>734</x:v>
      </x:c>
      <x:c r="J60" s="2" t="s">
        <x:v>635</x:v>
      </x:c>
      <x:c r="K60" s="2" t="n">
        <x:v>56</x:v>
      </x:c>
      <x:c r="L60" s="2" t="s">
        <x:v>735</x:v>
      </x:c>
      <x:c r="M60" s="2" t="s">
        <x:v>656</x:v>
      </x:c>
      <x:c r="N60" s="2">
        <x:v>2</x:v>
      </x:c>
      <x:c r="O60" s="2" t="s">
        <x:v>637</x:v>
      </x:c>
      <x:c r="P60" s="2" t="s">
        <x:v>657</x:v>
      </x:c>
      <x:c r="Q60" s="2"/>
      <x:c r="R60" s="3">
        <x:v>2</x:v>
      </x:c>
      <x:c r="S60" s="3">
        <x:v>1</x:v>
      </x:c>
      <x:c r="T60" s="2" t="s">
        <x:v>103</x:v>
      </x:c>
      <x:c r="U60" s="2" t="s">
        <x:v>104</x:v>
      </x:c>
      <x:c r="V60" s="2" t="s">
        <x:v>123</x:v>
      </x:c>
      <x:c r="W60" s="2"/>
      <x:c r="X60" s="3"/>
      <x:c r="Y60" s="3"/>
      <x:c r="Z60" s="2"/>
      <x:c r="AA60" s="2"/>
      <x:c r="AB60" s="2"/>
      <x:c r="AC60" s="2"/>
      <x:c r="AD60" s="2"/>
      <x:c r="AE60" s="2"/>
      <x:c r="AF60" s="2"/>
      <x:c r="AG60" s="2"/>
      <x:c r="AH60" s="2"/>
      <x:c r="AI60" s="4"/>
      <x:c r="AJ60" s="2"/>
      <x:c r="AK60" s="2" t="s">
        <x:v>106</x:v>
      </x:c>
      <x:c r="AL60" s="2" t="s">
        <x:v>2857</x:v>
      </x:c>
      <x:c r="AM60" s="2">
        <x:v>60</x:v>
      </x:c>
      <x:c r="AN60" s="2">
        <x:v>60</x:v>
      </x:c>
    </x:row>
    <x:row r="61" ht="39">
      <x:c r="A61" s="2" t="s">
        <x:v>6</x:v>
      </x:c>
      <x:c r="B61" s="2" t="s">
        <x:v>13</x:v>
      </x:c>
      <x:c r="C61" s="3">
        <x:v>59</x:v>
      </x:c>
      <x:c r="D61" s="2" t="s">
        <x:v>739</x:v>
      </x:c>
      <x:c r="E61" s="2" t="s">
        <x:v>736</x:v>
      </x:c>
      <x:c r="F61" s="2" t="s">
        <x:v>118</x:v>
      </x:c>
      <x:c r="G61" s="2"/>
      <x:c r="H61" s="2" t="s">
        <x:v>634</x:v>
      </x:c>
      <x:c r="I61" s="2" t="s">
        <x:v>734</x:v>
      </x:c>
      <x:c r="J61" s="2" t="s">
        <x:v>640</x:v>
      </x:c>
      <x:c r="K61" s="2" t="n">
        <x:v>56</x:v>
      </x:c>
      <x:c r="L61" s="2">
        <x:v>71</x:v>
      </x:c>
      <x:c r="M61" s="2" t="s">
        <x:v>740</x:v>
      </x:c>
      <x:c r="N61" s="2">
        <x:v>2</x:v>
      </x:c>
      <x:c r="O61" s="2" t="s">
        <x:v>642</x:v>
      </x:c>
      <x:c r="P61" s="2" t="s">
        <x:v>643</x:v>
      </x:c>
      <x:c r="Q61" s="2"/>
      <x:c r="R61" s="3">
        <x:v>2</x:v>
      </x:c>
      <x:c r="S61" s="3">
        <x:v>1</x:v>
      </x:c>
      <x:c r="T61" s="2" t="s">
        <x:v>103</x:v>
      </x:c>
      <x:c r="U61" s="2" t="s">
        <x:v>632</x:v>
      </x:c>
      <x:c r="V61" s="2" t="s">
        <x:v>123</x:v>
      </x:c>
      <x:c r="W61" s="2"/>
      <x:c r="X61" s="3"/>
      <x:c r="Y61" s="3"/>
      <x:c r="Z61" s="2"/>
      <x:c r="AA61" s="2"/>
      <x:c r="AB61" s="2"/>
      <x:c r="AC61" s="2"/>
      <x:c r="AD61" s="2"/>
      <x:c r="AE61" s="2"/>
      <x:c r="AF61" s="2"/>
      <x:c r="AG61" s="2"/>
      <x:c r="AH61" s="2"/>
      <x:c r="AI61" s="4"/>
      <x:c r="AJ61" s="2"/>
      <x:c r="AK61" s="2" t="s">
        <x:v>106</x:v>
      </x:c>
      <x:c r="AL61" s="2" t="s">
        <x:v>2857</x:v>
      </x:c>
      <x:c r="AM61" s="2">
        <x:v>61</x:v>
      </x:c>
      <x:c r="AN61" s="2">
        <x:v>61</x:v>
      </x:c>
    </x:row>
    <x:row r="62" ht="65">
      <x:c r="A62" s="2" t="s">
        <x:v>6</x:v>
      </x:c>
      <x:c r="B62" s="2" t="s">
        <x:v>13</x:v>
      </x:c>
      <x:c r="C62" s="3">
        <x:v>60</x:v>
      </x:c>
      <x:c r="D62" s="2" t="s">
        <x:v>682</x:v>
      </x:c>
      <x:c r="E62" s="2" t="s">
        <x:v>741</x:v>
      </x:c>
      <x:c r="F62" s="2" t="s">
        <x:v>139</x:v>
      </x:c>
      <x:c r="G62" s="2"/>
      <x:c r="H62" s="2" t="s">
        <x:v>618</x:v>
      </x:c>
      <x:c r="I62" s="2" t="s">
        <x:v>743</x:v>
      </x:c>
      <x:c r="J62" s="2" t="s">
        <x:v>620</x:v>
      </x:c>
      <x:c r="K62" s="2"/>
      <x:c r="L62" s="2" t="s">
        <x:v>744</x:v>
      </x:c>
      <x:c r="M62" s="2" t="s">
        <x:v>648</x:v>
      </x:c>
      <x:c r="N62" s="2">
        <x:v>3</x:v>
      </x:c>
      <x:c r="O62" s="2" t="s">
        <x:v>623</x:v>
      </x:c>
      <x:c r="P62" s="2" t="s">
        <x:v>649</x:v>
      </x:c>
      <x:c r="Q62" s="2"/>
      <x:c r="R62" s="3">
        <x:v>3</x:v>
      </x:c>
      <x:c r="S62" s="3">
        <x:v>1</x:v>
      </x:c>
      <x:c r="T62" s="2" t="s">
        <x:v>103</x:v>
      </x:c>
      <x:c r="U62" s="2" t="s">
        <x:v>122</x:v>
      </x:c>
      <x:c r="V62" s="2" t="s">
        <x:v>136</x:v>
      </x:c>
      <x:c r="W62" s="2"/>
      <x:c r="X62" s="3"/>
      <x:c r="Y62" s="3"/>
      <x:c r="Z62" s="2"/>
      <x:c r="AA62" s="2"/>
      <x:c r="AB62" s="2"/>
      <x:c r="AC62" s="2"/>
      <x:c r="AD62" s="2"/>
      <x:c r="AE62" s="2"/>
      <x:c r="AF62" s="2"/>
      <x:c r="AG62" s="2"/>
      <x:c r="AH62" s="2"/>
      <x:c r="AI62" s="4"/>
      <x:c r="AJ62" s="2"/>
      <x:c r="AK62" s="2" t="s">
        <x:v>106</x:v>
      </x:c>
      <x:c r="AL62" s="2" t="s">
        <x:v>2857</x:v>
      </x:c>
      <x:c r="AM62" s="2">
        <x:v>62</x:v>
      </x:c>
      <x:c r="AN62" s="2">
        <x:v>62</x:v>
      </x:c>
    </x:row>
    <x:row r="63" ht="65">
      <x:c r="A63" s="2" t="s">
        <x:v>6</x:v>
      </x:c>
      <x:c r="B63" s="2" t="s">
        <x:v>13</x:v>
      </x:c>
      <x:c r="C63" s="3">
        <x:v>61</x:v>
      </x:c>
      <x:c r="D63" s="2" t="s">
        <x:v>745</x:v>
      </x:c>
      <x:c r="E63" s="2" t="s">
        <x:v>746</x:v>
      </x:c>
      <x:c r="F63" s="2" t="s">
        <x:v>139</x:v>
      </x:c>
      <x:c r="G63" s="2"/>
      <x:c r="H63" s="2" t="s">
        <x:v>627</x:v>
      </x:c>
      <x:c r="I63" s="2" t="s">
        <x:v>743</x:v>
      </x:c>
      <x:c r="J63" s="2" t="s">
        <x:v>628</x:v>
      </x:c>
      <x:c r="K63" s="2" t="n">
        <x:v>60</x:v>
      </x:c>
      <x:c r="L63" s="2">
        <x:v>102</x:v>
      </x:c>
      <x:c r="M63" s="2" t="s">
        <x:v>747</x:v>
      </x:c>
      <x:c r="N63" s="2">
        <x:v>3</x:v>
      </x:c>
      <x:c r="O63" s="2" t="s">
        <x:v>712</x:v>
      </x:c>
      <x:c r="P63" s="2" t="s">
        <x:v>654</x:v>
      </x:c>
      <x:c r="Q63" s="2"/>
      <x:c r="R63" s="3">
        <x:v>3</x:v>
      </x:c>
      <x:c r="S63" s="3">
        <x:v>1</x:v>
      </x:c>
      <x:c r="T63" s="2" t="s">
        <x:v>103</x:v>
      </x:c>
      <x:c r="U63" s="2" t="s">
        <x:v>632</x:v>
      </x:c>
      <x:c r="V63" s="2" t="s">
        <x:v>136</x:v>
      </x:c>
      <x:c r="W63" s="2"/>
      <x:c r="X63" s="3"/>
      <x:c r="Y63" s="3"/>
      <x:c r="Z63" s="2"/>
      <x:c r="AA63" s="2"/>
      <x:c r="AB63" s="2"/>
      <x:c r="AC63" s="2"/>
      <x:c r="AD63" s="2"/>
      <x:c r="AE63" s="2"/>
      <x:c r="AF63" s="2"/>
      <x:c r="AG63" s="2"/>
      <x:c r="AH63" s="2"/>
      <x:c r="AI63" s="4"/>
      <x:c r="AJ63" s="2"/>
      <x:c r="AK63" s="2" t="s">
        <x:v>106</x:v>
      </x:c>
      <x:c r="AL63" s="2" t="s">
        <x:v>2857</x:v>
      </x:c>
      <x:c r="AM63" s="2">
        <x:v>63</x:v>
      </x:c>
      <x:c r="AN63" s="2">
        <x:v>63</x:v>
      </x:c>
    </x:row>
    <x:row r="64" ht="39">
      <x:c r="A64" s="2" t="s">
        <x:v>91</x:v>
      </x:c>
      <x:c r="B64" s="2" t="s">
        <x:v>13</x:v>
      </x:c>
      <x:c r="C64" s="3">
        <x:v>62</x:v>
      </x:c>
      <x:c r="D64" s="2" t="s">
        <x:v>660</x:v>
      </x:c>
      <x:c r="E64" s="2" t="s">
        <x:v>748</x:v>
      </x:c>
      <x:c r="F64" s="2" t="s">
        <x:v>157</x:v>
      </x:c>
      <x:c r="G64" s="2" t="s">
        <x:v>815</x:v>
      </x:c>
      <x:c r="H64" s="2" t="s">
        <x:v>618</x:v>
      </x:c>
      <x:c r="I64" s="2" t="s">
        <x:v>749</x:v>
      </x:c>
      <x:c r="J64" s="2" t="s">
        <x:v>620</x:v>
      </x:c>
      <x:c r="K64" s="2"/>
      <x:c r="L64" s="2" t="s">
        <x:v>750</x:v>
      </x:c>
      <x:c r="M64" s="2" t="s">
        <x:v>622</x:v>
      </x:c>
      <x:c r="N64" s="2">
        <x:v>3</x:v>
      </x:c>
      <x:c r="O64" s="2" t="s">
        <x:v>623</x:v>
      </x:c>
      <x:c r="P64" s="2" t="s">
        <x:v>624</x:v>
      </x:c>
      <x:c r="Q64" s="2"/>
      <x:c r="R64" s="3">
        <x:v>4</x:v>
      </x:c>
      <x:c r="S64" s="3">
        <x:v>1</x:v>
      </x:c>
      <x:c r="T64" s="2" t="s">
        <x:v>103</x:v>
      </x:c>
      <x:c r="U64" s="2" t="s">
        <x:v>115</x:v>
      </x:c>
      <x:c r="V64" s="2" t="s">
        <x:v>154</x:v>
      </x:c>
      <x:c r="W64" s="2"/>
      <x:c r="X64" s="3"/>
      <x:c r="Y64" s="3"/>
      <x:c r="Z64" s="2"/>
      <x:c r="AA64" s="2"/>
      <x:c r="AB64" s="2"/>
      <x:c r="AC64" s="2"/>
      <x:c r="AD64" s="2"/>
      <x:c r="AE64" s="2"/>
      <x:c r="AF64" s="2"/>
      <x:c r="AG64" s="2"/>
      <x:c r="AH64" s="2"/>
      <x:c r="AI64" s="4"/>
      <x:c r="AJ64" s="2"/>
      <x:c r="AK64" s="2" t="s">
        <x:v>106</x:v>
      </x:c>
      <x:c r="AL64" s="2" t="s">
        <x:v>2857</x:v>
      </x:c>
      <x:c r="AM64" s="2">
        <x:v>64</x:v>
      </x:c>
      <x:c r="AN64" s="2">
        <x:v>64</x:v>
      </x:c>
    </x:row>
    <x:row r="65" ht="52">
      <x:c r="A65" s="2" t="s">
        <x:v>6</x:v>
      </x:c>
      <x:c r="B65" s="2" t="s">
        <x:v>13</x:v>
      </x:c>
      <x:c r="C65" s="3">
        <x:v>63</x:v>
      </x:c>
      <x:c r="D65" s="2" t="s">
        <x:v>665</x:v>
      </x:c>
      <x:c r="E65" s="2" t="s">
        <x:v>751</x:v>
      </x:c>
      <x:c r="F65" s="2" t="s">
        <x:v>157</x:v>
      </x:c>
      <x:c r="G65" s="2"/>
      <x:c r="H65" s="2" t="s">
        <x:v>627</x:v>
      </x:c>
      <x:c r="I65" s="2" t="s">
        <x:v>749</x:v>
      </x:c>
      <x:c r="J65" s="2" t="s">
        <x:v>628</x:v>
      </x:c>
      <x:c r="K65" s="2" t="n">
        <x:v>62</x:v>
      </x:c>
      <x:c r="L65" s="2">
        <x:v>172</x:v>
      </x:c>
      <x:c r="M65" s="2" t="s">
        <x:v>752</x:v>
      </x:c>
      <x:c r="N65" s="2">
        <x:v>3</x:v>
      </x:c>
      <x:c r="O65" s="2" t="s">
        <x:v>753</x:v>
      </x:c>
      <x:c r="P65" s="2" t="s">
        <x:v>631</x:v>
      </x:c>
      <x:c r="Q65" s="2"/>
      <x:c r="R65" s="3">
        <x:v>4</x:v>
      </x:c>
      <x:c r="S65" s="3">
        <x:v>1</x:v>
      </x:c>
      <x:c r="T65" s="2" t="s">
        <x:v>103</x:v>
      </x:c>
      <x:c r="U65" s="2" t="s">
        <x:v>632</x:v>
      </x:c>
      <x:c r="V65" s="2" t="s">
        <x:v>154</x:v>
      </x:c>
      <x:c r="W65" s="2"/>
      <x:c r="X65" s="3"/>
      <x:c r="Y65" s="3"/>
      <x:c r="Z65" s="2"/>
      <x:c r="AA65" s="2"/>
      <x:c r="AB65" s="2"/>
      <x:c r="AC65" s="2"/>
      <x:c r="AD65" s="2"/>
      <x:c r="AE65" s="2"/>
      <x:c r="AF65" s="2"/>
      <x:c r="AG65" s="2"/>
      <x:c r="AH65" s="2"/>
      <x:c r="AI65" s="4"/>
      <x:c r="AJ65" s="2"/>
      <x:c r="AK65" s="2" t="s">
        <x:v>106</x:v>
      </x:c>
      <x:c r="AL65" s="2" t="s">
        <x:v>2857</x:v>
      </x:c>
      <x:c r="AM65" s="2">
        <x:v>65</x:v>
      </x:c>
      <x:c r="AN65" s="2">
        <x:v>65</x:v>
      </x:c>
    </x:row>
    <x:row r="66" ht="39">
      <x:c r="A66" s="2" t="s">
        <x:v>6</x:v>
      </x:c>
      <x:c r="B66" s="2" t="s">
        <x:v>13</x:v>
      </x:c>
      <x:c r="C66" s="3">
        <x:v>64</x:v>
      </x:c>
      <x:c r="D66" s="2" t="s">
        <x:v>616</x:v>
      </x:c>
      <x:c r="E66" s="2" t="s">
        <x:v>754</x:v>
      </x:c>
      <x:c r="F66" s="2" t="s">
        <x:v>94</x:v>
      </x:c>
      <x:c r="G66" s="2"/>
      <x:c r="H66" s="2" t="s">
        <x:v>618</x:v>
      </x:c>
      <x:c r="I66" s="2" t="s">
        <x:v>755</x:v>
      </x:c>
      <x:c r="J66" s="2" t="s">
        <x:v>620</x:v>
      </x:c>
      <x:c r="K66" s="2"/>
      <x:c r="L66" s="2" t="s">
        <x:v>756</x:v>
      </x:c>
      <x:c r="M66" s="2" t="s">
        <x:v>622</x:v>
      </x:c>
      <x:c r="N66" s="2">
        <x:v>3</x:v>
      </x:c>
      <x:c r="O66" s="2" t="s">
        <x:v>623</x:v>
      </x:c>
      <x:c r="P66" s="2" t="s">
        <x:v>675</x:v>
      </x:c>
      <x:c r="Q66" s="2"/>
      <x:c r="R66" s="3">
        <x:v>2</x:v>
      </x:c>
      <x:c r="S66" s="3">
        <x:v>1</x:v>
      </x:c>
      <x:c r="T66" s="2" t="s">
        <x:v>103</x:v>
      </x:c>
      <x:c r="U66" s="2" t="s">
        <x:v>129</x:v>
      </x:c>
      <x:c r="V66" s="2" t="s">
        <x:v>105</x:v>
      </x:c>
      <x:c r="W66" s="2"/>
      <x:c r="X66" s="3"/>
      <x:c r="Y66" s="3"/>
      <x:c r="Z66" s="2"/>
      <x:c r="AA66" s="2"/>
      <x:c r="AB66" s="2"/>
      <x:c r="AC66" s="2"/>
      <x:c r="AD66" s="2"/>
      <x:c r="AE66" s="2"/>
      <x:c r="AF66" s="2"/>
      <x:c r="AG66" s="2"/>
      <x:c r="AH66" s="2"/>
      <x:c r="AI66" s="4"/>
      <x:c r="AJ66" s="2"/>
      <x:c r="AK66" s="2" t="s">
        <x:v>106</x:v>
      </x:c>
      <x:c r="AL66" s="2" t="s">
        <x:v>2857</x:v>
      </x:c>
      <x:c r="AM66" s="2">
        <x:v>66</x:v>
      </x:c>
      <x:c r="AN66" s="2">
        <x:v>66</x:v>
      </x:c>
    </x:row>
    <x:row r="67" ht="52">
      <x:c r="A67" s="2" t="s">
        <x:v>6</x:v>
      </x:c>
      <x:c r="B67" s="2" t="s">
        <x:v>13</x:v>
      </x:c>
      <x:c r="C67" s="3">
        <x:v>65</x:v>
      </x:c>
      <x:c r="D67" s="2" t="s">
        <x:v>625</x:v>
      </x:c>
      <x:c r="E67" s="2" t="s">
        <x:v>757</x:v>
      </x:c>
      <x:c r="F67" s="2" t="s">
        <x:v>94</x:v>
      </x:c>
      <x:c r="G67" s="2"/>
      <x:c r="H67" s="2" t="s">
        <x:v>627</x:v>
      </x:c>
      <x:c r="I67" s="2" t="s">
        <x:v>755</x:v>
      </x:c>
      <x:c r="J67" s="2" t="s">
        <x:v>628</x:v>
      </x:c>
      <x:c r="K67" s="2" t="n">
        <x:v>64</x:v>
      </x:c>
      <x:c r="L67" s="2">
        <x:v>32</x:v>
      </x:c>
      <x:c r="M67" s="2" t="s">
        <x:v>758</x:v>
      </x:c>
      <x:c r="N67" s="2">
        <x:v>3</x:v>
      </x:c>
      <x:c r="O67" s="2" t="s">
        <x:v>630</x:v>
      </x:c>
      <x:c r="P67" s="2" t="s">
        <x:v>631</x:v>
      </x:c>
      <x:c r="Q67" s="2"/>
      <x:c r="R67" s="3">
        <x:v>2</x:v>
      </x:c>
      <x:c r="S67" s="3">
        <x:v>1</x:v>
      </x:c>
      <x:c r="T67" s="2" t="s">
        <x:v>103</x:v>
      </x:c>
      <x:c r="U67" s="2" t="s">
        <x:v>632</x:v>
      </x:c>
      <x:c r="V67" s="2" t="s">
        <x:v>105</x:v>
      </x:c>
      <x:c r="W67" s="2"/>
      <x:c r="X67" s="3"/>
      <x:c r="Y67" s="3"/>
      <x:c r="Z67" s="2"/>
      <x:c r="AA67" s="2"/>
      <x:c r="AB67" s="2"/>
      <x:c r="AC67" s="2"/>
      <x:c r="AD67" s="2"/>
      <x:c r="AE67" s="2"/>
      <x:c r="AF67" s="2"/>
      <x:c r="AG67" s="2"/>
      <x:c r="AH67" s="2"/>
      <x:c r="AI67" s="4"/>
      <x:c r="AJ67" s="2"/>
      <x:c r="AK67" s="2" t="s">
        <x:v>106</x:v>
      </x:c>
      <x:c r="AL67" s="2" t="s">
        <x:v>2857</x:v>
      </x:c>
      <x:c r="AM67" s="2">
        <x:v>67</x:v>
      </x:c>
      <x:c r="AN67" s="2">
        <x:v>67</x:v>
      </x:c>
    </x:row>
    <x:row r="68" ht="65">
      <x:c r="A68" s="2" t="s">
        <x:v>6</x:v>
      </x:c>
      <x:c r="B68" s="2" t="s">
        <x:v>13</x:v>
      </x:c>
      <x:c r="C68" s="3">
        <x:v>66</x:v>
      </x:c>
      <x:c r="D68" s="2" t="s">
        <x:v>644</x:v>
      </x:c>
      <x:c r="E68" s="2" t="s">
        <x:v>645</x:v>
      </x:c>
      <x:c r="F68" s="2" t="s">
        <x:v>118</x:v>
      </x:c>
      <x:c r="G68" s="2"/>
      <x:c r="H68" s="2" t="s">
        <x:v>618</x:v>
      </x:c>
      <x:c r="I68" s="2" t="s">
        <x:v>759</x:v>
      </x:c>
      <x:c r="J68" s="2" t="s">
        <x:v>620</x:v>
      </x:c>
      <x:c r="K68" s="2"/>
      <x:c r="L68" s="2" t="s">
        <x:v>697</x:v>
      </x:c>
      <x:c r="M68" s="2" t="s">
        <x:v>648</x:v>
      </x:c>
      <x:c r="N68" s="2">
        <x:v>3</x:v>
      </x:c>
      <x:c r="O68" s="2" t="s">
        <x:v>623</x:v>
      </x:c>
      <x:c r="P68" s="2" t="s">
        <x:v>649</x:v>
      </x:c>
      <x:c r="Q68" s="2"/>
      <x:c r="R68" s="3">
        <x:v>3</x:v>
      </x:c>
      <x:c r="S68" s="3">
        <x:v>1</x:v>
      </x:c>
      <x:c r="T68" s="2" t="s">
        <x:v>103</x:v>
      </x:c>
      <x:c r="U68" s="2" t="s">
        <x:v>104</x:v>
      </x:c>
      <x:c r="V68" s="2" t="s">
        <x:v>123</x:v>
      </x:c>
      <x:c r="W68" s="2"/>
      <x:c r="X68" s="3"/>
      <x:c r="Y68" s="3"/>
      <x:c r="Z68" s="2"/>
      <x:c r="AA68" s="2"/>
      <x:c r="AB68" s="2"/>
      <x:c r="AC68" s="2"/>
      <x:c r="AD68" s="2"/>
      <x:c r="AE68" s="2"/>
      <x:c r="AF68" s="2"/>
      <x:c r="AG68" s="2"/>
      <x:c r="AH68" s="2"/>
      <x:c r="AI68" s="4"/>
      <x:c r="AJ68" s="2"/>
      <x:c r="AK68" s="2" t="s">
        <x:v>106</x:v>
      </x:c>
      <x:c r="AL68" s="2" t="s">
        <x:v>2857</x:v>
      </x:c>
      <x:c r="AM68" s="2">
        <x:v>68</x:v>
      </x:c>
      <x:c r="AN68" s="2">
        <x:v>68</x:v>
      </x:c>
    </x:row>
    <x:row r="69" ht="65">
      <x:c r="A69" s="2" t="s">
        <x:v>6</x:v>
      </x:c>
      <x:c r="B69" s="2" t="s">
        <x:v>13</x:v>
      </x:c>
      <x:c r="C69" s="3">
        <x:v>67</x:v>
      </x:c>
      <x:c r="D69" s="2" t="s">
        <x:v>698</x:v>
      </x:c>
      <x:c r="E69" s="2" t="s">
        <x:v>651</x:v>
      </x:c>
      <x:c r="F69" s="2" t="s">
        <x:v>118</x:v>
      </x:c>
      <x:c r="G69" s="2"/>
      <x:c r="H69" s="2" t="s">
        <x:v>627</x:v>
      </x:c>
      <x:c r="I69" s="2" t="s">
        <x:v>759</x:v>
      </x:c>
      <x:c r="J69" s="2" t="s">
        <x:v>628</x:v>
      </x:c>
      <x:c r="K69" s="2" t="n">
        <x:v>66</x:v>
      </x:c>
      <x:c r="L69" s="2">
        <x:v>53</x:v>
      </x:c>
      <x:c r="M69" s="2" t="s">
        <x:v>760</x:v>
      </x:c>
      <x:c r="N69" s="2">
        <x:v>3</x:v>
      </x:c>
      <x:c r="O69" s="2" t="s">
        <x:v>653</x:v>
      </x:c>
      <x:c r="P69" s="2" t="s">
        <x:v>654</x:v>
      </x:c>
      <x:c r="Q69" s="2"/>
      <x:c r="R69" s="3">
        <x:v>3</x:v>
      </x:c>
      <x:c r="S69" s="3">
        <x:v>1</x:v>
      </x:c>
      <x:c r="T69" s="2" t="s">
        <x:v>103</x:v>
      </x:c>
      <x:c r="U69" s="2" t="s">
        <x:v>632</x:v>
      </x:c>
      <x:c r="V69" s="2" t="s">
        <x:v>123</x:v>
      </x:c>
      <x:c r="W69" s="2"/>
      <x:c r="X69" s="3"/>
      <x:c r="Y69" s="3"/>
      <x:c r="Z69" s="2"/>
      <x:c r="AA69" s="2"/>
      <x:c r="AB69" s="2"/>
      <x:c r="AC69" s="2"/>
      <x:c r="AD69" s="2"/>
      <x:c r="AE69" s="2"/>
      <x:c r="AF69" s="2"/>
      <x:c r="AG69" s="2"/>
      <x:c r="AH69" s="2"/>
      <x:c r="AI69" s="4"/>
      <x:c r="AJ69" s="2"/>
      <x:c r="AK69" s="2" t="s">
        <x:v>106</x:v>
      </x:c>
      <x:c r="AL69" s="2" t="s">
        <x:v>2857</x:v>
      </x:c>
      <x:c r="AM69" s="2">
        <x:v>69</x:v>
      </x:c>
      <x:c r="AN69" s="2">
        <x:v>69</x:v>
      </x:c>
    </x:row>
    <x:row r="70" ht="65">
      <x:c r="A70" s="2" t="s">
        <x:v>6</x:v>
      </x:c>
      <x:c r="B70" s="2" t="s">
        <x:v>13</x:v>
      </x:c>
      <x:c r="C70" s="3">
        <x:v>68</x:v>
      </x:c>
      <x:c r="D70" s="2" t="s">
        <x:v>682</x:v>
      </x:c>
      <x:c r="E70" s="2" t="s">
        <x:v>683</x:v>
      </x:c>
      <x:c r="F70" s="2" t="s">
        <x:v>139</x:v>
      </x:c>
      <x:c r="G70" s="2" t="s">
        <x:v>2861</x:v>
      </x:c>
      <x:c r="H70" s="2" t="s">
        <x:v>618</x:v>
      </x:c>
      <x:c r="I70" s="2" t="s">
        <x:v>762</x:v>
      </x:c>
      <x:c r="J70" s="2" t="s">
        <x:v>620</x:v>
      </x:c>
      <x:c r="K70" s="2"/>
      <x:c r="L70" s="2" t="s">
        <x:v>763</x:v>
      </x:c>
      <x:c r="M70" s="2" t="s">
        <x:v>648</x:v>
      </x:c>
      <x:c r="N70" s="2">
        <x:v>3</x:v>
      </x:c>
      <x:c r="O70" s="2" t="s">
        <x:v>623</x:v>
      </x:c>
      <x:c r="P70" s="2" t="s">
        <x:v>649</x:v>
      </x:c>
      <x:c r="Q70" s="2"/>
      <x:c r="R70" s="3">
        <x:v>4</x:v>
      </x:c>
      <x:c r="S70" s="3">
        <x:v>1</x:v>
      </x:c>
      <x:c r="T70" s="2" t="s">
        <x:v>103</x:v>
      </x:c>
      <x:c r="U70" s="2" t="s">
        <x:v>122</x:v>
      </x:c>
      <x:c r="V70" s="2" t="s">
        <x:v>136</x:v>
      </x:c>
      <x:c r="W70" s="2"/>
      <x:c r="X70" s="3"/>
      <x:c r="Y70" s="3"/>
      <x:c r="Z70" s="2"/>
      <x:c r="AA70" s="2"/>
      <x:c r="AB70" s="2"/>
      <x:c r="AC70" s="2"/>
      <x:c r="AD70" s="2"/>
      <x:c r="AE70" s="2"/>
      <x:c r="AF70" s="2"/>
      <x:c r="AG70" s="2"/>
      <x:c r="AH70" s="2"/>
      <x:c r="AI70" s="4"/>
      <x:c r="AJ70" s="2"/>
      <x:c r="AK70" s="2" t="s">
        <x:v>106</x:v>
      </x:c>
      <x:c r="AL70" s="2" t="s">
        <x:v>2857</x:v>
      </x:c>
      <x:c r="AM70" s="2">
        <x:v>70</x:v>
      </x:c>
      <x:c r="AN70" s="2">
        <x:v>70</x:v>
      </x:c>
    </x:row>
    <x:row r="71" ht="65">
      <x:c r="A71" s="2" t="s">
        <x:v>6</x:v>
      </x:c>
      <x:c r="B71" s="2" t="s">
        <x:v>13</x:v>
      </x:c>
      <x:c r="C71" s="3">
        <x:v>69</x:v>
      </x:c>
      <x:c r="D71" s="2" t="s">
        <x:v>745</x:v>
      </x:c>
      <x:c r="E71" s="2" t="s">
        <x:v>687</x:v>
      </x:c>
      <x:c r="F71" s="2" t="s">
        <x:v>139</x:v>
      </x:c>
      <x:c r="G71" s="2"/>
      <x:c r="H71" s="2" t="s">
        <x:v>627</x:v>
      </x:c>
      <x:c r="I71" s="2" t="s">
        <x:v>762</x:v>
      </x:c>
      <x:c r="J71" s="2" t="s">
        <x:v>628</x:v>
      </x:c>
      <x:c r="K71" s="2" t="n">
        <x:v>68</x:v>
      </x:c>
      <x:c r="L71" s="2">
        <x:v>129</x:v>
      </x:c>
      <x:c r="M71" s="2" t="s">
        <x:v>764</x:v>
      </x:c>
      <x:c r="N71" s="2">
        <x:v>3</x:v>
      </x:c>
      <x:c r="O71" s="2" t="s">
        <x:v>689</x:v>
      </x:c>
      <x:c r="P71" s="2" t="s">
        <x:v>654</x:v>
      </x:c>
      <x:c r="Q71" s="2"/>
      <x:c r="R71" s="3">
        <x:v>4</x:v>
      </x:c>
      <x:c r="S71" s="3">
        <x:v>1</x:v>
      </x:c>
      <x:c r="T71" s="2" t="s">
        <x:v>103</x:v>
      </x:c>
      <x:c r="U71" s="2" t="s">
        <x:v>632</x:v>
      </x:c>
      <x:c r="V71" s="2" t="s">
        <x:v>136</x:v>
      </x:c>
      <x:c r="W71" s="2"/>
      <x:c r="X71" s="3"/>
      <x:c r="Y71" s="3"/>
      <x:c r="Z71" s="2"/>
      <x:c r="AA71" s="2"/>
      <x:c r="AB71" s="2"/>
      <x:c r="AC71" s="2"/>
      <x:c r="AD71" s="2"/>
      <x:c r="AE71" s="2"/>
      <x:c r="AF71" s="2"/>
      <x:c r="AG71" s="2"/>
      <x:c r="AH71" s="2"/>
      <x:c r="AI71" s="4"/>
      <x:c r="AJ71" s="2"/>
      <x:c r="AK71" s="2" t="s">
        <x:v>106</x:v>
      </x:c>
      <x:c r="AL71" s="2" t="s">
        <x:v>2857</x:v>
      </x:c>
      <x:c r="AM71" s="2">
        <x:v>71</x:v>
      </x:c>
      <x:c r="AN71" s="2">
        <x:v>71</x:v>
      </x:c>
    </x:row>
    <x:row r="72" ht="39">
      <x:c r="A72" s="2" t="s">
        <x:v>6</x:v>
      </x:c>
      <x:c r="B72" s="2" t="s">
        <x:v>13</x:v>
      </x:c>
      <x:c r="C72" s="3">
        <x:v>70</x:v>
      </x:c>
      <x:c r="D72" s="2" t="s">
        <x:v>660</x:v>
      </x:c>
      <x:c r="E72" s="2" t="s">
        <x:v>765</x:v>
      </x:c>
      <x:c r="F72" s="2" t="s">
        <x:v>157</x:v>
      </x:c>
      <x:c r="G72" s="2"/>
      <x:c r="H72" s="2" t="s">
        <x:v>618</x:v>
      </x:c>
      <x:c r="I72" s="2" t="s">
        <x:v>766</x:v>
      </x:c>
      <x:c r="J72" s="2" t="s">
        <x:v>620</x:v>
      </x:c>
      <x:c r="K72" s="2"/>
      <x:c r="L72" s="2" t="s">
        <x:v>767</x:v>
      </x:c>
      <x:c r="M72" s="2" t="s">
        <x:v>622</x:v>
      </x:c>
      <x:c r="N72" s="2">
        <x:v>3</x:v>
      </x:c>
      <x:c r="O72" s="2" t="s">
        <x:v>623</x:v>
      </x:c>
      <x:c r="P72" s="2" t="s">
        <x:v>675</x:v>
      </x:c>
      <x:c r="Q72" s="2"/>
      <x:c r="R72" s="3">
        <x:v>2</x:v>
      </x:c>
      <x:c r="S72" s="3">
        <x:v>1</x:v>
      </x:c>
      <x:c r="T72" s="2" t="s">
        <x:v>103</x:v>
      </x:c>
      <x:c r="U72" s="2" t="s">
        <x:v>115</x:v>
      </x:c>
      <x:c r="V72" s="2" t="s">
        <x:v>154</x:v>
      </x:c>
      <x:c r="W72" s="2"/>
      <x:c r="X72" s="3"/>
      <x:c r="Y72" s="3"/>
      <x:c r="Z72" s="2"/>
      <x:c r="AA72" s="2"/>
      <x:c r="AB72" s="2"/>
      <x:c r="AC72" s="2"/>
      <x:c r="AD72" s="2"/>
      <x:c r="AE72" s="2"/>
      <x:c r="AF72" s="2"/>
      <x:c r="AG72" s="2"/>
      <x:c r="AH72" s="2"/>
      <x:c r="AI72" s="4"/>
      <x:c r="AJ72" s="2"/>
      <x:c r="AK72" s="2" t="s">
        <x:v>106</x:v>
      </x:c>
      <x:c r="AL72" s="2" t="s">
        <x:v>2857</x:v>
      </x:c>
      <x:c r="AM72" s="2">
        <x:v>72</x:v>
      </x:c>
      <x:c r="AN72" s="2">
        <x:v>72</x:v>
      </x:c>
    </x:row>
    <x:row r="73" ht="52">
      <x:c r="A73" s="2" t="s">
        <x:v>6</x:v>
      </x:c>
      <x:c r="B73" s="2" t="s">
        <x:v>13</x:v>
      </x:c>
      <x:c r="C73" s="3">
        <x:v>71</x:v>
      </x:c>
      <x:c r="D73" s="2" t="s">
        <x:v>665</x:v>
      </x:c>
      <x:c r="E73" s="2" t="s">
        <x:v>768</x:v>
      </x:c>
      <x:c r="F73" s="2" t="s">
        <x:v>157</x:v>
      </x:c>
      <x:c r="G73" s="2"/>
      <x:c r="H73" s="2" t="s">
        <x:v>627</x:v>
      </x:c>
      <x:c r="I73" s="2" t="s">
        <x:v>766</x:v>
      </x:c>
      <x:c r="J73" s="2" t="s">
        <x:v>628</x:v>
      </x:c>
      <x:c r="K73" s="2" t="n">
        <x:v>70</x:v>
      </x:c>
      <x:c r="L73" s="2">
        <x:v>157</x:v>
      </x:c>
      <x:c r="M73" s="2" t="s">
        <x:v>769</x:v>
      </x:c>
      <x:c r="N73" s="2">
        <x:v>3</x:v>
      </x:c>
      <x:c r="O73" s="2" t="s">
        <x:v>668</x:v>
      </x:c>
      <x:c r="P73" s="2" t="s">
        <x:v>631</x:v>
      </x:c>
      <x:c r="Q73" s="2"/>
      <x:c r="R73" s="3">
        <x:v>2</x:v>
      </x:c>
      <x:c r="S73" s="3">
        <x:v>1</x:v>
      </x:c>
      <x:c r="T73" s="2" t="s">
        <x:v>103</x:v>
      </x:c>
      <x:c r="U73" s="2" t="s">
        <x:v>632</x:v>
      </x:c>
      <x:c r="V73" s="2" t="s">
        <x:v>154</x:v>
      </x:c>
      <x:c r="W73" s="2"/>
      <x:c r="X73" s="3"/>
      <x:c r="Y73" s="3"/>
      <x:c r="Z73" s="2"/>
      <x:c r="AA73" s="2"/>
      <x:c r="AB73" s="2"/>
      <x:c r="AC73" s="2"/>
      <x:c r="AD73" s="2"/>
      <x:c r="AE73" s="2"/>
      <x:c r="AF73" s="2"/>
      <x:c r="AG73" s="2"/>
      <x:c r="AH73" s="2"/>
      <x:c r="AI73" s="4"/>
      <x:c r="AJ73" s="2"/>
      <x:c r="AK73" s="2" t="s">
        <x:v>106</x:v>
      </x:c>
      <x:c r="AL73" s="2" t="s">
        <x:v>2857</x:v>
      </x:c>
      <x:c r="AM73" s="2">
        <x:v>73</x:v>
      </x:c>
      <x:c r="AN73" s="2">
        <x:v>73</x:v>
      </x:c>
    </x:row>
    <x:row r="74" ht="39">
      <x:c r="A74" s="2" t="s">
        <x:v>6</x:v>
      </x:c>
      <x:c r="B74" s="2" t="s">
        <x:v>13</x:v>
      </x:c>
      <x:c r="C74" s="3">
        <x:v>72</x:v>
      </x:c>
      <x:c r="D74" s="2" t="s">
        <x:v>616</x:v>
      </x:c>
      <x:c r="E74" s="2" t="s">
        <x:v>770</x:v>
      </x:c>
      <x:c r="F74" s="2" t="s">
        <x:v>94</x:v>
      </x:c>
      <x:c r="G74" s="2"/>
      <x:c r="H74" s="2" t="s">
        <x:v>618</x:v>
      </x:c>
      <x:c r="I74" s="2" t="s">
        <x:v>772</x:v>
      </x:c>
      <x:c r="J74" s="2" t="s">
        <x:v>620</x:v>
      </x:c>
      <x:c r="K74" s="2"/>
      <x:c r="L74" s="2" t="s">
        <x:v>621</x:v>
      </x:c>
      <x:c r="M74" s="2" t="s">
        <x:v>622</x:v>
      </x:c>
      <x:c r="N74" s="2">
        <x:v>3</x:v>
      </x:c>
      <x:c r="O74" s="2" t="s">
        <x:v>623</x:v>
      </x:c>
      <x:c r="P74" s="2" t="s">
        <x:v>624</x:v>
      </x:c>
      <x:c r="Q74" s="2"/>
      <x:c r="R74" s="3">
        <x:v>3</x:v>
      </x:c>
      <x:c r="S74" s="3">
        <x:v>1</x:v>
      </x:c>
      <x:c r="T74" s="2" t="s">
        <x:v>103</x:v>
      </x:c>
      <x:c r="U74" s="2" t="s">
        <x:v>129</x:v>
      </x:c>
      <x:c r="V74" s="2" t="s">
        <x:v>105</x:v>
      </x:c>
      <x:c r="W74" s="2"/>
      <x:c r="X74" s="3"/>
      <x:c r="Y74" s="3"/>
      <x:c r="Z74" s="2"/>
      <x:c r="AA74" s="2"/>
      <x:c r="AB74" s="2"/>
      <x:c r="AC74" s="2"/>
      <x:c r="AD74" s="2"/>
      <x:c r="AE74" s="2"/>
      <x:c r="AF74" s="2"/>
      <x:c r="AG74" s="2"/>
      <x:c r="AH74" s="2"/>
      <x:c r="AI74" s="4"/>
      <x:c r="AJ74" s="2"/>
      <x:c r="AK74" s="2" t="s">
        <x:v>106</x:v>
      </x:c>
      <x:c r="AL74" s="2" t="s">
        <x:v>2857</x:v>
      </x:c>
      <x:c r="AM74" s="2">
        <x:v>74</x:v>
      </x:c>
      <x:c r="AN74" s="2">
        <x:v>74</x:v>
      </x:c>
    </x:row>
    <x:row r="75" ht="52">
      <x:c r="A75" s="2" t="s">
        <x:v>6</x:v>
      </x:c>
      <x:c r="B75" s="2" t="s">
        <x:v>13</x:v>
      </x:c>
      <x:c r="C75" s="3">
        <x:v>73</x:v>
      </x:c>
      <x:c r="D75" s="2" t="s">
        <x:v>625</x:v>
      </x:c>
      <x:c r="E75" s="2" t="s">
        <x:v>773</x:v>
      </x:c>
      <x:c r="F75" s="2" t="s">
        <x:v>94</x:v>
      </x:c>
      <x:c r="G75" s="2"/>
      <x:c r="H75" s="2" t="s">
        <x:v>627</x:v>
      </x:c>
      <x:c r="I75" s="2" t="s">
        <x:v>772</x:v>
      </x:c>
      <x:c r="J75" s="2" t="s">
        <x:v>628</x:v>
      </x:c>
      <x:c r="K75" s="2" t="n">
        <x:v>72</x:v>
      </x:c>
      <x:c r="L75" s="2">
        <x:v>35</x:v>
      </x:c>
      <x:c r="M75" s="2" t="s">
        <x:v>629</x:v>
      </x:c>
      <x:c r="N75" s="2">
        <x:v>3</x:v>
      </x:c>
      <x:c r="O75" s="2" t="s">
        <x:v>630</x:v>
      </x:c>
      <x:c r="P75" s="2" t="s">
        <x:v>631</x:v>
      </x:c>
      <x:c r="Q75" s="2"/>
      <x:c r="R75" s="3">
        <x:v>3</x:v>
      </x:c>
      <x:c r="S75" s="3">
        <x:v>1</x:v>
      </x:c>
      <x:c r="T75" s="2" t="s">
        <x:v>103</x:v>
      </x:c>
      <x:c r="U75" s="2" t="s">
        <x:v>632</x:v>
      </x:c>
      <x:c r="V75" s="2" t="s">
        <x:v>105</x:v>
      </x:c>
      <x:c r="W75" s="2"/>
      <x:c r="X75" s="3"/>
      <x:c r="Y75" s="3"/>
      <x:c r="Z75" s="2"/>
      <x:c r="AA75" s="2"/>
      <x:c r="AB75" s="2"/>
      <x:c r="AC75" s="2"/>
      <x:c r="AD75" s="2"/>
      <x:c r="AE75" s="2"/>
      <x:c r="AF75" s="2"/>
      <x:c r="AG75" s="2"/>
      <x:c r="AH75" s="2"/>
      <x:c r="AI75" s="4"/>
      <x:c r="AJ75" s="2"/>
      <x:c r="AK75" s="2" t="s">
        <x:v>106</x:v>
      </x:c>
      <x:c r="AL75" s="2" t="s">
        <x:v>2857</x:v>
      </x:c>
      <x:c r="AM75" s="2">
        <x:v>75</x:v>
      </x:c>
      <x:c r="AN75" s="2">
        <x:v>75</x:v>
      </x:c>
    </x:row>
    <x:row r="76" ht="65">
      <x:c r="A76" s="2" t="s">
        <x:v>6</x:v>
      </x:c>
      <x:c r="B76" s="2" t="s">
        <x:v>13</x:v>
      </x:c>
      <x:c r="C76" s="3">
        <x:v>74</x:v>
      </x:c>
      <x:c r="D76" s="2" t="s">
        <x:v>644</x:v>
      </x:c>
      <x:c r="E76" s="2" t="s">
        <x:v>694</x:v>
      </x:c>
      <x:c r="F76" s="2" t="s">
        <x:v>118</x:v>
      </x:c>
      <x:c r="G76" s="2"/>
      <x:c r="H76" s="2" t="s">
        <x:v>618</x:v>
      </x:c>
      <x:c r="I76" s="2" t="s">
        <x:v>774</x:v>
      </x:c>
      <x:c r="J76" s="2" t="s">
        <x:v>620</x:v>
      </x:c>
      <x:c r="K76" s="2"/>
      <x:c r="L76" s="2" t="s">
        <x:v>775</x:v>
      </x:c>
      <x:c r="M76" s="2" t="s">
        <x:v>648</x:v>
      </x:c>
      <x:c r="N76" s="2">
        <x:v>3</x:v>
      </x:c>
      <x:c r="O76" s="2" t="s">
        <x:v>623</x:v>
      </x:c>
      <x:c r="P76" s="2" t="s">
        <x:v>649</x:v>
      </x:c>
      <x:c r="Q76" s="2"/>
      <x:c r="R76" s="3">
        <x:v>4</x:v>
      </x:c>
      <x:c r="S76" s="3">
        <x:v>1</x:v>
      </x:c>
      <x:c r="T76" s="2" t="s">
        <x:v>103</x:v>
      </x:c>
      <x:c r="U76" s="2" t="s">
        <x:v>104</x:v>
      </x:c>
      <x:c r="V76" s="2" t="s">
        <x:v>123</x:v>
      </x:c>
      <x:c r="W76" s="2"/>
      <x:c r="X76" s="3"/>
      <x:c r="Y76" s="3"/>
      <x:c r="Z76" s="2"/>
      <x:c r="AA76" s="2"/>
      <x:c r="AB76" s="2"/>
      <x:c r="AC76" s="2"/>
      <x:c r="AD76" s="2"/>
      <x:c r="AE76" s="2"/>
      <x:c r="AF76" s="2"/>
      <x:c r="AG76" s="2"/>
      <x:c r="AH76" s="2"/>
      <x:c r="AI76" s="4"/>
      <x:c r="AJ76" s="2"/>
      <x:c r="AK76" s="2" t="s">
        <x:v>106</x:v>
      </x:c>
      <x:c r="AL76" s="2" t="s">
        <x:v>2857</x:v>
      </x:c>
      <x:c r="AM76" s="2">
        <x:v>76</x:v>
      </x:c>
      <x:c r="AN76" s="2">
        <x:v>76</x:v>
      </x:c>
    </x:row>
    <x:row r="77" ht="65">
      <x:c r="A77" s="2" t="s">
        <x:v>6</x:v>
      </x:c>
      <x:c r="B77" s="2" t="s">
        <x:v>13</x:v>
      </x:c>
      <x:c r="C77" s="3">
        <x:v>75</x:v>
      </x:c>
      <x:c r="D77" s="2" t="s">
        <x:v>776</x:v>
      </x:c>
      <x:c r="E77" s="2" t="s">
        <x:v>699</x:v>
      </x:c>
      <x:c r="F77" s="2" t="s">
        <x:v>118</x:v>
      </x:c>
      <x:c r="G77" s="2"/>
      <x:c r="H77" s="2" t="s">
        <x:v>627</x:v>
      </x:c>
      <x:c r="I77" s="2" t="s">
        <x:v>774</x:v>
      </x:c>
      <x:c r="J77" s="2" t="s">
        <x:v>628</x:v>
      </x:c>
      <x:c r="K77" s="2" t="n">
        <x:v>74</x:v>
      </x:c>
      <x:c r="L77" s="2">
        <x:v>72</x:v>
      </x:c>
      <x:c r="M77" s="2" t="s">
        <x:v>777</x:v>
      </x:c>
      <x:c r="N77" s="2">
        <x:v>3</x:v>
      </x:c>
      <x:c r="O77" s="2" t="s">
        <x:v>701</x:v>
      </x:c>
      <x:c r="P77" s="2" t="s">
        <x:v>654</x:v>
      </x:c>
      <x:c r="Q77" s="2"/>
      <x:c r="R77" s="3">
        <x:v>4</x:v>
      </x:c>
      <x:c r="S77" s="3">
        <x:v>1</x:v>
      </x:c>
      <x:c r="T77" s="2" t="s">
        <x:v>103</x:v>
      </x:c>
      <x:c r="U77" s="2" t="s">
        <x:v>632</x:v>
      </x:c>
      <x:c r="V77" s="2" t="s">
        <x:v>123</x:v>
      </x:c>
      <x:c r="W77" s="2"/>
      <x:c r="X77" s="3"/>
      <x:c r="Y77" s="3"/>
      <x:c r="Z77" s="2"/>
      <x:c r="AA77" s="2"/>
      <x:c r="AB77" s="2"/>
      <x:c r="AC77" s="2"/>
      <x:c r="AD77" s="2"/>
      <x:c r="AE77" s="2"/>
      <x:c r="AF77" s="2"/>
      <x:c r="AG77" s="2"/>
      <x:c r="AH77" s="2"/>
      <x:c r="AI77" s="4"/>
      <x:c r="AJ77" s="2"/>
      <x:c r="AK77" s="2" t="s">
        <x:v>106</x:v>
      </x:c>
      <x:c r="AL77" s="2" t="s">
        <x:v>2857</x:v>
      </x:c>
      <x:c r="AM77" s="2">
        <x:v>77</x:v>
      </x:c>
      <x:c r="AN77" s="2">
        <x:v>77</x:v>
      </x:c>
    </x:row>
    <x:row r="78" ht="65">
      <x:c r="A78" s="2" t="s">
        <x:v>6</x:v>
      </x:c>
      <x:c r="B78" s="2" t="s">
        <x:v>13</x:v>
      </x:c>
      <x:c r="C78" s="3">
        <x:v>76</x:v>
      </x:c>
      <x:c r="D78" s="2" t="s">
        <x:v>682</x:v>
      </x:c>
      <x:c r="E78" s="2" t="s">
        <x:v>705</x:v>
      </x:c>
      <x:c r="F78" s="2" t="s">
        <x:v>139</x:v>
      </x:c>
      <x:c r="G78" s="2"/>
      <x:c r="H78" s="2" t="s">
        <x:v>618</x:v>
      </x:c>
      <x:c r="I78" s="2" t="s">
        <x:v>779</x:v>
      </x:c>
      <x:c r="J78" s="2" t="s">
        <x:v>620</x:v>
      </x:c>
      <x:c r="K78" s="2"/>
      <x:c r="L78" s="2" t="s">
        <x:v>780</x:v>
      </x:c>
      <x:c r="M78" s="2" t="s">
        <x:v>648</x:v>
      </x:c>
      <x:c r="N78" s="2">
        <x:v>3</x:v>
      </x:c>
      <x:c r="O78" s="2" t="s">
        <x:v>623</x:v>
      </x:c>
      <x:c r="P78" s="2" t="s">
        <x:v>649</x:v>
      </x:c>
      <x:c r="Q78" s="2"/>
      <x:c r="R78" s="3">
        <x:v>2</x:v>
      </x:c>
      <x:c r="S78" s="3">
        <x:v>1</x:v>
      </x:c>
      <x:c r="T78" s="2" t="s">
        <x:v>103</x:v>
      </x:c>
      <x:c r="U78" s="2" t="s">
        <x:v>122</x:v>
      </x:c>
      <x:c r="V78" s="2" t="s">
        <x:v>136</x:v>
      </x:c>
      <x:c r="W78" s="2"/>
      <x:c r="X78" s="3"/>
      <x:c r="Y78" s="3"/>
      <x:c r="Z78" s="2"/>
      <x:c r="AA78" s="2"/>
      <x:c r="AB78" s="2"/>
      <x:c r="AC78" s="2"/>
      <x:c r="AD78" s="2"/>
      <x:c r="AE78" s="2"/>
      <x:c r="AF78" s="2"/>
      <x:c r="AG78" s="2"/>
      <x:c r="AH78" s="2"/>
      <x:c r="AI78" s="4"/>
      <x:c r="AJ78" s="2"/>
      <x:c r="AK78" s="2" t="s">
        <x:v>106</x:v>
      </x:c>
      <x:c r="AL78" s="2" t="s">
        <x:v>2857</x:v>
      </x:c>
      <x:c r="AM78" s="2">
        <x:v>78</x:v>
      </x:c>
      <x:c r="AN78" s="2">
        <x:v>78</x:v>
      </x:c>
    </x:row>
    <x:row r="79" ht="65">
      <x:c r="A79" s="2" t="s">
        <x:v>6</x:v>
      </x:c>
      <x:c r="B79" s="2" t="s">
        <x:v>13</x:v>
      </x:c>
      <x:c r="C79" s="3">
        <x:v>77</x:v>
      </x:c>
      <x:c r="D79" s="2" t="s">
        <x:v>745</x:v>
      </x:c>
      <x:c r="E79" s="2" t="s">
        <x:v>710</x:v>
      </x:c>
      <x:c r="F79" s="2" t="s">
        <x:v>139</x:v>
      </x:c>
      <x:c r="G79" s="2"/>
      <x:c r="H79" s="2" t="s">
        <x:v>627</x:v>
      </x:c>
      <x:c r="I79" s="2" t="s">
        <x:v>779</x:v>
      </x:c>
      <x:c r="J79" s="2" t="s">
        <x:v>628</x:v>
      </x:c>
      <x:c r="K79" s="2" t="n">
        <x:v>76</x:v>
      </x:c>
      <x:c r="L79" s="2">
        <x:v>105</x:v>
      </x:c>
      <x:c r="M79" s="2" t="s">
        <x:v>781</x:v>
      </x:c>
      <x:c r="N79" s="2">
        <x:v>3</x:v>
      </x:c>
      <x:c r="O79" s="2" t="s">
        <x:v>712</x:v>
      </x:c>
      <x:c r="P79" s="2" t="s">
        <x:v>654</x:v>
      </x:c>
      <x:c r="Q79" s="2"/>
      <x:c r="R79" s="3">
        <x:v>2</x:v>
      </x:c>
      <x:c r="S79" s="3">
        <x:v>1</x:v>
      </x:c>
      <x:c r="T79" s="2" t="s">
        <x:v>103</x:v>
      </x:c>
      <x:c r="U79" s="2" t="s">
        <x:v>632</x:v>
      </x:c>
      <x:c r="V79" s="2" t="s">
        <x:v>136</x:v>
      </x:c>
      <x:c r="W79" s="2"/>
      <x:c r="X79" s="3"/>
      <x:c r="Y79" s="3"/>
      <x:c r="Z79" s="2"/>
      <x:c r="AA79" s="2"/>
      <x:c r="AB79" s="2"/>
      <x:c r="AC79" s="2"/>
      <x:c r="AD79" s="2"/>
      <x:c r="AE79" s="2"/>
      <x:c r="AF79" s="2"/>
      <x:c r="AG79" s="2"/>
      <x:c r="AH79" s="2"/>
      <x:c r="AI79" s="4"/>
      <x:c r="AJ79" s="2"/>
      <x:c r="AK79" s="2" t="s">
        <x:v>106</x:v>
      </x:c>
      <x:c r="AL79" s="2" t="s">
        <x:v>2857</x:v>
      </x:c>
      <x:c r="AM79" s="2">
        <x:v>79</x:v>
      </x:c>
      <x:c r="AN79" s="2">
        <x:v>79</x:v>
      </x:c>
    </x:row>
    <x:row r="80" ht="39">
      <x:c r="A80" s="2" t="s">
        <x:v>91</x:v>
      </x:c>
      <x:c r="B80" s="2" t="s">
        <x:v>13</x:v>
      </x:c>
      <x:c r="C80" s="3">
        <x:v>78</x:v>
      </x:c>
      <x:c r="D80" s="2" t="s">
        <x:v>660</x:v>
      </x:c>
      <x:c r="E80" s="2" t="s">
        <x:v>782</x:v>
      </x:c>
      <x:c r="F80" s="2" t="s">
        <x:v>157</x:v>
      </x:c>
      <x:c r="G80" s="2" t="s">
        <x:v>662</x:v>
      </x:c>
      <x:c r="H80" s="2" t="s">
        <x:v>618</x:v>
      </x:c>
      <x:c r="I80" s="2" t="s">
        <x:v>784</x:v>
      </x:c>
      <x:c r="J80" s="2" t="s">
        <x:v>620</x:v>
      </x:c>
      <x:c r="K80" s="2"/>
      <x:c r="L80" s="2" t="s">
        <x:v>785</x:v>
      </x:c>
      <x:c r="M80" s="2" t="s">
        <x:v>622</x:v>
      </x:c>
      <x:c r="N80" s="2">
        <x:v>3</x:v>
      </x:c>
      <x:c r="O80" s="2" t="s">
        <x:v>623</x:v>
      </x:c>
      <x:c r="P80" s="2" t="s">
        <x:v>624</x:v>
      </x:c>
      <x:c r="Q80" s="2"/>
      <x:c r="R80" s="3">
        <x:v>3</x:v>
      </x:c>
      <x:c r="S80" s="3">
        <x:v>1</x:v>
      </x:c>
      <x:c r="T80" s="2" t="s">
        <x:v>103</x:v>
      </x:c>
      <x:c r="U80" s="2" t="s">
        <x:v>115</x:v>
      </x:c>
      <x:c r="V80" s="2" t="s">
        <x:v>154</x:v>
      </x:c>
      <x:c r="W80" s="2"/>
      <x:c r="X80" s="3"/>
      <x:c r="Y80" s="3"/>
      <x:c r="Z80" s="2"/>
      <x:c r="AA80" s="2"/>
      <x:c r="AB80" s="2"/>
      <x:c r="AC80" s="2"/>
      <x:c r="AD80" s="2"/>
      <x:c r="AE80" s="2"/>
      <x:c r="AF80" s="2"/>
      <x:c r="AG80" s="2"/>
      <x:c r="AH80" s="2"/>
      <x:c r="AI80" s="4"/>
      <x:c r="AJ80" s="2"/>
      <x:c r="AK80" s="2" t="s">
        <x:v>106</x:v>
      </x:c>
      <x:c r="AL80" s="2" t="s">
        <x:v>2857</x:v>
      </x:c>
      <x:c r="AM80" s="2">
        <x:v>80</x:v>
      </x:c>
      <x:c r="AN80" s="2">
        <x:v>80</x:v>
      </x:c>
    </x:row>
    <x:row r="81" ht="52">
      <x:c r="A81" s="2" t="s">
        <x:v>6</x:v>
      </x:c>
      <x:c r="B81" s="2" t="s">
        <x:v>13</x:v>
      </x:c>
      <x:c r="C81" s="3">
        <x:v>79</x:v>
      </x:c>
      <x:c r="D81" s="2" t="s">
        <x:v>786</x:v>
      </x:c>
      <x:c r="E81" s="2" t="s">
        <x:v>787</x:v>
      </x:c>
      <x:c r="F81" s="2" t="s">
        <x:v>157</x:v>
      </x:c>
      <x:c r="G81" s="2"/>
      <x:c r="H81" s="2" t="s">
        <x:v>627</x:v>
      </x:c>
      <x:c r="I81" s="2" t="s">
        <x:v>784</x:v>
      </x:c>
      <x:c r="J81" s="2" t="s">
        <x:v>628</x:v>
      </x:c>
      <x:c r="K81" s="2" t="n">
        <x:v>78</x:v>
      </x:c>
      <x:c r="L81" s="2">
        <x:v>179</x:v>
      </x:c>
      <x:c r="M81" s="2" t="s">
        <x:v>788</x:v>
      </x:c>
      <x:c r="N81" s="2">
        <x:v>3</x:v>
      </x:c>
      <x:c r="O81" s="2" t="s">
        <x:v>721</x:v>
      </x:c>
      <x:c r="P81" s="2" t="s">
        <x:v>631</x:v>
      </x:c>
      <x:c r="Q81" s="2"/>
      <x:c r="R81" s="3">
        <x:v>3</x:v>
      </x:c>
      <x:c r="S81" s="3">
        <x:v>1</x:v>
      </x:c>
      <x:c r="T81" s="2" t="s">
        <x:v>103</x:v>
      </x:c>
      <x:c r="U81" s="2" t="s">
        <x:v>632</x:v>
      </x:c>
      <x:c r="V81" s="2" t="s">
        <x:v>154</x:v>
      </x:c>
      <x:c r="W81" s="2"/>
      <x:c r="X81" s="3"/>
      <x:c r="Y81" s="3"/>
      <x:c r="Z81" s="2"/>
      <x:c r="AA81" s="2"/>
      <x:c r="AB81" s="2"/>
      <x:c r="AC81" s="2"/>
      <x:c r="AD81" s="2"/>
      <x:c r="AE81" s="2"/>
      <x:c r="AF81" s="2"/>
      <x:c r="AG81" s="2"/>
      <x:c r="AH81" s="2"/>
      <x:c r="AI81" s="4"/>
      <x:c r="AJ81" s="2"/>
      <x:c r="AK81" s="2" t="s">
        <x:v>106</x:v>
      </x:c>
      <x:c r="AL81" s="2" t="s">
        <x:v>2857</x:v>
      </x:c>
      <x:c r="AM81" s="2">
        <x:v>81</x:v>
      </x:c>
      <x:c r="AN81" s="2">
        <x:v>81</x:v>
      </x:c>
    </x:row>
    <x:row r="82" ht="39">
      <x:c r="A82" s="2" t="s">
        <x:v>6</x:v>
      </x:c>
      <x:c r="B82" s="2" t="s">
        <x:v>13</x:v>
      </x:c>
      <x:c r="C82" s="3">
        <x:v>80</x:v>
      </x:c>
      <x:c r="D82" s="2" t="s">
        <x:v>616</x:v>
      </x:c>
      <x:c r="E82" s="2" t="s">
        <x:v>789</x:v>
      </x:c>
      <x:c r="F82" s="2" t="s">
        <x:v>94</x:v>
      </x:c>
      <x:c r="G82" s="2"/>
      <x:c r="H82" s="2" t="s">
        <x:v>618</x:v>
      </x:c>
      <x:c r="I82" s="2" t="s">
        <x:v>790</x:v>
      </x:c>
      <x:c r="J82" s="2" t="s">
        <x:v>620</x:v>
      </x:c>
      <x:c r="K82" s="2"/>
      <x:c r="L82" s="2" t="s">
        <x:v>791</x:v>
      </x:c>
      <x:c r="M82" s="2" t="s">
        <x:v>622</x:v>
      </x:c>
      <x:c r="N82" s="2">
        <x:v>4</x:v>
      </x:c>
      <x:c r="O82" s="2" t="s">
        <x:v>623</x:v>
      </x:c>
      <x:c r="P82" s="2" t="s">
        <x:v>675</x:v>
      </x:c>
      <x:c r="Q82" s="2"/>
      <x:c r="R82" s="3">
        <x:v>4</x:v>
      </x:c>
      <x:c r="S82" s="3">
        <x:v>1</x:v>
      </x:c>
      <x:c r="T82" s="2" t="s">
        <x:v>103</x:v>
      </x:c>
      <x:c r="U82" s="2" t="s">
        <x:v>129</x:v>
      </x:c>
      <x:c r="V82" s="2" t="s">
        <x:v>105</x:v>
      </x:c>
      <x:c r="W82" s="2"/>
      <x:c r="X82" s="3"/>
      <x:c r="Y82" s="3"/>
      <x:c r="Z82" s="2"/>
      <x:c r="AA82" s="2"/>
      <x:c r="AB82" s="2"/>
      <x:c r="AC82" s="2"/>
      <x:c r="AD82" s="2"/>
      <x:c r="AE82" s="2"/>
      <x:c r="AF82" s="2"/>
      <x:c r="AG82" s="2"/>
      <x:c r="AH82" s="2"/>
      <x:c r="AI82" s="4"/>
      <x:c r="AJ82" s="2"/>
      <x:c r="AK82" s="2" t="s">
        <x:v>106</x:v>
      </x:c>
      <x:c r="AL82" s="2" t="s">
        <x:v>2857</x:v>
      </x:c>
      <x:c r="AM82" s="2">
        <x:v>82</x:v>
      </x:c>
      <x:c r="AN82" s="2">
        <x:v>82</x:v>
      </x:c>
    </x:row>
    <x:row r="83" ht="65">
      <x:c r="A83" s="2" t="s">
        <x:v>6</x:v>
      </x:c>
      <x:c r="B83" s="2" t="s">
        <x:v>13</x:v>
      </x:c>
      <x:c r="C83" s="3">
        <x:v>81</x:v>
      </x:c>
      <x:c r="D83" s="2" t="s">
        <x:v>644</x:v>
      </x:c>
      <x:c r="E83" s="2" t="s">
        <x:v>733</x:v>
      </x:c>
      <x:c r="F83" s="2" t="s">
        <x:v>118</x:v>
      </x:c>
      <x:c r="G83" s="2"/>
      <x:c r="H83" s="2" t="s">
        <x:v>618</x:v>
      </x:c>
      <x:c r="I83" s="2" t="s">
        <x:v>792</x:v>
      </x:c>
      <x:c r="J83" s="2" t="s">
        <x:v>620</x:v>
      </x:c>
      <x:c r="K83" s="2"/>
      <x:c r="L83" s="2" t="s">
        <x:v>697</x:v>
      </x:c>
      <x:c r="M83" s="2" t="s">
        <x:v>648</x:v>
      </x:c>
      <x:c r="N83" s="2">
        <x:v>4</x:v>
      </x:c>
      <x:c r="O83" s="2" t="s">
        <x:v>623</x:v>
      </x:c>
      <x:c r="P83" s="2" t="s">
        <x:v>649</x:v>
      </x:c>
      <x:c r="Q83" s="2"/>
      <x:c r="R83" s="3">
        <x:v>2</x:v>
      </x:c>
      <x:c r="S83" s="3">
        <x:v>1</x:v>
      </x:c>
      <x:c r="T83" s="2" t="s">
        <x:v>103</x:v>
      </x:c>
      <x:c r="U83" s="2" t="s">
        <x:v>104</x:v>
      </x:c>
      <x:c r="V83" s="2" t="s">
        <x:v>123</x:v>
      </x:c>
      <x:c r="W83" s="2"/>
      <x:c r="X83" s="3"/>
      <x:c r="Y83" s="3"/>
      <x:c r="Z83" s="2"/>
      <x:c r="AA83" s="2"/>
      <x:c r="AB83" s="2"/>
      <x:c r="AC83" s="2"/>
      <x:c r="AD83" s="2"/>
      <x:c r="AE83" s="2"/>
      <x:c r="AF83" s="2"/>
      <x:c r="AG83" s="2"/>
      <x:c r="AH83" s="2"/>
      <x:c r="AI83" s="4"/>
      <x:c r="AJ83" s="2"/>
      <x:c r="AK83" s="2" t="s">
        <x:v>106</x:v>
      </x:c>
      <x:c r="AL83" s="2" t="s">
        <x:v>2857</x:v>
      </x:c>
      <x:c r="AM83" s="2">
        <x:v>83</x:v>
      </x:c>
      <x:c r="AN83" s="2">
        <x:v>83</x:v>
      </x:c>
    </x:row>
    <x:row r="84" ht="65">
      <x:c r="A84" s="2" t="s">
        <x:v>6</x:v>
      </x:c>
      <x:c r="B84" s="2" t="s">
        <x:v>13</x:v>
      </x:c>
      <x:c r="C84" s="3">
        <x:v>82</x:v>
      </x:c>
      <x:c r="D84" s="2" t="s">
        <x:v>682</x:v>
      </x:c>
      <x:c r="E84" s="2" t="s">
        <x:v>741</x:v>
      </x:c>
      <x:c r="F84" s="2" t="s">
        <x:v>139</x:v>
      </x:c>
      <x:c r="G84" s="2"/>
      <x:c r="H84" s="2" t="s">
        <x:v>618</x:v>
      </x:c>
      <x:c r="I84" s="2" t="s">
        <x:v>794</x:v>
      </x:c>
      <x:c r="J84" s="2" t="s">
        <x:v>620</x:v>
      </x:c>
      <x:c r="K84" s="2"/>
      <x:c r="L84" s="2" t="s">
        <x:v>708</x:v>
      </x:c>
      <x:c r="M84" s="2" t="s">
        <x:v>648</x:v>
      </x:c>
      <x:c r="N84" s="2">
        <x:v>4</x:v>
      </x:c>
      <x:c r="O84" s="2" t="s">
        <x:v>623</x:v>
      </x:c>
      <x:c r="P84" s="2" t="s">
        <x:v>649</x:v>
      </x:c>
      <x:c r="Q84" s="2"/>
      <x:c r="R84" s="3">
        <x:v>3</x:v>
      </x:c>
      <x:c r="S84" s="3">
        <x:v>1</x:v>
      </x:c>
      <x:c r="T84" s="2" t="s">
        <x:v>103</x:v>
      </x:c>
      <x:c r="U84" s="2" t="s">
        <x:v>122</x:v>
      </x:c>
      <x:c r="V84" s="2" t="s">
        <x:v>136</x:v>
      </x:c>
      <x:c r="W84" s="2"/>
      <x:c r="X84" s="3"/>
      <x:c r="Y84" s="3"/>
      <x:c r="Z84" s="2"/>
      <x:c r="AA84" s="2"/>
      <x:c r="AB84" s="2"/>
      <x:c r="AC84" s="2"/>
      <x:c r="AD84" s="2"/>
      <x:c r="AE84" s="2"/>
      <x:c r="AF84" s="2"/>
      <x:c r="AG84" s="2"/>
      <x:c r="AH84" s="2"/>
      <x:c r="AI84" s="4"/>
      <x:c r="AJ84" s="2"/>
      <x:c r="AK84" s="2" t="s">
        <x:v>106</x:v>
      </x:c>
      <x:c r="AL84" s="2" t="s">
        <x:v>2857</x:v>
      </x:c>
      <x:c r="AM84" s="2">
        <x:v>84</x:v>
      </x:c>
      <x:c r="AN84" s="2">
        <x:v>84</x:v>
      </x:c>
    </x:row>
    <x:row r="85" ht="39">
      <x:c r="A85" s="2" t="s">
        <x:v>91</x:v>
      </x:c>
      <x:c r="B85" s="2" t="s">
        <x:v>13</x:v>
      </x:c>
      <x:c r="C85" s="3">
        <x:v>83</x:v>
      </x:c>
      <x:c r="D85" s="2" t="s">
        <x:v>660</x:v>
      </x:c>
      <x:c r="E85" s="2" t="s">
        <x:v>795</x:v>
      </x:c>
      <x:c r="F85" s="2" t="s">
        <x:v>157</x:v>
      </x:c>
      <x:c r="G85" s="2" t="s">
        <x:v>2862</x:v>
      </x:c>
      <x:c r="H85" s="2" t="s">
        <x:v>618</x:v>
      </x:c>
      <x:c r="I85" s="2" t="s">
        <x:v>796</x:v>
      </x:c>
      <x:c r="J85" s="2" t="s">
        <x:v>620</x:v>
      </x:c>
      <x:c r="K85" s="2"/>
      <x:c r="L85" s="2" t="s">
        <x:v>797</x:v>
      </x:c>
      <x:c r="M85" s="2" t="s">
        <x:v>622</x:v>
      </x:c>
      <x:c r="N85" s="2">
        <x:v>4</x:v>
      </x:c>
      <x:c r="O85" s="2" t="s">
        <x:v>623</x:v>
      </x:c>
      <x:c r="P85" s="2" t="s">
        <x:v>675</x:v>
      </x:c>
      <x:c r="Q85" s="2"/>
      <x:c r="R85" s="3">
        <x:v>4</x:v>
      </x:c>
      <x:c r="S85" s="3">
        <x:v>1</x:v>
      </x:c>
      <x:c r="T85" s="2" t="s">
        <x:v>103</x:v>
      </x:c>
      <x:c r="U85" s="2" t="s">
        <x:v>115</x:v>
      </x:c>
      <x:c r="V85" s="2" t="s">
        <x:v>154</x:v>
      </x:c>
      <x:c r="W85" s="2"/>
      <x:c r="X85" s="3"/>
      <x:c r="Y85" s="3"/>
      <x:c r="Z85" s="2"/>
      <x:c r="AA85" s="2"/>
      <x:c r="AB85" s="2"/>
      <x:c r="AC85" s="2"/>
      <x:c r="AD85" s="2"/>
      <x:c r="AE85" s="2"/>
      <x:c r="AF85" s="2"/>
      <x:c r="AG85" s="2"/>
      <x:c r="AH85" s="2"/>
      <x:c r="AI85" s="4"/>
      <x:c r="AJ85" s="2"/>
      <x:c r="AK85" s="2" t="s">
        <x:v>106</x:v>
      </x:c>
      <x:c r="AL85" s="2" t="s">
        <x:v>2857</x:v>
      </x:c>
      <x:c r="AM85" s="2">
        <x:v>85</x:v>
      </x:c>
      <x:c r="AN85" s="2">
        <x:v>85</x:v>
      </x:c>
    </x:row>
    <x:row r="86" ht="39">
      <x:c r="A86" s="2" t="s">
        <x:v>6</x:v>
      </x:c>
      <x:c r="B86" s="2" t="s">
        <x:v>13</x:v>
      </x:c>
      <x:c r="C86" s="3">
        <x:v>84</x:v>
      </x:c>
      <x:c r="D86" s="2" t="s">
        <x:v>616</x:v>
      </x:c>
      <x:c r="E86" s="2" t="s">
        <x:v>617</x:v>
      </x:c>
      <x:c r="F86" s="2" t="s">
        <x:v>94</x:v>
      </x:c>
      <x:c r="G86" s="2"/>
      <x:c r="H86" s="2" t="s">
        <x:v>618</x:v>
      </x:c>
      <x:c r="I86" s="2" t="s">
        <x:v>799</x:v>
      </x:c>
      <x:c r="J86" s="2" t="s">
        <x:v>620</x:v>
      </x:c>
      <x:c r="K86" s="2"/>
      <x:c r="L86" s="2" t="s">
        <x:v>726</x:v>
      </x:c>
      <x:c r="M86" s="2" t="s">
        <x:v>622</x:v>
      </x:c>
      <x:c r="N86" s="2">
        <x:v>4</x:v>
      </x:c>
      <x:c r="O86" s="2" t="s">
        <x:v>623</x:v>
      </x:c>
      <x:c r="P86" s="2" t="s">
        <x:v>624</x:v>
      </x:c>
      <x:c r="Q86" s="2"/>
      <x:c r="R86" s="3">
        <x:v>2</x:v>
      </x:c>
      <x:c r="S86" s="3">
        <x:v>1</x:v>
      </x:c>
      <x:c r="T86" s="2" t="s">
        <x:v>103</x:v>
      </x:c>
      <x:c r="U86" s="2" t="s">
        <x:v>129</x:v>
      </x:c>
      <x:c r="V86" s="2" t="s">
        <x:v>105</x:v>
      </x:c>
      <x:c r="W86" s="2"/>
      <x:c r="X86" s="3"/>
      <x:c r="Y86" s="3"/>
      <x:c r="Z86" s="2"/>
      <x:c r="AA86" s="2"/>
      <x:c r="AB86" s="2"/>
      <x:c r="AC86" s="2"/>
      <x:c r="AD86" s="2"/>
      <x:c r="AE86" s="2"/>
      <x:c r="AF86" s="2"/>
      <x:c r="AG86" s="2"/>
      <x:c r="AH86" s="2"/>
      <x:c r="AI86" s="4"/>
      <x:c r="AJ86" s="2"/>
      <x:c r="AK86" s="2" t="s">
        <x:v>106</x:v>
      </x:c>
      <x:c r="AL86" s="2" t="s">
        <x:v>2857</x:v>
      </x:c>
      <x:c r="AM86" s="2">
        <x:v>86</x:v>
      </x:c>
      <x:c r="AN86" s="2">
        <x:v>86</x:v>
      </x:c>
    </x:row>
    <x:row r="87" ht="65">
      <x:c r="A87" s="2" t="s">
        <x:v>6</x:v>
      </x:c>
      <x:c r="B87" s="2" t="s">
        <x:v>13</x:v>
      </x:c>
      <x:c r="C87" s="3">
        <x:v>85</x:v>
      </x:c>
      <x:c r="D87" s="2" t="s">
        <x:v>644</x:v>
      </x:c>
      <x:c r="E87" s="2" t="s">
        <x:v>645</x:v>
      </x:c>
      <x:c r="F87" s="2" t="s">
        <x:v>118</x:v>
      </x:c>
      <x:c r="G87" s="2"/>
      <x:c r="H87" s="2" t="s">
        <x:v>618</x:v>
      </x:c>
      <x:c r="I87" s="2" t="s">
        <x:v>800</x:v>
      </x:c>
      <x:c r="J87" s="2" t="s">
        <x:v>620</x:v>
      </x:c>
      <x:c r="K87" s="2"/>
      <x:c r="L87" s="2" t="s">
        <x:v>647</x:v>
      </x:c>
      <x:c r="M87" s="2" t="s">
        <x:v>648</x:v>
      </x:c>
      <x:c r="N87" s="2">
        <x:v>4</x:v>
      </x:c>
      <x:c r="O87" s="2" t="s">
        <x:v>623</x:v>
      </x:c>
      <x:c r="P87" s="2" t="s">
        <x:v>649</x:v>
      </x:c>
      <x:c r="Q87" s="2"/>
      <x:c r="R87" s="3">
        <x:v>3</x:v>
      </x:c>
      <x:c r="S87" s="3">
        <x:v>1</x:v>
      </x:c>
      <x:c r="T87" s="2" t="s">
        <x:v>103</x:v>
      </x:c>
      <x:c r="U87" s="2" t="s">
        <x:v>104</x:v>
      </x:c>
      <x:c r="V87" s="2" t="s">
        <x:v>123</x:v>
      </x:c>
      <x:c r="W87" s="2"/>
      <x:c r="X87" s="3"/>
      <x:c r="Y87" s="3"/>
      <x:c r="Z87" s="2"/>
      <x:c r="AA87" s="2"/>
      <x:c r="AB87" s="2"/>
      <x:c r="AC87" s="2"/>
      <x:c r="AD87" s="2"/>
      <x:c r="AE87" s="2"/>
      <x:c r="AF87" s="2"/>
      <x:c r="AG87" s="2"/>
      <x:c r="AH87" s="2"/>
      <x:c r="AI87" s="4"/>
      <x:c r="AJ87" s="2"/>
      <x:c r="AK87" s="2" t="s">
        <x:v>106</x:v>
      </x:c>
      <x:c r="AL87" s="2" t="s">
        <x:v>2857</x:v>
      </x:c>
      <x:c r="AM87" s="2">
        <x:v>87</x:v>
      </x:c>
      <x:c r="AN87" s="2">
        <x:v>87</x:v>
      </x:c>
    </x:row>
    <x:row r="88" ht="65">
      <x:c r="A88" s="2" t="s">
        <x:v>91</x:v>
      </x:c>
      <x:c r="B88" s="2" t="s">
        <x:v>13</x:v>
      </x:c>
      <x:c r="C88" s="3">
        <x:v>86</x:v>
      </x:c>
      <x:c r="D88" s="2" t="s">
        <x:v>682</x:v>
      </x:c>
      <x:c r="E88" s="2" t="s">
        <x:v>683</x:v>
      </x:c>
      <x:c r="F88" s="2" t="s">
        <x:v>139</x:v>
      </x:c>
      <x:c r="G88" s="2" t="s">
        <x:v>2863</x:v>
      </x:c>
      <x:c r="H88" s="2" t="s">
        <x:v>618</x:v>
      </x:c>
      <x:c r="I88" s="2" t="s">
        <x:v>801</x:v>
      </x:c>
      <x:c r="J88" s="2" t="s">
        <x:v>620</x:v>
      </x:c>
      <x:c r="K88" s="2"/>
      <x:c r="L88" s="2" t="s">
        <x:v>802</x:v>
      </x:c>
      <x:c r="M88" s="2" t="s">
        <x:v>648</x:v>
      </x:c>
      <x:c r="N88" s="2">
        <x:v>4</x:v>
      </x:c>
      <x:c r="O88" s="2" t="s">
        <x:v>623</x:v>
      </x:c>
      <x:c r="P88" s="2" t="s">
        <x:v>649</x:v>
      </x:c>
      <x:c r="Q88" s="2"/>
      <x:c r="R88" s="3">
        <x:v>4</x:v>
      </x:c>
      <x:c r="S88" s="3">
        <x:v>1</x:v>
      </x:c>
      <x:c r="T88" s="2" t="s">
        <x:v>103</x:v>
      </x:c>
      <x:c r="U88" s="2" t="s">
        <x:v>122</x:v>
      </x:c>
      <x:c r="V88" s="2" t="s">
        <x:v>136</x:v>
      </x:c>
      <x:c r="W88" s="2"/>
      <x:c r="X88" s="3"/>
      <x:c r="Y88" s="3"/>
      <x:c r="Z88" s="2"/>
      <x:c r="AA88" s="2"/>
      <x:c r="AB88" s="2"/>
      <x:c r="AC88" s="2"/>
      <x:c r="AD88" s="2"/>
      <x:c r="AE88" s="2"/>
      <x:c r="AF88" s="2"/>
      <x:c r="AG88" s="2"/>
      <x:c r="AH88" s="2"/>
      <x:c r="AI88" s="4"/>
      <x:c r="AJ88" s="2"/>
      <x:c r="AK88" s="2" t="s">
        <x:v>106</x:v>
      </x:c>
      <x:c r="AL88" s="2" t="s">
        <x:v>2857</x:v>
      </x:c>
      <x:c r="AM88" s="2">
        <x:v>88</x:v>
      </x:c>
      <x:c r="AN88" s="2">
        <x:v>88</x:v>
      </x:c>
    </x:row>
    <x:row r="89" ht="39">
      <x:c r="A89" s="2" t="s">
        <x:v>91</x:v>
      </x:c>
      <x:c r="B89" s="2" t="s">
        <x:v>13</x:v>
      </x:c>
      <x:c r="C89" s="3">
        <x:v>87</x:v>
      </x:c>
      <x:c r="D89" s="2" t="s">
        <x:v>660</x:v>
      </x:c>
      <x:c r="E89" s="2" t="s">
        <x:v>661</x:v>
      </x:c>
      <x:c r="F89" s="2" t="s">
        <x:v>157</x:v>
      </x:c>
      <x:c r="G89" s="2" t="s">
        <x:v>2864</x:v>
      </x:c>
      <x:c r="H89" s="2" t="s">
        <x:v>618</x:v>
      </x:c>
      <x:c r="I89" s="2" t="s">
        <x:v>803</x:v>
      </x:c>
      <x:c r="J89" s="2" t="s">
        <x:v>620</x:v>
      </x:c>
      <x:c r="K89" s="2"/>
      <x:c r="L89" s="2" t="s">
        <x:v>804</x:v>
      </x:c>
      <x:c r="M89" s="2" t="s">
        <x:v>622</x:v>
      </x:c>
      <x:c r="N89" s="2">
        <x:v>4</x:v>
      </x:c>
      <x:c r="O89" s="2" t="s">
        <x:v>623</x:v>
      </x:c>
      <x:c r="P89" s="2" t="s">
        <x:v>624</x:v>
      </x:c>
      <x:c r="Q89" s="2"/>
      <x:c r="R89" s="3">
        <x:v>2</x:v>
      </x:c>
      <x:c r="S89" s="3">
        <x:v>1</x:v>
      </x:c>
      <x:c r="T89" s="2" t="s">
        <x:v>103</x:v>
      </x:c>
      <x:c r="U89" s="2" t="s">
        <x:v>115</x:v>
      </x:c>
      <x:c r="V89" s="2" t="s">
        <x:v>154</x:v>
      </x:c>
      <x:c r="W89" s="2"/>
      <x:c r="X89" s="3"/>
      <x:c r="Y89" s="3"/>
      <x:c r="Z89" s="2"/>
      <x:c r="AA89" s="2"/>
      <x:c r="AB89" s="2"/>
      <x:c r="AC89" s="2"/>
      <x:c r="AD89" s="2"/>
      <x:c r="AE89" s="2"/>
      <x:c r="AF89" s="2"/>
      <x:c r="AG89" s="2"/>
      <x:c r="AH89" s="2"/>
      <x:c r="AI89" s="4"/>
      <x:c r="AJ89" s="2"/>
      <x:c r="AK89" s="2" t="s">
        <x:v>106</x:v>
      </x:c>
      <x:c r="AL89" s="2" t="s">
        <x:v>2857</x:v>
      </x:c>
      <x:c r="AM89" s="2">
        <x:v>89</x:v>
      </x:c>
      <x:c r="AN89" s="2">
        <x:v>89</x:v>
      </x:c>
    </x:row>
    <x:row r="90" ht="39">
      <x:c r="A90" s="2" t="s">
        <x:v>6</x:v>
      </x:c>
      <x:c r="B90" s="2" t="s">
        <x:v>13</x:v>
      </x:c>
      <x:c r="C90" s="3">
        <x:v>88</x:v>
      </x:c>
      <x:c r="D90" s="2" t="s">
        <x:v>616</x:v>
      </x:c>
      <x:c r="E90" s="2" t="s">
        <x:v>672</x:v>
      </x:c>
      <x:c r="F90" s="2" t="s">
        <x:v>94</x:v>
      </x:c>
      <x:c r="G90" s="2"/>
      <x:c r="H90" s="2" t="s">
        <x:v>618</x:v>
      </x:c>
      <x:c r="I90" s="2" t="s">
        <x:v>806</x:v>
      </x:c>
      <x:c r="J90" s="2" t="s">
        <x:v>620</x:v>
      </x:c>
      <x:c r="K90" s="2"/>
      <x:c r="L90" s="2" t="s">
        <x:v>807</x:v>
      </x:c>
      <x:c r="M90" s="2" t="s">
        <x:v>622</x:v>
      </x:c>
      <x:c r="N90" s="2">
        <x:v>4</x:v>
      </x:c>
      <x:c r="O90" s="2" t="s">
        <x:v>623</x:v>
      </x:c>
      <x:c r="P90" s="2" t="s">
        <x:v>675</x:v>
      </x:c>
      <x:c r="Q90" s="2"/>
      <x:c r="R90" s="3">
        <x:v>3</x:v>
      </x:c>
      <x:c r="S90" s="3">
        <x:v>1</x:v>
      </x:c>
      <x:c r="T90" s="2" t="s">
        <x:v>103</x:v>
      </x:c>
      <x:c r="U90" s="2" t="s">
        <x:v>129</x:v>
      </x:c>
      <x:c r="V90" s="2" t="s">
        <x:v>105</x:v>
      </x:c>
      <x:c r="W90" s="2"/>
      <x:c r="X90" s="3"/>
      <x:c r="Y90" s="3"/>
      <x:c r="Z90" s="2"/>
      <x:c r="AA90" s="2"/>
      <x:c r="AB90" s="2"/>
      <x:c r="AC90" s="2"/>
      <x:c r="AD90" s="2"/>
      <x:c r="AE90" s="2"/>
      <x:c r="AF90" s="2"/>
      <x:c r="AG90" s="2"/>
      <x:c r="AH90" s="2"/>
      <x:c r="AI90" s="4"/>
      <x:c r="AJ90" s="2"/>
      <x:c r="AK90" s="2" t="s">
        <x:v>106</x:v>
      </x:c>
      <x:c r="AL90" s="2" t="s">
        <x:v>2857</x:v>
      </x:c>
      <x:c r="AM90" s="2">
        <x:v>90</x:v>
      </x:c>
      <x:c r="AN90" s="2">
        <x:v>90</x:v>
      </x:c>
    </x:row>
    <x:row r="91" ht="65">
      <x:c r="A91" s="2" t="s">
        <x:v>6</x:v>
      </x:c>
      <x:c r="B91" s="2" t="s">
        <x:v>13</x:v>
      </x:c>
      <x:c r="C91" s="3">
        <x:v>89</x:v>
      </x:c>
      <x:c r="D91" s="2" t="s">
        <x:v>644</x:v>
      </x:c>
      <x:c r="E91" s="2" t="s">
        <x:v>694</x:v>
      </x:c>
      <x:c r="F91" s="2" t="s">
        <x:v>118</x:v>
      </x:c>
      <x:c r="G91" s="2"/>
      <x:c r="H91" s="2" t="s">
        <x:v>618</x:v>
      </x:c>
      <x:c r="I91" s="2" t="s">
        <x:v>808</x:v>
      </x:c>
      <x:c r="J91" s="2" t="s">
        <x:v>620</x:v>
      </x:c>
      <x:c r="K91" s="2"/>
      <x:c r="L91" s="2" t="s">
        <x:v>697</x:v>
      </x:c>
      <x:c r="M91" s="2" t="s">
        <x:v>648</x:v>
      </x:c>
      <x:c r="N91" s="2">
        <x:v>4</x:v>
      </x:c>
      <x:c r="O91" s="2" t="s">
        <x:v>623</x:v>
      </x:c>
      <x:c r="P91" s="2" t="s">
        <x:v>649</x:v>
      </x:c>
      <x:c r="Q91" s="2"/>
      <x:c r="R91" s="3">
        <x:v>4</x:v>
      </x:c>
      <x:c r="S91" s="3">
        <x:v>1</x:v>
      </x:c>
      <x:c r="T91" s="2" t="s">
        <x:v>103</x:v>
      </x:c>
      <x:c r="U91" s="2" t="s">
        <x:v>104</x:v>
      </x:c>
      <x:c r="V91" s="2" t="s">
        <x:v>123</x:v>
      </x:c>
      <x:c r="W91" s="2"/>
      <x:c r="X91" s="3"/>
      <x:c r="Y91" s="3"/>
      <x:c r="Z91" s="2"/>
      <x:c r="AA91" s="2"/>
      <x:c r="AB91" s="2"/>
      <x:c r="AC91" s="2"/>
      <x:c r="AD91" s="2"/>
      <x:c r="AE91" s="2"/>
      <x:c r="AF91" s="2"/>
      <x:c r="AG91" s="2"/>
      <x:c r="AH91" s="2"/>
      <x:c r="AI91" s="4"/>
      <x:c r="AJ91" s="2"/>
      <x:c r="AK91" s="2" t="s">
        <x:v>106</x:v>
      </x:c>
      <x:c r="AL91" s="2" t="s">
        <x:v>2857</x:v>
      </x:c>
      <x:c r="AM91" s="2">
        <x:v>91</x:v>
      </x:c>
      <x:c r="AN91" s="2">
        <x:v>91</x:v>
      </x:c>
    </x:row>
    <x:row r="92" ht="65">
      <x:c r="A92" s="2" t="s">
        <x:v>6</x:v>
      </x:c>
      <x:c r="B92" s="2" t="s">
        <x:v>13</x:v>
      </x:c>
      <x:c r="C92" s="3">
        <x:v>90</x:v>
      </x:c>
      <x:c r="D92" s="2" t="s">
        <x:v>682</x:v>
      </x:c>
      <x:c r="E92" s="2" t="s">
        <x:v>705</x:v>
      </x:c>
      <x:c r="F92" s="2" t="s">
        <x:v>139</x:v>
      </x:c>
      <x:c r="G92" s="2"/>
      <x:c r="H92" s="2" t="s">
        <x:v>618</x:v>
      </x:c>
      <x:c r="I92" s="2" t="s">
        <x:v>809</x:v>
      </x:c>
      <x:c r="J92" s="2" t="s">
        <x:v>620</x:v>
      </x:c>
      <x:c r="K92" s="2"/>
      <x:c r="L92" s="2" t="s">
        <x:v>763</x:v>
      </x:c>
      <x:c r="M92" s="2" t="s">
        <x:v>648</x:v>
      </x:c>
      <x:c r="N92" s="2">
        <x:v>4</x:v>
      </x:c>
      <x:c r="O92" s="2" t="s">
        <x:v>623</x:v>
      </x:c>
      <x:c r="P92" s="2" t="s">
        <x:v>649</x:v>
      </x:c>
      <x:c r="Q92" s="2"/>
      <x:c r="R92" s="3">
        <x:v>2</x:v>
      </x:c>
      <x:c r="S92" s="3">
        <x:v>1</x:v>
      </x:c>
      <x:c r="T92" s="2" t="s">
        <x:v>103</x:v>
      </x:c>
      <x:c r="U92" s="2" t="s">
        <x:v>122</x:v>
      </x:c>
      <x:c r="V92" s="2" t="s">
        <x:v>136</x:v>
      </x:c>
      <x:c r="W92" s="2"/>
      <x:c r="X92" s="3"/>
      <x:c r="Y92" s="3"/>
      <x:c r="Z92" s="2"/>
      <x:c r="AA92" s="2"/>
      <x:c r="AB92" s="2"/>
      <x:c r="AC92" s="2"/>
      <x:c r="AD92" s="2"/>
      <x:c r="AE92" s="2"/>
      <x:c r="AF92" s="2"/>
      <x:c r="AG92" s="2"/>
      <x:c r="AH92" s="2"/>
      <x:c r="AI92" s="4"/>
      <x:c r="AJ92" s="2"/>
      <x:c r="AK92" s="2" t="s">
        <x:v>106</x:v>
      </x:c>
      <x:c r="AL92" s="2" t="s">
        <x:v>2857</x:v>
      </x:c>
      <x:c r="AM92" s="2">
        <x:v>92</x:v>
      </x:c>
      <x:c r="AN92" s="2">
        <x:v>92</x:v>
      </x:c>
    </x:row>
    <x:row r="93" ht="39">
      <x:c r="A93" s="2" t="s">
        <x:v>91</x:v>
      </x:c>
      <x:c r="B93" s="2" t="s">
        <x:v>13</x:v>
      </x:c>
      <x:c r="C93" s="3">
        <x:v>91</x:v>
      </x:c>
      <x:c r="D93" s="2" t="s">
        <x:v>660</x:v>
      </x:c>
      <x:c r="E93" s="2" t="s">
        <x:v>715</x:v>
      </x:c>
      <x:c r="F93" s="2" t="s">
        <x:v>157</x:v>
      </x:c>
      <x:c r="G93" s="2" t="s">
        <x:v>2865</x:v>
      </x:c>
      <x:c r="H93" s="2" t="s">
        <x:v>618</x:v>
      </x:c>
      <x:c r="I93" s="2" t="s">
        <x:v>810</x:v>
      </x:c>
      <x:c r="J93" s="2" t="s">
        <x:v>620</x:v>
      </x:c>
      <x:c r="K93" s="2"/>
      <x:c r="L93" s="2" t="s">
        <x:v>811</x:v>
      </x:c>
      <x:c r="M93" s="2" t="s">
        <x:v>622</x:v>
      </x:c>
      <x:c r="N93" s="2">
        <x:v>4</x:v>
      </x:c>
      <x:c r="O93" s="2" t="s">
        <x:v>623</x:v>
      </x:c>
      <x:c r="P93" s="2" t="s">
        <x:v>675</x:v>
      </x:c>
      <x:c r="Q93" s="2"/>
      <x:c r="R93" s="3">
        <x:v>3</x:v>
      </x:c>
      <x:c r="S93" s="3">
        <x:v>1</x:v>
      </x:c>
      <x:c r="T93" s="2" t="s">
        <x:v>103</x:v>
      </x:c>
      <x:c r="U93" s="2" t="s">
        <x:v>115</x:v>
      </x:c>
      <x:c r="V93" s="2" t="s">
        <x:v>154</x:v>
      </x:c>
      <x:c r="W93" s="2"/>
      <x:c r="X93" s="3"/>
      <x:c r="Y93" s="3"/>
      <x:c r="Z93" s="2"/>
      <x:c r="AA93" s="2"/>
      <x:c r="AB93" s="2"/>
      <x:c r="AC93" s="2"/>
      <x:c r="AD93" s="2"/>
      <x:c r="AE93" s="2"/>
      <x:c r="AF93" s="2"/>
      <x:c r="AG93" s="2"/>
      <x:c r="AH93" s="2"/>
      <x:c r="AI93" s="4"/>
      <x:c r="AJ93" s="2"/>
      <x:c r="AK93" s="2" t="s">
        <x:v>106</x:v>
      </x:c>
      <x:c r="AL93" s="2" t="s">
        <x:v>2857</x:v>
      </x:c>
      <x:c r="AM93" s="2">
        <x:v>93</x:v>
      </x:c>
      <x:c r="AN93" s="2">
        <x:v>93</x:v>
      </x:c>
    </x:row>
    <x:row r="94" ht="39">
      <x:c r="A94" s="2" t="s">
        <x:v>6</x:v>
      </x:c>
      <x:c r="B94" s="2" t="s">
        <x:v>13</x:v>
      </x:c>
      <x:c r="C94" s="3">
        <x:v>92</x:v>
      </x:c>
      <x:c r="D94" s="2" t="s">
        <x:v>616</x:v>
      </x:c>
      <x:c r="E94" s="2" t="s">
        <x:v>724</x:v>
      </x:c>
      <x:c r="F94" s="2" t="s">
        <x:v>94</x:v>
      </x:c>
      <x:c r="G94" s="2"/>
      <x:c r="H94" s="2" t="s">
        <x:v>618</x:v>
      </x:c>
      <x:c r="I94" s="2" t="s">
        <x:v>812</x:v>
      </x:c>
      <x:c r="J94" s="2" t="s">
        <x:v>620</x:v>
      </x:c>
      <x:c r="K94" s="2"/>
      <x:c r="L94" s="2" t="s">
        <x:v>621</x:v>
      </x:c>
      <x:c r="M94" s="2" t="s">
        <x:v>622</x:v>
      </x:c>
      <x:c r="N94" s="2">
        <x:v>4</x:v>
      </x:c>
      <x:c r="O94" s="2" t="s">
        <x:v>623</x:v>
      </x:c>
      <x:c r="P94" s="2" t="s">
        <x:v>624</x:v>
      </x:c>
      <x:c r="Q94" s="2"/>
      <x:c r="R94" s="3">
        <x:v>4</x:v>
      </x:c>
      <x:c r="S94" s="3">
        <x:v>1</x:v>
      </x:c>
      <x:c r="T94" s="2" t="s">
        <x:v>103</x:v>
      </x:c>
      <x:c r="U94" s="2" t="s">
        <x:v>129</x:v>
      </x:c>
      <x:c r="V94" s="2" t="s">
        <x:v>105</x:v>
      </x:c>
      <x:c r="W94" s="2"/>
      <x:c r="X94" s="3"/>
      <x:c r="Y94" s="3"/>
      <x:c r="Z94" s="2"/>
      <x:c r="AA94" s="2"/>
      <x:c r="AB94" s="2"/>
      <x:c r="AC94" s="2"/>
      <x:c r="AD94" s="2"/>
      <x:c r="AE94" s="2"/>
      <x:c r="AF94" s="2"/>
      <x:c r="AG94" s="2"/>
      <x:c r="AH94" s="2"/>
      <x:c r="AI94" s="4"/>
      <x:c r="AJ94" s="2"/>
      <x:c r="AK94" s="2" t="s">
        <x:v>106</x:v>
      </x:c>
      <x:c r="AL94" s="2" t="s">
        <x:v>2857</x:v>
      </x:c>
      <x:c r="AM94" s="2">
        <x:v>94</x:v>
      </x:c>
      <x:c r="AN94" s="2">
        <x:v>94</x:v>
      </x:c>
    </x:row>
    <x:row r="95" ht="65">
      <x:c r="A95" s="2" t="s">
        <x:v>6</x:v>
      </x:c>
      <x:c r="B95" s="2" t="s">
        <x:v>13</x:v>
      </x:c>
      <x:c r="C95" s="3">
        <x:v>93</x:v>
      </x:c>
      <x:c r="D95" s="2" t="s">
        <x:v>644</x:v>
      </x:c>
      <x:c r="E95" s="2" t="s">
        <x:v>733</x:v>
      </x:c>
      <x:c r="F95" s="2" t="s">
        <x:v>118</x:v>
      </x:c>
      <x:c r="G95" s="2"/>
      <x:c r="H95" s="2" t="s">
        <x:v>618</x:v>
      </x:c>
      <x:c r="I95" s="2" t="s">
        <x:v>813</x:v>
      </x:c>
      <x:c r="J95" s="2" t="s">
        <x:v>620</x:v>
      </x:c>
      <x:c r="K95" s="2"/>
      <x:c r="L95" s="2" t="s">
        <x:v>735</x:v>
      </x:c>
      <x:c r="M95" s="2" t="s">
        <x:v>648</x:v>
      </x:c>
      <x:c r="N95" s="2">
        <x:v>4</x:v>
      </x:c>
      <x:c r="O95" s="2" t="s">
        <x:v>623</x:v>
      </x:c>
      <x:c r="P95" s="2" t="s">
        <x:v>649</x:v>
      </x:c>
      <x:c r="Q95" s="2"/>
      <x:c r="R95" s="3">
        <x:v>2</x:v>
      </x:c>
      <x:c r="S95" s="3">
        <x:v>1</x:v>
      </x:c>
      <x:c r="T95" s="2" t="s">
        <x:v>103</x:v>
      </x:c>
      <x:c r="U95" s="2" t="s">
        <x:v>104</x:v>
      </x:c>
      <x:c r="V95" s="2" t="s">
        <x:v>123</x:v>
      </x:c>
      <x:c r="W95" s="2"/>
      <x:c r="X95" s="3"/>
      <x:c r="Y95" s="3"/>
      <x:c r="Z95" s="2"/>
      <x:c r="AA95" s="2"/>
      <x:c r="AB95" s="2"/>
      <x:c r="AC95" s="2"/>
      <x:c r="AD95" s="2"/>
      <x:c r="AE95" s="2"/>
      <x:c r="AF95" s="2"/>
      <x:c r="AG95" s="2"/>
      <x:c r="AH95" s="2"/>
      <x:c r="AI95" s="4"/>
      <x:c r="AJ95" s="2"/>
      <x:c r="AK95" s="2" t="s">
        <x:v>106</x:v>
      </x:c>
      <x:c r="AL95" s="2" t="s">
        <x:v>2857</x:v>
      </x:c>
      <x:c r="AM95" s="2">
        <x:v>95</x:v>
      </x:c>
      <x:c r="AN95" s="2">
        <x:v>95</x:v>
      </x:c>
    </x:row>
    <x:row r="96" ht="65">
      <x:c r="A96" s="2" t="s">
        <x:v>6</x:v>
      </x:c>
      <x:c r="B96" s="2" t="s">
        <x:v>13</x:v>
      </x:c>
      <x:c r="C96" s="3">
        <x:v>94</x:v>
      </x:c>
      <x:c r="D96" s="2" t="s">
        <x:v>682</x:v>
      </x:c>
      <x:c r="E96" s="2" t="s">
        <x:v>741</x:v>
      </x:c>
      <x:c r="F96" s="2" t="s">
        <x:v>139</x:v>
      </x:c>
      <x:c r="G96" s="2"/>
      <x:c r="H96" s="2" t="s">
        <x:v>618</x:v>
      </x:c>
      <x:c r="I96" s="2" t="s">
        <x:v>814</x:v>
      </x:c>
      <x:c r="J96" s="2" t="s">
        <x:v>620</x:v>
      </x:c>
      <x:c r="K96" s="2"/>
      <x:c r="L96" s="2" t="s">
        <x:v>685</x:v>
      </x:c>
      <x:c r="M96" s="2" t="s">
        <x:v>648</x:v>
      </x:c>
      <x:c r="N96" s="2">
        <x:v>4</x:v>
      </x:c>
      <x:c r="O96" s="2" t="s">
        <x:v>623</x:v>
      </x:c>
      <x:c r="P96" s="2" t="s">
        <x:v>649</x:v>
      </x:c>
      <x:c r="Q96" s="2"/>
      <x:c r="R96" s="3">
        <x:v>3</x:v>
      </x:c>
      <x:c r="S96" s="3">
        <x:v>1</x:v>
      </x:c>
      <x:c r="T96" s="2" t="s">
        <x:v>103</x:v>
      </x:c>
      <x:c r="U96" s="2" t="s">
        <x:v>122</x:v>
      </x:c>
      <x:c r="V96" s="2" t="s">
        <x:v>136</x:v>
      </x:c>
      <x:c r="W96" s="2"/>
      <x:c r="X96" s="3"/>
      <x:c r="Y96" s="3"/>
      <x:c r="Z96" s="2"/>
      <x:c r="AA96" s="2"/>
      <x:c r="AB96" s="2"/>
      <x:c r="AC96" s="2"/>
      <x:c r="AD96" s="2"/>
      <x:c r="AE96" s="2"/>
      <x:c r="AF96" s="2"/>
      <x:c r="AG96" s="2"/>
      <x:c r="AH96" s="2"/>
      <x:c r="AI96" s="4"/>
      <x:c r="AJ96" s="2"/>
      <x:c r="AK96" s="2" t="s">
        <x:v>106</x:v>
      </x:c>
      <x:c r="AL96" s="2" t="s">
        <x:v>2857</x:v>
      </x:c>
      <x:c r="AM96" s="2">
        <x:v>96</x:v>
      </x:c>
      <x:c r="AN96" s="2">
        <x:v>96</x:v>
      </x:c>
    </x:row>
    <x:row r="97" ht="39">
      <x:c r="A97" s="2" t="s">
        <x:v>6</x:v>
      </x:c>
      <x:c r="B97" s="2" t="s">
        <x:v>13</x:v>
      </x:c>
      <x:c r="C97" s="3">
        <x:v>95</x:v>
      </x:c>
      <x:c r="D97" s="2" t="s">
        <x:v>660</x:v>
      </x:c>
      <x:c r="E97" s="2" t="s">
        <x:v>748</x:v>
      </x:c>
      <x:c r="F97" s="2" t="s">
        <x:v>157</x:v>
      </x:c>
      <x:c r="G97" s="2"/>
      <x:c r="H97" s="2" t="s">
        <x:v>618</x:v>
      </x:c>
      <x:c r="I97" s="2" t="s">
        <x:v>816</x:v>
      </x:c>
      <x:c r="J97" s="2" t="s">
        <x:v>620</x:v>
      </x:c>
      <x:c r="K97" s="2"/>
      <x:c r="L97" s="2" t="s">
        <x:v>664</x:v>
      </x:c>
      <x:c r="M97" s="2" t="s">
        <x:v>622</x:v>
      </x:c>
      <x:c r="N97" s="2">
        <x:v>4</x:v>
      </x:c>
      <x:c r="O97" s="2" t="s">
        <x:v>623</x:v>
      </x:c>
      <x:c r="P97" s="2" t="s">
        <x:v>624</x:v>
      </x:c>
      <x:c r="Q97" s="2"/>
      <x:c r="R97" s="3">
        <x:v>4</x:v>
      </x:c>
      <x:c r="S97" s="3">
        <x:v>1</x:v>
      </x:c>
      <x:c r="T97" s="2" t="s">
        <x:v>103</x:v>
      </x:c>
      <x:c r="U97" s="2" t="s">
        <x:v>115</x:v>
      </x:c>
      <x:c r="V97" s="2" t="s">
        <x:v>154</x:v>
      </x:c>
      <x:c r="W97" s="2"/>
      <x:c r="X97" s="3"/>
      <x:c r="Y97" s="3"/>
      <x:c r="Z97" s="2"/>
      <x:c r="AA97" s="2"/>
      <x:c r="AB97" s="2"/>
      <x:c r="AC97" s="2"/>
      <x:c r="AD97" s="2"/>
      <x:c r="AE97" s="2"/>
      <x:c r="AF97" s="2"/>
      <x:c r="AG97" s="2"/>
      <x:c r="AH97" s="2"/>
      <x:c r="AI97" s="4"/>
      <x:c r="AJ97" s="2"/>
      <x:c r="AK97" s="2" t="s">
        <x:v>106</x:v>
      </x:c>
      <x:c r="AL97" s="2" t="s">
        <x:v>2857</x:v>
      </x:c>
      <x:c r="AM97" s="2">
        <x:v>97</x:v>
      </x:c>
      <x:c r="AN97" s="2">
        <x:v>97</x:v>
      </x:c>
    </x:row>
    <x:row r="98" ht="39">
      <x:c r="A98" s="2" t="s">
        <x:v>6</x:v>
      </x:c>
      <x:c r="B98" s="2" t="s">
        <x:v>13</x:v>
      </x:c>
      <x:c r="C98" s="3">
        <x:v>96</x:v>
      </x:c>
      <x:c r="D98" s="2" t="s">
        <x:v>616</x:v>
      </x:c>
      <x:c r="E98" s="2" t="s">
        <x:v>754</x:v>
      </x:c>
      <x:c r="F98" s="2" t="s">
        <x:v>94</x:v>
      </x:c>
      <x:c r="G98" s="2"/>
      <x:c r="H98" s="2" t="s">
        <x:v>618</x:v>
      </x:c>
      <x:c r="I98" s="2" t="s">
        <x:v>817</x:v>
      </x:c>
      <x:c r="J98" s="2" t="s">
        <x:v>620</x:v>
      </x:c>
      <x:c r="K98" s="2"/>
      <x:c r="L98" s="2" t="s">
        <x:v>674</x:v>
      </x:c>
      <x:c r="M98" s="2" t="s">
        <x:v>622</x:v>
      </x:c>
      <x:c r="N98" s="2">
        <x:v>4</x:v>
      </x:c>
      <x:c r="O98" s="2" t="s">
        <x:v>623</x:v>
      </x:c>
      <x:c r="P98" s="2" t="s">
        <x:v>675</x:v>
      </x:c>
      <x:c r="Q98" s="2"/>
      <x:c r="R98" s="3">
        <x:v>2</x:v>
      </x:c>
      <x:c r="S98" s="3">
        <x:v>1</x:v>
      </x:c>
      <x:c r="T98" s="2" t="s">
        <x:v>103</x:v>
      </x:c>
      <x:c r="U98" s="2" t="s">
        <x:v>129</x:v>
      </x:c>
      <x:c r="V98" s="2" t="s">
        <x:v>105</x:v>
      </x:c>
      <x:c r="W98" s="2"/>
      <x:c r="X98" s="3"/>
      <x:c r="Y98" s="3"/>
      <x:c r="Z98" s="2"/>
      <x:c r="AA98" s="2"/>
      <x:c r="AB98" s="2"/>
      <x:c r="AC98" s="2"/>
      <x:c r="AD98" s="2"/>
      <x:c r="AE98" s="2"/>
      <x:c r="AF98" s="2"/>
      <x:c r="AG98" s="2"/>
      <x:c r="AH98" s="2"/>
      <x:c r="AI98" s="4"/>
      <x:c r="AJ98" s="2"/>
      <x:c r="AK98" s="2" t="s">
        <x:v>106</x:v>
      </x:c>
      <x:c r="AL98" s="2" t="s">
        <x:v>2857</x:v>
      </x:c>
      <x:c r="AM98" s="2">
        <x:v>98</x:v>
      </x:c>
      <x:c r="AN98" s="2">
        <x:v>98</x:v>
      </x:c>
    </x:row>
    <x:row r="99" ht="65">
      <x:c r="A99" s="2" t="s">
        <x:v>6</x:v>
      </x:c>
      <x:c r="B99" s="2" t="s">
        <x:v>13</x:v>
      </x:c>
      <x:c r="C99" s="3">
        <x:v>97</x:v>
      </x:c>
      <x:c r="D99" s="2" t="s">
        <x:v>644</x:v>
      </x:c>
      <x:c r="E99" s="2" t="s">
        <x:v>645</x:v>
      </x:c>
      <x:c r="F99" s="2" t="s">
        <x:v>118</x:v>
      </x:c>
      <x:c r="G99" s="2"/>
      <x:c r="H99" s="2" t="s">
        <x:v>618</x:v>
      </x:c>
      <x:c r="I99" s="2" t="s">
        <x:v>818</x:v>
      </x:c>
      <x:c r="J99" s="2" t="s">
        <x:v>620</x:v>
      </x:c>
      <x:c r="K99" s="2"/>
      <x:c r="L99" s="2" t="s">
        <x:v>697</x:v>
      </x:c>
      <x:c r="M99" s="2" t="s">
        <x:v>648</x:v>
      </x:c>
      <x:c r="N99" s="2">
        <x:v>4</x:v>
      </x:c>
      <x:c r="O99" s="2" t="s">
        <x:v>623</x:v>
      </x:c>
      <x:c r="P99" s="2" t="s">
        <x:v>649</x:v>
      </x:c>
      <x:c r="Q99" s="2"/>
      <x:c r="R99" s="3">
        <x:v>3</x:v>
      </x:c>
      <x:c r="S99" s="3">
        <x:v>1</x:v>
      </x:c>
      <x:c r="T99" s="2" t="s">
        <x:v>103</x:v>
      </x:c>
      <x:c r="U99" s="2" t="s">
        <x:v>104</x:v>
      </x:c>
      <x:c r="V99" s="2" t="s">
        <x:v>123</x:v>
      </x:c>
      <x:c r="W99" s="2"/>
      <x:c r="X99" s="3"/>
      <x:c r="Y99" s="3"/>
      <x:c r="Z99" s="2"/>
      <x:c r="AA99" s="2"/>
      <x:c r="AB99" s="2"/>
      <x:c r="AC99" s="2"/>
      <x:c r="AD99" s="2"/>
      <x:c r="AE99" s="2"/>
      <x:c r="AF99" s="2"/>
      <x:c r="AG99" s="2"/>
      <x:c r="AH99" s="2"/>
      <x:c r="AI99" s="4"/>
      <x:c r="AJ99" s="2"/>
      <x:c r="AK99" s="2" t="s">
        <x:v>106</x:v>
      </x:c>
      <x:c r="AL99" s="2" t="s">
        <x:v>2857</x:v>
      </x:c>
      <x:c r="AM99" s="2">
        <x:v>99</x:v>
      </x:c>
      <x:c r="AN99" s="2">
        <x:v>99</x:v>
      </x:c>
    </x:row>
    <x:row r="100" ht="65">
      <x:c r="A100" s="2" t="s">
        <x:v>6</x:v>
      </x:c>
      <x:c r="B100" s="2" t="s">
        <x:v>13</x:v>
      </x:c>
      <x:c r="C100" s="3">
        <x:v>98</x:v>
      </x:c>
      <x:c r="D100" s="2" t="s">
        <x:v>682</x:v>
      </x:c>
      <x:c r="E100" s="2" t="s">
        <x:v>683</x:v>
      </x:c>
      <x:c r="F100" s="2" t="s">
        <x:v>139</x:v>
      </x:c>
      <x:c r="G100" s="2"/>
      <x:c r="H100" s="2" t="s">
        <x:v>618</x:v>
      </x:c>
      <x:c r="I100" s="2" t="s">
        <x:v>819</x:v>
      </x:c>
      <x:c r="J100" s="2" t="s">
        <x:v>620</x:v>
      </x:c>
      <x:c r="K100" s="2"/>
      <x:c r="L100" s="2" t="s">
        <x:v>708</x:v>
      </x:c>
      <x:c r="M100" s="2" t="s">
        <x:v>648</x:v>
      </x:c>
      <x:c r="N100" s="2">
        <x:v>4</x:v>
      </x:c>
      <x:c r="O100" s="2" t="s">
        <x:v>623</x:v>
      </x:c>
      <x:c r="P100" s="2" t="s">
        <x:v>649</x:v>
      </x:c>
      <x:c r="Q100" s="2"/>
      <x:c r="R100" s="3">
        <x:v>4</x:v>
      </x:c>
      <x:c r="S100" s="3">
        <x:v>1</x:v>
      </x:c>
      <x:c r="T100" s="2" t="s">
        <x:v>103</x:v>
      </x:c>
      <x:c r="U100" s="2" t="s">
        <x:v>122</x:v>
      </x:c>
      <x:c r="V100" s="2" t="s">
        <x:v>136</x:v>
      </x:c>
      <x:c r="W100" s="2"/>
      <x:c r="X100" s="3"/>
      <x:c r="Y100" s="3"/>
      <x:c r="Z100" s="2"/>
      <x:c r="AA100" s="2"/>
      <x:c r="AB100" s="2"/>
      <x:c r="AC100" s="2"/>
      <x:c r="AD100" s="2"/>
      <x:c r="AE100" s="2"/>
      <x:c r="AF100" s="2"/>
      <x:c r="AG100" s="2"/>
      <x:c r="AH100" s="2"/>
      <x:c r="AI100" s="4"/>
      <x:c r="AJ100" s="2"/>
      <x:c r="AK100" s="2" t="s">
        <x:v>106</x:v>
      </x:c>
      <x:c r="AL100" s="2" t="s">
        <x:v>2857</x:v>
      </x:c>
      <x:c r="AM100" s="2">
        <x:v>100</x:v>
      </x:c>
      <x:c r="AN100" s="2">
        <x:v>100</x:v>
      </x:c>
    </x:row>
    <x:row r="101" ht="39">
      <x:c r="A101" s="2" t="s">
        <x:v>91</x:v>
      </x:c>
      <x:c r="B101" s="2" t="s">
        <x:v>13</x:v>
      </x:c>
      <x:c r="C101" s="3">
        <x:v>99</x:v>
      </x:c>
      <x:c r="D101" s="2" t="s">
        <x:v>660</x:v>
      </x:c>
      <x:c r="E101" s="2" t="s">
        <x:v>765</x:v>
      </x:c>
      <x:c r="F101" s="2" t="s">
        <x:v>157</x:v>
      </x:c>
      <x:c r="G101" s="2" t="s">
        <x:v>2866</x:v>
      </x:c>
      <x:c r="H101" s="2" t="s">
        <x:v>618</x:v>
      </x:c>
      <x:c r="I101" s="2" t="s">
        <x:v>820</x:v>
      </x:c>
      <x:c r="J101" s="2" t="s">
        <x:v>620</x:v>
      </x:c>
      <x:c r="K101" s="2"/>
      <x:c r="L101" s="2" t="s">
        <x:v>717</x:v>
      </x:c>
      <x:c r="M101" s="2" t="s">
        <x:v>622</x:v>
      </x:c>
      <x:c r="N101" s="2">
        <x:v>4</x:v>
      </x:c>
      <x:c r="O101" s="2" t="s">
        <x:v>623</x:v>
      </x:c>
      <x:c r="P101" s="2" t="s">
        <x:v>675</x:v>
      </x:c>
      <x:c r="Q101" s="2"/>
      <x:c r="R101" s="3">
        <x:v>2</x:v>
      </x:c>
      <x:c r="S101" s="3">
        <x:v>1</x:v>
      </x:c>
      <x:c r="T101" s="2" t="s">
        <x:v>103</x:v>
      </x:c>
      <x:c r="U101" s="2" t="s">
        <x:v>115</x:v>
      </x:c>
      <x:c r="V101" s="2" t="s">
        <x:v>154</x:v>
      </x:c>
      <x:c r="W101" s="2"/>
      <x:c r="X101" s="3"/>
      <x:c r="Y101" s="3"/>
      <x:c r="Z101" s="2"/>
      <x:c r="AA101" s="2"/>
      <x:c r="AB101" s="2"/>
      <x:c r="AC101" s="2"/>
      <x:c r="AD101" s="2"/>
      <x:c r="AE101" s="2"/>
      <x:c r="AF101" s="2"/>
      <x:c r="AG101" s="2"/>
      <x:c r="AH101" s="2"/>
      <x:c r="AI101" s="4"/>
      <x:c r="AJ101" s="2"/>
      <x:c r="AK101" s="2" t="s">
        <x:v>106</x:v>
      </x:c>
      <x:c r="AL101" s="2" t="s">
        <x:v>2857</x:v>
      </x:c>
      <x:c r="AM101" s="2">
        <x:v>101</x:v>
      </x:c>
      <x:c r="AN101" s="2">
        <x:v>101</x:v>
      </x:c>
    </x:row>
    <x:row r="102" ht="39">
      <x:c r="A102" s="2" t="s">
        <x:v>6</x:v>
      </x:c>
      <x:c r="B102" s="2" t="s">
        <x:v>13</x:v>
      </x:c>
      <x:c r="C102" s="3">
        <x:v>100</x:v>
      </x:c>
      <x:c r="D102" s="2" t="s">
        <x:v>616</x:v>
      </x:c>
      <x:c r="E102" s="2" t="s">
        <x:v>770</x:v>
      </x:c>
      <x:c r="F102" s="2" t="s">
        <x:v>94</x:v>
      </x:c>
      <x:c r="G102" s="2"/>
      <x:c r="H102" s="2" t="s">
        <x:v>618</x:v>
      </x:c>
      <x:c r="I102" s="2" t="s">
        <x:v>821</x:v>
      </x:c>
      <x:c r="J102" s="2" t="s">
        <x:v>620</x:v>
      </x:c>
      <x:c r="K102" s="2"/>
      <x:c r="L102" s="2" t="s">
        <x:v>726</x:v>
      </x:c>
      <x:c r="M102" s="2" t="s">
        <x:v>622</x:v>
      </x:c>
      <x:c r="N102" s="2">
        <x:v>4</x:v>
      </x:c>
      <x:c r="O102" s="2" t="s">
        <x:v>623</x:v>
      </x:c>
      <x:c r="P102" s="2" t="s">
        <x:v>624</x:v>
      </x:c>
      <x:c r="Q102" s="2"/>
      <x:c r="R102" s="3">
        <x:v>3</x:v>
      </x:c>
      <x:c r="S102" s="3">
        <x:v>1</x:v>
      </x:c>
      <x:c r="T102" s="2" t="s">
        <x:v>103</x:v>
      </x:c>
      <x:c r="U102" s="2" t="s">
        <x:v>129</x:v>
      </x:c>
      <x:c r="V102" s="2" t="s">
        <x:v>105</x:v>
      </x:c>
      <x:c r="W102" s="2"/>
      <x:c r="X102" s="3"/>
      <x:c r="Y102" s="3"/>
      <x:c r="Z102" s="2"/>
      <x:c r="AA102" s="2"/>
      <x:c r="AB102" s="2"/>
      <x:c r="AC102" s="2"/>
      <x:c r="AD102" s="2"/>
      <x:c r="AE102" s="2"/>
      <x:c r="AF102" s="2"/>
      <x:c r="AG102" s="2"/>
      <x:c r="AH102" s="2"/>
      <x:c r="AI102" s="4"/>
      <x:c r="AJ102" s="2"/>
      <x:c r="AK102" s="2" t="s">
        <x:v>106</x:v>
      </x:c>
      <x:c r="AL102" s="2" t="s">
        <x:v>2857</x:v>
      </x:c>
      <x:c r="AM102" s="2">
        <x:v>102</x:v>
      </x:c>
      <x:c r="AN102" s="2">
        <x:v>102</x:v>
      </x:c>
    </x:row>
    <x:row r="103" ht="65">
      <x:c r="A103" s="2" t="s">
        <x:v>91</x:v>
      </x:c>
      <x:c r="B103" s="2" t="s">
        <x:v>13</x:v>
      </x:c>
      <x:c r="C103" s="3">
        <x:v>101</x:v>
      </x:c>
      <x:c r="D103" s="2" t="s">
        <x:v>644</x:v>
      </x:c>
      <x:c r="E103" s="2" t="s">
        <x:v>694</x:v>
      </x:c>
      <x:c r="F103" s="2" t="s">
        <x:v>118</x:v>
      </x:c>
      <x:c r="G103" s="2" t="s">
        <x:v>2867</x:v>
      </x:c>
      <x:c r="H103" s="2" t="s">
        <x:v>618</x:v>
      </x:c>
      <x:c r="I103" s="2" t="s">
        <x:v>822</x:v>
      </x:c>
      <x:c r="J103" s="2" t="s">
        <x:v>620</x:v>
      </x:c>
      <x:c r="K103" s="2"/>
      <x:c r="L103" s="2" t="s">
        <x:v>775</x:v>
      </x:c>
      <x:c r="M103" s="2" t="s">
        <x:v>648</x:v>
      </x:c>
      <x:c r="N103" s="2">
        <x:v>4</x:v>
      </x:c>
      <x:c r="O103" s="2" t="s">
        <x:v>623</x:v>
      </x:c>
      <x:c r="P103" s="2" t="s">
        <x:v>649</x:v>
      </x:c>
      <x:c r="Q103" s="2"/>
      <x:c r="R103" s="3">
        <x:v>4</x:v>
      </x:c>
      <x:c r="S103" s="3">
        <x:v>1</x:v>
      </x:c>
      <x:c r="T103" s="2" t="s">
        <x:v>103</x:v>
      </x:c>
      <x:c r="U103" s="2" t="s">
        <x:v>104</x:v>
      </x:c>
      <x:c r="V103" s="2" t="s">
        <x:v>123</x:v>
      </x:c>
      <x:c r="W103" s="2"/>
      <x:c r="X103" s="3"/>
      <x:c r="Y103" s="3"/>
      <x:c r="Z103" s="2"/>
      <x:c r="AA103" s="2"/>
      <x:c r="AB103" s="2"/>
      <x:c r="AC103" s="2"/>
      <x:c r="AD103" s="2"/>
      <x:c r="AE103" s="2"/>
      <x:c r="AF103" s="2"/>
      <x:c r="AG103" s="2"/>
      <x:c r="AH103" s="2"/>
      <x:c r="AI103" s="4"/>
      <x:c r="AJ103" s="2"/>
      <x:c r="AK103" s="2" t="s">
        <x:v>106</x:v>
      </x:c>
      <x:c r="AL103" s="2" t="s">
        <x:v>2857</x:v>
      </x:c>
      <x:c r="AM103" s="2">
        <x:v>103</x:v>
      </x:c>
      <x:c r="AN103" s="2">
        <x:v>103</x:v>
      </x:c>
    </x:row>
    <x:row r="104" ht="65">
      <x:c r="A104" s="2" t="s">
        <x:v>6</x:v>
      </x:c>
      <x:c r="B104" s="2" t="s">
        <x:v>13</x:v>
      </x:c>
      <x:c r="C104" s="3">
        <x:v>102</x:v>
      </x:c>
      <x:c r="D104" s="2" t="s">
        <x:v>682</x:v>
      </x:c>
      <x:c r="E104" s="2" t="s">
        <x:v>705</x:v>
      </x:c>
      <x:c r="F104" s="2" t="s">
        <x:v>139</x:v>
      </x:c>
      <x:c r="G104" s="2"/>
      <x:c r="H104" s="2" t="s">
        <x:v>618</x:v>
      </x:c>
      <x:c r="I104" s="2" t="s">
        <x:v>823</x:v>
      </x:c>
      <x:c r="J104" s="2" t="s">
        <x:v>620</x:v>
      </x:c>
      <x:c r="K104" s="2"/>
      <x:c r="L104" s="2" t="s">
        <x:v>744</x:v>
      </x:c>
      <x:c r="M104" s="2" t="s">
        <x:v>648</x:v>
      </x:c>
      <x:c r="N104" s="2">
        <x:v>4</x:v>
      </x:c>
      <x:c r="O104" s="2" t="s">
        <x:v>623</x:v>
      </x:c>
      <x:c r="P104" s="2" t="s">
        <x:v>649</x:v>
      </x:c>
      <x:c r="Q104" s="2"/>
      <x:c r="R104" s="3">
        <x:v>2</x:v>
      </x:c>
      <x:c r="S104" s="3">
        <x:v>1</x:v>
      </x:c>
      <x:c r="T104" s="2" t="s">
        <x:v>103</x:v>
      </x:c>
      <x:c r="U104" s="2" t="s">
        <x:v>122</x:v>
      </x:c>
      <x:c r="V104" s="2" t="s">
        <x:v>136</x:v>
      </x:c>
      <x:c r="W104" s="2"/>
      <x:c r="X104" s="3"/>
      <x:c r="Y104" s="3"/>
      <x:c r="Z104" s="2"/>
      <x:c r="AA104" s="2"/>
      <x:c r="AB104" s="2"/>
      <x:c r="AC104" s="2"/>
      <x:c r="AD104" s="2"/>
      <x:c r="AE104" s="2"/>
      <x:c r="AF104" s="2"/>
      <x:c r="AG104" s="2"/>
      <x:c r="AH104" s="2"/>
      <x:c r="AI104" s="4"/>
      <x:c r="AJ104" s="2"/>
      <x:c r="AK104" s="2" t="s">
        <x:v>106</x:v>
      </x:c>
      <x:c r="AL104" s="2" t="s">
        <x:v>2857</x:v>
      </x:c>
      <x:c r="AM104" s="2">
        <x:v>104</x:v>
      </x:c>
      <x:c r="AN104" s="2">
        <x:v>104</x:v>
      </x:c>
    </x:row>
    <x:row r="105" ht="39">
      <x:c r="A105" s="2" t="s">
        <x:v>91</x:v>
      </x:c>
      <x:c r="B105" s="2" t="s">
        <x:v>13</x:v>
      </x:c>
      <x:c r="C105" s="3">
        <x:v>103</x:v>
      </x:c>
      <x:c r="D105" s="2" t="s">
        <x:v>660</x:v>
      </x:c>
      <x:c r="E105" s="2" t="s">
        <x:v>782</x:v>
      </x:c>
      <x:c r="F105" s="2" t="s">
        <x:v>157</x:v>
      </x:c>
      <x:c r="G105" s="2" t="s">
        <x:v>662</x:v>
      </x:c>
      <x:c r="H105" s="2" t="s">
        <x:v>618</x:v>
      </x:c>
      <x:c r="I105" s="2" t="s">
        <x:v>824</x:v>
      </x:c>
      <x:c r="J105" s="2" t="s">
        <x:v>620</x:v>
      </x:c>
      <x:c r="K105" s="2"/>
      <x:c r="L105" s="2" t="s">
        <x:v>750</x:v>
      </x:c>
      <x:c r="M105" s="2" t="s">
        <x:v>622</x:v>
      </x:c>
      <x:c r="N105" s="2">
        <x:v>4</x:v>
      </x:c>
      <x:c r="O105" s="2" t="s">
        <x:v>623</x:v>
      </x:c>
      <x:c r="P105" s="2" t="s">
        <x:v>624</x:v>
      </x:c>
      <x:c r="Q105" s="2"/>
      <x:c r="R105" s="3">
        <x:v>3</x:v>
      </x:c>
      <x:c r="S105" s="3">
        <x:v>1</x:v>
      </x:c>
      <x:c r="T105" s="2" t="s">
        <x:v>103</x:v>
      </x:c>
      <x:c r="U105" s="2" t="s">
        <x:v>115</x:v>
      </x:c>
      <x:c r="V105" s="2" t="s">
        <x:v>154</x:v>
      </x:c>
      <x:c r="W105" s="2"/>
      <x:c r="X105" s="3"/>
      <x:c r="Y105" s="3"/>
      <x:c r="Z105" s="2"/>
      <x:c r="AA105" s="2"/>
      <x:c r="AB105" s="2"/>
      <x:c r="AC105" s="2"/>
      <x:c r="AD105" s="2"/>
      <x:c r="AE105" s="2"/>
      <x:c r="AF105" s="2"/>
      <x:c r="AG105" s="2"/>
      <x:c r="AH105" s="2"/>
      <x:c r="AI105" s="4"/>
      <x:c r="AJ105" s="2"/>
      <x:c r="AK105" s="2" t="s">
        <x:v>106</x:v>
      </x:c>
      <x:c r="AL105" s="2" t="s">
        <x:v>2857</x:v>
      </x:c>
      <x:c r="AM105" s="2">
        <x:v>105</x:v>
      </x:c>
      <x:c r="AN105" s="2">
        <x:v>105</x:v>
      </x:c>
    </x:row>
    <x:row r="106" ht="39">
      <x:c r="A106" s="2" t="s">
        <x:v>6</x:v>
      </x:c>
      <x:c r="B106" s="2" t="s">
        <x:v>13</x:v>
      </x:c>
      <x:c r="C106" s="3">
        <x:v>104</x:v>
      </x:c>
      <x:c r="D106" s="2" t="s">
        <x:v>616</x:v>
      </x:c>
      <x:c r="E106" s="2" t="s">
        <x:v>789</x:v>
      </x:c>
      <x:c r="F106" s="2" t="s">
        <x:v>94</x:v>
      </x:c>
      <x:c r="G106" s="2"/>
      <x:c r="H106" s="2" t="s">
        <x:v>618</x:v>
      </x:c>
      <x:c r="I106" s="2" t="s">
        <x:v>825</x:v>
      </x:c>
      <x:c r="J106" s="2" t="s">
        <x:v>620</x:v>
      </x:c>
      <x:c r="K106" s="2"/>
      <x:c r="L106" s="2" t="s">
        <x:v>756</x:v>
      </x:c>
      <x:c r="M106" s="2" t="s">
        <x:v>622</x:v>
      </x:c>
      <x:c r="N106" s="2">
        <x:v>4</x:v>
      </x:c>
      <x:c r="O106" s="2" t="s">
        <x:v>623</x:v>
      </x:c>
      <x:c r="P106" s="2" t="s">
        <x:v>675</x:v>
      </x:c>
      <x:c r="Q106" s="2"/>
      <x:c r="R106" s="3">
        <x:v>4</x:v>
      </x:c>
      <x:c r="S106" s="3">
        <x:v>1</x:v>
      </x:c>
      <x:c r="T106" s="2" t="s">
        <x:v>103</x:v>
      </x:c>
      <x:c r="U106" s="2" t="s">
        <x:v>129</x:v>
      </x:c>
      <x:c r="V106" s="2" t="s">
        <x:v>105</x:v>
      </x:c>
      <x:c r="W106" s="2"/>
      <x:c r="X106" s="3"/>
      <x:c r="Y106" s="3"/>
      <x:c r="Z106" s="2"/>
      <x:c r="AA106" s="2"/>
      <x:c r="AB106" s="2"/>
      <x:c r="AC106" s="2"/>
      <x:c r="AD106" s="2"/>
      <x:c r="AE106" s="2"/>
      <x:c r="AF106" s="2"/>
      <x:c r="AG106" s="2"/>
      <x:c r="AH106" s="2"/>
      <x:c r="AI106" s="4"/>
      <x:c r="AJ106" s="2"/>
      <x:c r="AK106" s="2" t="s">
        <x:v>106</x:v>
      </x:c>
      <x:c r="AL106" s="2" t="s">
        <x:v>2857</x:v>
      </x:c>
      <x:c r="AM106" s="2">
        <x:v>106</x:v>
      </x:c>
      <x:c r="AN106" s="2">
        <x:v>106</x:v>
      </x:c>
    </x:row>
    <x:row r="107" ht="65">
      <x:c r="A107" s="2" t="s">
        <x:v>6</x:v>
      </x:c>
      <x:c r="B107" s="2" t="s">
        <x:v>13</x:v>
      </x:c>
      <x:c r="C107" s="3">
        <x:v>105</x:v>
      </x:c>
      <x:c r="D107" s="2" t="s">
        <x:v>644</x:v>
      </x:c>
      <x:c r="E107" s="2" t="s">
        <x:v>733</x:v>
      </x:c>
      <x:c r="F107" s="2" t="s">
        <x:v>118</x:v>
      </x:c>
      <x:c r="G107" s="2"/>
      <x:c r="H107" s="2" t="s">
        <x:v>618</x:v>
      </x:c>
      <x:c r="I107" s="2" t="s">
        <x:v>826</x:v>
      </x:c>
      <x:c r="J107" s="2" t="s">
        <x:v>620</x:v>
      </x:c>
      <x:c r="K107" s="2"/>
      <x:c r="L107" s="2" t="s">
        <x:v>697</x:v>
      </x:c>
      <x:c r="M107" s="2" t="s">
        <x:v>648</x:v>
      </x:c>
      <x:c r="N107" s="2">
        <x:v>4</x:v>
      </x:c>
      <x:c r="O107" s="2" t="s">
        <x:v>623</x:v>
      </x:c>
      <x:c r="P107" s="2" t="s">
        <x:v>649</x:v>
      </x:c>
      <x:c r="Q107" s="2"/>
      <x:c r="R107" s="3">
        <x:v>2</x:v>
      </x:c>
      <x:c r="S107" s="3">
        <x:v>1</x:v>
      </x:c>
      <x:c r="T107" s="2" t="s">
        <x:v>103</x:v>
      </x:c>
      <x:c r="U107" s="2" t="s">
        <x:v>104</x:v>
      </x:c>
      <x:c r="V107" s="2" t="s">
        <x:v>123</x:v>
      </x:c>
      <x:c r="W107" s="2"/>
      <x:c r="X107" s="3"/>
      <x:c r="Y107" s="3"/>
      <x:c r="Z107" s="2"/>
      <x:c r="AA107" s="2"/>
      <x:c r="AB107" s="2"/>
      <x:c r="AC107" s="2"/>
      <x:c r="AD107" s="2"/>
      <x:c r="AE107" s="2"/>
      <x:c r="AF107" s="2"/>
      <x:c r="AG107" s="2"/>
      <x:c r="AH107" s="2"/>
      <x:c r="AI107" s="4"/>
      <x:c r="AJ107" s="2"/>
      <x:c r="AK107" s="2" t="s">
        <x:v>106</x:v>
      </x:c>
      <x:c r="AL107" s="2" t="s">
        <x:v>2857</x:v>
      </x:c>
      <x:c r="AM107" s="2">
        <x:v>107</x:v>
      </x:c>
      <x:c r="AN107" s="2">
        <x:v>107</x:v>
      </x:c>
    </x:row>
    <x:row r="108" ht="65">
      <x:c r="A108" s="2" t="s">
        <x:v>6</x:v>
      </x:c>
      <x:c r="B108" s="2" t="s">
        <x:v>13</x:v>
      </x:c>
      <x:c r="C108" s="3">
        <x:v>106</x:v>
      </x:c>
      <x:c r="D108" s="2" t="s">
        <x:v>682</x:v>
      </x:c>
      <x:c r="E108" s="2" t="s">
        <x:v>741</x:v>
      </x:c>
      <x:c r="F108" s="2" t="s">
        <x:v>139</x:v>
      </x:c>
      <x:c r="G108" s="2"/>
      <x:c r="H108" s="2" t="s">
        <x:v>618</x:v>
      </x:c>
      <x:c r="I108" s="2" t="s">
        <x:v>827</x:v>
      </x:c>
      <x:c r="J108" s="2" t="s">
        <x:v>620</x:v>
      </x:c>
      <x:c r="K108" s="2"/>
      <x:c r="L108" s="2" t="s">
        <x:v>763</x:v>
      </x:c>
      <x:c r="M108" s="2" t="s">
        <x:v>648</x:v>
      </x:c>
      <x:c r="N108" s="2">
        <x:v>4</x:v>
      </x:c>
      <x:c r="O108" s="2" t="s">
        <x:v>623</x:v>
      </x:c>
      <x:c r="P108" s="2" t="s">
        <x:v>649</x:v>
      </x:c>
      <x:c r="Q108" s="2"/>
      <x:c r="R108" s="3">
        <x:v>3</x:v>
      </x:c>
      <x:c r="S108" s="3">
        <x:v>1</x:v>
      </x:c>
      <x:c r="T108" s="2" t="s">
        <x:v>103</x:v>
      </x:c>
      <x:c r="U108" s="2" t="s">
        <x:v>122</x:v>
      </x:c>
      <x:c r="V108" s="2" t="s">
        <x:v>136</x:v>
      </x:c>
      <x:c r="W108" s="2"/>
      <x:c r="X108" s="3"/>
      <x:c r="Y108" s="3"/>
      <x:c r="Z108" s="2"/>
      <x:c r="AA108" s="2"/>
      <x:c r="AB108" s="2"/>
      <x:c r="AC108" s="2"/>
      <x:c r="AD108" s="2"/>
      <x:c r="AE108" s="2"/>
      <x:c r="AF108" s="2"/>
      <x:c r="AG108" s="2"/>
      <x:c r="AH108" s="2"/>
      <x:c r="AI108" s="4"/>
      <x:c r="AJ108" s="2"/>
      <x:c r="AK108" s="2" t="s">
        <x:v>106</x:v>
      </x:c>
      <x:c r="AL108" s="2" t="s">
        <x:v>2857</x:v>
      </x:c>
      <x:c r="AM108" s="2">
        <x:v>108</x:v>
      </x:c>
      <x:c r="AN108" s="2">
        <x:v>108</x:v>
      </x:c>
    </x:row>
    <x:row r="109" ht="39">
      <x:c r="A109" s="2" t="s">
        <x:v>6</x:v>
      </x:c>
      <x:c r="B109" s="2" t="s">
        <x:v>13</x:v>
      </x:c>
      <x:c r="C109" s="3">
        <x:v>107</x:v>
      </x:c>
      <x:c r="D109" s="2" t="s">
        <x:v>660</x:v>
      </x:c>
      <x:c r="E109" s="2" t="s">
        <x:v>795</x:v>
      </x:c>
      <x:c r="F109" s="2" t="s">
        <x:v>157</x:v>
      </x:c>
      <x:c r="G109" s="2" t="s">
        <x:v>2868</x:v>
      </x:c>
      <x:c r="H109" s="2" t="s">
        <x:v>618</x:v>
      </x:c>
      <x:c r="I109" s="2" t="s">
        <x:v>828</x:v>
      </x:c>
      <x:c r="J109" s="2" t="s">
        <x:v>620</x:v>
      </x:c>
      <x:c r="K109" s="2"/>
      <x:c r="L109" s="2" t="s">
        <x:v>767</x:v>
      </x:c>
      <x:c r="M109" s="2" t="s">
        <x:v>622</x:v>
      </x:c>
      <x:c r="N109" s="2">
        <x:v>4</x:v>
      </x:c>
      <x:c r="O109" s="2" t="s">
        <x:v>623</x:v>
      </x:c>
      <x:c r="P109" s="2" t="s">
        <x:v>675</x:v>
      </x:c>
      <x:c r="Q109" s="2"/>
      <x:c r="R109" s="3">
        <x:v>4</x:v>
      </x:c>
      <x:c r="S109" s="3">
        <x:v>1</x:v>
      </x:c>
      <x:c r="T109" s="2" t="s">
        <x:v>103</x:v>
      </x:c>
      <x:c r="U109" s="2" t="s">
        <x:v>115</x:v>
      </x:c>
      <x:c r="V109" s="2" t="s">
        <x:v>154</x:v>
      </x:c>
      <x:c r="W109" s="2"/>
      <x:c r="X109" s="3"/>
      <x:c r="Y109" s="3"/>
      <x:c r="Z109" s="2"/>
      <x:c r="AA109" s="2"/>
      <x:c r="AB109" s="2"/>
      <x:c r="AC109" s="2"/>
      <x:c r="AD109" s="2"/>
      <x:c r="AE109" s="2"/>
      <x:c r="AF109" s="2"/>
      <x:c r="AG109" s="2"/>
      <x:c r="AH109" s="2"/>
      <x:c r="AI109" s="4"/>
      <x:c r="AJ109" s="2"/>
      <x:c r="AK109" s="2" t="s">
        <x:v>106</x:v>
      </x:c>
      <x:c r="AL109" s="2" t="s">
        <x:v>2857</x:v>
      </x:c>
      <x:c r="AM109" s="2">
        <x:v>109</x:v>
      </x:c>
      <x:c r="AN109" s="2">
        <x:v>109</x:v>
      </x:c>
    </x:row>
    <x:row r="110" ht="39">
      <x:c r="A110" s="2" t="s">
        <x:v>6</x:v>
      </x:c>
      <x:c r="B110" s="2" t="s">
        <x:v>13</x:v>
      </x:c>
      <x:c r="C110" s="3">
        <x:v>108</x:v>
      </x:c>
      <x:c r="D110" s="2" t="s">
        <x:v>616</x:v>
      </x:c>
      <x:c r="E110" s="2" t="s">
        <x:v>617</x:v>
      </x:c>
      <x:c r="F110" s="2" t="s">
        <x:v>94</x:v>
      </x:c>
      <x:c r="G110" s="2"/>
      <x:c r="H110" s="2" t="s">
        <x:v>618</x:v>
      </x:c>
      <x:c r="I110" s="2" t="s">
        <x:v>830</x:v>
      </x:c>
      <x:c r="J110" s="2" t="s">
        <x:v>620</x:v>
      </x:c>
      <x:c r="K110" s="2"/>
      <x:c r="L110" s="2" t="s">
        <x:v>621</x:v>
      </x:c>
      <x:c r="M110" s="2" t="s">
        <x:v>622</x:v>
      </x:c>
      <x:c r="N110" s="2">
        <x:v>4</x:v>
      </x:c>
      <x:c r="O110" s="2" t="s">
        <x:v>623</x:v>
      </x:c>
      <x:c r="P110" s="2" t="s">
        <x:v>624</x:v>
      </x:c>
      <x:c r="Q110" s="2"/>
      <x:c r="R110" s="3">
        <x:v>2</x:v>
      </x:c>
      <x:c r="S110" s="3">
        <x:v>1</x:v>
      </x:c>
      <x:c r="T110" s="2" t="s">
        <x:v>103</x:v>
      </x:c>
      <x:c r="U110" s="2" t="s">
        <x:v>129</x:v>
      </x:c>
      <x:c r="V110" s="2" t="s">
        <x:v>105</x:v>
      </x:c>
      <x:c r="W110" s="2"/>
      <x:c r="X110" s="3"/>
      <x:c r="Y110" s="3"/>
      <x:c r="Z110" s="2"/>
      <x:c r="AA110" s="2"/>
      <x:c r="AB110" s="2"/>
      <x:c r="AC110" s="2"/>
      <x:c r="AD110" s="2"/>
      <x:c r="AE110" s="2"/>
      <x:c r="AF110" s="2"/>
      <x:c r="AG110" s="2"/>
      <x:c r="AH110" s="2"/>
      <x:c r="AI110" s="4"/>
      <x:c r="AJ110" s="2"/>
      <x:c r="AK110" s="2" t="s">
        <x:v>106</x:v>
      </x:c>
      <x:c r="AL110" s="2" t="s">
        <x:v>2857</x:v>
      </x:c>
      <x:c r="AM110" s="2">
        <x:v>110</x:v>
      </x:c>
      <x:c r="AN110" s="2">
        <x:v>110</x:v>
      </x:c>
    </x:row>
    <x:row r="111" ht="65">
      <x:c r="A111" s="2" t="s">
        <x:v>91</x:v>
      </x:c>
      <x:c r="B111" s="2" t="s">
        <x:v>13</x:v>
      </x:c>
      <x:c r="C111" s="3">
        <x:v>109</x:v>
      </x:c>
      <x:c r="D111" s="2" t="s">
        <x:v>644</x:v>
      </x:c>
      <x:c r="E111" s="2" t="s">
        <x:v>645</x:v>
      </x:c>
      <x:c r="F111" s="2" t="s">
        <x:v>118</x:v>
      </x:c>
      <x:c r="G111" s="2" t="s">
        <x:v>695</x:v>
      </x:c>
      <x:c r="H111" s="2" t="s">
        <x:v>618</x:v>
      </x:c>
      <x:c r="I111" s="2" t="s">
        <x:v>832</x:v>
      </x:c>
      <x:c r="J111" s="2" t="s">
        <x:v>620</x:v>
      </x:c>
      <x:c r="K111" s="2"/>
      <x:c r="L111" s="2" t="s">
        <x:v>647</x:v>
      </x:c>
      <x:c r="M111" s="2" t="s">
        <x:v>648</x:v>
      </x:c>
      <x:c r="N111" s="2">
        <x:v>4</x:v>
      </x:c>
      <x:c r="O111" s="2" t="s">
        <x:v>623</x:v>
      </x:c>
      <x:c r="P111" s="2" t="s">
        <x:v>649</x:v>
      </x:c>
      <x:c r="Q111" s="2"/>
      <x:c r="R111" s="3">
        <x:v>3</x:v>
      </x:c>
      <x:c r="S111" s="3">
        <x:v>1</x:v>
      </x:c>
      <x:c r="T111" s="2" t="s">
        <x:v>103</x:v>
      </x:c>
      <x:c r="U111" s="2" t="s">
        <x:v>104</x:v>
      </x:c>
      <x:c r="V111" s="2" t="s">
        <x:v>123</x:v>
      </x:c>
      <x:c r="W111" s="2"/>
      <x:c r="X111" s="3"/>
      <x:c r="Y111" s="3"/>
      <x:c r="Z111" s="2"/>
      <x:c r="AA111" s="2"/>
      <x:c r="AB111" s="2"/>
      <x:c r="AC111" s="2"/>
      <x:c r="AD111" s="2"/>
      <x:c r="AE111" s="2"/>
      <x:c r="AF111" s="2"/>
      <x:c r="AG111" s="2"/>
      <x:c r="AH111" s="2"/>
      <x:c r="AI111" s="4"/>
      <x:c r="AJ111" s="2"/>
      <x:c r="AK111" s="2" t="s">
        <x:v>106</x:v>
      </x:c>
      <x:c r="AL111" s="2" t="s">
        <x:v>2857</x:v>
      </x:c>
      <x:c r="AM111" s="2">
        <x:v>111</x:v>
      </x:c>
      <x:c r="AN111" s="2">
        <x:v>111</x:v>
      </x:c>
    </x:row>
    <x:row r="112" ht="39">
      <x:c r="A112" s="2" t="s">
        <x:v>6</x:v>
      </x:c>
      <x:c r="B112" s="2" t="s">
        <x:v>13</x:v>
      </x:c>
      <x:c r="C112" s="3">
        <x:v>110</x:v>
      </x:c>
      <x:c r="D112" s="2" t="s">
        <x:v>833</x:v>
      </x:c>
      <x:c r="E112" s="2" t="s">
        <x:v>834</x:v>
      </x:c>
      <x:c r="F112" s="2" t="s">
        <x:v>835</x:v>
      </x:c>
      <x:c r="G112" s="2"/>
      <x:c r="H112" s="2" t="s">
        <x:v>836</x:v>
      </x:c>
      <x:c r="I112" s="2" t="s">
        <x:v>837</x:v>
      </x:c>
      <x:c r="J112" s="2" t="s">
        <x:v>838</x:v>
      </x:c>
      <x:c r="K112" s="2"/>
      <x:c r="L112" s="2">
        <x:v>0</x:v>
      </x:c>
      <x:c r="M112" s="2" t="s">
        <x:v>839</x:v>
      </x:c>
      <x:c r="N112" s="2">
        <x:v>5</x:v>
      </x:c>
      <x:c r="O112" s="2" t="s">
        <x:v>840</x:v>
      </x:c>
      <x:c r="P112" s="2" t="s">
        <x:v>841</x:v>
      </x:c>
      <x:c r="Q112" s="2"/>
      <x:c r="R112" s="3">
        <x:v>2</x:v>
      </x:c>
      <x:c r="S112" s="3">
        <x:v>1</x:v>
      </x:c>
      <x:c r="T112" s="2" t="s">
        <x:v>103</x:v>
      </x:c>
      <x:c r="U112" s="2" t="s">
        <x:v>122</x:v>
      </x:c>
      <x:c r="V112" s="2" t="s">
        <x:v>842</x:v>
      </x:c>
      <x:c r="W112" s="2"/>
      <x:c r="X112" s="3"/>
      <x:c r="Y112" s="3"/>
      <x:c r="Z112" s="2"/>
      <x:c r="AA112" s="2"/>
      <x:c r="AB112" s="2"/>
      <x:c r="AC112" s="2"/>
      <x:c r="AD112" s="2"/>
      <x:c r="AE112" s="2"/>
      <x:c r="AF112" s="2"/>
      <x:c r="AG112" s="2"/>
      <x:c r="AH112" s="2"/>
      <x:c r="AI112" s="4"/>
      <x:c r="AJ112" s="2"/>
      <x:c r="AK112" s="2" t="s">
        <x:v>106</x:v>
      </x:c>
      <x:c r="AL112" s="2" t="s">
        <x:v>2857</x:v>
      </x:c>
      <x:c r="AM112" s="2">
        <x:v>112</x:v>
      </x:c>
      <x:c r="AN112" s="2">
        <x:v>112</x:v>
      </x:c>
    </x:row>
    <x:row r="113" ht="39">
      <x:c r="A113" s="2" t="s">
        <x:v>91</x:v>
      </x:c>
      <x:c r="B113" s="2" t="s">
        <x:v>13</x:v>
      </x:c>
      <x:c r="C113" s="3">
        <x:v>111</x:v>
      </x:c>
      <x:c r="D113" s="2" t="s">
        <x:v>843</x:v>
      </x:c>
      <x:c r="E113" s="2" t="s">
        <x:v>834</x:v>
      </x:c>
      <x:c r="F113" s="2" t="s">
        <x:v>844</x:v>
      </x:c>
      <x:c r="G113" s="2" t="s">
        <x:v>857</x:v>
      </x:c>
      <x:c r="H113" s="2" t="s">
        <x:v>836</x:v>
      </x:c>
      <x:c r="I113" s="2" t="s">
        <x:v>837</x:v>
      </x:c>
      <x:c r="J113" s="2" t="s">
        <x:v>838</x:v>
      </x:c>
      <x:c r="K113" s="2" t="n">
        <x:v>110</x:v>
      </x:c>
      <x:c r="L113" s="2">
        <x:v>101</x:v>
      </x:c>
      <x:c r="M113" s="2" t="s">
        <x:v>845</x:v>
      </x:c>
      <x:c r="N113" s="2">
        <x:v>5</x:v>
      </x:c>
      <x:c r="O113" s="2" t="s">
        <x:v>846</x:v>
      </x:c>
      <x:c r="P113" s="2" t="s">
        <x:v>841</x:v>
      </x:c>
      <x:c r="Q113" s="2"/>
      <x:c r="R113" s="3">
        <x:v>2</x:v>
      </x:c>
      <x:c r="S113" s="3">
        <x:v>1</x:v>
      </x:c>
      <x:c r="T113" s="2" t="s">
        <x:v>103</x:v>
      </x:c>
      <x:c r="U113" s="2" t="s">
        <x:v>104</x:v>
      </x:c>
      <x:c r="V113" s="2" t="s">
        <x:v>842</x:v>
      </x:c>
      <x:c r="W113" s="2"/>
      <x:c r="X113" s="3"/>
      <x:c r="Y113" s="3"/>
      <x:c r="Z113" s="2"/>
      <x:c r="AA113" s="2"/>
      <x:c r="AB113" s="2"/>
      <x:c r="AC113" s="2"/>
      <x:c r="AD113" s="2"/>
      <x:c r="AE113" s="2"/>
      <x:c r="AF113" s="2"/>
      <x:c r="AG113" s="2"/>
      <x:c r="AH113" s="2"/>
      <x:c r="AI113" s="4"/>
      <x:c r="AJ113" s="2"/>
      <x:c r="AK113" s="2" t="s">
        <x:v>106</x:v>
      </x:c>
      <x:c r="AL113" s="2" t="s">
        <x:v>2857</x:v>
      </x:c>
      <x:c r="AM113" s="2">
        <x:v>113</x:v>
      </x:c>
      <x:c r="AN113" s="2">
        <x:v>113</x:v>
      </x:c>
    </x:row>
    <x:row r="114" ht="39">
      <x:c r="A114" s="2" t="s">
        <x:v>6</x:v>
      </x:c>
      <x:c r="B114" s="2" t="s">
        <x:v>13</x:v>
      </x:c>
      <x:c r="C114" s="3">
        <x:v>112</x:v>
      </x:c>
      <x:c r="D114" s="2" t="s">
        <x:v>847</x:v>
      </x:c>
      <x:c r="E114" s="2" t="s">
        <x:v>848</x:v>
      </x:c>
      <x:c r="F114" s="2" t="s">
        <x:v>835</x:v>
      </x:c>
      <x:c r="G114" s="2"/>
      <x:c r="H114" s="2" t="s">
        <x:v>836</x:v>
      </x:c>
      <x:c r="I114" s="2" t="s">
        <x:v>850</x:v>
      </x:c>
      <x:c r="J114" s="2" t="s">
        <x:v>838</x:v>
      </x:c>
      <x:c r="K114" s="2"/>
      <x:c r="L114" s="2">
        <x:v>78</x:v>
      </x:c>
      <x:c r="M114" s="2" t="s">
        <x:v>851</x:v>
      </x:c>
      <x:c r="N114" s="2">
        <x:v>5</x:v>
      </x:c>
      <x:c r="O114" s="2" t="s">
        <x:v>840</x:v>
      </x:c>
      <x:c r="P114" s="2" t="s">
        <x:v>852</x:v>
      </x:c>
      <x:c r="Q114" s="2"/>
      <x:c r="R114" s="3">
        <x:v>3</x:v>
      </x:c>
      <x:c r="S114" s="3">
        <x:v>1</x:v>
      </x:c>
      <x:c r="T114" s="2" t="s">
        <x:v>103</x:v>
      </x:c>
      <x:c r="U114" s="2" t="s">
        <x:v>129</x:v>
      </x:c>
      <x:c r="V114" s="2" t="s">
        <x:v>842</x:v>
      </x:c>
      <x:c r="W114" s="2"/>
      <x:c r="X114" s="3"/>
      <x:c r="Y114" s="3"/>
      <x:c r="Z114" s="2"/>
      <x:c r="AA114" s="2"/>
      <x:c r="AB114" s="2"/>
      <x:c r="AC114" s="2"/>
      <x:c r="AD114" s="2"/>
      <x:c r="AE114" s="2"/>
      <x:c r="AF114" s="2"/>
      <x:c r="AG114" s="2"/>
      <x:c r="AH114" s="2"/>
      <x:c r="AI114" s="4"/>
      <x:c r="AJ114" s="2"/>
      <x:c r="AK114" s="2" t="s">
        <x:v>106</x:v>
      </x:c>
      <x:c r="AL114" s="2" t="s">
        <x:v>2857</x:v>
      </x:c>
      <x:c r="AM114" s="2">
        <x:v>114</x:v>
      </x:c>
      <x:c r="AN114" s="2">
        <x:v>114</x:v>
      </x:c>
    </x:row>
    <x:row r="115" ht="39">
      <x:c r="A115" s="2" t="s">
        <x:v>6</x:v>
      </x:c>
      <x:c r="B115" s="2" t="s">
        <x:v>13</x:v>
      </x:c>
      <x:c r="C115" s="3">
        <x:v>113</x:v>
      </x:c>
      <x:c r="D115" s="2" t="s">
        <x:v>853</x:v>
      </x:c>
      <x:c r="E115" s="2" t="s">
        <x:v>848</x:v>
      </x:c>
      <x:c r="F115" s="2" t="s">
        <x:v>844</x:v>
      </x:c>
      <x:c r="G115" s="2"/>
      <x:c r="H115" s="2" t="s">
        <x:v>836</x:v>
      </x:c>
      <x:c r="I115" s="2" t="s">
        <x:v>850</x:v>
      </x:c>
      <x:c r="J115" s="2" t="s">
        <x:v>838</x:v>
      </x:c>
      <x:c r="K115" s="2" t="n">
        <x:v>112</x:v>
      </x:c>
      <x:c r="L115" s="2">
        <x:v>26</x:v>
      </x:c>
      <x:c r="M115" s="2" t="s">
        <x:v>854</x:v>
      </x:c>
      <x:c r="N115" s="2">
        <x:v>5</x:v>
      </x:c>
      <x:c r="O115" s="2" t="s">
        <x:v>846</x:v>
      </x:c>
      <x:c r="P115" s="2" t="s">
        <x:v>852</x:v>
      </x:c>
      <x:c r="Q115" s="2"/>
      <x:c r="R115" s="3">
        <x:v>3</x:v>
      </x:c>
      <x:c r="S115" s="3">
        <x:v>1</x:v>
      </x:c>
      <x:c r="T115" s="2" t="s">
        <x:v>103</x:v>
      </x:c>
      <x:c r="U115" s="2" t="s">
        <x:v>115</x:v>
      </x:c>
      <x:c r="V115" s="2" t="s">
        <x:v>842</x:v>
      </x:c>
      <x:c r="W115" s="2"/>
      <x:c r="X115" s="3"/>
      <x:c r="Y115" s="3"/>
      <x:c r="Z115" s="2"/>
      <x:c r="AA115" s="2"/>
      <x:c r="AB115" s="2"/>
      <x:c r="AC115" s="2"/>
      <x:c r="AD115" s="2"/>
      <x:c r="AE115" s="2"/>
      <x:c r="AF115" s="2"/>
      <x:c r="AG115" s="2"/>
      <x:c r="AH115" s="2"/>
      <x:c r="AI115" s="4"/>
      <x:c r="AJ115" s="2"/>
      <x:c r="AK115" s="2" t="s">
        <x:v>106</x:v>
      </x:c>
      <x:c r="AL115" s="2" t="s">
        <x:v>2857</x:v>
      </x:c>
      <x:c r="AM115" s="2">
        <x:v>115</x:v>
      </x:c>
      <x:c r="AN115" s="2">
        <x:v>115</x:v>
      </x:c>
    </x:row>
    <x:row r="116" ht="39">
      <x:c r="A116" s="2" t="s">
        <x:v>6</x:v>
      </x:c>
      <x:c r="B116" s="2" t="s">
        <x:v>13</x:v>
      </x:c>
      <x:c r="C116" s="3">
        <x:v>114</x:v>
      </x:c>
      <x:c r="D116" s="2" t="s">
        <x:v>833</x:v>
      </x:c>
      <x:c r="E116" s="2" t="s">
        <x:v>855</x:v>
      </x:c>
      <x:c r="F116" s="2" t="s">
        <x:v>844</x:v>
      </x:c>
      <x:c r="G116" s="2"/>
      <x:c r="H116" s="2" t="s">
        <x:v>836</x:v>
      </x:c>
      <x:c r="I116" s="2" t="s">
        <x:v>856</x:v>
      </x:c>
      <x:c r="J116" s="2" t="s">
        <x:v>838</x:v>
      </x:c>
      <x:c r="K116" s="2"/>
      <x:c r="L116" s="2">
        <x:v>0</x:v>
      </x:c>
      <x:c r="M116" s="2" t="s">
        <x:v>839</x:v>
      </x:c>
      <x:c r="N116" s="2">
        <x:v>5</x:v>
      </x:c>
      <x:c r="O116" s="2" t="s">
        <x:v>840</x:v>
      </x:c>
      <x:c r="P116" s="2" t="s">
        <x:v>841</x:v>
      </x:c>
      <x:c r="Q116" s="2"/>
      <x:c r="R116" s="3">
        <x:v>4</x:v>
      </x:c>
      <x:c r="S116" s="3">
        <x:v>1</x:v>
      </x:c>
      <x:c r="T116" s="2" t="s">
        <x:v>103</x:v>
      </x:c>
      <x:c r="U116" s="2" t="s">
        <x:v>122</x:v>
      </x:c>
      <x:c r="V116" s="2" t="s">
        <x:v>842</x:v>
      </x:c>
      <x:c r="W116" s="2"/>
      <x:c r="X116" s="3"/>
      <x:c r="Y116" s="3"/>
      <x:c r="Z116" s="2"/>
      <x:c r="AA116" s="2"/>
      <x:c r="AB116" s="2"/>
      <x:c r="AC116" s="2"/>
      <x:c r="AD116" s="2"/>
      <x:c r="AE116" s="2"/>
      <x:c r="AF116" s="2"/>
      <x:c r="AG116" s="2"/>
      <x:c r="AH116" s="2"/>
      <x:c r="AI116" s="4"/>
      <x:c r="AJ116" s="2"/>
      <x:c r="AK116" s="2" t="s">
        <x:v>106</x:v>
      </x:c>
      <x:c r="AL116" s="2" t="s">
        <x:v>2857</x:v>
      </x:c>
      <x:c r="AM116" s="2">
        <x:v>116</x:v>
      </x:c>
      <x:c r="AN116" s="2">
        <x:v>116</x:v>
      </x:c>
    </x:row>
    <x:row r="117" ht="39">
      <x:c r="A117" s="2" t="s">
        <x:v>6</x:v>
      </x:c>
      <x:c r="B117" s="2" t="s">
        <x:v>13</x:v>
      </x:c>
      <x:c r="C117" s="3">
        <x:v>115</x:v>
      </x:c>
      <x:c r="D117" s="2" t="s">
        <x:v>843</x:v>
      </x:c>
      <x:c r="E117" s="2" t="s">
        <x:v>855</x:v>
      </x:c>
      <x:c r="F117" s="2" t="s">
        <x:v>835</x:v>
      </x:c>
      <x:c r="G117" s="2" t="s">
        <x:v>2869</x:v>
      </x:c>
      <x:c r="H117" s="2" t="s">
        <x:v>836</x:v>
      </x:c>
      <x:c r="I117" s="2" t="s">
        <x:v>856</x:v>
      </x:c>
      <x:c r="J117" s="2" t="s">
        <x:v>838</x:v>
      </x:c>
      <x:c r="K117" s="2" t="n">
        <x:v>114</x:v>
      </x:c>
      <x:c r="L117" s="2">
        <x:v>101</x:v>
      </x:c>
      <x:c r="M117" s="2" t="s">
        <x:v>845</x:v>
      </x:c>
      <x:c r="N117" s="2">
        <x:v>5</x:v>
      </x:c>
      <x:c r="O117" s="2" t="s">
        <x:v>846</x:v>
      </x:c>
      <x:c r="P117" s="2" t="s">
        <x:v>841</x:v>
      </x:c>
      <x:c r="Q117" s="2"/>
      <x:c r="R117" s="3">
        <x:v>4</x:v>
      </x:c>
      <x:c r="S117" s="3">
        <x:v>1</x:v>
      </x:c>
      <x:c r="T117" s="2" t="s">
        <x:v>103</x:v>
      </x:c>
      <x:c r="U117" s="2" t="s">
        <x:v>104</x:v>
      </x:c>
      <x:c r="V117" s="2" t="s">
        <x:v>842</x:v>
      </x:c>
      <x:c r="W117" s="2"/>
      <x:c r="X117" s="3"/>
      <x:c r="Y117" s="3"/>
      <x:c r="Z117" s="2"/>
      <x:c r="AA117" s="2"/>
      <x:c r="AB117" s="2"/>
      <x:c r="AC117" s="2"/>
      <x:c r="AD117" s="2"/>
      <x:c r="AE117" s="2"/>
      <x:c r="AF117" s="2"/>
      <x:c r="AG117" s="2"/>
      <x:c r="AH117" s="2"/>
      <x:c r="AI117" s="4"/>
      <x:c r="AJ117" s="2"/>
      <x:c r="AK117" s="2" t="s">
        <x:v>106</x:v>
      </x:c>
      <x:c r="AL117" s="2" t="s">
        <x:v>2857</x:v>
      </x:c>
      <x:c r="AM117" s="2">
        <x:v>117</x:v>
      </x:c>
      <x:c r="AN117" s="2">
        <x:v>117</x:v>
      </x:c>
    </x:row>
    <x:row r="118" ht="39">
      <x:c r="A118" s="2" t="s">
        <x:v>6</x:v>
      </x:c>
      <x:c r="B118" s="2" t="s">
        <x:v>13</x:v>
      </x:c>
      <x:c r="C118" s="3">
        <x:v>116</x:v>
      </x:c>
      <x:c r="D118" s="2" t="s">
        <x:v>847</x:v>
      </x:c>
      <x:c r="E118" s="2" t="s">
        <x:v>858</x:v>
      </x:c>
      <x:c r="F118" s="2" t="s">
        <x:v>844</x:v>
      </x:c>
      <x:c r="G118" s="2"/>
      <x:c r="H118" s="2" t="s">
        <x:v>836</x:v>
      </x:c>
      <x:c r="I118" s="2" t="s">
        <x:v>859</x:v>
      </x:c>
      <x:c r="J118" s="2" t="s">
        <x:v>838</x:v>
      </x:c>
      <x:c r="K118" s="2"/>
      <x:c r="L118" s="2">
        <x:v>78</x:v>
      </x:c>
      <x:c r="M118" s="2" t="s">
        <x:v>851</x:v>
      </x:c>
      <x:c r="N118" s="2">
        <x:v>5</x:v>
      </x:c>
      <x:c r="O118" s="2" t="s">
        <x:v>840</x:v>
      </x:c>
      <x:c r="P118" s="2" t="s">
        <x:v>860</x:v>
      </x:c>
      <x:c r="Q118" s="2"/>
      <x:c r="R118" s="3">
        <x:v>2</x:v>
      </x:c>
      <x:c r="S118" s="3">
        <x:v>1</x:v>
      </x:c>
      <x:c r="T118" s="2" t="s">
        <x:v>103</x:v>
      </x:c>
      <x:c r="U118" s="2" t="s">
        <x:v>129</x:v>
      </x:c>
      <x:c r="V118" s="2" t="s">
        <x:v>842</x:v>
      </x:c>
      <x:c r="W118" s="2"/>
      <x:c r="X118" s="3"/>
      <x:c r="Y118" s="3"/>
      <x:c r="Z118" s="2"/>
      <x:c r="AA118" s="2"/>
      <x:c r="AB118" s="2"/>
      <x:c r="AC118" s="2"/>
      <x:c r="AD118" s="2"/>
      <x:c r="AE118" s="2"/>
      <x:c r="AF118" s="2"/>
      <x:c r="AG118" s="2"/>
      <x:c r="AH118" s="2"/>
      <x:c r="AI118" s="4"/>
      <x:c r="AJ118" s="2"/>
      <x:c r="AK118" s="2" t="s">
        <x:v>106</x:v>
      </x:c>
      <x:c r="AL118" s="2" t="s">
        <x:v>2857</x:v>
      </x:c>
      <x:c r="AM118" s="2">
        <x:v>118</x:v>
      </x:c>
      <x:c r="AN118" s="2">
        <x:v>118</x:v>
      </x:c>
    </x:row>
    <x:row r="119" ht="39">
      <x:c r="A119" s="2" t="s">
        <x:v>6</x:v>
      </x:c>
      <x:c r="B119" s="2" t="s">
        <x:v>13</x:v>
      </x:c>
      <x:c r="C119" s="3">
        <x:v>117</x:v>
      </x:c>
      <x:c r="D119" s="2" t="s">
        <x:v>853</x:v>
      </x:c>
      <x:c r="E119" s="2" t="s">
        <x:v>858</x:v>
      </x:c>
      <x:c r="F119" s="2" t="s">
        <x:v>835</x:v>
      </x:c>
      <x:c r="G119" s="2"/>
      <x:c r="H119" s="2" t="s">
        <x:v>836</x:v>
      </x:c>
      <x:c r="I119" s="2" t="s">
        <x:v>859</x:v>
      </x:c>
      <x:c r="J119" s="2" t="s">
        <x:v>838</x:v>
      </x:c>
      <x:c r="K119" s="2" t="n">
        <x:v>116</x:v>
      </x:c>
      <x:c r="L119" s="2">
        <x:v>26</x:v>
      </x:c>
      <x:c r="M119" s="2" t="s">
        <x:v>854</x:v>
      </x:c>
      <x:c r="N119" s="2">
        <x:v>5</x:v>
      </x:c>
      <x:c r="O119" s="2" t="s">
        <x:v>846</x:v>
      </x:c>
      <x:c r="P119" s="2" t="s">
        <x:v>860</x:v>
      </x:c>
      <x:c r="Q119" s="2"/>
      <x:c r="R119" s="3">
        <x:v>2</x:v>
      </x:c>
      <x:c r="S119" s="3">
        <x:v>1</x:v>
      </x:c>
      <x:c r="T119" s="2" t="s">
        <x:v>103</x:v>
      </x:c>
      <x:c r="U119" s="2" t="s">
        <x:v>115</x:v>
      </x:c>
      <x:c r="V119" s="2" t="s">
        <x:v>842</x:v>
      </x:c>
      <x:c r="W119" s="2"/>
      <x:c r="X119" s="3"/>
      <x:c r="Y119" s="3"/>
      <x:c r="Z119" s="2"/>
      <x:c r="AA119" s="2"/>
      <x:c r="AB119" s="2"/>
      <x:c r="AC119" s="2"/>
      <x:c r="AD119" s="2"/>
      <x:c r="AE119" s="2"/>
      <x:c r="AF119" s="2"/>
      <x:c r="AG119" s="2"/>
      <x:c r="AH119" s="2"/>
      <x:c r="AI119" s="4"/>
      <x:c r="AJ119" s="2"/>
      <x:c r="AK119" s="2" t="s">
        <x:v>106</x:v>
      </x:c>
      <x:c r="AL119" s="2" t="s">
        <x:v>2857</x:v>
      </x:c>
      <x:c r="AM119" s="2">
        <x:v>119</x:v>
      </x:c>
      <x:c r="AN119" s="2">
        <x:v>119</x:v>
      </x:c>
    </x:row>
    <x:row r="120" ht="39">
      <x:c r="A120" s="2" t="s">
        <x:v>6</x:v>
      </x:c>
      <x:c r="B120" s="2" t="s">
        <x:v>13</x:v>
      </x:c>
      <x:c r="C120" s="3">
        <x:v>118</x:v>
      </x:c>
      <x:c r="D120" s="2" t="s">
        <x:v>833</x:v>
      </x:c>
      <x:c r="E120" s="2" t="s">
        <x:v>861</x:v>
      </x:c>
      <x:c r="F120" s="2" t="s">
        <x:v>835</x:v>
      </x:c>
      <x:c r="G120" s="2"/>
      <x:c r="H120" s="2" t="s">
        <x:v>836</x:v>
      </x:c>
      <x:c r="I120" s="2" t="s">
        <x:v>863</x:v>
      </x:c>
      <x:c r="J120" s="2" t="s">
        <x:v>838</x:v>
      </x:c>
      <x:c r="K120" s="2"/>
      <x:c r="L120" s="2">
        <x:v>0</x:v>
      </x:c>
      <x:c r="M120" s="2" t="s">
        <x:v>839</x:v>
      </x:c>
      <x:c r="N120" s="2">
        <x:v>5</x:v>
      </x:c>
      <x:c r="O120" s="2" t="s">
        <x:v>840</x:v>
      </x:c>
      <x:c r="P120" s="2" t="s">
        <x:v>841</x:v>
      </x:c>
      <x:c r="Q120" s="2"/>
      <x:c r="R120" s="3">
        <x:v>3</x:v>
      </x:c>
      <x:c r="S120" s="3">
        <x:v>1</x:v>
      </x:c>
      <x:c r="T120" s="2" t="s">
        <x:v>103</x:v>
      </x:c>
      <x:c r="U120" s="2" t="s">
        <x:v>122</x:v>
      </x:c>
      <x:c r="V120" s="2" t="s">
        <x:v>842</x:v>
      </x:c>
      <x:c r="W120" s="2"/>
      <x:c r="X120" s="3"/>
      <x:c r="Y120" s="3"/>
      <x:c r="Z120" s="2"/>
      <x:c r="AA120" s="2"/>
      <x:c r="AB120" s="2"/>
      <x:c r="AC120" s="2"/>
      <x:c r="AD120" s="2"/>
      <x:c r="AE120" s="2"/>
      <x:c r="AF120" s="2"/>
      <x:c r="AG120" s="2"/>
      <x:c r="AH120" s="2"/>
      <x:c r="AI120" s="4"/>
      <x:c r="AJ120" s="2"/>
      <x:c r="AK120" s="2" t="s">
        <x:v>106</x:v>
      </x:c>
      <x:c r="AL120" s="2" t="s">
        <x:v>2857</x:v>
      </x:c>
      <x:c r="AM120" s="2">
        <x:v>120</x:v>
      </x:c>
      <x:c r="AN120" s="2">
        <x:v>120</x:v>
      </x:c>
    </x:row>
    <x:row r="121" ht="39">
      <x:c r="A121" s="2" t="s">
        <x:v>91</x:v>
      </x:c>
      <x:c r="B121" s="2" t="s">
        <x:v>13</x:v>
      </x:c>
      <x:c r="C121" s="3">
        <x:v>119</x:v>
      </x:c>
      <x:c r="D121" s="2" t="s">
        <x:v>843</x:v>
      </x:c>
      <x:c r="E121" s="2" t="s">
        <x:v>861</x:v>
      </x:c>
      <x:c r="F121" s="2" t="s">
        <x:v>844</x:v>
      </x:c>
      <x:c r="G121" s="2" t="s">
        <x:v>2870</x:v>
      </x:c>
      <x:c r="H121" s="2" t="s">
        <x:v>836</x:v>
      </x:c>
      <x:c r="I121" s="2" t="s">
        <x:v>863</x:v>
      </x:c>
      <x:c r="J121" s="2" t="s">
        <x:v>838</x:v>
      </x:c>
      <x:c r="K121" s="2" t="n">
        <x:v>118</x:v>
      </x:c>
      <x:c r="L121" s="2">
        <x:v>101</x:v>
      </x:c>
      <x:c r="M121" s="2" t="s">
        <x:v>845</x:v>
      </x:c>
      <x:c r="N121" s="2">
        <x:v>5</x:v>
      </x:c>
      <x:c r="O121" s="2" t="s">
        <x:v>846</x:v>
      </x:c>
      <x:c r="P121" s="2" t="s">
        <x:v>841</x:v>
      </x:c>
      <x:c r="Q121" s="2"/>
      <x:c r="R121" s="3">
        <x:v>3</x:v>
      </x:c>
      <x:c r="S121" s="3">
        <x:v>1</x:v>
      </x:c>
      <x:c r="T121" s="2" t="s">
        <x:v>103</x:v>
      </x:c>
      <x:c r="U121" s="2" t="s">
        <x:v>104</x:v>
      </x:c>
      <x:c r="V121" s="2" t="s">
        <x:v>842</x:v>
      </x:c>
      <x:c r="W121" s="2"/>
      <x:c r="X121" s="3"/>
      <x:c r="Y121" s="3"/>
      <x:c r="Z121" s="2"/>
      <x:c r="AA121" s="2"/>
      <x:c r="AB121" s="2"/>
      <x:c r="AC121" s="2"/>
      <x:c r="AD121" s="2"/>
      <x:c r="AE121" s="2"/>
      <x:c r="AF121" s="2"/>
      <x:c r="AG121" s="2"/>
      <x:c r="AH121" s="2"/>
      <x:c r="AI121" s="4"/>
      <x:c r="AJ121" s="2"/>
      <x:c r="AK121" s="2" t="s">
        <x:v>106</x:v>
      </x:c>
      <x:c r="AL121" s="2" t="s">
        <x:v>2857</x:v>
      </x:c>
      <x:c r="AM121" s="2">
        <x:v>121</x:v>
      </x:c>
      <x:c r="AN121" s="2">
        <x:v>121</x:v>
      </x:c>
    </x:row>
    <x:row r="122" ht="39">
      <x:c r="A122" s="2" t="s">
        <x:v>91</x:v>
      </x:c>
      <x:c r="B122" s="2" t="s">
        <x:v>13</x:v>
      </x:c>
      <x:c r="C122" s="3">
        <x:v>120</x:v>
      </x:c>
      <x:c r="D122" s="2" t="s">
        <x:v>847</x:v>
      </x:c>
      <x:c r="E122" s="2" t="s">
        <x:v>865</x:v>
      </x:c>
      <x:c r="F122" s="2" t="s">
        <x:v>835</x:v>
      </x:c>
      <x:c r="G122" s="2" t="s">
        <x:v>2871</x:v>
      </x:c>
      <x:c r="H122" s="2" t="s">
        <x:v>836</x:v>
      </x:c>
      <x:c r="I122" s="2" t="s">
        <x:v>867</x:v>
      </x:c>
      <x:c r="J122" s="2" t="s">
        <x:v>838</x:v>
      </x:c>
      <x:c r="K122" s="2"/>
      <x:c r="L122" s="2">
        <x:v>78</x:v>
      </x:c>
      <x:c r="M122" s="2" t="s">
        <x:v>851</x:v>
      </x:c>
      <x:c r="N122" s="2">
        <x:v>5</x:v>
      </x:c>
      <x:c r="O122" s="2" t="s">
        <x:v>840</x:v>
      </x:c>
      <x:c r="P122" s="2" t="s">
        <x:v>852</x:v>
      </x:c>
      <x:c r="Q122" s="2"/>
      <x:c r="R122" s="3">
        <x:v>4</x:v>
      </x:c>
      <x:c r="S122" s="3">
        <x:v>1</x:v>
      </x:c>
      <x:c r="T122" s="2" t="s">
        <x:v>103</x:v>
      </x:c>
      <x:c r="U122" s="2" t="s">
        <x:v>129</x:v>
      </x:c>
      <x:c r="V122" s="2" t="s">
        <x:v>842</x:v>
      </x:c>
      <x:c r="W122" s="2"/>
      <x:c r="X122" s="3"/>
      <x:c r="Y122" s="3"/>
      <x:c r="Z122" s="2"/>
      <x:c r="AA122" s="2"/>
      <x:c r="AB122" s="2"/>
      <x:c r="AC122" s="2"/>
      <x:c r="AD122" s="2"/>
      <x:c r="AE122" s="2"/>
      <x:c r="AF122" s="2"/>
      <x:c r="AG122" s="2"/>
      <x:c r="AH122" s="2"/>
      <x:c r="AI122" s="4"/>
      <x:c r="AJ122" s="2"/>
      <x:c r="AK122" s="2" t="s">
        <x:v>106</x:v>
      </x:c>
      <x:c r="AL122" s="2" t="s">
        <x:v>2857</x:v>
      </x:c>
      <x:c r="AM122" s="2">
        <x:v>122</x:v>
      </x:c>
      <x:c r="AN122" s="2">
        <x:v>122</x:v>
      </x:c>
    </x:row>
    <x:row r="123" ht="39">
      <x:c r="A123" s="2" t="s">
        <x:v>6</x:v>
      </x:c>
      <x:c r="B123" s="2" t="s">
        <x:v>13</x:v>
      </x:c>
      <x:c r="C123" s="3">
        <x:v>121</x:v>
      </x:c>
      <x:c r="D123" s="2" t="s">
        <x:v>853</x:v>
      </x:c>
      <x:c r="E123" s="2" t="s">
        <x:v>865</x:v>
      </x:c>
      <x:c r="F123" s="2" t="s">
        <x:v>844</x:v>
      </x:c>
      <x:c r="G123" s="2"/>
      <x:c r="H123" s="2" t="s">
        <x:v>836</x:v>
      </x:c>
      <x:c r="I123" s="2" t="s">
        <x:v>867</x:v>
      </x:c>
      <x:c r="J123" s="2" t="s">
        <x:v>838</x:v>
      </x:c>
      <x:c r="K123" s="2" t="n">
        <x:v>120</x:v>
      </x:c>
      <x:c r="L123" s="2">
        <x:v>26</x:v>
      </x:c>
      <x:c r="M123" s="2" t="s">
        <x:v>854</x:v>
      </x:c>
      <x:c r="N123" s="2">
        <x:v>5</x:v>
      </x:c>
      <x:c r="O123" s="2" t="s">
        <x:v>846</x:v>
      </x:c>
      <x:c r="P123" s="2" t="s">
        <x:v>852</x:v>
      </x:c>
      <x:c r="Q123" s="2"/>
      <x:c r="R123" s="3">
        <x:v>4</x:v>
      </x:c>
      <x:c r="S123" s="3">
        <x:v>1</x:v>
      </x:c>
      <x:c r="T123" s="2" t="s">
        <x:v>103</x:v>
      </x:c>
      <x:c r="U123" s="2" t="s">
        <x:v>115</x:v>
      </x:c>
      <x:c r="V123" s="2" t="s">
        <x:v>842</x:v>
      </x:c>
      <x:c r="W123" s="2"/>
      <x:c r="X123" s="3"/>
      <x:c r="Y123" s="3"/>
      <x:c r="Z123" s="2"/>
      <x:c r="AA123" s="2"/>
      <x:c r="AB123" s="2"/>
      <x:c r="AC123" s="2"/>
      <x:c r="AD123" s="2"/>
      <x:c r="AE123" s="2"/>
      <x:c r="AF123" s="2"/>
      <x:c r="AG123" s="2"/>
      <x:c r="AH123" s="2"/>
      <x:c r="AI123" s="4"/>
      <x:c r="AJ123" s="2"/>
      <x:c r="AK123" s="2" t="s">
        <x:v>106</x:v>
      </x:c>
      <x:c r="AL123" s="2" t="s">
        <x:v>2857</x:v>
      </x:c>
      <x:c r="AM123" s="2">
        <x:v>123</x:v>
      </x:c>
      <x:c r="AN123" s="2">
        <x:v>123</x:v>
      </x:c>
    </x:row>
    <x:row r="124" ht="39">
      <x:c r="A124" s="2" t="s">
        <x:v>6</x:v>
      </x:c>
      <x:c r="B124" s="2" t="s">
        <x:v>13</x:v>
      </x:c>
      <x:c r="C124" s="3">
        <x:v>122</x:v>
      </x:c>
      <x:c r="D124" s="2" t="s">
        <x:v>833</x:v>
      </x:c>
      <x:c r="E124" s="2" t="s">
        <x:v>868</x:v>
      </x:c>
      <x:c r="F124" s="2" t="s">
        <x:v>844</x:v>
      </x:c>
      <x:c r="G124" s="2"/>
      <x:c r="H124" s="2" t="s">
        <x:v>836</x:v>
      </x:c>
      <x:c r="I124" s="2" t="s">
        <x:v>870</x:v>
      </x:c>
      <x:c r="J124" s="2" t="s">
        <x:v>838</x:v>
      </x:c>
      <x:c r="K124" s="2"/>
      <x:c r="L124" s="2">
        <x:v>0</x:v>
      </x:c>
      <x:c r="M124" s="2" t="s">
        <x:v>839</x:v>
      </x:c>
      <x:c r="N124" s="2">
        <x:v>5</x:v>
      </x:c>
      <x:c r="O124" s="2" t="s">
        <x:v>840</x:v>
      </x:c>
      <x:c r="P124" s="2" t="s">
        <x:v>841</x:v>
      </x:c>
      <x:c r="Q124" s="2"/>
      <x:c r="R124" s="3">
        <x:v>2</x:v>
      </x:c>
      <x:c r="S124" s="3">
        <x:v>1</x:v>
      </x:c>
      <x:c r="T124" s="2" t="s">
        <x:v>103</x:v>
      </x:c>
      <x:c r="U124" s="2" t="s">
        <x:v>122</x:v>
      </x:c>
      <x:c r="V124" s="2" t="s">
        <x:v>842</x:v>
      </x:c>
      <x:c r="W124" s="2"/>
      <x:c r="X124" s="3"/>
      <x:c r="Y124" s="3"/>
      <x:c r="Z124" s="2"/>
      <x:c r="AA124" s="2"/>
      <x:c r="AB124" s="2"/>
      <x:c r="AC124" s="2"/>
      <x:c r="AD124" s="2"/>
      <x:c r="AE124" s="2"/>
      <x:c r="AF124" s="2"/>
      <x:c r="AG124" s="2"/>
      <x:c r="AH124" s="2"/>
      <x:c r="AI124" s="4"/>
      <x:c r="AJ124" s="2"/>
      <x:c r="AK124" s="2" t="s">
        <x:v>106</x:v>
      </x:c>
      <x:c r="AL124" s="2" t="s">
        <x:v>2857</x:v>
      </x:c>
      <x:c r="AM124" s="2">
        <x:v>124</x:v>
      </x:c>
      <x:c r="AN124" s="2">
        <x:v>124</x:v>
      </x:c>
    </x:row>
    <x:row r="125" ht="39">
      <x:c r="A125" s="2" t="s">
        <x:v>6</x:v>
      </x:c>
      <x:c r="B125" s="2" t="s">
        <x:v>13</x:v>
      </x:c>
      <x:c r="C125" s="3">
        <x:v>123</x:v>
      </x:c>
      <x:c r="D125" s="2" t="s">
        <x:v>843</x:v>
      </x:c>
      <x:c r="E125" s="2" t="s">
        <x:v>868</x:v>
      </x:c>
      <x:c r="F125" s="2" t="s">
        <x:v>835</x:v>
      </x:c>
      <x:c r="G125" s="2"/>
      <x:c r="H125" s="2" t="s">
        <x:v>836</x:v>
      </x:c>
      <x:c r="I125" s="2" t="s">
        <x:v>870</x:v>
      </x:c>
      <x:c r="J125" s="2" t="s">
        <x:v>838</x:v>
      </x:c>
      <x:c r="K125" s="2" t="n">
        <x:v>122</x:v>
      </x:c>
      <x:c r="L125" s="2">
        <x:v>101</x:v>
      </x:c>
      <x:c r="M125" s="2" t="s">
        <x:v>845</x:v>
      </x:c>
      <x:c r="N125" s="2">
        <x:v>5</x:v>
      </x:c>
      <x:c r="O125" s="2" t="s">
        <x:v>846</x:v>
      </x:c>
      <x:c r="P125" s="2" t="s">
        <x:v>841</x:v>
      </x:c>
      <x:c r="Q125" s="2"/>
      <x:c r="R125" s="3">
        <x:v>2</x:v>
      </x:c>
      <x:c r="S125" s="3">
        <x:v>1</x:v>
      </x:c>
      <x:c r="T125" s="2" t="s">
        <x:v>103</x:v>
      </x:c>
      <x:c r="U125" s="2" t="s">
        <x:v>104</x:v>
      </x:c>
      <x:c r="V125" s="2" t="s">
        <x:v>842</x:v>
      </x:c>
      <x:c r="W125" s="2"/>
      <x:c r="X125" s="3"/>
      <x:c r="Y125" s="3"/>
      <x:c r="Z125" s="2"/>
      <x:c r="AA125" s="2"/>
      <x:c r="AB125" s="2"/>
      <x:c r="AC125" s="2"/>
      <x:c r="AD125" s="2"/>
      <x:c r="AE125" s="2"/>
      <x:c r="AF125" s="2"/>
      <x:c r="AG125" s="2"/>
      <x:c r="AH125" s="2"/>
      <x:c r="AI125" s="4"/>
      <x:c r="AJ125" s="2"/>
      <x:c r="AK125" s="2" t="s">
        <x:v>106</x:v>
      </x:c>
      <x:c r="AL125" s="2" t="s">
        <x:v>2857</x:v>
      </x:c>
      <x:c r="AM125" s="2">
        <x:v>125</x:v>
      </x:c>
      <x:c r="AN125" s="2">
        <x:v>125</x:v>
      </x:c>
    </x:row>
    <x:row r="126" ht="39">
      <x:c r="A126" s="2" t="s">
        <x:v>6</x:v>
      </x:c>
      <x:c r="B126" s="2" t="s">
        <x:v>13</x:v>
      </x:c>
      <x:c r="C126" s="3">
        <x:v>124</x:v>
      </x:c>
      <x:c r="D126" s="2" t="s">
        <x:v>847</x:v>
      </x:c>
      <x:c r="E126" s="2" t="s">
        <x:v>872</x:v>
      </x:c>
      <x:c r="F126" s="2" t="s">
        <x:v>844</x:v>
      </x:c>
      <x:c r="G126" s="2"/>
      <x:c r="H126" s="2" t="s">
        <x:v>836</x:v>
      </x:c>
      <x:c r="I126" s="2" t="s">
        <x:v>874</x:v>
      </x:c>
      <x:c r="J126" s="2" t="s">
        <x:v>838</x:v>
      </x:c>
      <x:c r="K126" s="2"/>
      <x:c r="L126" s="2">
        <x:v>78</x:v>
      </x:c>
      <x:c r="M126" s="2" t="s">
        <x:v>851</x:v>
      </x:c>
      <x:c r="N126" s="2">
        <x:v>5</x:v>
      </x:c>
      <x:c r="O126" s="2" t="s">
        <x:v>840</x:v>
      </x:c>
      <x:c r="P126" s="2" t="s">
        <x:v>860</x:v>
      </x:c>
      <x:c r="Q126" s="2"/>
      <x:c r="R126" s="3">
        <x:v>3</x:v>
      </x:c>
      <x:c r="S126" s="3">
        <x:v>1</x:v>
      </x:c>
      <x:c r="T126" s="2" t="s">
        <x:v>103</x:v>
      </x:c>
      <x:c r="U126" s="2" t="s">
        <x:v>129</x:v>
      </x:c>
      <x:c r="V126" s="2" t="s">
        <x:v>842</x:v>
      </x:c>
      <x:c r="W126" s="2"/>
      <x:c r="X126" s="3"/>
      <x:c r="Y126" s="3"/>
      <x:c r="Z126" s="2"/>
      <x:c r="AA126" s="2"/>
      <x:c r="AB126" s="2"/>
      <x:c r="AC126" s="2"/>
      <x:c r="AD126" s="2"/>
      <x:c r="AE126" s="2"/>
      <x:c r="AF126" s="2"/>
      <x:c r="AG126" s="2"/>
      <x:c r="AH126" s="2"/>
      <x:c r="AI126" s="4"/>
      <x:c r="AJ126" s="2"/>
      <x:c r="AK126" s="2" t="s">
        <x:v>106</x:v>
      </x:c>
      <x:c r="AL126" s="2" t="s">
        <x:v>2857</x:v>
      </x:c>
      <x:c r="AM126" s="2">
        <x:v>126</x:v>
      </x:c>
      <x:c r="AN126" s="2">
        <x:v>126</x:v>
      </x:c>
    </x:row>
    <x:row r="127" ht="39">
      <x:c r="A127" s="2" t="s">
        <x:v>6</x:v>
      </x:c>
      <x:c r="B127" s="2" t="s">
        <x:v>13</x:v>
      </x:c>
      <x:c r="C127" s="3">
        <x:v>125</x:v>
      </x:c>
      <x:c r="D127" s="2" t="s">
        <x:v>853</x:v>
      </x:c>
      <x:c r="E127" s="2" t="s">
        <x:v>872</x:v>
      </x:c>
      <x:c r="F127" s="2" t="s">
        <x:v>835</x:v>
      </x:c>
      <x:c r="G127" s="2"/>
      <x:c r="H127" s="2" t="s">
        <x:v>836</x:v>
      </x:c>
      <x:c r="I127" s="2" t="s">
        <x:v>874</x:v>
      </x:c>
      <x:c r="J127" s="2" t="s">
        <x:v>838</x:v>
      </x:c>
      <x:c r="K127" s="2" t="n">
        <x:v>124</x:v>
      </x:c>
      <x:c r="L127" s="2">
        <x:v>26</x:v>
      </x:c>
      <x:c r="M127" s="2" t="s">
        <x:v>854</x:v>
      </x:c>
      <x:c r="N127" s="2">
        <x:v>5</x:v>
      </x:c>
      <x:c r="O127" s="2" t="s">
        <x:v>846</x:v>
      </x:c>
      <x:c r="P127" s="2" t="s">
        <x:v>860</x:v>
      </x:c>
      <x:c r="Q127" s="2"/>
      <x:c r="R127" s="3">
        <x:v>3</x:v>
      </x:c>
      <x:c r="S127" s="3">
        <x:v>1</x:v>
      </x:c>
      <x:c r="T127" s="2" t="s">
        <x:v>103</x:v>
      </x:c>
      <x:c r="U127" s="2" t="s">
        <x:v>115</x:v>
      </x:c>
      <x:c r="V127" s="2" t="s">
        <x:v>842</x:v>
      </x:c>
      <x:c r="W127" s="2"/>
      <x:c r="X127" s="3"/>
      <x:c r="Y127" s="3"/>
      <x:c r="Z127" s="2"/>
      <x:c r="AA127" s="2"/>
      <x:c r="AB127" s="2"/>
      <x:c r="AC127" s="2"/>
      <x:c r="AD127" s="2"/>
      <x:c r="AE127" s="2"/>
      <x:c r="AF127" s="2"/>
      <x:c r="AG127" s="2"/>
      <x:c r="AH127" s="2"/>
      <x:c r="AI127" s="4"/>
      <x:c r="AJ127" s="2"/>
      <x:c r="AK127" s="2" t="s">
        <x:v>106</x:v>
      </x:c>
      <x:c r="AL127" s="2" t="s">
        <x:v>2857</x:v>
      </x:c>
      <x:c r="AM127" s="2">
        <x:v>127</x:v>
      </x:c>
      <x:c r="AN127" s="2">
        <x:v>127</x:v>
      </x:c>
    </x:row>
    <x:row r="128" ht="39">
      <x:c r="A128" s="2" t="s">
        <x:v>6</x:v>
      </x:c>
      <x:c r="B128" s="2" t="s">
        <x:v>13</x:v>
      </x:c>
      <x:c r="C128" s="3">
        <x:v>126</x:v>
      </x:c>
      <x:c r="D128" s="2" t="s">
        <x:v>833</x:v>
      </x:c>
      <x:c r="E128" s="2" t="s">
        <x:v>875</x:v>
      </x:c>
      <x:c r="F128" s="2" t="s">
        <x:v>835</x:v>
      </x:c>
      <x:c r="G128" s="2"/>
      <x:c r="H128" s="2" t="s">
        <x:v>836</x:v>
      </x:c>
      <x:c r="I128" s="2" t="s">
        <x:v>877</x:v>
      </x:c>
      <x:c r="J128" s="2" t="s">
        <x:v>838</x:v>
      </x:c>
      <x:c r="K128" s="2"/>
      <x:c r="L128" s="2">
        <x:v>0</x:v>
      </x:c>
      <x:c r="M128" s="2" t="s">
        <x:v>839</x:v>
      </x:c>
      <x:c r="N128" s="2">
        <x:v>5</x:v>
      </x:c>
      <x:c r="O128" s="2" t="s">
        <x:v>840</x:v>
      </x:c>
      <x:c r="P128" s="2" t="s">
        <x:v>841</x:v>
      </x:c>
      <x:c r="Q128" s="2"/>
      <x:c r="R128" s="3">
        <x:v>4</x:v>
      </x:c>
      <x:c r="S128" s="3">
        <x:v>1</x:v>
      </x:c>
      <x:c r="T128" s="2" t="s">
        <x:v>103</x:v>
      </x:c>
      <x:c r="U128" s="2" t="s">
        <x:v>122</x:v>
      </x:c>
      <x:c r="V128" s="2" t="s">
        <x:v>842</x:v>
      </x:c>
      <x:c r="W128" s="2"/>
      <x:c r="X128" s="3"/>
      <x:c r="Y128" s="3"/>
      <x:c r="Z128" s="2"/>
      <x:c r="AA128" s="2"/>
      <x:c r="AB128" s="2"/>
      <x:c r="AC128" s="2"/>
      <x:c r="AD128" s="2"/>
      <x:c r="AE128" s="2"/>
      <x:c r="AF128" s="2"/>
      <x:c r="AG128" s="2"/>
      <x:c r="AH128" s="2"/>
      <x:c r="AI128" s="4"/>
      <x:c r="AJ128" s="2"/>
      <x:c r="AK128" s="2" t="s">
        <x:v>106</x:v>
      </x:c>
      <x:c r="AL128" s="2" t="s">
        <x:v>2857</x:v>
      </x:c>
      <x:c r="AM128" s="2">
        <x:v>128</x:v>
      </x:c>
      <x:c r="AN128" s="2">
        <x:v>128</x:v>
      </x:c>
    </x:row>
    <x:row r="129" ht="39">
      <x:c r="A129" s="2" t="s">
        <x:v>91</x:v>
      </x:c>
      <x:c r="B129" s="2" t="s">
        <x:v>13</x:v>
      </x:c>
      <x:c r="C129" s="3">
        <x:v>127</x:v>
      </x:c>
      <x:c r="D129" s="2" t="s">
        <x:v>843</x:v>
      </x:c>
      <x:c r="E129" s="2" t="s">
        <x:v>875</x:v>
      </x:c>
      <x:c r="F129" s="2" t="s">
        <x:v>844</x:v>
      </x:c>
      <x:c r="G129" s="2" t="s">
        <x:v>2872</x:v>
      </x:c>
      <x:c r="H129" s="2" t="s">
        <x:v>836</x:v>
      </x:c>
      <x:c r="I129" s="2" t="s">
        <x:v>877</x:v>
      </x:c>
      <x:c r="J129" s="2" t="s">
        <x:v>838</x:v>
      </x:c>
      <x:c r="K129" s="2" t="n">
        <x:v>126</x:v>
      </x:c>
      <x:c r="L129" s="2">
        <x:v>101</x:v>
      </x:c>
      <x:c r="M129" s="2" t="s">
        <x:v>845</x:v>
      </x:c>
      <x:c r="N129" s="2">
        <x:v>5</x:v>
      </x:c>
      <x:c r="O129" s="2" t="s">
        <x:v>846</x:v>
      </x:c>
      <x:c r="P129" s="2" t="s">
        <x:v>841</x:v>
      </x:c>
      <x:c r="Q129" s="2"/>
      <x:c r="R129" s="3">
        <x:v>4</x:v>
      </x:c>
      <x:c r="S129" s="3">
        <x:v>1</x:v>
      </x:c>
      <x:c r="T129" s="2" t="s">
        <x:v>103</x:v>
      </x:c>
      <x:c r="U129" s="2" t="s">
        <x:v>104</x:v>
      </x:c>
      <x:c r="V129" s="2" t="s">
        <x:v>842</x:v>
      </x:c>
      <x:c r="W129" s="2"/>
      <x:c r="X129" s="3"/>
      <x:c r="Y129" s="3"/>
      <x:c r="Z129" s="2"/>
      <x:c r="AA129" s="2"/>
      <x:c r="AB129" s="2"/>
      <x:c r="AC129" s="2"/>
      <x:c r="AD129" s="2"/>
      <x:c r="AE129" s="2"/>
      <x:c r="AF129" s="2"/>
      <x:c r="AG129" s="2"/>
      <x:c r="AH129" s="2"/>
      <x:c r="AI129" s="4"/>
      <x:c r="AJ129" s="2"/>
      <x:c r="AK129" s="2" t="s">
        <x:v>106</x:v>
      </x:c>
      <x:c r="AL129" s="2" t="s">
        <x:v>2857</x:v>
      </x:c>
      <x:c r="AM129" s="2">
        <x:v>129</x:v>
      </x:c>
      <x:c r="AN129" s="2">
        <x:v>129</x:v>
      </x:c>
    </x:row>
    <x:row r="130" ht="39">
      <x:c r="A130" s="2" t="s">
        <x:v>6</x:v>
      </x:c>
      <x:c r="B130" s="2" t="s">
        <x:v>13</x:v>
      </x:c>
      <x:c r="C130" s="3">
        <x:v>128</x:v>
      </x:c>
      <x:c r="D130" s="2" t="s">
        <x:v>847</x:v>
      </x:c>
      <x:c r="E130" s="2" t="s">
        <x:v>848</x:v>
      </x:c>
      <x:c r="F130" s="2" t="s">
        <x:v>835</x:v>
      </x:c>
      <x:c r="G130" s="2"/>
      <x:c r="H130" s="2" t="s">
        <x:v>836</x:v>
      </x:c>
      <x:c r="I130" s="2" t="s">
        <x:v>879</x:v>
      </x:c>
      <x:c r="J130" s="2" t="s">
        <x:v>838</x:v>
      </x:c>
      <x:c r="K130" s="2"/>
      <x:c r="L130" s="2">
        <x:v>78</x:v>
      </x:c>
      <x:c r="M130" s="2" t="s">
        <x:v>851</x:v>
      </x:c>
      <x:c r="N130" s="2">
        <x:v>5</x:v>
      </x:c>
      <x:c r="O130" s="2" t="s">
        <x:v>840</x:v>
      </x:c>
      <x:c r="P130" s="2" t="s">
        <x:v>852</x:v>
      </x:c>
      <x:c r="Q130" s="2"/>
      <x:c r="R130" s="3">
        <x:v>3</x:v>
      </x:c>
      <x:c r="S130" s="3">
        <x:v>1</x:v>
      </x:c>
      <x:c r="T130" s="2" t="s">
        <x:v>103</x:v>
      </x:c>
      <x:c r="U130" s="2" t="s">
        <x:v>129</x:v>
      </x:c>
      <x:c r="V130" s="2" t="s">
        <x:v>842</x:v>
      </x:c>
      <x:c r="W130" s="2"/>
      <x:c r="X130" s="3"/>
      <x:c r="Y130" s="3"/>
      <x:c r="Z130" s="2"/>
      <x:c r="AA130" s="2"/>
      <x:c r="AB130" s="2"/>
      <x:c r="AC130" s="2"/>
      <x:c r="AD130" s="2"/>
      <x:c r="AE130" s="2"/>
      <x:c r="AF130" s="2"/>
      <x:c r="AG130" s="2"/>
      <x:c r="AH130" s="2"/>
      <x:c r="AI130" s="4"/>
      <x:c r="AJ130" s="2"/>
      <x:c r="AK130" s="2" t="s">
        <x:v>106</x:v>
      </x:c>
      <x:c r="AL130" s="2" t="s">
        <x:v>2857</x:v>
      </x:c>
      <x:c r="AM130" s="2">
        <x:v>130</x:v>
      </x:c>
      <x:c r="AN130" s="2">
        <x:v>130</x:v>
      </x:c>
    </x:row>
    <x:row r="131" ht="39">
      <x:c r="A131" s="2" t="s">
        <x:v>6</x:v>
      </x:c>
      <x:c r="B131" s="2" t="s">
        <x:v>13</x:v>
      </x:c>
      <x:c r="C131" s="3">
        <x:v>129</x:v>
      </x:c>
      <x:c r="D131" s="2" t="s">
        <x:v>853</x:v>
      </x:c>
      <x:c r="E131" s="2" t="s">
        <x:v>848</x:v>
      </x:c>
      <x:c r="F131" s="2" t="s">
        <x:v>844</x:v>
      </x:c>
      <x:c r="G131" s="2"/>
      <x:c r="H131" s="2" t="s">
        <x:v>836</x:v>
      </x:c>
      <x:c r="I131" s="2" t="s">
        <x:v>879</x:v>
      </x:c>
      <x:c r="J131" s="2" t="s">
        <x:v>838</x:v>
      </x:c>
      <x:c r="K131" s="2" t="n">
        <x:v>128</x:v>
      </x:c>
      <x:c r="L131" s="2">
        <x:v>26</x:v>
      </x:c>
      <x:c r="M131" s="2" t="s">
        <x:v>854</x:v>
      </x:c>
      <x:c r="N131" s="2">
        <x:v>5</x:v>
      </x:c>
      <x:c r="O131" s="2" t="s">
        <x:v>846</x:v>
      </x:c>
      <x:c r="P131" s="2" t="s">
        <x:v>852</x:v>
      </x:c>
      <x:c r="Q131" s="2"/>
      <x:c r="R131" s="3">
        <x:v>3</x:v>
      </x:c>
      <x:c r="S131" s="3">
        <x:v>1</x:v>
      </x:c>
      <x:c r="T131" s="2" t="s">
        <x:v>103</x:v>
      </x:c>
      <x:c r="U131" s="2" t="s">
        <x:v>115</x:v>
      </x:c>
      <x:c r="V131" s="2" t="s">
        <x:v>842</x:v>
      </x:c>
      <x:c r="W131" s="2"/>
      <x:c r="X131" s="3"/>
      <x:c r="Y131" s="3"/>
      <x:c r="Z131" s="2"/>
      <x:c r="AA131" s="2"/>
      <x:c r="AB131" s="2"/>
      <x:c r="AC131" s="2"/>
      <x:c r="AD131" s="2"/>
      <x:c r="AE131" s="2"/>
      <x:c r="AF131" s="2"/>
      <x:c r="AG131" s="2"/>
      <x:c r="AH131" s="2"/>
      <x:c r="AI131" s="4"/>
      <x:c r="AJ131" s="2"/>
      <x:c r="AK131" s="2" t="s">
        <x:v>106</x:v>
      </x:c>
      <x:c r="AL131" s="2" t="s">
        <x:v>2857</x:v>
      </x:c>
      <x:c r="AM131" s="2">
        <x:v>131</x:v>
      </x:c>
      <x:c r="AN131" s="2">
        <x:v>131</x:v>
      </x:c>
    </x:row>
    <x:row r="132" ht="52">
      <x:c r="A132" s="2" t="s">
        <x:v>91</x:v>
      </x:c>
      <x:c r="B132" s="2" t="s">
        <x:v>13</x:v>
      </x:c>
      <x:c r="C132" s="3">
        <x:v>130</x:v>
      </x:c>
      <x:c r="D132" s="2" t="s">
        <x:v>580</x:v>
      </x:c>
      <x:c r="E132" s="2" t="s">
        <x:v>880</x:v>
      </x:c>
      <x:c r="F132" s="2" t="s">
        <x:v>881</x:v>
      </x:c>
      <x:c r="G132" s="2" t="s">
        <x:v>930</x:v>
      </x:c>
      <x:c r="H132" s="2" t="s">
        <x:v>883</x:v>
      </x:c>
      <x:c r="I132" s="2" t="s">
        <x:v>884</x:v>
      </x:c>
      <x:c r="J132" s="2" t="s">
        <x:v>885</x:v>
      </x:c>
      <x:c r="K132" s="2"/>
      <x:c r="L132" s="2" t="s">
        <x:v>579</x:v>
      </x:c>
      <x:c r="M132" s="2" t="s">
        <x:v>886</x:v>
      </x:c>
      <x:c r="N132" s="2">
        <x:v>6</x:v>
      </x:c>
      <x:c r="O132" s="2" t="s">
        <x:v>887</x:v>
      </x:c>
      <x:c r="P132" s="2" t="s">
        <x:v>888</x:v>
      </x:c>
      <x:c r="Q132" s="2"/>
      <x:c r="R132" s="3">
        <x:v>2</x:v>
      </x:c>
      <x:c r="S132" s="3">
        <x:v>0</x:v>
      </x:c>
      <x:c r="T132" s="2" t="s">
        <x:v>103</x:v>
      </x:c>
      <x:c r="U132" s="2" t="s">
        <x:v>122</x:v>
      </x:c>
      <x:c r="V132" s="2" t="s">
        <x:v>105</x:v>
      </x:c>
      <x:c r="W132" s="2"/>
      <x:c r="X132" s="3"/>
      <x:c r="Y132" s="3"/>
      <x:c r="Z132" s="2"/>
      <x:c r="AA132" s="2"/>
      <x:c r="AB132" s="2"/>
      <x:c r="AC132" s="2"/>
      <x:c r="AD132" s="2"/>
      <x:c r="AE132" s="2"/>
      <x:c r="AF132" s="2"/>
      <x:c r="AG132" s="2"/>
      <x:c r="AH132" s="2"/>
      <x:c r="AI132" s="4"/>
      <x:c r="AJ132" s="2"/>
      <x:c r="AK132" s="2" t="s">
        <x:v>106</x:v>
      </x:c>
      <x:c r="AL132" s="2" t="s">
        <x:v>2857</x:v>
      </x:c>
      <x:c r="AM132" s="2">
        <x:v>132</x:v>
      </x:c>
      <x:c r="AN132" s="2">
        <x:v>132</x:v>
      </x:c>
    </x:row>
    <x:row r="133" ht="52">
      <x:c r="A133" s="2" t="s">
        <x:v>91</x:v>
      </x:c>
      <x:c r="B133" s="2" t="s">
        <x:v>13</x:v>
      </x:c>
      <x:c r="C133" s="3">
        <x:v>131</x:v>
      </x:c>
      <x:c r="D133" s="2" t="s">
        <x:v>587</x:v>
      </x:c>
      <x:c r="E133" s="2" t="s">
        <x:v>889</x:v>
      </x:c>
      <x:c r="F133" s="2" t="s">
        <x:v>890</x:v>
      </x:c>
      <x:c r="G133" s="2" t="s">
        <x:v>930</x:v>
      </x:c>
      <x:c r="H133" s="2" t="s">
        <x:v>883</x:v>
      </x:c>
      <x:c r="I133" s="2" t="s">
        <x:v>892</x:v>
      </x:c>
      <x:c r="J133" s="2" t="s">
        <x:v>885</x:v>
      </x:c>
      <x:c r="K133" s="2"/>
      <x:c r="L133" s="2" t="s">
        <x:v>128</x:v>
      </x:c>
      <x:c r="M133" s="2" t="s">
        <x:v>893</x:v>
      </x:c>
      <x:c r="N133" s="2">
        <x:v>6</x:v>
      </x:c>
      <x:c r="O133" s="2" t="s">
        <x:v>887</x:v>
      </x:c>
      <x:c r="P133" s="2" t="s">
        <x:v>894</x:v>
      </x:c>
      <x:c r="Q133" s="2"/>
      <x:c r="R133" s="3">
        <x:v>3</x:v>
      </x:c>
      <x:c r="S133" s="3">
        <x:v>0</x:v>
      </x:c>
      <x:c r="T133" s="2" t="s">
        <x:v>103</x:v>
      </x:c>
      <x:c r="U133" s="2" t="s">
        <x:v>129</x:v>
      </x:c>
      <x:c r="V133" s="2" t="s">
        <x:v>123</x:v>
      </x:c>
      <x:c r="W133" s="2"/>
      <x:c r="X133" s="3"/>
      <x:c r="Y133" s="3"/>
      <x:c r="Z133" s="2"/>
      <x:c r="AA133" s="2"/>
      <x:c r="AB133" s="2"/>
      <x:c r="AC133" s="2"/>
      <x:c r="AD133" s="2"/>
      <x:c r="AE133" s="2"/>
      <x:c r="AF133" s="2"/>
      <x:c r="AG133" s="2"/>
      <x:c r="AH133" s="2"/>
      <x:c r="AI133" s="4"/>
      <x:c r="AJ133" s="2"/>
      <x:c r="AK133" s="2" t="s">
        <x:v>106</x:v>
      </x:c>
      <x:c r="AL133" s="2" t="s">
        <x:v>2857</x:v>
      </x:c>
      <x:c r="AM133" s="2">
        <x:v>133</x:v>
      </x:c>
      <x:c r="AN133" s="2">
        <x:v>133</x:v>
      </x:c>
    </x:row>
    <x:row r="134" ht="52">
      <x:c r="A134" s="2" t="s">
        <x:v>91</x:v>
      </x:c>
      <x:c r="B134" s="2" t="s">
        <x:v>13</x:v>
      </x:c>
      <x:c r="C134" s="3">
        <x:v>132</x:v>
      </x:c>
      <x:c r="D134" s="2" t="s">
        <x:v>895</x:v>
      </x:c>
      <x:c r="E134" s="2" t="s">
        <x:v>896</x:v>
      </x:c>
      <x:c r="F134" s="2" t="s">
        <x:v>897</x:v>
      </x:c>
      <x:c r="G134" s="2" t="s">
        <x:v>930</x:v>
      </x:c>
      <x:c r="H134" s="2" t="s">
        <x:v>883</x:v>
      </x:c>
      <x:c r="I134" s="2" t="s">
        <x:v>899</x:v>
      </x:c>
      <x:c r="J134" s="2" t="s">
        <x:v>885</x:v>
      </x:c>
      <x:c r="K134" s="2"/>
      <x:c r="L134" s="2" t="s">
        <x:v>900</x:v>
      </x:c>
      <x:c r="M134" s="2" t="s">
        <x:v>886</x:v>
      </x:c>
      <x:c r="N134" s="2">
        <x:v>6</x:v>
      </x:c>
      <x:c r="O134" s="2" t="s">
        <x:v>887</x:v>
      </x:c>
      <x:c r="P134" s="2" t="s">
        <x:v>888</x:v>
      </x:c>
      <x:c r="Q134" s="2"/>
      <x:c r="R134" s="3">
        <x:v>4</x:v>
      </x:c>
      <x:c r="S134" s="3">
        <x:v>0</x:v>
      </x:c>
      <x:c r="T134" s="2" t="s">
        <x:v>103</x:v>
      </x:c>
      <x:c r="U134" s="2" t="s">
        <x:v>104</x:v>
      </x:c>
      <x:c r="V134" s="2" t="s">
        <x:v>136</x:v>
      </x:c>
      <x:c r="W134" s="2"/>
      <x:c r="X134" s="3"/>
      <x:c r="Y134" s="3"/>
      <x:c r="Z134" s="2"/>
      <x:c r="AA134" s="2"/>
      <x:c r="AB134" s="2"/>
      <x:c r="AC134" s="2"/>
      <x:c r="AD134" s="2"/>
      <x:c r="AE134" s="2"/>
      <x:c r="AF134" s="2"/>
      <x:c r="AG134" s="2"/>
      <x:c r="AH134" s="2"/>
      <x:c r="AI134" s="4"/>
      <x:c r="AJ134" s="2"/>
      <x:c r="AK134" s="2" t="s">
        <x:v>106</x:v>
      </x:c>
      <x:c r="AL134" s="2" t="s">
        <x:v>2857</x:v>
      </x:c>
      <x:c r="AM134" s="2">
        <x:v>134</x:v>
      </x:c>
      <x:c r="AN134" s="2">
        <x:v>134</x:v>
      </x:c>
    </x:row>
    <x:row r="135" ht="52">
      <x:c r="A135" s="2" t="s">
        <x:v>91</x:v>
      </x:c>
      <x:c r="B135" s="2" t="s">
        <x:v>13</x:v>
      </x:c>
      <x:c r="C135" s="3">
        <x:v>133</x:v>
      </x:c>
      <x:c r="D135" s="2" t="s">
        <x:v>148</x:v>
      </x:c>
      <x:c r="E135" s="2" t="s">
        <x:v>901</x:v>
      </x:c>
      <x:c r="F135" s="2" t="s">
        <x:v>881</x:v>
      </x:c>
      <x:c r="G135" s="2" t="s">
        <x:v>940</x:v>
      </x:c>
      <x:c r="H135" s="2" t="s">
        <x:v>883</x:v>
      </x:c>
      <x:c r="I135" s="2" t="s">
        <x:v>903</x:v>
      </x:c>
      <x:c r="J135" s="2" t="s">
        <x:v>885</x:v>
      </x:c>
      <x:c r="K135" s="2"/>
      <x:c r="L135" s="2" t="s">
        <x:v>153</x:v>
      </x:c>
      <x:c r="M135" s="2" t="s">
        <x:v>886</x:v>
      </x:c>
      <x:c r="N135" s="2">
        <x:v>6</x:v>
      </x:c>
      <x:c r="O135" s="2" t="s">
        <x:v>887</x:v>
      </x:c>
      <x:c r="P135" s="2" t="s">
        <x:v>888</x:v>
      </x:c>
      <x:c r="Q135" s="2"/>
      <x:c r="R135" s="3">
        <x:v>2</x:v>
      </x:c>
      <x:c r="S135" s="3">
        <x:v>0</x:v>
      </x:c>
      <x:c r="T135" s="2" t="s">
        <x:v>103</x:v>
      </x:c>
      <x:c r="U135" s="2" t="s">
        <x:v>122</x:v>
      </x:c>
      <x:c r="V135" s="2" t="s">
        <x:v>154</x:v>
      </x:c>
      <x:c r="W135" s="2"/>
      <x:c r="X135" s="3"/>
      <x:c r="Y135" s="3"/>
      <x:c r="Z135" s="2"/>
      <x:c r="AA135" s="2"/>
      <x:c r="AB135" s="2"/>
      <x:c r="AC135" s="2"/>
      <x:c r="AD135" s="2"/>
      <x:c r="AE135" s="2"/>
      <x:c r="AF135" s="2"/>
      <x:c r="AG135" s="2"/>
      <x:c r="AH135" s="2"/>
      <x:c r="AI135" s="4"/>
      <x:c r="AJ135" s="2"/>
      <x:c r="AK135" s="2" t="s">
        <x:v>106</x:v>
      </x:c>
      <x:c r="AL135" s="2" t="s">
        <x:v>2857</x:v>
      </x:c>
      <x:c r="AM135" s="2">
        <x:v>135</x:v>
      </x:c>
      <x:c r="AN135" s="2">
        <x:v>135</x:v>
      </x:c>
    </x:row>
    <x:row r="136" ht="52">
      <x:c r="A136" s="2" t="s">
        <x:v>91</x:v>
      </x:c>
      <x:c r="B136" s="2" t="s">
        <x:v>13</x:v>
      </x:c>
      <x:c r="C136" s="3">
        <x:v>134</x:v>
      </x:c>
      <x:c r="D136" s="2" t="s">
        <x:v>904</x:v>
      </x:c>
      <x:c r="E136" s="2" t="s">
        <x:v>905</x:v>
      </x:c>
      <x:c r="F136" s="2" t="s">
        <x:v>897</x:v>
      </x:c>
      <x:c r="G136" s="2" t="s">
        <x:v>2873</x:v>
      </x:c>
      <x:c r="H136" s="2" t="s">
        <x:v>883</x:v>
      </x:c>
      <x:c r="I136" s="2" t="s">
        <x:v>907</x:v>
      </x:c>
      <x:c r="J136" s="2" t="s">
        <x:v>885</x:v>
      </x:c>
      <x:c r="K136" s="2"/>
      <x:c r="L136" s="2" t="s">
        <x:v>908</x:v>
      </x:c>
      <x:c r="M136" s="2" t="s">
        <x:v>886</x:v>
      </x:c>
      <x:c r="N136" s="2">
        <x:v>6</x:v>
      </x:c>
      <x:c r="O136" s="2" t="s">
        <x:v>887</x:v>
      </x:c>
      <x:c r="P136" s="2" t="s">
        <x:v>888</x:v>
      </x:c>
      <x:c r="Q136" s="2"/>
      <x:c r="R136" s="3">
        <x:v>3</x:v>
      </x:c>
      <x:c r="S136" s="3">
        <x:v>0</x:v>
      </x:c>
      <x:c r="T136" s="2" t="s">
        <x:v>103</x:v>
      </x:c>
      <x:c r="U136" s="2" t="s">
        <x:v>104</x:v>
      </x:c>
      <x:c r="V136" s="2" t="s">
        <x:v>105</x:v>
      </x:c>
      <x:c r="W136" s="2"/>
      <x:c r="X136" s="3"/>
      <x:c r="Y136" s="3"/>
      <x:c r="Z136" s="2"/>
      <x:c r="AA136" s="2"/>
      <x:c r="AB136" s="2"/>
      <x:c r="AC136" s="2"/>
      <x:c r="AD136" s="2"/>
      <x:c r="AE136" s="2"/>
      <x:c r="AF136" s="2"/>
      <x:c r="AG136" s="2"/>
      <x:c r="AH136" s="2"/>
      <x:c r="AI136" s="4"/>
      <x:c r="AJ136" s="2"/>
      <x:c r="AK136" s="2" t="s">
        <x:v>106</x:v>
      </x:c>
      <x:c r="AL136" s="2" t="s">
        <x:v>2857</x:v>
      </x:c>
      <x:c r="AM136" s="2">
        <x:v>136</x:v>
      </x:c>
      <x:c r="AN136" s="2">
        <x:v>136</x:v>
      </x:c>
    </x:row>
    <x:row r="137" ht="52">
      <x:c r="A137" s="2" t="s">
        <x:v>91</x:v>
      </x:c>
      <x:c r="B137" s="2" t="s">
        <x:v>13</x:v>
      </x:c>
      <x:c r="C137" s="3">
        <x:v>135</x:v>
      </x:c>
      <x:c r="D137" s="2" t="s">
        <x:v>909</x:v>
      </x:c>
      <x:c r="E137" s="2" t="s">
        <x:v>910</x:v>
      </x:c>
      <x:c r="F137" s="2" t="s">
        <x:v>911</x:v>
      </x:c>
      <x:c r="G137" s="2" t="s">
        <x:v>930</x:v>
      </x:c>
      <x:c r="H137" s="2" t="s">
        <x:v>883</x:v>
      </x:c>
      <x:c r="I137" s="2" t="s">
        <x:v>913</x:v>
      </x:c>
      <x:c r="J137" s="2" t="s">
        <x:v>885</x:v>
      </x:c>
      <x:c r="K137" s="2"/>
      <x:c r="L137" s="2" t="s">
        <x:v>595</x:v>
      </x:c>
      <x:c r="M137" s="2" t="s">
        <x:v>893</x:v>
      </x:c>
      <x:c r="N137" s="2">
        <x:v>6</x:v>
      </x:c>
      <x:c r="O137" s="2" t="s">
        <x:v>887</x:v>
      </x:c>
      <x:c r="P137" s="2" t="s">
        <x:v>914</x:v>
      </x:c>
      <x:c r="Q137" s="2"/>
      <x:c r="R137" s="3">
        <x:v>4</x:v>
      </x:c>
      <x:c r="S137" s="3">
        <x:v>0</x:v>
      </x:c>
      <x:c r="T137" s="2" t="s">
        <x:v>103</x:v>
      </x:c>
      <x:c r="U137" s="2" t="s">
        <x:v>115</x:v>
      </x:c>
      <x:c r="V137" s="2" t="s">
        <x:v>123</x:v>
      </x:c>
      <x:c r="W137" s="2"/>
      <x:c r="X137" s="3"/>
      <x:c r="Y137" s="3"/>
      <x:c r="Z137" s="2"/>
      <x:c r="AA137" s="2"/>
      <x:c r="AB137" s="2"/>
      <x:c r="AC137" s="2"/>
      <x:c r="AD137" s="2"/>
      <x:c r="AE137" s="2"/>
      <x:c r="AF137" s="2"/>
      <x:c r="AG137" s="2"/>
      <x:c r="AH137" s="2"/>
      <x:c r="AI137" s="4"/>
      <x:c r="AJ137" s="2"/>
      <x:c r="AK137" s="2" t="s">
        <x:v>106</x:v>
      </x:c>
      <x:c r="AL137" s="2" t="s">
        <x:v>2857</x:v>
      </x:c>
      <x:c r="AM137" s="2">
        <x:v>137</x:v>
      </x:c>
      <x:c r="AN137" s="2">
        <x:v>137</x:v>
      </x:c>
    </x:row>
    <x:row r="138" ht="52">
      <x:c r="A138" s="2" t="s">
        <x:v>91</x:v>
      </x:c>
      <x:c r="B138" s="2" t="s">
        <x:v>13</x:v>
      </x:c>
      <x:c r="C138" s="3">
        <x:v>136</x:v>
      </x:c>
      <x:c r="D138" s="2" t="s">
        <x:v>915</x:v>
      </x:c>
      <x:c r="E138" s="2" t="s">
        <x:v>916</x:v>
      </x:c>
      <x:c r="F138" s="2" t="s">
        <x:v>890</x:v>
      </x:c>
      <x:c r="G138" s="2" t="s">
        <x:v>930</x:v>
      </x:c>
      <x:c r="H138" s="2" t="s">
        <x:v>883</x:v>
      </x:c>
      <x:c r="I138" s="2" t="s">
        <x:v>918</x:v>
      </x:c>
      <x:c r="J138" s="2" t="s">
        <x:v>885</x:v>
      </x:c>
      <x:c r="K138" s="2"/>
      <x:c r="L138" s="2" t="s">
        <x:v>141</x:v>
      </x:c>
      <x:c r="M138" s="2" t="s">
        <x:v>893</x:v>
      </x:c>
      <x:c r="N138" s="2">
        <x:v>6</x:v>
      </x:c>
      <x:c r="O138" s="2" t="s">
        <x:v>887</x:v>
      </x:c>
      <x:c r="P138" s="2" t="s">
        <x:v>914</x:v>
      </x:c>
      <x:c r="Q138" s="2"/>
      <x:c r="R138" s="3">
        <x:v>2</x:v>
      </x:c>
      <x:c r="S138" s="3">
        <x:v>0</x:v>
      </x:c>
      <x:c r="T138" s="2" t="s">
        <x:v>103</x:v>
      </x:c>
      <x:c r="U138" s="2" t="s">
        <x:v>129</x:v>
      </x:c>
      <x:c r="V138" s="2" t="s">
        <x:v>136</x:v>
      </x:c>
      <x:c r="W138" s="2"/>
      <x:c r="X138" s="3"/>
      <x:c r="Y138" s="3"/>
      <x:c r="Z138" s="2"/>
      <x:c r="AA138" s="2"/>
      <x:c r="AB138" s="2"/>
      <x:c r="AC138" s="2"/>
      <x:c r="AD138" s="2"/>
      <x:c r="AE138" s="2"/>
      <x:c r="AF138" s="2"/>
      <x:c r="AG138" s="2"/>
      <x:c r="AH138" s="2"/>
      <x:c r="AI138" s="4"/>
      <x:c r="AJ138" s="2"/>
      <x:c r="AK138" s="2" t="s">
        <x:v>106</x:v>
      </x:c>
      <x:c r="AL138" s="2" t="s">
        <x:v>2857</x:v>
      </x:c>
      <x:c r="AM138" s="2">
        <x:v>138</x:v>
      </x:c>
      <x:c r="AN138" s="2">
        <x:v>138</x:v>
      </x:c>
    </x:row>
    <x:row r="139" ht="52">
      <x:c r="A139" s="2" t="s">
        <x:v>91</x:v>
      </x:c>
      <x:c r="B139" s="2" t="s">
        <x:v>13</x:v>
      </x:c>
      <x:c r="C139" s="3">
        <x:v>137</x:v>
      </x:c>
      <x:c r="D139" s="2" t="s">
        <x:v>919</x:v>
      </x:c>
      <x:c r="E139" s="2" t="s">
        <x:v>920</x:v>
      </x:c>
      <x:c r="F139" s="2" t="s">
        <x:v>897</x:v>
      </x:c>
      <x:c r="G139" s="2" t="s">
        <x:v>940</x:v>
      </x:c>
      <x:c r="H139" s="2" t="s">
        <x:v>883</x:v>
      </x:c>
      <x:c r="I139" s="2" t="s">
        <x:v>922</x:v>
      </x:c>
      <x:c r="J139" s="2" t="s">
        <x:v>885</x:v>
      </x:c>
      <x:c r="K139" s="2"/>
      <x:c r="L139" s="2" t="s">
        <x:v>923</x:v>
      </x:c>
      <x:c r="M139" s="2" t="s">
        <x:v>886</x:v>
      </x:c>
      <x:c r="N139" s="2">
        <x:v>6</x:v>
      </x:c>
      <x:c r="O139" s="2" t="s">
        <x:v>887</x:v>
      </x:c>
      <x:c r="P139" s="2" t="s">
        <x:v>888</x:v>
      </x:c>
      <x:c r="Q139" s="2"/>
      <x:c r="R139" s="3">
        <x:v>3</x:v>
      </x:c>
      <x:c r="S139" s="3">
        <x:v>0</x:v>
      </x:c>
      <x:c r="T139" s="2" t="s">
        <x:v>103</x:v>
      </x:c>
      <x:c r="U139" s="2" t="s">
        <x:v>104</x:v>
      </x:c>
      <x:c r="V139" s="2" t="s">
        <x:v>154</x:v>
      </x:c>
      <x:c r="W139" s="2"/>
      <x:c r="X139" s="3"/>
      <x:c r="Y139" s="3"/>
      <x:c r="Z139" s="2"/>
      <x:c r="AA139" s="2"/>
      <x:c r="AB139" s="2"/>
      <x:c r="AC139" s="2"/>
      <x:c r="AD139" s="2"/>
      <x:c r="AE139" s="2"/>
      <x:c r="AF139" s="2"/>
      <x:c r="AG139" s="2"/>
      <x:c r="AH139" s="2"/>
      <x:c r="AI139" s="4"/>
      <x:c r="AJ139" s="2"/>
      <x:c r="AK139" s="2" t="s">
        <x:v>106</x:v>
      </x:c>
      <x:c r="AL139" s="2" t="s">
        <x:v>2857</x:v>
      </x:c>
      <x:c r="AM139" s="2">
        <x:v>139</x:v>
      </x:c>
      <x:c r="AN139" s="2">
        <x:v>139</x:v>
      </x:c>
    </x:row>
    <x:row r="140" ht="52">
      <x:c r="A140" s="2" t="s">
        <x:v>91</x:v>
      </x:c>
      <x:c r="B140" s="2" t="s">
        <x:v>13</x:v>
      </x:c>
      <x:c r="C140" s="3">
        <x:v>138</x:v>
      </x:c>
      <x:c r="D140" s="2" t="s">
        <x:v>924</x:v>
      </x:c>
      <x:c r="E140" s="2" t="s">
        <x:v>925</x:v>
      </x:c>
      <x:c r="F140" s="2" t="s">
        <x:v>911</x:v>
      </x:c>
      <x:c r="G140" s="2" t="s">
        <x:v>940</x:v>
      </x:c>
      <x:c r="H140" s="2" t="s">
        <x:v>883</x:v>
      </x:c>
      <x:c r="I140" s="2" t="s">
        <x:v>927</x:v>
      </x:c>
      <x:c r="J140" s="2" t="s">
        <x:v>885</x:v>
      </x:c>
      <x:c r="K140" s="2"/>
      <x:c r="L140" s="2" t="s">
        <x:v>112</x:v>
      </x:c>
      <x:c r="M140" s="2" t="s">
        <x:v>893</x:v>
      </x:c>
      <x:c r="N140" s="2">
        <x:v>6</x:v>
      </x:c>
      <x:c r="O140" s="2" t="s">
        <x:v>887</x:v>
      </x:c>
      <x:c r="P140" s="2" t="s">
        <x:v>894</x:v>
      </x:c>
      <x:c r="Q140" s="2"/>
      <x:c r="R140" s="3">
        <x:v>4</x:v>
      </x:c>
      <x:c r="S140" s="3">
        <x:v>0</x:v>
      </x:c>
      <x:c r="T140" s="2" t="s">
        <x:v>103</x:v>
      </x:c>
      <x:c r="U140" s="2" t="s">
        <x:v>115</x:v>
      </x:c>
      <x:c r="V140" s="2" t="s">
        <x:v>105</x:v>
      </x:c>
      <x:c r="W140" s="2"/>
      <x:c r="X140" s="3"/>
      <x:c r="Y140" s="3"/>
      <x:c r="Z140" s="2"/>
      <x:c r="AA140" s="2"/>
      <x:c r="AB140" s="2"/>
      <x:c r="AC140" s="2"/>
      <x:c r="AD140" s="2"/>
      <x:c r="AE140" s="2"/>
      <x:c r="AF140" s="2"/>
      <x:c r="AG140" s="2"/>
      <x:c r="AH140" s="2"/>
      <x:c r="AI140" s="4"/>
      <x:c r="AJ140" s="2"/>
      <x:c r="AK140" s="2" t="s">
        <x:v>106</x:v>
      </x:c>
      <x:c r="AL140" s="2" t="s">
        <x:v>2857</x:v>
      </x:c>
      <x:c r="AM140" s="2">
        <x:v>140</x:v>
      </x:c>
      <x:c r="AN140" s="2">
        <x:v>140</x:v>
      </x:c>
    </x:row>
    <x:row r="141" ht="52">
      <x:c r="A141" s="2" t="s">
        <x:v>91</x:v>
      </x:c>
      <x:c r="B141" s="2" t="s">
        <x:v>13</x:v>
      </x:c>
      <x:c r="C141" s="3">
        <x:v>139</x:v>
      </x:c>
      <x:c r="D141" s="2" t="s">
        <x:v>928</x:v>
      </x:c>
      <x:c r="E141" s="2" t="s">
        <x:v>929</x:v>
      </x:c>
      <x:c r="F141" s="2" t="s">
        <x:v>881</x:v>
      </x:c>
      <x:c r="G141" s="2" t="s">
        <x:v>930</x:v>
      </x:c>
      <x:c r="H141" s="2" t="s">
        <x:v>883</x:v>
      </x:c>
      <x:c r="I141" s="2" t="s">
        <x:v>931</x:v>
      </x:c>
      <x:c r="J141" s="2" t="s">
        <x:v>885</x:v>
      </x:c>
      <x:c r="K141" s="2"/>
      <x:c r="L141" s="2" t="s">
        <x:v>121</x:v>
      </x:c>
      <x:c r="M141" s="2" t="s">
        <x:v>886</x:v>
      </x:c>
      <x:c r="N141" s="2">
        <x:v>6</x:v>
      </x:c>
      <x:c r="O141" s="2" t="s">
        <x:v>887</x:v>
      </x:c>
      <x:c r="P141" s="2" t="s">
        <x:v>888</x:v>
      </x:c>
      <x:c r="Q141" s="2"/>
      <x:c r="R141" s="3">
        <x:v>2</x:v>
      </x:c>
      <x:c r="S141" s="3">
        <x:v>0</x:v>
      </x:c>
      <x:c r="T141" s="2" t="s">
        <x:v>103</x:v>
      </x:c>
      <x:c r="U141" s="2" t="s">
        <x:v>122</x:v>
      </x:c>
      <x:c r="V141" s="2" t="s">
        <x:v>123</x:v>
      </x:c>
      <x:c r="W141" s="2"/>
      <x:c r="X141" s="3"/>
      <x:c r="Y141" s="3"/>
      <x:c r="Z141" s="2"/>
      <x:c r="AA141" s="2"/>
      <x:c r="AB141" s="2"/>
      <x:c r="AC141" s="2"/>
      <x:c r="AD141" s="2"/>
      <x:c r="AE141" s="2"/>
      <x:c r="AF141" s="2"/>
      <x:c r="AG141" s="2"/>
      <x:c r="AH141" s="2"/>
      <x:c r="AI141" s="4"/>
      <x:c r="AJ141" s="2"/>
      <x:c r="AK141" s="2" t="s">
        <x:v>106</x:v>
      </x:c>
      <x:c r="AL141" s="2" t="s">
        <x:v>2857</x:v>
      </x:c>
      <x:c r="AM141" s="2">
        <x:v>141</x:v>
      </x:c>
      <x:c r="AN141" s="2">
        <x:v>141</x:v>
      </x:c>
    </x:row>
    <x:row r="142" ht="52">
      <x:c r="A142" s="2" t="s">
        <x:v>91</x:v>
      </x:c>
      <x:c r="B142" s="2" t="s">
        <x:v>13</x:v>
      </x:c>
      <x:c r="C142" s="3">
        <x:v>140</x:v>
      </x:c>
      <x:c r="D142" s="2" t="s">
        <x:v>605</x:v>
      </x:c>
      <x:c r="E142" s="2" t="s">
        <x:v>932</x:v>
      </x:c>
      <x:c r="F142" s="2" t="s">
        <x:v>911</x:v>
      </x:c>
      <x:c r="G142" s="2" t="s">
        <x:v>940</x:v>
      </x:c>
      <x:c r="H142" s="2" t="s">
        <x:v>883</x:v>
      </x:c>
      <x:c r="I142" s="2" t="s">
        <x:v>934</x:v>
      </x:c>
      <x:c r="J142" s="2" t="s">
        <x:v>885</x:v>
      </x:c>
      <x:c r="K142" s="2"/>
      <x:c r="L142" s="2" t="s">
        <x:v>935</x:v>
      </x:c>
      <x:c r="M142" s="2" t="s">
        <x:v>893</x:v>
      </x:c>
      <x:c r="N142" s="2">
        <x:v>6</x:v>
      </x:c>
      <x:c r="O142" s="2" t="s">
        <x:v>887</x:v>
      </x:c>
      <x:c r="P142" s="2" t="s">
        <x:v>894</x:v>
      </x:c>
      <x:c r="Q142" s="2"/>
      <x:c r="R142" s="3">
        <x:v>3</x:v>
      </x:c>
      <x:c r="S142" s="3">
        <x:v>0</x:v>
      </x:c>
      <x:c r="T142" s="2" t="s">
        <x:v>103</x:v>
      </x:c>
      <x:c r="U142" s="2" t="s">
        <x:v>115</x:v>
      </x:c>
      <x:c r="V142" s="2" t="s">
        <x:v>136</x:v>
      </x:c>
      <x:c r="W142" s="2"/>
      <x:c r="X142" s="3"/>
      <x:c r="Y142" s="3"/>
      <x:c r="Z142" s="2"/>
      <x:c r="AA142" s="2"/>
      <x:c r="AB142" s="2"/>
      <x:c r="AC142" s="2"/>
      <x:c r="AD142" s="2"/>
      <x:c r="AE142" s="2"/>
      <x:c r="AF142" s="2"/>
      <x:c r="AG142" s="2"/>
      <x:c r="AH142" s="2"/>
      <x:c r="AI142" s="4"/>
      <x:c r="AJ142" s="2"/>
      <x:c r="AK142" s="2" t="s">
        <x:v>106</x:v>
      </x:c>
      <x:c r="AL142" s="2" t="s">
        <x:v>2857</x:v>
      </x:c>
      <x:c r="AM142" s="2">
        <x:v>142</x:v>
      </x:c>
      <x:c r="AN142" s="2">
        <x:v>142</x:v>
      </x:c>
    </x:row>
    <x:row r="143" ht="52">
      <x:c r="A143" s="2" t="s">
        <x:v>91</x:v>
      </x:c>
      <x:c r="B143" s="2" t="s">
        <x:v>13</x:v>
      </x:c>
      <x:c r="C143" s="3">
        <x:v>141</x:v>
      </x:c>
      <x:c r="D143" s="2" t="s">
        <x:v>936</x:v>
      </x:c>
      <x:c r="E143" s="2" t="s">
        <x:v>937</x:v>
      </x:c>
      <x:c r="F143" s="2" t="s">
        <x:v>890</x:v>
      </x:c>
      <x:c r="G143" s="2" t="s">
        <x:v>2874</x:v>
      </x:c>
      <x:c r="H143" s="2" t="s">
        <x:v>883</x:v>
      </x:c>
      <x:c r="I143" s="2" t="s">
        <x:v>939</x:v>
      </x:c>
      <x:c r="J143" s="2" t="s">
        <x:v>885</x:v>
      </x:c>
      <x:c r="K143" s="2"/>
      <x:c r="L143" s="2" t="s">
        <x:v>165</x:v>
      </x:c>
      <x:c r="M143" s="2" t="s">
        <x:v>893</x:v>
      </x:c>
      <x:c r="N143" s="2">
        <x:v>6</x:v>
      </x:c>
      <x:c r="O143" s="2" t="s">
        <x:v>887</x:v>
      </x:c>
      <x:c r="P143" s="2" t="s">
        <x:v>894</x:v>
      </x:c>
      <x:c r="Q143" s="2"/>
      <x:c r="R143" s="3">
        <x:v>4</x:v>
      </x:c>
      <x:c r="S143" s="3">
        <x:v>0</x:v>
      </x:c>
      <x:c r="T143" s="2" t="s">
        <x:v>103</x:v>
      </x:c>
      <x:c r="U143" s="2" t="s">
        <x:v>129</x:v>
      </x:c>
      <x:c r="V143" s="2" t="s">
        <x:v>154</x:v>
      </x:c>
      <x:c r="W143" s="2"/>
      <x:c r="X143" s="3"/>
      <x:c r="Y143" s="3"/>
      <x:c r="Z143" s="2"/>
      <x:c r="AA143" s="2"/>
      <x:c r="AB143" s="2"/>
      <x:c r="AC143" s="2"/>
      <x:c r="AD143" s="2"/>
      <x:c r="AE143" s="2"/>
      <x:c r="AF143" s="2"/>
      <x:c r="AG143" s="2"/>
      <x:c r="AH143" s="2"/>
      <x:c r="AI143" s="4"/>
      <x:c r="AJ143" s="2"/>
      <x:c r="AK143" s="2" t="s">
        <x:v>106</x:v>
      </x:c>
      <x:c r="AL143" s="2" t="s">
        <x:v>2857</x:v>
      </x:c>
      <x:c r="AM143" s="2">
        <x:v>143</x:v>
      </x:c>
      <x:c r="AN143" s="2">
        <x:v>143</x:v>
      </x:c>
    </x:row>
    <x:row r="144" ht="52">
      <x:c r="A144" s="2" t="s">
        <x:v>91</x:v>
      </x:c>
      <x:c r="B144" s="2" t="s">
        <x:v>13</x:v>
      </x:c>
      <x:c r="C144" s="3">
        <x:v>142</x:v>
      </x:c>
      <x:c r="D144" s="2" t="s">
        <x:v>580</x:v>
      </x:c>
      <x:c r="E144" s="2" t="s">
        <x:v>880</x:v>
      </x:c>
      <x:c r="F144" s="2" t="s">
        <x:v>881</x:v>
      </x:c>
      <x:c r="G144" s="2" t="s">
        <x:v>940</x:v>
      </x:c>
      <x:c r="H144" s="2" t="s">
        <x:v>883</x:v>
      </x:c>
      <x:c r="I144" s="2" t="s">
        <x:v>941</x:v>
      </x:c>
      <x:c r="J144" s="2" t="s">
        <x:v>885</x:v>
      </x:c>
      <x:c r="K144" s="2"/>
      <x:c r="L144" s="2" t="s">
        <x:v>942</x:v>
      </x:c>
      <x:c r="M144" s="2" t="s">
        <x:v>886</x:v>
      </x:c>
      <x:c r="N144" s="2">
        <x:v>6</x:v>
      </x:c>
      <x:c r="O144" s="2" t="s">
        <x:v>887</x:v>
      </x:c>
      <x:c r="P144" s="2" t="s">
        <x:v>888</x:v>
      </x:c>
      <x:c r="Q144" s="2"/>
      <x:c r="R144" s="3">
        <x:v>2</x:v>
      </x:c>
      <x:c r="S144" s="3">
        <x:v>0</x:v>
      </x:c>
      <x:c r="T144" s="2" t="s">
        <x:v>103</x:v>
      </x:c>
      <x:c r="U144" s="2" t="s">
        <x:v>122</x:v>
      </x:c>
      <x:c r="V144" s="2" t="s">
        <x:v>105</x:v>
      </x:c>
      <x:c r="W144" s="2"/>
      <x:c r="X144" s="3"/>
      <x:c r="Y144" s="3"/>
      <x:c r="Z144" s="2"/>
      <x:c r="AA144" s="2"/>
      <x:c r="AB144" s="2"/>
      <x:c r="AC144" s="2"/>
      <x:c r="AD144" s="2"/>
      <x:c r="AE144" s="2"/>
      <x:c r="AF144" s="2"/>
      <x:c r="AG144" s="2"/>
      <x:c r="AH144" s="2"/>
      <x:c r="AI144" s="4"/>
      <x:c r="AJ144" s="2"/>
      <x:c r="AK144" s="2" t="s">
        <x:v>106</x:v>
      </x:c>
      <x:c r="AL144" s="2" t="s">
        <x:v>2857</x:v>
      </x:c>
      <x:c r="AM144" s="2">
        <x:v>144</x:v>
      </x:c>
      <x:c r="AN144" s="2">
        <x:v>144</x:v>
      </x:c>
    </x:row>
    <x:row r="145" ht="52">
      <x:c r="A145" s="2" t="s">
        <x:v>91</x:v>
      </x:c>
      <x:c r="B145" s="2" t="s">
        <x:v>13</x:v>
      </x:c>
      <x:c r="C145" s="3">
        <x:v>143</x:v>
      </x:c>
      <x:c r="D145" s="2" t="s">
        <x:v>587</x:v>
      </x:c>
      <x:c r="E145" s="2" t="s">
        <x:v>943</x:v>
      </x:c>
      <x:c r="F145" s="2" t="s">
        <x:v>890</x:v>
      </x:c>
      <x:c r="G145" s="2" t="s">
        <x:v>940</x:v>
      </x:c>
      <x:c r="H145" s="2" t="s">
        <x:v>883</x:v>
      </x:c>
      <x:c r="I145" s="2" t="s">
        <x:v>944</x:v>
      </x:c>
      <x:c r="J145" s="2" t="s">
        <x:v>885</x:v>
      </x:c>
      <x:c r="K145" s="2"/>
      <x:c r="L145" s="2" t="s">
        <x:v>945</x:v>
      </x:c>
      <x:c r="M145" s="2" t="s">
        <x:v>893</x:v>
      </x:c>
      <x:c r="N145" s="2">
        <x:v>6</x:v>
      </x:c>
      <x:c r="O145" s="2" t="s">
        <x:v>887</x:v>
      </x:c>
      <x:c r="P145" s="2" t="s">
        <x:v>914</x:v>
      </x:c>
      <x:c r="Q145" s="2"/>
      <x:c r="R145" s="3">
        <x:v>3</x:v>
      </x:c>
      <x:c r="S145" s="3">
        <x:v>0</x:v>
      </x:c>
      <x:c r="T145" s="2" t="s">
        <x:v>103</x:v>
      </x:c>
      <x:c r="U145" s="2" t="s">
        <x:v>129</x:v>
      </x:c>
      <x:c r="V145" s="2" t="s">
        <x:v>123</x:v>
      </x:c>
      <x:c r="W145" s="2"/>
      <x:c r="X145" s="3"/>
      <x:c r="Y145" s="3"/>
      <x:c r="Z145" s="2"/>
      <x:c r="AA145" s="2"/>
      <x:c r="AB145" s="2"/>
      <x:c r="AC145" s="2"/>
      <x:c r="AD145" s="2"/>
      <x:c r="AE145" s="2"/>
      <x:c r="AF145" s="2"/>
      <x:c r="AG145" s="2"/>
      <x:c r="AH145" s="2"/>
      <x:c r="AI145" s="4"/>
      <x:c r="AJ145" s="2"/>
      <x:c r="AK145" s="2" t="s">
        <x:v>106</x:v>
      </x:c>
      <x:c r="AL145" s="2" t="s">
        <x:v>2857</x:v>
      </x:c>
      <x:c r="AM145" s="2">
        <x:v>145</x:v>
      </x:c>
      <x:c r="AN145" s="2">
        <x:v>145</x:v>
      </x:c>
    </x:row>
    <x:row r="146" ht="52">
      <x:c r="A146" s="2" t="s">
        <x:v>91</x:v>
      </x:c>
      <x:c r="B146" s="2" t="s">
        <x:v>13</x:v>
      </x:c>
      <x:c r="C146" s="3">
        <x:v>144</x:v>
      </x:c>
      <x:c r="D146" s="2" t="s">
        <x:v>915</x:v>
      </x:c>
      <x:c r="E146" s="2" t="s">
        <x:v>946</x:v>
      </x:c>
      <x:c r="F146" s="2" t="s">
        <x:v>890</x:v>
      </x:c>
      <x:c r="G146" s="2" t="s">
        <x:v>940</x:v>
      </x:c>
      <x:c r="H146" s="2" t="s">
        <x:v>883</x:v>
      </x:c>
      <x:c r="I146" s="2" t="s">
        <x:v>948</x:v>
      </x:c>
      <x:c r="J146" s="2" t="s">
        <x:v>885</x:v>
      </x:c>
      <x:c r="K146" s="2"/>
      <x:c r="L146" s="2" t="s">
        <x:v>949</x:v>
      </x:c>
      <x:c r="M146" s="2" t="s">
        <x:v>893</x:v>
      </x:c>
      <x:c r="N146" s="2">
        <x:v>6</x:v>
      </x:c>
      <x:c r="O146" s="2" t="s">
        <x:v>887</x:v>
      </x:c>
      <x:c r="P146" s="2" t="s">
        <x:v>914</x:v>
      </x:c>
      <x:c r="Q146" s="2"/>
      <x:c r="R146" s="3">
        <x:v>4</x:v>
      </x:c>
      <x:c r="S146" s="3">
        <x:v>0</x:v>
      </x:c>
      <x:c r="T146" s="2" t="s">
        <x:v>103</x:v>
      </x:c>
      <x:c r="U146" s="2" t="s">
        <x:v>129</x:v>
      </x:c>
      <x:c r="V146" s="2" t="s">
        <x:v>136</x:v>
      </x:c>
      <x:c r="W146" s="2"/>
      <x:c r="X146" s="3"/>
      <x:c r="Y146" s="3"/>
      <x:c r="Z146" s="2"/>
      <x:c r="AA146" s="2"/>
      <x:c r="AB146" s="2"/>
      <x:c r="AC146" s="2"/>
      <x:c r="AD146" s="2"/>
      <x:c r="AE146" s="2"/>
      <x:c r="AF146" s="2"/>
      <x:c r="AG146" s="2"/>
      <x:c r="AH146" s="2"/>
      <x:c r="AI146" s="4"/>
      <x:c r="AJ146" s="2"/>
      <x:c r="AK146" s="2" t="s">
        <x:v>106</x:v>
      </x:c>
      <x:c r="AL146" s="2" t="s">
        <x:v>2857</x:v>
      </x:c>
      <x:c r="AM146" s="2">
        <x:v>146</x:v>
      </x:c>
      <x:c r="AN146" s="2">
        <x:v>146</x:v>
      </x:c>
    </x:row>
    <x:row r="147" ht="52">
      <x:c r="A147" s="2" t="s">
        <x:v>91</x:v>
      </x:c>
      <x:c r="B147" s="2" t="s">
        <x:v>13</x:v>
      </x:c>
      <x:c r="C147" s="3">
        <x:v>145</x:v>
      </x:c>
      <x:c r="D147" s="2" t="s">
        <x:v>148</x:v>
      </x:c>
      <x:c r="E147" s="2" t="s">
        <x:v>901</x:v>
      </x:c>
      <x:c r="F147" s="2" t="s">
        <x:v>881</x:v>
      </x:c>
      <x:c r="G147" s="2" t="s">
        <x:v>2875</x:v>
      </x:c>
      <x:c r="H147" s="2" t="s">
        <x:v>883</x:v>
      </x:c>
      <x:c r="I147" s="2" t="s">
        <x:v>951</x:v>
      </x:c>
      <x:c r="J147" s="2" t="s">
        <x:v>885</x:v>
      </x:c>
      <x:c r="K147" s="2"/>
      <x:c r="L147" s="2" t="s">
        <x:v>952</x:v>
      </x:c>
      <x:c r="M147" s="2" t="s">
        <x:v>886</x:v>
      </x:c>
      <x:c r="N147" s="2">
        <x:v>6</x:v>
      </x:c>
      <x:c r="O147" s="2" t="s">
        <x:v>887</x:v>
      </x:c>
      <x:c r="P147" s="2" t="s">
        <x:v>888</x:v>
      </x:c>
      <x:c r="Q147" s="2"/>
      <x:c r="R147" s="3">
        <x:v>2</x:v>
      </x:c>
      <x:c r="S147" s="3">
        <x:v>0</x:v>
      </x:c>
      <x:c r="T147" s="2" t="s">
        <x:v>103</x:v>
      </x:c>
      <x:c r="U147" s="2" t="s">
        <x:v>122</x:v>
      </x:c>
      <x:c r="V147" s="2" t="s">
        <x:v>154</x:v>
      </x:c>
      <x:c r="W147" s="2"/>
      <x:c r="X147" s="3"/>
      <x:c r="Y147" s="3"/>
      <x:c r="Z147" s="2"/>
      <x:c r="AA147" s="2"/>
      <x:c r="AB147" s="2"/>
      <x:c r="AC147" s="2"/>
      <x:c r="AD147" s="2"/>
      <x:c r="AE147" s="2"/>
      <x:c r="AF147" s="2"/>
      <x:c r="AG147" s="2"/>
      <x:c r="AH147" s="2"/>
      <x:c r="AI147" s="4"/>
      <x:c r="AJ147" s="2"/>
      <x:c r="AK147" s="2" t="s">
        <x:v>106</x:v>
      </x:c>
      <x:c r="AL147" s="2" t="s">
        <x:v>2857</x:v>
      </x:c>
      <x:c r="AM147" s="2">
        <x:v>147</x:v>
      </x:c>
      <x:c r="AN147" s="2">
        <x:v>147</x:v>
      </x:c>
    </x:row>
    <x:row r="148" ht="52">
      <x:c r="A148" s="2" t="s">
        <x:v>91</x:v>
      </x:c>
      <x:c r="B148" s="2" t="s">
        <x:v>13</x:v>
      </x:c>
      <x:c r="C148" s="3">
        <x:v>146</x:v>
      </x:c>
      <x:c r="D148" s="2" t="s">
        <x:v>904</x:v>
      </x:c>
      <x:c r="E148" s="2" t="s">
        <x:v>953</x:v>
      </x:c>
      <x:c r="F148" s="2" t="s">
        <x:v>897</x:v>
      </x:c>
      <x:c r="G148" s="2" t="s">
        <x:v>940</x:v>
      </x:c>
      <x:c r="H148" s="2" t="s">
        <x:v>883</x:v>
      </x:c>
      <x:c r="I148" s="2" t="s">
        <x:v>955</x:v>
      </x:c>
      <x:c r="J148" s="2" t="s">
        <x:v>885</x:v>
      </x:c>
      <x:c r="K148" s="2"/>
      <x:c r="L148" s="2" t="s">
        <x:v>99</x:v>
      </x:c>
      <x:c r="M148" s="2" t="s">
        <x:v>886</x:v>
      </x:c>
      <x:c r="N148" s="2">
        <x:v>6</x:v>
      </x:c>
      <x:c r="O148" s="2" t="s">
        <x:v>887</x:v>
      </x:c>
      <x:c r="P148" s="2" t="s">
        <x:v>888</x:v>
      </x:c>
      <x:c r="Q148" s="2"/>
      <x:c r="R148" s="3">
        <x:v>3</x:v>
      </x:c>
      <x:c r="S148" s="3">
        <x:v>0</x:v>
      </x:c>
      <x:c r="T148" s="2" t="s">
        <x:v>103</x:v>
      </x:c>
      <x:c r="U148" s="2" t="s">
        <x:v>104</x:v>
      </x:c>
      <x:c r="V148" s="2" t="s">
        <x:v>105</x:v>
      </x:c>
      <x:c r="W148" s="2"/>
      <x:c r="X148" s="3"/>
      <x:c r="Y148" s="3"/>
      <x:c r="Z148" s="2"/>
      <x:c r="AA148" s="2"/>
      <x:c r="AB148" s="2"/>
      <x:c r="AC148" s="2"/>
      <x:c r="AD148" s="2"/>
      <x:c r="AE148" s="2"/>
      <x:c r="AF148" s="2"/>
      <x:c r="AG148" s="2"/>
      <x:c r="AH148" s="2"/>
      <x:c r="AI148" s="4"/>
      <x:c r="AJ148" s="2"/>
      <x:c r="AK148" s="2" t="s">
        <x:v>106</x:v>
      </x:c>
      <x:c r="AL148" s="2" t="s">
        <x:v>2857</x:v>
      </x:c>
      <x:c r="AM148" s="2">
        <x:v>148</x:v>
      </x:c>
      <x:c r="AN148" s="2">
        <x:v>148</x:v>
      </x:c>
    </x:row>
    <x:row r="149" ht="52">
      <x:c r="A149" s="2" t="s">
        <x:v>91</x:v>
      </x:c>
      <x:c r="B149" s="2" t="s">
        <x:v>13</x:v>
      </x:c>
      <x:c r="C149" s="3">
        <x:v>147</x:v>
      </x:c>
      <x:c r="D149" s="2" t="s">
        <x:v>909</x:v>
      </x:c>
      <x:c r="E149" s="2" t="s">
        <x:v>956</x:v>
      </x:c>
      <x:c r="F149" s="2" t="s">
        <x:v>911</x:v>
      </x:c>
      <x:c r="G149" s="2" t="s">
        <x:v>2875</x:v>
      </x:c>
      <x:c r="H149" s="2" t="s">
        <x:v>883</x:v>
      </x:c>
      <x:c r="I149" s="2" t="s">
        <x:v>958</x:v>
      </x:c>
      <x:c r="J149" s="2" t="s">
        <x:v>885</x:v>
      </x:c>
      <x:c r="K149" s="2"/>
      <x:c r="L149" s="2" t="s">
        <x:v>959</x:v>
      </x:c>
      <x:c r="M149" s="2" t="s">
        <x:v>893</x:v>
      </x:c>
      <x:c r="N149" s="2">
        <x:v>6</x:v>
      </x:c>
      <x:c r="O149" s="2" t="s">
        <x:v>887</x:v>
      </x:c>
      <x:c r="P149" s="2" t="s">
        <x:v>894</x:v>
      </x:c>
      <x:c r="Q149" s="2"/>
      <x:c r="R149" s="3">
        <x:v>4</x:v>
      </x:c>
      <x:c r="S149" s="3">
        <x:v>0</x:v>
      </x:c>
      <x:c r="T149" s="2" t="s">
        <x:v>103</x:v>
      </x:c>
      <x:c r="U149" s="2" t="s">
        <x:v>115</x:v>
      </x:c>
      <x:c r="V149" s="2" t="s">
        <x:v>123</x:v>
      </x:c>
      <x:c r="W149" s="2"/>
      <x:c r="X149" s="3"/>
      <x:c r="Y149" s="3"/>
      <x:c r="Z149" s="2"/>
      <x:c r="AA149" s="2"/>
      <x:c r="AB149" s="2"/>
      <x:c r="AC149" s="2"/>
      <x:c r="AD149" s="2"/>
      <x:c r="AE149" s="2"/>
      <x:c r="AF149" s="2"/>
      <x:c r="AG149" s="2"/>
      <x:c r="AH149" s="2"/>
      <x:c r="AI149" s="4"/>
      <x:c r="AJ149" s="2"/>
      <x:c r="AK149" s="2" t="s">
        <x:v>106</x:v>
      </x:c>
      <x:c r="AL149" s="2" t="s">
        <x:v>2857</x:v>
      </x:c>
      <x:c r="AM149" s="2">
        <x:v>149</x:v>
      </x:c>
      <x:c r="AN149" s="2">
        <x:v>149</x:v>
      </x:c>
    </x:row>
    <x:row r="150" ht="52">
      <x:c r="A150" s="2" t="s">
        <x:v>91</x:v>
      </x:c>
      <x:c r="B150" s="2" t="s">
        <x:v>13</x:v>
      </x:c>
      <x:c r="C150" s="3">
        <x:v>148</x:v>
      </x:c>
      <x:c r="D150" s="2" t="s">
        <x:v>605</x:v>
      </x:c>
      <x:c r="E150" s="2" t="s">
        <x:v>960</x:v>
      </x:c>
      <x:c r="F150" s="2" t="s">
        <x:v>911</x:v>
      </x:c>
      <x:c r="G150" s="2" t="s">
        <x:v>940</x:v>
      </x:c>
      <x:c r="H150" s="2" t="s">
        <x:v>883</x:v>
      </x:c>
      <x:c r="I150" s="2" t="s">
        <x:v>962</x:v>
      </x:c>
      <x:c r="J150" s="2" t="s">
        <x:v>885</x:v>
      </x:c>
      <x:c r="K150" s="2"/>
      <x:c r="L150" s="2" t="s">
        <x:v>963</x:v>
      </x:c>
      <x:c r="M150" s="2" t="s">
        <x:v>893</x:v>
      </x:c>
      <x:c r="N150" s="2">
        <x:v>6</x:v>
      </x:c>
      <x:c r="O150" s="2" t="s">
        <x:v>887</x:v>
      </x:c>
      <x:c r="P150" s="2" t="s">
        <x:v>894</x:v>
      </x:c>
      <x:c r="Q150" s="2"/>
      <x:c r="R150" s="3">
        <x:v>2</x:v>
      </x:c>
      <x:c r="S150" s="3">
        <x:v>0</x:v>
      </x:c>
      <x:c r="T150" s="2" t="s">
        <x:v>103</x:v>
      </x:c>
      <x:c r="U150" s="2" t="s">
        <x:v>115</x:v>
      </x:c>
      <x:c r="V150" s="2" t="s">
        <x:v>136</x:v>
      </x:c>
      <x:c r="W150" s="2"/>
      <x:c r="X150" s="3"/>
      <x:c r="Y150" s="3"/>
      <x:c r="Z150" s="2"/>
      <x:c r="AA150" s="2"/>
      <x:c r="AB150" s="2"/>
      <x:c r="AC150" s="2"/>
      <x:c r="AD150" s="2"/>
      <x:c r="AE150" s="2"/>
      <x:c r="AF150" s="2"/>
      <x:c r="AG150" s="2"/>
      <x:c r="AH150" s="2"/>
      <x:c r="AI150" s="4"/>
      <x:c r="AJ150" s="2"/>
      <x:c r="AK150" s="2" t="s">
        <x:v>106</x:v>
      </x:c>
      <x:c r="AL150" s="2" t="s">
        <x:v>2857</x:v>
      </x:c>
      <x:c r="AM150" s="2">
        <x:v>150</x:v>
      </x:c>
      <x:c r="AN150" s="2">
        <x:v>150</x:v>
      </x:c>
    </x:row>
    <x:row r="151" ht="52">
      <x:c r="A151" s="2" t="s">
        <x:v>91</x:v>
      </x:c>
      <x:c r="B151" s="2" t="s">
        <x:v>13</x:v>
      </x:c>
      <x:c r="C151" s="3">
        <x:v>149</x:v>
      </x:c>
      <x:c r="D151" s="2" t="s">
        <x:v>919</x:v>
      </x:c>
      <x:c r="E151" s="2" t="s">
        <x:v>964</x:v>
      </x:c>
      <x:c r="F151" s="2" t="s">
        <x:v>897</x:v>
      </x:c>
      <x:c r="G151" s="2" t="s">
        <x:v>2875</x:v>
      </x:c>
      <x:c r="H151" s="2" t="s">
        <x:v>883</x:v>
      </x:c>
      <x:c r="I151" s="2" t="s">
        <x:v>966</x:v>
      </x:c>
      <x:c r="J151" s="2" t="s">
        <x:v>885</x:v>
      </x:c>
      <x:c r="K151" s="2"/>
      <x:c r="L151" s="2" t="s">
        <x:v>967</x:v>
      </x:c>
      <x:c r="M151" s="2" t="s">
        <x:v>886</x:v>
      </x:c>
      <x:c r="N151" s="2">
        <x:v>6</x:v>
      </x:c>
      <x:c r="O151" s="2" t="s">
        <x:v>887</x:v>
      </x:c>
      <x:c r="P151" s="2" t="s">
        <x:v>888</x:v>
      </x:c>
      <x:c r="Q151" s="2"/>
      <x:c r="R151" s="3">
        <x:v>3</x:v>
      </x:c>
      <x:c r="S151" s="3">
        <x:v>0</x:v>
      </x:c>
      <x:c r="T151" s="2" t="s">
        <x:v>103</x:v>
      </x:c>
      <x:c r="U151" s="2" t="s">
        <x:v>104</x:v>
      </x:c>
      <x:c r="V151" s="2" t="s">
        <x:v>154</x:v>
      </x:c>
      <x:c r="W151" s="2"/>
      <x:c r="X151" s="3"/>
      <x:c r="Y151" s="3"/>
      <x:c r="Z151" s="2"/>
      <x:c r="AA151" s="2"/>
      <x:c r="AB151" s="2"/>
      <x:c r="AC151" s="2"/>
      <x:c r="AD151" s="2"/>
      <x:c r="AE151" s="2"/>
      <x:c r="AF151" s="2"/>
      <x:c r="AG151" s="2"/>
      <x:c r="AH151" s="2"/>
      <x:c r="AI151" s="4"/>
      <x:c r="AJ151" s="2"/>
      <x:c r="AK151" s="2" t="s">
        <x:v>106</x:v>
      </x:c>
      <x:c r="AL151" s="2" t="s">
        <x:v>2857</x:v>
      </x:c>
      <x:c r="AM151" s="2">
        <x:v>151</x:v>
      </x:c>
      <x:c r="AN151" s="2">
        <x:v>151</x:v>
      </x:c>
    </x:row>
    <x:row r="152" ht="26">
      <x:c r="A152" s="2" t="s">
        <x:v>6</x:v>
      </x:c>
      <x:c r="B152" s="2" t="s">
        <x:v>14</x:v>
      </x:c>
      <x:c r="C152" s="3">
        <x:v>0</x:v>
      </x:c>
      <x:c r="D152" s="2" t="s">
        <x:v>166</x:v>
      </x:c>
      <x:c r="E152" s="2" t="s">
        <x:v>167</x:v>
      </x:c>
      <x:c r="F152" s="2" t="s">
        <x:v>168</x:v>
      </x:c>
      <x:c r="G152" s="2" t="s">
        <x:v>2876</x:v>
      </x:c>
      <x:c r="H152" s="2" t="s">
        <x:v>96</x:v>
      </x:c>
      <x:c r="I152" s="2" t="s">
        <x:v>169</x:v>
      </x:c>
      <x:c r="J152" s="2" t="s">
        <x:v>170</x:v>
      </x:c>
      <x:c r="K152" s="2"/>
      <x:c r="L152" s="2" t="s">
        <x:v>171</x:v>
      </x:c>
      <x:c r="M152" s="2" t="s">
        <x:v>172</x:v>
      </x:c>
      <x:c r="N152" s="2">
        <x:v>1</x:v>
      </x:c>
      <x:c r="O152" s="2" t="s">
        <x:v>173</x:v>
      </x:c>
      <x:c r="P152" s="2" t="s">
        <x:v>174</x:v>
      </x:c>
      <x:c r="Q152" s="2"/>
      <x:c r="R152" s="3"/>
      <x:c r="S152" s="3"/>
      <x:c r="T152" s="2"/>
      <x:c r="U152" s="2"/>
      <x:c r="V152" s="2"/>
      <x:c r="W152" s="2" t="s">
        <x:v>169</x:v>
      </x:c>
      <x:c r="X152" s="3">
        <x:v>0</x:v>
      </x:c>
      <x:c r="Y152" s="3">
        <x:v>1</x:v>
      </x:c>
      <x:c r="Z152" s="2" t="s">
        <x:v>175</x:v>
      </x:c>
      <x:c r="AA152" s="2"/>
      <x:c r="AB152" s="2"/>
      <x:c r="AC152" s="2"/>
      <x:c r="AD152" s="2"/>
      <x:c r="AE152" s="2"/>
      <x:c r="AF152" s="2"/>
      <x:c r="AG152" s="2"/>
      <x:c r="AH152" s="2"/>
      <x:c r="AI152" s="4"/>
      <x:c r="AJ152" s="2"/>
      <x:c r="AK152" s="2" t="s">
        <x:v>176</x:v>
      </x:c>
      <x:c r="AL152" s="2" t="s">
        <x:v>2857</x:v>
      </x:c>
      <x:c r="AM152" s="2">
        <x:v>2</x:v>
      </x:c>
      <x:c r="AN152" s="2">
        <x:v>2</x:v>
      </x:c>
    </x:row>
    <x:row r="153" ht="26">
      <x:c r="A153" s="2" t="s">
        <x:v>91</x:v>
      </x:c>
      <x:c r="B153" s="2" t="s">
        <x:v>14</x:v>
      </x:c>
      <x:c r="C153" s="3">
        <x:v>1</x:v>
      </x:c>
      <x:c r="D153" s="2" t="s">
        <x:v>177</x:v>
      </x:c>
      <x:c r="E153" s="2" t="s">
        <x:v>178</x:v>
      </x:c>
      <x:c r="F153" s="2" t="s">
        <x:v>179</x:v>
      </x:c>
      <x:c r="G153" s="2" t="s">
        <x:v>2877</x:v>
      </x:c>
      <x:c r="H153" s="2" t="s">
        <x:v>96</x:v>
      </x:c>
      <x:c r="I153" s="2" t="s">
        <x:v>169</x:v>
      </x:c>
      <x:c r="J153" s="2" t="s">
        <x:v>181</x:v>
      </x:c>
      <x:c r="K153" s="2"/>
      <x:c r="L153" s="2" t="s">
        <x:v>182</x:v>
      </x:c>
      <x:c r="M153" s="2" t="s">
        <x:v>172</x:v>
      </x:c>
      <x:c r="N153" s="2">
        <x:v>1</x:v>
      </x:c>
      <x:c r="O153" s="2" t="s">
        <x:v>183</x:v>
      </x:c>
      <x:c r="P153" s="2" t="s">
        <x:v>174</x:v>
      </x:c>
      <x:c r="Q153" s="2"/>
      <x:c r="R153" s="3"/>
      <x:c r="S153" s="3"/>
      <x:c r="T153" s="2"/>
      <x:c r="U153" s="2"/>
      <x:c r="V153" s="2"/>
      <x:c r="W153" s="2" t="s">
        <x:v>169</x:v>
      </x:c>
      <x:c r="X153" s="3">
        <x:v>1</x:v>
      </x:c>
      <x:c r="Y153" s="3">
        <x:v>2</x:v>
      </x:c>
      <x:c r="Z153" s="2" t="s">
        <x:v>175</x:v>
      </x:c>
      <x:c r="AA153" s="2"/>
      <x:c r="AB153" s="2"/>
      <x:c r="AC153" s="2"/>
      <x:c r="AD153" s="2"/>
      <x:c r="AE153" s="2"/>
      <x:c r="AF153" s="2"/>
      <x:c r="AG153" s="2"/>
      <x:c r="AH153" s="2"/>
      <x:c r="AI153" s="4"/>
      <x:c r="AJ153" s="2"/>
      <x:c r="AK153" s="2" t="s">
        <x:v>176</x:v>
      </x:c>
      <x:c r="AL153" s="2" t="s">
        <x:v>2857</x:v>
      </x:c>
      <x:c r="AM153" s="2">
        <x:v>3</x:v>
      </x:c>
      <x:c r="AN153" s="2">
        <x:v>3</x:v>
      </x:c>
    </x:row>
    <x:row r="154" ht="26">
      <x:c r="A154" s="2" t="s">
        <x:v>6</x:v>
      </x:c>
      <x:c r="B154" s="2" t="s">
        <x:v>14</x:v>
      </x:c>
      <x:c r="C154" s="3">
        <x:v>2</x:v>
      </x:c>
      <x:c r="D154" s="2" t="s">
        <x:v>184</x:v>
      </x:c>
      <x:c r="E154" s="2" t="s">
        <x:v>185</x:v>
      </x:c>
      <x:c r="F154" s="2" t="s">
        <x:v>186</x:v>
      </x:c>
      <x:c r="G154" s="2" t="s">
        <x:v>2878</x:v>
      </x:c>
      <x:c r="H154" s="2" t="s">
        <x:v>96</x:v>
      </x:c>
      <x:c r="I154" s="2" t="s">
        <x:v>169</x:v>
      </x:c>
      <x:c r="J154" s="2" t="s">
        <x:v>188</x:v>
      </x:c>
      <x:c r="K154" s="2"/>
      <x:c r="L154" s="2" t="s">
        <x:v>189</x:v>
      </x:c>
      <x:c r="M154" s="2" t="s">
        <x:v>172</x:v>
      </x:c>
      <x:c r="N154" s="2">
        <x:v>1</x:v>
      </x:c>
      <x:c r="O154" s="2" t="s">
        <x:v>190</x:v>
      </x:c>
      <x:c r="P154" s="2" t="s">
        <x:v>174</x:v>
      </x:c>
      <x:c r="Q154" s="2"/>
      <x:c r="R154" s="3"/>
      <x:c r="S154" s="3"/>
      <x:c r="T154" s="2"/>
      <x:c r="U154" s="2"/>
      <x:c r="V154" s="2"/>
      <x:c r="W154" s="2" t="s">
        <x:v>169</x:v>
      </x:c>
      <x:c r="X154" s="3">
        <x:v>4</x:v>
      </x:c>
      <x:c r="Y154" s="3">
        <x:v>3</x:v>
      </x:c>
      <x:c r="Z154" s="2" t="s">
        <x:v>191</x:v>
      </x:c>
      <x:c r="AA154" s="2"/>
      <x:c r="AB154" s="2"/>
      <x:c r="AC154" s="2"/>
      <x:c r="AD154" s="2"/>
      <x:c r="AE154" s="2"/>
      <x:c r="AF154" s="2"/>
      <x:c r="AG154" s="2"/>
      <x:c r="AH154" s="2"/>
      <x:c r="AI154" s="4"/>
      <x:c r="AJ154" s="2"/>
      <x:c r="AK154" s="2" t="s">
        <x:v>176</x:v>
      </x:c>
      <x:c r="AL154" s="2" t="s">
        <x:v>2857</x:v>
      </x:c>
      <x:c r="AM154" s="2">
        <x:v>4</x:v>
      </x:c>
      <x:c r="AN154" s="2">
        <x:v>4</x:v>
      </x:c>
    </x:row>
    <x:row r="155" ht="26">
      <x:c r="A155" s="2" t="s">
        <x:v>91</x:v>
      </x:c>
      <x:c r="B155" s="2" t="s">
        <x:v>14</x:v>
      </x:c>
      <x:c r="C155" s="3">
        <x:v>3</x:v>
      </x:c>
      <x:c r="D155" s="2" t="s">
        <x:v>192</x:v>
      </x:c>
      <x:c r="E155" s="2" t="s">
        <x:v>193</x:v>
      </x:c>
      <x:c r="F155" s="2" t="s">
        <x:v>194</x:v>
      </x:c>
      <x:c r="G155" s="2" t="s">
        <x:v>2879</x:v>
      </x:c>
      <x:c r="H155" s="2" t="s">
        <x:v>96</x:v>
      </x:c>
      <x:c r="I155" s="2" t="s">
        <x:v>169</x:v>
      </x:c>
      <x:c r="J155" s="2" t="s">
        <x:v>195</x:v>
      </x:c>
      <x:c r="K155" s="2"/>
      <x:c r="L155" s="2" t="s">
        <x:v>196</x:v>
      </x:c>
      <x:c r="M155" s="2" t="s">
        <x:v>172</x:v>
      </x:c>
      <x:c r="N155" s="2">
        <x:v>1</x:v>
      </x:c>
      <x:c r="O155" s="2" t="s">
        <x:v>197</x:v>
      </x:c>
      <x:c r="P155" s="2" t="s">
        <x:v>174</x:v>
      </x:c>
      <x:c r="Q155" s="2"/>
      <x:c r="R155" s="3"/>
      <x:c r="S155" s="3"/>
      <x:c r="T155" s="2"/>
      <x:c r="U155" s="2"/>
      <x:c r="V155" s="2"/>
      <x:c r="W155" s="2" t="s">
        <x:v>169</x:v>
      </x:c>
      <x:c r="X155" s="3">
        <x:v>1</x:v>
      </x:c>
      <x:c r="Y155" s="3">
        <x:v>0</x:v>
      </x:c>
      <x:c r="Z155" s="2" t="s">
        <x:v>191</x:v>
      </x:c>
      <x:c r="AA155" s="2"/>
      <x:c r="AB155" s="2"/>
      <x:c r="AC155" s="2"/>
      <x:c r="AD155" s="2"/>
      <x:c r="AE155" s="2"/>
      <x:c r="AF155" s="2"/>
      <x:c r="AG155" s="2"/>
      <x:c r="AH155" s="2"/>
      <x:c r="AI155" s="4"/>
      <x:c r="AJ155" s="2"/>
      <x:c r="AK155" s="2" t="s">
        <x:v>176</x:v>
      </x:c>
      <x:c r="AL155" s="2" t="s">
        <x:v>2857</x:v>
      </x:c>
      <x:c r="AM155" s="2">
        <x:v>5</x:v>
      </x:c>
      <x:c r="AN155" s="2">
        <x:v>5</x:v>
      </x:c>
    </x:row>
    <x:row r="156" ht="26">
      <x:c r="A156" s="2" t="s">
        <x:v>6</x:v>
      </x:c>
      <x:c r="B156" s="2" t="s">
        <x:v>14</x:v>
      </x:c>
      <x:c r="C156" s="3">
        <x:v>4</x:v>
      </x:c>
      <x:c r="D156" s="2" t="s">
        <x:v>166</x:v>
      </x:c>
      <x:c r="E156" s="2" t="s">
        <x:v>198</x:v>
      </x:c>
      <x:c r="F156" s="2" t="s">
        <x:v>168</x:v>
      </x:c>
      <x:c r="G156" s="2" t="s">
        <x:v>2878</x:v>
      </x:c>
      <x:c r="H156" s="2" t="s">
        <x:v>96</x:v>
      </x:c>
      <x:c r="I156" s="2" t="s">
        <x:v>200</x:v>
      </x:c>
      <x:c r="J156" s="2" t="s">
        <x:v>170</x:v>
      </x:c>
      <x:c r="K156" s="2"/>
      <x:c r="L156" s="2" t="s">
        <x:v>201</x:v>
      </x:c>
      <x:c r="M156" s="2" t="s">
        <x:v>172</x:v>
      </x:c>
      <x:c r="N156" s="2">
        <x:v>1</x:v>
      </x:c>
      <x:c r="O156" s="2" t="s">
        <x:v>202</x:v>
      </x:c>
      <x:c r="P156" s="2" t="s">
        <x:v>174</x:v>
      </x:c>
      <x:c r="Q156" s="2"/>
      <x:c r="R156" s="3"/>
      <x:c r="S156" s="3"/>
      <x:c r="T156" s="2"/>
      <x:c r="U156" s="2"/>
      <x:c r="V156" s="2"/>
      <x:c r="W156" s="2" t="s">
        <x:v>200</x:v>
      </x:c>
      <x:c r="X156" s="3">
        <x:v>0</x:v>
      </x:c>
      <x:c r="Y156" s="3">
        <x:v>1</x:v>
      </x:c>
      <x:c r="Z156" s="2" t="s">
        <x:v>175</x:v>
      </x:c>
      <x:c r="AA156" s="2"/>
      <x:c r="AB156" s="2"/>
      <x:c r="AC156" s="2"/>
      <x:c r="AD156" s="2"/>
      <x:c r="AE156" s="2"/>
      <x:c r="AF156" s="2"/>
      <x:c r="AG156" s="2"/>
      <x:c r="AH156" s="2"/>
      <x:c r="AI156" s="4"/>
      <x:c r="AJ156" s="2"/>
      <x:c r="AK156" s="2" t="s">
        <x:v>176</x:v>
      </x:c>
      <x:c r="AL156" s="2" t="s">
        <x:v>2857</x:v>
      </x:c>
      <x:c r="AM156" s="2">
        <x:v>6</x:v>
      </x:c>
      <x:c r="AN156" s="2">
        <x:v>6</x:v>
      </x:c>
    </x:row>
    <x:row r="157" ht="26">
      <x:c r="A157" s="2" t="s">
        <x:v>91</x:v>
      </x:c>
      <x:c r="B157" s="2" t="s">
        <x:v>14</x:v>
      </x:c>
      <x:c r="C157" s="3">
        <x:v>5</x:v>
      </x:c>
      <x:c r="D157" s="2" t="s">
        <x:v>177</x:v>
      </x:c>
      <x:c r="E157" s="2" t="s">
        <x:v>203</x:v>
      </x:c>
      <x:c r="F157" s="2" t="s">
        <x:v>179</x:v>
      </x:c>
      <x:c r="G157" s="2" t="s">
        <x:v>158</x:v>
      </x:c>
      <x:c r="H157" s="2" t="s">
        <x:v>96</x:v>
      </x:c>
      <x:c r="I157" s="2" t="s">
        <x:v>200</x:v>
      </x:c>
      <x:c r="J157" s="2" t="s">
        <x:v>181</x:v>
      </x:c>
      <x:c r="K157" s="2"/>
      <x:c r="L157" s="2" t="s">
        <x:v>205</x:v>
      </x:c>
      <x:c r="M157" s="2" t="s">
        <x:v>172</x:v>
      </x:c>
      <x:c r="N157" s="2">
        <x:v>1</x:v>
      </x:c>
      <x:c r="O157" s="2" t="s">
        <x:v>206</x:v>
      </x:c>
      <x:c r="P157" s="2" t="s">
        <x:v>174</x:v>
      </x:c>
      <x:c r="Q157" s="2"/>
      <x:c r="R157" s="3"/>
      <x:c r="S157" s="3"/>
      <x:c r="T157" s="2"/>
      <x:c r="U157" s="2"/>
      <x:c r="V157" s="2"/>
      <x:c r="W157" s="2" t="s">
        <x:v>200</x:v>
      </x:c>
      <x:c r="X157" s="3">
        <x:v>1</x:v>
      </x:c>
      <x:c r="Y157" s="3">
        <x:v>2</x:v>
      </x:c>
      <x:c r="Z157" s="2" t="s">
        <x:v>175</x:v>
      </x:c>
      <x:c r="AA157" s="2"/>
      <x:c r="AB157" s="2"/>
      <x:c r="AC157" s="2"/>
      <x:c r="AD157" s="2"/>
      <x:c r="AE157" s="2"/>
      <x:c r="AF157" s="2"/>
      <x:c r="AG157" s="2"/>
      <x:c r="AH157" s="2"/>
      <x:c r="AI157" s="4"/>
      <x:c r="AJ157" s="2"/>
      <x:c r="AK157" s="2" t="s">
        <x:v>176</x:v>
      </x:c>
      <x:c r="AL157" s="2" t="s">
        <x:v>2857</x:v>
      </x:c>
      <x:c r="AM157" s="2">
        <x:v>7</x:v>
      </x:c>
      <x:c r="AN157" s="2">
        <x:v>7</x:v>
      </x:c>
    </x:row>
    <x:row r="158" ht="26">
      <x:c r="A158" s="2" t="s">
        <x:v>6</x:v>
      </x:c>
      <x:c r="B158" s="2" t="s">
        <x:v>14</x:v>
      </x:c>
      <x:c r="C158" s="3">
        <x:v>6</x:v>
      </x:c>
      <x:c r="D158" s="2" t="s">
        <x:v>184</x:v>
      </x:c>
      <x:c r="E158" s="2" t="s">
        <x:v>207</x:v>
      </x:c>
      <x:c r="F158" s="2" t="s">
        <x:v>186</x:v>
      </x:c>
      <x:c r="G158" s="2"/>
      <x:c r="H158" s="2" t="s">
        <x:v>96</x:v>
      </x:c>
      <x:c r="I158" s="2" t="s">
        <x:v>200</x:v>
      </x:c>
      <x:c r="J158" s="2" t="s">
        <x:v>188</x:v>
      </x:c>
      <x:c r="K158" s="2"/>
      <x:c r="L158" s="2" t="s">
        <x:v>209</x:v>
      </x:c>
      <x:c r="M158" s="2" t="s">
        <x:v>172</x:v>
      </x:c>
      <x:c r="N158" s="2">
        <x:v>1</x:v>
      </x:c>
      <x:c r="O158" s="2" t="s">
        <x:v>210</x:v>
      </x:c>
      <x:c r="P158" s="2" t="s">
        <x:v>174</x:v>
      </x:c>
      <x:c r="Q158" s="2"/>
      <x:c r="R158" s="3"/>
      <x:c r="S158" s="3"/>
      <x:c r="T158" s="2"/>
      <x:c r="U158" s="2"/>
      <x:c r="V158" s="2"/>
      <x:c r="W158" s="2" t="s">
        <x:v>200</x:v>
      </x:c>
      <x:c r="X158" s="3">
        <x:v>4</x:v>
      </x:c>
      <x:c r="Y158" s="3">
        <x:v>3</x:v>
      </x:c>
      <x:c r="Z158" s="2" t="s">
        <x:v>191</x:v>
      </x:c>
      <x:c r="AA158" s="2"/>
      <x:c r="AB158" s="2"/>
      <x:c r="AC158" s="2"/>
      <x:c r="AD158" s="2"/>
      <x:c r="AE158" s="2"/>
      <x:c r="AF158" s="2"/>
      <x:c r="AG158" s="2"/>
      <x:c r="AH158" s="2"/>
      <x:c r="AI158" s="4"/>
      <x:c r="AJ158" s="2"/>
      <x:c r="AK158" s="2" t="s">
        <x:v>176</x:v>
      </x:c>
      <x:c r="AL158" s="2" t="s">
        <x:v>2857</x:v>
      </x:c>
      <x:c r="AM158" s="2">
        <x:v>8</x:v>
      </x:c>
      <x:c r="AN158" s="2">
        <x:v>8</x:v>
      </x:c>
    </x:row>
    <x:row r="159" ht="26">
      <x:c r="A159" s="2" t="s">
        <x:v>6</x:v>
      </x:c>
      <x:c r="B159" s="2" t="s">
        <x:v>14</x:v>
      </x:c>
      <x:c r="C159" s="3">
        <x:v>7</x:v>
      </x:c>
      <x:c r="D159" s="2" t="s">
        <x:v>192</x:v>
      </x:c>
      <x:c r="E159" s="2" t="s">
        <x:v>211</x:v>
      </x:c>
      <x:c r="F159" s="2" t="s">
        <x:v>194</x:v>
      </x:c>
      <x:c r="G159" s="2"/>
      <x:c r="H159" s="2" t="s">
        <x:v>96</x:v>
      </x:c>
      <x:c r="I159" s="2" t="s">
        <x:v>200</x:v>
      </x:c>
      <x:c r="J159" s="2" t="s">
        <x:v>195</x:v>
      </x:c>
      <x:c r="K159" s="2"/>
      <x:c r="L159" s="2" t="s">
        <x:v>212</x:v>
      </x:c>
      <x:c r="M159" s="2" t="s">
        <x:v>172</x:v>
      </x:c>
      <x:c r="N159" s="2">
        <x:v>1</x:v>
      </x:c>
      <x:c r="O159" s="2" t="s">
        <x:v>213</x:v>
      </x:c>
      <x:c r="P159" s="2" t="s">
        <x:v>174</x:v>
      </x:c>
      <x:c r="Q159" s="2"/>
      <x:c r="R159" s="3"/>
      <x:c r="S159" s="3"/>
      <x:c r="T159" s="2"/>
      <x:c r="U159" s="2"/>
      <x:c r="V159" s="2"/>
      <x:c r="W159" s="2" t="s">
        <x:v>200</x:v>
      </x:c>
      <x:c r="X159" s="3">
        <x:v>1</x:v>
      </x:c>
      <x:c r="Y159" s="3">
        <x:v>0</x:v>
      </x:c>
      <x:c r="Z159" s="2" t="s">
        <x:v>191</x:v>
      </x:c>
      <x:c r="AA159" s="2"/>
      <x:c r="AB159" s="2"/>
      <x:c r="AC159" s="2"/>
      <x:c r="AD159" s="2"/>
      <x:c r="AE159" s="2"/>
      <x:c r="AF159" s="2"/>
      <x:c r="AG159" s="2"/>
      <x:c r="AH159" s="2"/>
      <x:c r="AI159" s="4"/>
      <x:c r="AJ159" s="2"/>
      <x:c r="AK159" s="2" t="s">
        <x:v>176</x:v>
      </x:c>
      <x:c r="AL159" s="2" t="s">
        <x:v>2857</x:v>
      </x:c>
      <x:c r="AM159" s="2">
        <x:v>9</x:v>
      </x:c>
      <x:c r="AN159" s="2">
        <x:v>9</x:v>
      </x:c>
    </x:row>
    <x:row r="160" ht="26">
      <x:c r="A160" s="2" t="s">
        <x:v>6</x:v>
      </x:c>
      <x:c r="B160" s="2" t="s">
        <x:v>14</x:v>
      </x:c>
      <x:c r="C160" s="3">
        <x:v>8</x:v>
      </x:c>
      <x:c r="D160" s="2" t="s">
        <x:v>166</x:v>
      </x:c>
      <x:c r="E160" s="2" t="s">
        <x:v>214</x:v>
      </x:c>
      <x:c r="F160" s="2" t="s">
        <x:v>168</x:v>
      </x:c>
      <x:c r="G160" s="2" t="s">
        <x:v>2876</x:v>
      </x:c>
      <x:c r="H160" s="2" t="s">
        <x:v>96</x:v>
      </x:c>
      <x:c r="I160" s="2" t="s">
        <x:v>216</x:v>
      </x:c>
      <x:c r="J160" s="2" t="s">
        <x:v>170</x:v>
      </x:c>
      <x:c r="K160" s="2"/>
      <x:c r="L160" s="2" t="s">
        <x:v>217</x:v>
      </x:c>
      <x:c r="M160" s="2" t="s">
        <x:v>172</x:v>
      </x:c>
      <x:c r="N160" s="2">
        <x:v>1</x:v>
      </x:c>
      <x:c r="O160" s="2" t="s">
        <x:v>218</x:v>
      </x:c>
      <x:c r="P160" s="2" t="s">
        <x:v>174</x:v>
      </x:c>
      <x:c r="Q160" s="2"/>
      <x:c r="R160" s="3"/>
      <x:c r="S160" s="3"/>
      <x:c r="T160" s="2"/>
      <x:c r="U160" s="2"/>
      <x:c r="V160" s="2"/>
      <x:c r="W160" s="2" t="s">
        <x:v>216</x:v>
      </x:c>
      <x:c r="X160" s="3">
        <x:v>0</x:v>
      </x:c>
      <x:c r="Y160" s="3">
        <x:v>1</x:v>
      </x:c>
      <x:c r="Z160" s="2" t="s">
        <x:v>175</x:v>
      </x:c>
      <x:c r="AA160" s="2"/>
      <x:c r="AB160" s="2"/>
      <x:c r="AC160" s="2"/>
      <x:c r="AD160" s="2"/>
      <x:c r="AE160" s="2"/>
      <x:c r="AF160" s="2"/>
      <x:c r="AG160" s="2"/>
      <x:c r="AH160" s="2"/>
      <x:c r="AI160" s="4"/>
      <x:c r="AJ160" s="2"/>
      <x:c r="AK160" s="2" t="s">
        <x:v>176</x:v>
      </x:c>
      <x:c r="AL160" s="2" t="s">
        <x:v>2857</x:v>
      </x:c>
      <x:c r="AM160" s="2">
        <x:v>10</x:v>
      </x:c>
      <x:c r="AN160" s="2">
        <x:v>10</x:v>
      </x:c>
    </x:row>
    <x:row r="161" ht="26">
      <x:c r="A161" s="2" t="s">
        <x:v>91</x:v>
      </x:c>
      <x:c r="B161" s="2" t="s">
        <x:v>14</x:v>
      </x:c>
      <x:c r="C161" s="3">
        <x:v>9</x:v>
      </x:c>
      <x:c r="D161" s="2" t="s">
        <x:v>177</x:v>
      </x:c>
      <x:c r="E161" s="2" t="s">
        <x:v>193</x:v>
      </x:c>
      <x:c r="F161" s="2" t="s">
        <x:v>179</x:v>
      </x:c>
      <x:c r="G161" s="2" t="s">
        <x:v>158</x:v>
      </x:c>
      <x:c r="H161" s="2" t="s">
        <x:v>96</x:v>
      </x:c>
      <x:c r="I161" s="2" t="s">
        <x:v>216</x:v>
      </x:c>
      <x:c r="J161" s="2" t="s">
        <x:v>181</x:v>
      </x:c>
      <x:c r="K161" s="2"/>
      <x:c r="L161" s="2" t="s">
        <x:v>220</x:v>
      </x:c>
      <x:c r="M161" s="2" t="s">
        <x:v>172</x:v>
      </x:c>
      <x:c r="N161" s="2">
        <x:v>1</x:v>
      </x:c>
      <x:c r="O161" s="2" t="s">
        <x:v>221</x:v>
      </x:c>
      <x:c r="P161" s="2" t="s">
        <x:v>174</x:v>
      </x:c>
      <x:c r="Q161" s="2"/>
      <x:c r="R161" s="3"/>
      <x:c r="S161" s="3"/>
      <x:c r="T161" s="2"/>
      <x:c r="U161" s="2"/>
      <x:c r="V161" s="2"/>
      <x:c r="W161" s="2" t="s">
        <x:v>216</x:v>
      </x:c>
      <x:c r="X161" s="3">
        <x:v>1</x:v>
      </x:c>
      <x:c r="Y161" s="3">
        <x:v>2</x:v>
      </x:c>
      <x:c r="Z161" s="2" t="s">
        <x:v>175</x:v>
      </x:c>
      <x:c r="AA161" s="2"/>
      <x:c r="AB161" s="2"/>
      <x:c r="AC161" s="2"/>
      <x:c r="AD161" s="2"/>
      <x:c r="AE161" s="2"/>
      <x:c r="AF161" s="2"/>
      <x:c r="AG161" s="2"/>
      <x:c r="AH161" s="2"/>
      <x:c r="AI161" s="4"/>
      <x:c r="AJ161" s="2"/>
      <x:c r="AK161" s="2" t="s">
        <x:v>176</x:v>
      </x:c>
      <x:c r="AL161" s="2" t="s">
        <x:v>2857</x:v>
      </x:c>
      <x:c r="AM161" s="2">
        <x:v>11</x:v>
      </x:c>
      <x:c r="AN161" s="2">
        <x:v>11</x:v>
      </x:c>
    </x:row>
    <x:row r="162" ht="26">
      <x:c r="A162" s="2" t="s">
        <x:v>91</x:v>
      </x:c>
      <x:c r="B162" s="2" t="s">
        <x:v>14</x:v>
      </x:c>
      <x:c r="C162" s="3">
        <x:v>10</x:v>
      </x:c>
      <x:c r="D162" s="2" t="s">
        <x:v>184</x:v>
      </x:c>
      <x:c r="E162" s="2" t="s">
        <x:v>973</x:v>
      </x:c>
      <x:c r="F162" s="2" t="s">
        <x:v>186</x:v>
      </x:c>
      <x:c r="G162" s="2" t="s">
        <x:v>158</x:v>
      </x:c>
      <x:c r="H162" s="2" t="s">
        <x:v>96</x:v>
      </x:c>
      <x:c r="I162" s="2" t="s">
        <x:v>216</x:v>
      </x:c>
      <x:c r="J162" s="2" t="s">
        <x:v>188</x:v>
      </x:c>
      <x:c r="K162" s="2"/>
      <x:c r="L162" s="2" t="s">
        <x:v>975</x:v>
      </x:c>
      <x:c r="M162" s="2" t="s">
        <x:v>172</x:v>
      </x:c>
      <x:c r="N162" s="2">
        <x:v>1</x:v>
      </x:c>
      <x:c r="O162" s="2" t="s">
        <x:v>976</x:v>
      </x:c>
      <x:c r="P162" s="2" t="s">
        <x:v>174</x:v>
      </x:c>
      <x:c r="Q162" s="2"/>
      <x:c r="R162" s="3"/>
      <x:c r="S162" s="3"/>
      <x:c r="T162" s="2"/>
      <x:c r="U162" s="2"/>
      <x:c r="V162" s="2"/>
      <x:c r="W162" s="2" t="s">
        <x:v>216</x:v>
      </x:c>
      <x:c r="X162" s="3">
        <x:v>4</x:v>
      </x:c>
      <x:c r="Y162" s="3">
        <x:v>3</x:v>
      </x:c>
      <x:c r="Z162" s="2" t="s">
        <x:v>191</x:v>
      </x:c>
      <x:c r="AA162" s="2"/>
      <x:c r="AB162" s="2"/>
      <x:c r="AC162" s="2"/>
      <x:c r="AD162" s="2"/>
      <x:c r="AE162" s="2"/>
      <x:c r="AF162" s="2"/>
      <x:c r="AG162" s="2"/>
      <x:c r="AH162" s="2"/>
      <x:c r="AI162" s="4"/>
      <x:c r="AJ162" s="2"/>
      <x:c r="AK162" s="2" t="s">
        <x:v>176</x:v>
      </x:c>
      <x:c r="AL162" s="2" t="s">
        <x:v>2857</x:v>
      </x:c>
      <x:c r="AM162" s="2">
        <x:v>12</x:v>
      </x:c>
      <x:c r="AN162" s="2">
        <x:v>12</x:v>
      </x:c>
    </x:row>
    <x:row r="163" ht="26">
      <x:c r="A163" s="2" t="s">
        <x:v>6</x:v>
      </x:c>
      <x:c r="B163" s="2" t="s">
        <x:v>14</x:v>
      </x:c>
      <x:c r="C163" s="3">
        <x:v>11</x:v>
      </x:c>
      <x:c r="D163" s="2" t="s">
        <x:v>977</x:v>
      </x:c>
      <x:c r="E163" s="2" t="s">
        <x:v>978</x:v>
      </x:c>
      <x:c r="F163" s="2" t="s">
        <x:v>194</x:v>
      </x:c>
      <x:c r="G163" s="2"/>
      <x:c r="H163" s="2" t="s">
        <x:v>96</x:v>
      </x:c>
      <x:c r="I163" s="2" t="s">
        <x:v>216</x:v>
      </x:c>
      <x:c r="J163" s="2" t="s">
        <x:v>195</x:v>
      </x:c>
      <x:c r="K163" s="2"/>
      <x:c r="L163" s="2" t="s">
        <x:v>979</x:v>
      </x:c>
      <x:c r="M163" s="2" t="s">
        <x:v>172</x:v>
      </x:c>
      <x:c r="N163" s="2">
        <x:v>1</x:v>
      </x:c>
      <x:c r="O163" s="2" t="s">
        <x:v>980</x:v>
      </x:c>
      <x:c r="P163" s="2" t="s">
        <x:v>174</x:v>
      </x:c>
      <x:c r="Q163" s="2"/>
      <x:c r="R163" s="3"/>
      <x:c r="S163" s="3"/>
      <x:c r="T163" s="2"/>
      <x:c r="U163" s="2"/>
      <x:c r="V163" s="2"/>
      <x:c r="W163" s="2" t="s">
        <x:v>216</x:v>
      </x:c>
      <x:c r="X163" s="3">
        <x:v>1</x:v>
      </x:c>
      <x:c r="Y163" s="3">
        <x:v>0</x:v>
      </x:c>
      <x:c r="Z163" s="2" t="s">
        <x:v>191</x:v>
      </x:c>
      <x:c r="AA163" s="2"/>
      <x:c r="AB163" s="2"/>
      <x:c r="AC163" s="2"/>
      <x:c r="AD163" s="2"/>
      <x:c r="AE163" s="2"/>
      <x:c r="AF163" s="2"/>
      <x:c r="AG163" s="2"/>
      <x:c r="AH163" s="2"/>
      <x:c r="AI163" s="4"/>
      <x:c r="AJ163" s="2"/>
      <x:c r="AK163" s="2" t="s">
        <x:v>176</x:v>
      </x:c>
      <x:c r="AL163" s="2" t="s">
        <x:v>2857</x:v>
      </x:c>
      <x:c r="AM163" s="2">
        <x:v>13</x:v>
      </x:c>
      <x:c r="AN163" s="2">
        <x:v>13</x:v>
      </x:c>
    </x:row>
    <x:row r="164" ht="26">
      <x:c r="A164" s="2" t="s">
        <x:v>6</x:v>
      </x:c>
      <x:c r="B164" s="2" t="s">
        <x:v>14</x:v>
      </x:c>
      <x:c r="C164" s="3">
        <x:v>12</x:v>
      </x:c>
      <x:c r="D164" s="2" t="s">
        <x:v>166</x:v>
      </x:c>
      <x:c r="E164" s="2" t="s">
        <x:v>981</x:v>
      </x:c>
      <x:c r="F164" s="2" t="s">
        <x:v>168</x:v>
      </x:c>
      <x:c r="G164" s="2" t="s">
        <x:v>1290</x:v>
      </x:c>
      <x:c r="H164" s="2" t="s">
        <x:v>96</x:v>
      </x:c>
      <x:c r="I164" s="2" t="s">
        <x:v>982</x:v>
      </x:c>
      <x:c r="J164" s="2" t="s">
        <x:v>170</x:v>
      </x:c>
      <x:c r="K164" s="2"/>
      <x:c r="L164" s="2" t="s">
        <x:v>983</x:v>
      </x:c>
      <x:c r="M164" s="2" t="s">
        <x:v>172</x:v>
      </x:c>
      <x:c r="N164" s="2">
        <x:v>1</x:v>
      </x:c>
      <x:c r="O164" s="2" t="s">
        <x:v>984</x:v>
      </x:c>
      <x:c r="P164" s="2" t="s">
        <x:v>174</x:v>
      </x:c>
      <x:c r="Q164" s="2"/>
      <x:c r="R164" s="3"/>
      <x:c r="S164" s="3"/>
      <x:c r="T164" s="2"/>
      <x:c r="U164" s="2"/>
      <x:c r="V164" s="2"/>
      <x:c r="W164" s="2" t="s">
        <x:v>982</x:v>
      </x:c>
      <x:c r="X164" s="3">
        <x:v>0</x:v>
      </x:c>
      <x:c r="Y164" s="3">
        <x:v>1</x:v>
      </x:c>
      <x:c r="Z164" s="2" t="s">
        <x:v>175</x:v>
      </x:c>
      <x:c r="AA164" s="2"/>
      <x:c r="AB164" s="2"/>
      <x:c r="AC164" s="2"/>
      <x:c r="AD164" s="2"/>
      <x:c r="AE164" s="2"/>
      <x:c r="AF164" s="2"/>
      <x:c r="AG164" s="2"/>
      <x:c r="AH164" s="2"/>
      <x:c r="AI164" s="4"/>
      <x:c r="AJ164" s="2"/>
      <x:c r="AK164" s="2" t="s">
        <x:v>176</x:v>
      </x:c>
      <x:c r="AL164" s="2" t="s">
        <x:v>2857</x:v>
      </x:c>
      <x:c r="AM164" s="2">
        <x:v>14</x:v>
      </x:c>
      <x:c r="AN164" s="2">
        <x:v>14</x:v>
      </x:c>
    </x:row>
    <x:row r="165" ht="26">
      <x:c r="A165" s="2" t="s">
        <x:v>91</x:v>
      </x:c>
      <x:c r="B165" s="2" t="s">
        <x:v>14</x:v>
      </x:c>
      <x:c r="C165" s="3">
        <x:v>13</x:v>
      </x:c>
      <x:c r="D165" s="2" t="s">
        <x:v>985</x:v>
      </x:c>
      <x:c r="E165" s="2" t="s">
        <x:v>986</x:v>
      </x:c>
      <x:c r="F165" s="2" t="s">
        <x:v>179</x:v>
      </x:c>
      <x:c r="G165" s="2" t="s">
        <x:v>158</x:v>
      </x:c>
      <x:c r="H165" s="2" t="s">
        <x:v>96</x:v>
      </x:c>
      <x:c r="I165" s="2" t="s">
        <x:v>982</x:v>
      </x:c>
      <x:c r="J165" s="2" t="s">
        <x:v>181</x:v>
      </x:c>
      <x:c r="K165" s="2"/>
      <x:c r="L165" s="2" t="s">
        <x:v>987</x:v>
      </x:c>
      <x:c r="M165" s="2" t="s">
        <x:v>172</x:v>
      </x:c>
      <x:c r="N165" s="2">
        <x:v>1</x:v>
      </x:c>
      <x:c r="O165" s="2" t="s">
        <x:v>988</x:v>
      </x:c>
      <x:c r="P165" s="2" t="s">
        <x:v>174</x:v>
      </x:c>
      <x:c r="Q165" s="2"/>
      <x:c r="R165" s="3"/>
      <x:c r="S165" s="3"/>
      <x:c r="T165" s="2"/>
      <x:c r="U165" s="2"/>
      <x:c r="V165" s="2"/>
      <x:c r="W165" s="2" t="s">
        <x:v>982</x:v>
      </x:c>
      <x:c r="X165" s="3">
        <x:v>1</x:v>
      </x:c>
      <x:c r="Y165" s="3">
        <x:v>2</x:v>
      </x:c>
      <x:c r="Z165" s="2" t="s">
        <x:v>175</x:v>
      </x:c>
      <x:c r="AA165" s="2"/>
      <x:c r="AB165" s="2"/>
      <x:c r="AC165" s="2"/>
      <x:c r="AD165" s="2"/>
      <x:c r="AE165" s="2"/>
      <x:c r="AF165" s="2"/>
      <x:c r="AG165" s="2"/>
      <x:c r="AH165" s="2"/>
      <x:c r="AI165" s="4"/>
      <x:c r="AJ165" s="2"/>
      <x:c r="AK165" s="2" t="s">
        <x:v>176</x:v>
      </x:c>
      <x:c r="AL165" s="2" t="s">
        <x:v>2857</x:v>
      </x:c>
      <x:c r="AM165" s="2">
        <x:v>15</x:v>
      </x:c>
      <x:c r="AN165" s="2">
        <x:v>15</x:v>
      </x:c>
    </x:row>
    <x:row r="166" ht="26">
      <x:c r="A166" s="2" t="s">
        <x:v>6</x:v>
      </x:c>
      <x:c r="B166" s="2" t="s">
        <x:v>14</x:v>
      </x:c>
      <x:c r="C166" s="3">
        <x:v>14</x:v>
      </x:c>
      <x:c r="D166" s="2" t="s">
        <x:v>184</x:v>
      </x:c>
      <x:c r="E166" s="2" t="s">
        <x:v>989</x:v>
      </x:c>
      <x:c r="F166" s="2" t="s">
        <x:v>186</x:v>
      </x:c>
      <x:c r="G166" s="2"/>
      <x:c r="H166" s="2" t="s">
        <x:v>96</x:v>
      </x:c>
      <x:c r="I166" s="2" t="s">
        <x:v>982</x:v>
      </x:c>
      <x:c r="J166" s="2" t="s">
        <x:v>188</x:v>
      </x:c>
      <x:c r="K166" s="2"/>
      <x:c r="L166" s="2" t="s">
        <x:v>991</x:v>
      </x:c>
      <x:c r="M166" s="2" t="s">
        <x:v>172</x:v>
      </x:c>
      <x:c r="N166" s="2">
        <x:v>1</x:v>
      </x:c>
      <x:c r="O166" s="2" t="s">
        <x:v>992</x:v>
      </x:c>
      <x:c r="P166" s="2" t="s">
        <x:v>174</x:v>
      </x:c>
      <x:c r="Q166" s="2"/>
      <x:c r="R166" s="3"/>
      <x:c r="S166" s="3"/>
      <x:c r="T166" s="2"/>
      <x:c r="U166" s="2"/>
      <x:c r="V166" s="2"/>
      <x:c r="W166" s="2" t="s">
        <x:v>982</x:v>
      </x:c>
      <x:c r="X166" s="3">
        <x:v>4</x:v>
      </x:c>
      <x:c r="Y166" s="3">
        <x:v>3</x:v>
      </x:c>
      <x:c r="Z166" s="2" t="s">
        <x:v>191</x:v>
      </x:c>
      <x:c r="AA166" s="2"/>
      <x:c r="AB166" s="2"/>
      <x:c r="AC166" s="2"/>
      <x:c r="AD166" s="2"/>
      <x:c r="AE166" s="2"/>
      <x:c r="AF166" s="2"/>
      <x:c r="AG166" s="2"/>
      <x:c r="AH166" s="2"/>
      <x:c r="AI166" s="4"/>
      <x:c r="AJ166" s="2"/>
      <x:c r="AK166" s="2" t="s">
        <x:v>176</x:v>
      </x:c>
      <x:c r="AL166" s="2" t="s">
        <x:v>2857</x:v>
      </x:c>
      <x:c r="AM166" s="2">
        <x:v>16</x:v>
      </x:c>
      <x:c r="AN166" s="2">
        <x:v>16</x:v>
      </x:c>
    </x:row>
    <x:row r="167" ht="26">
      <x:c r="A167" s="2" t="s">
        <x:v>6</x:v>
      </x:c>
      <x:c r="B167" s="2" t="s">
        <x:v>14</x:v>
      </x:c>
      <x:c r="C167" s="3">
        <x:v>15</x:v>
      </x:c>
      <x:c r="D167" s="2" t="s">
        <x:v>993</x:v>
      </x:c>
      <x:c r="E167" s="2" t="s">
        <x:v>994</x:v>
      </x:c>
      <x:c r="F167" s="2" t="s">
        <x:v>194</x:v>
      </x:c>
      <x:c r="G167" s="2"/>
      <x:c r="H167" s="2" t="s">
        <x:v>96</x:v>
      </x:c>
      <x:c r="I167" s="2" t="s">
        <x:v>982</x:v>
      </x:c>
      <x:c r="J167" s="2" t="s">
        <x:v>195</x:v>
      </x:c>
      <x:c r="K167" s="2"/>
      <x:c r="L167" s="2" t="s">
        <x:v>995</x:v>
      </x:c>
      <x:c r="M167" s="2" t="s">
        <x:v>172</x:v>
      </x:c>
      <x:c r="N167" s="2">
        <x:v>1</x:v>
      </x:c>
      <x:c r="O167" s="2" t="s">
        <x:v>996</x:v>
      </x:c>
      <x:c r="P167" s="2" t="s">
        <x:v>174</x:v>
      </x:c>
      <x:c r="Q167" s="2"/>
      <x:c r="R167" s="3"/>
      <x:c r="S167" s="3"/>
      <x:c r="T167" s="2"/>
      <x:c r="U167" s="2"/>
      <x:c r="V167" s="2"/>
      <x:c r="W167" s="2" t="s">
        <x:v>982</x:v>
      </x:c>
      <x:c r="X167" s="3">
        <x:v>1</x:v>
      </x:c>
      <x:c r="Y167" s="3">
        <x:v>0</x:v>
      </x:c>
      <x:c r="Z167" s="2" t="s">
        <x:v>191</x:v>
      </x:c>
      <x:c r="AA167" s="2"/>
      <x:c r="AB167" s="2"/>
      <x:c r="AC167" s="2"/>
      <x:c r="AD167" s="2"/>
      <x:c r="AE167" s="2"/>
      <x:c r="AF167" s="2"/>
      <x:c r="AG167" s="2"/>
      <x:c r="AH167" s="2"/>
      <x:c r="AI167" s="4"/>
      <x:c r="AJ167" s="2"/>
      <x:c r="AK167" s="2" t="s">
        <x:v>176</x:v>
      </x:c>
      <x:c r="AL167" s="2" t="s">
        <x:v>2857</x:v>
      </x:c>
      <x:c r="AM167" s="2">
        <x:v>17</x:v>
      </x:c>
      <x:c r="AN167" s="2">
        <x:v>17</x:v>
      </x:c>
    </x:row>
    <x:row r="168" ht="26">
      <x:c r="A168" s="2" t="s">
        <x:v>91</x:v>
      </x:c>
      <x:c r="B168" s="2" t="s">
        <x:v>14</x:v>
      </x:c>
      <x:c r="C168" s="3">
        <x:v>16</x:v>
      </x:c>
      <x:c r="D168" s="2" t="s">
        <x:v>166</x:v>
      </x:c>
      <x:c r="E168" s="2" t="s">
        <x:v>997</x:v>
      </x:c>
      <x:c r="F168" s="2" t="s">
        <x:v>998</x:v>
      </x:c>
      <x:c r="G168" s="2" t="s">
        <x:v>2880</x:v>
      </x:c>
      <x:c r="H168" s="2" t="s">
        <x:v>96</x:v>
      </x:c>
      <x:c r="I168" s="2" t="s">
        <x:v>999</x:v>
      </x:c>
      <x:c r="J168" s="2" t="s">
        <x:v>170</x:v>
      </x:c>
      <x:c r="K168" s="2"/>
      <x:c r="L168" s="2" t="s">
        <x:v>1000</x:v>
      </x:c>
      <x:c r="M168" s="2" t="s">
        <x:v>172</x:v>
      </x:c>
      <x:c r="N168" s="2">
        <x:v>1</x:v>
      </x:c>
      <x:c r="O168" s="2" t="s">
        <x:v>1001</x:v>
      </x:c>
      <x:c r="P168" s="2" t="s">
        <x:v>174</x:v>
      </x:c>
      <x:c r="Q168" s="2"/>
      <x:c r="R168" s="3"/>
      <x:c r="S168" s="3"/>
      <x:c r="T168" s="2"/>
      <x:c r="U168" s="2"/>
      <x:c r="V168" s="2"/>
      <x:c r="W168" s="2" t="s">
        <x:v>999</x:v>
      </x:c>
      <x:c r="X168" s="3">
        <x:v>0</x:v>
      </x:c>
      <x:c r="Y168" s="3">
        <x:v>1</x:v>
      </x:c>
      <x:c r="Z168" s="2" t="s">
        <x:v>175</x:v>
      </x:c>
      <x:c r="AA168" s="2"/>
      <x:c r="AB168" s="2"/>
      <x:c r="AC168" s="2"/>
      <x:c r="AD168" s="2"/>
      <x:c r="AE168" s="2"/>
      <x:c r="AF168" s="2"/>
      <x:c r="AG168" s="2"/>
      <x:c r="AH168" s="2"/>
      <x:c r="AI168" s="4"/>
      <x:c r="AJ168" s="2"/>
      <x:c r="AK168" s="2" t="s">
        <x:v>176</x:v>
      </x:c>
      <x:c r="AL168" s="2" t="s">
        <x:v>2857</x:v>
      </x:c>
      <x:c r="AM168" s="2">
        <x:v>18</x:v>
      </x:c>
      <x:c r="AN168" s="2">
        <x:v>18</x:v>
      </x:c>
    </x:row>
    <x:row r="169" ht="26">
      <x:c r="A169" s="2" t="s">
        <x:v>91</x:v>
      </x:c>
      <x:c r="B169" s="2" t="s">
        <x:v>14</x:v>
      </x:c>
      <x:c r="C169" s="3">
        <x:v>17</x:v>
      </x:c>
      <x:c r="D169" s="2" t="s">
        <x:v>985</x:v>
      </x:c>
      <x:c r="E169" s="2" t="s">
        <x:v>978</x:v>
      </x:c>
      <x:c r="F169" s="2" t="s">
        <x:v>1002</x:v>
      </x:c>
      <x:c r="G169" s="2" t="s">
        <x:v>2881</x:v>
      </x:c>
      <x:c r="H169" s="2" t="s">
        <x:v>96</x:v>
      </x:c>
      <x:c r="I169" s="2" t="s">
        <x:v>999</x:v>
      </x:c>
      <x:c r="J169" s="2" t="s">
        <x:v>181</x:v>
      </x:c>
      <x:c r="K169" s="2"/>
      <x:c r="L169" s="2" t="s">
        <x:v>1003</x:v>
      </x:c>
      <x:c r="M169" s="2" t="s">
        <x:v>172</x:v>
      </x:c>
      <x:c r="N169" s="2">
        <x:v>1</x:v>
      </x:c>
      <x:c r="O169" s="2" t="s">
        <x:v>1004</x:v>
      </x:c>
      <x:c r="P169" s="2" t="s">
        <x:v>174</x:v>
      </x:c>
      <x:c r="Q169" s="2"/>
      <x:c r="R169" s="3"/>
      <x:c r="S169" s="3"/>
      <x:c r="T169" s="2"/>
      <x:c r="U169" s="2"/>
      <x:c r="V169" s="2"/>
      <x:c r="W169" s="2" t="s">
        <x:v>999</x:v>
      </x:c>
      <x:c r="X169" s="3">
        <x:v>1</x:v>
      </x:c>
      <x:c r="Y169" s="3">
        <x:v>2</x:v>
      </x:c>
      <x:c r="Z169" s="2" t="s">
        <x:v>175</x:v>
      </x:c>
      <x:c r="AA169" s="2"/>
      <x:c r="AB169" s="2"/>
      <x:c r="AC169" s="2"/>
      <x:c r="AD169" s="2"/>
      <x:c r="AE169" s="2"/>
      <x:c r="AF169" s="2"/>
      <x:c r="AG169" s="2"/>
      <x:c r="AH169" s="2"/>
      <x:c r="AI169" s="4"/>
      <x:c r="AJ169" s="2"/>
      <x:c r="AK169" s="2" t="s">
        <x:v>176</x:v>
      </x:c>
      <x:c r="AL169" s="2" t="s">
        <x:v>2857</x:v>
      </x:c>
      <x:c r="AM169" s="2">
        <x:v>19</x:v>
      </x:c>
      <x:c r="AN169" s="2">
        <x:v>19</x:v>
      </x:c>
    </x:row>
    <x:row r="170" ht="26">
      <x:c r="A170" s="2" t="s">
        <x:v>6</x:v>
      </x:c>
      <x:c r="B170" s="2" t="s">
        <x:v>14</x:v>
      </x:c>
      <x:c r="C170" s="3">
        <x:v>18</x:v>
      </x:c>
      <x:c r="D170" s="2" t="s">
        <x:v>184</x:v>
      </x:c>
      <x:c r="E170" s="2" t="s">
        <x:v>989</x:v>
      </x:c>
      <x:c r="F170" s="2" t="s">
        <x:v>186</x:v>
      </x:c>
      <x:c r="G170" s="2"/>
      <x:c r="H170" s="2" t="s">
        <x:v>96</x:v>
      </x:c>
      <x:c r="I170" s="2" t="s">
        <x:v>999</x:v>
      </x:c>
      <x:c r="J170" s="2" t="s">
        <x:v>188</x:v>
      </x:c>
      <x:c r="K170" s="2"/>
      <x:c r="L170" s="2" t="s">
        <x:v>1005</x:v>
      </x:c>
      <x:c r="M170" s="2" t="s">
        <x:v>172</x:v>
      </x:c>
      <x:c r="N170" s="2">
        <x:v>1</x:v>
      </x:c>
      <x:c r="O170" s="2" t="s">
        <x:v>1006</x:v>
      </x:c>
      <x:c r="P170" s="2" t="s">
        <x:v>174</x:v>
      </x:c>
      <x:c r="Q170" s="2"/>
      <x:c r="R170" s="3"/>
      <x:c r="S170" s="3"/>
      <x:c r="T170" s="2"/>
      <x:c r="U170" s="2"/>
      <x:c r="V170" s="2"/>
      <x:c r="W170" s="2" t="s">
        <x:v>999</x:v>
      </x:c>
      <x:c r="X170" s="3">
        <x:v>4</x:v>
      </x:c>
      <x:c r="Y170" s="3">
        <x:v>3</x:v>
      </x:c>
      <x:c r="Z170" s="2" t="s">
        <x:v>191</x:v>
      </x:c>
      <x:c r="AA170" s="2"/>
      <x:c r="AB170" s="2"/>
      <x:c r="AC170" s="2"/>
      <x:c r="AD170" s="2"/>
      <x:c r="AE170" s="2"/>
      <x:c r="AF170" s="2"/>
      <x:c r="AG170" s="2"/>
      <x:c r="AH170" s="2"/>
      <x:c r="AI170" s="4"/>
      <x:c r="AJ170" s="2"/>
      <x:c r="AK170" s="2" t="s">
        <x:v>176</x:v>
      </x:c>
      <x:c r="AL170" s="2" t="s">
        <x:v>2857</x:v>
      </x:c>
      <x:c r="AM170" s="2">
        <x:v>20</x:v>
      </x:c>
      <x:c r="AN170" s="2">
        <x:v>20</x:v>
      </x:c>
    </x:row>
    <x:row r="171" ht="26">
      <x:c r="A171" s="2" t="s">
        <x:v>6</x:v>
      </x:c>
      <x:c r="B171" s="2" t="s">
        <x:v>14</x:v>
      </x:c>
      <x:c r="C171" s="3">
        <x:v>19</x:v>
      </x:c>
      <x:c r="D171" s="2" t="s">
        <x:v>977</x:v>
      </x:c>
      <x:c r="E171" s="2" t="s">
        <x:v>1007</x:v>
      </x:c>
      <x:c r="F171" s="2" t="s">
        <x:v>194</x:v>
      </x:c>
      <x:c r="G171" s="2"/>
      <x:c r="H171" s="2" t="s">
        <x:v>96</x:v>
      </x:c>
      <x:c r="I171" s="2" t="s">
        <x:v>999</x:v>
      </x:c>
      <x:c r="J171" s="2" t="s">
        <x:v>195</x:v>
      </x:c>
      <x:c r="K171" s="2"/>
      <x:c r="L171" s="2" t="s">
        <x:v>1008</x:v>
      </x:c>
      <x:c r="M171" s="2" t="s">
        <x:v>172</x:v>
      </x:c>
      <x:c r="N171" s="2">
        <x:v>1</x:v>
      </x:c>
      <x:c r="O171" s="2" t="s">
        <x:v>1009</x:v>
      </x:c>
      <x:c r="P171" s="2" t="s">
        <x:v>174</x:v>
      </x:c>
      <x:c r="Q171" s="2"/>
      <x:c r="R171" s="3"/>
      <x:c r="S171" s="3"/>
      <x:c r="T171" s="2"/>
      <x:c r="U171" s="2"/>
      <x:c r="V171" s="2"/>
      <x:c r="W171" s="2" t="s">
        <x:v>999</x:v>
      </x:c>
      <x:c r="X171" s="3">
        <x:v>1</x:v>
      </x:c>
      <x:c r="Y171" s="3">
        <x:v>0</x:v>
      </x:c>
      <x:c r="Z171" s="2" t="s">
        <x:v>191</x:v>
      </x:c>
      <x:c r="AA171" s="2"/>
      <x:c r="AB171" s="2"/>
      <x:c r="AC171" s="2"/>
      <x:c r="AD171" s="2"/>
      <x:c r="AE171" s="2"/>
      <x:c r="AF171" s="2"/>
      <x:c r="AG171" s="2"/>
      <x:c r="AH171" s="2"/>
      <x:c r="AI171" s="4"/>
      <x:c r="AJ171" s="2"/>
      <x:c r="AK171" s="2" t="s">
        <x:v>176</x:v>
      </x:c>
      <x:c r="AL171" s="2" t="s">
        <x:v>2857</x:v>
      </x:c>
      <x:c r="AM171" s="2">
        <x:v>21</x:v>
      </x:c>
      <x:c r="AN171" s="2">
        <x:v>21</x:v>
      </x:c>
    </x:row>
    <x:row r="172" ht="39">
      <x:c r="A172" s="2" t="s">
        <x:v>91</x:v>
      </x:c>
      <x:c r="B172" s="2" t="s">
        <x:v>14</x:v>
      </x:c>
      <x:c r="C172" s="3">
        <x:v>20</x:v>
      </x:c>
      <x:c r="D172" s="2" t="s">
        <x:v>166</x:v>
      </x:c>
      <x:c r="E172" s="2" t="s">
        <x:v>1010</x:v>
      </x:c>
      <x:c r="F172" s="2" t="s">
        <x:v>1011</x:v>
      </x:c>
      <x:c r="G172" s="2" t="s">
        <x:v>158</x:v>
      </x:c>
      <x:c r="H172" s="2" t="s">
        <x:v>618</x:v>
      </x:c>
      <x:c r="I172" s="2" t="s">
        <x:v>1012</x:v>
      </x:c>
      <x:c r="J172" s="2" t="s">
        <x:v>1013</x:v>
      </x:c>
      <x:c r="K172" s="2"/>
      <x:c r="L172" s="2" t="s">
        <x:v>1014</x:v>
      </x:c>
      <x:c r="M172" s="2" t="s">
        <x:v>1015</x:v>
      </x:c>
      <x:c r="N172" s="2">
        <x:v>3</x:v>
      </x:c>
      <x:c r="O172" s="2" t="s">
        <x:v>1016</x:v>
      </x:c>
      <x:c r="P172" s="2" t="s">
        <x:v>1017</x:v>
      </x:c>
      <x:c r="Q172" s="2"/>
      <x:c r="R172" s="3"/>
      <x:c r="S172" s="3"/>
      <x:c r="T172" s="2"/>
      <x:c r="U172" s="2"/>
      <x:c r="V172" s="2"/>
      <x:c r="W172" s="2" t="s">
        <x:v>1018</x:v>
      </x:c>
      <x:c r="X172" s="3">
        <x:v>2</x:v>
      </x:c>
      <x:c r="Y172" s="3">
        <x:v>1</x:v>
      </x:c>
      <x:c r="Z172" s="2" t="s">
        <x:v>191</x:v>
      </x:c>
      <x:c r="AA172" s="2"/>
      <x:c r="AB172" s="2"/>
      <x:c r="AC172" s="2"/>
      <x:c r="AD172" s="2"/>
      <x:c r="AE172" s="2"/>
      <x:c r="AF172" s="2"/>
      <x:c r="AG172" s="2"/>
      <x:c r="AH172" s="2"/>
      <x:c r="AI172" s="4"/>
      <x:c r="AJ172" s="2"/>
      <x:c r="AK172" s="2" t="s">
        <x:v>176</x:v>
      </x:c>
      <x:c r="AL172" s="2" t="s">
        <x:v>2857</x:v>
      </x:c>
      <x:c r="AM172" s="2">
        <x:v>22</x:v>
      </x:c>
      <x:c r="AN172" s="2">
        <x:v>22</x:v>
      </x:c>
    </x:row>
    <x:row r="173" ht="26">
      <x:c r="A173" s="2" t="s">
        <x:v>6</x:v>
      </x:c>
      <x:c r="B173" s="2" t="s">
        <x:v>14</x:v>
      </x:c>
      <x:c r="C173" s="3">
        <x:v>21</x:v>
      </x:c>
      <x:c r="D173" s="2" t="s">
        <x:v>1019</x:v>
      </x:c>
      <x:c r="E173" s="2" t="s">
        <x:v>1010</x:v>
      </x:c>
      <x:c r="F173" s="2" t="s">
        <x:v>1020</x:v>
      </x:c>
      <x:c r="G173" s="2" t="s">
        <x:v>2882</x:v>
      </x:c>
      <x:c r="H173" s="2" t="s">
        <x:v>627</x:v>
      </x:c>
      <x:c r="I173" s="2" t="s">
        <x:v>1012</x:v>
      </x:c>
      <x:c r="J173" s="2" t="s">
        <x:v>1021</x:v>
      </x:c>
      <x:c r="K173" s="2" t="n">
        <x:v>20</x:v>
      </x:c>
      <x:c r="L173" s="2" t="s">
        <x:v>1022</x:v>
      </x:c>
      <x:c r="M173" s="2" t="s">
        <x:v>1023</x:v>
      </x:c>
      <x:c r="N173" s="2">
        <x:v>3</x:v>
      </x:c>
      <x:c r="O173" s="2" t="s">
        <x:v>1024</x:v>
      </x:c>
      <x:c r="P173" s="2" t="s">
        <x:v>1025</x:v>
      </x:c>
      <x:c r="Q173" s="2"/>
      <x:c r="R173" s="3"/>
      <x:c r="S173" s="3"/>
      <x:c r="T173" s="2"/>
      <x:c r="U173" s="2"/>
      <x:c r="V173" s="2"/>
      <x:c r="W173" s="2" t="s">
        <x:v>1018</x:v>
      </x:c>
      <x:c r="X173" s="3">
        <x:v>2</x:v>
      </x:c>
      <x:c r="Y173" s="3">
        <x:v>1</x:v>
      </x:c>
      <x:c r="Z173" s="2" t="s">
        <x:v>191</x:v>
      </x:c>
      <x:c r="AA173" s="2"/>
      <x:c r="AB173" s="2"/>
      <x:c r="AC173" s="2"/>
      <x:c r="AD173" s="2"/>
      <x:c r="AE173" s="2"/>
      <x:c r="AF173" s="2"/>
      <x:c r="AG173" s="2"/>
      <x:c r="AH173" s="2"/>
      <x:c r="AI173" s="4"/>
      <x:c r="AJ173" s="2"/>
      <x:c r="AK173" s="2" t="s">
        <x:v>176</x:v>
      </x:c>
      <x:c r="AL173" s="2" t="s">
        <x:v>2857</x:v>
      </x:c>
      <x:c r="AM173" s="2">
        <x:v>23</x:v>
      </x:c>
      <x:c r="AN173" s="2">
        <x:v>23</x:v>
      </x:c>
    </x:row>
    <x:row r="174" ht="26">
      <x:c r="A174" s="2" t="s">
        <x:v>6</x:v>
      </x:c>
      <x:c r="B174" s="2" t="s">
        <x:v>14</x:v>
      </x:c>
      <x:c r="C174" s="3">
        <x:v>22</x:v>
      </x:c>
      <x:c r="D174" s="2" t="s">
        <x:v>1026</x:v>
      </x:c>
      <x:c r="E174" s="2" t="s">
        <x:v>1010</x:v>
      </x:c>
      <x:c r="F174" s="2" t="s">
        <x:v>1027</x:v>
      </x:c>
      <x:c r="G174" s="2"/>
      <x:c r="H174" s="2" t="s">
        <x:v>627</x:v>
      </x:c>
      <x:c r="I174" s="2" t="s">
        <x:v>1012</x:v>
      </x:c>
      <x:c r="J174" s="2" t="s">
        <x:v>1028</x:v>
      </x:c>
      <x:c r="K174" s="2"/>
      <x:c r="L174" s="2" t="s">
        <x:v>1029</x:v>
      </x:c>
      <x:c r="M174" s="2" t="s">
        <x:v>1023</x:v>
      </x:c>
      <x:c r="N174" s="2">
        <x:v>3</x:v>
      </x:c>
      <x:c r="O174" s="2" t="s">
        <x:v>1024</x:v>
      </x:c>
      <x:c r="P174" s="2" t="s">
        <x:v>1025</x:v>
      </x:c>
      <x:c r="Q174" s="2"/>
      <x:c r="R174" s="3"/>
      <x:c r="S174" s="3"/>
      <x:c r="T174" s="2"/>
      <x:c r="U174" s="2"/>
      <x:c r="V174" s="2"/>
      <x:c r="W174" s="2" t="s">
        <x:v>1030</x:v>
      </x:c>
      <x:c r="X174" s="3">
        <x:v>2</x:v>
      </x:c>
      <x:c r="Y174" s="3">
        <x:v>3</x:v>
      </x:c>
      <x:c r="Z174" s="2" t="s">
        <x:v>175</x:v>
      </x:c>
      <x:c r="AA174" s="2"/>
      <x:c r="AB174" s="2"/>
      <x:c r="AC174" s="2"/>
      <x:c r="AD174" s="2"/>
      <x:c r="AE174" s="2"/>
      <x:c r="AF174" s="2"/>
      <x:c r="AG174" s="2"/>
      <x:c r="AH174" s="2"/>
      <x:c r="AI174" s="4"/>
      <x:c r="AJ174" s="2"/>
      <x:c r="AK174" s="2" t="s">
        <x:v>176</x:v>
      </x:c>
      <x:c r="AL174" s="2" t="s">
        <x:v>2857</x:v>
      </x:c>
      <x:c r="AM174" s="2">
        <x:v>24</x:v>
      </x:c>
      <x:c r="AN174" s="2">
        <x:v>24</x:v>
      </x:c>
    </x:row>
    <x:row r="175" ht="39">
      <x:c r="A175" s="2" t="s">
        <x:v>91</x:v>
      </x:c>
      <x:c r="B175" s="2" t="s">
        <x:v>14</x:v>
      </x:c>
      <x:c r="C175" s="3">
        <x:v>23</x:v>
      </x:c>
      <x:c r="D175" s="2" t="s">
        <x:v>184</x:v>
      </x:c>
      <x:c r="E175" s="2" t="s">
        <x:v>1010</x:v>
      </x:c>
      <x:c r="F175" s="2" t="s">
        <x:v>1031</x:v>
      </x:c>
      <x:c r="G175" s="2" t="s">
        <x:v>2883</x:v>
      </x:c>
      <x:c r="H175" s="2" t="s">
        <x:v>618</x:v>
      </x:c>
      <x:c r="I175" s="2" t="s">
        <x:v>1012</x:v>
      </x:c>
      <x:c r="J175" s="2" t="s">
        <x:v>1032</x:v>
      </x:c>
      <x:c r="K175" s="2" t="n">
        <x:v>22</x:v>
      </x:c>
      <x:c r="L175" s="2" t="s">
        <x:v>1033</x:v>
      </x:c>
      <x:c r="M175" s="2" t="s">
        <x:v>1034</x:v>
      </x:c>
      <x:c r="N175" s="2">
        <x:v>3</x:v>
      </x:c>
      <x:c r="O175" s="2" t="s">
        <x:v>1024</x:v>
      </x:c>
      <x:c r="P175" s="2" t="s">
        <x:v>1035</x:v>
      </x:c>
      <x:c r="Q175" s="2"/>
      <x:c r="R175" s="3"/>
      <x:c r="S175" s="3"/>
      <x:c r="T175" s="2"/>
      <x:c r="U175" s="2"/>
      <x:c r="V175" s="2"/>
      <x:c r="W175" s="2" t="s">
        <x:v>1030</x:v>
      </x:c>
      <x:c r="X175" s="3">
        <x:v>2</x:v>
      </x:c>
      <x:c r="Y175" s="3">
        <x:v>3</x:v>
      </x:c>
      <x:c r="Z175" s="2" t="s">
        <x:v>175</x:v>
      </x:c>
      <x:c r="AA175" s="2"/>
      <x:c r="AB175" s="2"/>
      <x:c r="AC175" s="2"/>
      <x:c r="AD175" s="2"/>
      <x:c r="AE175" s="2"/>
      <x:c r="AF175" s="2"/>
      <x:c r="AG175" s="2"/>
      <x:c r="AH175" s="2"/>
      <x:c r="AI175" s="4"/>
      <x:c r="AJ175" s="2"/>
      <x:c r="AK175" s="2" t="s">
        <x:v>176</x:v>
      </x:c>
      <x:c r="AL175" s="2" t="s">
        <x:v>2857</x:v>
      </x:c>
      <x:c r="AM175" s="2">
        <x:v>25</x:v>
      </x:c>
      <x:c r="AN175" s="2">
        <x:v>25</x:v>
      </x:c>
    </x:row>
    <x:row r="176" ht="39">
      <x:c r="A176" s="2" t="s">
        <x:v>91</x:v>
      </x:c>
      <x:c r="B176" s="2" t="s">
        <x:v>14</x:v>
      </x:c>
      <x:c r="C176" s="3">
        <x:v>24</x:v>
      </x:c>
      <x:c r="D176" s="2" t="s">
        <x:v>184</x:v>
      </x:c>
      <x:c r="E176" s="2" t="s">
        <x:v>1036</x:v>
      </x:c>
      <x:c r="F176" s="2" t="s">
        <x:v>1031</x:v>
      </x:c>
      <x:c r="G176" s="2" t="s">
        <x:v>158</x:v>
      </x:c>
      <x:c r="H176" s="2" t="s">
        <x:v>618</x:v>
      </x:c>
      <x:c r="I176" s="2" t="s">
        <x:v>1037</x:v>
      </x:c>
      <x:c r="J176" s="2" t="s">
        <x:v>1032</x:v>
      </x:c>
      <x:c r="K176" s="2"/>
      <x:c r="L176" s="2" t="s">
        <x:v>1038</x:v>
      </x:c>
      <x:c r="M176" s="2" t="s">
        <x:v>1015</x:v>
      </x:c>
      <x:c r="N176" s="2">
        <x:v>4</x:v>
      </x:c>
      <x:c r="O176" s="2" t="s">
        <x:v>1024</x:v>
      </x:c>
      <x:c r="P176" s="2" t="s">
        <x:v>1035</x:v>
      </x:c>
      <x:c r="Q176" s="2"/>
      <x:c r="R176" s="3"/>
      <x:c r="S176" s="3"/>
      <x:c r="T176" s="2"/>
      <x:c r="U176" s="2"/>
      <x:c r="V176" s="2"/>
      <x:c r="W176" s="2" t="s">
        <x:v>1039</x:v>
      </x:c>
      <x:c r="X176" s="3">
        <x:v>2</x:v>
      </x:c>
      <x:c r="Y176" s="3">
        <x:v>3</x:v>
      </x:c>
      <x:c r="Z176" s="2" t="s">
        <x:v>175</x:v>
      </x:c>
      <x:c r="AA176" s="2"/>
      <x:c r="AB176" s="2"/>
      <x:c r="AC176" s="2"/>
      <x:c r="AD176" s="2"/>
      <x:c r="AE176" s="2"/>
      <x:c r="AF176" s="2"/>
      <x:c r="AG176" s="2"/>
      <x:c r="AH176" s="2"/>
      <x:c r="AI176" s="4"/>
      <x:c r="AJ176" s="2"/>
      <x:c r="AK176" s="2" t="s">
        <x:v>176</x:v>
      </x:c>
      <x:c r="AL176" s="2" t="s">
        <x:v>2857</x:v>
      </x:c>
      <x:c r="AM176" s="2">
        <x:v>26</x:v>
      </x:c>
      <x:c r="AN176" s="2">
        <x:v>26</x:v>
      </x:c>
    </x:row>
    <x:row r="177" ht="39">
      <x:c r="A177" s="2" t="s">
        <x:v>91</x:v>
      </x:c>
      <x:c r="B177" s="2" t="s">
        <x:v>14</x:v>
      </x:c>
      <x:c r="C177" s="3">
        <x:v>25</x:v>
      </x:c>
      <x:c r="D177" s="2" t="s">
        <x:v>166</x:v>
      </x:c>
      <x:c r="E177" s="2" t="s">
        <x:v>1036</x:v>
      </x:c>
      <x:c r="F177" s="2" t="s">
        <x:v>1011</x:v>
      </x:c>
      <x:c r="G177" s="2" t="s">
        <x:v>158</x:v>
      </x:c>
      <x:c r="H177" s="2" t="s">
        <x:v>618</x:v>
      </x:c>
      <x:c r="I177" s="2" t="s">
        <x:v>1037</x:v>
      </x:c>
      <x:c r="J177" s="2" t="s">
        <x:v>1013</x:v>
      </x:c>
      <x:c r="K177" s="2" t="n">
        <x:v>24</x:v>
      </x:c>
      <x:c r="L177" s="2" t="s">
        <x:v>1040</x:v>
      </x:c>
      <x:c r="M177" s="2" t="s">
        <x:v>1041</x:v>
      </x:c>
      <x:c r="N177" s="2">
        <x:v>4</x:v>
      </x:c>
      <x:c r="O177" s="2" t="s">
        <x:v>1016</x:v>
      </x:c>
      <x:c r="P177" s="2" t="s">
        <x:v>1017</x:v>
      </x:c>
      <x:c r="Q177" s="2"/>
      <x:c r="R177" s="3"/>
      <x:c r="S177" s="3"/>
      <x:c r="T177" s="2"/>
      <x:c r="U177" s="2"/>
      <x:c r="V177" s="2"/>
      <x:c r="W177" s="2" t="s">
        <x:v>1042</x:v>
      </x:c>
      <x:c r="X177" s="3">
        <x:v>2</x:v>
      </x:c>
      <x:c r="Y177" s="3">
        <x:v>1</x:v>
      </x:c>
      <x:c r="Z177" s="2" t="s">
        <x:v>191</x:v>
      </x:c>
      <x:c r="AA177" s="2"/>
      <x:c r="AB177" s="2"/>
      <x:c r="AC177" s="2"/>
      <x:c r="AD177" s="2"/>
      <x:c r="AE177" s="2"/>
      <x:c r="AF177" s="2"/>
      <x:c r="AG177" s="2"/>
      <x:c r="AH177" s="2"/>
      <x:c r="AI177" s="4"/>
      <x:c r="AJ177" s="2"/>
      <x:c r="AK177" s="2" t="s">
        <x:v>176</x:v>
      </x:c>
      <x:c r="AL177" s="2" t="s">
        <x:v>2857</x:v>
      </x:c>
      <x:c r="AM177" s="2">
        <x:v>27</x:v>
      </x:c>
      <x:c r="AN177" s="2">
        <x:v>27</x:v>
      </x:c>
    </x:row>
    <x:row r="178" ht="39">
      <x:c r="A178" s="2" t="s">
        <x:v>91</x:v>
      </x:c>
      <x:c r="B178" s="2" t="s">
        <x:v>14</x:v>
      </x:c>
      <x:c r="C178" s="3">
        <x:v>26</x:v>
      </x:c>
      <x:c r="D178" s="2" t="s">
        <x:v>166</x:v>
      </x:c>
      <x:c r="E178" s="2" t="s">
        <x:v>1043</x:v>
      </x:c>
      <x:c r="F178" s="2" t="s">
        <x:v>1011</x:v>
      </x:c>
      <x:c r="G178" s="2" t="s">
        <x:v>158</x:v>
      </x:c>
      <x:c r="H178" s="2" t="s">
        <x:v>618</x:v>
      </x:c>
      <x:c r="I178" s="2" t="s">
        <x:v>1044</x:v>
      </x:c>
      <x:c r="J178" s="2" t="s">
        <x:v>1013</x:v>
      </x:c>
      <x:c r="K178" s="2"/>
      <x:c r="L178" s="2" t="s">
        <x:v>1014</x:v>
      </x:c>
      <x:c r="M178" s="2" t="s">
        <x:v>1015</x:v>
      </x:c>
      <x:c r="N178" s="2">
        <x:v>2</x:v>
      </x:c>
      <x:c r="O178" s="2" t="s">
        <x:v>1016</x:v>
      </x:c>
      <x:c r="P178" s="2" t="s">
        <x:v>1017</x:v>
      </x:c>
      <x:c r="Q178" s="2"/>
      <x:c r="R178" s="3"/>
      <x:c r="S178" s="3"/>
      <x:c r="T178" s="2"/>
      <x:c r="U178" s="2"/>
      <x:c r="V178" s="2"/>
      <x:c r="W178" s="2" t="s">
        <x:v>1045</x:v>
      </x:c>
      <x:c r="X178" s="3">
        <x:v>2</x:v>
      </x:c>
      <x:c r="Y178" s="3">
        <x:v>1</x:v>
      </x:c>
      <x:c r="Z178" s="2" t="s">
        <x:v>191</x:v>
      </x:c>
      <x:c r="AA178" s="2"/>
      <x:c r="AB178" s="2"/>
      <x:c r="AC178" s="2"/>
      <x:c r="AD178" s="2"/>
      <x:c r="AE178" s="2"/>
      <x:c r="AF178" s="2"/>
      <x:c r="AG178" s="2"/>
      <x:c r="AH178" s="2"/>
      <x:c r="AI178" s="4"/>
      <x:c r="AJ178" s="2"/>
      <x:c r="AK178" s="2" t="s">
        <x:v>176</x:v>
      </x:c>
      <x:c r="AL178" s="2" t="s">
        <x:v>2857</x:v>
      </x:c>
      <x:c r="AM178" s="2">
        <x:v>28</x:v>
      </x:c>
      <x:c r="AN178" s="2">
        <x:v>28</x:v>
      </x:c>
    </x:row>
    <x:row r="179" ht="26">
      <x:c r="A179" s="2" t="s">
        <x:v>6</x:v>
      </x:c>
      <x:c r="B179" s="2" t="s">
        <x:v>14</x:v>
      </x:c>
      <x:c r="C179" s="3">
        <x:v>27</x:v>
      </x:c>
      <x:c r="D179" s="2" t="s">
        <x:v>1046</x:v>
      </x:c>
      <x:c r="E179" s="2" t="s">
        <x:v>1043</x:v>
      </x:c>
      <x:c r="F179" s="2" t="s">
        <x:v>1047</x:v>
      </x:c>
      <x:c r="G179" s="2" t="s">
        <x:v>2884</x:v>
      </x:c>
      <x:c r="H179" s="2" t="s">
        <x:v>627</x:v>
      </x:c>
      <x:c r="I179" s="2" t="s">
        <x:v>1044</x:v>
      </x:c>
      <x:c r="J179" s="2" t="s">
        <x:v>1021</x:v>
      </x:c>
      <x:c r="K179" s="2" t="n">
        <x:v>26</x:v>
      </x:c>
      <x:c r="L179" s="2" t="s">
        <x:v>1049</x:v>
      </x:c>
      <x:c r="M179" s="2" t="s">
        <x:v>1023</x:v>
      </x:c>
      <x:c r="N179" s="2">
        <x:v>2</x:v>
      </x:c>
      <x:c r="O179" s="2" t="s">
        <x:v>1024</x:v>
      </x:c>
      <x:c r="P179" s="2" t="s">
        <x:v>1025</x:v>
      </x:c>
      <x:c r="Q179" s="2"/>
      <x:c r="R179" s="3"/>
      <x:c r="S179" s="3"/>
      <x:c r="T179" s="2"/>
      <x:c r="U179" s="2"/>
      <x:c r="V179" s="2"/>
      <x:c r="W179" s="2" t="s">
        <x:v>1045</x:v>
      </x:c>
      <x:c r="X179" s="3">
        <x:v>2</x:v>
      </x:c>
      <x:c r="Y179" s="3">
        <x:v>1</x:v>
      </x:c>
      <x:c r="Z179" s="2" t="s">
        <x:v>191</x:v>
      </x:c>
      <x:c r="AA179" s="2"/>
      <x:c r="AB179" s="2"/>
      <x:c r="AC179" s="2"/>
      <x:c r="AD179" s="2"/>
      <x:c r="AE179" s="2"/>
      <x:c r="AF179" s="2"/>
      <x:c r="AG179" s="2"/>
      <x:c r="AH179" s="2"/>
      <x:c r="AI179" s="4"/>
      <x:c r="AJ179" s="2"/>
      <x:c r="AK179" s="2" t="s">
        <x:v>176</x:v>
      </x:c>
      <x:c r="AL179" s="2" t="s">
        <x:v>2857</x:v>
      </x:c>
      <x:c r="AM179" s="2">
        <x:v>29</x:v>
      </x:c>
      <x:c r="AN179" s="2">
        <x:v>29</x:v>
      </x:c>
    </x:row>
    <x:row r="180" ht="39">
      <x:c r="A180" s="2" t="s">
        <x:v>91</x:v>
      </x:c>
      <x:c r="B180" s="2" t="s">
        <x:v>14</x:v>
      </x:c>
      <x:c r="C180" s="3">
        <x:v>28</x:v>
      </x:c>
      <x:c r="D180" s="2" t="s">
        <x:v>1050</x:v>
      </x:c>
      <x:c r="E180" s="2" t="s">
        <x:v>1043</x:v>
      </x:c>
      <x:c r="F180" s="2" t="s">
        <x:v>1011</x:v>
      </x:c>
      <x:c r="G180" s="2" t="s">
        <x:v>2885</x:v>
      </x:c>
      <x:c r="H180" s="2" t="s">
        <x:v>634</x:v>
      </x:c>
      <x:c r="I180" s="2" t="s">
        <x:v>1044</x:v>
      </x:c>
      <x:c r="J180" s="2" t="s">
        <x:v>1051</x:v>
      </x:c>
      <x:c r="K180" s="2" t="n">
        <x:v>26</x:v>
      </x:c>
      <x:c r="L180" s="2" t="s">
        <x:v>1014</x:v>
      </x:c>
      <x:c r="M180" s="2" t="s">
        <x:v>1052</x:v>
      </x:c>
      <x:c r="N180" s="2">
        <x:v>2</x:v>
      </x:c>
      <x:c r="O180" s="2" t="s">
        <x:v>1016</x:v>
      </x:c>
      <x:c r="P180" s="2" t="s">
        <x:v>1053</x:v>
      </x:c>
      <x:c r="Q180" s="2"/>
      <x:c r="R180" s="3"/>
      <x:c r="S180" s="3"/>
      <x:c r="T180" s="2"/>
      <x:c r="U180" s="2"/>
      <x:c r="V180" s="2"/>
      <x:c r="W180" s="2" t="s">
        <x:v>1045</x:v>
      </x:c>
      <x:c r="X180" s="3">
        <x:v>2</x:v>
      </x:c>
      <x:c r="Y180" s="3">
        <x:v>1</x:v>
      </x:c>
      <x:c r="Z180" s="2" t="s">
        <x:v>191</x:v>
      </x:c>
      <x:c r="AA180" s="2"/>
      <x:c r="AB180" s="2"/>
      <x:c r="AC180" s="2"/>
      <x:c r="AD180" s="2"/>
      <x:c r="AE180" s="2"/>
      <x:c r="AF180" s="2"/>
      <x:c r="AG180" s="2"/>
      <x:c r="AH180" s="2"/>
      <x:c r="AI180" s="4"/>
      <x:c r="AJ180" s="2"/>
      <x:c r="AK180" s="2" t="s">
        <x:v>176</x:v>
      </x:c>
      <x:c r="AL180" s="2" t="s">
        <x:v>2857</x:v>
      </x:c>
      <x:c r="AM180" s="2">
        <x:v>30</x:v>
      </x:c>
      <x:c r="AN180" s="2">
        <x:v>30</x:v>
      </x:c>
    </x:row>
    <x:row r="181" ht="26">
      <x:c r="A181" s="2" t="s">
        <x:v>91</x:v>
      </x:c>
      <x:c r="B181" s="2" t="s">
        <x:v>14</x:v>
      </x:c>
      <x:c r="C181" s="3">
        <x:v>29</x:v>
      </x:c>
      <x:c r="D181" s="2" t="s">
        <x:v>1054</x:v>
      </x:c>
      <x:c r="E181" s="2" t="s">
        <x:v>1043</x:v>
      </x:c>
      <x:c r="F181" s="2" t="s">
        <x:v>1047</x:v>
      </x:c>
      <x:c r="G181" s="2" t="s">
        <x:v>2886</x:v>
      </x:c>
      <x:c r="H181" s="2" t="s">
        <x:v>634</x:v>
      </x:c>
      <x:c r="I181" s="2" t="s">
        <x:v>1044</x:v>
      </x:c>
      <x:c r="J181" s="2" t="s">
        <x:v>1055</x:v>
      </x:c>
      <x:c r="K181" s="2" t="n">
        <x:v>26</x:v>
      </x:c>
      <x:c r="L181" s="2" t="s">
        <x:v>1049</x:v>
      </x:c>
      <x:c r="M181" s="2" t="s">
        <x:v>1056</x:v>
      </x:c>
      <x:c r="N181" s="2">
        <x:v>2</x:v>
      </x:c>
      <x:c r="O181" s="2" t="s">
        <x:v>1024</x:v>
      </x:c>
      <x:c r="P181" s="2" t="s">
        <x:v>1057</x:v>
      </x:c>
      <x:c r="Q181" s="2"/>
      <x:c r="R181" s="3"/>
      <x:c r="S181" s="3"/>
      <x:c r="T181" s="2"/>
      <x:c r="U181" s="2"/>
      <x:c r="V181" s="2"/>
      <x:c r="W181" s="2" t="s">
        <x:v>1045</x:v>
      </x:c>
      <x:c r="X181" s="3">
        <x:v>2</x:v>
      </x:c>
      <x:c r="Y181" s="3">
        <x:v>1</x:v>
      </x:c>
      <x:c r="Z181" s="2" t="s">
        <x:v>191</x:v>
      </x:c>
      <x:c r="AA181" s="2"/>
      <x:c r="AB181" s="2"/>
      <x:c r="AC181" s="2"/>
      <x:c r="AD181" s="2"/>
      <x:c r="AE181" s="2"/>
      <x:c r="AF181" s="2"/>
      <x:c r="AG181" s="2"/>
      <x:c r="AH181" s="2"/>
      <x:c r="AI181" s="4"/>
      <x:c r="AJ181" s="2"/>
      <x:c r="AK181" s="2" t="s">
        <x:v>176</x:v>
      </x:c>
      <x:c r="AL181" s="2" t="s">
        <x:v>2857</x:v>
      </x:c>
      <x:c r="AM181" s="2">
        <x:v>31</x:v>
      </x:c>
      <x:c r="AN181" s="2">
        <x:v>31</x:v>
      </x:c>
    </x:row>
    <x:row r="182" ht="26">
      <x:c r="A182" s="2" t="s">
        <x:v>6</x:v>
      </x:c>
      <x:c r="B182" s="2" t="s">
        <x:v>14</x:v>
      </x:c>
      <x:c r="C182" s="3">
        <x:v>30</x:v>
      </x:c>
      <x:c r="D182" s="2" t="s">
        <x:v>1026</x:v>
      </x:c>
      <x:c r="E182" s="2" t="s">
        <x:v>1043</x:v>
      </x:c>
      <x:c r="F182" s="2" t="s">
        <x:v>1027</x:v>
      </x:c>
      <x:c r="G182" s="2"/>
      <x:c r="H182" s="2" t="s">
        <x:v>627</x:v>
      </x:c>
      <x:c r="I182" s="2" t="s">
        <x:v>1044</x:v>
      </x:c>
      <x:c r="J182" s="2" t="s">
        <x:v>1028</x:v>
      </x:c>
      <x:c r="K182" s="2"/>
      <x:c r="L182" s="2" t="s">
        <x:v>1029</x:v>
      </x:c>
      <x:c r="M182" s="2" t="s">
        <x:v>1023</x:v>
      </x:c>
      <x:c r="N182" s="2">
        <x:v>2</x:v>
      </x:c>
      <x:c r="O182" s="2" t="s">
        <x:v>1024</x:v>
      </x:c>
      <x:c r="P182" s="2" t="s">
        <x:v>1025</x:v>
      </x:c>
      <x:c r="Q182" s="2"/>
      <x:c r="R182" s="3"/>
      <x:c r="S182" s="3"/>
      <x:c r="T182" s="2"/>
      <x:c r="U182" s="2"/>
      <x:c r="V182" s="2"/>
      <x:c r="W182" s="2" t="s">
        <x:v>1058</x:v>
      </x:c>
      <x:c r="X182" s="3">
        <x:v>2</x:v>
      </x:c>
      <x:c r="Y182" s="3">
        <x:v>3</x:v>
      </x:c>
      <x:c r="Z182" s="2" t="s">
        <x:v>175</x:v>
      </x:c>
      <x:c r="AA182" s="2"/>
      <x:c r="AB182" s="2"/>
      <x:c r="AC182" s="2"/>
      <x:c r="AD182" s="2"/>
      <x:c r="AE182" s="2"/>
      <x:c r="AF182" s="2"/>
      <x:c r="AG182" s="2"/>
      <x:c r="AH182" s="2"/>
      <x:c r="AI182" s="4"/>
      <x:c r="AJ182" s="2"/>
      <x:c r="AK182" s="2" t="s">
        <x:v>176</x:v>
      </x:c>
      <x:c r="AL182" s="2" t="s">
        <x:v>2857</x:v>
      </x:c>
      <x:c r="AM182" s="2">
        <x:v>32</x:v>
      </x:c>
      <x:c r="AN182" s="2">
        <x:v>32</x:v>
      </x:c>
    </x:row>
    <x:row r="183" ht="39">
      <x:c r="A183" s="2" t="s">
        <x:v>91</x:v>
      </x:c>
      <x:c r="B183" s="2" t="s">
        <x:v>14</x:v>
      </x:c>
      <x:c r="C183" s="3">
        <x:v>31</x:v>
      </x:c>
      <x:c r="D183" s="2" t="s">
        <x:v>184</x:v>
      </x:c>
      <x:c r="E183" s="2" t="s">
        <x:v>1043</x:v>
      </x:c>
      <x:c r="F183" s="2" t="s">
        <x:v>1031</x:v>
      </x:c>
      <x:c r="G183" s="2" t="s">
        <x:v>158</x:v>
      </x:c>
      <x:c r="H183" s="2" t="s">
        <x:v>618</x:v>
      </x:c>
      <x:c r="I183" s="2" t="s">
        <x:v>1044</x:v>
      </x:c>
      <x:c r="J183" s="2" t="s">
        <x:v>1032</x:v>
      </x:c>
      <x:c r="K183" s="2" t="n">
        <x:v>30</x:v>
      </x:c>
      <x:c r="L183" s="2" t="s">
        <x:v>1033</x:v>
      </x:c>
      <x:c r="M183" s="2" t="s">
        <x:v>1034</x:v>
      </x:c>
      <x:c r="N183" s="2">
        <x:v>2</x:v>
      </x:c>
      <x:c r="O183" s="2" t="s">
        <x:v>1024</x:v>
      </x:c>
      <x:c r="P183" s="2" t="s">
        <x:v>1035</x:v>
      </x:c>
      <x:c r="Q183" s="2"/>
      <x:c r="R183" s="3"/>
      <x:c r="S183" s="3"/>
      <x:c r="T183" s="2"/>
      <x:c r="U183" s="2"/>
      <x:c r="V183" s="2"/>
      <x:c r="W183" s="2" t="s">
        <x:v>1058</x:v>
      </x:c>
      <x:c r="X183" s="3">
        <x:v>2</x:v>
      </x:c>
      <x:c r="Y183" s="3">
        <x:v>3</x:v>
      </x:c>
      <x:c r="Z183" s="2" t="s">
        <x:v>175</x:v>
      </x:c>
      <x:c r="AA183" s="2"/>
      <x:c r="AB183" s="2"/>
      <x:c r="AC183" s="2"/>
      <x:c r="AD183" s="2"/>
      <x:c r="AE183" s="2"/>
      <x:c r="AF183" s="2"/>
      <x:c r="AG183" s="2"/>
      <x:c r="AH183" s="2"/>
      <x:c r="AI183" s="4"/>
      <x:c r="AJ183" s="2"/>
      <x:c r="AK183" s="2" t="s">
        <x:v>176</x:v>
      </x:c>
      <x:c r="AL183" s="2" t="s">
        <x:v>2857</x:v>
      </x:c>
      <x:c r="AM183" s="2">
        <x:v>33</x:v>
      </x:c>
      <x:c r="AN183" s="2">
        <x:v>33</x:v>
      </x:c>
    </x:row>
    <x:row r="184" ht="26">
      <x:c r="A184" s="2" t="s">
        <x:v>6</x:v>
      </x:c>
      <x:c r="B184" s="2" t="s">
        <x:v>14</x:v>
      </x:c>
      <x:c r="C184" s="3">
        <x:v>32</x:v>
      </x:c>
      <x:c r="D184" s="2" t="s">
        <x:v>1059</x:v>
      </x:c>
      <x:c r="E184" s="2" t="s">
        <x:v>1043</x:v>
      </x:c>
      <x:c r="F184" s="2" t="s">
        <x:v>1027</x:v>
      </x:c>
      <x:c r="G184" s="2"/>
      <x:c r="H184" s="2" t="s">
        <x:v>634</x:v>
      </x:c>
      <x:c r="I184" s="2" t="s">
        <x:v>1044</x:v>
      </x:c>
      <x:c r="J184" s="2" t="s">
        <x:v>1060</x:v>
      </x:c>
      <x:c r="K184" s="2" t="n">
        <x:v>30</x:v>
      </x:c>
      <x:c r="L184" s="2" t="s">
        <x:v>1029</x:v>
      </x:c>
      <x:c r="M184" s="2" t="s">
        <x:v>1056</x:v>
      </x:c>
      <x:c r="N184" s="2">
        <x:v>2</x:v>
      </x:c>
      <x:c r="O184" s="2" t="s">
        <x:v>1024</x:v>
      </x:c>
      <x:c r="P184" s="2" t="s">
        <x:v>1057</x:v>
      </x:c>
      <x:c r="Q184" s="2"/>
      <x:c r="R184" s="3"/>
      <x:c r="S184" s="3"/>
      <x:c r="T184" s="2"/>
      <x:c r="U184" s="2"/>
      <x:c r="V184" s="2"/>
      <x:c r="W184" s="2" t="s">
        <x:v>1058</x:v>
      </x:c>
      <x:c r="X184" s="3">
        <x:v>2</x:v>
      </x:c>
      <x:c r="Y184" s="3">
        <x:v>3</x:v>
      </x:c>
      <x:c r="Z184" s="2" t="s">
        <x:v>175</x:v>
      </x:c>
      <x:c r="AA184" s="2"/>
      <x:c r="AB184" s="2"/>
      <x:c r="AC184" s="2"/>
      <x:c r="AD184" s="2"/>
      <x:c r="AE184" s="2"/>
      <x:c r="AF184" s="2"/>
      <x:c r="AG184" s="2"/>
      <x:c r="AH184" s="2"/>
      <x:c r="AI184" s="4"/>
      <x:c r="AJ184" s="2"/>
      <x:c r="AK184" s="2" t="s">
        <x:v>176</x:v>
      </x:c>
      <x:c r="AL184" s="2" t="s">
        <x:v>2857</x:v>
      </x:c>
      <x:c r="AM184" s="2">
        <x:v>34</x:v>
      </x:c>
      <x:c r="AN184" s="2">
        <x:v>34</x:v>
      </x:c>
    </x:row>
    <x:row r="185" ht="52">
      <x:c r="A185" s="2" t="s">
        <x:v>91</x:v>
      </x:c>
      <x:c r="B185" s="2" t="s">
        <x:v>14</x:v>
      </x:c>
      <x:c r="C185" s="3">
        <x:v>33</x:v>
      </x:c>
      <x:c r="D185" s="2" t="s">
        <x:v>1061</x:v>
      </x:c>
      <x:c r="E185" s="2" t="s">
        <x:v>1043</x:v>
      </x:c>
      <x:c r="F185" s="2" t="s">
        <x:v>1031</x:v>
      </x:c>
      <x:c r="G185" s="2" t="s">
        <x:v>158</x:v>
      </x:c>
      <x:c r="H185" s="2" t="s">
        <x:v>634</x:v>
      </x:c>
      <x:c r="I185" s="2" t="s">
        <x:v>1044</x:v>
      </x:c>
      <x:c r="J185" s="2" t="s">
        <x:v>1062</x:v>
      </x:c>
      <x:c r="K185" s="2" t="n">
        <x:v>30</x:v>
      </x:c>
      <x:c r="L185" s="2" t="s">
        <x:v>1033</x:v>
      </x:c>
      <x:c r="M185" s="2" t="s">
        <x:v>1063</x:v>
      </x:c>
      <x:c r="N185" s="2">
        <x:v>2</x:v>
      </x:c>
      <x:c r="O185" s="2" t="s">
        <x:v>1024</x:v>
      </x:c>
      <x:c r="P185" s="2" t="s">
        <x:v>1053</x:v>
      </x:c>
      <x:c r="Q185" s="2"/>
      <x:c r="R185" s="3"/>
      <x:c r="S185" s="3"/>
      <x:c r="T185" s="2"/>
      <x:c r="U185" s="2"/>
      <x:c r="V185" s="2"/>
      <x:c r="W185" s="2" t="s">
        <x:v>1058</x:v>
      </x:c>
      <x:c r="X185" s="3">
        <x:v>2</x:v>
      </x:c>
      <x:c r="Y185" s="3">
        <x:v>3</x:v>
      </x:c>
      <x:c r="Z185" s="2" t="s">
        <x:v>175</x:v>
      </x:c>
      <x:c r="AA185" s="2"/>
      <x:c r="AB185" s="2"/>
      <x:c r="AC185" s="2"/>
      <x:c r="AD185" s="2"/>
      <x:c r="AE185" s="2"/>
      <x:c r="AF185" s="2"/>
      <x:c r="AG185" s="2"/>
      <x:c r="AH185" s="2"/>
      <x:c r="AI185" s="4"/>
      <x:c r="AJ185" s="2"/>
      <x:c r="AK185" s="2" t="s">
        <x:v>176</x:v>
      </x:c>
      <x:c r="AL185" s="2" t="s">
        <x:v>2857</x:v>
      </x:c>
      <x:c r="AM185" s="2">
        <x:v>35</x:v>
      </x:c>
      <x:c r="AN185" s="2">
        <x:v>35</x:v>
      </x:c>
    </x:row>
    <x:row r="186" ht="39">
      <x:c r="A186" s="2" t="s">
        <x:v>91</x:v>
      </x:c>
      <x:c r="B186" s="2" t="s">
        <x:v>14</x:v>
      </x:c>
      <x:c r="C186" s="3">
        <x:v>34</x:v>
      </x:c>
      <x:c r="D186" s="2" t="s">
        <x:v>184</x:v>
      </x:c>
      <x:c r="E186" s="2" t="s">
        <x:v>1064</x:v>
      </x:c>
      <x:c r="F186" s="2" t="s">
        <x:v>1031</x:v>
      </x:c>
      <x:c r="G186" s="2" t="s">
        <x:v>158</x:v>
      </x:c>
      <x:c r="H186" s="2" t="s">
        <x:v>618</x:v>
      </x:c>
      <x:c r="I186" s="2" t="s">
        <x:v>1065</x:v>
      </x:c>
      <x:c r="J186" s="2" t="s">
        <x:v>1032</x:v>
      </x:c>
      <x:c r="K186" s="2"/>
      <x:c r="L186" s="2" t="s">
        <x:v>1038</x:v>
      </x:c>
      <x:c r="M186" s="2" t="s">
        <x:v>1015</x:v>
      </x:c>
      <x:c r="N186" s="2">
        <x:v>3</x:v>
      </x:c>
      <x:c r="O186" s="2" t="s">
        <x:v>1024</x:v>
      </x:c>
      <x:c r="P186" s="2" t="s">
        <x:v>1035</x:v>
      </x:c>
      <x:c r="Q186" s="2"/>
      <x:c r="R186" s="3"/>
      <x:c r="S186" s="3"/>
      <x:c r="T186" s="2"/>
      <x:c r="U186" s="2"/>
      <x:c r="V186" s="2"/>
      <x:c r="W186" s="2" t="s">
        <x:v>1066</x:v>
      </x:c>
      <x:c r="X186" s="3">
        <x:v>2</x:v>
      </x:c>
      <x:c r="Y186" s="3">
        <x:v>3</x:v>
      </x:c>
      <x:c r="Z186" s="2" t="s">
        <x:v>175</x:v>
      </x:c>
      <x:c r="AA186" s="2"/>
      <x:c r="AB186" s="2"/>
      <x:c r="AC186" s="2"/>
      <x:c r="AD186" s="2"/>
      <x:c r="AE186" s="2"/>
      <x:c r="AF186" s="2"/>
      <x:c r="AG186" s="2"/>
      <x:c r="AH186" s="2"/>
      <x:c r="AI186" s="4"/>
      <x:c r="AJ186" s="2"/>
      <x:c r="AK186" s="2" t="s">
        <x:v>176</x:v>
      </x:c>
      <x:c r="AL186" s="2" t="s">
        <x:v>2857</x:v>
      </x:c>
      <x:c r="AM186" s="2">
        <x:v>36</x:v>
      </x:c>
      <x:c r="AN186" s="2">
        <x:v>36</x:v>
      </x:c>
    </x:row>
    <x:row r="187" ht="26">
      <x:c r="A187" s="2" t="s">
        <x:v>6</x:v>
      </x:c>
      <x:c r="B187" s="2" t="s">
        <x:v>14</x:v>
      </x:c>
      <x:c r="C187" s="3">
        <x:v>35</x:v>
      </x:c>
      <x:c r="D187" s="2" t="s">
        <x:v>1067</x:v>
      </x:c>
      <x:c r="E187" s="2" t="s">
        <x:v>1064</x:v>
      </x:c>
      <x:c r="F187" s="2" t="s">
        <x:v>1068</x:v>
      </x:c>
      <x:c r="G187" s="2"/>
      <x:c r="H187" s="2" t="s">
        <x:v>627</x:v>
      </x:c>
      <x:c r="I187" s="2" t="s">
        <x:v>1065</x:v>
      </x:c>
      <x:c r="J187" s="2" t="s">
        <x:v>1028</x:v>
      </x:c>
      <x:c r="K187" s="2" t="n">
        <x:v>34</x:v>
      </x:c>
      <x:c r="L187" s="2" t="s">
        <x:v>1069</x:v>
      </x:c>
      <x:c r="M187" s="2" t="s">
        <x:v>1023</x:v>
      </x:c>
      <x:c r="N187" s="2">
        <x:v>3</x:v>
      </x:c>
      <x:c r="O187" s="2" t="s">
        <x:v>1024</x:v>
      </x:c>
      <x:c r="P187" s="2" t="s">
        <x:v>1025</x:v>
      </x:c>
      <x:c r="Q187" s="2"/>
      <x:c r="R187" s="3"/>
      <x:c r="S187" s="3"/>
      <x:c r="T187" s="2"/>
      <x:c r="U187" s="2"/>
      <x:c r="V187" s="2"/>
      <x:c r="W187" s="2" t="s">
        <x:v>1066</x:v>
      </x:c>
      <x:c r="X187" s="3">
        <x:v>2</x:v>
      </x:c>
      <x:c r="Y187" s="3">
        <x:v>3</x:v>
      </x:c>
      <x:c r="Z187" s="2" t="s">
        <x:v>175</x:v>
      </x:c>
      <x:c r="AA187" s="2"/>
      <x:c r="AB187" s="2"/>
      <x:c r="AC187" s="2"/>
      <x:c r="AD187" s="2"/>
      <x:c r="AE187" s="2"/>
      <x:c r="AF187" s="2"/>
      <x:c r="AG187" s="2"/>
      <x:c r="AH187" s="2"/>
      <x:c r="AI187" s="4"/>
      <x:c r="AJ187" s="2"/>
      <x:c r="AK187" s="2" t="s">
        <x:v>176</x:v>
      </x:c>
      <x:c r="AL187" s="2" t="s">
        <x:v>2857</x:v>
      </x:c>
      <x:c r="AM187" s="2">
        <x:v>37</x:v>
      </x:c>
      <x:c r="AN187" s="2">
        <x:v>37</x:v>
      </x:c>
    </x:row>
    <x:row r="188" ht="26">
      <x:c r="A188" s="2" t="s">
        <x:v>6</x:v>
      </x:c>
      <x:c r="B188" s="2" t="s">
        <x:v>14</x:v>
      </x:c>
      <x:c r="C188" s="3">
        <x:v>36</x:v>
      </x:c>
      <x:c r="D188" s="2" t="s">
        <x:v>1070</x:v>
      </x:c>
      <x:c r="E188" s="2" t="s">
        <x:v>1064</x:v>
      </x:c>
      <x:c r="F188" s="2" t="s">
        <x:v>1071</x:v>
      </x:c>
      <x:c r="G188" s="2"/>
      <x:c r="H188" s="2" t="s">
        <x:v>627</x:v>
      </x:c>
      <x:c r="I188" s="2" t="s">
        <x:v>1065</x:v>
      </x:c>
      <x:c r="J188" s="2" t="s">
        <x:v>1021</x:v>
      </x:c>
      <x:c r="K188" s="2"/>
      <x:c r="L188" s="2" t="s">
        <x:v>1072</x:v>
      </x:c>
      <x:c r="M188" s="2" t="s">
        <x:v>1023</x:v>
      </x:c>
      <x:c r="N188" s="2">
        <x:v>3</x:v>
      </x:c>
      <x:c r="O188" s="2" t="s">
        <x:v>1024</x:v>
      </x:c>
      <x:c r="P188" s="2" t="s">
        <x:v>1025</x:v>
      </x:c>
      <x:c r="Q188" s="2"/>
      <x:c r="R188" s="3"/>
      <x:c r="S188" s="3"/>
      <x:c r="T188" s="2"/>
      <x:c r="U188" s="2"/>
      <x:c r="V188" s="2"/>
      <x:c r="W188" s="2" t="s">
        <x:v>1073</x:v>
      </x:c>
      <x:c r="X188" s="3">
        <x:v>2</x:v>
      </x:c>
      <x:c r="Y188" s="3">
        <x:v>1</x:v>
      </x:c>
      <x:c r="Z188" s="2" t="s">
        <x:v>191</x:v>
      </x:c>
      <x:c r="AA188" s="2"/>
      <x:c r="AB188" s="2"/>
      <x:c r="AC188" s="2"/>
      <x:c r="AD188" s="2"/>
      <x:c r="AE188" s="2"/>
      <x:c r="AF188" s="2"/>
      <x:c r="AG188" s="2"/>
      <x:c r="AH188" s="2"/>
      <x:c r="AI188" s="4"/>
      <x:c r="AJ188" s="2"/>
      <x:c r="AK188" s="2" t="s">
        <x:v>176</x:v>
      </x:c>
      <x:c r="AL188" s="2" t="s">
        <x:v>2857</x:v>
      </x:c>
      <x:c r="AM188" s="2">
        <x:v>38</x:v>
      </x:c>
      <x:c r="AN188" s="2">
        <x:v>38</x:v>
      </x:c>
    </x:row>
    <x:row r="189" ht="39">
      <x:c r="A189" s="2" t="s">
        <x:v>91</x:v>
      </x:c>
      <x:c r="B189" s="2" t="s">
        <x:v>14</x:v>
      </x:c>
      <x:c r="C189" s="3">
        <x:v>37</x:v>
      </x:c>
      <x:c r="D189" s="2" t="s">
        <x:v>166</x:v>
      </x:c>
      <x:c r="E189" s="2" t="s">
        <x:v>1064</x:v>
      </x:c>
      <x:c r="F189" s="2" t="s">
        <x:v>1011</x:v>
      </x:c>
      <x:c r="G189" s="2" t="s">
        <x:v>158</x:v>
      </x:c>
      <x:c r="H189" s="2" t="s">
        <x:v>618</x:v>
      </x:c>
      <x:c r="I189" s="2" t="s">
        <x:v>1065</x:v>
      </x:c>
      <x:c r="J189" s="2" t="s">
        <x:v>1013</x:v>
      </x:c>
      <x:c r="K189" s="2" t="n">
        <x:v>36</x:v>
      </x:c>
      <x:c r="L189" s="2" t="s">
        <x:v>1074</x:v>
      </x:c>
      <x:c r="M189" s="2" t="s">
        <x:v>1034</x:v>
      </x:c>
      <x:c r="N189" s="2">
        <x:v>3</x:v>
      </x:c>
      <x:c r="O189" s="2" t="s">
        <x:v>1016</x:v>
      </x:c>
      <x:c r="P189" s="2" t="s">
        <x:v>1017</x:v>
      </x:c>
      <x:c r="Q189" s="2"/>
      <x:c r="R189" s="3"/>
      <x:c r="S189" s="3"/>
      <x:c r="T189" s="2"/>
      <x:c r="U189" s="2"/>
      <x:c r="V189" s="2"/>
      <x:c r="W189" s="2" t="s">
        <x:v>1073</x:v>
      </x:c>
      <x:c r="X189" s="3">
        <x:v>2</x:v>
      </x:c>
      <x:c r="Y189" s="3">
        <x:v>1</x:v>
      </x:c>
      <x:c r="Z189" s="2" t="s">
        <x:v>191</x:v>
      </x:c>
      <x:c r="AA189" s="2"/>
      <x:c r="AB189" s="2"/>
      <x:c r="AC189" s="2"/>
      <x:c r="AD189" s="2"/>
      <x:c r="AE189" s="2"/>
      <x:c r="AF189" s="2"/>
      <x:c r="AG189" s="2"/>
      <x:c r="AH189" s="2"/>
      <x:c r="AI189" s="4"/>
      <x:c r="AJ189" s="2"/>
      <x:c r="AK189" s="2" t="s">
        <x:v>176</x:v>
      </x:c>
      <x:c r="AL189" s="2" t="s">
        <x:v>2857</x:v>
      </x:c>
      <x:c r="AM189" s="2">
        <x:v>39</x:v>
      </x:c>
      <x:c r="AN189" s="2">
        <x:v>39</x:v>
      </x:c>
    </x:row>
    <x:row r="190" ht="39">
      <x:c r="A190" s="2" t="s">
        <x:v>6</x:v>
      </x:c>
      <x:c r="B190" s="2" t="s">
        <x:v>14</x:v>
      </x:c>
      <x:c r="C190" s="3">
        <x:v>38</x:v>
      </x:c>
      <x:c r="D190" s="2" t="s">
        <x:v>184</x:v>
      </x:c>
      <x:c r="E190" s="2" t="s">
        <x:v>1075</x:v>
      </x:c>
      <x:c r="F190" s="2" t="s">
        <x:v>1076</x:v>
      </x:c>
      <x:c r="G190" s="2"/>
      <x:c r="H190" s="2" t="s">
        <x:v>1077</x:v>
      </x:c>
      <x:c r="I190" s="2" t="s">
        <x:v>1078</x:v>
      </x:c>
      <x:c r="J190" s="2" t="s">
        <x:v>1079</x:v>
      </x:c>
      <x:c r="K190" s="2"/>
      <x:c r="L190" s="2" t="s">
        <x:v>189</x:v>
      </x:c>
      <x:c r="M190" s="2" t="s">
        <x:v>1080</x:v>
      </x:c>
      <x:c r="N190" s="2">
        <x:v>6</x:v>
      </x:c>
      <x:c r="O190" s="2" t="s">
        <x:v>1081</x:v>
      </x:c>
      <x:c r="P190" s="2" t="s">
        <x:v>1082</x:v>
      </x:c>
      <x:c r="Q190" s="2"/>
      <x:c r="R190" s="3"/>
      <x:c r="S190" s="3"/>
      <x:c r="T190" s="2"/>
      <x:c r="U190" s="2"/>
      <x:c r="V190" s="2"/>
      <x:c r="W190" s="2" t="s">
        <x:v>1078</x:v>
      </x:c>
      <x:c r="X190" s="3">
        <x:v>3</x:v>
      </x:c>
      <x:c r="Y190" s="3">
        <x:v>3</x:v>
      </x:c>
      <x:c r="Z190" s="2" t="s">
        <x:v>1083</x:v>
      </x:c>
      <x:c r="AA190" s="2"/>
      <x:c r="AB190" s="2"/>
      <x:c r="AC190" s="2"/>
      <x:c r="AD190" s="2"/>
      <x:c r="AE190" s="2"/>
      <x:c r="AF190" s="2"/>
      <x:c r="AG190" s="2"/>
      <x:c r="AH190" s="2"/>
      <x:c r="AI190" s="4"/>
      <x:c r="AJ190" s="2"/>
      <x:c r="AK190" s="2" t="s">
        <x:v>176</x:v>
      </x:c>
      <x:c r="AL190" s="2" t="s">
        <x:v>2857</x:v>
      </x:c>
      <x:c r="AM190" s="2">
        <x:v>40</x:v>
      </x:c>
      <x:c r="AN190" s="2">
        <x:v>40</x:v>
      </x:c>
    </x:row>
    <x:row r="191" ht="39">
      <x:c r="A191" s="2" t="s">
        <x:v>6</x:v>
      </x:c>
      <x:c r="B191" s="2" t="s">
        <x:v>14</x:v>
      </x:c>
      <x:c r="C191" s="3">
        <x:v>39</x:v>
      </x:c>
      <x:c r="D191" s="2" t="s">
        <x:v>1084</x:v>
      </x:c>
      <x:c r="E191" s="2" t="s">
        <x:v>1085</x:v>
      </x:c>
      <x:c r="F191" s="2" t="s">
        <x:v>1086</x:v>
      </x:c>
      <x:c r="G191" s="2"/>
      <x:c r="H191" s="2" t="s">
        <x:v>1077</x:v>
      </x:c>
      <x:c r="I191" s="2" t="s">
        <x:v>1078</x:v>
      </x:c>
      <x:c r="J191" s="2" t="s">
        <x:v>1087</x:v>
      </x:c>
      <x:c r="K191" s="2"/>
      <x:c r="L191" s="2" t="s">
        <x:v>1088</x:v>
      </x:c>
      <x:c r="M191" s="2" t="s">
        <x:v>1080</x:v>
      </x:c>
      <x:c r="N191" s="2">
        <x:v>6</x:v>
      </x:c>
      <x:c r="O191" s="2" t="s">
        <x:v>1089</x:v>
      </x:c>
      <x:c r="P191" s="2" t="s">
        <x:v>1082</x:v>
      </x:c>
      <x:c r="Q191" s="2"/>
      <x:c r="R191" s="3"/>
      <x:c r="S191" s="3"/>
      <x:c r="T191" s="2"/>
      <x:c r="U191" s="2"/>
      <x:c r="V191" s="2"/>
      <x:c r="W191" s="2" t="s">
        <x:v>1078</x:v>
      </x:c>
      <x:c r="X191" s="3">
        <x:v>2</x:v>
      </x:c>
      <x:c r="Y191" s="3">
        <x:v>2</x:v>
      </x:c>
      <x:c r="Z191" s="2" t="s">
        <x:v>1083</x:v>
      </x:c>
      <x:c r="AA191" s="2"/>
      <x:c r="AB191" s="2"/>
      <x:c r="AC191" s="2"/>
      <x:c r="AD191" s="2"/>
      <x:c r="AE191" s="2"/>
      <x:c r="AF191" s="2"/>
      <x:c r="AG191" s="2"/>
      <x:c r="AH191" s="2"/>
      <x:c r="AI191" s="4"/>
      <x:c r="AJ191" s="2"/>
      <x:c r="AK191" s="2" t="s">
        <x:v>176</x:v>
      </x:c>
      <x:c r="AL191" s="2" t="s">
        <x:v>2857</x:v>
      </x:c>
      <x:c r="AM191" s="2">
        <x:v>41</x:v>
      </x:c>
      <x:c r="AN191" s="2">
        <x:v>41</x:v>
      </x:c>
    </x:row>
    <x:row r="192" ht="39">
      <x:c r="A192" s="2" t="s">
        <x:v>6</x:v>
      </x:c>
      <x:c r="B192" s="2" t="s">
        <x:v>14</x:v>
      </x:c>
      <x:c r="C192" s="3">
        <x:v>40</x:v>
      </x:c>
      <x:c r="D192" s="2" t="s">
        <x:v>166</x:v>
      </x:c>
      <x:c r="E192" s="2" t="s">
        <x:v>994</x:v>
      </x:c>
      <x:c r="F192" s="2" t="s">
        <x:v>1090</x:v>
      </x:c>
      <x:c r="G192" s="2"/>
      <x:c r="H192" s="2" t="s">
        <x:v>1077</x:v>
      </x:c>
      <x:c r="I192" s="2" t="s">
        <x:v>1078</x:v>
      </x:c>
      <x:c r="J192" s="2" t="s">
        <x:v>1091</x:v>
      </x:c>
      <x:c r="K192" s="2"/>
      <x:c r="L192" s="2" t="s">
        <x:v>1092</x:v>
      </x:c>
      <x:c r="M192" s="2" t="s">
        <x:v>1080</x:v>
      </x:c>
      <x:c r="N192" s="2">
        <x:v>6</x:v>
      </x:c>
      <x:c r="O192" s="2" t="s">
        <x:v>1089</x:v>
      </x:c>
      <x:c r="P192" s="2" t="s">
        <x:v>1082</x:v>
      </x:c>
      <x:c r="Q192" s="2"/>
      <x:c r="R192" s="3"/>
      <x:c r="S192" s="3"/>
      <x:c r="T192" s="2"/>
      <x:c r="U192" s="2"/>
      <x:c r="V192" s="2"/>
      <x:c r="W192" s="2" t="s">
        <x:v>1078</x:v>
      </x:c>
      <x:c r="X192" s="3">
        <x:v>1</x:v>
      </x:c>
      <x:c r="Y192" s="3">
        <x:v>1</x:v>
      </x:c>
      <x:c r="Z192" s="2" t="s">
        <x:v>1083</x:v>
      </x:c>
      <x:c r="AA192" s="2"/>
      <x:c r="AB192" s="2"/>
      <x:c r="AC192" s="2"/>
      <x:c r="AD192" s="2"/>
      <x:c r="AE192" s="2"/>
      <x:c r="AF192" s="2"/>
      <x:c r="AG192" s="2"/>
      <x:c r="AH192" s="2"/>
      <x:c r="AI192" s="4"/>
      <x:c r="AJ192" s="2"/>
      <x:c r="AK192" s="2" t="s">
        <x:v>176</x:v>
      </x:c>
      <x:c r="AL192" s="2" t="s">
        <x:v>2857</x:v>
      </x:c>
      <x:c r="AM192" s="2">
        <x:v>42</x:v>
      </x:c>
      <x:c r="AN192" s="2">
        <x:v>42</x:v>
      </x:c>
    </x:row>
    <x:row r="193" ht="39">
      <x:c r="A193" s="2" t="s">
        <x:v>6</x:v>
      </x:c>
      <x:c r="B193" s="2" t="s">
        <x:v>14</x:v>
      </x:c>
      <x:c r="C193" s="3">
        <x:v>41</x:v>
      </x:c>
      <x:c r="D193" s="2" t="s">
        <x:v>993</x:v>
      </x:c>
      <x:c r="E193" s="2" t="s">
        <x:v>1093</x:v>
      </x:c>
      <x:c r="F193" s="2" t="s">
        <x:v>1094</x:v>
      </x:c>
      <x:c r="G193" s="2"/>
      <x:c r="H193" s="2" t="s">
        <x:v>1077</x:v>
      </x:c>
      <x:c r="I193" s="2" t="s">
        <x:v>1078</x:v>
      </x:c>
      <x:c r="J193" s="2" t="s">
        <x:v>1095</x:v>
      </x:c>
      <x:c r="K193" s="2"/>
      <x:c r="L193" s="2" t="s">
        <x:v>1096</x:v>
      </x:c>
      <x:c r="M193" s="2" t="s">
        <x:v>1080</x:v>
      </x:c>
      <x:c r="N193" s="2">
        <x:v>6</x:v>
      </x:c>
      <x:c r="O193" s="2" t="s">
        <x:v>1089</x:v>
      </x:c>
      <x:c r="P193" s="2" t="s">
        <x:v>1082</x:v>
      </x:c>
      <x:c r="Q193" s="2"/>
      <x:c r="R193" s="3"/>
      <x:c r="S193" s="3"/>
      <x:c r="T193" s="2"/>
      <x:c r="U193" s="2"/>
      <x:c r="V193" s="2"/>
      <x:c r="W193" s="2" t="s">
        <x:v>1078</x:v>
      </x:c>
      <x:c r="X193" s="3">
        <x:v>0</x:v>
      </x:c>
      <x:c r="Y193" s="3">
        <x:v>0</x:v>
      </x:c>
      <x:c r="Z193" s="2" t="s">
        <x:v>1083</x:v>
      </x:c>
      <x:c r="AA193" s="2"/>
      <x:c r="AB193" s="2"/>
      <x:c r="AC193" s="2"/>
      <x:c r="AD193" s="2"/>
      <x:c r="AE193" s="2"/>
      <x:c r="AF193" s="2"/>
      <x:c r="AG193" s="2"/>
      <x:c r="AH193" s="2"/>
      <x:c r="AI193" s="4"/>
      <x:c r="AJ193" s="2"/>
      <x:c r="AK193" s="2" t="s">
        <x:v>176</x:v>
      </x:c>
      <x:c r="AL193" s="2" t="s">
        <x:v>2857</x:v>
      </x:c>
      <x:c r="AM193" s="2">
        <x:v>43</x:v>
      </x:c>
      <x:c r="AN193" s="2">
        <x:v>43</x:v>
      </x:c>
    </x:row>
    <x:row r="194" ht="39">
      <x:c r="A194" s="2" t="s">
        <x:v>6</x:v>
      </x:c>
      <x:c r="B194" s="2" t="s">
        <x:v>14</x:v>
      </x:c>
      <x:c r="C194" s="3">
        <x:v>42</x:v>
      </x:c>
      <x:c r="D194" s="2" t="s">
        <x:v>993</x:v>
      </x:c>
      <x:c r="E194" s="2" t="s">
        <x:v>1097</x:v>
      </x:c>
      <x:c r="F194" s="2" t="s">
        <x:v>1094</x:v>
      </x:c>
      <x:c r="G194" s="2"/>
      <x:c r="H194" s="2" t="s">
        <x:v>1077</x:v>
      </x:c>
      <x:c r="I194" s="2" t="s">
        <x:v>1098</x:v>
      </x:c>
      <x:c r="J194" s="2" t="s">
        <x:v>1095</x:v>
      </x:c>
      <x:c r="K194" s="2"/>
      <x:c r="L194" s="2" t="s">
        <x:v>1096</x:v>
      </x:c>
      <x:c r="M194" s="2" t="s">
        <x:v>1080</x:v>
      </x:c>
      <x:c r="N194" s="2">
        <x:v>6</x:v>
      </x:c>
      <x:c r="O194" s="2" t="s">
        <x:v>1081</x:v>
      </x:c>
      <x:c r="P194" s="2" t="s">
        <x:v>1082</x:v>
      </x:c>
      <x:c r="Q194" s="2"/>
      <x:c r="R194" s="3"/>
      <x:c r="S194" s="3"/>
      <x:c r="T194" s="2"/>
      <x:c r="U194" s="2"/>
      <x:c r="V194" s="2"/>
      <x:c r="W194" s="2" t="s">
        <x:v>1098</x:v>
      </x:c>
      <x:c r="X194" s="3">
        <x:v>0</x:v>
      </x:c>
      <x:c r="Y194" s="3">
        <x:v>0</x:v>
      </x:c>
      <x:c r="Z194" s="2" t="s">
        <x:v>1083</x:v>
      </x:c>
      <x:c r="AA194" s="2"/>
      <x:c r="AB194" s="2"/>
      <x:c r="AC194" s="2"/>
      <x:c r="AD194" s="2"/>
      <x:c r="AE194" s="2"/>
      <x:c r="AF194" s="2"/>
      <x:c r="AG194" s="2"/>
      <x:c r="AH194" s="2"/>
      <x:c r="AI194" s="4"/>
      <x:c r="AJ194" s="2"/>
      <x:c r="AK194" s="2" t="s">
        <x:v>176</x:v>
      </x:c>
      <x:c r="AL194" s="2" t="s">
        <x:v>2857</x:v>
      </x:c>
      <x:c r="AM194" s="2">
        <x:v>44</x:v>
      </x:c>
      <x:c r="AN194" s="2">
        <x:v>44</x:v>
      </x:c>
    </x:row>
    <x:row r="195" ht="39">
      <x:c r="A195" s="2" t="s">
        <x:v>6</x:v>
      </x:c>
      <x:c r="B195" s="2" t="s">
        <x:v>14</x:v>
      </x:c>
      <x:c r="C195" s="3">
        <x:v>43</x:v>
      </x:c>
      <x:c r="D195" s="2" t="s">
        <x:v>166</x:v>
      </x:c>
      <x:c r="E195" s="2" t="s">
        <x:v>1099</x:v>
      </x:c>
      <x:c r="F195" s="2" t="s">
        <x:v>1090</x:v>
      </x:c>
      <x:c r="G195" s="2"/>
      <x:c r="H195" s="2" t="s">
        <x:v>1077</x:v>
      </x:c>
      <x:c r="I195" s="2" t="s">
        <x:v>1098</x:v>
      </x:c>
      <x:c r="J195" s="2" t="s">
        <x:v>1091</x:v>
      </x:c>
      <x:c r="K195" s="2"/>
      <x:c r="L195" s="2" t="s">
        <x:v>1092</x:v>
      </x:c>
      <x:c r="M195" s="2" t="s">
        <x:v>1080</x:v>
      </x:c>
      <x:c r="N195" s="2">
        <x:v>6</x:v>
      </x:c>
      <x:c r="O195" s="2" t="s">
        <x:v>1089</x:v>
      </x:c>
      <x:c r="P195" s="2" t="s">
        <x:v>1082</x:v>
      </x:c>
      <x:c r="Q195" s="2"/>
      <x:c r="R195" s="3"/>
      <x:c r="S195" s="3"/>
      <x:c r="T195" s="2"/>
      <x:c r="U195" s="2"/>
      <x:c r="V195" s="2"/>
      <x:c r="W195" s="2" t="s">
        <x:v>1098</x:v>
      </x:c>
      <x:c r="X195" s="3">
        <x:v>1</x:v>
      </x:c>
      <x:c r="Y195" s="3">
        <x:v>1</x:v>
      </x:c>
      <x:c r="Z195" s="2" t="s">
        <x:v>1083</x:v>
      </x:c>
      <x:c r="AA195" s="2"/>
      <x:c r="AB195" s="2"/>
      <x:c r="AC195" s="2"/>
      <x:c r="AD195" s="2"/>
      <x:c r="AE195" s="2"/>
      <x:c r="AF195" s="2"/>
      <x:c r="AG195" s="2"/>
      <x:c r="AH195" s="2"/>
      <x:c r="AI195" s="4"/>
      <x:c r="AJ195" s="2"/>
      <x:c r="AK195" s="2" t="s">
        <x:v>176</x:v>
      </x:c>
      <x:c r="AL195" s="2" t="s">
        <x:v>2857</x:v>
      </x:c>
      <x:c r="AM195" s="2">
        <x:v>45</x:v>
      </x:c>
      <x:c r="AN195" s="2">
        <x:v>45</x:v>
      </x:c>
    </x:row>
    <x:row r="196" ht="39">
      <x:c r="A196" s="2" t="s">
        <x:v>91</x:v>
      </x:c>
      <x:c r="B196" s="2" t="s">
        <x:v>14</x:v>
      </x:c>
      <x:c r="C196" s="3">
        <x:v>44</x:v>
      </x:c>
      <x:c r="D196" s="2" t="s">
        <x:v>1084</x:v>
      </x:c>
      <x:c r="E196" s="2" t="s">
        <x:v>1100</x:v>
      </x:c>
      <x:c r="F196" s="2" t="s">
        <x:v>1086</x:v>
      </x:c>
      <x:c r="G196" s="2" t="s">
        <x:v>2887</x:v>
      </x:c>
      <x:c r="H196" s="2" t="s">
        <x:v>1077</x:v>
      </x:c>
      <x:c r="I196" s="2" t="s">
        <x:v>1098</x:v>
      </x:c>
      <x:c r="J196" s="2" t="s">
        <x:v>1087</x:v>
      </x:c>
      <x:c r="K196" s="2"/>
      <x:c r="L196" s="2" t="s">
        <x:v>1088</x:v>
      </x:c>
      <x:c r="M196" s="2" t="s">
        <x:v>1080</x:v>
      </x:c>
      <x:c r="N196" s="2">
        <x:v>6</x:v>
      </x:c>
      <x:c r="O196" s="2" t="s">
        <x:v>1089</x:v>
      </x:c>
      <x:c r="P196" s="2" t="s">
        <x:v>1082</x:v>
      </x:c>
      <x:c r="Q196" s="2"/>
      <x:c r="R196" s="3"/>
      <x:c r="S196" s="3"/>
      <x:c r="T196" s="2"/>
      <x:c r="U196" s="2"/>
      <x:c r="V196" s="2"/>
      <x:c r="W196" s="2" t="s">
        <x:v>1098</x:v>
      </x:c>
      <x:c r="X196" s="3">
        <x:v>2</x:v>
      </x:c>
      <x:c r="Y196" s="3">
        <x:v>2</x:v>
      </x:c>
      <x:c r="Z196" s="2" t="s">
        <x:v>1083</x:v>
      </x:c>
      <x:c r="AA196" s="2"/>
      <x:c r="AB196" s="2"/>
      <x:c r="AC196" s="2"/>
      <x:c r="AD196" s="2"/>
      <x:c r="AE196" s="2"/>
      <x:c r="AF196" s="2"/>
      <x:c r="AG196" s="2"/>
      <x:c r="AH196" s="2"/>
      <x:c r="AI196" s="4"/>
      <x:c r="AJ196" s="2"/>
      <x:c r="AK196" s="2" t="s">
        <x:v>176</x:v>
      </x:c>
      <x:c r="AL196" s="2" t="s">
        <x:v>2857</x:v>
      </x:c>
      <x:c r="AM196" s="2">
        <x:v>46</x:v>
      </x:c>
      <x:c r="AN196" s="2">
        <x:v>46</x:v>
      </x:c>
    </x:row>
    <x:row r="197" ht="39">
      <x:c r="A197" s="2" t="s">
        <x:v>91</x:v>
      </x:c>
      <x:c r="B197" s="2" t="s">
        <x:v>14</x:v>
      </x:c>
      <x:c r="C197" s="3">
        <x:v>45</x:v>
      </x:c>
      <x:c r="D197" s="2" t="s">
        <x:v>184</x:v>
      </x:c>
      <x:c r="E197" s="2" t="s">
        <x:v>1102</x:v>
      </x:c>
      <x:c r="F197" s="2" t="s">
        <x:v>1076</x:v>
      </x:c>
      <x:c r="G197" s="2" t="s">
        <x:v>2888</x:v>
      </x:c>
      <x:c r="H197" s="2" t="s">
        <x:v>1077</x:v>
      </x:c>
      <x:c r="I197" s="2" t="s">
        <x:v>1098</x:v>
      </x:c>
      <x:c r="J197" s="2" t="s">
        <x:v>1079</x:v>
      </x:c>
      <x:c r="K197" s="2"/>
      <x:c r="L197" s="2" t="s">
        <x:v>189</x:v>
      </x:c>
      <x:c r="M197" s="2" t="s">
        <x:v>1080</x:v>
      </x:c>
      <x:c r="N197" s="2">
        <x:v>6</x:v>
      </x:c>
      <x:c r="O197" s="2" t="s">
        <x:v>1089</x:v>
      </x:c>
      <x:c r="P197" s="2" t="s">
        <x:v>1082</x:v>
      </x:c>
      <x:c r="Q197" s="2"/>
      <x:c r="R197" s="3"/>
      <x:c r="S197" s="3"/>
      <x:c r="T197" s="2"/>
      <x:c r="U197" s="2"/>
      <x:c r="V197" s="2"/>
      <x:c r="W197" s="2" t="s">
        <x:v>1098</x:v>
      </x:c>
      <x:c r="X197" s="3">
        <x:v>3</x:v>
      </x:c>
      <x:c r="Y197" s="3">
        <x:v>3</x:v>
      </x:c>
      <x:c r="Z197" s="2" t="s">
        <x:v>1083</x:v>
      </x:c>
      <x:c r="AA197" s="2"/>
      <x:c r="AB197" s="2"/>
      <x:c r="AC197" s="2"/>
      <x:c r="AD197" s="2"/>
      <x:c r="AE197" s="2"/>
      <x:c r="AF197" s="2"/>
      <x:c r="AG197" s="2"/>
      <x:c r="AH197" s="2"/>
      <x:c r="AI197" s="4"/>
      <x:c r="AJ197" s="2"/>
      <x:c r="AK197" s="2" t="s">
        <x:v>176</x:v>
      </x:c>
      <x:c r="AL197" s="2" t="s">
        <x:v>2857</x:v>
      </x:c>
      <x:c r="AM197" s="2">
        <x:v>47</x:v>
      </x:c>
      <x:c r="AN197" s="2">
        <x:v>47</x:v>
      </x:c>
    </x:row>
    <x:row r="198" ht="39">
      <x:c r="A198" s="2" t="s">
        <x:v>91</x:v>
      </x:c>
      <x:c r="B198" s="2" t="s">
        <x:v>14</x:v>
      </x:c>
      <x:c r="C198" s="3">
        <x:v>46</x:v>
      </x:c>
      <x:c r="D198" s="2" t="s">
        <x:v>184</x:v>
      </x:c>
      <x:c r="E198" s="2" t="s">
        <x:v>1104</x:v>
      </x:c>
      <x:c r="F198" s="2" t="s">
        <x:v>1031</x:v>
      </x:c>
      <x:c r="G198" s="2"/>
      <x:c r="H198" s="2" t="s">
        <x:v>618</x:v>
      </x:c>
      <x:c r="I198" s="2" t="s">
        <x:v>1105</x:v>
      </x:c>
      <x:c r="J198" s="2" t="s">
        <x:v>1032</x:v>
      </x:c>
      <x:c r="K198" s="2"/>
      <x:c r="L198" s="2" t="s">
        <x:v>1106</x:v>
      </x:c>
      <x:c r="M198" s="2" t="s">
        <x:v>1107</x:v>
      </x:c>
      <x:c r="N198" s="2">
        <x:v>3</x:v>
      </x:c>
      <x:c r="O198" s="2" t="s">
        <x:v>1024</x:v>
      </x:c>
      <x:c r="P198" s="2" t="s">
        <x:v>1035</x:v>
      </x:c>
      <x:c r="Q198" s="2"/>
      <x:c r="R198" s="3"/>
      <x:c r="S198" s="3"/>
      <x:c r="T198" s="2"/>
      <x:c r="U198" s="2"/>
      <x:c r="V198" s="2"/>
      <x:c r="W198" s="2" t="s">
        <x:v>1108</x:v>
      </x:c>
      <x:c r="X198" s="3">
        <x:v>2</x:v>
      </x:c>
      <x:c r="Y198" s="3">
        <x:v>3</x:v>
      </x:c>
      <x:c r="Z198" s="2" t="s">
        <x:v>175</x:v>
      </x:c>
      <x:c r="AA198" s="2"/>
      <x:c r="AB198" s="2"/>
      <x:c r="AC198" s="2"/>
      <x:c r="AD198" s="2"/>
      <x:c r="AE198" s="2"/>
      <x:c r="AF198" s="2"/>
      <x:c r="AG198" s="2"/>
      <x:c r="AH198" s="2"/>
      <x:c r="AI198" s="4"/>
      <x:c r="AJ198" s="2"/>
      <x:c r="AK198" s="2" t="s">
        <x:v>176</x:v>
      </x:c>
      <x:c r="AL198" s="2" t="s">
        <x:v>2857</x:v>
      </x:c>
      <x:c r="AM198" s="2">
        <x:v>48</x:v>
      </x:c>
      <x:c r="AN198" s="2">
        <x:v>48</x:v>
      </x:c>
    </x:row>
    <x:row r="199" ht="26">
      <x:c r="A199" s="2" t="s">
        <x:v>6</x:v>
      </x:c>
      <x:c r="B199" s="2" t="s">
        <x:v>14</x:v>
      </x:c>
      <x:c r="C199" s="3">
        <x:v>47</x:v>
      </x:c>
      <x:c r="D199" s="2" t="s">
        <x:v>1109</x:v>
      </x:c>
      <x:c r="E199" s="2" t="s">
        <x:v>1104</x:v>
      </x:c>
      <x:c r="F199" s="2" t="s">
        <x:v>1110</x:v>
      </x:c>
      <x:c r="G199" s="2"/>
      <x:c r="H199" s="2" t="s">
        <x:v>627</x:v>
      </x:c>
      <x:c r="I199" s="2" t="s">
        <x:v>1105</x:v>
      </x:c>
      <x:c r="J199" s="2" t="s">
        <x:v>1028</x:v>
      </x:c>
      <x:c r="K199" s="2" t="n">
        <x:v>46</x:v>
      </x:c>
      <x:c r="L199" s="2" t="s">
        <x:v>1111</x:v>
      </x:c>
      <x:c r="M199" s="2" t="s">
        <x:v>1023</x:v>
      </x:c>
      <x:c r="N199" s="2">
        <x:v>3</x:v>
      </x:c>
      <x:c r="O199" s="2" t="s">
        <x:v>1024</x:v>
      </x:c>
      <x:c r="P199" s="2" t="s">
        <x:v>1025</x:v>
      </x:c>
      <x:c r="Q199" s="2"/>
      <x:c r="R199" s="3"/>
      <x:c r="S199" s="3"/>
      <x:c r="T199" s="2"/>
      <x:c r="U199" s="2"/>
      <x:c r="V199" s="2"/>
      <x:c r="W199" s="2" t="s">
        <x:v>1108</x:v>
      </x:c>
      <x:c r="X199" s="3">
        <x:v>2</x:v>
      </x:c>
      <x:c r="Y199" s="3">
        <x:v>3</x:v>
      </x:c>
      <x:c r="Z199" s="2" t="s">
        <x:v>175</x:v>
      </x:c>
      <x:c r="AA199" s="2"/>
      <x:c r="AB199" s="2"/>
      <x:c r="AC199" s="2"/>
      <x:c r="AD199" s="2"/>
      <x:c r="AE199" s="2"/>
      <x:c r="AF199" s="2"/>
      <x:c r="AG199" s="2"/>
      <x:c r="AH199" s="2"/>
      <x:c r="AI199" s="4"/>
      <x:c r="AJ199" s="2"/>
      <x:c r="AK199" s="2" t="s">
        <x:v>176</x:v>
      </x:c>
      <x:c r="AL199" s="2" t="s">
        <x:v>2857</x:v>
      </x:c>
      <x:c r="AM199" s="2">
        <x:v>49</x:v>
      </x:c>
      <x:c r="AN199" s="2">
        <x:v>49</x:v>
      </x:c>
    </x:row>
    <x:row r="200" ht="26">
      <x:c r="A200" s="2" t="s">
        <x:v>6</x:v>
      </x:c>
      <x:c r="B200" s="2" t="s">
        <x:v>14</x:v>
      </x:c>
      <x:c r="C200" s="3">
        <x:v>48</x:v>
      </x:c>
      <x:c r="D200" s="2" t="s">
        <x:v>1019</x:v>
      </x:c>
      <x:c r="E200" s="2" t="s">
        <x:v>1104</x:v>
      </x:c>
      <x:c r="F200" s="2" t="s">
        <x:v>1020</x:v>
      </x:c>
      <x:c r="G200" s="2"/>
      <x:c r="H200" s="2" t="s">
        <x:v>627</x:v>
      </x:c>
      <x:c r="I200" s="2" t="s">
        <x:v>1105</x:v>
      </x:c>
      <x:c r="J200" s="2" t="s">
        <x:v>1021</x:v>
      </x:c>
      <x:c r="K200" s="2"/>
      <x:c r="L200" s="2" t="s">
        <x:v>1022</x:v>
      </x:c>
      <x:c r="M200" s="2" t="s">
        <x:v>1023</x:v>
      </x:c>
      <x:c r="N200" s="2">
        <x:v>3</x:v>
      </x:c>
      <x:c r="O200" s="2" t="s">
        <x:v>1024</x:v>
      </x:c>
      <x:c r="P200" s="2" t="s">
        <x:v>1025</x:v>
      </x:c>
      <x:c r="Q200" s="2"/>
      <x:c r="R200" s="3"/>
      <x:c r="S200" s="3"/>
      <x:c r="T200" s="2"/>
      <x:c r="U200" s="2"/>
      <x:c r="V200" s="2"/>
      <x:c r="W200" s="2" t="s">
        <x:v>1113</x:v>
      </x:c>
      <x:c r="X200" s="3">
        <x:v>2</x:v>
      </x:c>
      <x:c r="Y200" s="3">
        <x:v>1</x:v>
      </x:c>
      <x:c r="Z200" s="2" t="s">
        <x:v>191</x:v>
      </x:c>
      <x:c r="AA200" s="2"/>
      <x:c r="AB200" s="2"/>
      <x:c r="AC200" s="2"/>
      <x:c r="AD200" s="2"/>
      <x:c r="AE200" s="2"/>
      <x:c r="AF200" s="2"/>
      <x:c r="AG200" s="2"/>
      <x:c r="AH200" s="2"/>
      <x:c r="AI200" s="4"/>
      <x:c r="AJ200" s="2"/>
      <x:c r="AK200" s="2" t="s">
        <x:v>176</x:v>
      </x:c>
      <x:c r="AL200" s="2" t="s">
        <x:v>2857</x:v>
      </x:c>
      <x:c r="AM200" s="2">
        <x:v>50</x:v>
      </x:c>
      <x:c r="AN200" s="2">
        <x:v>50</x:v>
      </x:c>
    </x:row>
    <x:row r="201" ht="39">
      <x:c r="A201" s="2" t="s">
        <x:v>91</x:v>
      </x:c>
      <x:c r="B201" s="2" t="s">
        <x:v>14</x:v>
      </x:c>
      <x:c r="C201" s="3">
        <x:v>49</x:v>
      </x:c>
      <x:c r="D201" s="2" t="s">
        <x:v>166</x:v>
      </x:c>
      <x:c r="E201" s="2" t="s">
        <x:v>1104</x:v>
      </x:c>
      <x:c r="F201" s="2" t="s">
        <x:v>1011</x:v>
      </x:c>
      <x:c r="G201" s="2"/>
      <x:c r="H201" s="2" t="s">
        <x:v>618</x:v>
      </x:c>
      <x:c r="I201" s="2" t="s">
        <x:v>1105</x:v>
      </x:c>
      <x:c r="J201" s="2" t="s">
        <x:v>1013</x:v>
      </x:c>
      <x:c r="K201" s="2" t="n">
        <x:v>48</x:v>
      </x:c>
      <x:c r="L201" s="2" t="s">
        <x:v>1040</x:v>
      </x:c>
      <x:c r="M201" s="2" t="s">
        <x:v>1041</x:v>
      </x:c>
      <x:c r="N201" s="2">
        <x:v>3</x:v>
      </x:c>
      <x:c r="O201" s="2" t="s">
        <x:v>1016</x:v>
      </x:c>
      <x:c r="P201" s="2" t="s">
        <x:v>1017</x:v>
      </x:c>
      <x:c r="Q201" s="2"/>
      <x:c r="R201" s="3"/>
      <x:c r="S201" s="3"/>
      <x:c r="T201" s="2"/>
      <x:c r="U201" s="2"/>
      <x:c r="V201" s="2"/>
      <x:c r="W201" s="2" t="s">
        <x:v>1113</x:v>
      </x:c>
      <x:c r="X201" s="3">
        <x:v>2</x:v>
      </x:c>
      <x:c r="Y201" s="3">
        <x:v>1</x:v>
      </x:c>
      <x:c r="Z201" s="2" t="s">
        <x:v>191</x:v>
      </x:c>
      <x:c r="AA201" s="2"/>
      <x:c r="AB201" s="2"/>
      <x:c r="AC201" s="2"/>
      <x:c r="AD201" s="2"/>
      <x:c r="AE201" s="2"/>
      <x:c r="AF201" s="2"/>
      <x:c r="AG201" s="2"/>
      <x:c r="AH201" s="2"/>
      <x:c r="AI201" s="4"/>
      <x:c r="AJ201" s="2"/>
      <x:c r="AK201" s="2" t="s">
        <x:v>176</x:v>
      </x:c>
      <x:c r="AL201" s="2" t="s">
        <x:v>2857</x:v>
      </x:c>
      <x:c r="AM201" s="2">
        <x:v>51</x:v>
      </x:c>
      <x:c r="AN201" s="2">
        <x:v>51</x:v>
      </x:c>
    </x:row>
    <x:row r="202" ht="39">
      <x:c r="A202" s="2" t="s">
        <x:v>91</x:v>
      </x:c>
      <x:c r="B202" s="2" t="s">
        <x:v>14</x:v>
      </x:c>
      <x:c r="C202" s="3">
        <x:v>50</x:v>
      </x:c>
      <x:c r="D202" s="2" t="s">
        <x:v>166</x:v>
      </x:c>
      <x:c r="E202" s="2" t="s">
        <x:v>1010</x:v>
      </x:c>
      <x:c r="F202" s="2" t="s">
        <x:v>1011</x:v>
      </x:c>
      <x:c r="G202" s="2"/>
      <x:c r="H202" s="2" t="s">
        <x:v>618</x:v>
      </x:c>
      <x:c r="I202" s="2" t="s">
        <x:v>1114</x:v>
      </x:c>
      <x:c r="J202" s="2" t="s">
        <x:v>1013</x:v>
      </x:c>
      <x:c r="K202" s="2"/>
      <x:c r="L202" s="2" t="s">
        <x:v>1014</x:v>
      </x:c>
      <x:c r="M202" s="2" t="s">
        <x:v>1015</x:v>
      </x:c>
      <x:c r="N202" s="2">
        <x:v>4</x:v>
      </x:c>
      <x:c r="O202" s="2" t="s">
        <x:v>1016</x:v>
      </x:c>
      <x:c r="P202" s="2" t="s">
        <x:v>1017</x:v>
      </x:c>
      <x:c r="Q202" s="2"/>
      <x:c r="R202" s="3"/>
      <x:c r="S202" s="3"/>
      <x:c r="T202" s="2"/>
      <x:c r="U202" s="2"/>
      <x:c r="V202" s="2"/>
      <x:c r="W202" s="2" t="s">
        <x:v>1115</x:v>
      </x:c>
      <x:c r="X202" s="3">
        <x:v>2</x:v>
      </x:c>
      <x:c r="Y202" s="3">
        <x:v>1</x:v>
      </x:c>
      <x:c r="Z202" s="2" t="s">
        <x:v>191</x:v>
      </x:c>
      <x:c r="AA202" s="2"/>
      <x:c r="AB202" s="2"/>
      <x:c r="AC202" s="2"/>
      <x:c r="AD202" s="2"/>
      <x:c r="AE202" s="2"/>
      <x:c r="AF202" s="2"/>
      <x:c r="AG202" s="2"/>
      <x:c r="AH202" s="2"/>
      <x:c r="AI202" s="4"/>
      <x:c r="AJ202" s="2"/>
      <x:c r="AK202" s="2" t="s">
        <x:v>176</x:v>
      </x:c>
      <x:c r="AL202" s="2" t="s">
        <x:v>2857</x:v>
      </x:c>
      <x:c r="AM202" s="2">
        <x:v>52</x:v>
      </x:c>
      <x:c r="AN202" s="2">
        <x:v>52</x:v>
      </x:c>
    </x:row>
    <x:row r="203" ht="39">
      <x:c r="A203" s="2" t="s">
        <x:v>91</x:v>
      </x:c>
      <x:c r="B203" s="2" t="s">
        <x:v>14</x:v>
      </x:c>
      <x:c r="C203" s="3">
        <x:v>51</x:v>
      </x:c>
      <x:c r="D203" s="2" t="s">
        <x:v>184</x:v>
      </x:c>
      <x:c r="E203" s="2" t="s">
        <x:v>1010</x:v>
      </x:c>
      <x:c r="F203" s="2" t="s">
        <x:v>1031</x:v>
      </x:c>
      <x:c r="G203" s="2"/>
      <x:c r="H203" s="2" t="s">
        <x:v>618</x:v>
      </x:c>
      <x:c r="I203" s="2" t="s">
        <x:v>1114</x:v>
      </x:c>
      <x:c r="J203" s="2" t="s">
        <x:v>1032</x:v>
      </x:c>
      <x:c r="K203" s="2" t="n">
        <x:v>50</x:v>
      </x:c>
      <x:c r="L203" s="2" t="s">
        <x:v>1033</x:v>
      </x:c>
      <x:c r="M203" s="2" t="s">
        <x:v>1034</x:v>
      </x:c>
      <x:c r="N203" s="2">
        <x:v>4</x:v>
      </x:c>
      <x:c r="O203" s="2" t="s">
        <x:v>1024</x:v>
      </x:c>
      <x:c r="P203" s="2" t="s">
        <x:v>1035</x:v>
      </x:c>
      <x:c r="Q203" s="2"/>
      <x:c r="R203" s="3"/>
      <x:c r="S203" s="3"/>
      <x:c r="T203" s="2"/>
      <x:c r="U203" s="2"/>
      <x:c r="V203" s="2"/>
      <x:c r="W203" s="2" t="s">
        <x:v>1116</x:v>
      </x:c>
      <x:c r="X203" s="3">
        <x:v>2</x:v>
      </x:c>
      <x:c r="Y203" s="3">
        <x:v>3</x:v>
      </x:c>
      <x:c r="Z203" s="2" t="s">
        <x:v>175</x:v>
      </x:c>
      <x:c r="AA203" s="2"/>
      <x:c r="AB203" s="2"/>
      <x:c r="AC203" s="2"/>
      <x:c r="AD203" s="2"/>
      <x:c r="AE203" s="2"/>
      <x:c r="AF203" s="2"/>
      <x:c r="AG203" s="2"/>
      <x:c r="AH203" s="2"/>
      <x:c r="AI203" s="4"/>
      <x:c r="AJ203" s="2"/>
      <x:c r="AK203" s="2" t="s">
        <x:v>176</x:v>
      </x:c>
      <x:c r="AL203" s="2" t="s">
        <x:v>2857</x:v>
      </x:c>
      <x:c r="AM203" s="2">
        <x:v>53</x:v>
      </x:c>
      <x:c r="AN203" s="2">
        <x:v>53</x:v>
      </x:c>
    </x:row>
    <x:row r="204" ht="39">
      <x:c r="A204" s="2" t="s">
        <x:v>91</x:v>
      </x:c>
      <x:c r="B204" s="2" t="s">
        <x:v>14</x:v>
      </x:c>
      <x:c r="C204" s="3">
        <x:v>52</x:v>
      </x:c>
      <x:c r="D204" s="2" t="s">
        <x:v>166</x:v>
      </x:c>
      <x:c r="E204" s="2" t="s">
        <x:v>1117</x:v>
      </x:c>
      <x:c r="F204" s="2" t="s">
        <x:v>1011</x:v>
      </x:c>
      <x:c r="G204" s="2"/>
      <x:c r="H204" s="2" t="s">
        <x:v>618</x:v>
      </x:c>
      <x:c r="I204" s="2" t="s">
        <x:v>1118</x:v>
      </x:c>
      <x:c r="J204" s="2" t="s">
        <x:v>1013</x:v>
      </x:c>
      <x:c r="K204" s="2"/>
      <x:c r="L204" s="2" t="s">
        <x:v>1014</x:v>
      </x:c>
      <x:c r="M204" s="2" t="s">
        <x:v>1015</x:v>
      </x:c>
      <x:c r="N204" s="2">
        <x:v>4</x:v>
      </x:c>
      <x:c r="O204" s="2" t="s">
        <x:v>1016</x:v>
      </x:c>
      <x:c r="P204" s="2" t="s">
        <x:v>1017</x:v>
      </x:c>
      <x:c r="Q204" s="2"/>
      <x:c r="R204" s="3"/>
      <x:c r="S204" s="3"/>
      <x:c r="T204" s="2"/>
      <x:c r="U204" s="2"/>
      <x:c r="V204" s="2"/>
      <x:c r="W204" s="2" t="s">
        <x:v>1119</x:v>
      </x:c>
      <x:c r="X204" s="3">
        <x:v>2</x:v>
      </x:c>
      <x:c r="Y204" s="3">
        <x:v>1</x:v>
      </x:c>
      <x:c r="Z204" s="2" t="s">
        <x:v>191</x:v>
      </x:c>
      <x:c r="AA204" s="2"/>
      <x:c r="AB204" s="2"/>
      <x:c r="AC204" s="2"/>
      <x:c r="AD204" s="2"/>
      <x:c r="AE204" s="2"/>
      <x:c r="AF204" s="2"/>
      <x:c r="AG204" s="2"/>
      <x:c r="AH204" s="2"/>
      <x:c r="AI204" s="4"/>
      <x:c r="AJ204" s="2"/>
      <x:c r="AK204" s="2" t="s">
        <x:v>176</x:v>
      </x:c>
      <x:c r="AL204" s="2" t="s">
        <x:v>2857</x:v>
      </x:c>
      <x:c r="AM204" s="2">
        <x:v>54</x:v>
      </x:c>
      <x:c r="AN204" s="2">
        <x:v>54</x:v>
      </x:c>
    </x:row>
    <x:row r="205" ht="39">
      <x:c r="A205" s="2" t="s">
        <x:v>91</x:v>
      </x:c>
      <x:c r="B205" s="2" t="s">
        <x:v>14</x:v>
      </x:c>
      <x:c r="C205" s="3">
        <x:v>53</x:v>
      </x:c>
      <x:c r="D205" s="2" t="s">
        <x:v>184</x:v>
      </x:c>
      <x:c r="E205" s="2" t="s">
        <x:v>1117</x:v>
      </x:c>
      <x:c r="F205" s="2" t="s">
        <x:v>1031</x:v>
      </x:c>
      <x:c r="G205" s="2"/>
      <x:c r="H205" s="2" t="s">
        <x:v>618</x:v>
      </x:c>
      <x:c r="I205" s="2" t="s">
        <x:v>1118</x:v>
      </x:c>
      <x:c r="J205" s="2" t="s">
        <x:v>1032</x:v>
      </x:c>
      <x:c r="K205" s="2" t="n">
        <x:v>52</x:v>
      </x:c>
      <x:c r="L205" s="2" t="s">
        <x:v>1120</x:v>
      </x:c>
      <x:c r="M205" s="2" t="s">
        <x:v>1041</x:v>
      </x:c>
      <x:c r="N205" s="2">
        <x:v>4</x:v>
      </x:c>
      <x:c r="O205" s="2" t="s">
        <x:v>1024</x:v>
      </x:c>
      <x:c r="P205" s="2" t="s">
        <x:v>1035</x:v>
      </x:c>
      <x:c r="Q205" s="2"/>
      <x:c r="R205" s="3"/>
      <x:c r="S205" s="3"/>
      <x:c r="T205" s="2"/>
      <x:c r="U205" s="2"/>
      <x:c r="V205" s="2"/>
      <x:c r="W205" s="2" t="s">
        <x:v>1121</x:v>
      </x:c>
      <x:c r="X205" s="3">
        <x:v>2</x:v>
      </x:c>
      <x:c r="Y205" s="3">
        <x:v>3</x:v>
      </x:c>
      <x:c r="Z205" s="2" t="s">
        <x:v>175</x:v>
      </x:c>
      <x:c r="AA205" s="2"/>
      <x:c r="AB205" s="2"/>
      <x:c r="AC205" s="2"/>
      <x:c r="AD205" s="2"/>
      <x:c r="AE205" s="2"/>
      <x:c r="AF205" s="2"/>
      <x:c r="AG205" s="2"/>
      <x:c r="AH205" s="2"/>
      <x:c r="AI205" s="4"/>
      <x:c r="AJ205" s="2"/>
      <x:c r="AK205" s="2" t="s">
        <x:v>176</x:v>
      </x:c>
      <x:c r="AL205" s="2" t="s">
        <x:v>2857</x:v>
      </x:c>
      <x:c r="AM205" s="2">
        <x:v>55</x:v>
      </x:c>
      <x:c r="AN205" s="2">
        <x:v>55</x:v>
      </x:c>
    </x:row>
    <x:row r="206" ht="39">
      <x:c r="A206" s="2" t="s">
        <x:v>6</x:v>
      </x:c>
      <x:c r="B206" s="2" t="s">
        <x:v>14</x:v>
      </x:c>
      <x:c r="C206" s="3">
        <x:v>54</x:v>
      </x:c>
      <x:c r="D206" s="2" t="s">
        <x:v>977</x:v>
      </x:c>
      <x:c r="E206" s="2" t="s">
        <x:v>1122</x:v>
      </x:c>
      <x:c r="F206" s="2" t="s">
        <x:v>1123</x:v>
      </x:c>
      <x:c r="G206" s="2"/>
      <x:c r="H206" s="2" t="s">
        <x:v>1124</x:v>
      </x:c>
      <x:c r="I206" s="2" t="s">
        <x:v>1125</x:v>
      </x:c>
      <x:c r="J206" s="2" t="s">
        <x:v>1126</x:v>
      </x:c>
      <x:c r="K206" s="2"/>
      <x:c r="L206" s="2" t="s">
        <x:v>1127</x:v>
      </x:c>
      <x:c r="M206" s="2" t="s">
        <x:v>1128</x:v>
      </x:c>
      <x:c r="N206" s="2">
        <x:v>5</x:v>
      </x:c>
      <x:c r="O206" s="2" t="s">
        <x:v>1129</x:v>
      </x:c>
      <x:c r="P206" s="2" t="s">
        <x:v>1130</x:v>
      </x:c>
      <x:c r="Q206" s="2"/>
      <x:c r="R206" s="3"/>
      <x:c r="S206" s="3"/>
      <x:c r="T206" s="2"/>
      <x:c r="U206" s="2"/>
      <x:c r="V206" s="2"/>
      <x:c r="W206" s="2" t="s">
        <x:v>1131</x:v>
      </x:c>
      <x:c r="X206" s="3">
        <x:v>1</x:v>
      </x:c>
      <x:c r="Y206" s="3">
        <x:v>0</x:v>
      </x:c>
      <x:c r="Z206" s="2" t="s">
        <x:v>191</x:v>
      </x:c>
      <x:c r="AA206" s="2"/>
      <x:c r="AB206" s="2"/>
      <x:c r="AC206" s="2"/>
      <x:c r="AD206" s="2"/>
      <x:c r="AE206" s="2"/>
      <x:c r="AF206" s="2"/>
      <x:c r="AG206" s="2"/>
      <x:c r="AH206" s="2"/>
      <x:c r="AI206" s="4"/>
      <x:c r="AJ206" s="2"/>
      <x:c r="AK206" s="2" t="s">
        <x:v>176</x:v>
      </x:c>
      <x:c r="AL206" s="2" t="s">
        <x:v>2857</x:v>
      </x:c>
      <x:c r="AM206" s="2">
        <x:v>56</x:v>
      </x:c>
      <x:c r="AN206" s="2">
        <x:v>56</x:v>
      </x:c>
    </x:row>
    <x:row r="207" ht="39">
      <x:c r="A207" s="2" t="s">
        <x:v>91</x:v>
      </x:c>
      <x:c r="B207" s="2" t="s">
        <x:v>14</x:v>
      </x:c>
      <x:c r="C207" s="3">
        <x:v>55</x:v>
      </x:c>
      <x:c r="D207" s="2" t="s">
        <x:v>985</x:v>
      </x:c>
      <x:c r="E207" s="2" t="s">
        <x:v>1122</x:v>
      </x:c>
      <x:c r="F207" s="2" t="s">
        <x:v>1132</x:v>
      </x:c>
      <x:c r="G207" s="2" t="s">
        <x:v>158</x:v>
      </x:c>
      <x:c r="H207" s="2" t="s">
        <x:v>1124</x:v>
      </x:c>
      <x:c r="I207" s="2" t="s">
        <x:v>1125</x:v>
      </x:c>
      <x:c r="J207" s="2" t="s">
        <x:v>1133</x:v>
      </x:c>
      <x:c r="K207" s="2" t="n">
        <x:v>54</x:v>
      </x:c>
      <x:c r="L207" s="2" t="s">
        <x:v>1134</x:v>
      </x:c>
      <x:c r="M207" s="2" t="s">
        <x:v>1128</x:v>
      </x:c>
      <x:c r="N207" s="2">
        <x:v>5</x:v>
      </x:c>
      <x:c r="O207" s="2" t="s">
        <x:v>1135</x:v>
      </x:c>
      <x:c r="P207" s="2" t="s">
        <x:v>1136</x:v>
      </x:c>
      <x:c r="Q207" s="2"/>
      <x:c r="R207" s="3"/>
      <x:c r="S207" s="3"/>
      <x:c r="T207" s="2"/>
      <x:c r="U207" s="2"/>
      <x:c r="V207" s="2"/>
      <x:c r="W207" s="2" t="s">
        <x:v>1131</x:v>
      </x:c>
      <x:c r="X207" s="3">
        <x:v>1</x:v>
      </x:c>
      <x:c r="Y207" s="3">
        <x:v>2</x:v>
      </x:c>
      <x:c r="Z207" s="2" t="s">
        <x:v>175</x:v>
      </x:c>
      <x:c r="AA207" s="2"/>
      <x:c r="AB207" s="2"/>
      <x:c r="AC207" s="2"/>
      <x:c r="AD207" s="2"/>
      <x:c r="AE207" s="2"/>
      <x:c r="AF207" s="2"/>
      <x:c r="AG207" s="2"/>
      <x:c r="AH207" s="2"/>
      <x:c r="AI207" s="4"/>
      <x:c r="AJ207" s="2"/>
      <x:c r="AK207" s="2" t="s">
        <x:v>176</x:v>
      </x:c>
      <x:c r="AL207" s="2" t="s">
        <x:v>2857</x:v>
      </x:c>
      <x:c r="AM207" s="2">
        <x:v>57</x:v>
      </x:c>
      <x:c r="AN207" s="2">
        <x:v>57</x:v>
      </x:c>
    </x:row>
    <x:row r="208" ht="39">
      <x:c r="A208" s="2" t="s">
        <x:v>91</x:v>
      </x:c>
      <x:c r="B208" s="2" t="s">
        <x:v>14</x:v>
      </x:c>
      <x:c r="C208" s="3">
        <x:v>56</x:v>
      </x:c>
      <x:c r="D208" s="2" t="s">
        <x:v>985</x:v>
      </x:c>
      <x:c r="E208" s="2" t="s">
        <x:v>1137</x:v>
      </x:c>
      <x:c r="F208" s="2" t="s">
        <x:v>1138</x:v>
      </x:c>
      <x:c r="G208" s="2" t="s">
        <x:v>158</x:v>
      </x:c>
      <x:c r="H208" s="2" t="s">
        <x:v>1124</x:v>
      </x:c>
      <x:c r="I208" s="2" t="s">
        <x:v>1125</x:v>
      </x:c>
      <x:c r="J208" s="2" t="s">
        <x:v>1139</x:v>
      </x:c>
      <x:c r="K208" s="2"/>
      <x:c r="L208" s="2" t="s">
        <x:v>1134</x:v>
      </x:c>
      <x:c r="M208" s="2" t="s">
        <x:v>1128</x:v>
      </x:c>
      <x:c r="N208" s="2">
        <x:v>5</x:v>
      </x:c>
      <x:c r="O208" s="2" t="s">
        <x:v>1140</x:v>
      </x:c>
      <x:c r="P208" s="2" t="s">
        <x:v>1130</x:v>
      </x:c>
      <x:c r="Q208" s="2"/>
      <x:c r="R208" s="3"/>
      <x:c r="S208" s="3"/>
      <x:c r="T208" s="2"/>
      <x:c r="U208" s="2"/>
      <x:c r="V208" s="2"/>
      <x:c r="W208" s="2" t="s">
        <x:v>1141</x:v>
      </x:c>
      <x:c r="X208" s="3">
        <x:v>1</x:v>
      </x:c>
      <x:c r="Y208" s="3">
        <x:v>2</x:v>
      </x:c>
      <x:c r="Z208" s="2" t="s">
        <x:v>175</x:v>
      </x:c>
      <x:c r="AA208" s="2"/>
      <x:c r="AB208" s="2"/>
      <x:c r="AC208" s="2"/>
      <x:c r="AD208" s="2"/>
      <x:c r="AE208" s="2"/>
      <x:c r="AF208" s="2"/>
      <x:c r="AG208" s="2"/>
      <x:c r="AH208" s="2"/>
      <x:c r="AI208" s="4"/>
      <x:c r="AJ208" s="2"/>
      <x:c r="AK208" s="2" t="s">
        <x:v>176</x:v>
      </x:c>
      <x:c r="AL208" s="2" t="s">
        <x:v>2857</x:v>
      </x:c>
      <x:c r="AM208" s="2">
        <x:v>58</x:v>
      </x:c>
      <x:c r="AN208" s="2">
        <x:v>58</x:v>
      </x:c>
    </x:row>
    <x:row r="209" ht="39">
      <x:c r="A209" s="2" t="s">
        <x:v>6</x:v>
      </x:c>
      <x:c r="B209" s="2" t="s">
        <x:v>14</x:v>
      </x:c>
      <x:c r="C209" s="3">
        <x:v>57</x:v>
      </x:c>
      <x:c r="D209" s="2" t="s">
        <x:v>977</x:v>
      </x:c>
      <x:c r="E209" s="2" t="s">
        <x:v>1137</x:v>
      </x:c>
      <x:c r="F209" s="2" t="s">
        <x:v>1142</x:v>
      </x:c>
      <x:c r="G209" s="2"/>
      <x:c r="H209" s="2" t="s">
        <x:v>1124</x:v>
      </x:c>
      <x:c r="I209" s="2" t="s">
        <x:v>1125</x:v>
      </x:c>
      <x:c r="J209" s="2" t="s">
        <x:v>1144</x:v>
      </x:c>
      <x:c r="K209" s="2" t="n">
        <x:v>56</x:v>
      </x:c>
      <x:c r="L209" s="2" t="s">
        <x:v>1127</x:v>
      </x:c>
      <x:c r="M209" s="2" t="s">
        <x:v>1128</x:v>
      </x:c>
      <x:c r="N209" s="2">
        <x:v>5</x:v>
      </x:c>
      <x:c r="O209" s="2" t="s">
        <x:v>1135</x:v>
      </x:c>
      <x:c r="P209" s="2" t="s">
        <x:v>1136</x:v>
      </x:c>
      <x:c r="Q209" s="2"/>
      <x:c r="R209" s="3"/>
      <x:c r="S209" s="3"/>
      <x:c r="T209" s="2"/>
      <x:c r="U209" s="2"/>
      <x:c r="V209" s="2"/>
      <x:c r="W209" s="2" t="s">
        <x:v>1141</x:v>
      </x:c>
      <x:c r="X209" s="3">
        <x:v>1</x:v>
      </x:c>
      <x:c r="Y209" s="3">
        <x:v>0</x:v>
      </x:c>
      <x:c r="Z209" s="2" t="s">
        <x:v>191</x:v>
      </x:c>
      <x:c r="AA209" s="2"/>
      <x:c r="AB209" s="2"/>
      <x:c r="AC209" s="2"/>
      <x:c r="AD209" s="2"/>
      <x:c r="AE209" s="2"/>
      <x:c r="AF209" s="2"/>
      <x:c r="AG209" s="2"/>
      <x:c r="AH209" s="2"/>
      <x:c r="AI209" s="4"/>
      <x:c r="AJ209" s="2"/>
      <x:c r="AK209" s="2" t="s">
        <x:v>176</x:v>
      </x:c>
      <x:c r="AL209" s="2" t="s">
        <x:v>2857</x:v>
      </x:c>
      <x:c r="AM209" s="2">
        <x:v>59</x:v>
      </x:c>
      <x:c r="AN209" s="2">
        <x:v>59</x:v>
      </x:c>
    </x:row>
    <x:row r="210" ht="39">
      <x:c r="A210" s="2" t="s">
        <x:v>91</x:v>
      </x:c>
      <x:c r="B210" s="2" t="s">
        <x:v>14</x:v>
      </x:c>
      <x:c r="C210" s="3">
        <x:v>58</x:v>
      </x:c>
      <x:c r="D210" s="2" t="s">
        <x:v>977</x:v>
      </x:c>
      <x:c r="E210" s="2" t="s">
        <x:v>1122</x:v>
      </x:c>
      <x:c r="F210" s="2" t="s">
        <x:v>1123</x:v>
      </x:c>
      <x:c r="G210" s="2" t="s">
        <x:v>2889</x:v>
      </x:c>
      <x:c r="H210" s="2" t="s">
        <x:v>1124</x:v>
      </x:c>
      <x:c r="I210" s="2" t="s">
        <x:v>1145</x:v>
      </x:c>
      <x:c r="J210" s="2" t="s">
        <x:v>1126</x:v>
      </x:c>
      <x:c r="K210" s="2"/>
      <x:c r="L210" s="2" t="s">
        <x:v>1127</x:v>
      </x:c>
      <x:c r="M210" s="2" t="s">
        <x:v>1128</x:v>
      </x:c>
      <x:c r="N210" s="2">
        <x:v>5</x:v>
      </x:c>
      <x:c r="O210" s="2" t="s">
        <x:v>1129</x:v>
      </x:c>
      <x:c r="P210" s="2" t="s">
        <x:v>1130</x:v>
      </x:c>
      <x:c r="Q210" s="2"/>
      <x:c r="R210" s="3"/>
      <x:c r="S210" s="3"/>
      <x:c r="T210" s="2"/>
      <x:c r="U210" s="2"/>
      <x:c r="V210" s="2"/>
      <x:c r="W210" s="2" t="s">
        <x:v>1146</x:v>
      </x:c>
      <x:c r="X210" s="3">
        <x:v>1</x:v>
      </x:c>
      <x:c r="Y210" s="3">
        <x:v>0</x:v>
      </x:c>
      <x:c r="Z210" s="2" t="s">
        <x:v>191</x:v>
      </x:c>
      <x:c r="AA210" s="2"/>
      <x:c r="AB210" s="2"/>
      <x:c r="AC210" s="2"/>
      <x:c r="AD210" s="2"/>
      <x:c r="AE210" s="2"/>
      <x:c r="AF210" s="2"/>
      <x:c r="AG210" s="2"/>
      <x:c r="AH210" s="2"/>
      <x:c r="AI210" s="4"/>
      <x:c r="AJ210" s="2"/>
      <x:c r="AK210" s="2" t="s">
        <x:v>176</x:v>
      </x:c>
      <x:c r="AL210" s="2" t="s">
        <x:v>2857</x:v>
      </x:c>
      <x:c r="AM210" s="2">
        <x:v>60</x:v>
      </x:c>
      <x:c r="AN210" s="2">
        <x:v>60</x:v>
      </x:c>
    </x:row>
    <x:row r="211" ht="39">
      <x:c r="A211" s="2" t="s">
        <x:v>91</x:v>
      </x:c>
      <x:c r="B211" s="2" t="s">
        <x:v>14</x:v>
      </x:c>
      <x:c r="C211" s="3">
        <x:v>59</x:v>
      </x:c>
      <x:c r="D211" s="2" t="s">
        <x:v>985</x:v>
      </x:c>
      <x:c r="E211" s="2" t="s">
        <x:v>1122</x:v>
      </x:c>
      <x:c r="F211" s="2" t="s">
        <x:v>1132</x:v>
      </x:c>
      <x:c r="G211" s="2" t="s">
        <x:v>158</x:v>
      </x:c>
      <x:c r="H211" s="2" t="s">
        <x:v>1124</x:v>
      </x:c>
      <x:c r="I211" s="2" t="s">
        <x:v>1145</x:v>
      </x:c>
      <x:c r="J211" s="2" t="s">
        <x:v>1133</x:v>
      </x:c>
      <x:c r="K211" s="2" t="n">
        <x:v>58</x:v>
      </x:c>
      <x:c r="L211" s="2" t="s">
        <x:v>1134</x:v>
      </x:c>
      <x:c r="M211" s="2" t="s">
        <x:v>1128</x:v>
      </x:c>
      <x:c r="N211" s="2">
        <x:v>5</x:v>
      </x:c>
      <x:c r="O211" s="2" t="s">
        <x:v>1135</x:v>
      </x:c>
      <x:c r="P211" s="2" t="s">
        <x:v>1136</x:v>
      </x:c>
      <x:c r="Q211" s="2"/>
      <x:c r="R211" s="3"/>
      <x:c r="S211" s="3"/>
      <x:c r="T211" s="2"/>
      <x:c r="U211" s="2"/>
      <x:c r="V211" s="2"/>
      <x:c r="W211" s="2" t="s">
        <x:v>1146</x:v>
      </x:c>
      <x:c r="X211" s="3">
        <x:v>1</x:v>
      </x:c>
      <x:c r="Y211" s="3">
        <x:v>2</x:v>
      </x:c>
      <x:c r="Z211" s="2" t="s">
        <x:v>175</x:v>
      </x:c>
      <x:c r="AA211" s="2"/>
      <x:c r="AB211" s="2"/>
      <x:c r="AC211" s="2"/>
      <x:c r="AD211" s="2"/>
      <x:c r="AE211" s="2"/>
      <x:c r="AF211" s="2"/>
      <x:c r="AG211" s="2"/>
      <x:c r="AH211" s="2"/>
      <x:c r="AI211" s="4"/>
      <x:c r="AJ211" s="2"/>
      <x:c r="AK211" s="2" t="s">
        <x:v>176</x:v>
      </x:c>
      <x:c r="AL211" s="2" t="s">
        <x:v>2857</x:v>
      </x:c>
      <x:c r="AM211" s="2">
        <x:v>61</x:v>
      </x:c>
      <x:c r="AN211" s="2">
        <x:v>61</x:v>
      </x:c>
    </x:row>
    <x:row r="212" ht="39">
      <x:c r="A212" s="2" t="s">
        <x:v>91</x:v>
      </x:c>
      <x:c r="B212" s="2" t="s">
        <x:v>14</x:v>
      </x:c>
      <x:c r="C212" s="3">
        <x:v>60</x:v>
      </x:c>
      <x:c r="D212" s="2" t="s">
        <x:v>985</x:v>
      </x:c>
      <x:c r="E212" s="2" t="s">
        <x:v>1137</x:v>
      </x:c>
      <x:c r="F212" s="2" t="s">
        <x:v>1138</x:v>
      </x:c>
      <x:c r="G212" s="2" t="s">
        <x:v>158</x:v>
      </x:c>
      <x:c r="H212" s="2" t="s">
        <x:v>1124</x:v>
      </x:c>
      <x:c r="I212" s="2" t="s">
        <x:v>1145</x:v>
      </x:c>
      <x:c r="J212" s="2" t="s">
        <x:v>1139</x:v>
      </x:c>
      <x:c r="K212" s="2"/>
      <x:c r="L212" s="2" t="s">
        <x:v>1134</x:v>
      </x:c>
      <x:c r="M212" s="2" t="s">
        <x:v>1128</x:v>
      </x:c>
      <x:c r="N212" s="2">
        <x:v>5</x:v>
      </x:c>
      <x:c r="O212" s="2" t="s">
        <x:v>1140</x:v>
      </x:c>
      <x:c r="P212" s="2" t="s">
        <x:v>1130</x:v>
      </x:c>
      <x:c r="Q212" s="2"/>
      <x:c r="R212" s="3"/>
      <x:c r="S212" s="3"/>
      <x:c r="T212" s="2"/>
      <x:c r="U212" s="2"/>
      <x:c r="V212" s="2"/>
      <x:c r="W212" s="2" t="s">
        <x:v>1147</x:v>
      </x:c>
      <x:c r="X212" s="3">
        <x:v>1</x:v>
      </x:c>
      <x:c r="Y212" s="3">
        <x:v>2</x:v>
      </x:c>
      <x:c r="Z212" s="2" t="s">
        <x:v>175</x:v>
      </x:c>
      <x:c r="AA212" s="2"/>
      <x:c r="AB212" s="2"/>
      <x:c r="AC212" s="2"/>
      <x:c r="AD212" s="2"/>
      <x:c r="AE212" s="2"/>
      <x:c r="AF212" s="2"/>
      <x:c r="AG212" s="2"/>
      <x:c r="AH212" s="2"/>
      <x:c r="AI212" s="4"/>
      <x:c r="AJ212" s="2"/>
      <x:c r="AK212" s="2" t="s">
        <x:v>176</x:v>
      </x:c>
      <x:c r="AL212" s="2" t="s">
        <x:v>2857</x:v>
      </x:c>
      <x:c r="AM212" s="2">
        <x:v>62</x:v>
      </x:c>
      <x:c r="AN212" s="2">
        <x:v>62</x:v>
      </x:c>
    </x:row>
    <x:row r="213" ht="39">
      <x:c r="A213" s="2" t="s">
        <x:v>91</x:v>
      </x:c>
      <x:c r="B213" s="2" t="s">
        <x:v>14</x:v>
      </x:c>
      <x:c r="C213" s="3">
        <x:v>61</x:v>
      </x:c>
      <x:c r="D213" s="2" t="s">
        <x:v>977</x:v>
      </x:c>
      <x:c r="E213" s="2" t="s">
        <x:v>1137</x:v>
      </x:c>
      <x:c r="F213" s="2" t="s">
        <x:v>1142</x:v>
      </x:c>
      <x:c r="G213" s="2" t="s">
        <x:v>158</x:v>
      </x:c>
      <x:c r="H213" s="2" t="s">
        <x:v>1124</x:v>
      </x:c>
      <x:c r="I213" s="2" t="s">
        <x:v>1145</x:v>
      </x:c>
      <x:c r="J213" s="2" t="s">
        <x:v>1144</x:v>
      </x:c>
      <x:c r="K213" s="2" t="n">
        <x:v>60</x:v>
      </x:c>
      <x:c r="L213" s="2" t="s">
        <x:v>1127</x:v>
      </x:c>
      <x:c r="M213" s="2" t="s">
        <x:v>1128</x:v>
      </x:c>
      <x:c r="N213" s="2">
        <x:v>5</x:v>
      </x:c>
      <x:c r="O213" s="2" t="s">
        <x:v>1135</x:v>
      </x:c>
      <x:c r="P213" s="2" t="s">
        <x:v>1136</x:v>
      </x:c>
      <x:c r="Q213" s="2"/>
      <x:c r="R213" s="3"/>
      <x:c r="S213" s="3"/>
      <x:c r="T213" s="2"/>
      <x:c r="U213" s="2"/>
      <x:c r="V213" s="2"/>
      <x:c r="W213" s="2" t="s">
        <x:v>1147</x:v>
      </x:c>
      <x:c r="X213" s="3">
        <x:v>1</x:v>
      </x:c>
      <x:c r="Y213" s="3">
        <x:v>0</x:v>
      </x:c>
      <x:c r="Z213" s="2" t="s">
        <x:v>191</x:v>
      </x:c>
      <x:c r="AA213" s="2"/>
      <x:c r="AB213" s="2"/>
      <x:c r="AC213" s="2"/>
      <x:c r="AD213" s="2"/>
      <x:c r="AE213" s="2"/>
      <x:c r="AF213" s="2"/>
      <x:c r="AG213" s="2"/>
      <x:c r="AH213" s="2"/>
      <x:c r="AI213" s="4"/>
      <x:c r="AJ213" s="2"/>
      <x:c r="AK213" s="2" t="s">
        <x:v>176</x:v>
      </x:c>
      <x:c r="AL213" s="2" t="s">
        <x:v>2857</x:v>
      </x:c>
      <x:c r="AM213" s="2">
        <x:v>63</x:v>
      </x:c>
      <x:c r="AN213" s="2">
        <x:v>63</x:v>
      </x:c>
    </x:row>
    <x:row r="214" ht="39">
      <x:c r="A214" s="2" t="s">
        <x:v>91</x:v>
      </x:c>
      <x:c r="B214" s="2" t="s">
        <x:v>14</x:v>
      </x:c>
      <x:c r="C214" s="3">
        <x:v>62</x:v>
      </x:c>
      <x:c r="D214" s="2" t="s">
        <x:v>166</x:v>
      </x:c>
      <x:c r="E214" s="2" t="s">
        <x:v>1117</x:v>
      </x:c>
      <x:c r="F214" s="2" t="s">
        <x:v>1011</x:v>
      </x:c>
      <x:c r="G214" s="2" t="s">
        <x:v>158</x:v>
      </x:c>
      <x:c r="H214" s="2" t="s">
        <x:v>618</x:v>
      </x:c>
      <x:c r="I214" s="2" t="s">
        <x:v>1148</x:v>
      </x:c>
      <x:c r="J214" s="2" t="s">
        <x:v>1013</x:v>
      </x:c>
      <x:c r="K214" s="2"/>
      <x:c r="L214" s="2" t="s">
        <x:v>1014</x:v>
      </x:c>
      <x:c r="M214" s="2" t="s">
        <x:v>1015</x:v>
      </x:c>
      <x:c r="N214" s="2">
        <x:v>4</x:v>
      </x:c>
      <x:c r="O214" s="2" t="s">
        <x:v>1016</x:v>
      </x:c>
      <x:c r="P214" s="2" t="s">
        <x:v>1017</x:v>
      </x:c>
      <x:c r="Q214" s="2"/>
      <x:c r="R214" s="3"/>
      <x:c r="S214" s="3"/>
      <x:c r="T214" s="2"/>
      <x:c r="U214" s="2"/>
      <x:c r="V214" s="2"/>
      <x:c r="W214" s="2" t="s">
        <x:v>1149</x:v>
      </x:c>
      <x:c r="X214" s="3">
        <x:v>2</x:v>
      </x:c>
      <x:c r="Y214" s="3">
        <x:v>1</x:v>
      </x:c>
      <x:c r="Z214" s="2" t="s">
        <x:v>191</x:v>
      </x:c>
      <x:c r="AA214" s="2"/>
      <x:c r="AB214" s="2"/>
      <x:c r="AC214" s="2"/>
      <x:c r="AD214" s="2"/>
      <x:c r="AE214" s="2"/>
      <x:c r="AF214" s="2"/>
      <x:c r="AG214" s="2"/>
      <x:c r="AH214" s="2"/>
      <x:c r="AI214" s="4"/>
      <x:c r="AJ214" s="2"/>
      <x:c r="AK214" s="2" t="s">
        <x:v>176</x:v>
      </x:c>
      <x:c r="AL214" s="2" t="s">
        <x:v>2857</x:v>
      </x:c>
      <x:c r="AM214" s="2">
        <x:v>64</x:v>
      </x:c>
      <x:c r="AN214" s="2">
        <x:v>64</x:v>
      </x:c>
    </x:row>
    <x:row r="215" ht="39">
      <x:c r="A215" s="2" t="s">
        <x:v>91</x:v>
      </x:c>
      <x:c r="B215" s="2" t="s">
        <x:v>14</x:v>
      </x:c>
      <x:c r="C215" s="3">
        <x:v>63</x:v>
      </x:c>
      <x:c r="D215" s="2" t="s">
        <x:v>184</x:v>
      </x:c>
      <x:c r="E215" s="2" t="s">
        <x:v>1117</x:v>
      </x:c>
      <x:c r="F215" s="2" t="s">
        <x:v>1031</x:v>
      </x:c>
      <x:c r="G215" s="2" t="s">
        <x:v>158</x:v>
      </x:c>
      <x:c r="H215" s="2" t="s">
        <x:v>618</x:v>
      </x:c>
      <x:c r="I215" s="2" t="s">
        <x:v>1148</x:v>
      </x:c>
      <x:c r="J215" s="2" t="s">
        <x:v>1032</x:v>
      </x:c>
      <x:c r="K215" s="2" t="n">
        <x:v>62</x:v>
      </x:c>
      <x:c r="L215" s="2" t="s">
        <x:v>1120</x:v>
      </x:c>
      <x:c r="M215" s="2" t="s">
        <x:v>1041</x:v>
      </x:c>
      <x:c r="N215" s="2">
        <x:v>4</x:v>
      </x:c>
      <x:c r="O215" s="2" t="s">
        <x:v>1024</x:v>
      </x:c>
      <x:c r="P215" s="2" t="s">
        <x:v>1035</x:v>
      </x:c>
      <x:c r="Q215" s="2"/>
      <x:c r="R215" s="3"/>
      <x:c r="S215" s="3"/>
      <x:c r="T215" s="2"/>
      <x:c r="U215" s="2"/>
      <x:c r="V215" s="2"/>
      <x:c r="W215" s="2" t="s">
        <x:v>1150</x:v>
      </x:c>
      <x:c r="X215" s="3">
        <x:v>2</x:v>
      </x:c>
      <x:c r="Y215" s="3">
        <x:v>3</x:v>
      </x:c>
      <x:c r="Z215" s="2" t="s">
        <x:v>175</x:v>
      </x:c>
      <x:c r="AA215" s="2"/>
      <x:c r="AB215" s="2"/>
      <x:c r="AC215" s="2"/>
      <x:c r="AD215" s="2"/>
      <x:c r="AE215" s="2"/>
      <x:c r="AF215" s="2"/>
      <x:c r="AG215" s="2"/>
      <x:c r="AH215" s="2"/>
      <x:c r="AI215" s="4"/>
      <x:c r="AJ215" s="2"/>
      <x:c r="AK215" s="2" t="s">
        <x:v>176</x:v>
      </x:c>
      <x:c r="AL215" s="2" t="s">
        <x:v>2857</x:v>
      </x:c>
      <x:c r="AM215" s="2">
        <x:v>65</x:v>
      </x:c>
      <x:c r="AN215" s="2">
        <x:v>65</x:v>
      </x:c>
    </x:row>
    <x:row r="216" ht="39">
      <x:c r="A216" s="2" t="s">
        <x:v>91</x:v>
      </x:c>
      <x:c r="B216" s="2" t="s">
        <x:v>14</x:v>
      </x:c>
      <x:c r="C216" s="3">
        <x:v>64</x:v>
      </x:c>
      <x:c r="D216" s="2" t="s">
        <x:v>184</x:v>
      </x:c>
      <x:c r="E216" s="2" t="s">
        <x:v>1151</x:v>
      </x:c>
      <x:c r="F216" s="2" t="s">
        <x:v>1031</x:v>
      </x:c>
      <x:c r="G216" s="2" t="s">
        <x:v>158</x:v>
      </x:c>
      <x:c r="H216" s="2" t="s">
        <x:v>618</x:v>
      </x:c>
      <x:c r="I216" s="2" t="s">
        <x:v>1152</x:v>
      </x:c>
      <x:c r="J216" s="2" t="s">
        <x:v>1032</x:v>
      </x:c>
      <x:c r="K216" s="2"/>
      <x:c r="L216" s="2" t="s">
        <x:v>1106</x:v>
      </x:c>
      <x:c r="M216" s="2" t="s">
        <x:v>1107</x:v>
      </x:c>
      <x:c r="N216" s="2">
        <x:v>4</x:v>
      </x:c>
      <x:c r="O216" s="2" t="s">
        <x:v>1024</x:v>
      </x:c>
      <x:c r="P216" s="2" t="s">
        <x:v>1035</x:v>
      </x:c>
      <x:c r="Q216" s="2"/>
      <x:c r="R216" s="3"/>
      <x:c r="S216" s="3"/>
      <x:c r="T216" s="2"/>
      <x:c r="U216" s="2"/>
      <x:c r="V216" s="2"/>
      <x:c r="W216" s="2" t="s">
        <x:v>1153</x:v>
      </x:c>
      <x:c r="X216" s="3">
        <x:v>2</x:v>
      </x:c>
      <x:c r="Y216" s="3">
        <x:v>3</x:v>
      </x:c>
      <x:c r="Z216" s="2" t="s">
        <x:v>175</x:v>
      </x:c>
      <x:c r="AA216" s="2"/>
      <x:c r="AB216" s="2"/>
      <x:c r="AC216" s="2"/>
      <x:c r="AD216" s="2"/>
      <x:c r="AE216" s="2"/>
      <x:c r="AF216" s="2"/>
      <x:c r="AG216" s="2"/>
      <x:c r="AH216" s="2"/>
      <x:c r="AI216" s="4"/>
      <x:c r="AJ216" s="2"/>
      <x:c r="AK216" s="2" t="s">
        <x:v>176</x:v>
      </x:c>
      <x:c r="AL216" s="2" t="s">
        <x:v>2857</x:v>
      </x:c>
      <x:c r="AM216" s="2">
        <x:v>66</x:v>
      </x:c>
      <x:c r="AN216" s="2">
        <x:v>66</x:v>
      </x:c>
    </x:row>
    <x:row r="217" ht="39">
      <x:c r="A217" s="2" t="s">
        <x:v>91</x:v>
      </x:c>
      <x:c r="B217" s="2" t="s">
        <x:v>14</x:v>
      </x:c>
      <x:c r="C217" s="3">
        <x:v>65</x:v>
      </x:c>
      <x:c r="D217" s="2" t="s">
        <x:v>166</x:v>
      </x:c>
      <x:c r="E217" s="2" t="s">
        <x:v>1151</x:v>
      </x:c>
      <x:c r="F217" s="2" t="s">
        <x:v>1011</x:v>
      </x:c>
      <x:c r="G217" s="2" t="s">
        <x:v>158</x:v>
      </x:c>
      <x:c r="H217" s="2" t="s">
        <x:v>618</x:v>
      </x:c>
      <x:c r="I217" s="2" t="s">
        <x:v>1152</x:v>
      </x:c>
      <x:c r="J217" s="2" t="s">
        <x:v>1013</x:v>
      </x:c>
      <x:c r="K217" s="2" t="n">
        <x:v>64</x:v>
      </x:c>
      <x:c r="L217" s="2" t="s">
        <x:v>1074</x:v>
      </x:c>
      <x:c r="M217" s="2" t="s">
        <x:v>1034</x:v>
      </x:c>
      <x:c r="N217" s="2">
        <x:v>4</x:v>
      </x:c>
      <x:c r="O217" s="2" t="s">
        <x:v>1016</x:v>
      </x:c>
      <x:c r="P217" s="2" t="s">
        <x:v>1017</x:v>
      </x:c>
      <x:c r="Q217" s="2"/>
      <x:c r="R217" s="3"/>
      <x:c r="S217" s="3"/>
      <x:c r="T217" s="2"/>
      <x:c r="U217" s="2"/>
      <x:c r="V217" s="2"/>
      <x:c r="W217" s="2" t="s">
        <x:v>1154</x:v>
      </x:c>
      <x:c r="X217" s="3">
        <x:v>2</x:v>
      </x:c>
      <x:c r="Y217" s="3">
        <x:v>1</x:v>
      </x:c>
      <x:c r="Z217" s="2" t="s">
        <x:v>191</x:v>
      </x:c>
      <x:c r="AA217" s="2"/>
      <x:c r="AB217" s="2"/>
      <x:c r="AC217" s="2"/>
      <x:c r="AD217" s="2"/>
      <x:c r="AE217" s="2"/>
      <x:c r="AF217" s="2"/>
      <x:c r="AG217" s="2"/>
      <x:c r="AH217" s="2"/>
      <x:c r="AI217" s="4"/>
      <x:c r="AJ217" s="2"/>
      <x:c r="AK217" s="2" t="s">
        <x:v>176</x:v>
      </x:c>
      <x:c r="AL217" s="2" t="s">
        <x:v>2857</x:v>
      </x:c>
      <x:c r="AM217" s="2">
        <x:v>67</x:v>
      </x:c>
      <x:c r="AN217" s="2">
        <x:v>67</x:v>
      </x:c>
    </x:row>
    <x:row r="218" ht="39">
      <x:c r="A218" s="2" t="s">
        <x:v>91</x:v>
      </x:c>
      <x:c r="B218" s="2" t="s">
        <x:v>14</x:v>
      </x:c>
      <x:c r="C218" s="3">
        <x:v>66</x:v>
      </x:c>
      <x:c r="D218" s="2" t="s">
        <x:v>184</x:v>
      </x:c>
      <x:c r="E218" s="2" t="s">
        <x:v>1151</x:v>
      </x:c>
      <x:c r="F218" s="2" t="s">
        <x:v>1031</x:v>
      </x:c>
      <x:c r="G218" s="2" t="s">
        <x:v>158</x:v>
      </x:c>
      <x:c r="H218" s="2" t="s">
        <x:v>618</x:v>
      </x:c>
      <x:c r="I218" s="2" t="s">
        <x:v>1155</x:v>
      </x:c>
      <x:c r="J218" s="2" t="s">
        <x:v>1032</x:v>
      </x:c>
      <x:c r="K218" s="2"/>
      <x:c r="L218" s="2" t="s">
        <x:v>1106</x:v>
      </x:c>
      <x:c r="M218" s="2" t="s">
        <x:v>1107</x:v>
      </x:c>
      <x:c r="N218" s="2">
        <x:v>4</x:v>
      </x:c>
      <x:c r="O218" s="2" t="s">
        <x:v>1024</x:v>
      </x:c>
      <x:c r="P218" s="2" t="s">
        <x:v>1035</x:v>
      </x:c>
      <x:c r="Q218" s="2"/>
      <x:c r="R218" s="3"/>
      <x:c r="S218" s="3"/>
      <x:c r="T218" s="2"/>
      <x:c r="U218" s="2"/>
      <x:c r="V218" s="2"/>
      <x:c r="W218" s="2" t="s">
        <x:v>1156</x:v>
      </x:c>
      <x:c r="X218" s="3">
        <x:v>2</x:v>
      </x:c>
      <x:c r="Y218" s="3">
        <x:v>3</x:v>
      </x:c>
      <x:c r="Z218" s="2" t="s">
        <x:v>175</x:v>
      </x:c>
      <x:c r="AA218" s="2"/>
      <x:c r="AB218" s="2"/>
      <x:c r="AC218" s="2"/>
      <x:c r="AD218" s="2"/>
      <x:c r="AE218" s="2"/>
      <x:c r="AF218" s="2"/>
      <x:c r="AG218" s="2"/>
      <x:c r="AH218" s="2"/>
      <x:c r="AI218" s="4"/>
      <x:c r="AJ218" s="2"/>
      <x:c r="AK218" s="2" t="s">
        <x:v>176</x:v>
      </x:c>
      <x:c r="AL218" s="2" t="s">
        <x:v>2857</x:v>
      </x:c>
      <x:c r="AM218" s="2">
        <x:v>68</x:v>
      </x:c>
      <x:c r="AN218" s="2">
        <x:v>68</x:v>
      </x:c>
    </x:row>
    <x:row r="219" ht="39">
      <x:c r="A219" s="2" t="s">
        <x:v>91</x:v>
      </x:c>
      <x:c r="B219" s="2" t="s">
        <x:v>14</x:v>
      </x:c>
      <x:c r="C219" s="3">
        <x:v>67</x:v>
      </x:c>
      <x:c r="D219" s="2" t="s">
        <x:v>166</x:v>
      </x:c>
      <x:c r="E219" s="2" t="s">
        <x:v>1151</x:v>
      </x:c>
      <x:c r="F219" s="2" t="s">
        <x:v>1011</x:v>
      </x:c>
      <x:c r="G219" s="2" t="s">
        <x:v>158</x:v>
      </x:c>
      <x:c r="H219" s="2" t="s">
        <x:v>618</x:v>
      </x:c>
      <x:c r="I219" s="2" t="s">
        <x:v>1155</x:v>
      </x:c>
      <x:c r="J219" s="2" t="s">
        <x:v>1013</x:v>
      </x:c>
      <x:c r="K219" s="2" t="n">
        <x:v>66</x:v>
      </x:c>
      <x:c r="L219" s="2" t="s">
        <x:v>1074</x:v>
      </x:c>
      <x:c r="M219" s="2" t="s">
        <x:v>1034</x:v>
      </x:c>
      <x:c r="N219" s="2">
        <x:v>4</x:v>
      </x:c>
      <x:c r="O219" s="2" t="s">
        <x:v>1016</x:v>
      </x:c>
      <x:c r="P219" s="2" t="s">
        <x:v>1017</x:v>
      </x:c>
      <x:c r="Q219" s="2"/>
      <x:c r="R219" s="3"/>
      <x:c r="S219" s="3"/>
      <x:c r="T219" s="2"/>
      <x:c r="U219" s="2"/>
      <x:c r="V219" s="2"/>
      <x:c r="W219" s="2" t="s">
        <x:v>1157</x:v>
      </x:c>
      <x:c r="X219" s="3">
        <x:v>2</x:v>
      </x:c>
      <x:c r="Y219" s="3">
        <x:v>1</x:v>
      </x:c>
      <x:c r="Z219" s="2" t="s">
        <x:v>191</x:v>
      </x:c>
      <x:c r="AA219" s="2"/>
      <x:c r="AB219" s="2"/>
      <x:c r="AC219" s="2"/>
      <x:c r="AD219" s="2"/>
      <x:c r="AE219" s="2"/>
      <x:c r="AF219" s="2"/>
      <x:c r="AG219" s="2"/>
      <x:c r="AH219" s="2"/>
      <x:c r="AI219" s="4"/>
      <x:c r="AJ219" s="2"/>
      <x:c r="AK219" s="2" t="s">
        <x:v>176</x:v>
      </x:c>
      <x:c r="AL219" s="2" t="s">
        <x:v>2857</x:v>
      </x:c>
      <x:c r="AM219" s="2">
        <x:v>69</x:v>
      </x:c>
      <x:c r="AN219" s="2">
        <x:v>69</x:v>
      </x:c>
    </x:row>
    <x:row r="220" ht="39">
      <x:c r="A220" s="2" t="s">
        <x:v>91</x:v>
      </x:c>
      <x:c r="B220" s="2" t="s">
        <x:v>14</x:v>
      </x:c>
      <x:c r="C220" s="3">
        <x:v>68</x:v>
      </x:c>
      <x:c r="D220" s="2" t="s">
        <x:v>166</x:v>
      </x:c>
      <x:c r="E220" s="2" t="s">
        <x:v>1043</x:v>
      </x:c>
      <x:c r="F220" s="2" t="s">
        <x:v>1011</x:v>
      </x:c>
      <x:c r="G220" s="2" t="s">
        <x:v>158</x:v>
      </x:c>
      <x:c r="H220" s="2" t="s">
        <x:v>618</x:v>
      </x:c>
      <x:c r="I220" s="2" t="s">
        <x:v>1158</x:v>
      </x:c>
      <x:c r="J220" s="2" t="s">
        <x:v>1013</x:v>
      </x:c>
      <x:c r="K220" s="2"/>
      <x:c r="L220" s="2" t="s">
        <x:v>1014</x:v>
      </x:c>
      <x:c r="M220" s="2" t="s">
        <x:v>1015</x:v>
      </x:c>
      <x:c r="N220" s="2">
        <x:v>3</x:v>
      </x:c>
      <x:c r="O220" s="2" t="s">
        <x:v>1016</x:v>
      </x:c>
      <x:c r="P220" s="2" t="s">
        <x:v>1017</x:v>
      </x:c>
      <x:c r="Q220" s="2"/>
      <x:c r="R220" s="3"/>
      <x:c r="S220" s="3"/>
      <x:c r="T220" s="2"/>
      <x:c r="U220" s="2"/>
      <x:c r="V220" s="2"/>
      <x:c r="W220" s="2" t="s">
        <x:v>1159</x:v>
      </x:c>
      <x:c r="X220" s="3">
        <x:v>2</x:v>
      </x:c>
      <x:c r="Y220" s="3">
        <x:v>1</x:v>
      </x:c>
      <x:c r="Z220" s="2" t="s">
        <x:v>191</x:v>
      </x:c>
      <x:c r="AA220" s="2"/>
      <x:c r="AB220" s="2"/>
      <x:c r="AC220" s="2"/>
      <x:c r="AD220" s="2"/>
      <x:c r="AE220" s="2"/>
      <x:c r="AF220" s="2"/>
      <x:c r="AG220" s="2"/>
      <x:c r="AH220" s="2"/>
      <x:c r="AI220" s="4"/>
      <x:c r="AJ220" s="2"/>
      <x:c r="AK220" s="2" t="s">
        <x:v>176</x:v>
      </x:c>
      <x:c r="AL220" s="2" t="s">
        <x:v>2857</x:v>
      </x:c>
      <x:c r="AM220" s="2">
        <x:v>70</x:v>
      </x:c>
      <x:c r="AN220" s="2">
        <x:v>70</x:v>
      </x:c>
    </x:row>
    <x:row r="221" ht="26">
      <x:c r="A221" s="2" t="s">
        <x:v>91</x:v>
      </x:c>
      <x:c r="B221" s="2" t="s">
        <x:v>14</x:v>
      </x:c>
      <x:c r="C221" s="3">
        <x:v>69</x:v>
      </x:c>
      <x:c r="D221" s="2" t="s">
        <x:v>1160</x:v>
      </x:c>
      <x:c r="E221" s="2" t="s">
        <x:v>1043</x:v>
      </x:c>
      <x:c r="F221" s="2" t="s">
        <x:v>1161</x:v>
      </x:c>
      <x:c r="G221" s="2" t="s">
        <x:v>2890</x:v>
      </x:c>
      <x:c r="H221" s="2" t="s">
        <x:v>627</x:v>
      </x:c>
      <x:c r="I221" s="2" t="s">
        <x:v>1158</x:v>
      </x:c>
      <x:c r="J221" s="2" t="s">
        <x:v>1021</x:v>
      </x:c>
      <x:c r="K221" s="2" t="n">
        <x:v>68</x:v>
      </x:c>
      <x:c r="L221" s="2" t="s">
        <x:v>1163</x:v>
      </x:c>
      <x:c r="M221" s="2" t="s">
        <x:v>1023</x:v>
      </x:c>
      <x:c r="N221" s="2">
        <x:v>3</x:v>
      </x:c>
      <x:c r="O221" s="2" t="s">
        <x:v>1024</x:v>
      </x:c>
      <x:c r="P221" s="2" t="s">
        <x:v>1025</x:v>
      </x:c>
      <x:c r="Q221" s="2"/>
      <x:c r="R221" s="3"/>
      <x:c r="S221" s="3"/>
      <x:c r="T221" s="2"/>
      <x:c r="U221" s="2"/>
      <x:c r="V221" s="2"/>
      <x:c r="W221" s="2" t="s">
        <x:v>1159</x:v>
      </x:c>
      <x:c r="X221" s="3">
        <x:v>2</x:v>
      </x:c>
      <x:c r="Y221" s="3">
        <x:v>1</x:v>
      </x:c>
      <x:c r="Z221" s="2" t="s">
        <x:v>191</x:v>
      </x:c>
      <x:c r="AA221" s="2"/>
      <x:c r="AB221" s="2"/>
      <x:c r="AC221" s="2"/>
      <x:c r="AD221" s="2"/>
      <x:c r="AE221" s="2"/>
      <x:c r="AF221" s="2"/>
      <x:c r="AG221" s="2"/>
      <x:c r="AH221" s="2"/>
      <x:c r="AI221" s="4"/>
      <x:c r="AJ221" s="2"/>
      <x:c r="AK221" s="2" t="s">
        <x:v>176</x:v>
      </x:c>
      <x:c r="AL221" s="2" t="s">
        <x:v>2857</x:v>
      </x:c>
      <x:c r="AM221" s="2">
        <x:v>71</x:v>
      </x:c>
      <x:c r="AN221" s="2">
        <x:v>71</x:v>
      </x:c>
    </x:row>
    <x:row r="222" ht="26">
      <x:c r="A222" s="2" t="s">
        <x:v>6</x:v>
      </x:c>
      <x:c r="B222" s="2" t="s">
        <x:v>14</x:v>
      </x:c>
      <x:c r="C222" s="3">
        <x:v>70</x:v>
      </x:c>
      <x:c r="D222" s="2" t="s">
        <x:v>1026</x:v>
      </x:c>
      <x:c r="E222" s="2" t="s">
        <x:v>1043</x:v>
      </x:c>
      <x:c r="F222" s="2" t="s">
        <x:v>1027</x:v>
      </x:c>
      <x:c r="G222" s="2"/>
      <x:c r="H222" s="2" t="s">
        <x:v>627</x:v>
      </x:c>
      <x:c r="I222" s="2" t="s">
        <x:v>1158</x:v>
      </x:c>
      <x:c r="J222" s="2" t="s">
        <x:v>1028</x:v>
      </x:c>
      <x:c r="K222" s="2"/>
      <x:c r="L222" s="2" t="s">
        <x:v>1029</x:v>
      </x:c>
      <x:c r="M222" s="2" t="s">
        <x:v>1023</x:v>
      </x:c>
      <x:c r="N222" s="2">
        <x:v>3</x:v>
      </x:c>
      <x:c r="O222" s="2" t="s">
        <x:v>1024</x:v>
      </x:c>
      <x:c r="P222" s="2" t="s">
        <x:v>1025</x:v>
      </x:c>
      <x:c r="Q222" s="2"/>
      <x:c r="R222" s="3"/>
      <x:c r="S222" s="3"/>
      <x:c r="T222" s="2"/>
      <x:c r="U222" s="2"/>
      <x:c r="V222" s="2"/>
      <x:c r="W222" s="2" t="s">
        <x:v>1164</x:v>
      </x:c>
      <x:c r="X222" s="3">
        <x:v>2</x:v>
      </x:c>
      <x:c r="Y222" s="3">
        <x:v>3</x:v>
      </x:c>
      <x:c r="Z222" s="2" t="s">
        <x:v>175</x:v>
      </x:c>
      <x:c r="AA222" s="2"/>
      <x:c r="AB222" s="2"/>
      <x:c r="AC222" s="2"/>
      <x:c r="AD222" s="2"/>
      <x:c r="AE222" s="2"/>
      <x:c r="AF222" s="2"/>
      <x:c r="AG222" s="2"/>
      <x:c r="AH222" s="2"/>
      <x:c r="AI222" s="4"/>
      <x:c r="AJ222" s="2"/>
      <x:c r="AK222" s="2" t="s">
        <x:v>176</x:v>
      </x:c>
      <x:c r="AL222" s="2" t="s">
        <x:v>2857</x:v>
      </x:c>
      <x:c r="AM222" s="2">
        <x:v>72</x:v>
      </x:c>
      <x:c r="AN222" s="2">
        <x:v>72</x:v>
      </x:c>
    </x:row>
    <x:row r="223" ht="39">
      <x:c r="A223" s="2" t="s">
        <x:v>91</x:v>
      </x:c>
      <x:c r="B223" s="2" t="s">
        <x:v>14</x:v>
      </x:c>
      <x:c r="C223" s="3">
        <x:v>71</x:v>
      </x:c>
      <x:c r="D223" s="2" t="s">
        <x:v>184</x:v>
      </x:c>
      <x:c r="E223" s="2" t="s">
        <x:v>1043</x:v>
      </x:c>
      <x:c r="F223" s="2" t="s">
        <x:v>1031</x:v>
      </x:c>
      <x:c r="G223" s="2" t="s">
        <x:v>158</x:v>
      </x:c>
      <x:c r="H223" s="2" t="s">
        <x:v>618</x:v>
      </x:c>
      <x:c r="I223" s="2" t="s">
        <x:v>1158</x:v>
      </x:c>
      <x:c r="J223" s="2" t="s">
        <x:v>1032</x:v>
      </x:c>
      <x:c r="K223" s="2" t="n">
        <x:v>70</x:v>
      </x:c>
      <x:c r="L223" s="2" t="s">
        <x:v>1033</x:v>
      </x:c>
      <x:c r="M223" s="2" t="s">
        <x:v>1034</x:v>
      </x:c>
      <x:c r="N223" s="2">
        <x:v>3</x:v>
      </x:c>
      <x:c r="O223" s="2" t="s">
        <x:v>1024</x:v>
      </x:c>
      <x:c r="P223" s="2" t="s">
        <x:v>1035</x:v>
      </x:c>
      <x:c r="Q223" s="2"/>
      <x:c r="R223" s="3"/>
      <x:c r="S223" s="3"/>
      <x:c r="T223" s="2"/>
      <x:c r="U223" s="2"/>
      <x:c r="V223" s="2"/>
      <x:c r="W223" s="2" t="s">
        <x:v>1164</x:v>
      </x:c>
      <x:c r="X223" s="3">
        <x:v>2</x:v>
      </x:c>
      <x:c r="Y223" s="3">
        <x:v>3</x:v>
      </x:c>
      <x:c r="Z223" s="2" t="s">
        <x:v>175</x:v>
      </x:c>
      <x:c r="AA223" s="2"/>
      <x:c r="AB223" s="2"/>
      <x:c r="AC223" s="2"/>
      <x:c r="AD223" s="2"/>
      <x:c r="AE223" s="2"/>
      <x:c r="AF223" s="2"/>
      <x:c r="AG223" s="2"/>
      <x:c r="AH223" s="2"/>
      <x:c r="AI223" s="4"/>
      <x:c r="AJ223" s="2"/>
      <x:c r="AK223" s="2" t="s">
        <x:v>176</x:v>
      </x:c>
      <x:c r="AL223" s="2" t="s">
        <x:v>2857</x:v>
      </x:c>
      <x:c r="AM223" s="2">
        <x:v>73</x:v>
      </x:c>
      <x:c r="AN223" s="2">
        <x:v>73</x:v>
      </x:c>
    </x:row>
    <x:row r="224" ht="39">
      <x:c r="A224" s="2" t="s">
        <x:v>91</x:v>
      </x:c>
      <x:c r="B224" s="2" t="s">
        <x:v>14</x:v>
      </x:c>
      <x:c r="C224" s="3">
        <x:v>72</x:v>
      </x:c>
      <x:c r="D224" s="2" t="s">
        <x:v>184</x:v>
      </x:c>
      <x:c r="E224" s="2" t="s">
        <x:v>1151</x:v>
      </x:c>
      <x:c r="F224" s="2" t="s">
        <x:v>1031</x:v>
      </x:c>
      <x:c r="G224" s="2" t="s">
        <x:v>158</x:v>
      </x:c>
      <x:c r="H224" s="2" t="s">
        <x:v>618</x:v>
      </x:c>
      <x:c r="I224" s="2" t="s">
        <x:v>1165</x:v>
      </x:c>
      <x:c r="J224" s="2" t="s">
        <x:v>1032</x:v>
      </x:c>
      <x:c r="K224" s="2"/>
      <x:c r="L224" s="2" t="s">
        <x:v>1106</x:v>
      </x:c>
      <x:c r="M224" s="2" t="s">
        <x:v>1107</x:v>
      </x:c>
      <x:c r="N224" s="2">
        <x:v>3</x:v>
      </x:c>
      <x:c r="O224" s="2" t="s">
        <x:v>1024</x:v>
      </x:c>
      <x:c r="P224" s="2" t="s">
        <x:v>1035</x:v>
      </x:c>
      <x:c r="Q224" s="2"/>
      <x:c r="R224" s="3"/>
      <x:c r="S224" s="3"/>
      <x:c r="T224" s="2"/>
      <x:c r="U224" s="2"/>
      <x:c r="V224" s="2"/>
      <x:c r="W224" s="2" t="s">
        <x:v>1166</x:v>
      </x:c>
      <x:c r="X224" s="3">
        <x:v>2</x:v>
      </x:c>
      <x:c r="Y224" s="3">
        <x:v>3</x:v>
      </x:c>
      <x:c r="Z224" s="2" t="s">
        <x:v>175</x:v>
      </x:c>
      <x:c r="AA224" s="2"/>
      <x:c r="AB224" s="2"/>
      <x:c r="AC224" s="2"/>
      <x:c r="AD224" s="2"/>
      <x:c r="AE224" s="2"/>
      <x:c r="AF224" s="2"/>
      <x:c r="AG224" s="2"/>
      <x:c r="AH224" s="2"/>
      <x:c r="AI224" s="4"/>
      <x:c r="AJ224" s="2"/>
      <x:c r="AK224" s="2" t="s">
        <x:v>176</x:v>
      </x:c>
      <x:c r="AL224" s="2" t="s">
        <x:v>2857</x:v>
      </x:c>
      <x:c r="AM224" s="2">
        <x:v>74</x:v>
      </x:c>
      <x:c r="AN224" s="2">
        <x:v>74</x:v>
      </x:c>
    </x:row>
    <x:row r="225" ht="26">
      <x:c r="A225" s="2" t="s">
        <x:v>91</x:v>
      </x:c>
      <x:c r="B225" s="2" t="s">
        <x:v>14</x:v>
      </x:c>
      <x:c r="C225" s="3">
        <x:v>73</x:v>
      </x:c>
      <x:c r="D225" s="2" t="s">
        <x:v>1067</x:v>
      </x:c>
      <x:c r="E225" s="2" t="s">
        <x:v>1151</x:v>
      </x:c>
      <x:c r="F225" s="2" t="s">
        <x:v>1068</x:v>
      </x:c>
      <x:c r="G225" s="2" t="s">
        <x:v>158</x:v>
      </x:c>
      <x:c r="H225" s="2" t="s">
        <x:v>627</x:v>
      </x:c>
      <x:c r="I225" s="2" t="s">
        <x:v>1165</x:v>
      </x:c>
      <x:c r="J225" s="2" t="s">
        <x:v>1028</x:v>
      </x:c>
      <x:c r="K225" s="2" t="n">
        <x:v>72</x:v>
      </x:c>
      <x:c r="L225" s="2" t="s">
        <x:v>1069</x:v>
      </x:c>
      <x:c r="M225" s="2" t="s">
        <x:v>1023</x:v>
      </x:c>
      <x:c r="N225" s="2">
        <x:v>3</x:v>
      </x:c>
      <x:c r="O225" s="2" t="s">
        <x:v>1024</x:v>
      </x:c>
      <x:c r="P225" s="2" t="s">
        <x:v>1025</x:v>
      </x:c>
      <x:c r="Q225" s="2"/>
      <x:c r="R225" s="3"/>
      <x:c r="S225" s="3"/>
      <x:c r="T225" s="2"/>
      <x:c r="U225" s="2"/>
      <x:c r="V225" s="2"/>
      <x:c r="W225" s="2" t="s">
        <x:v>1166</x:v>
      </x:c>
      <x:c r="X225" s="3">
        <x:v>2</x:v>
      </x:c>
      <x:c r="Y225" s="3">
        <x:v>3</x:v>
      </x:c>
      <x:c r="Z225" s="2" t="s">
        <x:v>175</x:v>
      </x:c>
      <x:c r="AA225" s="2"/>
      <x:c r="AB225" s="2"/>
      <x:c r="AC225" s="2"/>
      <x:c r="AD225" s="2"/>
      <x:c r="AE225" s="2"/>
      <x:c r="AF225" s="2"/>
      <x:c r="AG225" s="2"/>
      <x:c r="AH225" s="2"/>
      <x:c r="AI225" s="4"/>
      <x:c r="AJ225" s="2"/>
      <x:c r="AK225" s="2" t="s">
        <x:v>176</x:v>
      </x:c>
      <x:c r="AL225" s="2" t="s">
        <x:v>2857</x:v>
      </x:c>
      <x:c r="AM225" s="2">
        <x:v>75</x:v>
      </x:c>
      <x:c r="AN225" s="2">
        <x:v>75</x:v>
      </x:c>
    </x:row>
    <x:row r="226" ht="39">
      <x:c r="A226" s="2" t="s">
        <x:v>91</x:v>
      </x:c>
      <x:c r="B226" s="2" t="s">
        <x:v>14</x:v>
      </x:c>
      <x:c r="C226" s="3">
        <x:v>74</x:v>
      </x:c>
      <x:c r="D226" s="2" t="s">
        <x:v>1070</x:v>
      </x:c>
      <x:c r="E226" s="2" t="s">
        <x:v>1151</x:v>
      </x:c>
      <x:c r="F226" s="2" t="s">
        <x:v>1071</x:v>
      </x:c>
      <x:c r="G226" s="2" t="s">
        <x:v>2891</x:v>
      </x:c>
      <x:c r="H226" s="2" t="s">
        <x:v>627</x:v>
      </x:c>
      <x:c r="I226" s="2" t="s">
        <x:v>1165</x:v>
      </x:c>
      <x:c r="J226" s="2" t="s">
        <x:v>1021</x:v>
      </x:c>
      <x:c r="K226" s="2"/>
      <x:c r="L226" s="2" t="s">
        <x:v>1072</x:v>
      </x:c>
      <x:c r="M226" s="2" t="s">
        <x:v>1023</x:v>
      </x:c>
      <x:c r="N226" s="2">
        <x:v>3</x:v>
      </x:c>
      <x:c r="O226" s="2" t="s">
        <x:v>1024</x:v>
      </x:c>
      <x:c r="P226" s="2" t="s">
        <x:v>1025</x:v>
      </x:c>
      <x:c r="Q226" s="2"/>
      <x:c r="R226" s="3"/>
      <x:c r="S226" s="3"/>
      <x:c r="T226" s="2"/>
      <x:c r="U226" s="2"/>
      <x:c r="V226" s="2"/>
      <x:c r="W226" s="2" t="s">
        <x:v>1168</x:v>
      </x:c>
      <x:c r="X226" s="3">
        <x:v>2</x:v>
      </x:c>
      <x:c r="Y226" s="3">
        <x:v>1</x:v>
      </x:c>
      <x:c r="Z226" s="2" t="s">
        <x:v>191</x:v>
      </x:c>
      <x:c r="AA226" s="2"/>
      <x:c r="AB226" s="2"/>
      <x:c r="AC226" s="2"/>
      <x:c r="AD226" s="2"/>
      <x:c r="AE226" s="2"/>
      <x:c r="AF226" s="2"/>
      <x:c r="AG226" s="2"/>
      <x:c r="AH226" s="2"/>
      <x:c r="AI226" s="4"/>
      <x:c r="AJ226" s="2"/>
      <x:c r="AK226" s="2" t="s">
        <x:v>176</x:v>
      </x:c>
      <x:c r="AL226" s="2" t="s">
        <x:v>2857</x:v>
      </x:c>
      <x:c r="AM226" s="2">
        <x:v>76</x:v>
      </x:c>
      <x:c r="AN226" s="2">
        <x:v>76</x:v>
      </x:c>
    </x:row>
    <x:row r="227" ht="39">
      <x:c r="A227" s="2" t="s">
        <x:v>91</x:v>
      </x:c>
      <x:c r="B227" s="2" t="s">
        <x:v>14</x:v>
      </x:c>
      <x:c r="C227" s="3">
        <x:v>75</x:v>
      </x:c>
      <x:c r="D227" s="2" t="s">
        <x:v>166</x:v>
      </x:c>
      <x:c r="E227" s="2" t="s">
        <x:v>1151</x:v>
      </x:c>
      <x:c r="F227" s="2" t="s">
        <x:v>1011</x:v>
      </x:c>
      <x:c r="G227" s="2" t="s">
        <x:v>158</x:v>
      </x:c>
      <x:c r="H227" s="2" t="s">
        <x:v>618</x:v>
      </x:c>
      <x:c r="I227" s="2" t="s">
        <x:v>1165</x:v>
      </x:c>
      <x:c r="J227" s="2" t="s">
        <x:v>1013</x:v>
      </x:c>
      <x:c r="K227" s="2" t="n">
        <x:v>74</x:v>
      </x:c>
      <x:c r="L227" s="2" t="s">
        <x:v>1074</x:v>
      </x:c>
      <x:c r="M227" s="2" t="s">
        <x:v>1034</x:v>
      </x:c>
      <x:c r="N227" s="2">
        <x:v>3</x:v>
      </x:c>
      <x:c r="O227" s="2" t="s">
        <x:v>1016</x:v>
      </x:c>
      <x:c r="P227" s="2" t="s">
        <x:v>1017</x:v>
      </x:c>
      <x:c r="Q227" s="2"/>
      <x:c r="R227" s="3"/>
      <x:c r="S227" s="3"/>
      <x:c r="T227" s="2"/>
      <x:c r="U227" s="2"/>
      <x:c r="V227" s="2"/>
      <x:c r="W227" s="2" t="s">
        <x:v>1168</x:v>
      </x:c>
      <x:c r="X227" s="3">
        <x:v>2</x:v>
      </x:c>
      <x:c r="Y227" s="3">
        <x:v>1</x:v>
      </x:c>
      <x:c r="Z227" s="2" t="s">
        <x:v>191</x:v>
      </x:c>
      <x:c r="AA227" s="2"/>
      <x:c r="AB227" s="2"/>
      <x:c r="AC227" s="2"/>
      <x:c r="AD227" s="2"/>
      <x:c r="AE227" s="2"/>
      <x:c r="AF227" s="2"/>
      <x:c r="AG227" s="2"/>
      <x:c r="AH227" s="2"/>
      <x:c r="AI227" s="4"/>
      <x:c r="AJ227" s="2"/>
      <x:c r="AK227" s="2" t="s">
        <x:v>176</x:v>
      </x:c>
      <x:c r="AL227" s="2" t="s">
        <x:v>2857</x:v>
      </x:c>
      <x:c r="AM227" s="2">
        <x:v>77</x:v>
      </x:c>
      <x:c r="AN227" s="2">
        <x:v>77</x:v>
      </x:c>
    </x:row>
    <x:row r="228" ht="39">
      <x:c r="A228" s="2" t="s">
        <x:v>91</x:v>
      </x:c>
      <x:c r="B228" s="2" t="s">
        <x:v>14</x:v>
      </x:c>
      <x:c r="C228" s="3">
        <x:v>76</x:v>
      </x:c>
      <x:c r="D228" s="2" t="s">
        <x:v>166</x:v>
      </x:c>
      <x:c r="E228" s="2" t="s">
        <x:v>1169</x:v>
      </x:c>
      <x:c r="F228" s="2" t="s">
        <x:v>1011</x:v>
      </x:c>
      <x:c r="G228" s="2" t="s">
        <x:v>2892</x:v>
      </x:c>
      <x:c r="H228" s="2" t="s">
        <x:v>618</x:v>
      </x:c>
      <x:c r="I228" s="2" t="s">
        <x:v>1170</x:v>
      </x:c>
      <x:c r="J228" s="2" t="s">
        <x:v>1013</x:v>
      </x:c>
      <x:c r="K228" s="2"/>
      <x:c r="L228" s="2" t="s">
        <x:v>1171</x:v>
      </x:c>
      <x:c r="M228" s="2" t="s">
        <x:v>1107</x:v>
      </x:c>
      <x:c r="N228" s="2">
        <x:v>4</x:v>
      </x:c>
      <x:c r="O228" s="2" t="s">
        <x:v>1016</x:v>
      </x:c>
      <x:c r="P228" s="2" t="s">
        <x:v>1017</x:v>
      </x:c>
      <x:c r="Q228" s="2"/>
      <x:c r="R228" s="3"/>
      <x:c r="S228" s="3"/>
      <x:c r="T228" s="2"/>
      <x:c r="U228" s="2"/>
      <x:c r="V228" s="2"/>
      <x:c r="W228" s="2" t="s">
        <x:v>1172</x:v>
      </x:c>
      <x:c r="X228" s="3">
        <x:v>2</x:v>
      </x:c>
      <x:c r="Y228" s="3">
        <x:v>1</x:v>
      </x:c>
      <x:c r="Z228" s="2" t="s">
        <x:v>191</x:v>
      </x:c>
      <x:c r="AA228" s="2"/>
      <x:c r="AB228" s="2"/>
      <x:c r="AC228" s="2"/>
      <x:c r="AD228" s="2"/>
      <x:c r="AE228" s="2"/>
      <x:c r="AF228" s="2"/>
      <x:c r="AG228" s="2"/>
      <x:c r="AH228" s="2"/>
      <x:c r="AI228" s="4"/>
      <x:c r="AJ228" s="2"/>
      <x:c r="AK228" s="2" t="s">
        <x:v>176</x:v>
      </x:c>
      <x:c r="AL228" s="2" t="s">
        <x:v>2857</x:v>
      </x:c>
      <x:c r="AM228" s="2">
        <x:v>78</x:v>
      </x:c>
      <x:c r="AN228" s="2">
        <x:v>78</x:v>
      </x:c>
    </x:row>
    <x:row r="229" ht="39">
      <x:c r="A229" s="2" t="s">
        <x:v>91</x:v>
      </x:c>
      <x:c r="B229" s="2" t="s">
        <x:v>14</x:v>
      </x:c>
      <x:c r="C229" s="3">
        <x:v>77</x:v>
      </x:c>
      <x:c r="D229" s="2" t="s">
        <x:v>184</x:v>
      </x:c>
      <x:c r="E229" s="2" t="s">
        <x:v>1169</x:v>
      </x:c>
      <x:c r="F229" s="2" t="s">
        <x:v>1031</x:v>
      </x:c>
      <x:c r="G229" s="2" t="s">
        <x:v>158</x:v>
      </x:c>
      <x:c r="H229" s="2" t="s">
        <x:v>618</x:v>
      </x:c>
      <x:c r="I229" s="2" t="s">
        <x:v>1170</x:v>
      </x:c>
      <x:c r="J229" s="2" t="s">
        <x:v>1032</x:v>
      </x:c>
      <x:c r="K229" s="2" t="n">
        <x:v>76</x:v>
      </x:c>
      <x:c r="L229" s="2" t="s">
        <x:v>1038</x:v>
      </x:c>
      <x:c r="M229" s="2" t="s">
        <x:v>1015</x:v>
      </x:c>
      <x:c r="N229" s="2">
        <x:v>4</x:v>
      </x:c>
      <x:c r="O229" s="2" t="s">
        <x:v>1024</x:v>
      </x:c>
      <x:c r="P229" s="2" t="s">
        <x:v>1035</x:v>
      </x:c>
      <x:c r="Q229" s="2"/>
      <x:c r="R229" s="3"/>
      <x:c r="S229" s="3"/>
      <x:c r="T229" s="2"/>
      <x:c r="U229" s="2"/>
      <x:c r="V229" s="2"/>
      <x:c r="W229" s="2" t="s">
        <x:v>1173</x:v>
      </x:c>
      <x:c r="X229" s="3">
        <x:v>2</x:v>
      </x:c>
      <x:c r="Y229" s="3">
        <x:v>3</x:v>
      </x:c>
      <x:c r="Z229" s="2" t="s">
        <x:v>175</x:v>
      </x:c>
      <x:c r="AA229" s="2"/>
      <x:c r="AB229" s="2"/>
      <x:c r="AC229" s="2"/>
      <x:c r="AD229" s="2"/>
      <x:c r="AE229" s="2"/>
      <x:c r="AF229" s="2"/>
      <x:c r="AG229" s="2"/>
      <x:c r="AH229" s="2"/>
      <x:c r="AI229" s="4"/>
      <x:c r="AJ229" s="2"/>
      <x:c r="AK229" s="2" t="s">
        <x:v>176</x:v>
      </x:c>
      <x:c r="AL229" s="2" t="s">
        <x:v>2857</x:v>
      </x:c>
      <x:c r="AM229" s="2">
        <x:v>79</x:v>
      </x:c>
      <x:c r="AN229" s="2">
        <x:v>79</x:v>
      </x:c>
    </x:row>
    <x:row r="230" ht="39">
      <x:c r="A230" s="2" t="s">
        <x:v>6</x:v>
      </x:c>
      <x:c r="B230" s="2" t="s">
        <x:v>14</x:v>
      </x:c>
      <x:c r="C230" s="3">
        <x:v>78</x:v>
      </x:c>
      <x:c r="D230" s="2" t="s">
        <x:v>977</x:v>
      </x:c>
      <x:c r="E230" s="2" t="s">
        <x:v>1174</x:v>
      </x:c>
      <x:c r="F230" s="2" t="s">
        <x:v>1123</x:v>
      </x:c>
      <x:c r="G230" s="2"/>
      <x:c r="H230" s="2" t="s">
        <x:v>1124</x:v>
      </x:c>
      <x:c r="I230" s="2" t="s">
        <x:v>1175</x:v>
      </x:c>
      <x:c r="J230" s="2" t="s">
        <x:v>1126</x:v>
      </x:c>
      <x:c r="K230" s="2"/>
      <x:c r="L230" s="2" t="s">
        <x:v>1127</x:v>
      </x:c>
      <x:c r="M230" s="2" t="s">
        <x:v>1128</x:v>
      </x:c>
      <x:c r="N230" s="2">
        <x:v>5</x:v>
      </x:c>
      <x:c r="O230" s="2" t="s">
        <x:v>1129</x:v>
      </x:c>
      <x:c r="P230" s="2" t="s">
        <x:v>1130</x:v>
      </x:c>
      <x:c r="Q230" s="2"/>
      <x:c r="R230" s="3"/>
      <x:c r="S230" s="3"/>
      <x:c r="T230" s="2"/>
      <x:c r="U230" s="2"/>
      <x:c r="V230" s="2"/>
      <x:c r="W230" s="2" t="s">
        <x:v>1176</x:v>
      </x:c>
      <x:c r="X230" s="3">
        <x:v>1</x:v>
      </x:c>
      <x:c r="Y230" s="3">
        <x:v>0</x:v>
      </x:c>
      <x:c r="Z230" s="2" t="s">
        <x:v>191</x:v>
      </x:c>
      <x:c r="AA230" s="2"/>
      <x:c r="AB230" s="2"/>
      <x:c r="AC230" s="2"/>
      <x:c r="AD230" s="2"/>
      <x:c r="AE230" s="2"/>
      <x:c r="AF230" s="2"/>
      <x:c r="AG230" s="2"/>
      <x:c r="AH230" s="2"/>
      <x:c r="AI230" s="4"/>
      <x:c r="AJ230" s="2"/>
      <x:c r="AK230" s="2" t="s">
        <x:v>176</x:v>
      </x:c>
      <x:c r="AL230" s="2" t="s">
        <x:v>2857</x:v>
      </x:c>
      <x:c r="AM230" s="2">
        <x:v>80</x:v>
      </x:c>
      <x:c r="AN230" s="2">
        <x:v>80</x:v>
      </x:c>
    </x:row>
    <x:row r="231" ht="39">
      <x:c r="A231" s="2" t="s">
        <x:v>91</x:v>
      </x:c>
      <x:c r="B231" s="2" t="s">
        <x:v>14</x:v>
      </x:c>
      <x:c r="C231" s="3">
        <x:v>79</x:v>
      </x:c>
      <x:c r="D231" s="2" t="s">
        <x:v>985</x:v>
      </x:c>
      <x:c r="E231" s="2" t="s">
        <x:v>1174</x:v>
      </x:c>
      <x:c r="F231" s="2" t="s">
        <x:v>1177</x:v>
      </x:c>
      <x:c r="G231" s="2" t="s">
        <x:v>158</x:v>
      </x:c>
      <x:c r="H231" s="2" t="s">
        <x:v>1124</x:v>
      </x:c>
      <x:c r="I231" s="2" t="s">
        <x:v>1175</x:v>
      </x:c>
      <x:c r="J231" s="2" t="s">
        <x:v>1133</x:v>
      </x:c>
      <x:c r="K231" s="2" t="n">
        <x:v>78</x:v>
      </x:c>
      <x:c r="L231" s="2" t="s">
        <x:v>1134</x:v>
      </x:c>
      <x:c r="M231" s="2" t="s">
        <x:v>1128</x:v>
      </x:c>
      <x:c r="N231" s="2">
        <x:v>5</x:v>
      </x:c>
      <x:c r="O231" s="2" t="s">
        <x:v>1135</x:v>
      </x:c>
      <x:c r="P231" s="2" t="s">
        <x:v>1136</x:v>
      </x:c>
      <x:c r="Q231" s="2"/>
      <x:c r="R231" s="3"/>
      <x:c r="S231" s="3"/>
      <x:c r="T231" s="2"/>
      <x:c r="U231" s="2"/>
      <x:c r="V231" s="2"/>
      <x:c r="W231" s="2" t="s">
        <x:v>1176</x:v>
      </x:c>
      <x:c r="X231" s="3">
        <x:v>1</x:v>
      </x:c>
      <x:c r="Y231" s="3">
        <x:v>2</x:v>
      </x:c>
      <x:c r="Z231" s="2" t="s">
        <x:v>175</x:v>
      </x:c>
      <x:c r="AA231" s="2"/>
      <x:c r="AB231" s="2"/>
      <x:c r="AC231" s="2"/>
      <x:c r="AD231" s="2"/>
      <x:c r="AE231" s="2"/>
      <x:c r="AF231" s="2"/>
      <x:c r="AG231" s="2"/>
      <x:c r="AH231" s="2"/>
      <x:c r="AI231" s="4"/>
      <x:c r="AJ231" s="2"/>
      <x:c r="AK231" s="2" t="s">
        <x:v>176</x:v>
      </x:c>
      <x:c r="AL231" s="2" t="s">
        <x:v>2857</x:v>
      </x:c>
      <x:c r="AM231" s="2">
        <x:v>81</x:v>
      </x:c>
      <x:c r="AN231" s="2">
        <x:v>81</x:v>
      </x:c>
    </x:row>
    <x:row r="232" ht="39">
      <x:c r="A232" s="2" t="s">
        <x:v>91</x:v>
      </x:c>
      <x:c r="B232" s="2" t="s">
        <x:v>14</x:v>
      </x:c>
      <x:c r="C232" s="3">
        <x:v>80</x:v>
      </x:c>
      <x:c r="D232" s="2" t="s">
        <x:v>985</x:v>
      </x:c>
      <x:c r="E232" s="2" t="s">
        <x:v>1178</x:v>
      </x:c>
      <x:c r="F232" s="2" t="s">
        <x:v>1138</x:v>
      </x:c>
      <x:c r="G232" s="2" t="s">
        <x:v>158</x:v>
      </x:c>
      <x:c r="H232" s="2" t="s">
        <x:v>1124</x:v>
      </x:c>
      <x:c r="I232" s="2" t="s">
        <x:v>1175</x:v>
      </x:c>
      <x:c r="J232" s="2" t="s">
        <x:v>1139</x:v>
      </x:c>
      <x:c r="K232" s="2"/>
      <x:c r="L232" s="2" t="s">
        <x:v>1134</x:v>
      </x:c>
      <x:c r="M232" s="2" t="s">
        <x:v>1128</x:v>
      </x:c>
      <x:c r="N232" s="2">
        <x:v>5</x:v>
      </x:c>
      <x:c r="O232" s="2" t="s">
        <x:v>1140</x:v>
      </x:c>
      <x:c r="P232" s="2" t="s">
        <x:v>1130</x:v>
      </x:c>
      <x:c r="Q232" s="2"/>
      <x:c r="R232" s="3"/>
      <x:c r="S232" s="3"/>
      <x:c r="T232" s="2"/>
      <x:c r="U232" s="2"/>
      <x:c r="V232" s="2"/>
      <x:c r="W232" s="2" t="s">
        <x:v>1180</x:v>
      </x:c>
      <x:c r="X232" s="3">
        <x:v>1</x:v>
      </x:c>
      <x:c r="Y232" s="3">
        <x:v>2</x:v>
      </x:c>
      <x:c r="Z232" s="2" t="s">
        <x:v>175</x:v>
      </x:c>
      <x:c r="AA232" s="2"/>
      <x:c r="AB232" s="2"/>
      <x:c r="AC232" s="2"/>
      <x:c r="AD232" s="2"/>
      <x:c r="AE232" s="2"/>
      <x:c r="AF232" s="2"/>
      <x:c r="AG232" s="2"/>
      <x:c r="AH232" s="2"/>
      <x:c r="AI232" s="4"/>
      <x:c r="AJ232" s="2"/>
      <x:c r="AK232" s="2" t="s">
        <x:v>176</x:v>
      </x:c>
      <x:c r="AL232" s="2" t="s">
        <x:v>2857</x:v>
      </x:c>
      <x:c r="AM232" s="2">
        <x:v>82</x:v>
      </x:c>
      <x:c r="AN232" s="2">
        <x:v>82</x:v>
      </x:c>
    </x:row>
    <x:row r="233" ht="39">
      <x:c r="A233" s="2" t="s">
        <x:v>6</x:v>
      </x:c>
      <x:c r="B233" s="2" t="s">
        <x:v>14</x:v>
      </x:c>
      <x:c r="C233" s="3">
        <x:v>81</x:v>
      </x:c>
      <x:c r="D233" s="2" t="s">
        <x:v>977</x:v>
      </x:c>
      <x:c r="E233" s="2" t="s">
        <x:v>1178</x:v>
      </x:c>
      <x:c r="F233" s="2" t="s">
        <x:v>1181</x:v>
      </x:c>
      <x:c r="G233" s="2"/>
      <x:c r="H233" s="2" t="s">
        <x:v>1124</x:v>
      </x:c>
      <x:c r="I233" s="2" t="s">
        <x:v>1175</x:v>
      </x:c>
      <x:c r="J233" s="2" t="s">
        <x:v>1144</x:v>
      </x:c>
      <x:c r="K233" s="2" t="n">
        <x:v>80</x:v>
      </x:c>
      <x:c r="L233" s="2" t="s">
        <x:v>1127</x:v>
      </x:c>
      <x:c r="M233" s="2" t="s">
        <x:v>1128</x:v>
      </x:c>
      <x:c r="N233" s="2">
        <x:v>5</x:v>
      </x:c>
      <x:c r="O233" s="2" t="s">
        <x:v>1135</x:v>
      </x:c>
      <x:c r="P233" s="2" t="s">
        <x:v>1136</x:v>
      </x:c>
      <x:c r="Q233" s="2"/>
      <x:c r="R233" s="3"/>
      <x:c r="S233" s="3"/>
      <x:c r="T233" s="2"/>
      <x:c r="U233" s="2"/>
      <x:c r="V233" s="2"/>
      <x:c r="W233" s="2" t="s">
        <x:v>1180</x:v>
      </x:c>
      <x:c r="X233" s="3">
        <x:v>1</x:v>
      </x:c>
      <x:c r="Y233" s="3">
        <x:v>0</x:v>
      </x:c>
      <x:c r="Z233" s="2" t="s">
        <x:v>191</x:v>
      </x:c>
      <x:c r="AA233" s="2"/>
      <x:c r="AB233" s="2"/>
      <x:c r="AC233" s="2"/>
      <x:c r="AD233" s="2"/>
      <x:c r="AE233" s="2"/>
      <x:c r="AF233" s="2"/>
      <x:c r="AG233" s="2"/>
      <x:c r="AH233" s="2"/>
      <x:c r="AI233" s="4"/>
      <x:c r="AJ233" s="2"/>
      <x:c r="AK233" s="2" t="s">
        <x:v>176</x:v>
      </x:c>
      <x:c r="AL233" s="2" t="s">
        <x:v>2857</x:v>
      </x:c>
      <x:c r="AM233" s="2">
        <x:v>83</x:v>
      </x:c>
      <x:c r="AN233" s="2">
        <x:v>83</x:v>
      </x:c>
    </x:row>
    <x:row r="234" ht="39">
      <x:c r="A234" s="2" t="s">
        <x:v>91</x:v>
      </x:c>
      <x:c r="B234" s="2" t="s">
        <x:v>14</x:v>
      </x:c>
      <x:c r="C234" s="3">
        <x:v>82</x:v>
      </x:c>
      <x:c r="D234" s="2" t="s">
        <x:v>166</x:v>
      </x:c>
      <x:c r="E234" s="2" t="s">
        <x:v>1169</x:v>
      </x:c>
      <x:c r="F234" s="2" t="s">
        <x:v>1011</x:v>
      </x:c>
      <x:c r="G234" s="2" t="s">
        <x:v>158</x:v>
      </x:c>
      <x:c r="H234" s="2" t="s">
        <x:v>618</x:v>
      </x:c>
      <x:c r="I234" s="2" t="s">
        <x:v>1182</x:v>
      </x:c>
      <x:c r="J234" s="2" t="s">
        <x:v>1013</x:v>
      </x:c>
      <x:c r="K234" s="2"/>
      <x:c r="L234" s="2" t="s">
        <x:v>1171</x:v>
      </x:c>
      <x:c r="M234" s="2" t="s">
        <x:v>1107</x:v>
      </x:c>
      <x:c r="N234" s="2">
        <x:v>4</x:v>
      </x:c>
      <x:c r="O234" s="2" t="s">
        <x:v>1016</x:v>
      </x:c>
      <x:c r="P234" s="2" t="s">
        <x:v>1017</x:v>
      </x:c>
      <x:c r="Q234" s="2"/>
      <x:c r="R234" s="3"/>
      <x:c r="S234" s="3"/>
      <x:c r="T234" s="2"/>
      <x:c r="U234" s="2"/>
      <x:c r="V234" s="2"/>
      <x:c r="W234" s="2" t="s">
        <x:v>1183</x:v>
      </x:c>
      <x:c r="X234" s="3">
        <x:v>2</x:v>
      </x:c>
      <x:c r="Y234" s="3">
        <x:v>1</x:v>
      </x:c>
      <x:c r="Z234" s="2" t="s">
        <x:v>191</x:v>
      </x:c>
      <x:c r="AA234" s="2"/>
      <x:c r="AB234" s="2"/>
      <x:c r="AC234" s="2"/>
      <x:c r="AD234" s="2"/>
      <x:c r="AE234" s="2"/>
      <x:c r="AF234" s="2"/>
      <x:c r="AG234" s="2"/>
      <x:c r="AH234" s="2"/>
      <x:c r="AI234" s="4"/>
      <x:c r="AJ234" s="2"/>
      <x:c r="AK234" s="2" t="s">
        <x:v>176</x:v>
      </x:c>
      <x:c r="AL234" s="2" t="s">
        <x:v>2857</x:v>
      </x:c>
      <x:c r="AM234" s="2">
        <x:v>84</x:v>
      </x:c>
      <x:c r="AN234" s="2">
        <x:v>84</x:v>
      </x:c>
    </x:row>
    <x:row r="235" ht="39">
      <x:c r="A235" s="2" t="s">
        <x:v>91</x:v>
      </x:c>
      <x:c r="B235" s="2" t="s">
        <x:v>14</x:v>
      </x:c>
      <x:c r="C235" s="3">
        <x:v>83</x:v>
      </x:c>
      <x:c r="D235" s="2" t="s">
        <x:v>184</x:v>
      </x:c>
      <x:c r="E235" s="2" t="s">
        <x:v>1169</x:v>
      </x:c>
      <x:c r="F235" s="2" t="s">
        <x:v>1031</x:v>
      </x:c>
      <x:c r="G235" s="2" t="s">
        <x:v>158</x:v>
      </x:c>
      <x:c r="H235" s="2" t="s">
        <x:v>618</x:v>
      </x:c>
      <x:c r="I235" s="2" t="s">
        <x:v>1182</x:v>
      </x:c>
      <x:c r="J235" s="2" t="s">
        <x:v>1032</x:v>
      </x:c>
      <x:c r="K235" s="2" t="n">
        <x:v>82</x:v>
      </x:c>
      <x:c r="L235" s="2" t="s">
        <x:v>1038</x:v>
      </x:c>
      <x:c r="M235" s="2" t="s">
        <x:v>1015</x:v>
      </x:c>
      <x:c r="N235" s="2">
        <x:v>4</x:v>
      </x:c>
      <x:c r="O235" s="2" t="s">
        <x:v>1024</x:v>
      </x:c>
      <x:c r="P235" s="2" t="s">
        <x:v>1035</x:v>
      </x:c>
      <x:c r="Q235" s="2"/>
      <x:c r="R235" s="3"/>
      <x:c r="S235" s="3"/>
      <x:c r="T235" s="2"/>
      <x:c r="U235" s="2"/>
      <x:c r="V235" s="2"/>
      <x:c r="W235" s="2" t="s">
        <x:v>1184</x:v>
      </x:c>
      <x:c r="X235" s="3">
        <x:v>2</x:v>
      </x:c>
      <x:c r="Y235" s="3">
        <x:v>3</x:v>
      </x:c>
      <x:c r="Z235" s="2" t="s">
        <x:v>175</x:v>
      </x:c>
      <x:c r="AA235" s="2"/>
      <x:c r="AB235" s="2"/>
      <x:c r="AC235" s="2"/>
      <x:c r="AD235" s="2"/>
      <x:c r="AE235" s="2"/>
      <x:c r="AF235" s="2"/>
      <x:c r="AG235" s="2"/>
      <x:c r="AH235" s="2"/>
      <x:c r="AI235" s="4"/>
      <x:c r="AJ235" s="2"/>
      <x:c r="AK235" s="2" t="s">
        <x:v>176</x:v>
      </x:c>
      <x:c r="AL235" s="2" t="s">
        <x:v>2857</x:v>
      </x:c>
      <x:c r="AM235" s="2">
        <x:v>85</x:v>
      </x:c>
      <x:c r="AN235" s="2">
        <x:v>85</x:v>
      </x:c>
    </x:row>
    <x:row r="236" ht="39">
      <x:c r="A236" s="2" t="s">
        <x:v>91</x:v>
      </x:c>
      <x:c r="B236" s="2" t="s">
        <x:v>14</x:v>
      </x:c>
      <x:c r="C236" s="3">
        <x:v>84</x:v>
      </x:c>
      <x:c r="D236" s="2" t="s">
        <x:v>166</x:v>
      </x:c>
      <x:c r="E236" s="2" t="s">
        <x:v>1010</x:v>
      </x:c>
      <x:c r="F236" s="2" t="s">
        <x:v>1011</x:v>
      </x:c>
      <x:c r="G236" s="2" t="s">
        <x:v>158</x:v>
      </x:c>
      <x:c r="H236" s="2" t="s">
        <x:v>618</x:v>
      </x:c>
      <x:c r="I236" s="2" t="s">
        <x:v>1185</x:v>
      </x:c>
      <x:c r="J236" s="2" t="s">
        <x:v>1013</x:v>
      </x:c>
      <x:c r="K236" s="2"/>
      <x:c r="L236" s="2" t="s">
        <x:v>1014</x:v>
      </x:c>
      <x:c r="M236" s="2" t="s">
        <x:v>1015</x:v>
      </x:c>
      <x:c r="N236" s="2">
        <x:v>2</x:v>
      </x:c>
      <x:c r="O236" s="2" t="s">
        <x:v>1016</x:v>
      </x:c>
      <x:c r="P236" s="2" t="s">
        <x:v>1017</x:v>
      </x:c>
      <x:c r="Q236" s="2"/>
      <x:c r="R236" s="3"/>
      <x:c r="S236" s="3"/>
      <x:c r="T236" s="2"/>
      <x:c r="U236" s="2"/>
      <x:c r="V236" s="2"/>
      <x:c r="W236" s="2" t="s">
        <x:v>1186</x:v>
      </x:c>
      <x:c r="X236" s="3">
        <x:v>2</x:v>
      </x:c>
      <x:c r="Y236" s="3">
        <x:v>1</x:v>
      </x:c>
      <x:c r="Z236" s="2" t="s">
        <x:v>191</x:v>
      </x:c>
      <x:c r="AA236" s="2"/>
      <x:c r="AB236" s="2"/>
      <x:c r="AC236" s="2"/>
      <x:c r="AD236" s="2"/>
      <x:c r="AE236" s="2"/>
      <x:c r="AF236" s="2"/>
      <x:c r="AG236" s="2"/>
      <x:c r="AH236" s="2"/>
      <x:c r="AI236" s="4"/>
      <x:c r="AJ236" s="2"/>
      <x:c r="AK236" s="2" t="s">
        <x:v>176</x:v>
      </x:c>
      <x:c r="AL236" s="2" t="s">
        <x:v>2857</x:v>
      </x:c>
      <x:c r="AM236" s="2">
        <x:v>86</x:v>
      </x:c>
      <x:c r="AN236" s="2">
        <x:v>86</x:v>
      </x:c>
    </x:row>
    <x:row r="237" ht="26">
      <x:c r="A237" s="2" t="s">
        <x:v>6</x:v>
      </x:c>
      <x:c r="B237" s="2" t="s">
        <x:v>14</x:v>
      </x:c>
      <x:c r="C237" s="3">
        <x:v>85</x:v>
      </x:c>
      <x:c r="D237" s="2" t="s">
        <x:v>1046</x:v>
      </x:c>
      <x:c r="E237" s="2" t="s">
        <x:v>1010</x:v>
      </x:c>
      <x:c r="F237" s="2" t="s">
        <x:v>1047</x:v>
      </x:c>
      <x:c r="G237" s="2"/>
      <x:c r="H237" s="2" t="s">
        <x:v>627</x:v>
      </x:c>
      <x:c r="I237" s="2" t="s">
        <x:v>1185</x:v>
      </x:c>
      <x:c r="J237" s="2" t="s">
        <x:v>1021</x:v>
      </x:c>
      <x:c r="K237" s="2" t="n">
        <x:v>84</x:v>
      </x:c>
      <x:c r="L237" s="2" t="s">
        <x:v>1049</x:v>
      </x:c>
      <x:c r="M237" s="2" t="s">
        <x:v>1023</x:v>
      </x:c>
      <x:c r="N237" s="2">
        <x:v>2</x:v>
      </x:c>
      <x:c r="O237" s="2" t="s">
        <x:v>1024</x:v>
      </x:c>
      <x:c r="P237" s="2" t="s">
        <x:v>1025</x:v>
      </x:c>
      <x:c r="Q237" s="2"/>
      <x:c r="R237" s="3"/>
      <x:c r="S237" s="3"/>
      <x:c r="T237" s="2"/>
      <x:c r="U237" s="2"/>
      <x:c r="V237" s="2"/>
      <x:c r="W237" s="2" t="s">
        <x:v>1186</x:v>
      </x:c>
      <x:c r="X237" s="3">
        <x:v>2</x:v>
      </x:c>
      <x:c r="Y237" s="3">
        <x:v>1</x:v>
      </x:c>
      <x:c r="Z237" s="2" t="s">
        <x:v>191</x:v>
      </x:c>
      <x:c r="AA237" s="2"/>
      <x:c r="AB237" s="2"/>
      <x:c r="AC237" s="2"/>
      <x:c r="AD237" s="2"/>
      <x:c r="AE237" s="2"/>
      <x:c r="AF237" s="2"/>
      <x:c r="AG237" s="2"/>
      <x:c r="AH237" s="2"/>
      <x:c r="AI237" s="4"/>
      <x:c r="AJ237" s="2"/>
      <x:c r="AK237" s="2" t="s">
        <x:v>176</x:v>
      </x:c>
      <x:c r="AL237" s="2" t="s">
        <x:v>2857</x:v>
      </x:c>
      <x:c r="AM237" s="2">
        <x:v>87</x:v>
      </x:c>
      <x:c r="AN237" s="2">
        <x:v>87</x:v>
      </x:c>
    </x:row>
    <x:row r="238" ht="39">
      <x:c r="A238" s="2" t="s">
        <x:v>91</x:v>
      </x:c>
      <x:c r="B238" s="2" t="s">
        <x:v>14</x:v>
      </x:c>
      <x:c r="C238" s="3">
        <x:v>86</x:v>
      </x:c>
      <x:c r="D238" s="2" t="s">
        <x:v>1187</x:v>
      </x:c>
      <x:c r="E238" s="2" t="s">
        <x:v>1010</x:v>
      </x:c>
      <x:c r="F238" s="2" t="s">
        <x:v>1011</x:v>
      </x:c>
      <x:c r="G238" s="2" t="s">
        <x:v>158</x:v>
      </x:c>
      <x:c r="H238" s="2" t="s">
        <x:v>634</x:v>
      </x:c>
      <x:c r="I238" s="2" t="s">
        <x:v>1185</x:v>
      </x:c>
      <x:c r="J238" s="2" t="s">
        <x:v>1051</x:v>
      </x:c>
      <x:c r="K238" s="2" t="n">
        <x:v>84</x:v>
      </x:c>
      <x:c r="L238" s="2" t="s">
        <x:v>1014</x:v>
      </x:c>
      <x:c r="M238" s="2" t="s">
        <x:v>1052</x:v>
      </x:c>
      <x:c r="N238" s="2">
        <x:v>2</x:v>
      </x:c>
      <x:c r="O238" s="2" t="s">
        <x:v>1016</x:v>
      </x:c>
      <x:c r="P238" s="2" t="s">
        <x:v>1053</x:v>
      </x:c>
      <x:c r="Q238" s="2"/>
      <x:c r="R238" s="3"/>
      <x:c r="S238" s="3"/>
      <x:c r="T238" s="2"/>
      <x:c r="U238" s="2"/>
      <x:c r="V238" s="2"/>
      <x:c r="W238" s="2" t="s">
        <x:v>1186</x:v>
      </x:c>
      <x:c r="X238" s="3">
        <x:v>2</x:v>
      </x:c>
      <x:c r="Y238" s="3">
        <x:v>1</x:v>
      </x:c>
      <x:c r="Z238" s="2" t="s">
        <x:v>191</x:v>
      </x:c>
      <x:c r="AA238" s="2"/>
      <x:c r="AB238" s="2"/>
      <x:c r="AC238" s="2"/>
      <x:c r="AD238" s="2"/>
      <x:c r="AE238" s="2"/>
      <x:c r="AF238" s="2"/>
      <x:c r="AG238" s="2"/>
      <x:c r="AH238" s="2"/>
      <x:c r="AI238" s="4"/>
      <x:c r="AJ238" s="2"/>
      <x:c r="AK238" s="2" t="s">
        <x:v>176</x:v>
      </x:c>
      <x:c r="AL238" s="2" t="s">
        <x:v>2857</x:v>
      </x:c>
      <x:c r="AM238" s="2">
        <x:v>88</x:v>
      </x:c>
      <x:c r="AN238" s="2">
        <x:v>88</x:v>
      </x:c>
    </x:row>
    <x:row r="239" ht="26">
      <x:c r="A239" s="2" t="s">
        <x:v>6</x:v>
      </x:c>
      <x:c r="B239" s="2" t="s">
        <x:v>14</x:v>
      </x:c>
      <x:c r="C239" s="3">
        <x:v>87</x:v>
      </x:c>
      <x:c r="D239" s="2" t="s">
        <x:v>1054</x:v>
      </x:c>
      <x:c r="E239" s="2" t="s">
        <x:v>1010</x:v>
      </x:c>
      <x:c r="F239" s="2" t="s">
        <x:v>1047</x:v>
      </x:c>
      <x:c r="G239" s="2"/>
      <x:c r="H239" s="2" t="s">
        <x:v>634</x:v>
      </x:c>
      <x:c r="I239" s="2" t="s">
        <x:v>1185</x:v>
      </x:c>
      <x:c r="J239" s="2" t="s">
        <x:v>1055</x:v>
      </x:c>
      <x:c r="K239" s="2" t="n">
        <x:v>84</x:v>
      </x:c>
      <x:c r="L239" s="2" t="s">
        <x:v>1049</x:v>
      </x:c>
      <x:c r="M239" s="2" t="s">
        <x:v>1056</x:v>
      </x:c>
      <x:c r="N239" s="2">
        <x:v>2</x:v>
      </x:c>
      <x:c r="O239" s="2" t="s">
        <x:v>1024</x:v>
      </x:c>
      <x:c r="P239" s="2" t="s">
        <x:v>1057</x:v>
      </x:c>
      <x:c r="Q239" s="2"/>
      <x:c r="R239" s="3"/>
      <x:c r="S239" s="3"/>
      <x:c r="T239" s="2"/>
      <x:c r="U239" s="2"/>
      <x:c r="V239" s="2"/>
      <x:c r="W239" s="2" t="s">
        <x:v>1186</x:v>
      </x:c>
      <x:c r="X239" s="3">
        <x:v>2</x:v>
      </x:c>
      <x:c r="Y239" s="3">
        <x:v>1</x:v>
      </x:c>
      <x:c r="Z239" s="2" t="s">
        <x:v>191</x:v>
      </x:c>
      <x:c r="AA239" s="2"/>
      <x:c r="AB239" s="2"/>
      <x:c r="AC239" s="2"/>
      <x:c r="AD239" s="2"/>
      <x:c r="AE239" s="2"/>
      <x:c r="AF239" s="2"/>
      <x:c r="AG239" s="2"/>
      <x:c r="AH239" s="2"/>
      <x:c r="AI239" s="4"/>
      <x:c r="AJ239" s="2"/>
      <x:c r="AK239" s="2" t="s">
        <x:v>176</x:v>
      </x:c>
      <x:c r="AL239" s="2" t="s">
        <x:v>2857</x:v>
      </x:c>
      <x:c r="AM239" s="2">
        <x:v>89</x:v>
      </x:c>
      <x:c r="AN239" s="2">
        <x:v>89</x:v>
      </x:c>
    </x:row>
    <x:row r="240" ht="26">
      <x:c r="A240" s="2" t="s">
        <x:v>6</x:v>
      </x:c>
      <x:c r="B240" s="2" t="s">
        <x:v>14</x:v>
      </x:c>
      <x:c r="C240" s="3">
        <x:v>88</x:v>
      </x:c>
      <x:c r="D240" s="2" t="s">
        <x:v>1109</x:v>
      </x:c>
      <x:c r="E240" s="2" t="s">
        <x:v>1010</x:v>
      </x:c>
      <x:c r="F240" s="2" t="s">
        <x:v>1110</x:v>
      </x:c>
      <x:c r="G240" s="2" t="s">
        <x:v>2893</x:v>
      </x:c>
      <x:c r="H240" s="2" t="s">
        <x:v>627</x:v>
      </x:c>
      <x:c r="I240" s="2" t="s">
        <x:v>1185</x:v>
      </x:c>
      <x:c r="J240" s="2" t="s">
        <x:v>1028</x:v>
      </x:c>
      <x:c r="K240" s="2"/>
      <x:c r="L240" s="2" t="s">
        <x:v>1111</x:v>
      </x:c>
      <x:c r="M240" s="2" t="s">
        <x:v>1023</x:v>
      </x:c>
      <x:c r="N240" s="2">
        <x:v>2</x:v>
      </x:c>
      <x:c r="O240" s="2" t="s">
        <x:v>1024</x:v>
      </x:c>
      <x:c r="P240" s="2" t="s">
        <x:v>1025</x:v>
      </x:c>
      <x:c r="Q240" s="2"/>
      <x:c r="R240" s="3"/>
      <x:c r="S240" s="3"/>
      <x:c r="T240" s="2"/>
      <x:c r="U240" s="2"/>
      <x:c r="V240" s="2"/>
      <x:c r="W240" s="2" t="s">
        <x:v>1189</x:v>
      </x:c>
      <x:c r="X240" s="3">
        <x:v>2</x:v>
      </x:c>
      <x:c r="Y240" s="3">
        <x:v>3</x:v>
      </x:c>
      <x:c r="Z240" s="2" t="s">
        <x:v>175</x:v>
      </x:c>
      <x:c r="AA240" s="2"/>
      <x:c r="AB240" s="2"/>
      <x:c r="AC240" s="2"/>
      <x:c r="AD240" s="2"/>
      <x:c r="AE240" s="2"/>
      <x:c r="AF240" s="2"/>
      <x:c r="AG240" s="2"/>
      <x:c r="AH240" s="2"/>
      <x:c r="AI240" s="4"/>
      <x:c r="AJ240" s="2"/>
      <x:c r="AK240" s="2" t="s">
        <x:v>176</x:v>
      </x:c>
      <x:c r="AL240" s="2" t="s">
        <x:v>2857</x:v>
      </x:c>
      <x:c r="AM240" s="2">
        <x:v>90</x:v>
      </x:c>
      <x:c r="AN240" s="2">
        <x:v>90</x:v>
      </x:c>
    </x:row>
    <x:row r="241" ht="39">
      <x:c r="A241" s="2" t="s">
        <x:v>91</x:v>
      </x:c>
      <x:c r="B241" s="2" t="s">
        <x:v>14</x:v>
      </x:c>
      <x:c r="C241" s="3">
        <x:v>89</x:v>
      </x:c>
      <x:c r="D241" s="2" t="s">
        <x:v>184</x:v>
      </x:c>
      <x:c r="E241" s="2" t="s">
        <x:v>1010</x:v>
      </x:c>
      <x:c r="F241" s="2" t="s">
        <x:v>1031</x:v>
      </x:c>
      <x:c r="G241" s="2" t="s">
        <x:v>158</x:v>
      </x:c>
      <x:c r="H241" s="2" t="s">
        <x:v>618</x:v>
      </x:c>
      <x:c r="I241" s="2" t="s">
        <x:v>1185</x:v>
      </x:c>
      <x:c r="J241" s="2" t="s">
        <x:v>1032</x:v>
      </x:c>
      <x:c r="K241" s="2" t="n">
        <x:v>88</x:v>
      </x:c>
      <x:c r="L241" s="2" t="s">
        <x:v>1033</x:v>
      </x:c>
      <x:c r="M241" s="2" t="s">
        <x:v>1034</x:v>
      </x:c>
      <x:c r="N241" s="2">
        <x:v>2</x:v>
      </x:c>
      <x:c r="O241" s="2" t="s">
        <x:v>1024</x:v>
      </x:c>
      <x:c r="P241" s="2" t="s">
        <x:v>1035</x:v>
      </x:c>
      <x:c r="Q241" s="2"/>
      <x:c r="R241" s="3"/>
      <x:c r="S241" s="3"/>
      <x:c r="T241" s="2"/>
      <x:c r="U241" s="2"/>
      <x:c r="V241" s="2"/>
      <x:c r="W241" s="2" t="s">
        <x:v>1189</x:v>
      </x:c>
      <x:c r="X241" s="3">
        <x:v>2</x:v>
      </x:c>
      <x:c r="Y241" s="3">
        <x:v>3</x:v>
      </x:c>
      <x:c r="Z241" s="2" t="s">
        <x:v>175</x:v>
      </x:c>
      <x:c r="AA241" s="2"/>
      <x:c r="AB241" s="2"/>
      <x:c r="AC241" s="2"/>
      <x:c r="AD241" s="2"/>
      <x:c r="AE241" s="2"/>
      <x:c r="AF241" s="2"/>
      <x:c r="AG241" s="2"/>
      <x:c r="AH241" s="2"/>
      <x:c r="AI241" s="4"/>
      <x:c r="AJ241" s="2"/>
      <x:c r="AK241" s="2" t="s">
        <x:v>176</x:v>
      </x:c>
      <x:c r="AL241" s="2" t="s">
        <x:v>2857</x:v>
      </x:c>
      <x:c r="AM241" s="2">
        <x:v>91</x:v>
      </x:c>
      <x:c r="AN241" s="2">
        <x:v>91</x:v>
      </x:c>
    </x:row>
    <x:row r="242" ht="26">
      <x:c r="A242" s="2" t="s">
        <x:v>6</x:v>
      </x:c>
      <x:c r="B242" s="2" t="s">
        <x:v>14</x:v>
      </x:c>
      <x:c r="C242" s="3">
        <x:v>90</x:v>
      </x:c>
      <x:c r="D242" s="2" t="s">
        <x:v>1190</x:v>
      </x:c>
      <x:c r="E242" s="2" t="s">
        <x:v>1010</x:v>
      </x:c>
      <x:c r="F242" s="2" t="s">
        <x:v>1110</x:v>
      </x:c>
      <x:c r="G242" s="2"/>
      <x:c r="H242" s="2" t="s">
        <x:v>634</x:v>
      </x:c>
      <x:c r="I242" s="2" t="s">
        <x:v>1185</x:v>
      </x:c>
      <x:c r="J242" s="2" t="s">
        <x:v>1060</x:v>
      </x:c>
      <x:c r="K242" s="2" t="n">
        <x:v>88</x:v>
      </x:c>
      <x:c r="L242" s="2" t="s">
        <x:v>1111</x:v>
      </x:c>
      <x:c r="M242" s="2" t="s">
        <x:v>1056</x:v>
      </x:c>
      <x:c r="N242" s="2">
        <x:v>2</x:v>
      </x:c>
      <x:c r="O242" s="2" t="s">
        <x:v>1024</x:v>
      </x:c>
      <x:c r="P242" s="2" t="s">
        <x:v>1057</x:v>
      </x:c>
      <x:c r="Q242" s="2"/>
      <x:c r="R242" s="3"/>
      <x:c r="S242" s="3"/>
      <x:c r="T242" s="2"/>
      <x:c r="U242" s="2"/>
      <x:c r="V242" s="2"/>
      <x:c r="W242" s="2" t="s">
        <x:v>1189</x:v>
      </x:c>
      <x:c r="X242" s="3">
        <x:v>2</x:v>
      </x:c>
      <x:c r="Y242" s="3">
        <x:v>3</x:v>
      </x:c>
      <x:c r="Z242" s="2" t="s">
        <x:v>175</x:v>
      </x:c>
      <x:c r="AA242" s="2"/>
      <x:c r="AB242" s="2"/>
      <x:c r="AC242" s="2"/>
      <x:c r="AD242" s="2"/>
      <x:c r="AE242" s="2"/>
      <x:c r="AF242" s="2"/>
      <x:c r="AG242" s="2"/>
      <x:c r="AH242" s="2"/>
      <x:c r="AI242" s="4"/>
      <x:c r="AJ242" s="2"/>
      <x:c r="AK242" s="2" t="s">
        <x:v>176</x:v>
      </x:c>
      <x:c r="AL242" s="2" t="s">
        <x:v>2857</x:v>
      </x:c>
      <x:c r="AM242" s="2">
        <x:v>92</x:v>
      </x:c>
      <x:c r="AN242" s="2">
        <x:v>92</x:v>
      </x:c>
    </x:row>
    <x:row r="243" ht="65">
      <x:c r="A243" s="2" t="s">
        <x:v>91</x:v>
      </x:c>
      <x:c r="B243" s="2" t="s">
        <x:v>14</x:v>
      </x:c>
      <x:c r="C243" s="3">
        <x:v>91</x:v>
      </x:c>
      <x:c r="D243" s="2" t="s">
        <x:v>1191</x:v>
      </x:c>
      <x:c r="E243" s="2" t="s">
        <x:v>1010</x:v>
      </x:c>
      <x:c r="F243" s="2" t="s">
        <x:v>1031</x:v>
      </x:c>
      <x:c r="G243" s="2" t="s">
        <x:v>2894</x:v>
      </x:c>
      <x:c r="H243" s="2" t="s">
        <x:v>634</x:v>
      </x:c>
      <x:c r="I243" s="2" t="s">
        <x:v>1185</x:v>
      </x:c>
      <x:c r="J243" s="2" t="s">
        <x:v>1062</x:v>
      </x:c>
      <x:c r="K243" s="2" t="n">
        <x:v>88</x:v>
      </x:c>
      <x:c r="L243" s="2" t="s">
        <x:v>1033</x:v>
      </x:c>
      <x:c r="M243" s="2" t="s">
        <x:v>1063</x:v>
      </x:c>
      <x:c r="N243" s="2">
        <x:v>2</x:v>
      </x:c>
      <x:c r="O243" s="2" t="s">
        <x:v>1024</x:v>
      </x:c>
      <x:c r="P243" s="2" t="s">
        <x:v>1053</x:v>
      </x:c>
      <x:c r="Q243" s="2"/>
      <x:c r="R243" s="3"/>
      <x:c r="S243" s="3"/>
      <x:c r="T243" s="2"/>
      <x:c r="U243" s="2"/>
      <x:c r="V243" s="2"/>
      <x:c r="W243" s="2" t="s">
        <x:v>1189</x:v>
      </x:c>
      <x:c r="X243" s="3">
        <x:v>2</x:v>
      </x:c>
      <x:c r="Y243" s="3">
        <x:v>3</x:v>
      </x:c>
      <x:c r="Z243" s="2" t="s">
        <x:v>175</x:v>
      </x:c>
      <x:c r="AA243" s="2"/>
      <x:c r="AB243" s="2"/>
      <x:c r="AC243" s="2"/>
      <x:c r="AD243" s="2"/>
      <x:c r="AE243" s="2"/>
      <x:c r="AF243" s="2"/>
      <x:c r="AG243" s="2"/>
      <x:c r="AH243" s="2"/>
      <x:c r="AI243" s="4"/>
      <x:c r="AJ243" s="2"/>
      <x:c r="AK243" s="2" t="s">
        <x:v>176</x:v>
      </x:c>
      <x:c r="AL243" s="2" t="s">
        <x:v>2857</x:v>
      </x:c>
      <x:c r="AM243" s="2">
        <x:v>93</x:v>
      </x:c>
      <x:c r="AN243" s="2">
        <x:v>93</x:v>
      </x:c>
    </x:row>
    <x:row r="244" ht="39">
      <x:c r="A244" s="2" t="s">
        <x:v>91</x:v>
      </x:c>
      <x:c r="B244" s="2" t="s">
        <x:v>14</x:v>
      </x:c>
      <x:c r="C244" s="3">
        <x:v>92</x:v>
      </x:c>
      <x:c r="D244" s="2" t="s">
        <x:v>166</x:v>
      </x:c>
      <x:c r="E244" s="2" t="s">
        <x:v>1117</x:v>
      </x:c>
      <x:c r="F244" s="2" t="s">
        <x:v>1011</x:v>
      </x:c>
      <x:c r="G244" s="2" t="s">
        <x:v>158</x:v>
      </x:c>
      <x:c r="H244" s="2" t="s">
        <x:v>618</x:v>
      </x:c>
      <x:c r="I244" s="2" t="s">
        <x:v>1192</x:v>
      </x:c>
      <x:c r="J244" s="2" t="s">
        <x:v>1013</x:v>
      </x:c>
      <x:c r="K244" s="2"/>
      <x:c r="L244" s="2" t="s">
        <x:v>1014</x:v>
      </x:c>
      <x:c r="M244" s="2" t="s">
        <x:v>1015</x:v>
      </x:c>
      <x:c r="N244" s="2">
        <x:v>4</x:v>
      </x:c>
      <x:c r="O244" s="2" t="s">
        <x:v>1016</x:v>
      </x:c>
      <x:c r="P244" s="2" t="s">
        <x:v>1017</x:v>
      </x:c>
      <x:c r="Q244" s="2"/>
      <x:c r="R244" s="3"/>
      <x:c r="S244" s="3"/>
      <x:c r="T244" s="2"/>
      <x:c r="U244" s="2"/>
      <x:c r="V244" s="2"/>
      <x:c r="W244" s="2" t="s">
        <x:v>1193</x:v>
      </x:c>
      <x:c r="X244" s="3">
        <x:v>2</x:v>
      </x:c>
      <x:c r="Y244" s="3">
        <x:v>1</x:v>
      </x:c>
      <x:c r="Z244" s="2" t="s">
        <x:v>191</x:v>
      </x:c>
      <x:c r="AA244" s="2"/>
      <x:c r="AB244" s="2"/>
      <x:c r="AC244" s="2"/>
      <x:c r="AD244" s="2"/>
      <x:c r="AE244" s="2"/>
      <x:c r="AF244" s="2"/>
      <x:c r="AG244" s="2"/>
      <x:c r="AH244" s="2"/>
      <x:c r="AI244" s="4"/>
      <x:c r="AJ244" s="2"/>
      <x:c r="AK244" s="2" t="s">
        <x:v>176</x:v>
      </x:c>
      <x:c r="AL244" s="2" t="s">
        <x:v>2857</x:v>
      </x:c>
      <x:c r="AM244" s="2">
        <x:v>94</x:v>
      </x:c>
      <x:c r="AN244" s="2">
        <x:v>94</x:v>
      </x:c>
    </x:row>
    <x:row r="245" ht="39">
      <x:c r="A245" s="2" t="s">
        <x:v>91</x:v>
      </x:c>
      <x:c r="B245" s="2" t="s">
        <x:v>14</x:v>
      </x:c>
      <x:c r="C245" s="3">
        <x:v>93</x:v>
      </x:c>
      <x:c r="D245" s="2" t="s">
        <x:v>184</x:v>
      </x:c>
      <x:c r="E245" s="2" t="s">
        <x:v>1117</x:v>
      </x:c>
      <x:c r="F245" s="2" t="s">
        <x:v>1031</x:v>
      </x:c>
      <x:c r="G245" s="2" t="s">
        <x:v>158</x:v>
      </x:c>
      <x:c r="H245" s="2" t="s">
        <x:v>618</x:v>
      </x:c>
      <x:c r="I245" s="2" t="s">
        <x:v>1192</x:v>
      </x:c>
      <x:c r="J245" s="2" t="s">
        <x:v>1032</x:v>
      </x:c>
      <x:c r="K245" s="2" t="n">
        <x:v>92</x:v>
      </x:c>
      <x:c r="L245" s="2" t="s">
        <x:v>1120</x:v>
      </x:c>
      <x:c r="M245" s="2" t="s">
        <x:v>1041</x:v>
      </x:c>
      <x:c r="N245" s="2">
        <x:v>4</x:v>
      </x:c>
      <x:c r="O245" s="2" t="s">
        <x:v>1024</x:v>
      </x:c>
      <x:c r="P245" s="2" t="s">
        <x:v>1035</x:v>
      </x:c>
      <x:c r="Q245" s="2"/>
      <x:c r="R245" s="3"/>
      <x:c r="S245" s="3"/>
      <x:c r="T245" s="2"/>
      <x:c r="U245" s="2"/>
      <x:c r="V245" s="2"/>
      <x:c r="W245" s="2" t="s">
        <x:v>1194</x:v>
      </x:c>
      <x:c r="X245" s="3">
        <x:v>2</x:v>
      </x:c>
      <x:c r="Y245" s="3">
        <x:v>3</x:v>
      </x:c>
      <x:c r="Z245" s="2" t="s">
        <x:v>175</x:v>
      </x:c>
      <x:c r="AA245" s="2"/>
      <x:c r="AB245" s="2"/>
      <x:c r="AC245" s="2"/>
      <x:c r="AD245" s="2"/>
      <x:c r="AE245" s="2"/>
      <x:c r="AF245" s="2"/>
      <x:c r="AG245" s="2"/>
      <x:c r="AH245" s="2"/>
      <x:c r="AI245" s="4"/>
      <x:c r="AJ245" s="2"/>
      <x:c r="AK245" s="2" t="s">
        <x:v>176</x:v>
      </x:c>
      <x:c r="AL245" s="2" t="s">
        <x:v>2857</x:v>
      </x:c>
      <x:c r="AM245" s="2">
        <x:v>95</x:v>
      </x:c>
      <x:c r="AN245" s="2">
        <x:v>95</x:v>
      </x:c>
    </x:row>
    <x:row r="246" ht="39">
      <x:c r="A246" s="2" t="s">
        <x:v>91</x:v>
      </x:c>
      <x:c r="B246" s="2" t="s">
        <x:v>14</x:v>
      </x:c>
      <x:c r="C246" s="3">
        <x:v>94</x:v>
      </x:c>
      <x:c r="D246" s="2" t="s">
        <x:v>184</x:v>
      </x:c>
      <x:c r="E246" s="2" t="s">
        <x:v>1064</x:v>
      </x:c>
      <x:c r="F246" s="2" t="s">
        <x:v>1031</x:v>
      </x:c>
      <x:c r="G246" s="2" t="s">
        <x:v>158</x:v>
      </x:c>
      <x:c r="H246" s="2" t="s">
        <x:v>618</x:v>
      </x:c>
      <x:c r="I246" s="2" t="s">
        <x:v>1195</x:v>
      </x:c>
      <x:c r="J246" s="2" t="s">
        <x:v>1032</x:v>
      </x:c>
      <x:c r="K246" s="2"/>
      <x:c r="L246" s="2" t="s">
        <x:v>1038</x:v>
      </x:c>
      <x:c r="M246" s="2" t="s">
        <x:v>1015</x:v>
      </x:c>
      <x:c r="N246" s="2">
        <x:v>2</x:v>
      </x:c>
      <x:c r="O246" s="2" t="s">
        <x:v>1024</x:v>
      </x:c>
      <x:c r="P246" s="2" t="s">
        <x:v>1035</x:v>
      </x:c>
      <x:c r="Q246" s="2"/>
      <x:c r="R246" s="3"/>
      <x:c r="S246" s="3"/>
      <x:c r="T246" s="2"/>
      <x:c r="U246" s="2"/>
      <x:c r="V246" s="2"/>
      <x:c r="W246" s="2" t="s">
        <x:v>1196</x:v>
      </x:c>
      <x:c r="X246" s="3">
        <x:v>2</x:v>
      </x:c>
      <x:c r="Y246" s="3">
        <x:v>3</x:v>
      </x:c>
      <x:c r="Z246" s="2" t="s">
        <x:v>175</x:v>
      </x:c>
      <x:c r="AA246" s="2"/>
      <x:c r="AB246" s="2"/>
      <x:c r="AC246" s="2"/>
      <x:c r="AD246" s="2"/>
      <x:c r="AE246" s="2"/>
      <x:c r="AF246" s="2"/>
      <x:c r="AG246" s="2"/>
      <x:c r="AH246" s="2"/>
      <x:c r="AI246" s="4"/>
      <x:c r="AJ246" s="2"/>
      <x:c r="AK246" s="2" t="s">
        <x:v>176</x:v>
      </x:c>
      <x:c r="AL246" s="2" t="s">
        <x:v>2857</x:v>
      </x:c>
      <x:c r="AM246" s="2">
        <x:v>96</x:v>
      </x:c>
      <x:c r="AN246" s="2">
        <x:v>96</x:v>
      </x:c>
    </x:row>
    <x:row r="247" ht="26">
      <x:c r="A247" s="2" t="s">
        <x:v>6</x:v>
      </x:c>
      <x:c r="B247" s="2" t="s">
        <x:v>14</x:v>
      </x:c>
      <x:c r="C247" s="3">
        <x:v>95</x:v>
      </x:c>
      <x:c r="D247" s="2" t="s">
        <x:v>1197</x:v>
      </x:c>
      <x:c r="E247" s="2" t="s">
        <x:v>1064</x:v>
      </x:c>
      <x:c r="F247" s="2" t="s">
        <x:v>1198</x:v>
      </x:c>
      <x:c r="G247" s="2"/>
      <x:c r="H247" s="2" t="s">
        <x:v>627</x:v>
      </x:c>
      <x:c r="I247" s="2" t="s">
        <x:v>1195</x:v>
      </x:c>
      <x:c r="J247" s="2" t="s">
        <x:v>1028</x:v>
      </x:c>
      <x:c r="K247" s="2" t="n">
        <x:v>94</x:v>
      </x:c>
      <x:c r="L247" s="2" t="s">
        <x:v>1199</x:v>
      </x:c>
      <x:c r="M247" s="2" t="s">
        <x:v>1023</x:v>
      </x:c>
      <x:c r="N247" s="2">
        <x:v>2</x:v>
      </x:c>
      <x:c r="O247" s="2" t="s">
        <x:v>1024</x:v>
      </x:c>
      <x:c r="P247" s="2" t="s">
        <x:v>1025</x:v>
      </x:c>
      <x:c r="Q247" s="2"/>
      <x:c r="R247" s="3"/>
      <x:c r="S247" s="3"/>
      <x:c r="T247" s="2"/>
      <x:c r="U247" s="2"/>
      <x:c r="V247" s="2"/>
      <x:c r="W247" s="2" t="s">
        <x:v>1196</x:v>
      </x:c>
      <x:c r="X247" s="3">
        <x:v>2</x:v>
      </x:c>
      <x:c r="Y247" s="3">
        <x:v>3</x:v>
      </x:c>
      <x:c r="Z247" s="2" t="s">
        <x:v>175</x:v>
      </x:c>
      <x:c r="AA247" s="2"/>
      <x:c r="AB247" s="2"/>
      <x:c r="AC247" s="2"/>
      <x:c r="AD247" s="2"/>
      <x:c r="AE247" s="2"/>
      <x:c r="AF247" s="2"/>
      <x:c r="AG247" s="2"/>
      <x:c r="AH247" s="2"/>
      <x:c r="AI247" s="4"/>
      <x:c r="AJ247" s="2"/>
      <x:c r="AK247" s="2" t="s">
        <x:v>176</x:v>
      </x:c>
      <x:c r="AL247" s="2" t="s">
        <x:v>2857</x:v>
      </x:c>
      <x:c r="AM247" s="2">
        <x:v>97</x:v>
      </x:c>
      <x:c r="AN247" s="2">
        <x:v>97</x:v>
      </x:c>
    </x:row>
    <x:row r="248" ht="39">
      <x:c r="A248" s="2" t="s">
        <x:v>91</x:v>
      </x:c>
      <x:c r="B248" s="2" t="s">
        <x:v>14</x:v>
      </x:c>
      <x:c r="C248" s="3">
        <x:v>96</x:v>
      </x:c>
      <x:c r="D248" s="2" t="s">
        <x:v>1200</x:v>
      </x:c>
      <x:c r="E248" s="2" t="s">
        <x:v>1064</x:v>
      </x:c>
      <x:c r="F248" s="2" t="s">
        <x:v>1031</x:v>
      </x:c>
      <x:c r="G248" s="2" t="s">
        <x:v>158</x:v>
      </x:c>
      <x:c r="H248" s="2" t="s">
        <x:v>634</x:v>
      </x:c>
      <x:c r="I248" s="2" t="s">
        <x:v>1195</x:v>
      </x:c>
      <x:c r="J248" s="2" t="s">
        <x:v>1062</x:v>
      </x:c>
      <x:c r="K248" s="2" t="n">
        <x:v>94</x:v>
      </x:c>
      <x:c r="L248" s="2" t="s">
        <x:v>1038</x:v>
      </x:c>
      <x:c r="M248" s="2" t="s">
        <x:v>1052</x:v>
      </x:c>
      <x:c r="N248" s="2">
        <x:v>2</x:v>
      </x:c>
      <x:c r="O248" s="2" t="s">
        <x:v>1024</x:v>
      </x:c>
      <x:c r="P248" s="2" t="s">
        <x:v>1053</x:v>
      </x:c>
      <x:c r="Q248" s="2"/>
      <x:c r="R248" s="3"/>
      <x:c r="S248" s="3"/>
      <x:c r="T248" s="2"/>
      <x:c r="U248" s="2"/>
      <x:c r="V248" s="2"/>
      <x:c r="W248" s="2" t="s">
        <x:v>1196</x:v>
      </x:c>
      <x:c r="X248" s="3">
        <x:v>2</x:v>
      </x:c>
      <x:c r="Y248" s="3">
        <x:v>3</x:v>
      </x:c>
      <x:c r="Z248" s="2" t="s">
        <x:v>175</x:v>
      </x:c>
      <x:c r="AA248" s="2"/>
      <x:c r="AB248" s="2"/>
      <x:c r="AC248" s="2"/>
      <x:c r="AD248" s="2"/>
      <x:c r="AE248" s="2"/>
      <x:c r="AF248" s="2"/>
      <x:c r="AG248" s="2"/>
      <x:c r="AH248" s="2"/>
      <x:c r="AI248" s="4"/>
      <x:c r="AJ248" s="2"/>
      <x:c r="AK248" s="2" t="s">
        <x:v>176</x:v>
      </x:c>
      <x:c r="AL248" s="2" t="s">
        <x:v>2857</x:v>
      </x:c>
      <x:c r="AM248" s="2">
        <x:v>98</x:v>
      </x:c>
      <x:c r="AN248" s="2">
        <x:v>98</x:v>
      </x:c>
    </x:row>
    <x:row r="249" ht="26">
      <x:c r="A249" s="2" t="s">
        <x:v>6</x:v>
      </x:c>
      <x:c r="B249" s="2" t="s">
        <x:v>14</x:v>
      </x:c>
      <x:c r="C249" s="3">
        <x:v>97</x:v>
      </x:c>
      <x:c r="D249" s="2" t="s">
        <x:v>1201</x:v>
      </x:c>
      <x:c r="E249" s="2" t="s">
        <x:v>1064</x:v>
      </x:c>
      <x:c r="F249" s="2" t="s">
        <x:v>1198</x:v>
      </x:c>
      <x:c r="G249" s="2"/>
      <x:c r="H249" s="2" t="s">
        <x:v>634</x:v>
      </x:c>
      <x:c r="I249" s="2" t="s">
        <x:v>1195</x:v>
      </x:c>
      <x:c r="J249" s="2" t="s">
        <x:v>1060</x:v>
      </x:c>
      <x:c r="K249" s="2" t="n">
        <x:v>94</x:v>
      </x:c>
      <x:c r="L249" s="2" t="s">
        <x:v>1199</x:v>
      </x:c>
      <x:c r="M249" s="2" t="s">
        <x:v>1056</x:v>
      </x:c>
      <x:c r="N249" s="2">
        <x:v>2</x:v>
      </x:c>
      <x:c r="O249" s="2" t="s">
        <x:v>1024</x:v>
      </x:c>
      <x:c r="P249" s="2" t="s">
        <x:v>1057</x:v>
      </x:c>
      <x:c r="Q249" s="2"/>
      <x:c r="R249" s="3"/>
      <x:c r="S249" s="3"/>
      <x:c r="T249" s="2"/>
      <x:c r="U249" s="2"/>
      <x:c r="V249" s="2"/>
      <x:c r="W249" s="2" t="s">
        <x:v>1196</x:v>
      </x:c>
      <x:c r="X249" s="3">
        <x:v>2</x:v>
      </x:c>
      <x:c r="Y249" s="3">
        <x:v>3</x:v>
      </x:c>
      <x:c r="Z249" s="2" t="s">
        <x:v>175</x:v>
      </x:c>
      <x:c r="AA249" s="2"/>
      <x:c r="AB249" s="2"/>
      <x:c r="AC249" s="2"/>
      <x:c r="AD249" s="2"/>
      <x:c r="AE249" s="2"/>
      <x:c r="AF249" s="2"/>
      <x:c r="AG249" s="2"/>
      <x:c r="AH249" s="2"/>
      <x:c r="AI249" s="4"/>
      <x:c r="AJ249" s="2"/>
      <x:c r="AK249" s="2" t="s">
        <x:v>176</x:v>
      </x:c>
      <x:c r="AL249" s="2" t="s">
        <x:v>2857</x:v>
      </x:c>
      <x:c r="AM249" s="2">
        <x:v>99</x:v>
      </x:c>
      <x:c r="AN249" s="2">
        <x:v>99</x:v>
      </x:c>
    </x:row>
    <x:row r="250" ht="26">
      <x:c r="A250" s="2" t="s">
        <x:v>6</x:v>
      </x:c>
      <x:c r="B250" s="2" t="s">
        <x:v>14</x:v>
      </x:c>
      <x:c r="C250" s="3">
        <x:v>98</x:v>
      </x:c>
      <x:c r="D250" s="2" t="s">
        <x:v>1160</x:v>
      </x:c>
      <x:c r="E250" s="2" t="s">
        <x:v>1064</x:v>
      </x:c>
      <x:c r="F250" s="2" t="s">
        <x:v>1161</x:v>
      </x:c>
      <x:c r="G250" s="2"/>
      <x:c r="H250" s="2" t="s">
        <x:v>627</x:v>
      </x:c>
      <x:c r="I250" s="2" t="s">
        <x:v>1195</x:v>
      </x:c>
      <x:c r="J250" s="2" t="s">
        <x:v>1021</x:v>
      </x:c>
      <x:c r="K250" s="2"/>
      <x:c r="L250" s="2" t="s">
        <x:v>1163</x:v>
      </x:c>
      <x:c r="M250" s="2" t="s">
        <x:v>1023</x:v>
      </x:c>
      <x:c r="N250" s="2">
        <x:v>2</x:v>
      </x:c>
      <x:c r="O250" s="2" t="s">
        <x:v>1024</x:v>
      </x:c>
      <x:c r="P250" s="2" t="s">
        <x:v>1025</x:v>
      </x:c>
      <x:c r="Q250" s="2"/>
      <x:c r="R250" s="3"/>
      <x:c r="S250" s="3"/>
      <x:c r="T250" s="2"/>
      <x:c r="U250" s="2"/>
      <x:c r="V250" s="2"/>
      <x:c r="W250" s="2" t="s">
        <x:v>1203</x:v>
      </x:c>
      <x:c r="X250" s="3">
        <x:v>2</x:v>
      </x:c>
      <x:c r="Y250" s="3">
        <x:v>1</x:v>
      </x:c>
      <x:c r="Z250" s="2" t="s">
        <x:v>191</x:v>
      </x:c>
      <x:c r="AA250" s="2"/>
      <x:c r="AB250" s="2"/>
      <x:c r="AC250" s="2"/>
      <x:c r="AD250" s="2"/>
      <x:c r="AE250" s="2"/>
      <x:c r="AF250" s="2"/>
      <x:c r="AG250" s="2"/>
      <x:c r="AH250" s="2"/>
      <x:c r="AI250" s="4"/>
      <x:c r="AJ250" s="2"/>
      <x:c r="AK250" s="2" t="s">
        <x:v>176</x:v>
      </x:c>
      <x:c r="AL250" s="2" t="s">
        <x:v>2857</x:v>
      </x:c>
      <x:c r="AM250" s="2">
        <x:v>100</x:v>
      </x:c>
      <x:c r="AN250" s="2">
        <x:v>100</x:v>
      </x:c>
    </x:row>
    <x:row r="251" ht="39">
      <x:c r="A251" s="2" t="s">
        <x:v>91</x:v>
      </x:c>
      <x:c r="B251" s="2" t="s">
        <x:v>14</x:v>
      </x:c>
      <x:c r="C251" s="3">
        <x:v>99</x:v>
      </x:c>
      <x:c r="D251" s="2" t="s">
        <x:v>166</x:v>
      </x:c>
      <x:c r="E251" s="2" t="s">
        <x:v>1064</x:v>
      </x:c>
      <x:c r="F251" s="2" t="s">
        <x:v>1011</x:v>
      </x:c>
      <x:c r="G251" s="2" t="s">
        <x:v>158</x:v>
      </x:c>
      <x:c r="H251" s="2" t="s">
        <x:v>618</x:v>
      </x:c>
      <x:c r="I251" s="2" t="s">
        <x:v>1195</x:v>
      </x:c>
      <x:c r="J251" s="2" t="s">
        <x:v>1013</x:v>
      </x:c>
      <x:c r="K251" s="2" t="n">
        <x:v>98</x:v>
      </x:c>
      <x:c r="L251" s="2" t="s">
        <x:v>1074</x:v>
      </x:c>
      <x:c r="M251" s="2" t="s">
        <x:v>1034</x:v>
      </x:c>
      <x:c r="N251" s="2">
        <x:v>2</x:v>
      </x:c>
      <x:c r="O251" s="2" t="s">
        <x:v>1016</x:v>
      </x:c>
      <x:c r="P251" s="2" t="s">
        <x:v>1017</x:v>
      </x:c>
      <x:c r="Q251" s="2"/>
      <x:c r="R251" s="3"/>
      <x:c r="S251" s="3"/>
      <x:c r="T251" s="2"/>
      <x:c r="U251" s="2"/>
      <x:c r="V251" s="2"/>
      <x:c r="W251" s="2" t="s">
        <x:v>1203</x:v>
      </x:c>
      <x:c r="X251" s="3">
        <x:v>2</x:v>
      </x:c>
      <x:c r="Y251" s="3">
        <x:v>1</x:v>
      </x:c>
      <x:c r="Z251" s="2" t="s">
        <x:v>191</x:v>
      </x:c>
      <x:c r="AA251" s="2"/>
      <x:c r="AB251" s="2"/>
      <x:c r="AC251" s="2"/>
      <x:c r="AD251" s="2"/>
      <x:c r="AE251" s="2"/>
      <x:c r="AF251" s="2"/>
      <x:c r="AG251" s="2"/>
      <x:c r="AH251" s="2"/>
      <x:c r="AI251" s="4"/>
      <x:c r="AJ251" s="2"/>
      <x:c r="AK251" s="2" t="s">
        <x:v>176</x:v>
      </x:c>
      <x:c r="AL251" s="2" t="s">
        <x:v>2857</x:v>
      </x:c>
      <x:c r="AM251" s="2">
        <x:v>101</x:v>
      </x:c>
      <x:c r="AN251" s="2">
        <x:v>101</x:v>
      </x:c>
    </x:row>
    <x:row r="252" ht="26">
      <x:c r="A252" s="2" t="s">
        <x:v>91</x:v>
      </x:c>
      <x:c r="B252" s="2" t="s">
        <x:v>14</x:v>
      </x:c>
      <x:c r="C252" s="3">
        <x:v>100</x:v>
      </x:c>
      <x:c r="D252" s="2" t="s">
        <x:v>1204</x:v>
      </x:c>
      <x:c r="E252" s="2" t="s">
        <x:v>1064</x:v>
      </x:c>
      <x:c r="F252" s="2" t="s">
        <x:v>1161</x:v>
      </x:c>
      <x:c r="G252" s="2" t="s">
        <x:v>158</x:v>
      </x:c>
      <x:c r="H252" s="2" t="s">
        <x:v>634</x:v>
      </x:c>
      <x:c r="I252" s="2" t="s">
        <x:v>1195</x:v>
      </x:c>
      <x:c r="J252" s="2" t="s">
        <x:v>1055</x:v>
      </x:c>
      <x:c r="K252" s="2" t="n">
        <x:v>98</x:v>
      </x:c>
      <x:c r="L252" s="2" t="s">
        <x:v>1163</x:v>
      </x:c>
      <x:c r="M252" s="2" t="s">
        <x:v>1056</x:v>
      </x:c>
      <x:c r="N252" s="2">
        <x:v>2</x:v>
      </x:c>
      <x:c r="O252" s="2" t="s">
        <x:v>1024</x:v>
      </x:c>
      <x:c r="P252" s="2" t="s">
        <x:v>1057</x:v>
      </x:c>
      <x:c r="Q252" s="2"/>
      <x:c r="R252" s="3"/>
      <x:c r="S252" s="3"/>
      <x:c r="T252" s="2"/>
      <x:c r="U252" s="2"/>
      <x:c r="V252" s="2"/>
      <x:c r="W252" s="2" t="s">
        <x:v>1203</x:v>
      </x:c>
      <x:c r="X252" s="3">
        <x:v>2</x:v>
      </x:c>
      <x:c r="Y252" s="3">
        <x:v>1</x:v>
      </x:c>
      <x:c r="Z252" s="2" t="s">
        <x:v>191</x:v>
      </x:c>
      <x:c r="AA252" s="2"/>
      <x:c r="AB252" s="2"/>
      <x:c r="AC252" s="2"/>
      <x:c r="AD252" s="2"/>
      <x:c r="AE252" s="2"/>
      <x:c r="AF252" s="2"/>
      <x:c r="AG252" s="2"/>
      <x:c r="AH252" s="2"/>
      <x:c r="AI252" s="4"/>
      <x:c r="AJ252" s="2"/>
      <x:c r="AK252" s="2" t="s">
        <x:v>176</x:v>
      </x:c>
      <x:c r="AL252" s="2" t="s">
        <x:v>2857</x:v>
      </x:c>
      <x:c r="AM252" s="2">
        <x:v>102</x:v>
      </x:c>
      <x:c r="AN252" s="2">
        <x:v>102</x:v>
      </x:c>
    </x:row>
    <x:row r="253" ht="52">
      <x:c r="A253" s="2" t="s">
        <x:v>91</x:v>
      </x:c>
      <x:c r="B253" s="2" t="s">
        <x:v>14</x:v>
      </x:c>
      <x:c r="C253" s="3">
        <x:v>101</x:v>
      </x:c>
      <x:c r="D253" s="2" t="s">
        <x:v>1206</x:v>
      </x:c>
      <x:c r="E253" s="2" t="s">
        <x:v>1064</x:v>
      </x:c>
      <x:c r="F253" s="2" t="s">
        <x:v>1011</x:v>
      </x:c>
      <x:c r="G253" s="2" t="s">
        <x:v>158</x:v>
      </x:c>
      <x:c r="H253" s="2" t="s">
        <x:v>634</x:v>
      </x:c>
      <x:c r="I253" s="2" t="s">
        <x:v>1195</x:v>
      </x:c>
      <x:c r="J253" s="2" t="s">
        <x:v>1051</x:v>
      </x:c>
      <x:c r="K253" s="2" t="n">
        <x:v>98</x:v>
      </x:c>
      <x:c r="L253" s="2" t="s">
        <x:v>1074</x:v>
      </x:c>
      <x:c r="M253" s="2" t="s">
        <x:v>1063</x:v>
      </x:c>
      <x:c r="N253" s="2">
        <x:v>2</x:v>
      </x:c>
      <x:c r="O253" s="2" t="s">
        <x:v>1016</x:v>
      </x:c>
      <x:c r="P253" s="2" t="s">
        <x:v>1053</x:v>
      </x:c>
      <x:c r="Q253" s="2"/>
      <x:c r="R253" s="3"/>
      <x:c r="S253" s="3"/>
      <x:c r="T253" s="2"/>
      <x:c r="U253" s="2"/>
      <x:c r="V253" s="2"/>
      <x:c r="W253" s="2" t="s">
        <x:v>1203</x:v>
      </x:c>
      <x:c r="X253" s="3">
        <x:v>2</x:v>
      </x:c>
      <x:c r="Y253" s="3">
        <x:v>1</x:v>
      </x:c>
      <x:c r="Z253" s="2" t="s">
        <x:v>191</x:v>
      </x:c>
      <x:c r="AA253" s="2"/>
      <x:c r="AB253" s="2"/>
      <x:c r="AC253" s="2"/>
      <x:c r="AD253" s="2"/>
      <x:c r="AE253" s="2"/>
      <x:c r="AF253" s="2"/>
      <x:c r="AG253" s="2"/>
      <x:c r="AH253" s="2"/>
      <x:c r="AI253" s="4"/>
      <x:c r="AJ253" s="2"/>
      <x:c r="AK253" s="2" t="s">
        <x:v>176</x:v>
      </x:c>
      <x:c r="AL253" s="2" t="s">
        <x:v>2857</x:v>
      </x:c>
      <x:c r="AM253" s="2">
        <x:v>103</x:v>
      </x:c>
      <x:c r="AN253" s="2">
        <x:v>103</x:v>
      </x:c>
    </x:row>
    <x:row r="254" ht="39">
      <x:c r="A254" s="2" t="s">
        <x:v>6</x:v>
      </x:c>
      <x:c r="B254" s="2" t="s">
        <x:v>14</x:v>
      </x:c>
      <x:c r="C254" s="3">
        <x:v>102</x:v>
      </x:c>
      <x:c r="D254" s="2" t="s">
        <x:v>993</x:v>
      </x:c>
      <x:c r="E254" s="2" t="s">
        <x:v>1207</x:v>
      </x:c>
      <x:c r="F254" s="2" t="s">
        <x:v>1094</x:v>
      </x:c>
      <x:c r="G254" s="2"/>
      <x:c r="H254" s="2" t="s">
        <x:v>1077</x:v>
      </x:c>
      <x:c r="I254" s="2" t="s">
        <x:v>1208</x:v>
      </x:c>
      <x:c r="J254" s="2" t="s">
        <x:v>1095</x:v>
      </x:c>
      <x:c r="K254" s="2"/>
      <x:c r="L254" s="2" t="s">
        <x:v>1096</x:v>
      </x:c>
      <x:c r="M254" s="2" t="s">
        <x:v>1080</x:v>
      </x:c>
      <x:c r="N254" s="2">
        <x:v>6</x:v>
      </x:c>
      <x:c r="O254" s="2" t="s">
        <x:v>1081</x:v>
      </x:c>
      <x:c r="P254" s="2" t="s">
        <x:v>1082</x:v>
      </x:c>
      <x:c r="Q254" s="2"/>
      <x:c r="R254" s="3"/>
      <x:c r="S254" s="3"/>
      <x:c r="T254" s="2"/>
      <x:c r="U254" s="2"/>
      <x:c r="V254" s="2"/>
      <x:c r="W254" s="2" t="s">
        <x:v>1208</x:v>
      </x:c>
      <x:c r="X254" s="3">
        <x:v>0</x:v>
      </x:c>
      <x:c r="Y254" s="3">
        <x:v>0</x:v>
      </x:c>
      <x:c r="Z254" s="2" t="s">
        <x:v>1083</x:v>
      </x:c>
      <x:c r="AA254" s="2"/>
      <x:c r="AB254" s="2"/>
      <x:c r="AC254" s="2"/>
      <x:c r="AD254" s="2"/>
      <x:c r="AE254" s="2"/>
      <x:c r="AF254" s="2"/>
      <x:c r="AG254" s="2"/>
      <x:c r="AH254" s="2"/>
      <x:c r="AI254" s="4"/>
      <x:c r="AJ254" s="2"/>
      <x:c r="AK254" s="2" t="s">
        <x:v>176</x:v>
      </x:c>
      <x:c r="AL254" s="2" t="s">
        <x:v>2857</x:v>
      </x:c>
      <x:c r="AM254" s="2">
        <x:v>104</x:v>
      </x:c>
      <x:c r="AN254" s="2">
        <x:v>104</x:v>
      </x:c>
    </x:row>
    <x:row r="255" ht="39">
      <x:c r="A255" s="2" t="s">
        <x:v>6</x:v>
      </x:c>
      <x:c r="B255" s="2" t="s">
        <x:v>14</x:v>
      </x:c>
      <x:c r="C255" s="3">
        <x:v>103</x:v>
      </x:c>
      <x:c r="D255" s="2" t="s">
        <x:v>166</x:v>
      </x:c>
      <x:c r="E255" s="2" t="s">
        <x:v>1209</x:v>
      </x:c>
      <x:c r="F255" s="2" t="s">
        <x:v>1090</x:v>
      </x:c>
      <x:c r="G255" s="2"/>
      <x:c r="H255" s="2" t="s">
        <x:v>1077</x:v>
      </x:c>
      <x:c r="I255" s="2" t="s">
        <x:v>1208</x:v>
      </x:c>
      <x:c r="J255" s="2" t="s">
        <x:v>1091</x:v>
      </x:c>
      <x:c r="K255" s="2"/>
      <x:c r="L255" s="2" t="s">
        <x:v>1092</x:v>
      </x:c>
      <x:c r="M255" s="2" t="s">
        <x:v>1080</x:v>
      </x:c>
      <x:c r="N255" s="2">
        <x:v>6</x:v>
      </x:c>
      <x:c r="O255" s="2" t="s">
        <x:v>1089</x:v>
      </x:c>
      <x:c r="P255" s="2" t="s">
        <x:v>1082</x:v>
      </x:c>
      <x:c r="Q255" s="2"/>
      <x:c r="R255" s="3"/>
      <x:c r="S255" s="3"/>
      <x:c r="T255" s="2"/>
      <x:c r="U255" s="2"/>
      <x:c r="V255" s="2"/>
      <x:c r="W255" s="2" t="s">
        <x:v>1208</x:v>
      </x:c>
      <x:c r="X255" s="3">
        <x:v>1</x:v>
      </x:c>
      <x:c r="Y255" s="3">
        <x:v>1</x:v>
      </x:c>
      <x:c r="Z255" s="2" t="s">
        <x:v>1083</x:v>
      </x:c>
      <x:c r="AA255" s="2"/>
      <x:c r="AB255" s="2"/>
      <x:c r="AC255" s="2"/>
      <x:c r="AD255" s="2"/>
      <x:c r="AE255" s="2"/>
      <x:c r="AF255" s="2"/>
      <x:c r="AG255" s="2"/>
      <x:c r="AH255" s="2"/>
      <x:c r="AI255" s="4"/>
      <x:c r="AJ255" s="2"/>
      <x:c r="AK255" s="2" t="s">
        <x:v>176</x:v>
      </x:c>
      <x:c r="AL255" s="2" t="s">
        <x:v>2857</x:v>
      </x:c>
      <x:c r="AM255" s="2">
        <x:v>105</x:v>
      </x:c>
      <x:c r="AN255" s="2">
        <x:v>105</x:v>
      </x:c>
    </x:row>
    <x:row r="256" ht="39">
      <x:c r="A256" s="2" t="s">
        <x:v>6</x:v>
      </x:c>
      <x:c r="B256" s="2" t="s">
        <x:v>14</x:v>
      </x:c>
      <x:c r="C256" s="3">
        <x:v>104</x:v>
      </x:c>
      <x:c r="D256" s="2" t="s">
        <x:v>1084</x:v>
      </x:c>
      <x:c r="E256" s="2" t="s">
        <x:v>1210</x:v>
      </x:c>
      <x:c r="F256" s="2" t="s">
        <x:v>1086</x:v>
      </x:c>
      <x:c r="G256" s="2"/>
      <x:c r="H256" s="2" t="s">
        <x:v>1077</x:v>
      </x:c>
      <x:c r="I256" s="2" t="s">
        <x:v>1208</x:v>
      </x:c>
      <x:c r="J256" s="2" t="s">
        <x:v>1087</x:v>
      </x:c>
      <x:c r="K256" s="2"/>
      <x:c r="L256" s="2" t="s">
        <x:v>1088</x:v>
      </x:c>
      <x:c r="M256" s="2" t="s">
        <x:v>1080</x:v>
      </x:c>
      <x:c r="N256" s="2">
        <x:v>6</x:v>
      </x:c>
      <x:c r="O256" s="2" t="s">
        <x:v>1089</x:v>
      </x:c>
      <x:c r="P256" s="2" t="s">
        <x:v>1082</x:v>
      </x:c>
      <x:c r="Q256" s="2"/>
      <x:c r="R256" s="3"/>
      <x:c r="S256" s="3"/>
      <x:c r="T256" s="2"/>
      <x:c r="U256" s="2"/>
      <x:c r="V256" s="2"/>
      <x:c r="W256" s="2" t="s">
        <x:v>1208</x:v>
      </x:c>
      <x:c r="X256" s="3">
        <x:v>2</x:v>
      </x:c>
      <x:c r="Y256" s="3">
        <x:v>2</x:v>
      </x:c>
      <x:c r="Z256" s="2" t="s">
        <x:v>1083</x:v>
      </x:c>
      <x:c r="AA256" s="2"/>
      <x:c r="AB256" s="2"/>
      <x:c r="AC256" s="2"/>
      <x:c r="AD256" s="2"/>
      <x:c r="AE256" s="2"/>
      <x:c r="AF256" s="2"/>
      <x:c r="AG256" s="2"/>
      <x:c r="AH256" s="2"/>
      <x:c r="AI256" s="4"/>
      <x:c r="AJ256" s="2"/>
      <x:c r="AK256" s="2" t="s">
        <x:v>176</x:v>
      </x:c>
      <x:c r="AL256" s="2" t="s">
        <x:v>2857</x:v>
      </x:c>
      <x:c r="AM256" s="2">
        <x:v>106</x:v>
      </x:c>
      <x:c r="AN256" s="2">
        <x:v>106</x:v>
      </x:c>
    </x:row>
    <x:row r="257" ht="39">
      <x:c r="A257" s="2" t="s">
        <x:v>6</x:v>
      </x:c>
      <x:c r="B257" s="2" t="s">
        <x:v>14</x:v>
      </x:c>
      <x:c r="C257" s="3">
        <x:v>105</x:v>
      </x:c>
      <x:c r="D257" s="2" t="s">
        <x:v>184</x:v>
      </x:c>
      <x:c r="E257" s="2" t="s">
        <x:v>1211</x:v>
      </x:c>
      <x:c r="F257" s="2" t="s">
        <x:v>1076</x:v>
      </x:c>
      <x:c r="G257" s="2"/>
      <x:c r="H257" s="2" t="s">
        <x:v>1077</x:v>
      </x:c>
      <x:c r="I257" s="2" t="s">
        <x:v>1208</x:v>
      </x:c>
      <x:c r="J257" s="2" t="s">
        <x:v>1079</x:v>
      </x:c>
      <x:c r="K257" s="2"/>
      <x:c r="L257" s="2" t="s">
        <x:v>189</x:v>
      </x:c>
      <x:c r="M257" s="2" t="s">
        <x:v>1080</x:v>
      </x:c>
      <x:c r="N257" s="2">
        <x:v>6</x:v>
      </x:c>
      <x:c r="O257" s="2" t="s">
        <x:v>1089</x:v>
      </x:c>
      <x:c r="P257" s="2" t="s">
        <x:v>1082</x:v>
      </x:c>
      <x:c r="Q257" s="2"/>
      <x:c r="R257" s="3"/>
      <x:c r="S257" s="3"/>
      <x:c r="T257" s="2"/>
      <x:c r="U257" s="2"/>
      <x:c r="V257" s="2"/>
      <x:c r="W257" s="2" t="s">
        <x:v>1208</x:v>
      </x:c>
      <x:c r="X257" s="3">
        <x:v>3</x:v>
      </x:c>
      <x:c r="Y257" s="3">
        <x:v>3</x:v>
      </x:c>
      <x:c r="Z257" s="2" t="s">
        <x:v>1083</x:v>
      </x:c>
      <x:c r="AA257" s="2"/>
      <x:c r="AB257" s="2"/>
      <x:c r="AC257" s="2"/>
      <x:c r="AD257" s="2"/>
      <x:c r="AE257" s="2"/>
      <x:c r="AF257" s="2"/>
      <x:c r="AG257" s="2"/>
      <x:c r="AH257" s="2"/>
      <x:c r="AI257" s="4"/>
      <x:c r="AJ257" s="2"/>
      <x:c r="AK257" s="2" t="s">
        <x:v>176</x:v>
      </x:c>
      <x:c r="AL257" s="2" t="s">
        <x:v>2857</x:v>
      </x:c>
      <x:c r="AM257" s="2">
        <x:v>107</x:v>
      </x:c>
      <x:c r="AN257" s="2">
        <x:v>107</x:v>
      </x:c>
    </x:row>
    <x:row r="258" ht="39">
      <x:c r="A258" s="2" t="s">
        <x:v>91</x:v>
      </x:c>
      <x:c r="B258" s="2" t="s">
        <x:v>14</x:v>
      </x:c>
      <x:c r="C258" s="3">
        <x:v>106</x:v>
      </x:c>
      <x:c r="D258" s="2" t="s">
        <x:v>166</x:v>
      </x:c>
      <x:c r="E258" s="2" t="s">
        <x:v>1212</x:v>
      </x:c>
      <x:c r="F258" s="2" t="s">
        <x:v>1011</x:v>
      </x:c>
      <x:c r="G258" s="2" t="s">
        <x:v>158</x:v>
      </x:c>
      <x:c r="H258" s="2" t="s">
        <x:v>618</x:v>
      </x:c>
      <x:c r="I258" s="2" t="s">
        <x:v>1213</x:v>
      </x:c>
      <x:c r="J258" s="2" t="s">
        <x:v>1013</x:v>
      </x:c>
      <x:c r="K258" s="2"/>
      <x:c r="L258" s="2" t="s">
        <x:v>1171</x:v>
      </x:c>
      <x:c r="M258" s="2" t="s">
        <x:v>1107</x:v>
      </x:c>
      <x:c r="N258" s="2">
        <x:v>2</x:v>
      </x:c>
      <x:c r="O258" s="2" t="s">
        <x:v>1016</x:v>
      </x:c>
      <x:c r="P258" s="2" t="s">
        <x:v>1017</x:v>
      </x:c>
      <x:c r="Q258" s="2"/>
      <x:c r="R258" s="3"/>
      <x:c r="S258" s="3"/>
      <x:c r="T258" s="2"/>
      <x:c r="U258" s="2"/>
      <x:c r="V258" s="2"/>
      <x:c r="W258" s="2" t="s">
        <x:v>1214</x:v>
      </x:c>
      <x:c r="X258" s="3">
        <x:v>2</x:v>
      </x:c>
      <x:c r="Y258" s="3">
        <x:v>1</x:v>
      </x:c>
      <x:c r="Z258" s="2" t="s">
        <x:v>191</x:v>
      </x:c>
      <x:c r="AA258" s="2"/>
      <x:c r="AB258" s="2"/>
      <x:c r="AC258" s="2"/>
      <x:c r="AD258" s="2"/>
      <x:c r="AE258" s="2"/>
      <x:c r="AF258" s="2"/>
      <x:c r="AG258" s="2"/>
      <x:c r="AH258" s="2"/>
      <x:c r="AI258" s="4"/>
      <x:c r="AJ258" s="2"/>
      <x:c r="AK258" s="2" t="s">
        <x:v>176</x:v>
      </x:c>
      <x:c r="AL258" s="2" t="s">
        <x:v>2857</x:v>
      </x:c>
      <x:c r="AM258" s="2">
        <x:v>108</x:v>
      </x:c>
      <x:c r="AN258" s="2">
        <x:v>108</x:v>
      </x:c>
    </x:row>
    <x:row r="259" ht="26">
      <x:c r="A259" s="2" t="s">
        <x:v>6</x:v>
      </x:c>
      <x:c r="B259" s="2" t="s">
        <x:v>14</x:v>
      </x:c>
      <x:c r="C259" s="3">
        <x:v>107</x:v>
      </x:c>
      <x:c r="D259" s="2" t="s">
        <x:v>1160</x:v>
      </x:c>
      <x:c r="E259" s="2" t="s">
        <x:v>1212</x:v>
      </x:c>
      <x:c r="F259" s="2" t="s">
        <x:v>1161</x:v>
      </x:c>
      <x:c r="G259" s="2"/>
      <x:c r="H259" s="2" t="s">
        <x:v>627</x:v>
      </x:c>
      <x:c r="I259" s="2" t="s">
        <x:v>1213</x:v>
      </x:c>
      <x:c r="J259" s="2" t="s">
        <x:v>1021</x:v>
      </x:c>
      <x:c r="K259" s="2" t="n">
        <x:v>106</x:v>
      </x:c>
      <x:c r="L259" s="2" t="s">
        <x:v>1163</x:v>
      </x:c>
      <x:c r="M259" s="2" t="s">
        <x:v>1023</x:v>
      </x:c>
      <x:c r="N259" s="2">
        <x:v>2</x:v>
      </x:c>
      <x:c r="O259" s="2" t="s">
        <x:v>1024</x:v>
      </x:c>
      <x:c r="P259" s="2" t="s">
        <x:v>1025</x:v>
      </x:c>
      <x:c r="Q259" s="2"/>
      <x:c r="R259" s="3"/>
      <x:c r="S259" s="3"/>
      <x:c r="T259" s="2"/>
      <x:c r="U259" s="2"/>
      <x:c r="V259" s="2"/>
      <x:c r="W259" s="2" t="s">
        <x:v>1214</x:v>
      </x:c>
      <x:c r="X259" s="3">
        <x:v>2</x:v>
      </x:c>
      <x:c r="Y259" s="3">
        <x:v>1</x:v>
      </x:c>
      <x:c r="Z259" s="2" t="s">
        <x:v>191</x:v>
      </x:c>
      <x:c r="AA259" s="2"/>
      <x:c r="AB259" s="2"/>
      <x:c r="AC259" s="2"/>
      <x:c r="AD259" s="2"/>
      <x:c r="AE259" s="2"/>
      <x:c r="AF259" s="2"/>
      <x:c r="AG259" s="2"/>
      <x:c r="AH259" s="2"/>
      <x:c r="AI259" s="4"/>
      <x:c r="AJ259" s="2"/>
      <x:c r="AK259" s="2" t="s">
        <x:v>176</x:v>
      </x:c>
      <x:c r="AL259" s="2" t="s">
        <x:v>2857</x:v>
      </x:c>
      <x:c r="AM259" s="2">
        <x:v>109</x:v>
      </x:c>
      <x:c r="AN259" s="2">
        <x:v>109</x:v>
      </x:c>
    </x:row>
    <x:row r="260" ht="39">
      <x:c r="A260" s="2" t="s">
        <x:v>91</x:v>
      </x:c>
      <x:c r="B260" s="2" t="s">
        <x:v>14</x:v>
      </x:c>
      <x:c r="C260" s="3">
        <x:v>108</x:v>
      </x:c>
      <x:c r="D260" s="2" t="s">
        <x:v>1215</x:v>
      </x:c>
      <x:c r="E260" s="2" t="s">
        <x:v>1212</x:v>
      </x:c>
      <x:c r="F260" s="2" t="s">
        <x:v>1011</x:v>
      </x:c>
      <x:c r="G260" s="2" t="s">
        <x:v>158</x:v>
      </x:c>
      <x:c r="H260" s="2" t="s">
        <x:v>634</x:v>
      </x:c>
      <x:c r="I260" s="2" t="s">
        <x:v>1213</x:v>
      </x:c>
      <x:c r="J260" s="2" t="s">
        <x:v>1051</x:v>
      </x:c>
      <x:c r="K260" s="2" t="n">
        <x:v>106</x:v>
      </x:c>
      <x:c r="L260" s="2" t="s">
        <x:v>1171</x:v>
      </x:c>
      <x:c r="M260" s="2" t="s">
        <x:v>1216</x:v>
      </x:c>
      <x:c r="N260" s="2">
        <x:v>2</x:v>
      </x:c>
      <x:c r="O260" s="2" t="s">
        <x:v>1016</x:v>
      </x:c>
      <x:c r="P260" s="2" t="s">
        <x:v>1053</x:v>
      </x:c>
      <x:c r="Q260" s="2"/>
      <x:c r="R260" s="3"/>
      <x:c r="S260" s="3"/>
      <x:c r="T260" s="2"/>
      <x:c r="U260" s="2"/>
      <x:c r="V260" s="2"/>
      <x:c r="W260" s="2" t="s">
        <x:v>1214</x:v>
      </x:c>
      <x:c r="X260" s="3">
        <x:v>2</x:v>
      </x:c>
      <x:c r="Y260" s="3">
        <x:v>1</x:v>
      </x:c>
      <x:c r="Z260" s="2" t="s">
        <x:v>191</x:v>
      </x:c>
      <x:c r="AA260" s="2"/>
      <x:c r="AB260" s="2"/>
      <x:c r="AC260" s="2"/>
      <x:c r="AD260" s="2"/>
      <x:c r="AE260" s="2"/>
      <x:c r="AF260" s="2"/>
      <x:c r="AG260" s="2"/>
      <x:c r="AH260" s="2"/>
      <x:c r="AI260" s="4"/>
      <x:c r="AJ260" s="2"/>
      <x:c r="AK260" s="2" t="s">
        <x:v>176</x:v>
      </x:c>
      <x:c r="AL260" s="2" t="s">
        <x:v>2857</x:v>
      </x:c>
      <x:c r="AM260" s="2">
        <x:v>110</x:v>
      </x:c>
      <x:c r="AN260" s="2">
        <x:v>110</x:v>
      </x:c>
    </x:row>
    <x:row r="261" ht="26">
      <x:c r="A261" s="2" t="s">
        <x:v>6</x:v>
      </x:c>
      <x:c r="B261" s="2" t="s">
        <x:v>14</x:v>
      </x:c>
      <x:c r="C261" s="3">
        <x:v>109</x:v>
      </x:c>
      <x:c r="D261" s="2" t="s">
        <x:v>1204</x:v>
      </x:c>
      <x:c r="E261" s="2" t="s">
        <x:v>1212</x:v>
      </x:c>
      <x:c r="F261" s="2" t="s">
        <x:v>1161</x:v>
      </x:c>
      <x:c r="G261" s="2"/>
      <x:c r="H261" s="2" t="s">
        <x:v>634</x:v>
      </x:c>
      <x:c r="I261" s="2" t="s">
        <x:v>1213</x:v>
      </x:c>
      <x:c r="J261" s="2" t="s">
        <x:v>1055</x:v>
      </x:c>
      <x:c r="K261" s="2" t="n">
        <x:v>106</x:v>
      </x:c>
      <x:c r="L261" s="2" t="s">
        <x:v>1163</x:v>
      </x:c>
      <x:c r="M261" s="2" t="s">
        <x:v>1056</x:v>
      </x:c>
      <x:c r="N261" s="2">
        <x:v>2</x:v>
      </x:c>
      <x:c r="O261" s="2" t="s">
        <x:v>1024</x:v>
      </x:c>
      <x:c r="P261" s="2" t="s">
        <x:v>1057</x:v>
      </x:c>
      <x:c r="Q261" s="2"/>
      <x:c r="R261" s="3"/>
      <x:c r="S261" s="3"/>
      <x:c r="T261" s="2"/>
      <x:c r="U261" s="2"/>
      <x:c r="V261" s="2"/>
      <x:c r="W261" s="2" t="s">
        <x:v>1214</x:v>
      </x:c>
      <x:c r="X261" s="3">
        <x:v>2</x:v>
      </x:c>
      <x:c r="Y261" s="3">
        <x:v>1</x:v>
      </x:c>
      <x:c r="Z261" s="2" t="s">
        <x:v>191</x:v>
      </x:c>
      <x:c r="AA261" s="2"/>
      <x:c r="AB261" s="2"/>
      <x:c r="AC261" s="2"/>
      <x:c r="AD261" s="2"/>
      <x:c r="AE261" s="2"/>
      <x:c r="AF261" s="2"/>
      <x:c r="AG261" s="2"/>
      <x:c r="AH261" s="2"/>
      <x:c r="AI261" s="4"/>
      <x:c r="AJ261" s="2"/>
      <x:c r="AK261" s="2" t="s">
        <x:v>176</x:v>
      </x:c>
      <x:c r="AL261" s="2" t="s">
        <x:v>2857</x:v>
      </x:c>
      <x:c r="AM261" s="2">
        <x:v>111</x:v>
      </x:c>
      <x:c r="AN261" s="2">
        <x:v>111</x:v>
      </x:c>
    </x:row>
    <x:row r="262" ht="26">
      <x:c r="A262" s="2" t="s">
        <x:v>6</x:v>
      </x:c>
      <x:c r="B262" s="2" t="s">
        <x:v>14</x:v>
      </x:c>
      <x:c r="C262" s="3">
        <x:v>110</x:v>
      </x:c>
      <x:c r="D262" s="2" t="s">
        <x:v>1197</x:v>
      </x:c>
      <x:c r="E262" s="2" t="s">
        <x:v>1212</x:v>
      </x:c>
      <x:c r="F262" s="2" t="s">
        <x:v>1198</x:v>
      </x:c>
      <x:c r="G262" s="2"/>
      <x:c r="H262" s="2" t="s">
        <x:v>627</x:v>
      </x:c>
      <x:c r="I262" s="2" t="s">
        <x:v>1213</x:v>
      </x:c>
      <x:c r="J262" s="2" t="s">
        <x:v>1028</x:v>
      </x:c>
      <x:c r="K262" s="2"/>
      <x:c r="L262" s="2" t="s">
        <x:v>1199</x:v>
      </x:c>
      <x:c r="M262" s="2" t="s">
        <x:v>1023</x:v>
      </x:c>
      <x:c r="N262" s="2">
        <x:v>2</x:v>
      </x:c>
      <x:c r="O262" s="2" t="s">
        <x:v>1024</x:v>
      </x:c>
      <x:c r="P262" s="2" t="s">
        <x:v>1025</x:v>
      </x:c>
      <x:c r="Q262" s="2"/>
      <x:c r="R262" s="3"/>
      <x:c r="S262" s="3"/>
      <x:c r="T262" s="2"/>
      <x:c r="U262" s="2"/>
      <x:c r="V262" s="2"/>
      <x:c r="W262" s="2" t="s">
        <x:v>1217</x:v>
      </x:c>
      <x:c r="X262" s="3">
        <x:v>2</x:v>
      </x:c>
      <x:c r="Y262" s="3">
        <x:v>3</x:v>
      </x:c>
      <x:c r="Z262" s="2" t="s">
        <x:v>175</x:v>
      </x:c>
      <x:c r="AA262" s="2"/>
      <x:c r="AB262" s="2"/>
      <x:c r="AC262" s="2"/>
      <x:c r="AD262" s="2"/>
      <x:c r="AE262" s="2"/>
      <x:c r="AF262" s="2"/>
      <x:c r="AG262" s="2"/>
      <x:c r="AH262" s="2"/>
      <x:c r="AI262" s="4"/>
      <x:c r="AJ262" s="2"/>
      <x:c r="AK262" s="2" t="s">
        <x:v>176</x:v>
      </x:c>
      <x:c r="AL262" s="2" t="s">
        <x:v>2857</x:v>
      </x:c>
      <x:c r="AM262" s="2">
        <x:v>112</x:v>
      </x:c>
      <x:c r="AN262" s="2">
        <x:v>112</x:v>
      </x:c>
    </x:row>
    <x:row r="263" ht="39">
      <x:c r="A263" s="2" t="s">
        <x:v>91</x:v>
      </x:c>
      <x:c r="B263" s="2" t="s">
        <x:v>14</x:v>
      </x:c>
      <x:c r="C263" s="3">
        <x:v>111</x:v>
      </x:c>
      <x:c r="D263" s="2" t="s">
        <x:v>184</x:v>
      </x:c>
      <x:c r="E263" s="2" t="s">
        <x:v>1212</x:v>
      </x:c>
      <x:c r="F263" s="2" t="s">
        <x:v>1031</x:v>
      </x:c>
      <x:c r="G263" s="2" t="s">
        <x:v>158</x:v>
      </x:c>
      <x:c r="H263" s="2" t="s">
        <x:v>618</x:v>
      </x:c>
      <x:c r="I263" s="2" t="s">
        <x:v>1213</x:v>
      </x:c>
      <x:c r="J263" s="2" t="s">
        <x:v>1032</x:v>
      </x:c>
      <x:c r="K263" s="2" t="n">
        <x:v>110</x:v>
      </x:c>
      <x:c r="L263" s="2" t="s">
        <x:v>1033</x:v>
      </x:c>
      <x:c r="M263" s="2" t="s">
        <x:v>1034</x:v>
      </x:c>
      <x:c r="N263" s="2">
        <x:v>2</x:v>
      </x:c>
      <x:c r="O263" s="2" t="s">
        <x:v>1024</x:v>
      </x:c>
      <x:c r="P263" s="2" t="s">
        <x:v>1035</x:v>
      </x:c>
      <x:c r="Q263" s="2"/>
      <x:c r="R263" s="3"/>
      <x:c r="S263" s="3"/>
      <x:c r="T263" s="2"/>
      <x:c r="U263" s="2"/>
      <x:c r="V263" s="2"/>
      <x:c r="W263" s="2" t="s">
        <x:v>1217</x:v>
      </x:c>
      <x:c r="X263" s="3">
        <x:v>2</x:v>
      </x:c>
      <x:c r="Y263" s="3">
        <x:v>3</x:v>
      </x:c>
      <x:c r="Z263" s="2" t="s">
        <x:v>175</x:v>
      </x:c>
      <x:c r="AA263" s="2"/>
      <x:c r="AB263" s="2"/>
      <x:c r="AC263" s="2"/>
      <x:c r="AD263" s="2"/>
      <x:c r="AE263" s="2"/>
      <x:c r="AF263" s="2"/>
      <x:c r="AG263" s="2"/>
      <x:c r="AH263" s="2"/>
      <x:c r="AI263" s="4"/>
      <x:c r="AJ263" s="2"/>
      <x:c r="AK263" s="2" t="s">
        <x:v>176</x:v>
      </x:c>
      <x:c r="AL263" s="2" t="s">
        <x:v>2857</x:v>
      </x:c>
      <x:c r="AM263" s="2">
        <x:v>113</x:v>
      </x:c>
      <x:c r="AN263" s="2">
        <x:v>113</x:v>
      </x:c>
    </x:row>
    <x:row r="264" ht="26">
      <x:c r="A264" s="2" t="s">
        <x:v>6</x:v>
      </x:c>
      <x:c r="B264" s="2" t="s">
        <x:v>14</x:v>
      </x:c>
      <x:c r="C264" s="3">
        <x:v>112</x:v>
      </x:c>
      <x:c r="D264" s="2" t="s">
        <x:v>1201</x:v>
      </x:c>
      <x:c r="E264" s="2" t="s">
        <x:v>1212</x:v>
      </x:c>
      <x:c r="F264" s="2" t="s">
        <x:v>1198</x:v>
      </x:c>
      <x:c r="G264" s="2"/>
      <x:c r="H264" s="2" t="s">
        <x:v>634</x:v>
      </x:c>
      <x:c r="I264" s="2" t="s">
        <x:v>1213</x:v>
      </x:c>
      <x:c r="J264" s="2" t="s">
        <x:v>1060</x:v>
      </x:c>
      <x:c r="K264" s="2" t="n">
        <x:v>110</x:v>
      </x:c>
      <x:c r="L264" s="2" t="s">
        <x:v>1199</x:v>
      </x:c>
      <x:c r="M264" s="2" t="s">
        <x:v>1056</x:v>
      </x:c>
      <x:c r="N264" s="2">
        <x:v>2</x:v>
      </x:c>
      <x:c r="O264" s="2" t="s">
        <x:v>1024</x:v>
      </x:c>
      <x:c r="P264" s="2" t="s">
        <x:v>1057</x:v>
      </x:c>
      <x:c r="Q264" s="2"/>
      <x:c r="R264" s="3"/>
      <x:c r="S264" s="3"/>
      <x:c r="T264" s="2"/>
      <x:c r="U264" s="2"/>
      <x:c r="V264" s="2"/>
      <x:c r="W264" s="2" t="s">
        <x:v>1217</x:v>
      </x:c>
      <x:c r="X264" s="3">
        <x:v>2</x:v>
      </x:c>
      <x:c r="Y264" s="3">
        <x:v>3</x:v>
      </x:c>
      <x:c r="Z264" s="2" t="s">
        <x:v>175</x:v>
      </x:c>
      <x:c r="AA264" s="2"/>
      <x:c r="AB264" s="2"/>
      <x:c r="AC264" s="2"/>
      <x:c r="AD264" s="2"/>
      <x:c r="AE264" s="2"/>
      <x:c r="AF264" s="2"/>
      <x:c r="AG264" s="2"/>
      <x:c r="AH264" s="2"/>
      <x:c r="AI264" s="4"/>
      <x:c r="AJ264" s="2"/>
      <x:c r="AK264" s="2" t="s">
        <x:v>176</x:v>
      </x:c>
      <x:c r="AL264" s="2" t="s">
        <x:v>2857</x:v>
      </x:c>
      <x:c r="AM264" s="2">
        <x:v>114</x:v>
      </x:c>
      <x:c r="AN264" s="2">
        <x:v>114</x:v>
      </x:c>
    </x:row>
    <x:row r="265" ht="52">
      <x:c r="A265" s="2" t="s">
        <x:v>91</x:v>
      </x:c>
      <x:c r="B265" s="2" t="s">
        <x:v>14</x:v>
      </x:c>
      <x:c r="C265" s="3">
        <x:v>113</x:v>
      </x:c>
      <x:c r="D265" s="2" t="s">
        <x:v>1218</x:v>
      </x:c>
      <x:c r="E265" s="2" t="s">
        <x:v>1212</x:v>
      </x:c>
      <x:c r="F265" s="2" t="s">
        <x:v>1031</x:v>
      </x:c>
      <x:c r="G265" s="2" t="s">
        <x:v>158</x:v>
      </x:c>
      <x:c r="H265" s="2" t="s">
        <x:v>634</x:v>
      </x:c>
      <x:c r="I265" s="2" t="s">
        <x:v>1213</x:v>
      </x:c>
      <x:c r="J265" s="2" t="s">
        <x:v>1062</x:v>
      </x:c>
      <x:c r="K265" s="2" t="n">
        <x:v>110</x:v>
      </x:c>
      <x:c r="L265" s="2" t="s">
        <x:v>1033</x:v>
      </x:c>
      <x:c r="M265" s="2" t="s">
        <x:v>1063</x:v>
      </x:c>
      <x:c r="N265" s="2">
        <x:v>2</x:v>
      </x:c>
      <x:c r="O265" s="2" t="s">
        <x:v>1024</x:v>
      </x:c>
      <x:c r="P265" s="2" t="s">
        <x:v>1053</x:v>
      </x:c>
      <x:c r="Q265" s="2"/>
      <x:c r="R265" s="3"/>
      <x:c r="S265" s="3"/>
      <x:c r="T265" s="2"/>
      <x:c r="U265" s="2"/>
      <x:c r="V265" s="2"/>
      <x:c r="W265" s="2" t="s">
        <x:v>1217</x:v>
      </x:c>
      <x:c r="X265" s="3">
        <x:v>2</x:v>
      </x:c>
      <x:c r="Y265" s="3">
        <x:v>3</x:v>
      </x:c>
      <x:c r="Z265" s="2" t="s">
        <x:v>175</x:v>
      </x:c>
      <x:c r="AA265" s="2"/>
      <x:c r="AB265" s="2"/>
      <x:c r="AC265" s="2"/>
      <x:c r="AD265" s="2"/>
      <x:c r="AE265" s="2"/>
      <x:c r="AF265" s="2"/>
      <x:c r="AG265" s="2"/>
      <x:c r="AH265" s="2"/>
      <x:c r="AI265" s="4"/>
      <x:c r="AJ265" s="2"/>
      <x:c r="AK265" s="2" t="s">
        <x:v>176</x:v>
      </x:c>
      <x:c r="AL265" s="2" t="s">
        <x:v>2857</x:v>
      </x:c>
      <x:c r="AM265" s="2">
        <x:v>115</x:v>
      </x:c>
      <x:c r="AN265" s="2">
        <x:v>115</x:v>
      </x:c>
    </x:row>
    <x:row r="266" ht="39">
      <x:c r="A266" s="2" t="s">
        <x:v>91</x:v>
      </x:c>
      <x:c r="B266" s="2" t="s">
        <x:v>14</x:v>
      </x:c>
      <x:c r="C266" s="3">
        <x:v>114</x:v>
      </x:c>
      <x:c r="D266" s="2" t="s">
        <x:v>184</x:v>
      </x:c>
      <x:c r="E266" s="2" t="s">
        <x:v>1219</x:v>
      </x:c>
      <x:c r="F266" s="2" t="s">
        <x:v>1031</x:v>
      </x:c>
      <x:c r="G266" s="2" t="s">
        <x:v>158</x:v>
      </x:c>
      <x:c r="H266" s="2" t="s">
        <x:v>618</x:v>
      </x:c>
      <x:c r="I266" s="2" t="s">
        <x:v>1220</x:v>
      </x:c>
      <x:c r="J266" s="2" t="s">
        <x:v>1032</x:v>
      </x:c>
      <x:c r="K266" s="2"/>
      <x:c r="L266" s="2" t="s">
        <x:v>1120</x:v>
      </x:c>
      <x:c r="M266" s="2" t="s">
        <x:v>1041</x:v>
      </x:c>
      <x:c r="N266" s="2">
        <x:v>4</x:v>
      </x:c>
      <x:c r="O266" s="2" t="s">
        <x:v>1024</x:v>
      </x:c>
      <x:c r="P266" s="2" t="s">
        <x:v>1035</x:v>
      </x:c>
      <x:c r="Q266" s="2"/>
      <x:c r="R266" s="3"/>
      <x:c r="S266" s="3"/>
      <x:c r="T266" s="2"/>
      <x:c r="U266" s="2"/>
      <x:c r="V266" s="2"/>
      <x:c r="W266" s="2" t="s">
        <x:v>1221</x:v>
      </x:c>
      <x:c r="X266" s="3">
        <x:v>2</x:v>
      </x:c>
      <x:c r="Y266" s="3">
        <x:v>3</x:v>
      </x:c>
      <x:c r="Z266" s="2" t="s">
        <x:v>175</x:v>
      </x:c>
      <x:c r="AA266" s="2"/>
      <x:c r="AB266" s="2"/>
      <x:c r="AC266" s="2"/>
      <x:c r="AD266" s="2"/>
      <x:c r="AE266" s="2"/>
      <x:c r="AF266" s="2"/>
      <x:c r="AG266" s="2"/>
      <x:c r="AH266" s="2"/>
      <x:c r="AI266" s="4"/>
      <x:c r="AJ266" s="2"/>
      <x:c r="AK266" s="2" t="s">
        <x:v>176</x:v>
      </x:c>
      <x:c r="AL266" s="2" t="s">
        <x:v>2857</x:v>
      </x:c>
      <x:c r="AM266" s="2">
        <x:v>116</x:v>
      </x:c>
      <x:c r="AN266" s="2">
        <x:v>116</x:v>
      </x:c>
    </x:row>
    <x:row r="267" ht="39">
      <x:c r="A267" s="2" t="s">
        <x:v>91</x:v>
      </x:c>
      <x:c r="B267" s="2" t="s">
        <x:v>14</x:v>
      </x:c>
      <x:c r="C267" s="3">
        <x:v>115</x:v>
      </x:c>
      <x:c r="D267" s="2" t="s">
        <x:v>166</x:v>
      </x:c>
      <x:c r="E267" s="2" t="s">
        <x:v>1219</x:v>
      </x:c>
      <x:c r="F267" s="2" t="s">
        <x:v>1011</x:v>
      </x:c>
      <x:c r="G267" s="2" t="s">
        <x:v>158</x:v>
      </x:c>
      <x:c r="H267" s="2" t="s">
        <x:v>618</x:v>
      </x:c>
      <x:c r="I267" s="2" t="s">
        <x:v>1220</x:v>
      </x:c>
      <x:c r="J267" s="2" t="s">
        <x:v>1013</x:v>
      </x:c>
      <x:c r="K267" s="2" t="n">
        <x:v>114</x:v>
      </x:c>
      <x:c r="L267" s="2" t="s">
        <x:v>1074</x:v>
      </x:c>
      <x:c r="M267" s="2" t="s">
        <x:v>1034</x:v>
      </x:c>
      <x:c r="N267" s="2">
        <x:v>4</x:v>
      </x:c>
      <x:c r="O267" s="2" t="s">
        <x:v>1016</x:v>
      </x:c>
      <x:c r="P267" s="2" t="s">
        <x:v>1017</x:v>
      </x:c>
      <x:c r="Q267" s="2"/>
      <x:c r="R267" s="3"/>
      <x:c r="S267" s="3"/>
      <x:c r="T267" s="2"/>
      <x:c r="U267" s="2"/>
      <x:c r="V267" s="2"/>
      <x:c r="W267" s="2" t="s">
        <x:v>1222</x:v>
      </x:c>
      <x:c r="X267" s="3">
        <x:v>2</x:v>
      </x:c>
      <x:c r="Y267" s="3">
        <x:v>1</x:v>
      </x:c>
      <x:c r="Z267" s="2" t="s">
        <x:v>191</x:v>
      </x:c>
      <x:c r="AA267" s="2"/>
      <x:c r="AB267" s="2"/>
      <x:c r="AC267" s="2"/>
      <x:c r="AD267" s="2"/>
      <x:c r="AE267" s="2"/>
      <x:c r="AF267" s="2"/>
      <x:c r="AG267" s="2"/>
      <x:c r="AH267" s="2"/>
      <x:c r="AI267" s="4"/>
      <x:c r="AJ267" s="2"/>
      <x:c r="AK267" s="2" t="s">
        <x:v>176</x:v>
      </x:c>
      <x:c r="AL267" s="2" t="s">
        <x:v>2857</x:v>
      </x:c>
      <x:c r="AM267" s="2">
        <x:v>117</x:v>
      </x:c>
      <x:c r="AN267" s="2">
        <x:v>117</x:v>
      </x:c>
    </x:row>
    <x:row r="268" ht="39">
      <x:c r="A268" s="2" t="s">
        <x:v>91</x:v>
      </x:c>
      <x:c r="B268" s="2" t="s">
        <x:v>14</x:v>
      </x:c>
      <x:c r="C268" s="3">
        <x:v>116</x:v>
      </x:c>
      <x:c r="D268" s="2" t="s">
        <x:v>166</x:v>
      </x:c>
      <x:c r="E268" s="2" t="s">
        <x:v>1223</x:v>
      </x:c>
      <x:c r="F268" s="2" t="s">
        <x:v>1011</x:v>
      </x:c>
      <x:c r="G268" s="2" t="s">
        <x:v>158</x:v>
      </x:c>
      <x:c r="H268" s="2" t="s">
        <x:v>618</x:v>
      </x:c>
      <x:c r="I268" s="2" t="s">
        <x:v>1224</x:v>
      </x:c>
      <x:c r="J268" s="2" t="s">
        <x:v>1013</x:v>
      </x:c>
      <x:c r="K268" s="2"/>
      <x:c r="L268" s="2" t="s">
        <x:v>1014</x:v>
      </x:c>
      <x:c r="M268" s="2" t="s">
        <x:v>1015</x:v>
      </x:c>
      <x:c r="N268" s="2">
        <x:v>4</x:v>
      </x:c>
      <x:c r="O268" s="2" t="s">
        <x:v>1016</x:v>
      </x:c>
      <x:c r="P268" s="2" t="s">
        <x:v>1017</x:v>
      </x:c>
      <x:c r="Q268" s="2"/>
      <x:c r="R268" s="3"/>
      <x:c r="S268" s="3"/>
      <x:c r="T268" s="2"/>
      <x:c r="U268" s="2"/>
      <x:c r="V268" s="2"/>
      <x:c r="W268" s="2" t="s">
        <x:v>1225</x:v>
      </x:c>
      <x:c r="X268" s="3">
        <x:v>2</x:v>
      </x:c>
      <x:c r="Y268" s="3">
        <x:v>1</x:v>
      </x:c>
      <x:c r="Z268" s="2" t="s">
        <x:v>191</x:v>
      </x:c>
      <x:c r="AA268" s="2"/>
      <x:c r="AB268" s="2"/>
      <x:c r="AC268" s="2"/>
      <x:c r="AD268" s="2"/>
      <x:c r="AE268" s="2"/>
      <x:c r="AF268" s="2"/>
      <x:c r="AG268" s="2"/>
      <x:c r="AH268" s="2"/>
      <x:c r="AI268" s="4"/>
      <x:c r="AJ268" s="2"/>
      <x:c r="AK268" s="2" t="s">
        <x:v>176</x:v>
      </x:c>
      <x:c r="AL268" s="2" t="s">
        <x:v>2857</x:v>
      </x:c>
      <x:c r="AM268" s="2">
        <x:v>118</x:v>
      </x:c>
      <x:c r="AN268" s="2">
        <x:v>118</x:v>
      </x:c>
    </x:row>
    <x:row r="269" ht="39">
      <x:c r="A269" s="2" t="s">
        <x:v>91</x:v>
      </x:c>
      <x:c r="B269" s="2" t="s">
        <x:v>14</x:v>
      </x:c>
      <x:c r="C269" s="3">
        <x:v>117</x:v>
      </x:c>
      <x:c r="D269" s="2" t="s">
        <x:v>184</x:v>
      </x:c>
      <x:c r="E269" s="2" t="s">
        <x:v>1223</x:v>
      </x:c>
      <x:c r="F269" s="2" t="s">
        <x:v>1031</x:v>
      </x:c>
      <x:c r="G269" s="2" t="s">
        <x:v>158</x:v>
      </x:c>
      <x:c r="H269" s="2" t="s">
        <x:v>618</x:v>
      </x:c>
      <x:c r="I269" s="2" t="s">
        <x:v>1224</x:v>
      </x:c>
      <x:c r="J269" s="2" t="s">
        <x:v>1032</x:v>
      </x:c>
      <x:c r="K269" s="2" t="n">
        <x:v>116</x:v>
      </x:c>
      <x:c r="L269" s="2" t="s">
        <x:v>1106</x:v>
      </x:c>
      <x:c r="M269" s="2" t="s">
        <x:v>1107</x:v>
      </x:c>
      <x:c r="N269" s="2">
        <x:v>4</x:v>
      </x:c>
      <x:c r="O269" s="2" t="s">
        <x:v>1024</x:v>
      </x:c>
      <x:c r="P269" s="2" t="s">
        <x:v>1035</x:v>
      </x:c>
      <x:c r="Q269" s="2"/>
      <x:c r="R269" s="3"/>
      <x:c r="S269" s="3"/>
      <x:c r="T269" s="2"/>
      <x:c r="U269" s="2"/>
      <x:c r="V269" s="2"/>
      <x:c r="W269" s="2" t="s">
        <x:v>1226</x:v>
      </x:c>
      <x:c r="X269" s="3">
        <x:v>2</x:v>
      </x:c>
      <x:c r="Y269" s="3">
        <x:v>3</x:v>
      </x:c>
      <x:c r="Z269" s="2" t="s">
        <x:v>175</x:v>
      </x:c>
      <x:c r="AA269" s="2"/>
      <x:c r="AB269" s="2"/>
      <x:c r="AC269" s="2"/>
      <x:c r="AD269" s="2"/>
      <x:c r="AE269" s="2"/>
      <x:c r="AF269" s="2"/>
      <x:c r="AG269" s="2"/>
      <x:c r="AH269" s="2"/>
      <x:c r="AI269" s="4"/>
      <x:c r="AJ269" s="2"/>
      <x:c r="AK269" s="2" t="s">
        <x:v>176</x:v>
      </x:c>
      <x:c r="AL269" s="2" t="s">
        <x:v>2857</x:v>
      </x:c>
      <x:c r="AM269" s="2">
        <x:v>119</x:v>
      </x:c>
      <x:c r="AN269" s="2">
        <x:v>119</x:v>
      </x:c>
    </x:row>
    <x:row r="270" ht="39">
      <x:c r="A270" s="2" t="s">
        <x:v>6</x:v>
      </x:c>
      <x:c r="B270" s="2" t="s">
        <x:v>14</x:v>
      </x:c>
      <x:c r="C270" s="3">
        <x:v>118</x:v>
      </x:c>
      <x:c r="D270" s="2" t="s">
        <x:v>977</x:v>
      </x:c>
      <x:c r="E270" s="2" t="s">
        <x:v>1227</x:v>
      </x:c>
      <x:c r="F270" s="2" t="s">
        <x:v>1228</x:v>
      </x:c>
      <x:c r="G270" s="2"/>
      <x:c r="H270" s="2" t="s">
        <x:v>1124</x:v>
      </x:c>
      <x:c r="I270" s="2" t="s">
        <x:v>1229</x:v>
      </x:c>
      <x:c r="J270" s="2" t="s">
        <x:v>1144</x:v>
      </x:c>
      <x:c r="K270" s="2"/>
      <x:c r="L270" s="2" t="s">
        <x:v>1127</x:v>
      </x:c>
      <x:c r="M270" s="2" t="s">
        <x:v>1128</x:v>
      </x:c>
      <x:c r="N270" s="2">
        <x:v>5</x:v>
      </x:c>
      <x:c r="O270" s="2" t="s">
        <x:v>1140</x:v>
      </x:c>
      <x:c r="P270" s="2" t="s">
        <x:v>1136</x:v>
      </x:c>
      <x:c r="Q270" s="2"/>
      <x:c r="R270" s="3"/>
      <x:c r="S270" s="3"/>
      <x:c r="T270" s="2"/>
      <x:c r="U270" s="2"/>
      <x:c r="V270" s="2"/>
      <x:c r="W270" s="2" t="s">
        <x:v>1230</x:v>
      </x:c>
      <x:c r="X270" s="3">
        <x:v>1</x:v>
      </x:c>
      <x:c r="Y270" s="3">
        <x:v>0</x:v>
      </x:c>
      <x:c r="Z270" s="2" t="s">
        <x:v>191</x:v>
      </x:c>
      <x:c r="AA270" s="2"/>
      <x:c r="AB270" s="2"/>
      <x:c r="AC270" s="2"/>
      <x:c r="AD270" s="2"/>
      <x:c r="AE270" s="2"/>
      <x:c r="AF270" s="2"/>
      <x:c r="AG270" s="2"/>
      <x:c r="AH270" s="2"/>
      <x:c r="AI270" s="4"/>
      <x:c r="AJ270" s="2"/>
      <x:c r="AK270" s="2" t="s">
        <x:v>176</x:v>
      </x:c>
      <x:c r="AL270" s="2" t="s">
        <x:v>2857</x:v>
      </x:c>
      <x:c r="AM270" s="2">
        <x:v>120</x:v>
      </x:c>
      <x:c r="AN270" s="2">
        <x:v>120</x:v>
      </x:c>
    </x:row>
    <x:row r="271" ht="39">
      <x:c r="A271" s="2" t="s">
        <x:v>91</x:v>
      </x:c>
      <x:c r="B271" s="2" t="s">
        <x:v>14</x:v>
      </x:c>
      <x:c r="C271" s="3">
        <x:v>119</x:v>
      </x:c>
      <x:c r="D271" s="2" t="s">
        <x:v>985</x:v>
      </x:c>
      <x:c r="E271" s="2" t="s">
        <x:v>1227</x:v>
      </x:c>
      <x:c r="F271" s="2" t="s">
        <x:v>1138</x:v>
      </x:c>
      <x:c r="G271" s="2" t="s">
        <x:v>158</x:v>
      </x:c>
      <x:c r="H271" s="2" t="s">
        <x:v>1124</x:v>
      </x:c>
      <x:c r="I271" s="2" t="s">
        <x:v>1229</x:v>
      </x:c>
      <x:c r="J271" s="2" t="s">
        <x:v>1139</x:v>
      </x:c>
      <x:c r="K271" s="2" t="n">
        <x:v>118</x:v>
      </x:c>
      <x:c r="L271" s="2" t="s">
        <x:v>1134</x:v>
      </x:c>
      <x:c r="M271" s="2" t="s">
        <x:v>1128</x:v>
      </x:c>
      <x:c r="N271" s="2">
        <x:v>5</x:v>
      </x:c>
      <x:c r="O271" s="2" t="s">
        <x:v>1135</x:v>
      </x:c>
      <x:c r="P271" s="2" t="s">
        <x:v>1130</x:v>
      </x:c>
      <x:c r="Q271" s="2"/>
      <x:c r="R271" s="3"/>
      <x:c r="S271" s="3"/>
      <x:c r="T271" s="2"/>
      <x:c r="U271" s="2"/>
      <x:c r="V271" s="2"/>
      <x:c r="W271" s="2" t="s">
        <x:v>1230</x:v>
      </x:c>
      <x:c r="X271" s="3">
        <x:v>1</x:v>
      </x:c>
      <x:c r="Y271" s="3">
        <x:v>2</x:v>
      </x:c>
      <x:c r="Z271" s="2" t="s">
        <x:v>175</x:v>
      </x:c>
      <x:c r="AA271" s="2"/>
      <x:c r="AB271" s="2"/>
      <x:c r="AC271" s="2"/>
      <x:c r="AD271" s="2"/>
      <x:c r="AE271" s="2"/>
      <x:c r="AF271" s="2"/>
      <x:c r="AG271" s="2"/>
      <x:c r="AH271" s="2"/>
      <x:c r="AI271" s="4"/>
      <x:c r="AJ271" s="2"/>
      <x:c r="AK271" s="2" t="s">
        <x:v>176</x:v>
      </x:c>
      <x:c r="AL271" s="2" t="s">
        <x:v>2857</x:v>
      </x:c>
      <x:c r="AM271" s="2">
        <x:v>121</x:v>
      </x:c>
      <x:c r="AN271" s="2">
        <x:v>121</x:v>
      </x:c>
    </x:row>
    <x:row r="272" ht="39">
      <x:c r="A272" s="2" t="s">
        <x:v>91</x:v>
      </x:c>
      <x:c r="B272" s="2" t="s">
        <x:v>14</x:v>
      </x:c>
      <x:c r="C272" s="3">
        <x:v>120</x:v>
      </x:c>
      <x:c r="D272" s="2" t="s">
        <x:v>985</x:v>
      </x:c>
      <x:c r="E272" s="2" t="s">
        <x:v>1231</x:v>
      </x:c>
      <x:c r="F272" s="2" t="s">
        <x:v>1232</x:v>
      </x:c>
      <x:c r="G272" s="2" t="s">
        <x:v>158</x:v>
      </x:c>
      <x:c r="H272" s="2" t="s">
        <x:v>1124</x:v>
      </x:c>
      <x:c r="I272" s="2" t="s">
        <x:v>1229</x:v>
      </x:c>
      <x:c r="J272" s="2" t="s">
        <x:v>1133</x:v>
      </x:c>
      <x:c r="K272" s="2"/>
      <x:c r="L272" s="2" t="s">
        <x:v>1134</x:v>
      </x:c>
      <x:c r="M272" s="2" t="s">
        <x:v>1128</x:v>
      </x:c>
      <x:c r="N272" s="2">
        <x:v>5</x:v>
      </x:c>
      <x:c r="O272" s="2" t="s">
        <x:v>1129</x:v>
      </x:c>
      <x:c r="P272" s="2" t="s">
        <x:v>1136</x:v>
      </x:c>
      <x:c r="Q272" s="2"/>
      <x:c r="R272" s="3"/>
      <x:c r="S272" s="3"/>
      <x:c r="T272" s="2"/>
      <x:c r="U272" s="2"/>
      <x:c r="V272" s="2"/>
      <x:c r="W272" s="2" t="s">
        <x:v>1233</x:v>
      </x:c>
      <x:c r="X272" s="3">
        <x:v>1</x:v>
      </x:c>
      <x:c r="Y272" s="3">
        <x:v>2</x:v>
      </x:c>
      <x:c r="Z272" s="2" t="s">
        <x:v>175</x:v>
      </x:c>
      <x:c r="AA272" s="2"/>
      <x:c r="AB272" s="2"/>
      <x:c r="AC272" s="2"/>
      <x:c r="AD272" s="2"/>
      <x:c r="AE272" s="2"/>
      <x:c r="AF272" s="2"/>
      <x:c r="AG272" s="2"/>
      <x:c r="AH272" s="2"/>
      <x:c r="AI272" s="4"/>
      <x:c r="AJ272" s="2"/>
      <x:c r="AK272" s="2" t="s">
        <x:v>176</x:v>
      </x:c>
      <x:c r="AL272" s="2" t="s">
        <x:v>2857</x:v>
      </x:c>
      <x:c r="AM272" s="2">
        <x:v>122</x:v>
      </x:c>
      <x:c r="AN272" s="2">
        <x:v>122</x:v>
      </x:c>
    </x:row>
    <x:row r="273" ht="39">
      <x:c r="A273" s="2" t="s">
        <x:v>91</x:v>
      </x:c>
      <x:c r="B273" s="2" t="s">
        <x:v>14</x:v>
      </x:c>
      <x:c r="C273" s="3">
        <x:v>121</x:v>
      </x:c>
      <x:c r="D273" s="2" t="s">
        <x:v>977</x:v>
      </x:c>
      <x:c r="E273" s="2" t="s">
        <x:v>1231</x:v>
      </x:c>
      <x:c r="F273" s="2" t="s">
        <x:v>1123</x:v>
      </x:c>
      <x:c r="G273" s="2" t="s">
        <x:v>2895</x:v>
      </x:c>
      <x:c r="H273" s="2" t="s">
        <x:v>1124</x:v>
      </x:c>
      <x:c r="I273" s="2" t="s">
        <x:v>1229</x:v>
      </x:c>
      <x:c r="J273" s="2" t="s">
        <x:v>1126</x:v>
      </x:c>
      <x:c r="K273" s="2" t="n">
        <x:v>120</x:v>
      </x:c>
      <x:c r="L273" s="2" t="s">
        <x:v>1127</x:v>
      </x:c>
      <x:c r="M273" s="2" t="s">
        <x:v>1128</x:v>
      </x:c>
      <x:c r="N273" s="2">
        <x:v>5</x:v>
      </x:c>
      <x:c r="O273" s="2" t="s">
        <x:v>1135</x:v>
      </x:c>
      <x:c r="P273" s="2" t="s">
        <x:v>1130</x:v>
      </x:c>
      <x:c r="Q273" s="2"/>
      <x:c r="R273" s="3"/>
      <x:c r="S273" s="3"/>
      <x:c r="T273" s="2"/>
      <x:c r="U273" s="2"/>
      <x:c r="V273" s="2"/>
      <x:c r="W273" s="2" t="s">
        <x:v>1233</x:v>
      </x:c>
      <x:c r="X273" s="3">
        <x:v>1</x:v>
      </x:c>
      <x:c r="Y273" s="3">
        <x:v>0</x:v>
      </x:c>
      <x:c r="Z273" s="2" t="s">
        <x:v>191</x:v>
      </x:c>
      <x:c r="AA273" s="2"/>
      <x:c r="AB273" s="2"/>
      <x:c r="AC273" s="2"/>
      <x:c r="AD273" s="2"/>
      <x:c r="AE273" s="2"/>
      <x:c r="AF273" s="2"/>
      <x:c r="AG273" s="2"/>
      <x:c r="AH273" s="2"/>
      <x:c r="AI273" s="4"/>
      <x:c r="AJ273" s="2"/>
      <x:c r="AK273" s="2" t="s">
        <x:v>176</x:v>
      </x:c>
      <x:c r="AL273" s="2" t="s">
        <x:v>2857</x:v>
      </x:c>
      <x:c r="AM273" s="2">
        <x:v>123</x:v>
      </x:c>
      <x:c r="AN273" s="2">
        <x:v>123</x:v>
      </x:c>
    </x:row>
    <x:row r="274" ht="39">
      <x:c r="A274" s="2" t="s">
        <x:v>91</x:v>
      </x:c>
      <x:c r="B274" s="2" t="s">
        <x:v>14</x:v>
      </x:c>
      <x:c r="C274" s="3">
        <x:v>122</x:v>
      </x:c>
      <x:c r="D274" s="2" t="s">
        <x:v>184</x:v>
      </x:c>
      <x:c r="E274" s="2" t="s">
        <x:v>1219</x:v>
      </x:c>
      <x:c r="F274" s="2" t="s">
        <x:v>1031</x:v>
      </x:c>
      <x:c r="G274" s="2" t="s">
        <x:v>158</x:v>
      </x:c>
      <x:c r="H274" s="2" t="s">
        <x:v>618</x:v>
      </x:c>
      <x:c r="I274" s="2" t="s">
        <x:v>1234</x:v>
      </x:c>
      <x:c r="J274" s="2" t="s">
        <x:v>1032</x:v>
      </x:c>
      <x:c r="K274" s="2"/>
      <x:c r="L274" s="2" t="s">
        <x:v>1120</x:v>
      </x:c>
      <x:c r="M274" s="2" t="s">
        <x:v>1041</x:v>
      </x:c>
      <x:c r="N274" s="2">
        <x:v>4</x:v>
      </x:c>
      <x:c r="O274" s="2" t="s">
        <x:v>1024</x:v>
      </x:c>
      <x:c r="P274" s="2" t="s">
        <x:v>1035</x:v>
      </x:c>
      <x:c r="Q274" s="2"/>
      <x:c r="R274" s="3"/>
      <x:c r="S274" s="3"/>
      <x:c r="T274" s="2"/>
      <x:c r="U274" s="2"/>
      <x:c r="V274" s="2"/>
      <x:c r="W274" s="2" t="s">
        <x:v>1235</x:v>
      </x:c>
      <x:c r="X274" s="3">
        <x:v>2</x:v>
      </x:c>
      <x:c r="Y274" s="3">
        <x:v>3</x:v>
      </x:c>
      <x:c r="Z274" s="2" t="s">
        <x:v>175</x:v>
      </x:c>
      <x:c r="AA274" s="2"/>
      <x:c r="AB274" s="2"/>
      <x:c r="AC274" s="2"/>
      <x:c r="AD274" s="2"/>
      <x:c r="AE274" s="2"/>
      <x:c r="AF274" s="2"/>
      <x:c r="AG274" s="2"/>
      <x:c r="AH274" s="2"/>
      <x:c r="AI274" s="4"/>
      <x:c r="AJ274" s="2"/>
      <x:c r="AK274" s="2" t="s">
        <x:v>176</x:v>
      </x:c>
      <x:c r="AL274" s="2" t="s">
        <x:v>2857</x:v>
      </x:c>
      <x:c r="AM274" s="2">
        <x:v>124</x:v>
      </x:c>
      <x:c r="AN274" s="2">
        <x:v>124</x:v>
      </x:c>
    </x:row>
    <x:row r="275" ht="39">
      <x:c r="A275" s="2" t="s">
        <x:v>91</x:v>
      </x:c>
      <x:c r="B275" s="2" t="s">
        <x:v>14</x:v>
      </x:c>
      <x:c r="C275" s="3">
        <x:v>123</x:v>
      </x:c>
      <x:c r="D275" s="2" t="s">
        <x:v>166</x:v>
      </x:c>
      <x:c r="E275" s="2" t="s">
        <x:v>1219</x:v>
      </x:c>
      <x:c r="F275" s="2" t="s">
        <x:v>1011</x:v>
      </x:c>
      <x:c r="G275" s="2" t="s">
        <x:v>158</x:v>
      </x:c>
      <x:c r="H275" s="2" t="s">
        <x:v>618</x:v>
      </x:c>
      <x:c r="I275" s="2" t="s">
        <x:v>1234</x:v>
      </x:c>
      <x:c r="J275" s="2" t="s">
        <x:v>1013</x:v>
      </x:c>
      <x:c r="K275" s="2" t="n">
        <x:v>122</x:v>
      </x:c>
      <x:c r="L275" s="2" t="s">
        <x:v>1074</x:v>
      </x:c>
      <x:c r="M275" s="2" t="s">
        <x:v>1034</x:v>
      </x:c>
      <x:c r="N275" s="2">
        <x:v>4</x:v>
      </x:c>
      <x:c r="O275" s="2" t="s">
        <x:v>1016</x:v>
      </x:c>
      <x:c r="P275" s="2" t="s">
        <x:v>1017</x:v>
      </x:c>
      <x:c r="Q275" s="2"/>
      <x:c r="R275" s="3"/>
      <x:c r="S275" s="3"/>
      <x:c r="T275" s="2"/>
      <x:c r="U275" s="2"/>
      <x:c r="V275" s="2"/>
      <x:c r="W275" s="2" t="s">
        <x:v>1236</x:v>
      </x:c>
      <x:c r="X275" s="3">
        <x:v>2</x:v>
      </x:c>
      <x:c r="Y275" s="3">
        <x:v>1</x:v>
      </x:c>
      <x:c r="Z275" s="2" t="s">
        <x:v>191</x:v>
      </x:c>
      <x:c r="AA275" s="2"/>
      <x:c r="AB275" s="2"/>
      <x:c r="AC275" s="2"/>
      <x:c r="AD275" s="2"/>
      <x:c r="AE275" s="2"/>
      <x:c r="AF275" s="2"/>
      <x:c r="AG275" s="2"/>
      <x:c r="AH275" s="2"/>
      <x:c r="AI275" s="4"/>
      <x:c r="AJ275" s="2"/>
      <x:c r="AK275" s="2" t="s">
        <x:v>176</x:v>
      </x:c>
      <x:c r="AL275" s="2" t="s">
        <x:v>2857</x:v>
      </x:c>
      <x:c r="AM275" s="2">
        <x:v>125</x:v>
      </x:c>
      <x:c r="AN275" s="2">
        <x:v>125</x:v>
      </x:c>
    </x:row>
    <x:row r="276" ht="39">
      <x:c r="A276" s="2" t="s">
        <x:v>6</x:v>
      </x:c>
      <x:c r="B276" s="2" t="s">
        <x:v>14</x:v>
      </x:c>
      <x:c r="C276" s="3">
        <x:v>124</x:v>
      </x:c>
      <x:c r="D276" s="2" t="s">
        <x:v>977</x:v>
      </x:c>
      <x:c r="E276" s="2" t="s">
        <x:v>1237</x:v>
      </x:c>
      <x:c r="F276" s="2" t="s">
        <x:v>1238</x:v>
      </x:c>
      <x:c r="G276" s="2"/>
      <x:c r="H276" s="2" t="s">
        <x:v>1124</x:v>
      </x:c>
      <x:c r="I276" s="2" t="s">
        <x:v>1239</x:v>
      </x:c>
      <x:c r="J276" s="2" t="s">
        <x:v>1144</x:v>
      </x:c>
      <x:c r="K276" s="2"/>
      <x:c r="L276" s="2" t="s">
        <x:v>1127</x:v>
      </x:c>
      <x:c r="M276" s="2" t="s">
        <x:v>1128</x:v>
      </x:c>
      <x:c r="N276" s="2">
        <x:v>5</x:v>
      </x:c>
      <x:c r="O276" s="2" t="s">
        <x:v>1140</x:v>
      </x:c>
      <x:c r="P276" s="2" t="s">
        <x:v>1136</x:v>
      </x:c>
      <x:c r="Q276" s="2"/>
      <x:c r="R276" s="3"/>
      <x:c r="S276" s="3"/>
      <x:c r="T276" s="2"/>
      <x:c r="U276" s="2"/>
      <x:c r="V276" s="2"/>
      <x:c r="W276" s="2" t="s">
        <x:v>1240</x:v>
      </x:c>
      <x:c r="X276" s="3">
        <x:v>1</x:v>
      </x:c>
      <x:c r="Y276" s="3">
        <x:v>0</x:v>
      </x:c>
      <x:c r="Z276" s="2" t="s">
        <x:v>191</x:v>
      </x:c>
      <x:c r="AA276" s="2"/>
      <x:c r="AB276" s="2"/>
      <x:c r="AC276" s="2"/>
      <x:c r="AD276" s="2"/>
      <x:c r="AE276" s="2"/>
      <x:c r="AF276" s="2"/>
      <x:c r="AG276" s="2"/>
      <x:c r="AH276" s="2"/>
      <x:c r="AI276" s="4"/>
      <x:c r="AJ276" s="2"/>
      <x:c r="AK276" s="2" t="s">
        <x:v>176</x:v>
      </x:c>
      <x:c r="AL276" s="2" t="s">
        <x:v>2857</x:v>
      </x:c>
      <x:c r="AM276" s="2">
        <x:v>126</x:v>
      </x:c>
      <x:c r="AN276" s="2">
        <x:v>126</x:v>
      </x:c>
    </x:row>
    <x:row r="277" ht="39">
      <x:c r="A277" s="2" t="s">
        <x:v>91</x:v>
      </x:c>
      <x:c r="B277" s="2" t="s">
        <x:v>14</x:v>
      </x:c>
      <x:c r="C277" s="3">
        <x:v>125</x:v>
      </x:c>
      <x:c r="D277" s="2" t="s">
        <x:v>985</x:v>
      </x:c>
      <x:c r="E277" s="2" t="s">
        <x:v>1237</x:v>
      </x:c>
      <x:c r="F277" s="2" t="s">
        <x:v>1138</x:v>
      </x:c>
      <x:c r="G277" s="2" t="s">
        <x:v>2896</x:v>
      </x:c>
      <x:c r="H277" s="2" t="s">
        <x:v>1124</x:v>
      </x:c>
      <x:c r="I277" s="2" t="s">
        <x:v>1239</x:v>
      </x:c>
      <x:c r="J277" s="2" t="s">
        <x:v>1139</x:v>
      </x:c>
      <x:c r="K277" s="2" t="n">
        <x:v>124</x:v>
      </x:c>
      <x:c r="L277" s="2" t="s">
        <x:v>1134</x:v>
      </x:c>
      <x:c r="M277" s="2" t="s">
        <x:v>1128</x:v>
      </x:c>
      <x:c r="N277" s="2">
        <x:v>5</x:v>
      </x:c>
      <x:c r="O277" s="2" t="s">
        <x:v>1135</x:v>
      </x:c>
      <x:c r="P277" s="2" t="s">
        <x:v>1130</x:v>
      </x:c>
      <x:c r="Q277" s="2"/>
      <x:c r="R277" s="3"/>
      <x:c r="S277" s="3"/>
      <x:c r="T277" s="2"/>
      <x:c r="U277" s="2"/>
      <x:c r="V277" s="2"/>
      <x:c r="W277" s="2" t="s">
        <x:v>1240</x:v>
      </x:c>
      <x:c r="X277" s="3">
        <x:v>1</x:v>
      </x:c>
      <x:c r="Y277" s="3">
        <x:v>2</x:v>
      </x:c>
      <x:c r="Z277" s="2" t="s">
        <x:v>175</x:v>
      </x:c>
      <x:c r="AA277" s="2"/>
      <x:c r="AB277" s="2"/>
      <x:c r="AC277" s="2"/>
      <x:c r="AD277" s="2"/>
      <x:c r="AE277" s="2"/>
      <x:c r="AF277" s="2"/>
      <x:c r="AG277" s="2"/>
      <x:c r="AH277" s="2"/>
      <x:c r="AI277" s="4"/>
      <x:c r="AJ277" s="2"/>
      <x:c r="AK277" s="2" t="s">
        <x:v>176</x:v>
      </x:c>
      <x:c r="AL277" s="2" t="s">
        <x:v>2857</x:v>
      </x:c>
      <x:c r="AM277" s="2">
        <x:v>127</x:v>
      </x:c>
      <x:c r="AN277" s="2">
        <x:v>127</x:v>
      </x:c>
    </x:row>
    <x:row r="278" ht="39">
      <x:c r="A278" s="2" t="s">
        <x:v>6</x:v>
      </x:c>
      <x:c r="B278" s="2" t="s">
        <x:v>14</x:v>
      </x:c>
      <x:c r="C278" s="3">
        <x:v>126</x:v>
      </x:c>
      <x:c r="D278" s="2" t="s">
        <x:v>985</x:v>
      </x:c>
      <x:c r="E278" s="2" t="s">
        <x:v>1242</x:v>
      </x:c>
      <x:c r="F278" s="2" t="s">
        <x:v>1243</x:v>
      </x:c>
      <x:c r="G278" s="2"/>
      <x:c r="H278" s="2" t="s">
        <x:v>1124</x:v>
      </x:c>
      <x:c r="I278" s="2" t="s">
        <x:v>1239</x:v>
      </x:c>
      <x:c r="J278" s="2" t="s">
        <x:v>1133</x:v>
      </x:c>
      <x:c r="K278" s="2"/>
      <x:c r="L278" s="2" t="s">
        <x:v>1134</x:v>
      </x:c>
      <x:c r="M278" s="2" t="s">
        <x:v>1128</x:v>
      </x:c>
      <x:c r="N278" s="2">
        <x:v>5</x:v>
      </x:c>
      <x:c r="O278" s="2" t="s">
        <x:v>1129</x:v>
      </x:c>
      <x:c r="P278" s="2" t="s">
        <x:v>1136</x:v>
      </x:c>
      <x:c r="Q278" s="2"/>
      <x:c r="R278" s="3"/>
      <x:c r="S278" s="3"/>
      <x:c r="T278" s="2"/>
      <x:c r="U278" s="2"/>
      <x:c r="V278" s="2"/>
      <x:c r="W278" s="2" t="s">
        <x:v>1245</x:v>
      </x:c>
      <x:c r="X278" s="3">
        <x:v>1</x:v>
      </x:c>
      <x:c r="Y278" s="3">
        <x:v>2</x:v>
      </x:c>
      <x:c r="Z278" s="2" t="s">
        <x:v>175</x:v>
      </x:c>
      <x:c r="AA278" s="2"/>
      <x:c r="AB278" s="2"/>
      <x:c r="AC278" s="2"/>
      <x:c r="AD278" s="2"/>
      <x:c r="AE278" s="2"/>
      <x:c r="AF278" s="2"/>
      <x:c r="AG278" s="2"/>
      <x:c r="AH278" s="2"/>
      <x:c r="AI278" s="4"/>
      <x:c r="AJ278" s="2"/>
      <x:c r="AK278" s="2" t="s">
        <x:v>176</x:v>
      </x:c>
      <x:c r="AL278" s="2" t="s">
        <x:v>2857</x:v>
      </x:c>
      <x:c r="AM278" s="2">
        <x:v>128</x:v>
      </x:c>
      <x:c r="AN278" s="2">
        <x:v>128</x:v>
      </x:c>
    </x:row>
    <x:row r="279" ht="39">
      <x:c r="A279" s="2" t="s">
        <x:v>6</x:v>
      </x:c>
      <x:c r="B279" s="2" t="s">
        <x:v>14</x:v>
      </x:c>
      <x:c r="C279" s="3">
        <x:v>127</x:v>
      </x:c>
      <x:c r="D279" s="2" t="s">
        <x:v>977</x:v>
      </x:c>
      <x:c r="E279" s="2" t="s">
        <x:v>1242</x:v>
      </x:c>
      <x:c r="F279" s="2" t="s">
        <x:v>1123</x:v>
      </x:c>
      <x:c r="G279" s="2"/>
      <x:c r="H279" s="2" t="s">
        <x:v>1124</x:v>
      </x:c>
      <x:c r="I279" s="2" t="s">
        <x:v>1239</x:v>
      </x:c>
      <x:c r="J279" s="2" t="s">
        <x:v>1126</x:v>
      </x:c>
      <x:c r="K279" s="2" t="n">
        <x:v>126</x:v>
      </x:c>
      <x:c r="L279" s="2" t="s">
        <x:v>1127</x:v>
      </x:c>
      <x:c r="M279" s="2" t="s">
        <x:v>1128</x:v>
      </x:c>
      <x:c r="N279" s="2">
        <x:v>5</x:v>
      </x:c>
      <x:c r="O279" s="2" t="s">
        <x:v>1135</x:v>
      </x:c>
      <x:c r="P279" s="2" t="s">
        <x:v>1130</x:v>
      </x:c>
      <x:c r="Q279" s="2"/>
      <x:c r="R279" s="3"/>
      <x:c r="S279" s="3"/>
      <x:c r="T279" s="2"/>
      <x:c r="U279" s="2"/>
      <x:c r="V279" s="2"/>
      <x:c r="W279" s="2" t="s">
        <x:v>1245</x:v>
      </x:c>
      <x:c r="X279" s="3">
        <x:v>1</x:v>
      </x:c>
      <x:c r="Y279" s="3">
        <x:v>0</x:v>
      </x:c>
      <x:c r="Z279" s="2" t="s">
        <x:v>191</x:v>
      </x:c>
      <x:c r="AA279" s="2"/>
      <x:c r="AB279" s="2"/>
      <x:c r="AC279" s="2"/>
      <x:c r="AD279" s="2"/>
      <x:c r="AE279" s="2"/>
      <x:c r="AF279" s="2"/>
      <x:c r="AG279" s="2"/>
      <x:c r="AH279" s="2"/>
      <x:c r="AI279" s="4"/>
      <x:c r="AJ279" s="2"/>
      <x:c r="AK279" s="2" t="s">
        <x:v>176</x:v>
      </x:c>
      <x:c r="AL279" s="2" t="s">
        <x:v>2857</x:v>
      </x:c>
      <x:c r="AM279" s="2">
        <x:v>129</x:v>
      </x:c>
      <x:c r="AN279" s="2">
        <x:v>129</x:v>
      </x:c>
    </x:row>
    <x:row r="280" ht="39">
      <x:c r="A280" s="2" t="s">
        <x:v>6</x:v>
      </x:c>
      <x:c r="B280" s="2" t="s">
        <x:v>14</x:v>
      </x:c>
      <x:c r="C280" s="3">
        <x:v>128</x:v>
      </x:c>
      <x:c r="D280" s="2" t="s">
        <x:v>993</x:v>
      </x:c>
      <x:c r="E280" s="2" t="s">
        <x:v>997</x:v>
      </x:c>
      <x:c r="F280" s="2" t="s">
        <x:v>1094</x:v>
      </x:c>
      <x:c r="G280" s="2"/>
      <x:c r="H280" s="2" t="s">
        <x:v>1077</x:v>
      </x:c>
      <x:c r="I280" s="2" t="s">
        <x:v>1246</x:v>
      </x:c>
      <x:c r="J280" s="2" t="s">
        <x:v>1095</x:v>
      </x:c>
      <x:c r="K280" s="2"/>
      <x:c r="L280" s="2" t="s">
        <x:v>1096</x:v>
      </x:c>
      <x:c r="M280" s="2" t="s">
        <x:v>1080</x:v>
      </x:c>
      <x:c r="N280" s="2">
        <x:v>6</x:v>
      </x:c>
      <x:c r="O280" s="2" t="s">
        <x:v>1081</x:v>
      </x:c>
      <x:c r="P280" s="2" t="s">
        <x:v>1082</x:v>
      </x:c>
      <x:c r="Q280" s="2"/>
      <x:c r="R280" s="3"/>
      <x:c r="S280" s="3"/>
      <x:c r="T280" s="2"/>
      <x:c r="U280" s="2"/>
      <x:c r="V280" s="2"/>
      <x:c r="W280" s="2" t="s">
        <x:v>1246</x:v>
      </x:c>
      <x:c r="X280" s="3">
        <x:v>0</x:v>
      </x:c>
      <x:c r="Y280" s="3">
        <x:v>0</x:v>
      </x:c>
      <x:c r="Z280" s="2" t="s">
        <x:v>1083</x:v>
      </x:c>
      <x:c r="AA280" s="2"/>
      <x:c r="AB280" s="2"/>
      <x:c r="AC280" s="2"/>
      <x:c r="AD280" s="2"/>
      <x:c r="AE280" s="2"/>
      <x:c r="AF280" s="2"/>
      <x:c r="AG280" s="2"/>
      <x:c r="AH280" s="2"/>
      <x:c r="AI280" s="4"/>
      <x:c r="AJ280" s="2"/>
      <x:c r="AK280" s="2" t="s">
        <x:v>176</x:v>
      </x:c>
      <x:c r="AL280" s="2" t="s">
        <x:v>2857</x:v>
      </x:c>
      <x:c r="AM280" s="2">
        <x:v>130</x:v>
      </x:c>
      <x:c r="AN280" s="2">
        <x:v>130</x:v>
      </x:c>
    </x:row>
    <x:row r="281" ht="39">
      <x:c r="A281" s="2" t="s">
        <x:v>6</x:v>
      </x:c>
      <x:c r="B281" s="2" t="s">
        <x:v>14</x:v>
      </x:c>
      <x:c r="C281" s="3">
        <x:v>129</x:v>
      </x:c>
      <x:c r="D281" s="2" t="s">
        <x:v>166</x:v>
      </x:c>
      <x:c r="E281" s="2" t="s">
        <x:v>211</x:v>
      </x:c>
      <x:c r="F281" s="2" t="s">
        <x:v>1090</x:v>
      </x:c>
      <x:c r="G281" s="2"/>
      <x:c r="H281" s="2" t="s">
        <x:v>1077</x:v>
      </x:c>
      <x:c r="I281" s="2" t="s">
        <x:v>1246</x:v>
      </x:c>
      <x:c r="J281" s="2" t="s">
        <x:v>1091</x:v>
      </x:c>
      <x:c r="K281" s="2"/>
      <x:c r="L281" s="2" t="s">
        <x:v>1092</x:v>
      </x:c>
      <x:c r="M281" s="2" t="s">
        <x:v>1080</x:v>
      </x:c>
      <x:c r="N281" s="2">
        <x:v>6</x:v>
      </x:c>
      <x:c r="O281" s="2" t="s">
        <x:v>1089</x:v>
      </x:c>
      <x:c r="P281" s="2" t="s">
        <x:v>1082</x:v>
      </x:c>
      <x:c r="Q281" s="2"/>
      <x:c r="R281" s="3"/>
      <x:c r="S281" s="3"/>
      <x:c r="T281" s="2"/>
      <x:c r="U281" s="2"/>
      <x:c r="V281" s="2"/>
      <x:c r="W281" s="2" t="s">
        <x:v>1246</x:v>
      </x:c>
      <x:c r="X281" s="3">
        <x:v>1</x:v>
      </x:c>
      <x:c r="Y281" s="3">
        <x:v>1</x:v>
      </x:c>
      <x:c r="Z281" s="2" t="s">
        <x:v>1083</x:v>
      </x:c>
      <x:c r="AA281" s="2"/>
      <x:c r="AB281" s="2"/>
      <x:c r="AC281" s="2"/>
      <x:c r="AD281" s="2"/>
      <x:c r="AE281" s="2"/>
      <x:c r="AF281" s="2"/>
      <x:c r="AG281" s="2"/>
      <x:c r="AH281" s="2"/>
      <x:c r="AI281" s="4"/>
      <x:c r="AJ281" s="2"/>
      <x:c r="AK281" s="2" t="s">
        <x:v>176</x:v>
      </x:c>
      <x:c r="AL281" s="2" t="s">
        <x:v>2857</x:v>
      </x:c>
      <x:c r="AM281" s="2">
        <x:v>131</x:v>
      </x:c>
      <x:c r="AN281" s="2">
        <x:v>131</x:v>
      </x:c>
    </x:row>
    <x:row r="282" ht="39">
      <x:c r="A282" s="2" t="s">
        <x:v>6</x:v>
      </x:c>
      <x:c r="B282" s="2" t="s">
        <x:v>14</x:v>
      </x:c>
      <x:c r="C282" s="3">
        <x:v>130</x:v>
      </x:c>
      <x:c r="D282" s="2" t="s">
        <x:v>1084</x:v>
      </x:c>
      <x:c r="E282" s="2" t="s">
        <x:v>1247</x:v>
      </x:c>
      <x:c r="F282" s="2" t="s">
        <x:v>1086</x:v>
      </x:c>
      <x:c r="G282" s="2"/>
      <x:c r="H282" s="2" t="s">
        <x:v>1077</x:v>
      </x:c>
      <x:c r="I282" s="2" t="s">
        <x:v>1246</x:v>
      </x:c>
      <x:c r="J282" s="2" t="s">
        <x:v>1087</x:v>
      </x:c>
      <x:c r="K282" s="2"/>
      <x:c r="L282" s="2" t="s">
        <x:v>1088</x:v>
      </x:c>
      <x:c r="M282" s="2" t="s">
        <x:v>1080</x:v>
      </x:c>
      <x:c r="N282" s="2">
        <x:v>6</x:v>
      </x:c>
      <x:c r="O282" s="2" t="s">
        <x:v>1089</x:v>
      </x:c>
      <x:c r="P282" s="2" t="s">
        <x:v>1082</x:v>
      </x:c>
      <x:c r="Q282" s="2"/>
      <x:c r="R282" s="3"/>
      <x:c r="S282" s="3"/>
      <x:c r="T282" s="2"/>
      <x:c r="U282" s="2"/>
      <x:c r="V282" s="2"/>
      <x:c r="W282" s="2" t="s">
        <x:v>1246</x:v>
      </x:c>
      <x:c r="X282" s="3">
        <x:v>2</x:v>
      </x:c>
      <x:c r="Y282" s="3">
        <x:v>2</x:v>
      </x:c>
      <x:c r="Z282" s="2" t="s">
        <x:v>1083</x:v>
      </x:c>
      <x:c r="AA282" s="2"/>
      <x:c r="AB282" s="2"/>
      <x:c r="AC282" s="2"/>
      <x:c r="AD282" s="2"/>
      <x:c r="AE282" s="2"/>
      <x:c r="AF282" s="2"/>
      <x:c r="AG282" s="2"/>
      <x:c r="AH282" s="2"/>
      <x:c r="AI282" s="4"/>
      <x:c r="AJ282" s="2"/>
      <x:c r="AK282" s="2" t="s">
        <x:v>176</x:v>
      </x:c>
      <x:c r="AL282" s="2" t="s">
        <x:v>2857</x:v>
      </x:c>
      <x:c r="AM282" s="2">
        <x:v>132</x:v>
      </x:c>
      <x:c r="AN282" s="2">
        <x:v>132</x:v>
      </x:c>
    </x:row>
    <x:row r="283" ht="39">
      <x:c r="A283" s="2" t="s">
        <x:v>6</x:v>
      </x:c>
      <x:c r="B283" s="2" t="s">
        <x:v>14</x:v>
      </x:c>
      <x:c r="C283" s="3">
        <x:v>131</x:v>
      </x:c>
      <x:c r="D283" s="2" t="s">
        <x:v>184</x:v>
      </x:c>
      <x:c r="E283" s="2" t="s">
        <x:v>1248</x:v>
      </x:c>
      <x:c r="F283" s="2" t="s">
        <x:v>1076</x:v>
      </x:c>
      <x:c r="G283" s="2"/>
      <x:c r="H283" s="2" t="s">
        <x:v>1077</x:v>
      </x:c>
      <x:c r="I283" s="2" t="s">
        <x:v>1246</x:v>
      </x:c>
      <x:c r="J283" s="2" t="s">
        <x:v>1079</x:v>
      </x:c>
      <x:c r="K283" s="2"/>
      <x:c r="L283" s="2" t="s">
        <x:v>189</x:v>
      </x:c>
      <x:c r="M283" s="2" t="s">
        <x:v>1080</x:v>
      </x:c>
      <x:c r="N283" s="2">
        <x:v>6</x:v>
      </x:c>
      <x:c r="O283" s="2" t="s">
        <x:v>1089</x:v>
      </x:c>
      <x:c r="P283" s="2" t="s">
        <x:v>1082</x:v>
      </x:c>
      <x:c r="Q283" s="2"/>
      <x:c r="R283" s="3"/>
      <x:c r="S283" s="3"/>
      <x:c r="T283" s="2"/>
      <x:c r="U283" s="2"/>
      <x:c r="V283" s="2"/>
      <x:c r="W283" s="2" t="s">
        <x:v>1246</x:v>
      </x:c>
      <x:c r="X283" s="3">
        <x:v>3</x:v>
      </x:c>
      <x:c r="Y283" s="3">
        <x:v>3</x:v>
      </x:c>
      <x:c r="Z283" s="2" t="s">
        <x:v>1083</x:v>
      </x:c>
      <x:c r="AA283" s="2"/>
      <x:c r="AB283" s="2"/>
      <x:c r="AC283" s="2"/>
      <x:c r="AD283" s="2"/>
      <x:c r="AE283" s="2"/>
      <x:c r="AF283" s="2"/>
      <x:c r="AG283" s="2"/>
      <x:c r="AH283" s="2"/>
      <x:c r="AI283" s="4"/>
      <x:c r="AJ283" s="2"/>
      <x:c r="AK283" s="2" t="s">
        <x:v>176</x:v>
      </x:c>
      <x:c r="AL283" s="2" t="s">
        <x:v>2857</x:v>
      </x:c>
      <x:c r="AM283" s="2">
        <x:v>133</x:v>
      </x:c>
      <x:c r="AN283" s="2">
        <x:v>133</x:v>
      </x:c>
    </x:row>
    <x:row r="284" ht="39">
      <x:c r="A284" s="2" t="s">
        <x:v>91</x:v>
      </x:c>
      <x:c r="B284" s="2" t="s">
        <x:v>14</x:v>
      </x:c>
      <x:c r="C284" s="3">
        <x:v>132</x:v>
      </x:c>
      <x:c r="D284" s="2" t="s">
        <x:v>184</x:v>
      </x:c>
      <x:c r="E284" s="2" t="s">
        <x:v>1249</x:v>
      </x:c>
      <x:c r="F284" s="2" t="s">
        <x:v>1031</x:v>
      </x:c>
      <x:c r="G284" s="2"/>
      <x:c r="H284" s="2" t="s">
        <x:v>618</x:v>
      </x:c>
      <x:c r="I284" s="2" t="s">
        <x:v>1250</x:v>
      </x:c>
      <x:c r="J284" s="2" t="s">
        <x:v>1032</x:v>
      </x:c>
      <x:c r="K284" s="2"/>
      <x:c r="L284" s="2" t="s">
        <x:v>1120</x:v>
      </x:c>
      <x:c r="M284" s="2" t="s">
        <x:v>1041</x:v>
      </x:c>
      <x:c r="N284" s="2">
        <x:v>2</x:v>
      </x:c>
      <x:c r="O284" s="2" t="s">
        <x:v>1024</x:v>
      </x:c>
      <x:c r="P284" s="2" t="s">
        <x:v>1035</x:v>
      </x:c>
      <x:c r="Q284" s="2"/>
      <x:c r="R284" s="3"/>
      <x:c r="S284" s="3"/>
      <x:c r="T284" s="2"/>
      <x:c r="U284" s="2"/>
      <x:c r="V284" s="2"/>
      <x:c r="W284" s="2" t="s">
        <x:v>1251</x:v>
      </x:c>
      <x:c r="X284" s="3">
        <x:v>2</x:v>
      </x:c>
      <x:c r="Y284" s="3">
        <x:v>3</x:v>
      </x:c>
      <x:c r="Z284" s="2" t="s">
        <x:v>175</x:v>
      </x:c>
      <x:c r="AA284" s="2"/>
      <x:c r="AB284" s="2"/>
      <x:c r="AC284" s="2"/>
      <x:c r="AD284" s="2"/>
      <x:c r="AE284" s="2"/>
      <x:c r="AF284" s="2"/>
      <x:c r="AG284" s="2"/>
      <x:c r="AH284" s="2"/>
      <x:c r="AI284" s="4"/>
      <x:c r="AJ284" s="2"/>
      <x:c r="AK284" s="2" t="s">
        <x:v>176</x:v>
      </x:c>
      <x:c r="AL284" s="2" t="s">
        <x:v>2857</x:v>
      </x:c>
      <x:c r="AM284" s="2">
        <x:v>134</x:v>
      </x:c>
      <x:c r="AN284" s="2">
        <x:v>134</x:v>
      </x:c>
    </x:row>
    <x:row r="285" ht="26">
      <x:c r="A285" s="2" t="s">
        <x:v>6</x:v>
      </x:c>
      <x:c r="B285" s="2" t="s">
        <x:v>14</x:v>
      </x:c>
      <x:c r="C285" s="3">
        <x:v>133</x:v>
      </x:c>
      <x:c r="D285" s="2" t="s">
        <x:v>1067</x:v>
      </x:c>
      <x:c r="E285" s="2" t="s">
        <x:v>1249</x:v>
      </x:c>
      <x:c r="F285" s="2" t="s">
        <x:v>1068</x:v>
      </x:c>
      <x:c r="G285" s="2"/>
      <x:c r="H285" s="2" t="s">
        <x:v>627</x:v>
      </x:c>
      <x:c r="I285" s="2" t="s">
        <x:v>1250</x:v>
      </x:c>
      <x:c r="J285" s="2" t="s">
        <x:v>1028</x:v>
      </x:c>
      <x:c r="K285" s="2" t="n">
        <x:v>132</x:v>
      </x:c>
      <x:c r="L285" s="2" t="s">
        <x:v>1069</x:v>
      </x:c>
      <x:c r="M285" s="2" t="s">
        <x:v>1023</x:v>
      </x:c>
      <x:c r="N285" s="2">
        <x:v>2</x:v>
      </x:c>
      <x:c r="O285" s="2" t="s">
        <x:v>1024</x:v>
      </x:c>
      <x:c r="P285" s="2" t="s">
        <x:v>1025</x:v>
      </x:c>
      <x:c r="Q285" s="2"/>
      <x:c r="R285" s="3"/>
      <x:c r="S285" s="3"/>
      <x:c r="T285" s="2"/>
      <x:c r="U285" s="2"/>
      <x:c r="V285" s="2"/>
      <x:c r="W285" s="2" t="s">
        <x:v>1251</x:v>
      </x:c>
      <x:c r="X285" s="3">
        <x:v>2</x:v>
      </x:c>
      <x:c r="Y285" s="3">
        <x:v>3</x:v>
      </x:c>
      <x:c r="Z285" s="2" t="s">
        <x:v>175</x:v>
      </x:c>
      <x:c r="AA285" s="2"/>
      <x:c r="AB285" s="2"/>
      <x:c r="AC285" s="2"/>
      <x:c r="AD285" s="2"/>
      <x:c r="AE285" s="2"/>
      <x:c r="AF285" s="2"/>
      <x:c r="AG285" s="2"/>
      <x:c r="AH285" s="2"/>
      <x:c r="AI285" s="4"/>
      <x:c r="AJ285" s="2"/>
      <x:c r="AK285" s="2" t="s">
        <x:v>176</x:v>
      </x:c>
      <x:c r="AL285" s="2" t="s">
        <x:v>2857</x:v>
      </x:c>
      <x:c r="AM285" s="2">
        <x:v>135</x:v>
      </x:c>
      <x:c r="AN285" s="2">
        <x:v>135</x:v>
      </x:c>
    </x:row>
    <x:row r="286" ht="52">
      <x:c r="A286" s="2" t="s">
        <x:v>91</x:v>
      </x:c>
      <x:c r="B286" s="2" t="s">
        <x:v>14</x:v>
      </x:c>
      <x:c r="C286" s="3">
        <x:v>134</x:v>
      </x:c>
      <x:c r="D286" s="2" t="s">
        <x:v>1252</x:v>
      </x:c>
      <x:c r="E286" s="2" t="s">
        <x:v>1249</x:v>
      </x:c>
      <x:c r="F286" s="2" t="s">
        <x:v>1031</x:v>
      </x:c>
      <x:c r="G286" s="2"/>
      <x:c r="H286" s="2" t="s">
        <x:v>634</x:v>
      </x:c>
      <x:c r="I286" s="2" t="s">
        <x:v>1250</x:v>
      </x:c>
      <x:c r="J286" s="2" t="s">
        <x:v>1062</x:v>
      </x:c>
      <x:c r="K286" s="2" t="n">
        <x:v>132</x:v>
      </x:c>
      <x:c r="L286" s="2" t="s">
        <x:v>1120</x:v>
      </x:c>
      <x:c r="M286" s="2" t="s">
        <x:v>1253</x:v>
      </x:c>
      <x:c r="N286" s="2">
        <x:v>2</x:v>
      </x:c>
      <x:c r="O286" s="2" t="s">
        <x:v>1024</x:v>
      </x:c>
      <x:c r="P286" s="2" t="s">
        <x:v>1053</x:v>
      </x:c>
      <x:c r="Q286" s="2"/>
      <x:c r="R286" s="3"/>
      <x:c r="S286" s="3"/>
      <x:c r="T286" s="2"/>
      <x:c r="U286" s="2"/>
      <x:c r="V286" s="2"/>
      <x:c r="W286" s="2" t="s">
        <x:v>1251</x:v>
      </x:c>
      <x:c r="X286" s="3">
        <x:v>2</x:v>
      </x:c>
      <x:c r="Y286" s="3">
        <x:v>3</x:v>
      </x:c>
      <x:c r="Z286" s="2" t="s">
        <x:v>175</x:v>
      </x:c>
      <x:c r="AA286" s="2"/>
      <x:c r="AB286" s="2"/>
      <x:c r="AC286" s="2"/>
      <x:c r="AD286" s="2"/>
      <x:c r="AE286" s="2"/>
      <x:c r="AF286" s="2"/>
      <x:c r="AG286" s="2"/>
      <x:c r="AH286" s="2"/>
      <x:c r="AI286" s="4"/>
      <x:c r="AJ286" s="2"/>
      <x:c r="AK286" s="2" t="s">
        <x:v>176</x:v>
      </x:c>
      <x:c r="AL286" s="2" t="s">
        <x:v>2857</x:v>
      </x:c>
      <x:c r="AM286" s="2">
        <x:v>136</x:v>
      </x:c>
      <x:c r="AN286" s="2">
        <x:v>136</x:v>
      </x:c>
    </x:row>
    <x:row r="287" ht="26">
      <x:c r="A287" s="2" t="s">
        <x:v>6</x:v>
      </x:c>
      <x:c r="B287" s="2" t="s">
        <x:v>14</x:v>
      </x:c>
      <x:c r="C287" s="3">
        <x:v>135</x:v>
      </x:c>
      <x:c r="D287" s="2" t="s">
        <x:v>1254</x:v>
      </x:c>
      <x:c r="E287" s="2" t="s">
        <x:v>1249</x:v>
      </x:c>
      <x:c r="F287" s="2" t="s">
        <x:v>1068</x:v>
      </x:c>
      <x:c r="G287" s="2"/>
      <x:c r="H287" s="2" t="s">
        <x:v>634</x:v>
      </x:c>
      <x:c r="I287" s="2" t="s">
        <x:v>1250</x:v>
      </x:c>
      <x:c r="J287" s="2" t="s">
        <x:v>1060</x:v>
      </x:c>
      <x:c r="K287" s="2" t="n">
        <x:v>132</x:v>
      </x:c>
      <x:c r="L287" s="2" t="s">
        <x:v>1069</x:v>
      </x:c>
      <x:c r="M287" s="2" t="s">
        <x:v>1056</x:v>
      </x:c>
      <x:c r="N287" s="2">
        <x:v>2</x:v>
      </x:c>
      <x:c r="O287" s="2" t="s">
        <x:v>1024</x:v>
      </x:c>
      <x:c r="P287" s="2" t="s">
        <x:v>1057</x:v>
      </x:c>
      <x:c r="Q287" s="2"/>
      <x:c r="R287" s="3"/>
      <x:c r="S287" s="3"/>
      <x:c r="T287" s="2"/>
      <x:c r="U287" s="2"/>
      <x:c r="V287" s="2"/>
      <x:c r="W287" s="2" t="s">
        <x:v>1251</x:v>
      </x:c>
      <x:c r="X287" s="3">
        <x:v>2</x:v>
      </x:c>
      <x:c r="Y287" s="3">
        <x:v>3</x:v>
      </x:c>
      <x:c r="Z287" s="2" t="s">
        <x:v>175</x:v>
      </x:c>
      <x:c r="AA287" s="2"/>
      <x:c r="AB287" s="2"/>
      <x:c r="AC287" s="2"/>
      <x:c r="AD287" s="2"/>
      <x:c r="AE287" s="2"/>
      <x:c r="AF287" s="2"/>
      <x:c r="AG287" s="2"/>
      <x:c r="AH287" s="2"/>
      <x:c r="AI287" s="4"/>
      <x:c r="AJ287" s="2"/>
      <x:c r="AK287" s="2" t="s">
        <x:v>176</x:v>
      </x:c>
      <x:c r="AL287" s="2" t="s">
        <x:v>2857</x:v>
      </x:c>
      <x:c r="AM287" s="2">
        <x:v>137</x:v>
      </x:c>
      <x:c r="AN287" s="2">
        <x:v>137</x:v>
      </x:c>
    </x:row>
    <x:row r="288" ht="39">
      <x:c r="A288" s="2" t="s">
        <x:v>91</x:v>
      </x:c>
      <x:c r="B288" s="2" t="s">
        <x:v>14</x:v>
      </x:c>
      <x:c r="C288" s="3">
        <x:v>136</x:v>
      </x:c>
      <x:c r="D288" s="2" t="s">
        <x:v>1046</x:v>
      </x:c>
      <x:c r="E288" s="2" t="s">
        <x:v>1249</x:v>
      </x:c>
      <x:c r="F288" s="2" t="s">
        <x:v>1047</x:v>
      </x:c>
      <x:c r="G288" s="2" t="s">
        <x:v>2897</x:v>
      </x:c>
      <x:c r="H288" s="2" t="s">
        <x:v>627</x:v>
      </x:c>
      <x:c r="I288" s="2" t="s">
        <x:v>1250</x:v>
      </x:c>
      <x:c r="J288" s="2" t="s">
        <x:v>1021</x:v>
      </x:c>
      <x:c r="K288" s="2"/>
      <x:c r="L288" s="2" t="s">
        <x:v>1049</x:v>
      </x:c>
      <x:c r="M288" s="2" t="s">
        <x:v>1023</x:v>
      </x:c>
      <x:c r="N288" s="2">
        <x:v>2</x:v>
      </x:c>
      <x:c r="O288" s="2" t="s">
        <x:v>1024</x:v>
      </x:c>
      <x:c r="P288" s="2" t="s">
        <x:v>1025</x:v>
      </x:c>
      <x:c r="Q288" s="2"/>
      <x:c r="R288" s="3"/>
      <x:c r="S288" s="3"/>
      <x:c r="T288" s="2"/>
      <x:c r="U288" s="2"/>
      <x:c r="V288" s="2"/>
      <x:c r="W288" s="2" t="s">
        <x:v>1257</x:v>
      </x:c>
      <x:c r="X288" s="3">
        <x:v>2</x:v>
      </x:c>
      <x:c r="Y288" s="3">
        <x:v>1</x:v>
      </x:c>
      <x:c r="Z288" s="2" t="s">
        <x:v>191</x:v>
      </x:c>
      <x:c r="AA288" s="2"/>
      <x:c r="AB288" s="2"/>
      <x:c r="AC288" s="2"/>
      <x:c r="AD288" s="2"/>
      <x:c r="AE288" s="2"/>
      <x:c r="AF288" s="2"/>
      <x:c r="AG288" s="2"/>
      <x:c r="AH288" s="2"/>
      <x:c r="AI288" s="4"/>
      <x:c r="AJ288" s="2"/>
      <x:c r="AK288" s="2" t="s">
        <x:v>176</x:v>
      </x:c>
      <x:c r="AL288" s="2" t="s">
        <x:v>2857</x:v>
      </x:c>
      <x:c r="AM288" s="2">
        <x:v>138</x:v>
      </x:c>
      <x:c r="AN288" s="2">
        <x:v>138</x:v>
      </x:c>
    </x:row>
    <x:row r="289" ht="39">
      <x:c r="A289" s="2" t="s">
        <x:v>91</x:v>
      </x:c>
      <x:c r="B289" s="2" t="s">
        <x:v>14</x:v>
      </x:c>
      <x:c r="C289" s="3">
        <x:v>137</x:v>
      </x:c>
      <x:c r="D289" s="2" t="s">
        <x:v>166</x:v>
      </x:c>
      <x:c r="E289" s="2" t="s">
        <x:v>1249</x:v>
      </x:c>
      <x:c r="F289" s="2" t="s">
        <x:v>1011</x:v>
      </x:c>
      <x:c r="G289" s="2" t="s">
        <x:v>158</x:v>
      </x:c>
      <x:c r="H289" s="2" t="s">
        <x:v>618</x:v>
      </x:c>
      <x:c r="I289" s="2" t="s">
        <x:v>1250</x:v>
      </x:c>
      <x:c r="J289" s="2" t="s">
        <x:v>1013</x:v>
      </x:c>
      <x:c r="K289" s="2" t="n">
        <x:v>136</x:v>
      </x:c>
      <x:c r="L289" s="2" t="s">
        <x:v>1074</x:v>
      </x:c>
      <x:c r="M289" s="2" t="s">
        <x:v>1034</x:v>
      </x:c>
      <x:c r="N289" s="2">
        <x:v>2</x:v>
      </x:c>
      <x:c r="O289" s="2" t="s">
        <x:v>1016</x:v>
      </x:c>
      <x:c r="P289" s="2" t="s">
        <x:v>1017</x:v>
      </x:c>
      <x:c r="Q289" s="2"/>
      <x:c r="R289" s="3"/>
      <x:c r="S289" s="3"/>
      <x:c r="T289" s="2"/>
      <x:c r="U289" s="2"/>
      <x:c r="V289" s="2"/>
      <x:c r="W289" s="2" t="s">
        <x:v>1257</x:v>
      </x:c>
      <x:c r="X289" s="3">
        <x:v>2</x:v>
      </x:c>
      <x:c r="Y289" s="3">
        <x:v>1</x:v>
      </x:c>
      <x:c r="Z289" s="2" t="s">
        <x:v>191</x:v>
      </x:c>
      <x:c r="AA289" s="2"/>
      <x:c r="AB289" s="2"/>
      <x:c r="AC289" s="2"/>
      <x:c r="AD289" s="2"/>
      <x:c r="AE289" s="2"/>
      <x:c r="AF289" s="2"/>
      <x:c r="AG289" s="2"/>
      <x:c r="AH289" s="2"/>
      <x:c r="AI289" s="4"/>
      <x:c r="AJ289" s="2"/>
      <x:c r="AK289" s="2" t="s">
        <x:v>176</x:v>
      </x:c>
      <x:c r="AL289" s="2" t="s">
        <x:v>2857</x:v>
      </x:c>
      <x:c r="AM289" s="2">
        <x:v>139</x:v>
      </x:c>
      <x:c r="AN289" s="2">
        <x:v>139</x:v>
      </x:c>
    </x:row>
    <x:row r="290" ht="39">
      <x:c r="A290" s="2" t="s">
        <x:v>91</x:v>
      </x:c>
      <x:c r="B290" s="2" t="s">
        <x:v>14</x:v>
      </x:c>
      <x:c r="C290" s="3">
        <x:v>138</x:v>
      </x:c>
      <x:c r="D290" s="2" t="s">
        <x:v>1054</x:v>
      </x:c>
      <x:c r="E290" s="2" t="s">
        <x:v>1249</x:v>
      </x:c>
      <x:c r="F290" s="2" t="s">
        <x:v>1047</x:v>
      </x:c>
      <x:c r="G290" s="2" t="s">
        <x:v>2898</x:v>
      </x:c>
      <x:c r="H290" s="2" t="s">
        <x:v>634</x:v>
      </x:c>
      <x:c r="I290" s="2" t="s">
        <x:v>1250</x:v>
      </x:c>
      <x:c r="J290" s="2" t="s">
        <x:v>1055</x:v>
      </x:c>
      <x:c r="K290" s="2" t="n">
        <x:v>136</x:v>
      </x:c>
      <x:c r="L290" s="2" t="s">
        <x:v>1049</x:v>
      </x:c>
      <x:c r="M290" s="2" t="s">
        <x:v>1056</x:v>
      </x:c>
      <x:c r="N290" s="2">
        <x:v>2</x:v>
      </x:c>
      <x:c r="O290" s="2" t="s">
        <x:v>1024</x:v>
      </x:c>
      <x:c r="P290" s="2" t="s">
        <x:v>1057</x:v>
      </x:c>
      <x:c r="Q290" s="2"/>
      <x:c r="R290" s="3"/>
      <x:c r="S290" s="3"/>
      <x:c r="T290" s="2"/>
      <x:c r="U290" s="2"/>
      <x:c r="V290" s="2"/>
      <x:c r="W290" s="2" t="s">
        <x:v>1257</x:v>
      </x:c>
      <x:c r="X290" s="3">
        <x:v>2</x:v>
      </x:c>
      <x:c r="Y290" s="3">
        <x:v>1</x:v>
      </x:c>
      <x:c r="Z290" s="2" t="s">
        <x:v>191</x:v>
      </x:c>
      <x:c r="AA290" s="2"/>
      <x:c r="AB290" s="2"/>
      <x:c r="AC290" s="2"/>
      <x:c r="AD290" s="2"/>
      <x:c r="AE290" s="2"/>
      <x:c r="AF290" s="2"/>
      <x:c r="AG290" s="2"/>
      <x:c r="AH290" s="2"/>
      <x:c r="AI290" s="4"/>
      <x:c r="AJ290" s="2"/>
      <x:c r="AK290" s="2" t="s">
        <x:v>176</x:v>
      </x:c>
      <x:c r="AL290" s="2" t="s">
        <x:v>2857</x:v>
      </x:c>
      <x:c r="AM290" s="2">
        <x:v>140</x:v>
      </x:c>
      <x:c r="AN290" s="2">
        <x:v>140</x:v>
      </x:c>
    </x:row>
    <x:row r="291" ht="52">
      <x:c r="A291" s="2" t="s">
        <x:v>91</x:v>
      </x:c>
      <x:c r="B291" s="2" t="s">
        <x:v>14</x:v>
      </x:c>
      <x:c r="C291" s="3">
        <x:v>139</x:v>
      </x:c>
      <x:c r="D291" s="2" t="s">
        <x:v>1259</x:v>
      </x:c>
      <x:c r="E291" s="2" t="s">
        <x:v>1249</x:v>
      </x:c>
      <x:c r="F291" s="2" t="s">
        <x:v>1011</x:v>
      </x:c>
      <x:c r="G291" s="2"/>
      <x:c r="H291" s="2" t="s">
        <x:v>634</x:v>
      </x:c>
      <x:c r="I291" s="2" t="s">
        <x:v>1250</x:v>
      </x:c>
      <x:c r="J291" s="2" t="s">
        <x:v>1051</x:v>
      </x:c>
      <x:c r="K291" s="2" t="n">
        <x:v>136</x:v>
      </x:c>
      <x:c r="L291" s="2" t="s">
        <x:v>1074</x:v>
      </x:c>
      <x:c r="M291" s="2" t="s">
        <x:v>1063</x:v>
      </x:c>
      <x:c r="N291" s="2">
        <x:v>2</x:v>
      </x:c>
      <x:c r="O291" s="2" t="s">
        <x:v>1016</x:v>
      </x:c>
      <x:c r="P291" s="2" t="s">
        <x:v>1053</x:v>
      </x:c>
      <x:c r="Q291" s="2"/>
      <x:c r="R291" s="3"/>
      <x:c r="S291" s="3"/>
      <x:c r="T291" s="2"/>
      <x:c r="U291" s="2"/>
      <x:c r="V291" s="2"/>
      <x:c r="W291" s="2" t="s">
        <x:v>1257</x:v>
      </x:c>
      <x:c r="X291" s="3">
        <x:v>2</x:v>
      </x:c>
      <x:c r="Y291" s="3">
        <x:v>1</x:v>
      </x:c>
      <x:c r="Z291" s="2" t="s">
        <x:v>191</x:v>
      </x:c>
      <x:c r="AA291" s="2"/>
      <x:c r="AB291" s="2"/>
      <x:c r="AC291" s="2"/>
      <x:c r="AD291" s="2"/>
      <x:c r="AE291" s="2"/>
      <x:c r="AF291" s="2"/>
      <x:c r="AG291" s="2"/>
      <x:c r="AH291" s="2"/>
      <x:c r="AI291" s="4"/>
      <x:c r="AJ291" s="2"/>
      <x:c r="AK291" s="2" t="s">
        <x:v>176</x:v>
      </x:c>
      <x:c r="AL291" s="2" t="s">
        <x:v>2857</x:v>
      </x:c>
      <x:c r="AM291" s="2">
        <x:v>141</x:v>
      </x:c>
      <x:c r="AN291" s="2">
        <x:v>141</x:v>
      </x:c>
    </x:row>
    <x:row r="292" ht="39">
      <x:c r="A292" s="2" t="s">
        <x:v>91</x:v>
      </x:c>
      <x:c r="B292" s="2" t="s">
        <x:v>14</x:v>
      </x:c>
      <x:c r="C292" s="3">
        <x:v>140</x:v>
      </x:c>
      <x:c r="D292" s="2" t="s">
        <x:v>184</x:v>
      </x:c>
      <x:c r="E292" s="2" t="s">
        <x:v>1104</x:v>
      </x:c>
      <x:c r="F292" s="2" t="s">
        <x:v>1031</x:v>
      </x:c>
      <x:c r="G292" s="2" t="s">
        <x:v>158</x:v>
      </x:c>
      <x:c r="H292" s="2" t="s">
        <x:v>618</x:v>
      </x:c>
      <x:c r="I292" s="2" t="s">
        <x:v>1260</x:v>
      </x:c>
      <x:c r="J292" s="2" t="s">
        <x:v>1032</x:v>
      </x:c>
      <x:c r="K292" s="2"/>
      <x:c r="L292" s="2" t="s">
        <x:v>1106</x:v>
      </x:c>
      <x:c r="M292" s="2" t="s">
        <x:v>1107</x:v>
      </x:c>
      <x:c r="N292" s="2">
        <x:v>4</x:v>
      </x:c>
      <x:c r="O292" s="2" t="s">
        <x:v>1024</x:v>
      </x:c>
      <x:c r="P292" s="2" t="s">
        <x:v>1035</x:v>
      </x:c>
      <x:c r="Q292" s="2"/>
      <x:c r="R292" s="3"/>
      <x:c r="S292" s="3"/>
      <x:c r="T292" s="2"/>
      <x:c r="U292" s="2"/>
      <x:c r="V292" s="2"/>
      <x:c r="W292" s="2" t="s">
        <x:v>1261</x:v>
      </x:c>
      <x:c r="X292" s="3">
        <x:v>2</x:v>
      </x:c>
      <x:c r="Y292" s="3">
        <x:v>3</x:v>
      </x:c>
      <x:c r="Z292" s="2" t="s">
        <x:v>175</x:v>
      </x:c>
      <x:c r="AA292" s="2"/>
      <x:c r="AB292" s="2"/>
      <x:c r="AC292" s="2"/>
      <x:c r="AD292" s="2"/>
      <x:c r="AE292" s="2"/>
      <x:c r="AF292" s="2"/>
      <x:c r="AG292" s="2"/>
      <x:c r="AH292" s="2"/>
      <x:c r="AI292" s="4"/>
      <x:c r="AJ292" s="2"/>
      <x:c r="AK292" s="2" t="s">
        <x:v>176</x:v>
      </x:c>
      <x:c r="AL292" s="2" t="s">
        <x:v>2857</x:v>
      </x:c>
      <x:c r="AM292" s="2">
        <x:v>142</x:v>
      </x:c>
      <x:c r="AN292" s="2">
        <x:v>142</x:v>
      </x:c>
    </x:row>
    <x:row r="293" ht="39">
      <x:c r="A293" s="2" t="s">
        <x:v>91</x:v>
      </x:c>
      <x:c r="B293" s="2" t="s">
        <x:v>14</x:v>
      </x:c>
      <x:c r="C293" s="3">
        <x:v>141</x:v>
      </x:c>
      <x:c r="D293" s="2" t="s">
        <x:v>166</x:v>
      </x:c>
      <x:c r="E293" s="2" t="s">
        <x:v>1104</x:v>
      </x:c>
      <x:c r="F293" s="2" t="s">
        <x:v>1011</x:v>
      </x:c>
      <x:c r="G293" s="2" t="s">
        <x:v>158</x:v>
      </x:c>
      <x:c r="H293" s="2" t="s">
        <x:v>618</x:v>
      </x:c>
      <x:c r="I293" s="2" t="s">
        <x:v>1260</x:v>
      </x:c>
      <x:c r="J293" s="2" t="s">
        <x:v>1013</x:v>
      </x:c>
      <x:c r="K293" s="2" t="n">
        <x:v>140</x:v>
      </x:c>
      <x:c r="L293" s="2" t="s">
        <x:v>1040</x:v>
      </x:c>
      <x:c r="M293" s="2" t="s">
        <x:v>1041</x:v>
      </x:c>
      <x:c r="N293" s="2">
        <x:v>4</x:v>
      </x:c>
      <x:c r="O293" s="2" t="s">
        <x:v>1016</x:v>
      </x:c>
      <x:c r="P293" s="2" t="s">
        <x:v>1017</x:v>
      </x:c>
      <x:c r="Q293" s="2"/>
      <x:c r="R293" s="3"/>
      <x:c r="S293" s="3"/>
      <x:c r="T293" s="2"/>
      <x:c r="U293" s="2"/>
      <x:c r="V293" s="2"/>
      <x:c r="W293" s="2" t="s">
        <x:v>1262</x:v>
      </x:c>
      <x:c r="X293" s="3">
        <x:v>2</x:v>
      </x:c>
      <x:c r="Y293" s="3">
        <x:v>1</x:v>
      </x:c>
      <x:c r="Z293" s="2" t="s">
        <x:v>191</x:v>
      </x:c>
      <x:c r="AA293" s="2"/>
      <x:c r="AB293" s="2"/>
      <x:c r="AC293" s="2"/>
      <x:c r="AD293" s="2"/>
      <x:c r="AE293" s="2"/>
      <x:c r="AF293" s="2"/>
      <x:c r="AG293" s="2"/>
      <x:c r="AH293" s="2"/>
      <x:c r="AI293" s="4"/>
      <x:c r="AJ293" s="2"/>
      <x:c r="AK293" s="2" t="s">
        <x:v>176</x:v>
      </x:c>
      <x:c r="AL293" s="2" t="s">
        <x:v>2857</x:v>
      </x:c>
      <x:c r="AM293" s="2">
        <x:v>143</x:v>
      </x:c>
      <x:c r="AN293" s="2">
        <x:v>143</x:v>
      </x:c>
    </x:row>
    <x:row r="294" ht="39">
      <x:c r="A294" s="2" t="s">
        <x:v>91</x:v>
      </x:c>
      <x:c r="B294" s="2" t="s">
        <x:v>14</x:v>
      </x:c>
      <x:c r="C294" s="3">
        <x:v>142</x:v>
      </x:c>
      <x:c r="D294" s="2" t="s">
        <x:v>184</x:v>
      </x:c>
      <x:c r="E294" s="2" t="s">
        <x:v>1263</x:v>
      </x:c>
      <x:c r="F294" s="2" t="s">
        <x:v>1076</x:v>
      </x:c>
      <x:c r="G294" s="2" t="s">
        <x:v>2899</x:v>
      </x:c>
      <x:c r="H294" s="2" t="s">
        <x:v>1077</x:v>
      </x:c>
      <x:c r="I294" s="2" t="s">
        <x:v>1265</x:v>
      </x:c>
      <x:c r="J294" s="2" t="s">
        <x:v>1079</x:v>
      </x:c>
      <x:c r="K294" s="2"/>
      <x:c r="L294" s="2" t="s">
        <x:v>189</x:v>
      </x:c>
      <x:c r="M294" s="2" t="s">
        <x:v>1080</x:v>
      </x:c>
      <x:c r="N294" s="2">
        <x:v>6</x:v>
      </x:c>
      <x:c r="O294" s="2" t="s">
        <x:v>1081</x:v>
      </x:c>
      <x:c r="P294" s="2" t="s">
        <x:v>1082</x:v>
      </x:c>
      <x:c r="Q294" s="2"/>
      <x:c r="R294" s="3"/>
      <x:c r="S294" s="3"/>
      <x:c r="T294" s="2"/>
      <x:c r="U294" s="2"/>
      <x:c r="V294" s="2"/>
      <x:c r="W294" s="2" t="s">
        <x:v>1265</x:v>
      </x:c>
      <x:c r="X294" s="3">
        <x:v>3</x:v>
      </x:c>
      <x:c r="Y294" s="3">
        <x:v>3</x:v>
      </x:c>
      <x:c r="Z294" s="2" t="s">
        <x:v>1083</x:v>
      </x:c>
      <x:c r="AA294" s="2"/>
      <x:c r="AB294" s="2"/>
      <x:c r="AC294" s="2"/>
      <x:c r="AD294" s="2"/>
      <x:c r="AE294" s="2"/>
      <x:c r="AF294" s="2"/>
      <x:c r="AG294" s="2"/>
      <x:c r="AH294" s="2"/>
      <x:c r="AI294" s="4"/>
      <x:c r="AJ294" s="2"/>
      <x:c r="AK294" s="2" t="s">
        <x:v>176</x:v>
      </x:c>
      <x:c r="AL294" s="2" t="s">
        <x:v>2857</x:v>
      </x:c>
      <x:c r="AM294" s="2">
        <x:v>144</x:v>
      </x:c>
      <x:c r="AN294" s="2">
        <x:v>144</x:v>
      </x:c>
    </x:row>
    <x:row r="295" ht="39">
      <x:c r="A295" s="2" t="s">
        <x:v>6</x:v>
      </x:c>
      <x:c r="B295" s="2" t="s">
        <x:v>14</x:v>
      </x:c>
      <x:c r="C295" s="3">
        <x:v>143</x:v>
      </x:c>
      <x:c r="D295" s="2" t="s">
        <x:v>1084</x:v>
      </x:c>
      <x:c r="E295" s="2" t="s">
        <x:v>1266</x:v>
      </x:c>
      <x:c r="F295" s="2" t="s">
        <x:v>1086</x:v>
      </x:c>
      <x:c r="G295" s="2"/>
      <x:c r="H295" s="2" t="s">
        <x:v>1077</x:v>
      </x:c>
      <x:c r="I295" s="2" t="s">
        <x:v>1265</x:v>
      </x:c>
      <x:c r="J295" s="2" t="s">
        <x:v>1087</x:v>
      </x:c>
      <x:c r="K295" s="2"/>
      <x:c r="L295" s="2" t="s">
        <x:v>1088</x:v>
      </x:c>
      <x:c r="M295" s="2" t="s">
        <x:v>1080</x:v>
      </x:c>
      <x:c r="N295" s="2">
        <x:v>6</x:v>
      </x:c>
      <x:c r="O295" s="2" t="s">
        <x:v>1089</x:v>
      </x:c>
      <x:c r="P295" s="2" t="s">
        <x:v>1082</x:v>
      </x:c>
      <x:c r="Q295" s="2"/>
      <x:c r="R295" s="3"/>
      <x:c r="S295" s="3"/>
      <x:c r="T295" s="2"/>
      <x:c r="U295" s="2"/>
      <x:c r="V295" s="2"/>
      <x:c r="W295" s="2" t="s">
        <x:v>1265</x:v>
      </x:c>
      <x:c r="X295" s="3">
        <x:v>2</x:v>
      </x:c>
      <x:c r="Y295" s="3">
        <x:v>2</x:v>
      </x:c>
      <x:c r="Z295" s="2" t="s">
        <x:v>1083</x:v>
      </x:c>
      <x:c r="AA295" s="2"/>
      <x:c r="AB295" s="2"/>
      <x:c r="AC295" s="2"/>
      <x:c r="AD295" s="2"/>
      <x:c r="AE295" s="2"/>
      <x:c r="AF295" s="2"/>
      <x:c r="AG295" s="2"/>
      <x:c r="AH295" s="2"/>
      <x:c r="AI295" s="4"/>
      <x:c r="AJ295" s="2"/>
      <x:c r="AK295" s="2" t="s">
        <x:v>176</x:v>
      </x:c>
      <x:c r="AL295" s="2" t="s">
        <x:v>2857</x:v>
      </x:c>
      <x:c r="AM295" s="2">
        <x:v>145</x:v>
      </x:c>
      <x:c r="AN295" s="2">
        <x:v>145</x:v>
      </x:c>
    </x:row>
    <x:row r="296" ht="39">
      <x:c r="A296" s="2" t="s">
        <x:v>91</x:v>
      </x:c>
      <x:c r="B296" s="2" t="s">
        <x:v>14</x:v>
      </x:c>
      <x:c r="C296" s="3">
        <x:v>144</x:v>
      </x:c>
      <x:c r="D296" s="2" t="s">
        <x:v>166</x:v>
      </x:c>
      <x:c r="E296" s="2" t="s">
        <x:v>1007</x:v>
      </x:c>
      <x:c r="F296" s="2" t="s">
        <x:v>1090</x:v>
      </x:c>
      <x:c r="G296" s="2" t="s">
        <x:v>2900</x:v>
      </x:c>
      <x:c r="H296" s="2" t="s">
        <x:v>1077</x:v>
      </x:c>
      <x:c r="I296" s="2" t="s">
        <x:v>1265</x:v>
      </x:c>
      <x:c r="J296" s="2" t="s">
        <x:v>1091</x:v>
      </x:c>
      <x:c r="K296" s="2"/>
      <x:c r="L296" s="2" t="s">
        <x:v>1092</x:v>
      </x:c>
      <x:c r="M296" s="2" t="s">
        <x:v>1080</x:v>
      </x:c>
      <x:c r="N296" s="2">
        <x:v>6</x:v>
      </x:c>
      <x:c r="O296" s="2" t="s">
        <x:v>1089</x:v>
      </x:c>
      <x:c r="P296" s="2" t="s">
        <x:v>1082</x:v>
      </x:c>
      <x:c r="Q296" s="2"/>
      <x:c r="R296" s="3"/>
      <x:c r="S296" s="3"/>
      <x:c r="T296" s="2"/>
      <x:c r="U296" s="2"/>
      <x:c r="V296" s="2"/>
      <x:c r="W296" s="2" t="s">
        <x:v>1265</x:v>
      </x:c>
      <x:c r="X296" s="3">
        <x:v>1</x:v>
      </x:c>
      <x:c r="Y296" s="3">
        <x:v>1</x:v>
      </x:c>
      <x:c r="Z296" s="2" t="s">
        <x:v>1083</x:v>
      </x:c>
      <x:c r="AA296" s="2"/>
      <x:c r="AB296" s="2"/>
      <x:c r="AC296" s="2"/>
      <x:c r="AD296" s="2"/>
      <x:c r="AE296" s="2"/>
      <x:c r="AF296" s="2"/>
      <x:c r="AG296" s="2"/>
      <x:c r="AH296" s="2"/>
      <x:c r="AI296" s="4"/>
      <x:c r="AJ296" s="2"/>
      <x:c r="AK296" s="2" t="s">
        <x:v>176</x:v>
      </x:c>
      <x:c r="AL296" s="2" t="s">
        <x:v>2857</x:v>
      </x:c>
      <x:c r="AM296" s="2">
        <x:v>146</x:v>
      </x:c>
      <x:c r="AN296" s="2">
        <x:v>146</x:v>
      </x:c>
    </x:row>
    <x:row r="297" ht="39">
      <x:c r="A297" s="2" t="s">
        <x:v>6</x:v>
      </x:c>
      <x:c r="B297" s="2" t="s">
        <x:v>14</x:v>
      </x:c>
      <x:c r="C297" s="3">
        <x:v>145</x:v>
      </x:c>
      <x:c r="D297" s="2" t="s">
        <x:v>993</x:v>
      </x:c>
      <x:c r="E297" s="2" t="s">
        <x:v>997</x:v>
      </x:c>
      <x:c r="F297" s="2" t="s">
        <x:v>1094</x:v>
      </x:c>
      <x:c r="G297" s="2"/>
      <x:c r="H297" s="2" t="s">
        <x:v>1077</x:v>
      </x:c>
      <x:c r="I297" s="2" t="s">
        <x:v>1265</x:v>
      </x:c>
      <x:c r="J297" s="2" t="s">
        <x:v>1095</x:v>
      </x:c>
      <x:c r="K297" s="2"/>
      <x:c r="L297" s="2" t="s">
        <x:v>1096</x:v>
      </x:c>
      <x:c r="M297" s="2" t="s">
        <x:v>1080</x:v>
      </x:c>
      <x:c r="N297" s="2">
        <x:v>6</x:v>
      </x:c>
      <x:c r="O297" s="2" t="s">
        <x:v>1089</x:v>
      </x:c>
      <x:c r="P297" s="2" t="s">
        <x:v>1082</x:v>
      </x:c>
      <x:c r="Q297" s="2"/>
      <x:c r="R297" s="3"/>
      <x:c r="S297" s="3"/>
      <x:c r="T297" s="2"/>
      <x:c r="U297" s="2"/>
      <x:c r="V297" s="2"/>
      <x:c r="W297" s="2" t="s">
        <x:v>1265</x:v>
      </x:c>
      <x:c r="X297" s="3">
        <x:v>0</x:v>
      </x:c>
      <x:c r="Y297" s="3">
        <x:v>0</x:v>
      </x:c>
      <x:c r="Z297" s="2" t="s">
        <x:v>1083</x:v>
      </x:c>
      <x:c r="AA297" s="2"/>
      <x:c r="AB297" s="2"/>
      <x:c r="AC297" s="2"/>
      <x:c r="AD297" s="2"/>
      <x:c r="AE297" s="2"/>
      <x:c r="AF297" s="2"/>
      <x:c r="AG297" s="2"/>
      <x:c r="AH297" s="2"/>
      <x:c r="AI297" s="4"/>
      <x:c r="AJ297" s="2"/>
      <x:c r="AK297" s="2" t="s">
        <x:v>176</x:v>
      </x:c>
      <x:c r="AL297" s="2" t="s">
        <x:v>2857</x:v>
      </x:c>
      <x:c r="AM297" s="2">
        <x:v>147</x:v>
      </x:c>
      <x:c r="AN297" s="2">
        <x:v>147</x:v>
      </x:c>
    </x:row>
    <x:row r="298" ht="39">
      <x:c r="A298" s="2" t="s">
        <x:v>91</x:v>
      </x:c>
      <x:c r="B298" s="2" t="s">
        <x:v>14</x:v>
      </x:c>
      <x:c r="C298" s="3">
        <x:v>146</x:v>
      </x:c>
      <x:c r="D298" s="2" t="s">
        <x:v>184</x:v>
      </x:c>
      <x:c r="E298" s="2" t="s">
        <x:v>1036</x:v>
      </x:c>
      <x:c r="F298" s="2" t="s">
        <x:v>1031</x:v>
      </x:c>
      <x:c r="G298" s="2" t="s">
        <x:v>158</x:v>
      </x:c>
      <x:c r="H298" s="2" t="s">
        <x:v>618</x:v>
      </x:c>
      <x:c r="I298" s="2" t="s">
        <x:v>1267</x:v>
      </x:c>
      <x:c r="J298" s="2" t="s">
        <x:v>1032</x:v>
      </x:c>
      <x:c r="K298" s="2"/>
      <x:c r="L298" s="2" t="s">
        <x:v>1038</x:v>
      </x:c>
      <x:c r="M298" s="2" t="s">
        <x:v>1015</x:v>
      </x:c>
      <x:c r="N298" s="2">
        <x:v>4</x:v>
      </x:c>
      <x:c r="O298" s="2" t="s">
        <x:v>1024</x:v>
      </x:c>
      <x:c r="P298" s="2" t="s">
        <x:v>1035</x:v>
      </x:c>
      <x:c r="Q298" s="2"/>
      <x:c r="R298" s="3"/>
      <x:c r="S298" s="3"/>
      <x:c r="T298" s="2"/>
      <x:c r="U298" s="2"/>
      <x:c r="V298" s="2"/>
      <x:c r="W298" s="2" t="s">
        <x:v>1268</x:v>
      </x:c>
      <x:c r="X298" s="3">
        <x:v>2</x:v>
      </x:c>
      <x:c r="Y298" s="3">
        <x:v>3</x:v>
      </x:c>
      <x:c r="Z298" s="2" t="s">
        <x:v>175</x:v>
      </x:c>
      <x:c r="AA298" s="2"/>
      <x:c r="AB298" s="2"/>
      <x:c r="AC298" s="2"/>
      <x:c r="AD298" s="2"/>
      <x:c r="AE298" s="2"/>
      <x:c r="AF298" s="2"/>
      <x:c r="AG298" s="2"/>
      <x:c r="AH298" s="2"/>
      <x:c r="AI298" s="4"/>
      <x:c r="AJ298" s="2"/>
      <x:c r="AK298" s="2" t="s">
        <x:v>176</x:v>
      </x:c>
      <x:c r="AL298" s="2" t="s">
        <x:v>2857</x:v>
      </x:c>
      <x:c r="AM298" s="2">
        <x:v>148</x:v>
      </x:c>
      <x:c r="AN298" s="2">
        <x:v>148</x:v>
      </x:c>
    </x:row>
    <x:row r="299" ht="39">
      <x:c r="A299" s="2" t="s">
        <x:v>91</x:v>
      </x:c>
      <x:c r="B299" s="2" t="s">
        <x:v>14</x:v>
      </x:c>
      <x:c r="C299" s="3">
        <x:v>147</x:v>
      </x:c>
      <x:c r="D299" s="2" t="s">
        <x:v>166</x:v>
      </x:c>
      <x:c r="E299" s="2" t="s">
        <x:v>1036</x:v>
      </x:c>
      <x:c r="F299" s="2" t="s">
        <x:v>1011</x:v>
      </x:c>
      <x:c r="G299" s="2" t="s">
        <x:v>158</x:v>
      </x:c>
      <x:c r="H299" s="2" t="s">
        <x:v>618</x:v>
      </x:c>
      <x:c r="I299" s="2" t="s">
        <x:v>1267</x:v>
      </x:c>
      <x:c r="J299" s="2" t="s">
        <x:v>1013</x:v>
      </x:c>
      <x:c r="K299" s="2" t="n">
        <x:v>146</x:v>
      </x:c>
      <x:c r="L299" s="2" t="s">
        <x:v>1040</x:v>
      </x:c>
      <x:c r="M299" s="2" t="s">
        <x:v>1041</x:v>
      </x:c>
      <x:c r="N299" s="2">
        <x:v>4</x:v>
      </x:c>
      <x:c r="O299" s="2" t="s">
        <x:v>1016</x:v>
      </x:c>
      <x:c r="P299" s="2" t="s">
        <x:v>1017</x:v>
      </x:c>
      <x:c r="Q299" s="2"/>
      <x:c r="R299" s="3"/>
      <x:c r="S299" s="3"/>
      <x:c r="T299" s="2"/>
      <x:c r="U299" s="2"/>
      <x:c r="V299" s="2"/>
      <x:c r="W299" s="2" t="s">
        <x:v>1269</x:v>
      </x:c>
      <x:c r="X299" s="3">
        <x:v>2</x:v>
      </x:c>
      <x:c r="Y299" s="3">
        <x:v>1</x:v>
      </x:c>
      <x:c r="Z299" s="2" t="s">
        <x:v>191</x:v>
      </x:c>
      <x:c r="AA299" s="2"/>
      <x:c r="AB299" s="2"/>
      <x:c r="AC299" s="2"/>
      <x:c r="AD299" s="2"/>
      <x:c r="AE299" s="2"/>
      <x:c r="AF299" s="2"/>
      <x:c r="AG299" s="2"/>
      <x:c r="AH299" s="2"/>
      <x:c r="AI299" s="4"/>
      <x:c r="AJ299" s="2"/>
      <x:c r="AK299" s="2" t="s">
        <x:v>176</x:v>
      </x:c>
      <x:c r="AL299" s="2" t="s">
        <x:v>2857</x:v>
      </x:c>
      <x:c r="AM299" s="2">
        <x:v>149</x:v>
      </x:c>
      <x:c r="AN299" s="2">
        <x:v>149</x:v>
      </x:c>
    </x:row>
    <x:row r="300" ht="39">
      <x:c r="A300" s="2" t="s">
        <x:v>91</x:v>
      </x:c>
      <x:c r="B300" s="2" t="s">
        <x:v>14</x:v>
      </x:c>
      <x:c r="C300" s="3">
        <x:v>148</x:v>
      </x:c>
      <x:c r="D300" s="2" t="s">
        <x:v>166</x:v>
      </x:c>
      <x:c r="E300" s="2" t="s">
        <x:v>1212</x:v>
      </x:c>
      <x:c r="F300" s="2" t="s">
        <x:v>1011</x:v>
      </x:c>
      <x:c r="G300" s="2" t="s">
        <x:v>158</x:v>
      </x:c>
      <x:c r="H300" s="2" t="s">
        <x:v>618</x:v>
      </x:c>
      <x:c r="I300" s="2" t="s">
        <x:v>1270</x:v>
      </x:c>
      <x:c r="J300" s="2" t="s">
        <x:v>1013</x:v>
      </x:c>
      <x:c r="K300" s="2"/>
      <x:c r="L300" s="2" t="s">
        <x:v>1171</x:v>
      </x:c>
      <x:c r="M300" s="2" t="s">
        <x:v>1107</x:v>
      </x:c>
      <x:c r="N300" s="2">
        <x:v>4</x:v>
      </x:c>
      <x:c r="O300" s="2" t="s">
        <x:v>1016</x:v>
      </x:c>
      <x:c r="P300" s="2" t="s">
        <x:v>1017</x:v>
      </x:c>
      <x:c r="Q300" s="2"/>
      <x:c r="R300" s="3"/>
      <x:c r="S300" s="3"/>
      <x:c r="T300" s="2"/>
      <x:c r="U300" s="2"/>
      <x:c r="V300" s="2"/>
      <x:c r="W300" s="2" t="s">
        <x:v>1271</x:v>
      </x:c>
      <x:c r="X300" s="3">
        <x:v>2</x:v>
      </x:c>
      <x:c r="Y300" s="3">
        <x:v>1</x:v>
      </x:c>
      <x:c r="Z300" s="2" t="s">
        <x:v>191</x:v>
      </x:c>
      <x:c r="AA300" s="2"/>
      <x:c r="AB300" s="2"/>
      <x:c r="AC300" s="2"/>
      <x:c r="AD300" s="2"/>
      <x:c r="AE300" s="2"/>
      <x:c r="AF300" s="2"/>
      <x:c r="AG300" s="2"/>
      <x:c r="AH300" s="2"/>
      <x:c r="AI300" s="4"/>
      <x:c r="AJ300" s="2"/>
      <x:c r="AK300" s="2" t="s">
        <x:v>176</x:v>
      </x:c>
      <x:c r="AL300" s="2" t="s">
        <x:v>2857</x:v>
      </x:c>
      <x:c r="AM300" s="2">
        <x:v>150</x:v>
      </x:c>
      <x:c r="AN300" s="2">
        <x:v>150</x:v>
      </x:c>
    </x:row>
    <x:row r="301" ht="39">
      <x:c r="A301" s="2" t="s">
        <x:v>91</x:v>
      </x:c>
      <x:c r="B301" s="2" t="s">
        <x:v>14</x:v>
      </x:c>
      <x:c r="C301" s="3">
        <x:v>149</x:v>
      </x:c>
      <x:c r="D301" s="2" t="s">
        <x:v>184</x:v>
      </x:c>
      <x:c r="E301" s="2" t="s">
        <x:v>1212</x:v>
      </x:c>
      <x:c r="F301" s="2" t="s">
        <x:v>1031</x:v>
      </x:c>
      <x:c r="G301" s="2" t="s">
        <x:v>158</x:v>
      </x:c>
      <x:c r="H301" s="2" t="s">
        <x:v>618</x:v>
      </x:c>
      <x:c r="I301" s="2" t="s">
        <x:v>1270</x:v>
      </x:c>
      <x:c r="J301" s="2" t="s">
        <x:v>1032</x:v>
      </x:c>
      <x:c r="K301" s="2" t="n">
        <x:v>148</x:v>
      </x:c>
      <x:c r="L301" s="2" t="s">
        <x:v>1033</x:v>
      </x:c>
      <x:c r="M301" s="2" t="s">
        <x:v>1034</x:v>
      </x:c>
      <x:c r="N301" s="2">
        <x:v>4</x:v>
      </x:c>
      <x:c r="O301" s="2" t="s">
        <x:v>1024</x:v>
      </x:c>
      <x:c r="P301" s="2" t="s">
        <x:v>1035</x:v>
      </x:c>
      <x:c r="Q301" s="2"/>
      <x:c r="R301" s="3"/>
      <x:c r="S301" s="3"/>
      <x:c r="T301" s="2"/>
      <x:c r="U301" s="2"/>
      <x:c r="V301" s="2"/>
      <x:c r="W301" s="2" t="s">
        <x:v>1272</x:v>
      </x:c>
      <x:c r="X301" s="3">
        <x:v>2</x:v>
      </x:c>
      <x:c r="Y301" s="3">
        <x:v>3</x:v>
      </x:c>
      <x:c r="Z301" s="2" t="s">
        <x:v>175</x:v>
      </x:c>
      <x:c r="AA301" s="2"/>
      <x:c r="AB301" s="2"/>
      <x:c r="AC301" s="2"/>
      <x:c r="AD301" s="2"/>
      <x:c r="AE301" s="2"/>
      <x:c r="AF301" s="2"/>
      <x:c r="AG301" s="2"/>
      <x:c r="AH301" s="2"/>
      <x:c r="AI301" s="4"/>
      <x:c r="AJ301" s="2"/>
      <x:c r="AK301" s="2" t="s">
        <x:v>176</x:v>
      </x:c>
      <x:c r="AL301" s="2" t="s">
        <x:v>2857</x:v>
      </x:c>
      <x:c r="AM301" s="2">
        <x:v>151</x:v>
      </x:c>
      <x:c r="AN301" s="2">
        <x:v>151</x:v>
      </x:c>
    </x:row>
    <x:row r="302" ht="39">
      <x:c r="A302" s="2" t="s">
        <x:v>91</x:v>
      </x:c>
      <x:c r="B302" s="2" t="s">
        <x:v>15</x:v>
      </x:c>
      <x:c r="C302" s="3">
        <x:v>0</x:v>
      </x:c>
      <x:c r="D302" s="2" t="s">
        <x:v>222</x:v>
      </x:c>
      <x:c r="E302" s="2" t="s">
        <x:v>223</x:v>
      </x:c>
      <x:c r="F302" s="2" t="s">
        <x:v>224</x:v>
      </x:c>
      <x:c r="G302" s="2" t="s">
        <x:v>2901</x:v>
      </x:c>
      <x:c r="H302" s="2" t="s">
        <x:v>96</x:v>
      </x:c>
      <x:c r="I302" s="2" t="s">
        <x:v>226</x:v>
      </x:c>
      <x:c r="J302" s="2" t="s">
        <x:v>227</x:v>
      </x:c>
      <x:c r="K302" s="2"/>
      <x:c r="L302" s="2"/>
      <x:c r="M302" s="2"/>
      <x:c r="N302" s="2" t="s">
        <x:v>228</x:v>
      </x:c>
      <x:c r="O302" s="2" t="s">
        <x:v>229</x:v>
      </x:c>
      <x:c r="P302" s="2" t="s">
        <x:v>230</x:v>
      </x:c>
      <x:c r="Q302" s="2"/>
      <x:c r="R302" s="3">
        <x:v>2</x:v>
      </x:c>
      <x:c r="S302" s="3"/>
      <x:c r="T302" s="2"/>
      <x:c r="U302" s="2"/>
      <x:c r="V302" s="2"/>
      <x:c r="W302" s="2" t="s">
        <x:v>231</x:v>
      </x:c>
      <x:c r="X302" s="3"/>
      <x:c r="Y302" s="3"/>
      <x:c r="Z302" s="2"/>
      <x:c r="AA302" s="2" t="s">
        <x:v>232</x:v>
      </x:c>
      <x:c r="AB302" s="2" t="s">
        <x:v>233</x:v>
      </x:c>
      <x:c r="AC302" s="2"/>
      <x:c r="AD302" s="2"/>
      <x:c r="AE302" s="2"/>
      <x:c r="AF302" s="2"/>
      <x:c r="AG302" s="2"/>
      <x:c r="AH302" s="2"/>
      <x:c r="AI302" s="4"/>
      <x:c r="AJ302" s="2"/>
      <x:c r="AK302" s="2" t="s">
        <x:v>234</x:v>
      </x:c>
      <x:c r="AL302" s="2" t="s">
        <x:v>2902</x:v>
      </x:c>
      <x:c r="AM302" s="2">
        <x:v>2</x:v>
      </x:c>
      <x:c r="AN302" s="2">
        <x:v>2</x:v>
      </x:c>
    </x:row>
    <x:row r="303" ht="39">
      <x:c r="A303" s="2" t="s">
        <x:v>6</x:v>
      </x:c>
      <x:c r="B303" s="2" t="s">
        <x:v>15</x:v>
      </x:c>
      <x:c r="C303" s="3">
        <x:v>1</x:v>
      </x:c>
      <x:c r="D303" s="2" t="s">
        <x:v>236</x:v>
      </x:c>
      <x:c r="E303" s="2" t="s">
        <x:v>223</x:v>
      </x:c>
      <x:c r="F303" s="2" t="s">
        <x:v>237</x:v>
      </x:c>
      <x:c r="G303" s="2"/>
      <x:c r="H303" s="2" t="s">
        <x:v>96</x:v>
      </x:c>
      <x:c r="I303" s="2" t="s">
        <x:v>239</x:v>
      </x:c>
      <x:c r="J303" s="2" t="s">
        <x:v>240</x:v>
      </x:c>
      <x:c r="K303" s="2"/>
      <x:c r="L303" s="2"/>
      <x:c r="M303" s="2"/>
      <x:c r="N303" s="2" t="s">
        <x:v>228</x:v>
      </x:c>
      <x:c r="O303" s="2" t="s">
        <x:v>241</x:v>
      </x:c>
      <x:c r="P303" s="2" t="s">
        <x:v>242</x:v>
      </x:c>
      <x:c r="Q303" s="2"/>
      <x:c r="R303" s="3">
        <x:v>2</x:v>
      </x:c>
      <x:c r="S303" s="3"/>
      <x:c r="T303" s="2"/>
      <x:c r="U303" s="2"/>
      <x:c r="V303" s="2"/>
      <x:c r="W303" s="2" t="s">
        <x:v>231</x:v>
      </x:c>
      <x:c r="X303" s="3"/>
      <x:c r="Y303" s="3"/>
      <x:c r="Z303" s="2"/>
      <x:c r="AA303" s="2" t="s">
        <x:v>243</x:v>
      </x:c>
      <x:c r="AB303" s="2" t="s">
        <x:v>244</x:v>
      </x:c>
      <x:c r="AC303" s="2"/>
      <x:c r="AD303" s="2"/>
      <x:c r="AE303" s="2"/>
      <x:c r="AF303" s="2"/>
      <x:c r="AG303" s="2"/>
      <x:c r="AH303" s="2"/>
      <x:c r="AI303" s="4"/>
      <x:c r="AJ303" s="2"/>
      <x:c r="AK303" s="2" t="s">
        <x:v>234</x:v>
      </x:c>
      <x:c r="AL303" s="2" t="s">
        <x:v>2902</x:v>
      </x:c>
      <x:c r="AM303" s="2">
        <x:v>3</x:v>
      </x:c>
      <x:c r="AN303" s="2">
        <x:v>3</x:v>
      </x:c>
    </x:row>
    <x:row r="304" ht="39">
      <x:c r="A304" s="2" t="s">
        <x:v>6</x:v>
      </x:c>
      <x:c r="B304" s="2" t="s">
        <x:v>15</x:v>
      </x:c>
      <x:c r="C304" s="3">
        <x:v>2</x:v>
      </x:c>
      <x:c r="D304" s="2" t="s">
        <x:v>245</x:v>
      </x:c>
      <x:c r="E304" s="2" t="s">
        <x:v>246</x:v>
      </x:c>
      <x:c r="F304" s="2" t="s">
        <x:v>247</x:v>
      </x:c>
      <x:c r="G304" s="2"/>
      <x:c r="H304" s="2" t="s">
        <x:v>96</x:v>
      </x:c>
      <x:c r="I304" s="2" t="s">
        <x:v>248</x:v>
      </x:c>
      <x:c r="J304" s="2" t="s">
        <x:v>249</x:v>
      </x:c>
      <x:c r="K304" s="2"/>
      <x:c r="L304" s="2"/>
      <x:c r="M304" s="2"/>
      <x:c r="N304" s="2" t="s">
        <x:v>228</x:v>
      </x:c>
      <x:c r="O304" s="2" t="s">
        <x:v>250</x:v>
      </x:c>
      <x:c r="P304" s="2" t="s">
        <x:v>251</x:v>
      </x:c>
      <x:c r="Q304" s="2"/>
      <x:c r="R304" s="3">
        <x:v>2</x:v>
      </x:c>
      <x:c r="S304" s="3"/>
      <x:c r="T304" s="2"/>
      <x:c r="U304" s="2"/>
      <x:c r="V304" s="2"/>
      <x:c r="W304" s="2" t="s">
        <x:v>231</x:v>
      </x:c>
      <x:c r="X304" s="3"/>
      <x:c r="Y304" s="3"/>
      <x:c r="Z304" s="2"/>
      <x:c r="AA304" s="2" t="s">
        <x:v>243</x:v>
      </x:c>
      <x:c r="AB304" s="2" t="s">
        <x:v>244</x:v>
      </x:c>
      <x:c r="AC304" s="2"/>
      <x:c r="AD304" s="2"/>
      <x:c r="AE304" s="2"/>
      <x:c r="AF304" s="2"/>
      <x:c r="AG304" s="2"/>
      <x:c r="AH304" s="2"/>
      <x:c r="AI304" s="4"/>
      <x:c r="AJ304" s="2"/>
      <x:c r="AK304" s="2" t="s">
        <x:v>234</x:v>
      </x:c>
      <x:c r="AL304" s="2" t="s">
        <x:v>2902</x:v>
      </x:c>
      <x:c r="AM304" s="2">
        <x:v>4</x:v>
      </x:c>
      <x:c r="AN304" s="2">
        <x:v>4</x:v>
      </x:c>
    </x:row>
    <x:row r="305" ht="39">
      <x:c r="A305" s="2" t="s">
        <x:v>91</x:v>
      </x:c>
      <x:c r="B305" s="2" t="s">
        <x:v>15</x:v>
      </x:c>
      <x:c r="C305" s="3">
        <x:v>3</x:v>
      </x:c>
      <x:c r="D305" s="2" t="s">
        <x:v>252</x:v>
      </x:c>
      <x:c r="E305" s="2" t="s">
        <x:v>253</x:v>
      </x:c>
      <x:c r="F305" s="2" t="s">
        <x:v>254</x:v>
      </x:c>
      <x:c r="G305" s="2" t="s">
        <x:v>2903</x:v>
      </x:c>
      <x:c r="H305" s="2" t="s">
        <x:v>96</x:v>
      </x:c>
      <x:c r="I305" s="2" t="s">
        <x:v>256</x:v>
      </x:c>
      <x:c r="J305" s="2" t="s">
        <x:v>257</x:v>
      </x:c>
      <x:c r="K305" s="2"/>
      <x:c r="L305" s="2"/>
      <x:c r="M305" s="2"/>
      <x:c r="N305" s="2" t="s">
        <x:v>228</x:v>
      </x:c>
      <x:c r="O305" s="2" t="s">
        <x:v>258</x:v>
      </x:c>
      <x:c r="P305" s="2" t="s">
        <x:v>259</x:v>
      </x:c>
      <x:c r="Q305" s="2"/>
      <x:c r="R305" s="3">
        <x:v>2</x:v>
      </x:c>
      <x:c r="S305" s="3"/>
      <x:c r="T305" s="2"/>
      <x:c r="U305" s="2"/>
      <x:c r="V305" s="2"/>
      <x:c r="W305" s="2" t="s">
        <x:v>231</x:v>
      </x:c>
      <x:c r="X305" s="3"/>
      <x:c r="Y305" s="3"/>
      <x:c r="Z305" s="2"/>
      <x:c r="AA305" s="2" t="s">
        <x:v>232</x:v>
      </x:c>
      <x:c r="AB305" s="2" t="s">
        <x:v>233</x:v>
      </x:c>
      <x:c r="AC305" s="2"/>
      <x:c r="AD305" s="2"/>
      <x:c r="AE305" s="2"/>
      <x:c r="AF305" s="2"/>
      <x:c r="AG305" s="2"/>
      <x:c r="AH305" s="2"/>
      <x:c r="AI305" s="4"/>
      <x:c r="AJ305" s="2"/>
      <x:c r="AK305" s="2" t="s">
        <x:v>234</x:v>
      </x:c>
      <x:c r="AL305" s="2" t="s">
        <x:v>2902</x:v>
      </x:c>
      <x:c r="AM305" s="2">
        <x:v>5</x:v>
      </x:c>
      <x:c r="AN305" s="2">
        <x:v>5</x:v>
      </x:c>
    </x:row>
    <x:row r="306" ht="39">
      <x:c r="A306" s="2" t="s">
        <x:v>91</x:v>
      </x:c>
      <x:c r="B306" s="2" t="s">
        <x:v>15</x:v>
      </x:c>
      <x:c r="C306" s="3">
        <x:v>4</x:v>
      </x:c>
      <x:c r="D306" s="2" t="s">
        <x:v>260</x:v>
      </x:c>
      <x:c r="E306" s="2" t="s">
        <x:v>261</x:v>
      </x:c>
      <x:c r="F306" s="2" t="s">
        <x:v>237</x:v>
      </x:c>
      <x:c r="G306" s="2" t="s">
        <x:v>2904</x:v>
      </x:c>
      <x:c r="H306" s="2" t="s">
        <x:v>96</x:v>
      </x:c>
      <x:c r="I306" s="2" t="s">
        <x:v>263</x:v>
      </x:c>
      <x:c r="J306" s="2" t="s">
        <x:v>264</x:v>
      </x:c>
      <x:c r="K306" s="2"/>
      <x:c r="L306" s="2"/>
      <x:c r="M306" s="2"/>
      <x:c r="N306" s="2" t="s">
        <x:v>228</x:v>
      </x:c>
      <x:c r="O306" s="2" t="s">
        <x:v>265</x:v>
      </x:c>
      <x:c r="P306" s="2" t="s">
        <x:v>266</x:v>
      </x:c>
      <x:c r="Q306" s="2"/>
      <x:c r="R306" s="3">
        <x:v>3</x:v>
      </x:c>
      <x:c r="S306" s="3"/>
      <x:c r="T306" s="2"/>
      <x:c r="U306" s="2"/>
      <x:c r="V306" s="2"/>
      <x:c r="W306" s="2" t="s">
        <x:v>231</x:v>
      </x:c>
      <x:c r="X306" s="3"/>
      <x:c r="Y306" s="3"/>
      <x:c r="Z306" s="2"/>
      <x:c r="AA306" s="2" t="s">
        <x:v>232</x:v>
      </x:c>
      <x:c r="AB306" s="2" t="s">
        <x:v>267</x:v>
      </x:c>
      <x:c r="AC306" s="2"/>
      <x:c r="AD306" s="2"/>
      <x:c r="AE306" s="2"/>
      <x:c r="AF306" s="2"/>
      <x:c r="AG306" s="2"/>
      <x:c r="AH306" s="2"/>
      <x:c r="AI306" s="4"/>
      <x:c r="AJ306" s="2"/>
      <x:c r="AK306" s="2" t="s">
        <x:v>234</x:v>
      </x:c>
      <x:c r="AL306" s="2" t="s">
        <x:v>2902</x:v>
      </x:c>
      <x:c r="AM306" s="2">
        <x:v>6</x:v>
      </x:c>
      <x:c r="AN306" s="2">
        <x:v>6</x:v>
      </x:c>
    </x:row>
    <x:row r="307" ht="39">
      <x:c r="A307" s="2" t="s">
        <x:v>6</x:v>
      </x:c>
      <x:c r="B307" s="2" t="s">
        <x:v>15</x:v>
      </x:c>
      <x:c r="C307" s="3">
        <x:v>5</x:v>
      </x:c>
      <x:c r="D307" s="2" t="s">
        <x:v>268</x:v>
      </x:c>
      <x:c r="E307" s="2" t="s">
        <x:v>269</x:v>
      </x:c>
      <x:c r="F307" s="2" t="s">
        <x:v>224</x:v>
      </x:c>
      <x:c r="G307" s="2"/>
      <x:c r="H307" s="2" t="s">
        <x:v>96</x:v>
      </x:c>
      <x:c r="I307" s="2" t="s">
        <x:v>271</x:v>
      </x:c>
      <x:c r="J307" s="2" t="s">
        <x:v>272</x:v>
      </x:c>
      <x:c r="K307" s="2"/>
      <x:c r="L307" s="2"/>
      <x:c r="M307" s="2"/>
      <x:c r="N307" s="2" t="s">
        <x:v>228</x:v>
      </x:c>
      <x:c r="O307" s="2" t="s">
        <x:v>273</x:v>
      </x:c>
      <x:c r="P307" s="2" t="s">
        <x:v>274</x:v>
      </x:c>
      <x:c r="Q307" s="2"/>
      <x:c r="R307" s="3">
        <x:v>3</x:v>
      </x:c>
      <x:c r="S307" s="3"/>
      <x:c r="T307" s="2"/>
      <x:c r="U307" s="2"/>
      <x:c r="V307" s="2"/>
      <x:c r="W307" s="2" t="s">
        <x:v>231</x:v>
      </x:c>
      <x:c r="X307" s="3"/>
      <x:c r="Y307" s="3"/>
      <x:c r="Z307" s="2"/>
      <x:c r="AA307" s="2" t="s">
        <x:v>275</x:v>
      </x:c>
      <x:c r="AB307" s="2" t="s">
        <x:v>276</x:v>
      </x:c>
      <x:c r="AC307" s="2"/>
      <x:c r="AD307" s="2"/>
      <x:c r="AE307" s="2"/>
      <x:c r="AF307" s="2"/>
      <x:c r="AG307" s="2"/>
      <x:c r="AH307" s="2"/>
      <x:c r="AI307" s="4"/>
      <x:c r="AJ307" s="2"/>
      <x:c r="AK307" s="2" t="s">
        <x:v>234</x:v>
      </x:c>
      <x:c r="AL307" s="2" t="s">
        <x:v>2902</x:v>
      </x:c>
      <x:c r="AM307" s="2">
        <x:v>7</x:v>
      </x:c>
      <x:c r="AN307" s="2">
        <x:v>7</x:v>
      </x:c>
    </x:row>
    <x:row r="308" ht="39">
      <x:c r="A308" s="2" t="s">
        <x:v>91</x:v>
      </x:c>
      <x:c r="B308" s="2" t="s">
        <x:v>15</x:v>
      </x:c>
      <x:c r="C308" s="3">
        <x:v>6</x:v>
      </x:c>
      <x:c r="D308" s="2" t="s">
        <x:v>277</x:v>
      </x:c>
      <x:c r="E308" s="2" t="s">
        <x:v>278</x:v>
      </x:c>
      <x:c r="F308" s="2" t="s">
        <x:v>254</x:v>
      </x:c>
      <x:c r="G308" s="2" t="s">
        <x:v>2904</x:v>
      </x:c>
      <x:c r="H308" s="2" t="s">
        <x:v>96</x:v>
      </x:c>
      <x:c r="I308" s="2" t="s">
        <x:v>280</x:v>
      </x:c>
      <x:c r="J308" s="2" t="s">
        <x:v>281</x:v>
      </x:c>
      <x:c r="K308" s="2"/>
      <x:c r="L308" s="2"/>
      <x:c r="M308" s="2"/>
      <x:c r="N308" s="2" t="s">
        <x:v>228</x:v>
      </x:c>
      <x:c r="O308" s="2" t="s">
        <x:v>282</x:v>
      </x:c>
      <x:c r="P308" s="2" t="s">
        <x:v>283</x:v>
      </x:c>
      <x:c r="Q308" s="2"/>
      <x:c r="R308" s="3">
        <x:v>3</x:v>
      </x:c>
      <x:c r="S308" s="3"/>
      <x:c r="T308" s="2"/>
      <x:c r="U308" s="2"/>
      <x:c r="V308" s="2"/>
      <x:c r="W308" s="2" t="s">
        <x:v>231</x:v>
      </x:c>
      <x:c r="X308" s="3"/>
      <x:c r="Y308" s="3"/>
      <x:c r="Z308" s="2"/>
      <x:c r="AA308" s="2" t="s">
        <x:v>275</x:v>
      </x:c>
      <x:c r="AB308" s="2" t="s">
        <x:v>284</x:v>
      </x:c>
      <x:c r="AC308" s="2"/>
      <x:c r="AD308" s="2"/>
      <x:c r="AE308" s="2"/>
      <x:c r="AF308" s="2"/>
      <x:c r="AG308" s="2"/>
      <x:c r="AH308" s="2"/>
      <x:c r="AI308" s="4"/>
      <x:c r="AJ308" s="2"/>
      <x:c r="AK308" s="2" t="s">
        <x:v>234</x:v>
      </x:c>
      <x:c r="AL308" s="2" t="s">
        <x:v>2902</x:v>
      </x:c>
      <x:c r="AM308" s="2">
        <x:v>8</x:v>
      </x:c>
      <x:c r="AN308" s="2">
        <x:v>8</x:v>
      </x:c>
    </x:row>
    <x:row r="309" ht="39">
      <x:c r="A309" s="2" t="s">
        <x:v>6</x:v>
      </x:c>
      <x:c r="B309" s="2" t="s">
        <x:v>15</x:v>
      </x:c>
      <x:c r="C309" s="3">
        <x:v>7</x:v>
      </x:c>
      <x:c r="D309" s="2" t="s">
        <x:v>285</x:v>
      </x:c>
      <x:c r="E309" s="2" t="s">
        <x:v>286</x:v>
      </x:c>
      <x:c r="F309" s="2" t="s">
        <x:v>247</x:v>
      </x:c>
      <x:c r="G309" s="2"/>
      <x:c r="H309" s="2" t="s">
        <x:v>96</x:v>
      </x:c>
      <x:c r="I309" s="2" t="s">
        <x:v>288</x:v>
      </x:c>
      <x:c r="J309" s="2" t="s">
        <x:v>289</x:v>
      </x:c>
      <x:c r="K309" s="2"/>
      <x:c r="L309" s="2"/>
      <x:c r="M309" s="2"/>
      <x:c r="N309" s="2" t="s">
        <x:v>228</x:v>
      </x:c>
      <x:c r="O309" s="2" t="s">
        <x:v>290</x:v>
      </x:c>
      <x:c r="P309" s="2" t="s">
        <x:v>291</x:v>
      </x:c>
      <x:c r="Q309" s="2"/>
      <x:c r="R309" s="3">
        <x:v>3</x:v>
      </x:c>
      <x:c r="S309" s="3"/>
      <x:c r="T309" s="2"/>
      <x:c r="U309" s="2"/>
      <x:c r="V309" s="2"/>
      <x:c r="W309" s="2" t="s">
        <x:v>231</x:v>
      </x:c>
      <x:c r="X309" s="3"/>
      <x:c r="Y309" s="3"/>
      <x:c r="Z309" s="2"/>
      <x:c r="AA309" s="2" t="s">
        <x:v>232</x:v>
      </x:c>
      <x:c r="AB309" s="2" t="s">
        <x:v>292</x:v>
      </x:c>
      <x:c r="AC309" s="2"/>
      <x:c r="AD309" s="2"/>
      <x:c r="AE309" s="2"/>
      <x:c r="AF309" s="2"/>
      <x:c r="AG309" s="2"/>
      <x:c r="AH309" s="2"/>
      <x:c r="AI309" s="4"/>
      <x:c r="AJ309" s="2"/>
      <x:c r="AK309" s="2" t="s">
        <x:v>234</x:v>
      </x:c>
      <x:c r="AL309" s="2" t="s">
        <x:v>2902</x:v>
      </x:c>
      <x:c r="AM309" s="2">
        <x:v>9</x:v>
      </x:c>
      <x:c r="AN309" s="2">
        <x:v>9</x:v>
      </x:c>
    </x:row>
    <x:row r="310" ht="39">
      <x:c r="A310" s="2" t="s">
        <x:v>91</x:v>
      </x:c>
      <x:c r="B310" s="2" t="s">
        <x:v>15</x:v>
      </x:c>
      <x:c r="C310" s="3">
        <x:v>8</x:v>
      </x:c>
      <x:c r="D310" s="2" t="s">
        <x:v>293</x:v>
      </x:c>
      <x:c r="E310" s="2" t="s">
        <x:v>294</x:v>
      </x:c>
      <x:c r="F310" s="2" t="s">
        <x:v>224</x:v>
      </x:c>
      <x:c r="G310" s="2" t="s">
        <x:v>2905</x:v>
      </x:c>
      <x:c r="H310" s="2" t="s">
        <x:v>96</x:v>
      </x:c>
      <x:c r="I310" s="2" t="s">
        <x:v>296</x:v>
      </x:c>
      <x:c r="J310" s="2" t="s">
        <x:v>297</x:v>
      </x:c>
      <x:c r="K310" s="2"/>
      <x:c r="L310" s="2"/>
      <x:c r="M310" s="2"/>
      <x:c r="N310" s="2" t="s">
        <x:v>228</x:v>
      </x:c>
      <x:c r="O310" s="2" t="s">
        <x:v>298</x:v>
      </x:c>
      <x:c r="P310" s="2" t="s">
        <x:v>299</x:v>
      </x:c>
      <x:c r="Q310" s="2"/>
      <x:c r="R310" s="3">
        <x:v>4</x:v>
      </x:c>
      <x:c r="S310" s="3"/>
      <x:c r="T310" s="2"/>
      <x:c r="U310" s="2"/>
      <x:c r="V310" s="2"/>
      <x:c r="W310" s="2" t="s">
        <x:v>231</x:v>
      </x:c>
      <x:c r="X310" s="3"/>
      <x:c r="Y310" s="3"/>
      <x:c r="Z310" s="2"/>
      <x:c r="AA310" s="2" t="s">
        <x:v>232</x:v>
      </x:c>
      <x:c r="AB310" s="2" t="s">
        <x:v>300</x:v>
      </x:c>
      <x:c r="AC310" s="2"/>
      <x:c r="AD310" s="2"/>
      <x:c r="AE310" s="2"/>
      <x:c r="AF310" s="2"/>
      <x:c r="AG310" s="2"/>
      <x:c r="AH310" s="2"/>
      <x:c r="AI310" s="4"/>
      <x:c r="AJ310" s="2"/>
      <x:c r="AK310" s="2" t="s">
        <x:v>234</x:v>
      </x:c>
      <x:c r="AL310" s="2" t="s">
        <x:v>2902</x:v>
      </x:c>
      <x:c r="AM310" s="2">
        <x:v>10</x:v>
      </x:c>
      <x:c r="AN310" s="2">
        <x:v>10</x:v>
      </x:c>
    </x:row>
    <x:row r="311" ht="39">
      <x:c r="A311" s="2" t="s">
        <x:v>6</x:v>
      </x:c>
      <x:c r="B311" s="2" t="s">
        <x:v>15</x:v>
      </x:c>
      <x:c r="C311" s="3">
        <x:v>9</x:v>
      </x:c>
      <x:c r="D311" s="2" t="s">
        <x:v>236</x:v>
      </x:c>
      <x:c r="E311" s="2" t="s">
        <x:v>301</x:v>
      </x:c>
      <x:c r="F311" s="2" t="s">
        <x:v>237</x:v>
      </x:c>
      <x:c r="G311" s="2"/>
      <x:c r="H311" s="2" t="s">
        <x:v>96</x:v>
      </x:c>
      <x:c r="I311" s="2" t="s">
        <x:v>303</x:v>
      </x:c>
      <x:c r="J311" s="2" t="s">
        <x:v>304</x:v>
      </x:c>
      <x:c r="K311" s="2"/>
      <x:c r="L311" s="2"/>
      <x:c r="M311" s="2"/>
      <x:c r="N311" s="2" t="s">
        <x:v>228</x:v>
      </x:c>
      <x:c r="O311" s="2" t="s">
        <x:v>305</x:v>
      </x:c>
      <x:c r="P311" s="2" t="s">
        <x:v>306</x:v>
      </x:c>
      <x:c r="Q311" s="2"/>
      <x:c r="R311" s="3">
        <x:v>4</x:v>
      </x:c>
      <x:c r="S311" s="3"/>
      <x:c r="T311" s="2"/>
      <x:c r="U311" s="2"/>
      <x:c r="V311" s="2"/>
      <x:c r="W311" s="2" t="s">
        <x:v>231</x:v>
      </x:c>
      <x:c r="X311" s="3"/>
      <x:c r="Y311" s="3"/>
      <x:c r="Z311" s="2"/>
      <x:c r="AA311" s="2" t="s">
        <x:v>243</x:v>
      </x:c>
      <x:c r="AB311" s="2" t="s">
        <x:v>244</x:v>
      </x:c>
      <x:c r="AC311" s="2"/>
      <x:c r="AD311" s="2"/>
      <x:c r="AE311" s="2"/>
      <x:c r="AF311" s="2"/>
      <x:c r="AG311" s="2"/>
      <x:c r="AH311" s="2"/>
      <x:c r="AI311" s="4"/>
      <x:c r="AJ311" s="2"/>
      <x:c r="AK311" s="2" t="s">
        <x:v>234</x:v>
      </x:c>
      <x:c r="AL311" s="2" t="s">
        <x:v>2902</x:v>
      </x:c>
      <x:c r="AM311" s="2">
        <x:v>11</x:v>
      </x:c>
      <x:c r="AN311" s="2">
        <x:v>11</x:v>
      </x:c>
    </x:row>
    <x:row r="312" ht="39">
      <x:c r="A312" s="2" t="s">
        <x:v>6</x:v>
      </x:c>
      <x:c r="B312" s="2" t="s">
        <x:v>15</x:v>
      </x:c>
      <x:c r="C312" s="3">
        <x:v>10</x:v>
      </x:c>
      <x:c r="D312" s="2" t="s">
        <x:v>1281</x:v>
      </x:c>
      <x:c r="E312" s="2" t="s">
        <x:v>1282</x:v>
      </x:c>
      <x:c r="F312" s="2" t="s">
        <x:v>254</x:v>
      </x:c>
      <x:c r="G312" s="2"/>
      <x:c r="H312" s="2" t="s">
        <x:v>96</x:v>
      </x:c>
      <x:c r="I312" s="2" t="s">
        <x:v>1284</x:v>
      </x:c>
      <x:c r="J312" s="2" t="s">
        <x:v>1285</x:v>
      </x:c>
      <x:c r="K312" s="2"/>
      <x:c r="L312" s="2"/>
      <x:c r="M312" s="2"/>
      <x:c r="N312" s="2" t="s">
        <x:v>228</x:v>
      </x:c>
      <x:c r="O312" s="2" t="s">
        <x:v>1286</x:v>
      </x:c>
      <x:c r="P312" s="2" t="s">
        <x:v>1287</x:v>
      </x:c>
      <x:c r="Q312" s="2"/>
      <x:c r="R312" s="3">
        <x:v>4</x:v>
      </x:c>
      <x:c r="S312" s="3"/>
      <x:c r="T312" s="2"/>
      <x:c r="U312" s="2"/>
      <x:c r="V312" s="2"/>
      <x:c r="W312" s="2" t="s">
        <x:v>231</x:v>
      </x:c>
      <x:c r="X312" s="3"/>
      <x:c r="Y312" s="3"/>
      <x:c r="Z312" s="2"/>
      <x:c r="AA312" s="2" t="s">
        <x:v>243</x:v>
      </x:c>
      <x:c r="AB312" s="2" t="s">
        <x:v>244</x:v>
      </x:c>
      <x:c r="AC312" s="2"/>
      <x:c r="AD312" s="2"/>
      <x:c r="AE312" s="2"/>
      <x:c r="AF312" s="2"/>
      <x:c r="AG312" s="2"/>
      <x:c r="AH312" s="2"/>
      <x:c r="AI312" s="4"/>
      <x:c r="AJ312" s="2"/>
      <x:c r="AK312" s="2" t="s">
        <x:v>234</x:v>
      </x:c>
      <x:c r="AL312" s="2" t="s">
        <x:v>2902</x:v>
      </x:c>
      <x:c r="AM312" s="2">
        <x:v>12</x:v>
      </x:c>
      <x:c r="AN312" s="2">
        <x:v>12</x:v>
      </x:c>
    </x:row>
    <x:row r="313" ht="39">
      <x:c r="A313" s="2" t="s">
        <x:v>91</x:v>
      </x:c>
      <x:c r="B313" s="2" t="s">
        <x:v>15</x:v>
      </x:c>
      <x:c r="C313" s="3">
        <x:v>11</x:v>
      </x:c>
      <x:c r="D313" s="2" t="s">
        <x:v>1288</x:v>
      </x:c>
      <x:c r="E313" s="2" t="s">
        <x:v>1289</x:v>
      </x:c>
      <x:c r="F313" s="2" t="s">
        <x:v>247</x:v>
      </x:c>
      <x:c r="G313" s="2" t="s">
        <x:v>2903</x:v>
      </x:c>
      <x:c r="H313" s="2" t="s">
        <x:v>96</x:v>
      </x:c>
      <x:c r="I313" s="2" t="s">
        <x:v>1291</x:v>
      </x:c>
      <x:c r="J313" s="2" t="s">
        <x:v>1292</x:v>
      </x:c>
      <x:c r="K313" s="2"/>
      <x:c r="L313" s="2"/>
      <x:c r="M313" s="2"/>
      <x:c r="N313" s="2" t="s">
        <x:v>228</x:v>
      </x:c>
      <x:c r="O313" s="2" t="s">
        <x:v>1293</x:v>
      </x:c>
      <x:c r="P313" s="2" t="s">
        <x:v>1294</x:v>
      </x:c>
      <x:c r="Q313" s="2"/>
      <x:c r="R313" s="3">
        <x:v>4</x:v>
      </x:c>
      <x:c r="S313" s="3"/>
      <x:c r="T313" s="2"/>
      <x:c r="U313" s="2"/>
      <x:c r="V313" s="2"/>
      <x:c r="W313" s="2" t="s">
        <x:v>231</x:v>
      </x:c>
      <x:c r="X313" s="3"/>
      <x:c r="Y313" s="3"/>
      <x:c r="Z313" s="2"/>
      <x:c r="AA313" s="2" t="s">
        <x:v>232</x:v>
      </x:c>
      <x:c r="AB313" s="2" t="s">
        <x:v>300</x:v>
      </x:c>
      <x:c r="AC313" s="2"/>
      <x:c r="AD313" s="2"/>
      <x:c r="AE313" s="2"/>
      <x:c r="AF313" s="2"/>
      <x:c r="AG313" s="2"/>
      <x:c r="AH313" s="2"/>
      <x:c r="AI313" s="4"/>
      <x:c r="AJ313" s="2"/>
      <x:c r="AK313" s="2" t="s">
        <x:v>234</x:v>
      </x:c>
      <x:c r="AL313" s="2" t="s">
        <x:v>2902</x:v>
      </x:c>
      <x:c r="AM313" s="2">
        <x:v>13</x:v>
      </x:c>
      <x:c r="AN313" s="2">
        <x:v>13</x:v>
      </x:c>
    </x:row>
    <x:row r="314" ht="39">
      <x:c r="A314" s="2" t="s">
        <x:v>91</x:v>
      </x:c>
      <x:c r="B314" s="2" t="s">
        <x:v>15</x:v>
      </x:c>
      <x:c r="C314" s="3">
        <x:v>12</x:v>
      </x:c>
      <x:c r="D314" s="2" t="s">
        <x:v>1295</x:v>
      </x:c>
      <x:c r="E314" s="2" t="s">
        <x:v>1296</x:v>
      </x:c>
      <x:c r="F314" s="2" t="s">
        <x:v>254</x:v>
      </x:c>
      <x:c r="G314" s="2" t="s">
        <x:v>2906</x:v>
      </x:c>
      <x:c r="H314" s="2" t="s">
        <x:v>96</x:v>
      </x:c>
      <x:c r="I314" s="2" t="s">
        <x:v>1297</x:v>
      </x:c>
      <x:c r="J314" s="2" t="s">
        <x:v>1298</x:v>
      </x:c>
      <x:c r="K314" s="2"/>
      <x:c r="L314" s="2"/>
      <x:c r="M314" s="2"/>
      <x:c r="N314" s="2" t="s">
        <x:v>228</x:v>
      </x:c>
      <x:c r="O314" s="2" t="s">
        <x:v>1299</x:v>
      </x:c>
      <x:c r="P314" s="2" t="s">
        <x:v>1300</x:v>
      </x:c>
      <x:c r="Q314" s="2"/>
      <x:c r="R314" s="3">
        <x:v>4</x:v>
      </x:c>
      <x:c r="S314" s="3"/>
      <x:c r="T314" s="2"/>
      <x:c r="U314" s="2"/>
      <x:c r="V314" s="2"/>
      <x:c r="W314" s="2" t="s">
        <x:v>231</x:v>
      </x:c>
      <x:c r="X314" s="3"/>
      <x:c r="Y314" s="3"/>
      <x:c r="Z314" s="2"/>
      <x:c r="AA314" s="2" t="s">
        <x:v>232</x:v>
      </x:c>
      <x:c r="AB314" s="2" t="s">
        <x:v>292</x:v>
      </x:c>
      <x:c r="AC314" s="2"/>
      <x:c r="AD314" s="2"/>
      <x:c r="AE314" s="2"/>
      <x:c r="AF314" s="2"/>
      <x:c r="AG314" s="2"/>
      <x:c r="AH314" s="2"/>
      <x:c r="AI314" s="4"/>
      <x:c r="AJ314" s="2"/>
      <x:c r="AK314" s="2" t="s">
        <x:v>234</x:v>
      </x:c>
      <x:c r="AL314" s="2" t="s">
        <x:v>2902</x:v>
      </x:c>
      <x:c r="AM314" s="2">
        <x:v>14</x:v>
      </x:c>
      <x:c r="AN314" s="2">
        <x:v>14</x:v>
      </x:c>
    </x:row>
    <x:row r="315" ht="39">
      <x:c r="A315" s="2" t="s">
        <x:v>6</x:v>
      </x:c>
      <x:c r="B315" s="2" t="s">
        <x:v>15</x:v>
      </x:c>
      <x:c r="C315" s="3">
        <x:v>13</x:v>
      </x:c>
      <x:c r="D315" s="2" t="s">
        <x:v>1301</x:v>
      </x:c>
      <x:c r="E315" s="2" t="s">
        <x:v>1302</x:v>
      </x:c>
      <x:c r="F315" s="2" t="s">
        <x:v>247</x:v>
      </x:c>
      <x:c r="G315" s="2"/>
      <x:c r="H315" s="2" t="s">
        <x:v>96</x:v>
      </x:c>
      <x:c r="I315" s="2" t="s">
        <x:v>1304</x:v>
      </x:c>
      <x:c r="J315" s="2" t="s">
        <x:v>1305</x:v>
      </x:c>
      <x:c r="K315" s="2"/>
      <x:c r="L315" s="2"/>
      <x:c r="M315" s="2"/>
      <x:c r="N315" s="2" t="s">
        <x:v>228</x:v>
      </x:c>
      <x:c r="O315" s="2" t="s">
        <x:v>1306</x:v>
      </x:c>
      <x:c r="P315" s="2" t="s">
        <x:v>1307</x:v>
      </x:c>
      <x:c r="Q315" s="2"/>
      <x:c r="R315" s="3">
        <x:v>4</x:v>
      </x:c>
      <x:c r="S315" s="3"/>
      <x:c r="T315" s="2"/>
      <x:c r="U315" s="2"/>
      <x:c r="V315" s="2"/>
      <x:c r="W315" s="2" t="s">
        <x:v>231</x:v>
      </x:c>
      <x:c r="X315" s="3"/>
      <x:c r="Y315" s="3"/>
      <x:c r="Z315" s="2"/>
      <x:c r="AA315" s="2" t="s">
        <x:v>243</x:v>
      </x:c>
      <x:c r="AB315" s="2" t="s">
        <x:v>267</x:v>
      </x:c>
      <x:c r="AC315" s="2"/>
      <x:c r="AD315" s="2"/>
      <x:c r="AE315" s="2"/>
      <x:c r="AF315" s="2"/>
      <x:c r="AG315" s="2"/>
      <x:c r="AH315" s="2"/>
      <x:c r="AI315" s="4"/>
      <x:c r="AJ315" s="2"/>
      <x:c r="AK315" s="2" t="s">
        <x:v>234</x:v>
      </x:c>
      <x:c r="AL315" s="2" t="s">
        <x:v>2902</x:v>
      </x:c>
      <x:c r="AM315" s="2">
        <x:v>15</x:v>
      </x:c>
      <x:c r="AN315" s="2">
        <x:v>15</x:v>
      </x:c>
    </x:row>
    <x:row r="316" ht="39">
      <x:c r="A316" s="2" t="s">
        <x:v>91</x:v>
      </x:c>
      <x:c r="B316" s="2" t="s">
        <x:v>15</x:v>
      </x:c>
      <x:c r="C316" s="3">
        <x:v>14</x:v>
      </x:c>
      <x:c r="D316" s="2" t="s">
        <x:v>1308</x:v>
      </x:c>
      <x:c r="E316" s="2" t="s">
        <x:v>1309</x:v>
      </x:c>
      <x:c r="F316" s="2" t="s">
        <x:v>247</x:v>
      </x:c>
      <x:c r="G316" s="2"/>
      <x:c r="H316" s="2" t="s">
        <x:v>96</x:v>
      </x:c>
      <x:c r="I316" s="2" t="s">
        <x:v>1310</x:v>
      </x:c>
      <x:c r="J316" s="2" t="s">
        <x:v>1311</x:v>
      </x:c>
      <x:c r="K316" s="2"/>
      <x:c r="L316" s="2"/>
      <x:c r="M316" s="2"/>
      <x:c r="N316" s="2" t="s">
        <x:v>228</x:v>
      </x:c>
      <x:c r="O316" s="2" t="s">
        <x:v>1312</x:v>
      </x:c>
      <x:c r="P316" s="2" t="s">
        <x:v>1313</x:v>
      </x:c>
      <x:c r="Q316" s="2"/>
      <x:c r="R316" s="3">
        <x:v>4</x:v>
      </x:c>
      <x:c r="S316" s="3"/>
      <x:c r="T316" s="2"/>
      <x:c r="U316" s="2"/>
      <x:c r="V316" s="2"/>
      <x:c r="W316" s="2" t="s">
        <x:v>231</x:v>
      </x:c>
      <x:c r="X316" s="3"/>
      <x:c r="Y316" s="3"/>
      <x:c r="Z316" s="2"/>
      <x:c r="AA316" s="2" t="s">
        <x:v>1314</x:v>
      </x:c>
      <x:c r="AB316" s="2" t="s">
        <x:v>1315</x:v>
      </x:c>
      <x:c r="AC316" s="2"/>
      <x:c r="AD316" s="2"/>
      <x:c r="AE316" s="2"/>
      <x:c r="AF316" s="2"/>
      <x:c r="AG316" s="2"/>
      <x:c r="AH316" s="2"/>
      <x:c r="AI316" s="4"/>
      <x:c r="AJ316" s="2"/>
      <x:c r="AK316" s="2" t="s">
        <x:v>234</x:v>
      </x:c>
      <x:c r="AL316" s="2" t="s">
        <x:v>2902</x:v>
      </x:c>
      <x:c r="AM316" s="2">
        <x:v>16</x:v>
      </x:c>
      <x:c r="AN316" s="2">
        <x:v>16</x:v>
      </x:c>
    </x:row>
    <x:row r="317" ht="39">
      <x:c r="A317" s="2" t="s">
        <x:v>6</x:v>
      </x:c>
      <x:c r="B317" s="2" t="s">
        <x:v>15</x:v>
      </x:c>
      <x:c r="C317" s="3">
        <x:v>15</x:v>
      </x:c>
      <x:c r="D317" s="2" t="s">
        <x:v>1316</x:v>
      </x:c>
      <x:c r="E317" s="2" t="s">
        <x:v>1317</x:v>
      </x:c>
      <x:c r="F317" s="2" t="s">
        <x:v>237</x:v>
      </x:c>
      <x:c r="G317" s="2"/>
      <x:c r="H317" s="2" t="s">
        <x:v>96</x:v>
      </x:c>
      <x:c r="I317" s="2" t="s">
        <x:v>1318</x:v>
      </x:c>
      <x:c r="J317" s="2" t="s">
        <x:v>1319</x:v>
      </x:c>
      <x:c r="K317" s="2"/>
      <x:c r="L317" s="2"/>
      <x:c r="M317" s="2"/>
      <x:c r="N317" s="2" t="s">
        <x:v>228</x:v>
      </x:c>
      <x:c r="O317" s="2" t="s">
        <x:v>1320</x:v>
      </x:c>
      <x:c r="P317" s="2" t="s">
        <x:v>1321</x:v>
      </x:c>
      <x:c r="Q317" s="2"/>
      <x:c r="R317" s="3">
        <x:v>4</x:v>
      </x:c>
      <x:c r="S317" s="3"/>
      <x:c r="T317" s="2"/>
      <x:c r="U317" s="2"/>
      <x:c r="V317" s="2"/>
      <x:c r="W317" s="2" t="s">
        <x:v>231</x:v>
      </x:c>
      <x:c r="X317" s="3"/>
      <x:c r="Y317" s="3"/>
      <x:c r="Z317" s="2"/>
      <x:c r="AA317" s="2" t="s">
        <x:v>275</x:v>
      </x:c>
      <x:c r="AB317" s="2" t="s">
        <x:v>233</x:v>
      </x:c>
      <x:c r="AC317" s="2"/>
      <x:c r="AD317" s="2"/>
      <x:c r="AE317" s="2"/>
      <x:c r="AF317" s="2"/>
      <x:c r="AG317" s="2"/>
      <x:c r="AH317" s="2"/>
      <x:c r="AI317" s="4"/>
      <x:c r="AJ317" s="2"/>
      <x:c r="AK317" s="2" t="s">
        <x:v>234</x:v>
      </x:c>
      <x:c r="AL317" s="2" t="s">
        <x:v>2902</x:v>
      </x:c>
      <x:c r="AM317" s="2">
        <x:v>17</x:v>
      </x:c>
      <x:c r="AN317" s="2">
        <x:v>17</x:v>
      </x:c>
    </x:row>
    <x:row r="318" ht="39">
      <x:c r="A318" s="2" t="s">
        <x:v>91</x:v>
      </x:c>
      <x:c r="B318" s="2" t="s">
        <x:v>15</x:v>
      </x:c>
      <x:c r="C318" s="3">
        <x:v>16</x:v>
      </x:c>
      <x:c r="D318" s="2" t="s">
        <x:v>1322</x:v>
      </x:c>
      <x:c r="E318" s="2" t="s">
        <x:v>1323</x:v>
      </x:c>
      <x:c r="F318" s="2" t="s">
        <x:v>254</x:v>
      </x:c>
      <x:c r="G318" s="2" t="s">
        <x:v>2907</x:v>
      </x:c>
      <x:c r="H318" s="2" t="s">
        <x:v>96</x:v>
      </x:c>
      <x:c r="I318" s="2" t="s">
        <x:v>1325</x:v>
      </x:c>
      <x:c r="J318" s="2" t="s">
        <x:v>1326</x:v>
      </x:c>
      <x:c r="K318" s="2"/>
      <x:c r="L318" s="2"/>
      <x:c r="M318" s="2"/>
      <x:c r="N318" s="2" t="s">
        <x:v>228</x:v>
      </x:c>
      <x:c r="O318" s="2" t="s">
        <x:v>1327</x:v>
      </x:c>
      <x:c r="P318" s="2" t="s">
        <x:v>1328</x:v>
      </x:c>
      <x:c r="Q318" s="2"/>
      <x:c r="R318" s="3">
        <x:v>4</x:v>
      </x:c>
      <x:c r="S318" s="3"/>
      <x:c r="T318" s="2"/>
      <x:c r="U318" s="2"/>
      <x:c r="V318" s="2"/>
      <x:c r="W318" s="2" t="s">
        <x:v>231</x:v>
      </x:c>
      <x:c r="X318" s="3"/>
      <x:c r="Y318" s="3"/>
      <x:c r="Z318" s="2"/>
      <x:c r="AA318" s="2" t="s">
        <x:v>275</x:v>
      </x:c>
      <x:c r="AB318" s="2" t="s">
        <x:v>284</x:v>
      </x:c>
      <x:c r="AC318" s="2"/>
      <x:c r="AD318" s="2"/>
      <x:c r="AE318" s="2"/>
      <x:c r="AF318" s="2"/>
      <x:c r="AG318" s="2"/>
      <x:c r="AH318" s="2"/>
      <x:c r="AI318" s="4"/>
      <x:c r="AJ318" s="2"/>
      <x:c r="AK318" s="2" t="s">
        <x:v>234</x:v>
      </x:c>
      <x:c r="AL318" s="2" t="s">
        <x:v>2902</x:v>
      </x:c>
      <x:c r="AM318" s="2">
        <x:v>18</x:v>
      </x:c>
      <x:c r="AN318" s="2">
        <x:v>18</x:v>
      </x:c>
    </x:row>
    <x:row r="319" ht="39">
      <x:c r="A319" s="2" t="s">
        <x:v>6</x:v>
      </x:c>
      <x:c r="B319" s="2" t="s">
        <x:v>15</x:v>
      </x:c>
      <x:c r="C319" s="3">
        <x:v>17</x:v>
      </x:c>
      <x:c r="D319" s="2" t="s">
        <x:v>1329</x:v>
      </x:c>
      <x:c r="E319" s="2" t="s">
        <x:v>1330</x:v>
      </x:c>
      <x:c r="F319" s="2" t="s">
        <x:v>224</x:v>
      </x:c>
      <x:c r="G319" s="2"/>
      <x:c r="H319" s="2" t="s">
        <x:v>96</x:v>
      </x:c>
      <x:c r="I319" s="2" t="s">
        <x:v>1331</x:v>
      </x:c>
      <x:c r="J319" s="2" t="s">
        <x:v>1332</x:v>
      </x:c>
      <x:c r="K319" s="2"/>
      <x:c r="L319" s="2"/>
      <x:c r="M319" s="2"/>
      <x:c r="N319" s="2" t="s">
        <x:v>228</x:v>
      </x:c>
      <x:c r="O319" s="2" t="s">
        <x:v>1333</x:v>
      </x:c>
      <x:c r="P319" s="2" t="s">
        <x:v>1334</x:v>
      </x:c>
      <x:c r="Q319" s="2"/>
      <x:c r="R319" s="3">
        <x:v>4</x:v>
      </x:c>
      <x:c r="S319" s="3"/>
      <x:c r="T319" s="2"/>
      <x:c r="U319" s="2"/>
      <x:c r="V319" s="2"/>
      <x:c r="W319" s="2" t="s">
        <x:v>231</x:v>
      </x:c>
      <x:c r="X319" s="3"/>
      <x:c r="Y319" s="3"/>
      <x:c r="Z319" s="2"/>
      <x:c r="AA319" s="2" t="s">
        <x:v>1314</x:v>
      </x:c>
      <x:c r="AB319" s="2" t="s">
        <x:v>276</x:v>
      </x:c>
      <x:c r="AC319" s="2"/>
      <x:c r="AD319" s="2"/>
      <x:c r="AE319" s="2"/>
      <x:c r="AF319" s="2"/>
      <x:c r="AG319" s="2"/>
      <x:c r="AH319" s="2"/>
      <x:c r="AI319" s="4"/>
      <x:c r="AJ319" s="2"/>
      <x:c r="AK319" s="2" t="s">
        <x:v>234</x:v>
      </x:c>
      <x:c r="AL319" s="2" t="s">
        <x:v>2902</x:v>
      </x:c>
      <x:c r="AM319" s="2">
        <x:v>19</x:v>
      </x:c>
      <x:c r="AN319" s="2">
        <x:v>19</x:v>
      </x:c>
    </x:row>
    <x:row r="320" ht="39">
      <x:c r="A320" s="2" t="s">
        <x:v>91</x:v>
      </x:c>
      <x:c r="B320" s="2" t="s">
        <x:v>15</x:v>
      </x:c>
      <x:c r="C320" s="3">
        <x:v>18</x:v>
      </x:c>
      <x:c r="D320" s="2" t="s">
        <x:v>1335</x:v>
      </x:c>
      <x:c r="E320" s="2" t="s">
        <x:v>1289</x:v>
      </x:c>
      <x:c r="F320" s="2" t="s">
        <x:v>224</x:v>
      </x:c>
      <x:c r="G320" s="2" t="s">
        <x:v>2908</x:v>
      </x:c>
      <x:c r="H320" s="2" t="s">
        <x:v>96</x:v>
      </x:c>
      <x:c r="I320" s="2" t="s">
        <x:v>1336</x:v>
      </x:c>
      <x:c r="J320" s="2" t="s">
        <x:v>1337</x:v>
      </x:c>
      <x:c r="K320" s="2"/>
      <x:c r="L320" s="2"/>
      <x:c r="M320" s="2"/>
      <x:c r="N320" s="2" t="s">
        <x:v>228</x:v>
      </x:c>
      <x:c r="O320" s="2" t="s">
        <x:v>1338</x:v>
      </x:c>
      <x:c r="P320" s="2" t="s">
        <x:v>1339</x:v>
      </x:c>
      <x:c r="Q320" s="2"/>
      <x:c r="R320" s="3">
        <x:v>4</x:v>
      </x:c>
      <x:c r="S320" s="3"/>
      <x:c r="T320" s="2"/>
      <x:c r="U320" s="2"/>
      <x:c r="V320" s="2"/>
      <x:c r="W320" s="2" t="s">
        <x:v>231</x:v>
      </x:c>
      <x:c r="X320" s="3"/>
      <x:c r="Y320" s="3"/>
      <x:c r="Z320" s="2"/>
      <x:c r="AA320" s="2" t="s">
        <x:v>1314</x:v>
      </x:c>
      <x:c r="AB320" s="2" t="s">
        <x:v>276</x:v>
      </x:c>
      <x:c r="AC320" s="2"/>
      <x:c r="AD320" s="2"/>
      <x:c r="AE320" s="2"/>
      <x:c r="AF320" s="2"/>
      <x:c r="AG320" s="2"/>
      <x:c r="AH320" s="2"/>
      <x:c r="AI320" s="4"/>
      <x:c r="AJ320" s="2"/>
      <x:c r="AK320" s="2" t="s">
        <x:v>234</x:v>
      </x:c>
      <x:c r="AL320" s="2" t="s">
        <x:v>2902</x:v>
      </x:c>
      <x:c r="AM320" s="2">
        <x:v>20</x:v>
      </x:c>
      <x:c r="AN320" s="2">
        <x:v>20</x:v>
      </x:c>
    </x:row>
    <x:row r="321" ht="39">
      <x:c r="A321" s="2" t="s">
        <x:v>6</x:v>
      </x:c>
      <x:c r="B321" s="2" t="s">
        <x:v>15</x:v>
      </x:c>
      <x:c r="C321" s="3">
        <x:v>19</x:v>
      </x:c>
      <x:c r="D321" s="2" t="s">
        <x:v>1340</x:v>
      </x:c>
      <x:c r="E321" s="2" t="s">
        <x:v>1341</x:v>
      </x:c>
      <x:c r="F321" s="2" t="s">
        <x:v>237</x:v>
      </x:c>
      <x:c r="G321" s="2"/>
      <x:c r="H321" s="2" t="s">
        <x:v>96</x:v>
      </x:c>
      <x:c r="I321" s="2" t="s">
        <x:v>1342</x:v>
      </x:c>
      <x:c r="J321" s="2" t="s">
        <x:v>1343</x:v>
      </x:c>
      <x:c r="K321" s="2"/>
      <x:c r="L321" s="2"/>
      <x:c r="M321" s="2"/>
      <x:c r="N321" s="2" t="s">
        <x:v>228</x:v>
      </x:c>
      <x:c r="O321" s="2" t="s">
        <x:v>1344</x:v>
      </x:c>
      <x:c r="P321" s="2" t="s">
        <x:v>1345</x:v>
      </x:c>
      <x:c r="Q321" s="2"/>
      <x:c r="R321" s="3">
        <x:v>4</x:v>
      </x:c>
      <x:c r="S321" s="3"/>
      <x:c r="T321" s="2"/>
      <x:c r="U321" s="2"/>
      <x:c r="V321" s="2"/>
      <x:c r="W321" s="2" t="s">
        <x:v>231</x:v>
      </x:c>
      <x:c r="X321" s="3"/>
      <x:c r="Y321" s="3"/>
      <x:c r="Z321" s="2"/>
      <x:c r="AA321" s="2" t="s">
        <x:v>275</x:v>
      </x:c>
      <x:c r="AB321" s="2" t="s">
        <x:v>284</x:v>
      </x:c>
      <x:c r="AC321" s="2"/>
      <x:c r="AD321" s="2"/>
      <x:c r="AE321" s="2"/>
      <x:c r="AF321" s="2"/>
      <x:c r="AG321" s="2"/>
      <x:c r="AH321" s="2"/>
      <x:c r="AI321" s="4"/>
      <x:c r="AJ321" s="2"/>
      <x:c r="AK321" s="2" t="s">
        <x:v>234</x:v>
      </x:c>
      <x:c r="AL321" s="2" t="s">
        <x:v>2902</x:v>
      </x:c>
      <x:c r="AM321" s="2">
        <x:v>21</x:v>
      </x:c>
      <x:c r="AN321" s="2">
        <x:v>21</x:v>
      </x:c>
    </x:row>
    <x:row r="322" ht="52">
      <x:c r="A322" s="2" t="s">
        <x:v>91</x:v>
      </x:c>
      <x:c r="B322" s="2" t="s">
        <x:v>15</x:v>
      </x:c>
      <x:c r="C322" s="3">
        <x:v>20</x:v>
      </x:c>
      <x:c r="D322" s="2" t="s">
        <x:v>1346</x:v>
      </x:c>
      <x:c r="E322" s="2" t="s">
        <x:v>1347</x:v>
      </x:c>
      <x:c r="F322" s="2" t="s">
        <x:v>237</x:v>
      </x:c>
      <x:c r="G322" s="2" t="s">
        <x:v>2909</x:v>
      </x:c>
      <x:c r="H322" s="2" t="s">
        <x:v>618</x:v>
      </x:c>
      <x:c r="I322" s="2" t="s">
        <x:v>1348</x:v>
      </x:c>
      <x:c r="J322" s="2" t="s">
        <x:v>1349</x:v>
      </x:c>
      <x:c r="K322" s="2"/>
      <x:c r="L322" s="2"/>
      <x:c r="M322" s="2"/>
      <x:c r="N322" s="2" t="s">
        <x:v>1350</x:v>
      </x:c>
      <x:c r="O322" s="2" t="s">
        <x:v>1351</x:v>
      </x:c>
      <x:c r="P322" s="2" t="s">
        <x:v>1352</x:v>
      </x:c>
      <x:c r="Q322" s="2"/>
      <x:c r="R322" s="3">
        <x:v>2</x:v>
      </x:c>
      <x:c r="S322" s="3"/>
      <x:c r="T322" s="2"/>
      <x:c r="U322" s="2"/>
      <x:c r="V322" s="2"/>
      <x:c r="W322" s="2" t="s">
        <x:v>1348</x:v>
      </x:c>
      <x:c r="X322" s="3"/>
      <x:c r="Y322" s="3"/>
      <x:c r="Z322" s="2"/>
      <x:c r="AA322" s="2" t="s">
        <x:v>232</x:v>
      </x:c>
      <x:c r="AB322" s="2" t="s">
        <x:v>292</x:v>
      </x:c>
      <x:c r="AC322" s="2"/>
      <x:c r="AD322" s="2"/>
      <x:c r="AE322" s="2"/>
      <x:c r="AF322" s="2"/>
      <x:c r="AG322" s="2"/>
      <x:c r="AH322" s="2"/>
      <x:c r="AI322" s="4"/>
      <x:c r="AJ322" s="2"/>
      <x:c r="AK322" s="2" t="s">
        <x:v>234</x:v>
      </x:c>
      <x:c r="AL322" s="2" t="s">
        <x:v>2902</x:v>
      </x:c>
      <x:c r="AM322" s="2">
        <x:v>22</x:v>
      </x:c>
      <x:c r="AN322" s="2">
        <x:v>22</x:v>
      </x:c>
    </x:row>
    <x:row r="323" ht="52">
      <x:c r="A323" s="2" t="s">
        <x:v>6</x:v>
      </x:c>
      <x:c r="B323" s="2" t="s">
        <x:v>15</x:v>
      </x:c>
      <x:c r="C323" s="3">
        <x:v>21</x:v>
      </x:c>
      <x:c r="D323" s="2" t="s">
        <x:v>1353</x:v>
      </x:c>
      <x:c r="E323" s="2" t="s">
        <x:v>1347</x:v>
      </x:c>
      <x:c r="F323" s="2" t="s">
        <x:v>237</x:v>
      </x:c>
      <x:c r="G323" s="2"/>
      <x:c r="H323" s="2" t="s">
        <x:v>627</x:v>
      </x:c>
      <x:c r="I323" s="2" t="s">
        <x:v>1348</x:v>
      </x:c>
      <x:c r="J323" s="2" t="s">
        <x:v>1354</x:v>
      </x:c>
      <x:c r="K323" s="2" t="n">
        <x:v>20</x:v>
      </x:c>
      <x:c r="L323" s="2"/>
      <x:c r="M323" s="2"/>
      <x:c r="N323" s="2" t="s">
        <x:v>1350</x:v>
      </x:c>
      <x:c r="O323" s="2" t="s">
        <x:v>1355</x:v>
      </x:c>
      <x:c r="P323" s="2" t="s">
        <x:v>1356</x:v>
      </x:c>
      <x:c r="Q323" s="2"/>
      <x:c r="R323" s="3">
        <x:v>2</x:v>
      </x:c>
      <x:c r="S323" s="3"/>
      <x:c r="T323" s="2"/>
      <x:c r="U323" s="2"/>
      <x:c r="V323" s="2"/>
      <x:c r="W323" s="2" t="s">
        <x:v>1348</x:v>
      </x:c>
      <x:c r="X323" s="3"/>
      <x:c r="Y323" s="3"/>
      <x:c r="Z323" s="2"/>
      <x:c r="AA323" s="2" t="s">
        <x:v>232</x:v>
      </x:c>
      <x:c r="AB323" s="2" t="s">
        <x:v>1357</x:v>
      </x:c>
      <x:c r="AC323" s="2"/>
      <x:c r="AD323" s="2"/>
      <x:c r="AE323" s="2"/>
      <x:c r="AF323" s="2"/>
      <x:c r="AG323" s="2"/>
      <x:c r="AH323" s="2"/>
      <x:c r="AI323" s="4"/>
      <x:c r="AJ323" s="2"/>
      <x:c r="AK323" s="2" t="s">
        <x:v>234</x:v>
      </x:c>
      <x:c r="AL323" s="2" t="s">
        <x:v>2902</x:v>
      </x:c>
      <x:c r="AM323" s="2">
        <x:v>23</x:v>
      </x:c>
      <x:c r="AN323" s="2">
        <x:v>23</x:v>
      </x:c>
    </x:row>
    <x:row r="324" ht="39">
      <x:c r="A324" s="2" t="s">
        <x:v>91</x:v>
      </x:c>
      <x:c r="B324" s="2" t="s">
        <x:v>15</x:v>
      </x:c>
      <x:c r="C324" s="3">
        <x:v>22</x:v>
      </x:c>
      <x:c r="D324" s="2" t="s">
        <x:v>1358</x:v>
      </x:c>
      <x:c r="E324" s="2" t="s">
        <x:v>1347</x:v>
      </x:c>
      <x:c r="F324" s="2" t="s">
        <x:v>237</x:v>
      </x:c>
      <x:c r="G324" s="2" t="s">
        <x:v>2909</x:v>
      </x:c>
      <x:c r="H324" s="2" t="s">
        <x:v>634</x:v>
      </x:c>
      <x:c r="I324" s="2" t="s">
        <x:v>1348</x:v>
      </x:c>
      <x:c r="J324" s="2" t="s">
        <x:v>1359</x:v>
      </x:c>
      <x:c r="K324" s="2" t="n">
        <x:v>20</x:v>
      </x:c>
      <x:c r="L324" s="2"/>
      <x:c r="M324" s="2"/>
      <x:c r="N324" s="2" t="s">
        <x:v>1350</x:v>
      </x:c>
      <x:c r="O324" s="2" t="s">
        <x:v>1355</x:v>
      </x:c>
      <x:c r="P324" s="2" t="s">
        <x:v>1360</x:v>
      </x:c>
      <x:c r="Q324" s="2"/>
      <x:c r="R324" s="3">
        <x:v>2</x:v>
      </x:c>
      <x:c r="S324" s="3"/>
      <x:c r="T324" s="2"/>
      <x:c r="U324" s="2"/>
      <x:c r="V324" s="2"/>
      <x:c r="W324" s="2" t="s">
        <x:v>1348</x:v>
      </x:c>
      <x:c r="X324" s="3"/>
      <x:c r="Y324" s="3"/>
      <x:c r="Z324" s="2"/>
      <x:c r="AA324" s="2" t="s">
        <x:v>232</x:v>
      </x:c>
      <x:c r="AB324" s="2" t="s">
        <x:v>1361</x:v>
      </x:c>
      <x:c r="AC324" s="2"/>
      <x:c r="AD324" s="2"/>
      <x:c r="AE324" s="2"/>
      <x:c r="AF324" s="2"/>
      <x:c r="AG324" s="2"/>
      <x:c r="AH324" s="2"/>
      <x:c r="AI324" s="4"/>
      <x:c r="AJ324" s="2"/>
      <x:c r="AK324" s="2" t="s">
        <x:v>234</x:v>
      </x:c>
      <x:c r="AL324" s="2" t="s">
        <x:v>2902</x:v>
      </x:c>
      <x:c r="AM324" s="2">
        <x:v>24</x:v>
      </x:c>
      <x:c r="AN324" s="2">
        <x:v>24</x:v>
      </x:c>
    </x:row>
    <x:row r="325" ht="39">
      <x:c r="A325" s="2" t="s">
        <x:v>6</x:v>
      </x:c>
      <x:c r="B325" s="2" t="s">
        <x:v>15</x:v>
      </x:c>
      <x:c r="C325" s="3">
        <x:v>23</x:v>
      </x:c>
      <x:c r="D325" s="2" t="s">
        <x:v>1362</x:v>
      </x:c>
      <x:c r="E325" s="2" t="s">
        <x:v>1347</x:v>
      </x:c>
      <x:c r="F325" s="2" t="s">
        <x:v>237</x:v>
      </x:c>
      <x:c r="G325" s="2"/>
      <x:c r="H325" s="2" t="s">
        <x:v>634</x:v>
      </x:c>
      <x:c r="I325" s="2" t="s">
        <x:v>1348</x:v>
      </x:c>
      <x:c r="J325" s="2" t="s">
        <x:v>1363</x:v>
      </x:c>
      <x:c r="K325" s="2" t="n">
        <x:v>20</x:v>
      </x:c>
      <x:c r="L325" s="2"/>
      <x:c r="M325" s="2"/>
      <x:c r="N325" s="2" t="s">
        <x:v>1350</x:v>
      </x:c>
      <x:c r="O325" s="2" t="s">
        <x:v>1355</x:v>
      </x:c>
      <x:c r="P325" s="2" t="s">
        <x:v>1364</x:v>
      </x:c>
      <x:c r="Q325" s="2"/>
      <x:c r="R325" s="3">
        <x:v>2</x:v>
      </x:c>
      <x:c r="S325" s="3"/>
      <x:c r="T325" s="2"/>
      <x:c r="U325" s="2"/>
      <x:c r="V325" s="2"/>
      <x:c r="W325" s="2" t="s">
        <x:v>1348</x:v>
      </x:c>
      <x:c r="X325" s="3"/>
      <x:c r="Y325" s="3"/>
      <x:c r="Z325" s="2"/>
      <x:c r="AA325" s="2" t="s">
        <x:v>232</x:v>
      </x:c>
      <x:c r="AB325" s="2" t="s">
        <x:v>1365</x:v>
      </x:c>
      <x:c r="AC325" s="2"/>
      <x:c r="AD325" s="2"/>
      <x:c r="AE325" s="2"/>
      <x:c r="AF325" s="2"/>
      <x:c r="AG325" s="2"/>
      <x:c r="AH325" s="2"/>
      <x:c r="AI325" s="4"/>
      <x:c r="AJ325" s="2"/>
      <x:c r="AK325" s="2" t="s">
        <x:v>234</x:v>
      </x:c>
      <x:c r="AL325" s="2" t="s">
        <x:v>2902</x:v>
      </x:c>
      <x:c r="AM325" s="2">
        <x:v>25</x:v>
      </x:c>
      <x:c r="AN325" s="2">
        <x:v>25</x:v>
      </x:c>
    </x:row>
    <x:row r="326" ht="39">
      <x:c r="A326" s="2" t="s">
        <x:v>6</x:v>
      </x:c>
      <x:c r="B326" s="2" t="s">
        <x:v>15</x:v>
      </x:c>
      <x:c r="C326" s="3">
        <x:v>24</x:v>
      </x:c>
      <x:c r="D326" s="2" t="s">
        <x:v>1366</x:v>
      </x:c>
      <x:c r="E326" s="2" t="s">
        <x:v>1347</x:v>
      </x:c>
      <x:c r="F326" s="2" t="s">
        <x:v>224</x:v>
      </x:c>
      <x:c r="G326" s="2"/>
      <x:c r="H326" s="2" t="s">
        <x:v>634</x:v>
      </x:c>
      <x:c r="I326" s="2" t="s">
        <x:v>1348</x:v>
      </x:c>
      <x:c r="J326" s="2" t="s">
        <x:v>1363</x:v>
      </x:c>
      <x:c r="K326" s="2" t="n">
        <x:v>20</x:v>
      </x:c>
      <x:c r="L326" s="2"/>
      <x:c r="M326" s="2"/>
      <x:c r="N326" s="2" t="s">
        <x:v>1350</x:v>
      </x:c>
      <x:c r="O326" s="2" t="s">
        <x:v>1355</x:v>
      </x:c>
      <x:c r="P326" s="2" t="s">
        <x:v>1364</x:v>
      </x:c>
      <x:c r="Q326" s="2"/>
      <x:c r="R326" s="3">
        <x:v>2</x:v>
      </x:c>
      <x:c r="S326" s="3"/>
      <x:c r="T326" s="2"/>
      <x:c r="U326" s="2"/>
      <x:c r="V326" s="2"/>
      <x:c r="W326" s="2" t="s">
        <x:v>1348</x:v>
      </x:c>
      <x:c r="X326" s="3"/>
      <x:c r="Y326" s="3"/>
      <x:c r="Z326" s="2"/>
      <x:c r="AA326" s="2" t="s">
        <x:v>243</x:v>
      </x:c>
      <x:c r="AB326" s="2" t="s">
        <x:v>1365</x:v>
      </x:c>
      <x:c r="AC326" s="2"/>
      <x:c r="AD326" s="2"/>
      <x:c r="AE326" s="2"/>
      <x:c r="AF326" s="2"/>
      <x:c r="AG326" s="2"/>
      <x:c r="AH326" s="2"/>
      <x:c r="AI326" s="4"/>
      <x:c r="AJ326" s="2"/>
      <x:c r="AK326" s="2" t="s">
        <x:v>234</x:v>
      </x:c>
      <x:c r="AL326" s="2" t="s">
        <x:v>2902</x:v>
      </x:c>
      <x:c r="AM326" s="2">
        <x:v>26</x:v>
      </x:c>
      <x:c r="AN326" s="2">
        <x:v>26</x:v>
      </x:c>
    </x:row>
    <x:row r="327" ht="39">
      <x:c r="A327" s="2" t="s">
        <x:v>91</x:v>
      </x:c>
      <x:c r="B327" s="2" t="s">
        <x:v>15</x:v>
      </x:c>
      <x:c r="C327" s="3">
        <x:v>25</x:v>
      </x:c>
      <x:c r="D327" s="2" t="s">
        <x:v>1367</x:v>
      </x:c>
      <x:c r="E327" s="2" t="s">
        <x:v>1347</x:v>
      </x:c>
      <x:c r="F327" s="2" t="s">
        <x:v>224</x:v>
      </x:c>
      <x:c r="G327" s="2" t="s">
        <x:v>2910</x:v>
      </x:c>
      <x:c r="H327" s="2" t="s">
        <x:v>634</x:v>
      </x:c>
      <x:c r="I327" s="2" t="s">
        <x:v>1348</x:v>
      </x:c>
      <x:c r="J327" s="2" t="s">
        <x:v>1359</x:v>
      </x:c>
      <x:c r="K327" s="2" t="n">
        <x:v>20</x:v>
      </x:c>
      <x:c r="L327" s="2"/>
      <x:c r="M327" s="2"/>
      <x:c r="N327" s="2" t="s">
        <x:v>1350</x:v>
      </x:c>
      <x:c r="O327" s="2" t="s">
        <x:v>1355</x:v>
      </x:c>
      <x:c r="P327" s="2" t="s">
        <x:v>1360</x:v>
      </x:c>
      <x:c r="Q327" s="2"/>
      <x:c r="R327" s="3">
        <x:v>2</x:v>
      </x:c>
      <x:c r="S327" s="3"/>
      <x:c r="T327" s="2"/>
      <x:c r="U327" s="2"/>
      <x:c r="V327" s="2"/>
      <x:c r="W327" s="2" t="s">
        <x:v>1348</x:v>
      </x:c>
      <x:c r="X327" s="3"/>
      <x:c r="Y327" s="3"/>
      <x:c r="Z327" s="2"/>
      <x:c r="AA327" s="2" t="s">
        <x:v>243</x:v>
      </x:c>
      <x:c r="AB327" s="2" t="s">
        <x:v>1368</x:v>
      </x:c>
      <x:c r="AC327" s="2"/>
      <x:c r="AD327" s="2"/>
      <x:c r="AE327" s="2"/>
      <x:c r="AF327" s="2"/>
      <x:c r="AG327" s="2"/>
      <x:c r="AH327" s="2"/>
      <x:c r="AI327" s="4"/>
      <x:c r="AJ327" s="2"/>
      <x:c r="AK327" s="2" t="s">
        <x:v>234</x:v>
      </x:c>
      <x:c r="AL327" s="2" t="s">
        <x:v>2902</x:v>
      </x:c>
      <x:c r="AM327" s="2">
        <x:v>27</x:v>
      </x:c>
      <x:c r="AN327" s="2">
        <x:v>27</x:v>
      </x:c>
    </x:row>
    <x:row r="328" ht="52">
      <x:c r="A328" s="2" t="s">
        <x:v>6</x:v>
      </x:c>
      <x:c r="B328" s="2" t="s">
        <x:v>15</x:v>
      </x:c>
      <x:c r="C328" s="3">
        <x:v>26</x:v>
      </x:c>
      <x:c r="D328" s="2" t="s">
        <x:v>1369</x:v>
      </x:c>
      <x:c r="E328" s="2" t="s">
        <x:v>1347</x:v>
      </x:c>
      <x:c r="F328" s="2" t="s">
        <x:v>224</x:v>
      </x:c>
      <x:c r="G328" s="2"/>
      <x:c r="H328" s="2" t="s">
        <x:v>627</x:v>
      </x:c>
      <x:c r="I328" s="2" t="s">
        <x:v>1348</x:v>
      </x:c>
      <x:c r="J328" s="2" t="s">
        <x:v>1370</x:v>
      </x:c>
      <x:c r="K328" s="2" t="n">
        <x:v>20</x:v>
      </x:c>
      <x:c r="L328" s="2"/>
      <x:c r="M328" s="2"/>
      <x:c r="N328" s="2" t="s">
        <x:v>1350</x:v>
      </x:c>
      <x:c r="O328" s="2" t="s">
        <x:v>1355</x:v>
      </x:c>
      <x:c r="P328" s="2" t="s">
        <x:v>1356</x:v>
      </x:c>
      <x:c r="Q328" s="2"/>
      <x:c r="R328" s="3">
        <x:v>2</x:v>
      </x:c>
      <x:c r="S328" s="3"/>
      <x:c r="T328" s="2"/>
      <x:c r="U328" s="2"/>
      <x:c r="V328" s="2"/>
      <x:c r="W328" s="2" t="s">
        <x:v>1348</x:v>
      </x:c>
      <x:c r="X328" s="3"/>
      <x:c r="Y328" s="3"/>
      <x:c r="Z328" s="2"/>
      <x:c r="AA328" s="2" t="s">
        <x:v>243</x:v>
      </x:c>
      <x:c r="AB328" s="2" t="s">
        <x:v>1357</x:v>
      </x:c>
      <x:c r="AC328" s="2"/>
      <x:c r="AD328" s="2"/>
      <x:c r="AE328" s="2"/>
      <x:c r="AF328" s="2"/>
      <x:c r="AG328" s="2"/>
      <x:c r="AH328" s="2"/>
      <x:c r="AI328" s="4"/>
      <x:c r="AJ328" s="2"/>
      <x:c r="AK328" s="2" t="s">
        <x:v>234</x:v>
      </x:c>
      <x:c r="AL328" s="2" t="s">
        <x:v>2902</x:v>
      </x:c>
      <x:c r="AM328" s="2">
        <x:v>28</x:v>
      </x:c>
      <x:c r="AN328" s="2">
        <x:v>28</x:v>
      </x:c>
    </x:row>
    <x:row r="329" ht="52">
      <x:c r="A329" s="2" t="s">
        <x:v>6</x:v>
      </x:c>
      <x:c r="B329" s="2" t="s">
        <x:v>15</x:v>
      </x:c>
      <x:c r="C329" s="3">
        <x:v>27</x:v>
      </x:c>
      <x:c r="D329" s="2" t="s">
        <x:v>1281</x:v>
      </x:c>
      <x:c r="E329" s="2" t="s">
        <x:v>1347</x:v>
      </x:c>
      <x:c r="F329" s="2" t="s">
        <x:v>224</x:v>
      </x:c>
      <x:c r="G329" s="2"/>
      <x:c r="H329" s="2" t="s">
        <x:v>618</x:v>
      </x:c>
      <x:c r="I329" s="2" t="s">
        <x:v>1348</x:v>
      </x:c>
      <x:c r="J329" s="2" t="s">
        <x:v>1371</x:v>
      </x:c>
      <x:c r="K329" s="2" t="n">
        <x:v>20</x:v>
      </x:c>
      <x:c r="L329" s="2"/>
      <x:c r="M329" s="2"/>
      <x:c r="N329" s="2" t="s">
        <x:v>1350</x:v>
      </x:c>
      <x:c r="O329" s="2" t="s">
        <x:v>1355</x:v>
      </x:c>
      <x:c r="P329" s="2" t="s">
        <x:v>1352</x:v>
      </x:c>
      <x:c r="Q329" s="2"/>
      <x:c r="R329" s="3">
        <x:v>2</x:v>
      </x:c>
      <x:c r="S329" s="3"/>
      <x:c r="T329" s="2"/>
      <x:c r="U329" s="2"/>
      <x:c r="V329" s="2"/>
      <x:c r="W329" s="2" t="s">
        <x:v>1348</x:v>
      </x:c>
      <x:c r="X329" s="3"/>
      <x:c r="Y329" s="3"/>
      <x:c r="Z329" s="2"/>
      <x:c r="AA329" s="2" t="s">
        <x:v>243</x:v>
      </x:c>
      <x:c r="AB329" s="2" t="s">
        <x:v>244</x:v>
      </x:c>
      <x:c r="AC329" s="2"/>
      <x:c r="AD329" s="2"/>
      <x:c r="AE329" s="2"/>
      <x:c r="AF329" s="2"/>
      <x:c r="AG329" s="2"/>
      <x:c r="AH329" s="2"/>
      <x:c r="AI329" s="4"/>
      <x:c r="AJ329" s="2"/>
      <x:c r="AK329" s="2" t="s">
        <x:v>234</x:v>
      </x:c>
      <x:c r="AL329" s="2" t="s">
        <x:v>2902</x:v>
      </x:c>
      <x:c r="AM329" s="2">
        <x:v>29</x:v>
      </x:c>
      <x:c r="AN329" s="2">
        <x:v>29</x:v>
      </x:c>
    </x:row>
    <x:row r="330" ht="52">
      <x:c r="A330" s="2" t="s">
        <x:v>6</x:v>
      </x:c>
      <x:c r="B330" s="2" t="s">
        <x:v>15</x:v>
      </x:c>
      <x:c r="C330" s="3">
        <x:v>28</x:v>
      </x:c>
      <x:c r="D330" s="2" t="s">
        <x:v>1340</x:v>
      </x:c>
      <x:c r="E330" s="2" t="s">
        <x:v>1372</x:v>
      </x:c>
      <x:c r="F330" s="2" t="s">
        <x:v>237</x:v>
      </x:c>
      <x:c r="G330" s="2"/>
      <x:c r="H330" s="2" t="s">
        <x:v>618</x:v>
      </x:c>
      <x:c r="I330" s="2" t="s">
        <x:v>1374</x:v>
      </x:c>
      <x:c r="J330" s="2" t="s">
        <x:v>1375</x:v>
      </x:c>
      <x:c r="K330" s="2"/>
      <x:c r="L330" s="2"/>
      <x:c r="M330" s="2"/>
      <x:c r="N330" s="2" t="s">
        <x:v>1350</x:v>
      </x:c>
      <x:c r="O330" s="2" t="s">
        <x:v>1351</x:v>
      </x:c>
      <x:c r="P330" s="2" t="s">
        <x:v>1352</x:v>
      </x:c>
      <x:c r="Q330" s="2"/>
      <x:c r="R330" s="3">
        <x:v>3</x:v>
      </x:c>
      <x:c r="S330" s="3"/>
      <x:c r="T330" s="2"/>
      <x:c r="U330" s="2"/>
      <x:c r="V330" s="2"/>
      <x:c r="W330" s="2" t="s">
        <x:v>1374</x:v>
      </x:c>
      <x:c r="X330" s="3"/>
      <x:c r="Y330" s="3"/>
      <x:c r="Z330" s="2"/>
      <x:c r="AA330" s="2" t="s">
        <x:v>275</x:v>
      </x:c>
      <x:c r="AB330" s="2" t="s">
        <x:v>284</x:v>
      </x:c>
      <x:c r="AC330" s="2"/>
      <x:c r="AD330" s="2"/>
      <x:c r="AE330" s="2"/>
      <x:c r="AF330" s="2"/>
      <x:c r="AG330" s="2"/>
      <x:c r="AH330" s="2"/>
      <x:c r="AI330" s="4"/>
      <x:c r="AJ330" s="2"/>
      <x:c r="AK330" s="2" t="s">
        <x:v>234</x:v>
      </x:c>
      <x:c r="AL330" s="2" t="s">
        <x:v>2902</x:v>
      </x:c>
      <x:c r="AM330" s="2">
        <x:v>30</x:v>
      </x:c>
      <x:c r="AN330" s="2">
        <x:v>30</x:v>
      </x:c>
    </x:row>
    <x:row r="331" ht="52">
      <x:c r="A331" s="2" t="s">
        <x:v>6</x:v>
      </x:c>
      <x:c r="B331" s="2" t="s">
        <x:v>15</x:v>
      </x:c>
      <x:c r="C331" s="3">
        <x:v>29</x:v>
      </x:c>
      <x:c r="D331" s="2" t="s">
        <x:v>1376</x:v>
      </x:c>
      <x:c r="E331" s="2" t="s">
        <x:v>1372</x:v>
      </x:c>
      <x:c r="F331" s="2" t="s">
        <x:v>237</x:v>
      </x:c>
      <x:c r="G331" s="2"/>
      <x:c r="H331" s="2" t="s">
        <x:v>627</x:v>
      </x:c>
      <x:c r="I331" s="2" t="s">
        <x:v>1374</x:v>
      </x:c>
      <x:c r="J331" s="2" t="s">
        <x:v>1377</x:v>
      </x:c>
      <x:c r="K331" s="2" t="n">
        <x:v>28</x:v>
      </x:c>
      <x:c r="L331" s="2"/>
      <x:c r="M331" s="2"/>
      <x:c r="N331" s="2" t="s">
        <x:v>1350</x:v>
      </x:c>
      <x:c r="O331" s="2" t="s">
        <x:v>1355</x:v>
      </x:c>
      <x:c r="P331" s="2" t="s">
        <x:v>1356</x:v>
      </x:c>
      <x:c r="Q331" s="2"/>
      <x:c r="R331" s="3">
        <x:v>3</x:v>
      </x:c>
      <x:c r="S331" s="3"/>
      <x:c r="T331" s="2"/>
      <x:c r="U331" s="2"/>
      <x:c r="V331" s="2"/>
      <x:c r="W331" s="2" t="s">
        <x:v>1374</x:v>
      </x:c>
      <x:c r="X331" s="3"/>
      <x:c r="Y331" s="3"/>
      <x:c r="Z331" s="2"/>
      <x:c r="AA331" s="2" t="s">
        <x:v>275</x:v>
      </x:c>
      <x:c r="AB331" s="2" t="s">
        <x:v>1357</x:v>
      </x:c>
      <x:c r="AC331" s="2"/>
      <x:c r="AD331" s="2"/>
      <x:c r="AE331" s="2"/>
      <x:c r="AF331" s="2"/>
      <x:c r="AG331" s="2"/>
      <x:c r="AH331" s="2"/>
      <x:c r="AI331" s="4"/>
      <x:c r="AJ331" s="2"/>
      <x:c r="AK331" s="2" t="s">
        <x:v>234</x:v>
      </x:c>
      <x:c r="AL331" s="2" t="s">
        <x:v>2902</x:v>
      </x:c>
      <x:c r="AM331" s="2">
        <x:v>31</x:v>
      </x:c>
      <x:c r="AN331" s="2">
        <x:v>31</x:v>
      </x:c>
    </x:row>
    <x:row r="332" ht="39">
      <x:c r="A332" s="2" t="s">
        <x:v>91</x:v>
      </x:c>
      <x:c r="B332" s="2" t="s">
        <x:v>15</x:v>
      </x:c>
      <x:c r="C332" s="3">
        <x:v>30</x:v>
      </x:c>
      <x:c r="D332" s="2" t="s">
        <x:v>1378</x:v>
      </x:c>
      <x:c r="E332" s="2" t="s">
        <x:v>1372</x:v>
      </x:c>
      <x:c r="F332" s="2" t="s">
        <x:v>237</x:v>
      </x:c>
      <x:c r="G332" s="2" t="s">
        <x:v>2911</x:v>
      </x:c>
      <x:c r="H332" s="2" t="s">
        <x:v>634</x:v>
      </x:c>
      <x:c r="I332" s="2" t="s">
        <x:v>1374</x:v>
      </x:c>
      <x:c r="J332" s="2" t="s">
        <x:v>1359</x:v>
      </x:c>
      <x:c r="K332" s="2" t="n">
        <x:v>28</x:v>
      </x:c>
      <x:c r="L332" s="2"/>
      <x:c r="M332" s="2"/>
      <x:c r="N332" s="2" t="s">
        <x:v>1350</x:v>
      </x:c>
      <x:c r="O332" s="2" t="s">
        <x:v>1355</x:v>
      </x:c>
      <x:c r="P332" s="2" t="s">
        <x:v>1360</x:v>
      </x:c>
      <x:c r="Q332" s="2"/>
      <x:c r="R332" s="3">
        <x:v>3</x:v>
      </x:c>
      <x:c r="S332" s="3"/>
      <x:c r="T332" s="2"/>
      <x:c r="U332" s="2"/>
      <x:c r="V332" s="2"/>
      <x:c r="W332" s="2" t="s">
        <x:v>1374</x:v>
      </x:c>
      <x:c r="X332" s="3"/>
      <x:c r="Y332" s="3"/>
      <x:c r="Z332" s="2"/>
      <x:c r="AA332" s="2" t="s">
        <x:v>275</x:v>
      </x:c>
      <x:c r="AB332" s="2" t="s">
        <x:v>1379</x:v>
      </x:c>
      <x:c r="AC332" s="2"/>
      <x:c r="AD332" s="2"/>
      <x:c r="AE332" s="2"/>
      <x:c r="AF332" s="2"/>
      <x:c r="AG332" s="2"/>
      <x:c r="AH332" s="2"/>
      <x:c r="AI332" s="4"/>
      <x:c r="AJ332" s="2"/>
      <x:c r="AK332" s="2" t="s">
        <x:v>234</x:v>
      </x:c>
      <x:c r="AL332" s="2" t="s">
        <x:v>2902</x:v>
      </x:c>
      <x:c r="AM332" s="2">
        <x:v>32</x:v>
      </x:c>
      <x:c r="AN332" s="2">
        <x:v>32</x:v>
      </x:c>
    </x:row>
    <x:row r="333" ht="39">
      <x:c r="A333" s="2" t="s">
        <x:v>6</x:v>
      </x:c>
      <x:c r="B333" s="2" t="s">
        <x:v>15</x:v>
      </x:c>
      <x:c r="C333" s="3">
        <x:v>31</x:v>
      </x:c>
      <x:c r="D333" s="2" t="s">
        <x:v>1380</x:v>
      </x:c>
      <x:c r="E333" s="2" t="s">
        <x:v>1372</x:v>
      </x:c>
      <x:c r="F333" s="2" t="s">
        <x:v>237</x:v>
      </x:c>
      <x:c r="G333" s="2"/>
      <x:c r="H333" s="2" t="s">
        <x:v>634</x:v>
      </x:c>
      <x:c r="I333" s="2" t="s">
        <x:v>1374</x:v>
      </x:c>
      <x:c r="J333" s="2" t="s">
        <x:v>1363</x:v>
      </x:c>
      <x:c r="K333" s="2" t="n">
        <x:v>28</x:v>
      </x:c>
      <x:c r="L333" s="2"/>
      <x:c r="M333" s="2"/>
      <x:c r="N333" s="2" t="s">
        <x:v>1350</x:v>
      </x:c>
      <x:c r="O333" s="2" t="s">
        <x:v>1355</x:v>
      </x:c>
      <x:c r="P333" s="2" t="s">
        <x:v>1364</x:v>
      </x:c>
      <x:c r="Q333" s="2"/>
      <x:c r="R333" s="3">
        <x:v>3</x:v>
      </x:c>
      <x:c r="S333" s="3"/>
      <x:c r="T333" s="2"/>
      <x:c r="U333" s="2"/>
      <x:c r="V333" s="2"/>
      <x:c r="W333" s="2" t="s">
        <x:v>1374</x:v>
      </x:c>
      <x:c r="X333" s="3"/>
      <x:c r="Y333" s="3"/>
      <x:c r="Z333" s="2"/>
      <x:c r="AA333" s="2" t="s">
        <x:v>275</x:v>
      </x:c>
      <x:c r="AB333" s="2" t="s">
        <x:v>1365</x:v>
      </x:c>
      <x:c r="AC333" s="2"/>
      <x:c r="AD333" s="2"/>
      <x:c r="AE333" s="2"/>
      <x:c r="AF333" s="2"/>
      <x:c r="AG333" s="2"/>
      <x:c r="AH333" s="2"/>
      <x:c r="AI333" s="4"/>
      <x:c r="AJ333" s="2"/>
      <x:c r="AK333" s="2" t="s">
        <x:v>234</x:v>
      </x:c>
      <x:c r="AL333" s="2" t="s">
        <x:v>2902</x:v>
      </x:c>
      <x:c r="AM333" s="2">
        <x:v>33</x:v>
      </x:c>
      <x:c r="AN333" s="2">
        <x:v>33</x:v>
      </x:c>
    </x:row>
    <x:row r="334" ht="39">
      <x:c r="A334" s="2" t="s">
        <x:v>6</x:v>
      </x:c>
      <x:c r="B334" s="2" t="s">
        <x:v>15</x:v>
      </x:c>
      <x:c r="C334" s="3">
        <x:v>32</x:v>
      </x:c>
      <x:c r="D334" s="2" t="s">
        <x:v>1366</x:v>
      </x:c>
      <x:c r="E334" s="2" t="s">
        <x:v>1372</x:v>
      </x:c>
      <x:c r="F334" s="2" t="s">
        <x:v>224</x:v>
      </x:c>
      <x:c r="G334" s="2"/>
      <x:c r="H334" s="2" t="s">
        <x:v>634</x:v>
      </x:c>
      <x:c r="I334" s="2" t="s">
        <x:v>1374</x:v>
      </x:c>
      <x:c r="J334" s="2" t="s">
        <x:v>1363</x:v>
      </x:c>
      <x:c r="K334" s="2" t="n">
        <x:v>28</x:v>
      </x:c>
      <x:c r="L334" s="2"/>
      <x:c r="M334" s="2"/>
      <x:c r="N334" s="2" t="s">
        <x:v>1350</x:v>
      </x:c>
      <x:c r="O334" s="2" t="s">
        <x:v>1355</x:v>
      </x:c>
      <x:c r="P334" s="2" t="s">
        <x:v>1364</x:v>
      </x:c>
      <x:c r="Q334" s="2"/>
      <x:c r="R334" s="3">
        <x:v>3</x:v>
      </x:c>
      <x:c r="S334" s="3"/>
      <x:c r="T334" s="2"/>
      <x:c r="U334" s="2"/>
      <x:c r="V334" s="2"/>
      <x:c r="W334" s="2" t="s">
        <x:v>1374</x:v>
      </x:c>
      <x:c r="X334" s="3"/>
      <x:c r="Y334" s="3"/>
      <x:c r="Z334" s="2"/>
      <x:c r="AA334" s="2" t="s">
        <x:v>232</x:v>
      </x:c>
      <x:c r="AB334" s="2" t="s">
        <x:v>1365</x:v>
      </x:c>
      <x:c r="AC334" s="2"/>
      <x:c r="AD334" s="2"/>
      <x:c r="AE334" s="2"/>
      <x:c r="AF334" s="2"/>
      <x:c r="AG334" s="2"/>
      <x:c r="AH334" s="2"/>
      <x:c r="AI334" s="4"/>
      <x:c r="AJ334" s="2"/>
      <x:c r="AK334" s="2" t="s">
        <x:v>234</x:v>
      </x:c>
      <x:c r="AL334" s="2" t="s">
        <x:v>2902</x:v>
      </x:c>
      <x:c r="AM334" s="2">
        <x:v>34</x:v>
      </x:c>
      <x:c r="AN334" s="2">
        <x:v>34</x:v>
      </x:c>
    </x:row>
    <x:row r="335" ht="39">
      <x:c r="A335" s="2" t="s">
        <x:v>91</x:v>
      </x:c>
      <x:c r="B335" s="2" t="s">
        <x:v>15</x:v>
      </x:c>
      <x:c r="C335" s="3">
        <x:v>33</x:v>
      </x:c>
      <x:c r="D335" s="2" t="s">
        <x:v>1382</x:v>
      </x:c>
      <x:c r="E335" s="2" t="s">
        <x:v>1372</x:v>
      </x:c>
      <x:c r="F335" s="2" t="s">
        <x:v>224</x:v>
      </x:c>
      <x:c r="G335" s="2" t="s">
        <x:v>2911</x:v>
      </x:c>
      <x:c r="H335" s="2" t="s">
        <x:v>634</x:v>
      </x:c>
      <x:c r="I335" s="2" t="s">
        <x:v>1374</x:v>
      </x:c>
      <x:c r="J335" s="2" t="s">
        <x:v>1359</x:v>
      </x:c>
      <x:c r="K335" s="2" t="n">
        <x:v>28</x:v>
      </x:c>
      <x:c r="L335" s="2"/>
      <x:c r="M335" s="2"/>
      <x:c r="N335" s="2" t="s">
        <x:v>1350</x:v>
      </x:c>
      <x:c r="O335" s="2" t="s">
        <x:v>1355</x:v>
      </x:c>
      <x:c r="P335" s="2" t="s">
        <x:v>1360</x:v>
      </x:c>
      <x:c r="Q335" s="2"/>
      <x:c r="R335" s="3">
        <x:v>3</x:v>
      </x:c>
      <x:c r="S335" s="3"/>
      <x:c r="T335" s="2"/>
      <x:c r="U335" s="2"/>
      <x:c r="V335" s="2"/>
      <x:c r="W335" s="2" t="s">
        <x:v>1374</x:v>
      </x:c>
      <x:c r="X335" s="3"/>
      <x:c r="Y335" s="3"/>
      <x:c r="Z335" s="2"/>
      <x:c r="AA335" s="2" t="s">
        <x:v>232</x:v>
      </x:c>
      <x:c r="AB335" s="2" t="s">
        <x:v>1361</x:v>
      </x:c>
      <x:c r="AC335" s="2"/>
      <x:c r="AD335" s="2"/>
      <x:c r="AE335" s="2"/>
      <x:c r="AF335" s="2"/>
      <x:c r="AG335" s="2"/>
      <x:c r="AH335" s="2"/>
      <x:c r="AI335" s="4"/>
      <x:c r="AJ335" s="2"/>
      <x:c r="AK335" s="2" t="s">
        <x:v>234</x:v>
      </x:c>
      <x:c r="AL335" s="2" t="s">
        <x:v>2902</x:v>
      </x:c>
      <x:c r="AM335" s="2">
        <x:v>35</x:v>
      </x:c>
      <x:c r="AN335" s="2">
        <x:v>35</x:v>
      </x:c>
    </x:row>
    <x:row r="336" ht="52">
      <x:c r="A336" s="2" t="s">
        <x:v>6</x:v>
      </x:c>
      <x:c r="B336" s="2" t="s">
        <x:v>15</x:v>
      </x:c>
      <x:c r="C336" s="3">
        <x:v>34</x:v>
      </x:c>
      <x:c r="D336" s="2" t="s">
        <x:v>1384</x:v>
      </x:c>
      <x:c r="E336" s="2" t="s">
        <x:v>1372</x:v>
      </x:c>
      <x:c r="F336" s="2" t="s">
        <x:v>224</x:v>
      </x:c>
      <x:c r="G336" s="2"/>
      <x:c r="H336" s="2" t="s">
        <x:v>627</x:v>
      </x:c>
      <x:c r="I336" s="2" t="s">
        <x:v>1374</x:v>
      </x:c>
      <x:c r="J336" s="2" t="s">
        <x:v>1386</x:v>
      </x:c>
      <x:c r="K336" s="2" t="n">
        <x:v>28</x:v>
      </x:c>
      <x:c r="L336" s="2"/>
      <x:c r="M336" s="2"/>
      <x:c r="N336" s="2" t="s">
        <x:v>1350</x:v>
      </x:c>
      <x:c r="O336" s="2" t="s">
        <x:v>1355</x:v>
      </x:c>
      <x:c r="P336" s="2" t="s">
        <x:v>1356</x:v>
      </x:c>
      <x:c r="Q336" s="2"/>
      <x:c r="R336" s="3">
        <x:v>3</x:v>
      </x:c>
      <x:c r="S336" s="3"/>
      <x:c r="T336" s="2"/>
      <x:c r="U336" s="2"/>
      <x:c r="V336" s="2"/>
      <x:c r="W336" s="2" t="s">
        <x:v>1374</x:v>
      </x:c>
      <x:c r="X336" s="3"/>
      <x:c r="Y336" s="3"/>
      <x:c r="Z336" s="2"/>
      <x:c r="AA336" s="2" t="s">
        <x:v>232</x:v>
      </x:c>
      <x:c r="AB336" s="2" t="s">
        <x:v>1357</x:v>
      </x:c>
      <x:c r="AC336" s="2"/>
      <x:c r="AD336" s="2"/>
      <x:c r="AE336" s="2"/>
      <x:c r="AF336" s="2"/>
      <x:c r="AG336" s="2"/>
      <x:c r="AH336" s="2"/>
      <x:c r="AI336" s="4"/>
      <x:c r="AJ336" s="2"/>
      <x:c r="AK336" s="2" t="s">
        <x:v>234</x:v>
      </x:c>
      <x:c r="AL336" s="2" t="s">
        <x:v>2902</x:v>
      </x:c>
      <x:c r="AM336" s="2">
        <x:v>36</x:v>
      </x:c>
      <x:c r="AN336" s="2">
        <x:v>36</x:v>
      </x:c>
    </x:row>
    <x:row r="337" ht="52">
      <x:c r="A337" s="2" t="s">
        <x:v>6</x:v>
      </x:c>
      <x:c r="B337" s="2" t="s">
        <x:v>15</x:v>
      </x:c>
      <x:c r="C337" s="3">
        <x:v>35</x:v>
      </x:c>
      <x:c r="D337" s="2" t="s">
        <x:v>1346</x:v>
      </x:c>
      <x:c r="E337" s="2" t="s">
        <x:v>1372</x:v>
      </x:c>
      <x:c r="F337" s="2" t="s">
        <x:v>224</x:v>
      </x:c>
      <x:c r="G337" s="2"/>
      <x:c r="H337" s="2" t="s">
        <x:v>618</x:v>
      </x:c>
      <x:c r="I337" s="2" t="s">
        <x:v>1374</x:v>
      </x:c>
      <x:c r="J337" s="2" t="s">
        <x:v>1387</x:v>
      </x:c>
      <x:c r="K337" s="2" t="n">
        <x:v>28</x:v>
      </x:c>
      <x:c r="L337" s="2"/>
      <x:c r="M337" s="2"/>
      <x:c r="N337" s="2" t="s">
        <x:v>1350</x:v>
      </x:c>
      <x:c r="O337" s="2" t="s">
        <x:v>1355</x:v>
      </x:c>
      <x:c r="P337" s="2" t="s">
        <x:v>1352</x:v>
      </x:c>
      <x:c r="Q337" s="2"/>
      <x:c r="R337" s="3">
        <x:v>3</x:v>
      </x:c>
      <x:c r="S337" s="3"/>
      <x:c r="T337" s="2"/>
      <x:c r="U337" s="2"/>
      <x:c r="V337" s="2"/>
      <x:c r="W337" s="2" t="s">
        <x:v>1374</x:v>
      </x:c>
      <x:c r="X337" s="3"/>
      <x:c r="Y337" s="3"/>
      <x:c r="Z337" s="2"/>
      <x:c r="AA337" s="2" t="s">
        <x:v>232</x:v>
      </x:c>
      <x:c r="AB337" s="2" t="s">
        <x:v>292</x:v>
      </x:c>
      <x:c r="AC337" s="2"/>
      <x:c r="AD337" s="2"/>
      <x:c r="AE337" s="2"/>
      <x:c r="AF337" s="2"/>
      <x:c r="AG337" s="2"/>
      <x:c r="AH337" s="2"/>
      <x:c r="AI337" s="4"/>
      <x:c r="AJ337" s="2"/>
      <x:c r="AK337" s="2" t="s">
        <x:v>234</x:v>
      </x:c>
      <x:c r="AL337" s="2" t="s">
        <x:v>2902</x:v>
      </x:c>
      <x:c r="AM337" s="2">
        <x:v>37</x:v>
      </x:c>
      <x:c r="AN337" s="2">
        <x:v>37</x:v>
      </x:c>
    </x:row>
    <x:row r="338" ht="52">
      <x:c r="A338" s="2" t="s">
        <x:v>6</x:v>
      </x:c>
      <x:c r="B338" s="2" t="s">
        <x:v>15</x:v>
      </x:c>
      <x:c r="C338" s="3">
        <x:v>36</x:v>
      </x:c>
      <x:c r="D338" s="2" t="s">
        <x:v>1388</x:v>
      </x:c>
      <x:c r="E338" s="2" t="s">
        <x:v>1389</x:v>
      </x:c>
      <x:c r="F338" s="2" t="s">
        <x:v>247</x:v>
      </x:c>
      <x:c r="G338" s="2"/>
      <x:c r="H338" s="2" t="s">
        <x:v>618</x:v>
      </x:c>
      <x:c r="I338" s="2" t="s">
        <x:v>1390</x:v>
      </x:c>
      <x:c r="J338" s="2" t="s">
        <x:v>1391</x:v>
      </x:c>
      <x:c r="K338" s="2"/>
      <x:c r="L338" s="2"/>
      <x:c r="M338" s="2"/>
      <x:c r="N338" s="2" t="s">
        <x:v>1350</x:v>
      </x:c>
      <x:c r="O338" s="2" t="s">
        <x:v>1351</x:v>
      </x:c>
      <x:c r="P338" s="2" t="s">
        <x:v>1352</x:v>
      </x:c>
      <x:c r="Q338" s="2"/>
      <x:c r="R338" s="3">
        <x:v>2</x:v>
      </x:c>
      <x:c r="S338" s="3"/>
      <x:c r="T338" s="2"/>
      <x:c r="U338" s="2"/>
      <x:c r="V338" s="2"/>
      <x:c r="W338" s="2" t="s">
        <x:v>1390</x:v>
      </x:c>
      <x:c r="X338" s="3"/>
      <x:c r="Y338" s="3"/>
      <x:c r="Z338" s="2"/>
      <x:c r="AA338" s="2" t="s">
        <x:v>232</x:v>
      </x:c>
      <x:c r="AB338" s="2" t="s">
        <x:v>233</x:v>
      </x:c>
      <x:c r="AC338" s="2"/>
      <x:c r="AD338" s="2"/>
      <x:c r="AE338" s="2"/>
      <x:c r="AF338" s="2"/>
      <x:c r="AG338" s="2"/>
      <x:c r="AH338" s="2"/>
      <x:c r="AI338" s="4"/>
      <x:c r="AJ338" s="2"/>
      <x:c r="AK338" s="2" t="s">
        <x:v>234</x:v>
      </x:c>
      <x:c r="AL338" s="2" t="s">
        <x:v>2902</x:v>
      </x:c>
      <x:c r="AM338" s="2">
        <x:v>38</x:v>
      </x:c>
      <x:c r="AN338" s="2">
        <x:v>38</x:v>
      </x:c>
    </x:row>
    <x:row r="339" ht="52">
      <x:c r="A339" s="2" t="s">
        <x:v>6</x:v>
      </x:c>
      <x:c r="B339" s="2" t="s">
        <x:v>15</x:v>
      </x:c>
      <x:c r="C339" s="3">
        <x:v>37</x:v>
      </x:c>
      <x:c r="D339" s="2" t="s">
        <x:v>1392</x:v>
      </x:c>
      <x:c r="E339" s="2" t="s">
        <x:v>1389</x:v>
      </x:c>
      <x:c r="F339" s="2" t="s">
        <x:v>247</x:v>
      </x:c>
      <x:c r="G339" s="2"/>
      <x:c r="H339" s="2" t="s">
        <x:v>627</x:v>
      </x:c>
      <x:c r="I339" s="2" t="s">
        <x:v>1390</x:v>
      </x:c>
      <x:c r="J339" s="2" t="s">
        <x:v>1393</x:v>
      </x:c>
      <x:c r="K339" s="2" t="n">
        <x:v>36</x:v>
      </x:c>
      <x:c r="L339" s="2"/>
      <x:c r="M339" s="2"/>
      <x:c r="N339" s="2" t="s">
        <x:v>1350</x:v>
      </x:c>
      <x:c r="O339" s="2" t="s">
        <x:v>1355</x:v>
      </x:c>
      <x:c r="P339" s="2" t="s">
        <x:v>1356</x:v>
      </x:c>
      <x:c r="Q339" s="2"/>
      <x:c r="R339" s="3">
        <x:v>2</x:v>
      </x:c>
      <x:c r="S339" s="3"/>
      <x:c r="T339" s="2"/>
      <x:c r="U339" s="2"/>
      <x:c r="V339" s="2"/>
      <x:c r="W339" s="2" t="s">
        <x:v>1390</x:v>
      </x:c>
      <x:c r="X339" s="3"/>
      <x:c r="Y339" s="3"/>
      <x:c r="Z339" s="2"/>
      <x:c r="AA339" s="2" t="s">
        <x:v>232</x:v>
      </x:c>
      <x:c r="AB339" s="2" t="s">
        <x:v>1357</x:v>
      </x:c>
      <x:c r="AC339" s="2"/>
      <x:c r="AD339" s="2"/>
      <x:c r="AE339" s="2"/>
      <x:c r="AF339" s="2"/>
      <x:c r="AG339" s="2"/>
      <x:c r="AH339" s="2"/>
      <x:c r="AI339" s="4"/>
      <x:c r="AJ339" s="2"/>
      <x:c r="AK339" s="2" t="s">
        <x:v>234</x:v>
      </x:c>
      <x:c r="AL339" s="2" t="s">
        <x:v>2902</x:v>
      </x:c>
      <x:c r="AM339" s="2">
        <x:v>39</x:v>
      </x:c>
      <x:c r="AN339" s="2">
        <x:v>39</x:v>
      </x:c>
    </x:row>
    <x:row r="340" ht="39">
      <x:c r="A340" s="2" t="s">
        <x:v>91</x:v>
      </x:c>
      <x:c r="B340" s="2" t="s">
        <x:v>15</x:v>
      </x:c>
      <x:c r="C340" s="3">
        <x:v>38</x:v>
      </x:c>
      <x:c r="D340" s="2" t="s">
        <x:v>1394</x:v>
      </x:c>
      <x:c r="E340" s="2" t="s">
        <x:v>1389</x:v>
      </x:c>
      <x:c r="F340" s="2" t="s">
        <x:v>247</x:v>
      </x:c>
      <x:c r="G340" s="2" t="s">
        <x:v>2912</x:v>
      </x:c>
      <x:c r="H340" s="2" t="s">
        <x:v>634</x:v>
      </x:c>
      <x:c r="I340" s="2" t="s">
        <x:v>1390</x:v>
      </x:c>
      <x:c r="J340" s="2" t="s">
        <x:v>1359</x:v>
      </x:c>
      <x:c r="K340" s="2" t="n">
        <x:v>36</x:v>
      </x:c>
      <x:c r="L340" s="2"/>
      <x:c r="M340" s="2"/>
      <x:c r="N340" s="2" t="s">
        <x:v>1350</x:v>
      </x:c>
      <x:c r="O340" s="2" t="s">
        <x:v>1355</x:v>
      </x:c>
      <x:c r="P340" s="2" t="s">
        <x:v>1360</x:v>
      </x:c>
      <x:c r="Q340" s="2"/>
      <x:c r="R340" s="3">
        <x:v>2</x:v>
      </x:c>
      <x:c r="S340" s="3"/>
      <x:c r="T340" s="2"/>
      <x:c r="U340" s="2"/>
      <x:c r="V340" s="2"/>
      <x:c r="W340" s="2" t="s">
        <x:v>1390</x:v>
      </x:c>
      <x:c r="X340" s="3"/>
      <x:c r="Y340" s="3"/>
      <x:c r="Z340" s="2"/>
      <x:c r="AA340" s="2" t="s">
        <x:v>232</x:v>
      </x:c>
      <x:c r="AB340" s="2" t="s">
        <x:v>1396</x:v>
      </x:c>
      <x:c r="AC340" s="2"/>
      <x:c r="AD340" s="2"/>
      <x:c r="AE340" s="2"/>
      <x:c r="AF340" s="2"/>
      <x:c r="AG340" s="2"/>
      <x:c r="AH340" s="2"/>
      <x:c r="AI340" s="4"/>
      <x:c r="AJ340" s="2"/>
      <x:c r="AK340" s="2" t="s">
        <x:v>234</x:v>
      </x:c>
      <x:c r="AL340" s="2" t="s">
        <x:v>2902</x:v>
      </x:c>
      <x:c r="AM340" s="2">
        <x:v>40</x:v>
      </x:c>
      <x:c r="AN340" s="2">
        <x:v>40</x:v>
      </x:c>
    </x:row>
    <x:row r="341" ht="39">
      <x:c r="A341" s="2" t="s">
        <x:v>91</x:v>
      </x:c>
      <x:c r="B341" s="2" t="s">
        <x:v>15</x:v>
      </x:c>
      <x:c r="C341" s="3">
        <x:v>39</x:v>
      </x:c>
      <x:c r="D341" s="2" t="s">
        <x:v>1397</x:v>
      </x:c>
      <x:c r="E341" s="2" t="s">
        <x:v>1389</x:v>
      </x:c>
      <x:c r="F341" s="2" t="s">
        <x:v>247</x:v>
      </x:c>
      <x:c r="G341" s="2" t="s">
        <x:v>2913</x:v>
      </x:c>
      <x:c r="H341" s="2" t="s">
        <x:v>634</x:v>
      </x:c>
      <x:c r="I341" s="2" t="s">
        <x:v>1390</x:v>
      </x:c>
      <x:c r="J341" s="2" t="s">
        <x:v>1363</x:v>
      </x:c>
      <x:c r="K341" s="2" t="n">
        <x:v>36</x:v>
      </x:c>
      <x:c r="L341" s="2"/>
      <x:c r="M341" s="2"/>
      <x:c r="N341" s="2" t="s">
        <x:v>1350</x:v>
      </x:c>
      <x:c r="O341" s="2" t="s">
        <x:v>1355</x:v>
      </x:c>
      <x:c r="P341" s="2" t="s">
        <x:v>1364</x:v>
      </x:c>
      <x:c r="Q341" s="2"/>
      <x:c r="R341" s="3">
        <x:v>2</x:v>
      </x:c>
      <x:c r="S341" s="3"/>
      <x:c r="T341" s="2"/>
      <x:c r="U341" s="2"/>
      <x:c r="V341" s="2"/>
      <x:c r="W341" s="2" t="s">
        <x:v>1390</x:v>
      </x:c>
      <x:c r="X341" s="3"/>
      <x:c r="Y341" s="3"/>
      <x:c r="Z341" s="2"/>
      <x:c r="AA341" s="2" t="s">
        <x:v>232</x:v>
      </x:c>
      <x:c r="AB341" s="2" t="s">
        <x:v>1365</x:v>
      </x:c>
      <x:c r="AC341" s="2"/>
      <x:c r="AD341" s="2"/>
      <x:c r="AE341" s="2"/>
      <x:c r="AF341" s="2"/>
      <x:c r="AG341" s="2"/>
      <x:c r="AH341" s="2"/>
      <x:c r="AI341" s="4"/>
      <x:c r="AJ341" s="2"/>
      <x:c r="AK341" s="2" t="s">
        <x:v>234</x:v>
      </x:c>
      <x:c r="AL341" s="2" t="s">
        <x:v>2902</x:v>
      </x:c>
      <x:c r="AM341" s="2">
        <x:v>41</x:v>
      </x:c>
      <x:c r="AN341" s="2">
        <x:v>41</x:v>
      </x:c>
    </x:row>
    <x:row r="342" ht="39">
      <x:c r="A342" s="2" t="s">
        <x:v>6</x:v>
      </x:c>
      <x:c r="B342" s="2" t="s">
        <x:v>15</x:v>
      </x:c>
      <x:c r="C342" s="3">
        <x:v>40</x:v>
      </x:c>
      <x:c r="D342" s="2" t="s">
        <x:v>1398</x:v>
      </x:c>
      <x:c r="E342" s="2" t="s">
        <x:v>1389</x:v>
      </x:c>
      <x:c r="F342" s="2" t="s">
        <x:v>254</x:v>
      </x:c>
      <x:c r="G342" s="2"/>
      <x:c r="H342" s="2" t="s">
        <x:v>634</x:v>
      </x:c>
      <x:c r="I342" s="2" t="s">
        <x:v>1390</x:v>
      </x:c>
      <x:c r="J342" s="2" t="s">
        <x:v>1363</x:v>
      </x:c>
      <x:c r="K342" s="2" t="n">
        <x:v>36</x:v>
      </x:c>
      <x:c r="L342" s="2"/>
      <x:c r="M342" s="2"/>
      <x:c r="N342" s="2" t="s">
        <x:v>1350</x:v>
      </x:c>
      <x:c r="O342" s="2" t="s">
        <x:v>1355</x:v>
      </x:c>
      <x:c r="P342" s="2" t="s">
        <x:v>1364</x:v>
      </x:c>
      <x:c r="Q342" s="2"/>
      <x:c r="R342" s="3">
        <x:v>2</x:v>
      </x:c>
      <x:c r="S342" s="3"/>
      <x:c r="T342" s="2"/>
      <x:c r="U342" s="2"/>
      <x:c r="V342" s="2"/>
      <x:c r="W342" s="2" t="s">
        <x:v>1390</x:v>
      </x:c>
      <x:c r="X342" s="3"/>
      <x:c r="Y342" s="3"/>
      <x:c r="Z342" s="2"/>
      <x:c r="AA342" s="2" t="s">
        <x:v>243</x:v>
      </x:c>
      <x:c r="AB342" s="2" t="s">
        <x:v>1365</x:v>
      </x:c>
      <x:c r="AC342" s="2"/>
      <x:c r="AD342" s="2"/>
      <x:c r="AE342" s="2"/>
      <x:c r="AF342" s="2"/>
      <x:c r="AG342" s="2"/>
      <x:c r="AH342" s="2"/>
      <x:c r="AI342" s="4"/>
      <x:c r="AJ342" s="2"/>
      <x:c r="AK342" s="2" t="s">
        <x:v>234</x:v>
      </x:c>
      <x:c r="AL342" s="2" t="s">
        <x:v>2902</x:v>
      </x:c>
      <x:c r="AM342" s="2">
        <x:v>42</x:v>
      </x:c>
      <x:c r="AN342" s="2">
        <x:v>42</x:v>
      </x:c>
    </x:row>
    <x:row r="343" ht="39">
      <x:c r="A343" s="2" t="s">
        <x:v>91</x:v>
      </x:c>
      <x:c r="B343" s="2" t="s">
        <x:v>15</x:v>
      </x:c>
      <x:c r="C343" s="3">
        <x:v>41</x:v>
      </x:c>
      <x:c r="D343" s="2" t="s">
        <x:v>1399</x:v>
      </x:c>
      <x:c r="E343" s="2" t="s">
        <x:v>1389</x:v>
      </x:c>
      <x:c r="F343" s="2" t="s">
        <x:v>254</x:v>
      </x:c>
      <x:c r="G343" s="2" t="s">
        <x:v>2908</x:v>
      </x:c>
      <x:c r="H343" s="2" t="s">
        <x:v>634</x:v>
      </x:c>
      <x:c r="I343" s="2" t="s">
        <x:v>1390</x:v>
      </x:c>
      <x:c r="J343" s="2" t="s">
        <x:v>1359</x:v>
      </x:c>
      <x:c r="K343" s="2" t="n">
        <x:v>36</x:v>
      </x:c>
      <x:c r="L343" s="2"/>
      <x:c r="M343" s="2"/>
      <x:c r="N343" s="2" t="s">
        <x:v>1350</x:v>
      </x:c>
      <x:c r="O343" s="2" t="s">
        <x:v>1355</x:v>
      </x:c>
      <x:c r="P343" s="2" t="s">
        <x:v>1360</x:v>
      </x:c>
      <x:c r="Q343" s="2"/>
      <x:c r="R343" s="3">
        <x:v>2</x:v>
      </x:c>
      <x:c r="S343" s="3"/>
      <x:c r="T343" s="2"/>
      <x:c r="U343" s="2"/>
      <x:c r="V343" s="2"/>
      <x:c r="W343" s="2" t="s">
        <x:v>1390</x:v>
      </x:c>
      <x:c r="X343" s="3"/>
      <x:c r="Y343" s="3"/>
      <x:c r="Z343" s="2"/>
      <x:c r="AA343" s="2" t="s">
        <x:v>243</x:v>
      </x:c>
      <x:c r="AB343" s="2" t="s">
        <x:v>1368</x:v>
      </x:c>
      <x:c r="AC343" s="2"/>
      <x:c r="AD343" s="2"/>
      <x:c r="AE343" s="2"/>
      <x:c r="AF343" s="2"/>
      <x:c r="AG343" s="2"/>
      <x:c r="AH343" s="2"/>
      <x:c r="AI343" s="4"/>
      <x:c r="AJ343" s="2"/>
      <x:c r="AK343" s="2" t="s">
        <x:v>234</x:v>
      </x:c>
      <x:c r="AL343" s="2" t="s">
        <x:v>2902</x:v>
      </x:c>
      <x:c r="AM343" s="2">
        <x:v>43</x:v>
      </x:c>
      <x:c r="AN343" s="2">
        <x:v>43</x:v>
      </x:c>
    </x:row>
    <x:row r="344" ht="52">
      <x:c r="A344" s="2" t="s">
        <x:v>6</x:v>
      </x:c>
      <x:c r="B344" s="2" t="s">
        <x:v>15</x:v>
      </x:c>
      <x:c r="C344" s="3">
        <x:v>42</x:v>
      </x:c>
      <x:c r="D344" s="2" t="s">
        <x:v>1401</x:v>
      </x:c>
      <x:c r="E344" s="2" t="s">
        <x:v>1389</x:v>
      </x:c>
      <x:c r="F344" s="2" t="s">
        <x:v>254</x:v>
      </x:c>
      <x:c r="G344" s="2"/>
      <x:c r="H344" s="2" t="s">
        <x:v>627</x:v>
      </x:c>
      <x:c r="I344" s="2" t="s">
        <x:v>1390</x:v>
      </x:c>
      <x:c r="J344" s="2" t="s">
        <x:v>1402</x:v>
      </x:c>
      <x:c r="K344" s="2" t="n">
        <x:v>36</x:v>
      </x:c>
      <x:c r="L344" s="2"/>
      <x:c r="M344" s="2"/>
      <x:c r="N344" s="2" t="s">
        <x:v>1350</x:v>
      </x:c>
      <x:c r="O344" s="2" t="s">
        <x:v>1355</x:v>
      </x:c>
      <x:c r="P344" s="2" t="s">
        <x:v>1356</x:v>
      </x:c>
      <x:c r="Q344" s="2"/>
      <x:c r="R344" s="3">
        <x:v>2</x:v>
      </x:c>
      <x:c r="S344" s="3"/>
      <x:c r="T344" s="2"/>
      <x:c r="U344" s="2"/>
      <x:c r="V344" s="2"/>
      <x:c r="W344" s="2" t="s">
        <x:v>1390</x:v>
      </x:c>
      <x:c r="X344" s="3"/>
      <x:c r="Y344" s="3"/>
      <x:c r="Z344" s="2"/>
      <x:c r="AA344" s="2" t="s">
        <x:v>243</x:v>
      </x:c>
      <x:c r="AB344" s="2" t="s">
        <x:v>1357</x:v>
      </x:c>
      <x:c r="AC344" s="2"/>
      <x:c r="AD344" s="2"/>
      <x:c r="AE344" s="2"/>
      <x:c r="AF344" s="2"/>
      <x:c r="AG344" s="2"/>
      <x:c r="AH344" s="2"/>
      <x:c r="AI344" s="4"/>
      <x:c r="AJ344" s="2"/>
      <x:c r="AK344" s="2" t="s">
        <x:v>234</x:v>
      </x:c>
      <x:c r="AL344" s="2" t="s">
        <x:v>2902</x:v>
      </x:c>
      <x:c r="AM344" s="2">
        <x:v>44</x:v>
      </x:c>
      <x:c r="AN344" s="2">
        <x:v>44</x:v>
      </x:c>
    </x:row>
    <x:row r="345" ht="52">
      <x:c r="A345" s="2" t="s">
        <x:v>6</x:v>
      </x:c>
      <x:c r="B345" s="2" t="s">
        <x:v>15</x:v>
      </x:c>
      <x:c r="C345" s="3">
        <x:v>43</x:v>
      </x:c>
      <x:c r="D345" s="2" t="s">
        <x:v>1281</x:v>
      </x:c>
      <x:c r="E345" s="2" t="s">
        <x:v>1389</x:v>
      </x:c>
      <x:c r="F345" s="2" t="s">
        <x:v>254</x:v>
      </x:c>
      <x:c r="G345" s="2"/>
      <x:c r="H345" s="2" t="s">
        <x:v>618</x:v>
      </x:c>
      <x:c r="I345" s="2" t="s">
        <x:v>1390</x:v>
      </x:c>
      <x:c r="J345" s="2" t="s">
        <x:v>1403</x:v>
      </x:c>
      <x:c r="K345" s="2" t="n">
        <x:v>36</x:v>
      </x:c>
      <x:c r="L345" s="2"/>
      <x:c r="M345" s="2"/>
      <x:c r="N345" s="2" t="s">
        <x:v>1350</x:v>
      </x:c>
      <x:c r="O345" s="2" t="s">
        <x:v>1355</x:v>
      </x:c>
      <x:c r="P345" s="2" t="s">
        <x:v>1352</x:v>
      </x:c>
      <x:c r="Q345" s="2"/>
      <x:c r="R345" s="3">
        <x:v>2</x:v>
      </x:c>
      <x:c r="S345" s="3"/>
      <x:c r="T345" s="2"/>
      <x:c r="U345" s="2"/>
      <x:c r="V345" s="2"/>
      <x:c r="W345" s="2" t="s">
        <x:v>1390</x:v>
      </x:c>
      <x:c r="X345" s="3"/>
      <x:c r="Y345" s="3"/>
      <x:c r="Z345" s="2"/>
      <x:c r="AA345" s="2" t="s">
        <x:v>243</x:v>
      </x:c>
      <x:c r="AB345" s="2" t="s">
        <x:v>244</x:v>
      </x:c>
      <x:c r="AC345" s="2"/>
      <x:c r="AD345" s="2"/>
      <x:c r="AE345" s="2"/>
      <x:c r="AF345" s="2"/>
      <x:c r="AG345" s="2"/>
      <x:c r="AH345" s="2"/>
      <x:c r="AI345" s="4"/>
      <x:c r="AJ345" s="2"/>
      <x:c r="AK345" s="2" t="s">
        <x:v>234</x:v>
      </x:c>
      <x:c r="AL345" s="2" t="s">
        <x:v>2902</x:v>
      </x:c>
      <x:c r="AM345" s="2">
        <x:v>45</x:v>
      </x:c>
      <x:c r="AN345" s="2">
        <x:v>45</x:v>
      </x:c>
    </x:row>
    <x:row r="346" ht="52">
      <x:c r="A346" s="2" t="s">
        <x:v>91</x:v>
      </x:c>
      <x:c r="B346" s="2" t="s">
        <x:v>15</x:v>
      </x:c>
      <x:c r="C346" s="3">
        <x:v>44</x:v>
      </x:c>
      <x:c r="D346" s="2" t="s">
        <x:v>1340</x:v>
      </x:c>
      <x:c r="E346" s="2" t="s">
        <x:v>1404</x:v>
      </x:c>
      <x:c r="F346" s="2" t="s">
        <x:v>247</x:v>
      </x:c>
      <x:c r="G346" s="2" t="s">
        <x:v>2914</x:v>
      </x:c>
      <x:c r="H346" s="2" t="s">
        <x:v>618</x:v>
      </x:c>
      <x:c r="I346" s="2" t="s">
        <x:v>1405</x:v>
      </x:c>
      <x:c r="J346" s="2" t="s">
        <x:v>1406</x:v>
      </x:c>
      <x:c r="K346" s="2"/>
      <x:c r="L346" s="2"/>
      <x:c r="M346" s="2"/>
      <x:c r="N346" s="2" t="s">
        <x:v>1350</x:v>
      </x:c>
      <x:c r="O346" s="2" t="s">
        <x:v>1351</x:v>
      </x:c>
      <x:c r="P346" s="2" t="s">
        <x:v>1352</x:v>
      </x:c>
      <x:c r="Q346" s="2"/>
      <x:c r="R346" s="3">
        <x:v>3</x:v>
      </x:c>
      <x:c r="S346" s="3"/>
      <x:c r="T346" s="2"/>
      <x:c r="U346" s="2"/>
      <x:c r="V346" s="2"/>
      <x:c r="W346" s="2" t="s">
        <x:v>1405</x:v>
      </x:c>
      <x:c r="X346" s="3"/>
      <x:c r="Y346" s="3"/>
      <x:c r="Z346" s="2"/>
      <x:c r="AA346" s="2" t="s">
        <x:v>275</x:v>
      </x:c>
      <x:c r="AB346" s="2" t="s">
        <x:v>284</x:v>
      </x:c>
      <x:c r="AC346" s="2"/>
      <x:c r="AD346" s="2"/>
      <x:c r="AE346" s="2"/>
      <x:c r="AF346" s="2"/>
      <x:c r="AG346" s="2"/>
      <x:c r="AH346" s="2"/>
      <x:c r="AI346" s="4"/>
      <x:c r="AJ346" s="2"/>
      <x:c r="AK346" s="2" t="s">
        <x:v>234</x:v>
      </x:c>
      <x:c r="AL346" s="2" t="s">
        <x:v>2902</x:v>
      </x:c>
      <x:c r="AM346" s="2">
        <x:v>46</x:v>
      </x:c>
      <x:c r="AN346" s="2">
        <x:v>46</x:v>
      </x:c>
    </x:row>
    <x:row r="347" ht="52">
      <x:c r="A347" s="2" t="s">
        <x:v>91</x:v>
      </x:c>
      <x:c r="B347" s="2" t="s">
        <x:v>15</x:v>
      </x:c>
      <x:c r="C347" s="3">
        <x:v>45</x:v>
      </x:c>
      <x:c r="D347" s="2" t="s">
        <x:v>1407</x:v>
      </x:c>
      <x:c r="E347" s="2" t="s">
        <x:v>1404</x:v>
      </x:c>
      <x:c r="F347" s="2" t="s">
        <x:v>247</x:v>
      </x:c>
      <x:c r="G347" s="2" t="s">
        <x:v>2915</x:v>
      </x:c>
      <x:c r="H347" s="2" t="s">
        <x:v>627</x:v>
      </x:c>
      <x:c r="I347" s="2" t="s">
        <x:v>1405</x:v>
      </x:c>
      <x:c r="J347" s="2" t="s">
        <x:v>1408</x:v>
      </x:c>
      <x:c r="K347" s="2" t="n">
        <x:v>44</x:v>
      </x:c>
      <x:c r="L347" s="2"/>
      <x:c r="M347" s="2"/>
      <x:c r="N347" s="2" t="s">
        <x:v>1350</x:v>
      </x:c>
      <x:c r="O347" s="2" t="s">
        <x:v>1355</x:v>
      </x:c>
      <x:c r="P347" s="2" t="s">
        <x:v>1356</x:v>
      </x:c>
      <x:c r="Q347" s="2"/>
      <x:c r="R347" s="3">
        <x:v>3</x:v>
      </x:c>
      <x:c r="S347" s="3"/>
      <x:c r="T347" s="2"/>
      <x:c r="U347" s="2"/>
      <x:c r="V347" s="2"/>
      <x:c r="W347" s="2" t="s">
        <x:v>1405</x:v>
      </x:c>
      <x:c r="X347" s="3"/>
      <x:c r="Y347" s="3"/>
      <x:c r="Z347" s="2"/>
      <x:c r="AA347" s="2" t="s">
        <x:v>275</x:v>
      </x:c>
      <x:c r="AB347" s="2" t="s">
        <x:v>1357</x:v>
      </x:c>
      <x:c r="AC347" s="2"/>
      <x:c r="AD347" s="2"/>
      <x:c r="AE347" s="2"/>
      <x:c r="AF347" s="2"/>
      <x:c r="AG347" s="2"/>
      <x:c r="AH347" s="2"/>
      <x:c r="AI347" s="4"/>
      <x:c r="AJ347" s="2"/>
      <x:c r="AK347" s="2" t="s">
        <x:v>234</x:v>
      </x:c>
      <x:c r="AL347" s="2" t="s">
        <x:v>2902</x:v>
      </x:c>
      <x:c r="AM347" s="2">
        <x:v>47</x:v>
      </x:c>
      <x:c r="AN347" s="2">
        <x:v>47</x:v>
      </x:c>
    </x:row>
    <x:row r="348" ht="39">
      <x:c r="A348" s="2" t="s">
        <x:v>91</x:v>
      </x:c>
      <x:c r="B348" s="2" t="s">
        <x:v>15</x:v>
      </x:c>
      <x:c r="C348" s="3">
        <x:v>46</x:v>
      </x:c>
      <x:c r="D348" s="2" t="s">
        <x:v>1409</x:v>
      </x:c>
      <x:c r="E348" s="2" t="s">
        <x:v>1404</x:v>
      </x:c>
      <x:c r="F348" s="2" t="s">
        <x:v>247</x:v>
      </x:c>
      <x:c r="G348" s="2" t="s">
        <x:v>2914</x:v>
      </x:c>
      <x:c r="H348" s="2" t="s">
        <x:v>634</x:v>
      </x:c>
      <x:c r="I348" s="2" t="s">
        <x:v>1405</x:v>
      </x:c>
      <x:c r="J348" s="2" t="s">
        <x:v>1359</x:v>
      </x:c>
      <x:c r="K348" s="2" t="n">
        <x:v>44</x:v>
      </x:c>
      <x:c r="L348" s="2"/>
      <x:c r="M348" s="2"/>
      <x:c r="N348" s="2" t="s">
        <x:v>1350</x:v>
      </x:c>
      <x:c r="O348" s="2" t="s">
        <x:v>1355</x:v>
      </x:c>
      <x:c r="P348" s="2" t="s">
        <x:v>1360</x:v>
      </x:c>
      <x:c r="Q348" s="2"/>
      <x:c r="R348" s="3">
        <x:v>3</x:v>
      </x:c>
      <x:c r="S348" s="3"/>
      <x:c r="T348" s="2"/>
      <x:c r="U348" s="2"/>
      <x:c r="V348" s="2"/>
      <x:c r="W348" s="2" t="s">
        <x:v>1405</x:v>
      </x:c>
      <x:c r="X348" s="3"/>
      <x:c r="Y348" s="3"/>
      <x:c r="Z348" s="2"/>
      <x:c r="AA348" s="2" t="s">
        <x:v>275</x:v>
      </x:c>
      <x:c r="AB348" s="2" t="s">
        <x:v>1379</x:v>
      </x:c>
      <x:c r="AC348" s="2"/>
      <x:c r="AD348" s="2"/>
      <x:c r="AE348" s="2"/>
      <x:c r="AF348" s="2"/>
      <x:c r="AG348" s="2"/>
      <x:c r="AH348" s="2"/>
      <x:c r="AI348" s="4"/>
      <x:c r="AJ348" s="2"/>
      <x:c r="AK348" s="2" t="s">
        <x:v>234</x:v>
      </x:c>
      <x:c r="AL348" s="2" t="s">
        <x:v>2902</x:v>
      </x:c>
      <x:c r="AM348" s="2">
        <x:v>48</x:v>
      </x:c>
      <x:c r="AN348" s="2">
        <x:v>48</x:v>
      </x:c>
    </x:row>
    <x:row r="349" ht="39">
      <x:c r="A349" s="2" t="s">
        <x:v>91</x:v>
      </x:c>
      <x:c r="B349" s="2" t="s">
        <x:v>15</x:v>
      </x:c>
      <x:c r="C349" s="3">
        <x:v>47</x:v>
      </x:c>
      <x:c r="D349" s="2" t="s">
        <x:v>1410</x:v>
      </x:c>
      <x:c r="E349" s="2" t="s">
        <x:v>1404</x:v>
      </x:c>
      <x:c r="F349" s="2" t="s">
        <x:v>247</x:v>
      </x:c>
      <x:c r="G349" s="2" t="s">
        <x:v>2915</x:v>
      </x:c>
      <x:c r="H349" s="2" t="s">
        <x:v>634</x:v>
      </x:c>
      <x:c r="I349" s="2" t="s">
        <x:v>1405</x:v>
      </x:c>
      <x:c r="J349" s="2" t="s">
        <x:v>1363</x:v>
      </x:c>
      <x:c r="K349" s="2" t="n">
        <x:v>44</x:v>
      </x:c>
      <x:c r="L349" s="2"/>
      <x:c r="M349" s="2"/>
      <x:c r="N349" s="2" t="s">
        <x:v>1350</x:v>
      </x:c>
      <x:c r="O349" s="2" t="s">
        <x:v>1355</x:v>
      </x:c>
      <x:c r="P349" s="2" t="s">
        <x:v>1364</x:v>
      </x:c>
      <x:c r="Q349" s="2"/>
      <x:c r="R349" s="3">
        <x:v>3</x:v>
      </x:c>
      <x:c r="S349" s="3"/>
      <x:c r="T349" s="2"/>
      <x:c r="U349" s="2"/>
      <x:c r="V349" s="2"/>
      <x:c r="W349" s="2" t="s">
        <x:v>1405</x:v>
      </x:c>
      <x:c r="X349" s="3"/>
      <x:c r="Y349" s="3"/>
      <x:c r="Z349" s="2"/>
      <x:c r="AA349" s="2" t="s">
        <x:v>275</x:v>
      </x:c>
      <x:c r="AB349" s="2" t="s">
        <x:v>1365</x:v>
      </x:c>
      <x:c r="AC349" s="2"/>
      <x:c r="AD349" s="2"/>
      <x:c r="AE349" s="2"/>
      <x:c r="AF349" s="2"/>
      <x:c r="AG349" s="2"/>
      <x:c r="AH349" s="2"/>
      <x:c r="AI349" s="4"/>
      <x:c r="AJ349" s="2"/>
      <x:c r="AK349" s="2" t="s">
        <x:v>234</x:v>
      </x:c>
      <x:c r="AL349" s="2" t="s">
        <x:v>2902</x:v>
      </x:c>
      <x:c r="AM349" s="2">
        <x:v>49</x:v>
      </x:c>
      <x:c r="AN349" s="2">
        <x:v>49</x:v>
      </x:c>
    </x:row>
    <x:row r="350" ht="39">
      <x:c r="A350" s="2" t="s">
        <x:v>91</x:v>
      </x:c>
      <x:c r="B350" s="2" t="s">
        <x:v>15</x:v>
      </x:c>
      <x:c r="C350" s="3">
        <x:v>48</x:v>
      </x:c>
      <x:c r="D350" s="2" t="s">
        <x:v>1398</x:v>
      </x:c>
      <x:c r="E350" s="2" t="s">
        <x:v>1404</x:v>
      </x:c>
      <x:c r="F350" s="2" t="s">
        <x:v>254</x:v>
      </x:c>
      <x:c r="G350" s="2" t="s">
        <x:v>2916</x:v>
      </x:c>
      <x:c r="H350" s="2" t="s">
        <x:v>634</x:v>
      </x:c>
      <x:c r="I350" s="2" t="s">
        <x:v>1405</x:v>
      </x:c>
      <x:c r="J350" s="2" t="s">
        <x:v>1363</x:v>
      </x:c>
      <x:c r="K350" s="2" t="n">
        <x:v>44</x:v>
      </x:c>
      <x:c r="L350" s="2"/>
      <x:c r="M350" s="2"/>
      <x:c r="N350" s="2" t="s">
        <x:v>1350</x:v>
      </x:c>
      <x:c r="O350" s="2" t="s">
        <x:v>1355</x:v>
      </x:c>
      <x:c r="P350" s="2" t="s">
        <x:v>1364</x:v>
      </x:c>
      <x:c r="Q350" s="2"/>
      <x:c r="R350" s="3">
        <x:v>3</x:v>
      </x:c>
      <x:c r="S350" s="3"/>
      <x:c r="T350" s="2"/>
      <x:c r="U350" s="2"/>
      <x:c r="V350" s="2"/>
      <x:c r="W350" s="2" t="s">
        <x:v>1405</x:v>
      </x:c>
      <x:c r="X350" s="3"/>
      <x:c r="Y350" s="3"/>
      <x:c r="Z350" s="2"/>
      <x:c r="AA350" s="2" t="s">
        <x:v>232</x:v>
      </x:c>
      <x:c r="AB350" s="2" t="s">
        <x:v>1365</x:v>
      </x:c>
      <x:c r="AC350" s="2"/>
      <x:c r="AD350" s="2"/>
      <x:c r="AE350" s="2"/>
      <x:c r="AF350" s="2"/>
      <x:c r="AG350" s="2"/>
      <x:c r="AH350" s="2"/>
      <x:c r="AI350" s="4"/>
      <x:c r="AJ350" s="2"/>
      <x:c r="AK350" s="2" t="s">
        <x:v>234</x:v>
      </x:c>
      <x:c r="AL350" s="2" t="s">
        <x:v>2902</x:v>
      </x:c>
      <x:c r="AM350" s="2">
        <x:v>50</x:v>
      </x:c>
      <x:c r="AN350" s="2">
        <x:v>50</x:v>
      </x:c>
    </x:row>
    <x:row r="351" ht="39">
      <x:c r="A351" s="2" t="s">
        <x:v>91</x:v>
      </x:c>
      <x:c r="B351" s="2" t="s">
        <x:v>15</x:v>
      </x:c>
      <x:c r="C351" s="3">
        <x:v>49</x:v>
      </x:c>
      <x:c r="D351" s="2" t="s">
        <x:v>1411</x:v>
      </x:c>
      <x:c r="E351" s="2" t="s">
        <x:v>1404</x:v>
      </x:c>
      <x:c r="F351" s="2" t="s">
        <x:v>254</x:v>
      </x:c>
      <x:c r="G351" s="2" t="s">
        <x:v>2917</x:v>
      </x:c>
      <x:c r="H351" s="2" t="s">
        <x:v>634</x:v>
      </x:c>
      <x:c r="I351" s="2" t="s">
        <x:v>1405</x:v>
      </x:c>
      <x:c r="J351" s="2" t="s">
        <x:v>1359</x:v>
      </x:c>
      <x:c r="K351" s="2" t="n">
        <x:v>44</x:v>
      </x:c>
      <x:c r="L351" s="2"/>
      <x:c r="M351" s="2"/>
      <x:c r="N351" s="2" t="s">
        <x:v>1350</x:v>
      </x:c>
      <x:c r="O351" s="2" t="s">
        <x:v>1355</x:v>
      </x:c>
      <x:c r="P351" s="2" t="s">
        <x:v>1360</x:v>
      </x:c>
      <x:c r="Q351" s="2"/>
      <x:c r="R351" s="3">
        <x:v>3</x:v>
      </x:c>
      <x:c r="S351" s="3"/>
      <x:c r="T351" s="2"/>
      <x:c r="U351" s="2"/>
      <x:c r="V351" s="2"/>
      <x:c r="W351" s="2" t="s">
        <x:v>1405</x:v>
      </x:c>
      <x:c r="X351" s="3"/>
      <x:c r="Y351" s="3"/>
      <x:c r="Z351" s="2"/>
      <x:c r="AA351" s="2" t="s">
        <x:v>232</x:v>
      </x:c>
      <x:c r="AB351" s="2" t="s">
        <x:v>1361</x:v>
      </x:c>
      <x:c r="AC351" s="2"/>
      <x:c r="AD351" s="2"/>
      <x:c r="AE351" s="2"/>
      <x:c r="AF351" s="2"/>
      <x:c r="AG351" s="2"/>
      <x:c r="AH351" s="2"/>
      <x:c r="AI351" s="4"/>
      <x:c r="AJ351" s="2"/>
      <x:c r="AK351" s="2" t="s">
        <x:v>234</x:v>
      </x:c>
      <x:c r="AL351" s="2" t="s">
        <x:v>2902</x:v>
      </x:c>
      <x:c r="AM351" s="2">
        <x:v>51</x:v>
      </x:c>
      <x:c r="AN351" s="2">
        <x:v>51</x:v>
      </x:c>
    </x:row>
    <x:row r="352" ht="52">
      <x:c r="A352" s="2" t="s">
        <x:v>91</x:v>
      </x:c>
      <x:c r="B352" s="2" t="s">
        <x:v>15</x:v>
      </x:c>
      <x:c r="C352" s="3">
        <x:v>50</x:v>
      </x:c>
      <x:c r="D352" s="2" t="s">
        <x:v>1412</x:v>
      </x:c>
      <x:c r="E352" s="2" t="s">
        <x:v>1404</x:v>
      </x:c>
      <x:c r="F352" s="2" t="s">
        <x:v>254</x:v>
      </x:c>
      <x:c r="G352" s="2" t="s">
        <x:v>2918</x:v>
      </x:c>
      <x:c r="H352" s="2" t="s">
        <x:v>627</x:v>
      </x:c>
      <x:c r="I352" s="2" t="s">
        <x:v>1405</x:v>
      </x:c>
      <x:c r="J352" s="2" t="s">
        <x:v>1413</x:v>
      </x:c>
      <x:c r="K352" s="2" t="n">
        <x:v>44</x:v>
      </x:c>
      <x:c r="L352" s="2"/>
      <x:c r="M352" s="2"/>
      <x:c r="N352" s="2" t="s">
        <x:v>1350</x:v>
      </x:c>
      <x:c r="O352" s="2" t="s">
        <x:v>1355</x:v>
      </x:c>
      <x:c r="P352" s="2" t="s">
        <x:v>1356</x:v>
      </x:c>
      <x:c r="Q352" s="2"/>
      <x:c r="R352" s="3">
        <x:v>3</x:v>
      </x:c>
      <x:c r="S352" s="3"/>
      <x:c r="T352" s="2"/>
      <x:c r="U352" s="2"/>
      <x:c r="V352" s="2"/>
      <x:c r="W352" s="2" t="s">
        <x:v>1405</x:v>
      </x:c>
      <x:c r="X352" s="3"/>
      <x:c r="Y352" s="3"/>
      <x:c r="Z352" s="2"/>
      <x:c r="AA352" s="2" t="s">
        <x:v>232</x:v>
      </x:c>
      <x:c r="AB352" s="2" t="s">
        <x:v>1357</x:v>
      </x:c>
      <x:c r="AC352" s="2"/>
      <x:c r="AD352" s="2"/>
      <x:c r="AE352" s="2"/>
      <x:c r="AF352" s="2"/>
      <x:c r="AG352" s="2"/>
      <x:c r="AH352" s="2"/>
      <x:c r="AI352" s="4"/>
      <x:c r="AJ352" s="2"/>
      <x:c r="AK352" s="2" t="s">
        <x:v>234</x:v>
      </x:c>
      <x:c r="AL352" s="2" t="s">
        <x:v>2902</x:v>
      </x:c>
      <x:c r="AM352" s="2">
        <x:v>52</x:v>
      </x:c>
      <x:c r="AN352" s="2">
        <x:v>52</x:v>
      </x:c>
    </x:row>
    <x:row r="353" ht="52">
      <x:c r="A353" s="2" t="s">
        <x:v>6</x:v>
      </x:c>
      <x:c r="B353" s="2" t="s">
        <x:v>15</x:v>
      </x:c>
      <x:c r="C353" s="3">
        <x:v>51</x:v>
      </x:c>
      <x:c r="D353" s="2" t="s">
        <x:v>1346</x:v>
      </x:c>
      <x:c r="E353" s="2" t="s">
        <x:v>1404</x:v>
      </x:c>
      <x:c r="F353" s="2" t="s">
        <x:v>254</x:v>
      </x:c>
      <x:c r="G353" s="2" t="s">
        <x:v>2919</x:v>
      </x:c>
      <x:c r="H353" s="2" t="s">
        <x:v>618</x:v>
      </x:c>
      <x:c r="I353" s="2" t="s">
        <x:v>1405</x:v>
      </x:c>
      <x:c r="J353" s="2" t="s">
        <x:v>1414</x:v>
      </x:c>
      <x:c r="K353" s="2" t="n">
        <x:v>44</x:v>
      </x:c>
      <x:c r="L353" s="2"/>
      <x:c r="M353" s="2"/>
      <x:c r="N353" s="2" t="s">
        <x:v>1350</x:v>
      </x:c>
      <x:c r="O353" s="2" t="s">
        <x:v>1355</x:v>
      </x:c>
      <x:c r="P353" s="2" t="s">
        <x:v>1352</x:v>
      </x:c>
      <x:c r="Q353" s="2"/>
      <x:c r="R353" s="3">
        <x:v>3</x:v>
      </x:c>
      <x:c r="S353" s="3"/>
      <x:c r="T353" s="2"/>
      <x:c r="U353" s="2"/>
      <x:c r="V353" s="2"/>
      <x:c r="W353" s="2" t="s">
        <x:v>1405</x:v>
      </x:c>
      <x:c r="X353" s="3"/>
      <x:c r="Y353" s="3"/>
      <x:c r="Z353" s="2"/>
      <x:c r="AA353" s="2" t="s">
        <x:v>232</x:v>
      </x:c>
      <x:c r="AB353" s="2" t="s">
        <x:v>292</x:v>
      </x:c>
      <x:c r="AC353" s="2"/>
      <x:c r="AD353" s="2"/>
      <x:c r="AE353" s="2"/>
      <x:c r="AF353" s="2"/>
      <x:c r="AG353" s="2"/>
      <x:c r="AH353" s="2"/>
      <x:c r="AI353" s="4"/>
      <x:c r="AJ353" s="2"/>
      <x:c r="AK353" s="2" t="s">
        <x:v>234</x:v>
      </x:c>
      <x:c r="AL353" s="2" t="s">
        <x:v>2902</x:v>
      </x:c>
      <x:c r="AM353" s="2">
        <x:v>53</x:v>
      </x:c>
      <x:c r="AN353" s="2">
        <x:v>53</x:v>
      </x:c>
    </x:row>
    <x:row r="354" ht="52">
      <x:c r="A354" s="2" t="s">
        <x:v>6</x:v>
      </x:c>
      <x:c r="B354" s="2" t="s">
        <x:v>15</x:v>
      </x:c>
      <x:c r="C354" s="3">
        <x:v>52</x:v>
      </x:c>
      <x:c r="D354" s="2" t="s">
        <x:v>1288</x:v>
      </x:c>
      <x:c r="E354" s="2" t="s">
        <x:v>1309</x:v>
      </x:c>
      <x:c r="F354" s="2" t="s">
        <x:v>237</x:v>
      </x:c>
      <x:c r="G354" s="2"/>
      <x:c r="H354" s="2" t="s">
        <x:v>618</x:v>
      </x:c>
      <x:c r="I354" s="2" t="s">
        <x:v>1416</x:v>
      </x:c>
      <x:c r="J354" s="2" t="s">
        <x:v>1417</x:v>
      </x:c>
      <x:c r="K354" s="2"/>
      <x:c r="L354" s="2"/>
      <x:c r="M354" s="2"/>
      <x:c r="N354" s="2" t="s">
        <x:v>1350</x:v>
      </x:c>
      <x:c r="O354" s="2" t="s">
        <x:v>1351</x:v>
      </x:c>
      <x:c r="P354" s="2" t="s">
        <x:v>1352</x:v>
      </x:c>
      <x:c r="Q354" s="2"/>
      <x:c r="R354" s="3">
        <x:v>4</x:v>
      </x:c>
      <x:c r="S354" s="3"/>
      <x:c r="T354" s="2"/>
      <x:c r="U354" s="2"/>
      <x:c r="V354" s="2"/>
      <x:c r="W354" s="2" t="s">
        <x:v>1416</x:v>
      </x:c>
      <x:c r="X354" s="3"/>
      <x:c r="Y354" s="3"/>
      <x:c r="Z354" s="2"/>
      <x:c r="AA354" s="2" t="s">
        <x:v>232</x:v>
      </x:c>
      <x:c r="AB354" s="2" t="s">
        <x:v>300</x:v>
      </x:c>
      <x:c r="AC354" s="2"/>
      <x:c r="AD354" s="2"/>
      <x:c r="AE354" s="2"/>
      <x:c r="AF354" s="2"/>
      <x:c r="AG354" s="2"/>
      <x:c r="AH354" s="2"/>
      <x:c r="AI354" s="4"/>
      <x:c r="AJ354" s="2"/>
      <x:c r="AK354" s="2" t="s">
        <x:v>234</x:v>
      </x:c>
      <x:c r="AL354" s="2" t="s">
        <x:v>2902</x:v>
      </x:c>
      <x:c r="AM354" s="2">
        <x:v>54</x:v>
      </x:c>
      <x:c r="AN354" s="2">
        <x:v>54</x:v>
      </x:c>
    </x:row>
    <x:row r="355" ht="52">
      <x:c r="A355" s="2" t="s">
        <x:v>6</x:v>
      </x:c>
      <x:c r="B355" s="2" t="s">
        <x:v>15</x:v>
      </x:c>
      <x:c r="C355" s="3">
        <x:v>53</x:v>
      </x:c>
      <x:c r="D355" s="2" t="s">
        <x:v>1418</x:v>
      </x:c>
      <x:c r="E355" s="2" t="s">
        <x:v>1309</x:v>
      </x:c>
      <x:c r="F355" s="2" t="s">
        <x:v>237</x:v>
      </x:c>
      <x:c r="G355" s="2"/>
      <x:c r="H355" s="2" t="s">
        <x:v>627</x:v>
      </x:c>
      <x:c r="I355" s="2" t="s">
        <x:v>1416</x:v>
      </x:c>
      <x:c r="J355" s="2" t="s">
        <x:v>1419</x:v>
      </x:c>
      <x:c r="K355" s="2" t="n">
        <x:v>52</x:v>
      </x:c>
      <x:c r="L355" s="2"/>
      <x:c r="M355" s="2"/>
      <x:c r="N355" s="2" t="s">
        <x:v>1350</x:v>
      </x:c>
      <x:c r="O355" s="2" t="s">
        <x:v>1355</x:v>
      </x:c>
      <x:c r="P355" s="2" t="s">
        <x:v>1356</x:v>
      </x:c>
      <x:c r="Q355" s="2"/>
      <x:c r="R355" s="3">
        <x:v>4</x:v>
      </x:c>
      <x:c r="S355" s="3"/>
      <x:c r="T355" s="2"/>
      <x:c r="U355" s="2"/>
      <x:c r="V355" s="2"/>
      <x:c r="W355" s="2" t="s">
        <x:v>1416</x:v>
      </x:c>
      <x:c r="X355" s="3"/>
      <x:c r="Y355" s="3"/>
      <x:c r="Z355" s="2"/>
      <x:c r="AA355" s="2" t="s">
        <x:v>232</x:v>
      </x:c>
      <x:c r="AB355" s="2" t="s">
        <x:v>1357</x:v>
      </x:c>
      <x:c r="AC355" s="2"/>
      <x:c r="AD355" s="2"/>
      <x:c r="AE355" s="2"/>
      <x:c r="AF355" s="2"/>
      <x:c r="AG355" s="2"/>
      <x:c r="AH355" s="2"/>
      <x:c r="AI355" s="4"/>
      <x:c r="AJ355" s="2"/>
      <x:c r="AK355" s="2" t="s">
        <x:v>234</x:v>
      </x:c>
      <x:c r="AL355" s="2" t="s">
        <x:v>2902</x:v>
      </x:c>
      <x:c r="AM355" s="2">
        <x:v>55</x:v>
      </x:c>
      <x:c r="AN355" s="2">
        <x:v>55</x:v>
      </x:c>
    </x:row>
    <x:row r="356" ht="39">
      <x:c r="A356" s="2" t="s">
        <x:v>6</x:v>
      </x:c>
      <x:c r="B356" s="2" t="s">
        <x:v>15</x:v>
      </x:c>
      <x:c r="C356" s="3">
        <x:v>54</x:v>
      </x:c>
      <x:c r="D356" s="2" t="s">
        <x:v>1420</x:v>
      </x:c>
      <x:c r="E356" s="2" t="s">
        <x:v>1309</x:v>
      </x:c>
      <x:c r="F356" s="2" t="s">
        <x:v>237</x:v>
      </x:c>
      <x:c r="G356" s="2"/>
      <x:c r="H356" s="2" t="s">
        <x:v>634</x:v>
      </x:c>
      <x:c r="I356" s="2" t="s">
        <x:v>1416</x:v>
      </x:c>
      <x:c r="J356" s="2" t="s">
        <x:v>1359</x:v>
      </x:c>
      <x:c r="K356" s="2" t="n">
        <x:v>52</x:v>
      </x:c>
      <x:c r="L356" s="2"/>
      <x:c r="M356" s="2"/>
      <x:c r="N356" s="2" t="s">
        <x:v>1350</x:v>
      </x:c>
      <x:c r="O356" s="2" t="s">
        <x:v>1355</x:v>
      </x:c>
      <x:c r="P356" s="2" t="s">
        <x:v>1360</x:v>
      </x:c>
      <x:c r="Q356" s="2"/>
      <x:c r="R356" s="3">
        <x:v>4</x:v>
      </x:c>
      <x:c r="S356" s="3"/>
      <x:c r="T356" s="2"/>
      <x:c r="U356" s="2"/>
      <x:c r="V356" s="2"/>
      <x:c r="W356" s="2" t="s">
        <x:v>1416</x:v>
      </x:c>
      <x:c r="X356" s="3"/>
      <x:c r="Y356" s="3"/>
      <x:c r="Z356" s="2"/>
      <x:c r="AA356" s="2" t="s">
        <x:v>232</x:v>
      </x:c>
      <x:c r="AB356" s="2" t="s">
        <x:v>1421</x:v>
      </x:c>
      <x:c r="AC356" s="2"/>
      <x:c r="AD356" s="2"/>
      <x:c r="AE356" s="2"/>
      <x:c r="AF356" s="2"/>
      <x:c r="AG356" s="2"/>
      <x:c r="AH356" s="2"/>
      <x:c r="AI356" s="4"/>
      <x:c r="AJ356" s="2"/>
      <x:c r="AK356" s="2" t="s">
        <x:v>234</x:v>
      </x:c>
      <x:c r="AL356" s="2" t="s">
        <x:v>2902</x:v>
      </x:c>
      <x:c r="AM356" s="2">
        <x:v>56</x:v>
      </x:c>
      <x:c r="AN356" s="2">
        <x:v>56</x:v>
      </x:c>
    </x:row>
    <x:row r="357" ht="39">
      <x:c r="A357" s="2" t="s">
        <x:v>6</x:v>
      </x:c>
      <x:c r="B357" s="2" t="s">
        <x:v>15</x:v>
      </x:c>
      <x:c r="C357" s="3">
        <x:v>55</x:v>
      </x:c>
      <x:c r="D357" s="2" t="s">
        <x:v>1422</x:v>
      </x:c>
      <x:c r="E357" s="2" t="s">
        <x:v>1309</x:v>
      </x:c>
      <x:c r="F357" s="2" t="s">
        <x:v>237</x:v>
      </x:c>
      <x:c r="G357" s="2"/>
      <x:c r="H357" s="2" t="s">
        <x:v>634</x:v>
      </x:c>
      <x:c r="I357" s="2" t="s">
        <x:v>1416</x:v>
      </x:c>
      <x:c r="J357" s="2" t="s">
        <x:v>1363</x:v>
      </x:c>
      <x:c r="K357" s="2" t="n">
        <x:v>52</x:v>
      </x:c>
      <x:c r="L357" s="2"/>
      <x:c r="M357" s="2"/>
      <x:c r="N357" s="2" t="s">
        <x:v>1350</x:v>
      </x:c>
      <x:c r="O357" s="2" t="s">
        <x:v>1355</x:v>
      </x:c>
      <x:c r="P357" s="2" t="s">
        <x:v>1364</x:v>
      </x:c>
      <x:c r="Q357" s="2"/>
      <x:c r="R357" s="3">
        <x:v>4</x:v>
      </x:c>
      <x:c r="S357" s="3"/>
      <x:c r="T357" s="2"/>
      <x:c r="U357" s="2"/>
      <x:c r="V357" s="2"/>
      <x:c r="W357" s="2" t="s">
        <x:v>1416</x:v>
      </x:c>
      <x:c r="X357" s="3"/>
      <x:c r="Y357" s="3"/>
      <x:c r="Z357" s="2"/>
      <x:c r="AA357" s="2" t="s">
        <x:v>232</x:v>
      </x:c>
      <x:c r="AB357" s="2" t="s">
        <x:v>1365</x:v>
      </x:c>
      <x:c r="AC357" s="2"/>
      <x:c r="AD357" s="2"/>
      <x:c r="AE357" s="2"/>
      <x:c r="AF357" s="2"/>
      <x:c r="AG357" s="2"/>
      <x:c r="AH357" s="2"/>
      <x:c r="AI357" s="4"/>
      <x:c r="AJ357" s="2"/>
      <x:c r="AK357" s="2" t="s">
        <x:v>234</x:v>
      </x:c>
      <x:c r="AL357" s="2" t="s">
        <x:v>2902</x:v>
      </x:c>
      <x:c r="AM357" s="2">
        <x:v>57</x:v>
      </x:c>
      <x:c r="AN357" s="2">
        <x:v>57</x:v>
      </x:c>
    </x:row>
    <x:row r="358" ht="39">
      <x:c r="A358" s="2" t="s">
        <x:v>6</x:v>
      </x:c>
      <x:c r="B358" s="2" t="s">
        <x:v>15</x:v>
      </x:c>
      <x:c r="C358" s="3">
        <x:v>56</x:v>
      </x:c>
      <x:c r="D358" s="2" t="s">
        <x:v>1423</x:v>
      </x:c>
      <x:c r="E358" s="2" t="s">
        <x:v>1309</x:v>
      </x:c>
      <x:c r="F358" s="2" t="s">
        <x:v>224</x:v>
      </x:c>
      <x:c r="G358" s="2"/>
      <x:c r="H358" s="2" t="s">
        <x:v>634</x:v>
      </x:c>
      <x:c r="I358" s="2" t="s">
        <x:v>1416</x:v>
      </x:c>
      <x:c r="J358" s="2" t="s">
        <x:v>1363</x:v>
      </x:c>
      <x:c r="K358" s="2" t="n">
        <x:v>52</x:v>
      </x:c>
      <x:c r="L358" s="2"/>
      <x:c r="M358" s="2"/>
      <x:c r="N358" s="2" t="s">
        <x:v>1350</x:v>
      </x:c>
      <x:c r="O358" s="2" t="s">
        <x:v>1355</x:v>
      </x:c>
      <x:c r="P358" s="2" t="s">
        <x:v>1364</x:v>
      </x:c>
      <x:c r="Q358" s="2"/>
      <x:c r="R358" s="3">
        <x:v>4</x:v>
      </x:c>
      <x:c r="S358" s="3"/>
      <x:c r="T358" s="2"/>
      <x:c r="U358" s="2"/>
      <x:c r="V358" s="2"/>
      <x:c r="W358" s="2" t="s">
        <x:v>1416</x:v>
      </x:c>
      <x:c r="X358" s="3"/>
      <x:c r="Y358" s="3"/>
      <x:c r="Z358" s="2"/>
      <x:c r="AA358" s="2" t="s">
        <x:v>243</x:v>
      </x:c>
      <x:c r="AB358" s="2" t="s">
        <x:v>1365</x:v>
      </x:c>
      <x:c r="AC358" s="2"/>
      <x:c r="AD358" s="2"/>
      <x:c r="AE358" s="2"/>
      <x:c r="AF358" s="2"/>
      <x:c r="AG358" s="2"/>
      <x:c r="AH358" s="2"/>
      <x:c r="AI358" s="4"/>
      <x:c r="AJ358" s="2"/>
      <x:c r="AK358" s="2" t="s">
        <x:v>234</x:v>
      </x:c>
      <x:c r="AL358" s="2" t="s">
        <x:v>2902</x:v>
      </x:c>
      <x:c r="AM358" s="2">
        <x:v>58</x:v>
      </x:c>
      <x:c r="AN358" s="2">
        <x:v>58</x:v>
      </x:c>
    </x:row>
    <x:row r="359" ht="39">
      <x:c r="A359" s="2" t="s">
        <x:v>91</x:v>
      </x:c>
      <x:c r="B359" s="2" t="s">
        <x:v>15</x:v>
      </x:c>
      <x:c r="C359" s="3">
        <x:v>57</x:v>
      </x:c>
      <x:c r="D359" s="2" t="s">
        <x:v>1425</x:v>
      </x:c>
      <x:c r="E359" s="2" t="s">
        <x:v>1309</x:v>
      </x:c>
      <x:c r="F359" s="2" t="s">
        <x:v>224</x:v>
      </x:c>
      <x:c r="G359" s="2" t="s">
        <x:v>2920</x:v>
      </x:c>
      <x:c r="H359" s="2" t="s">
        <x:v>634</x:v>
      </x:c>
      <x:c r="I359" s="2" t="s">
        <x:v>1416</x:v>
      </x:c>
      <x:c r="J359" s="2" t="s">
        <x:v>1359</x:v>
      </x:c>
      <x:c r="K359" s="2" t="n">
        <x:v>52</x:v>
      </x:c>
      <x:c r="L359" s="2"/>
      <x:c r="M359" s="2"/>
      <x:c r="N359" s="2" t="s">
        <x:v>1350</x:v>
      </x:c>
      <x:c r="O359" s="2" t="s">
        <x:v>1355</x:v>
      </x:c>
      <x:c r="P359" s="2" t="s">
        <x:v>1360</x:v>
      </x:c>
      <x:c r="Q359" s="2"/>
      <x:c r="R359" s="3">
        <x:v>4</x:v>
      </x:c>
      <x:c r="S359" s="3"/>
      <x:c r="T359" s="2"/>
      <x:c r="U359" s="2"/>
      <x:c r="V359" s="2"/>
      <x:c r="W359" s="2" t="s">
        <x:v>1416</x:v>
      </x:c>
      <x:c r="X359" s="3"/>
      <x:c r="Y359" s="3"/>
      <x:c r="Z359" s="2"/>
      <x:c r="AA359" s="2" t="s">
        <x:v>243</x:v>
      </x:c>
      <x:c r="AB359" s="2" t="s">
        <x:v>1368</x:v>
      </x:c>
      <x:c r="AC359" s="2"/>
      <x:c r="AD359" s="2"/>
      <x:c r="AE359" s="2"/>
      <x:c r="AF359" s="2"/>
      <x:c r="AG359" s="2"/>
      <x:c r="AH359" s="2"/>
      <x:c r="AI359" s="4"/>
      <x:c r="AJ359" s="2"/>
      <x:c r="AK359" s="2" t="s">
        <x:v>234</x:v>
      </x:c>
      <x:c r="AL359" s="2" t="s">
        <x:v>2902</x:v>
      </x:c>
      <x:c r="AM359" s="2">
        <x:v>59</x:v>
      </x:c>
      <x:c r="AN359" s="2">
        <x:v>59</x:v>
      </x:c>
    </x:row>
    <x:row r="360" ht="52">
      <x:c r="A360" s="2" t="s">
        <x:v>6</x:v>
      </x:c>
      <x:c r="B360" s="2" t="s">
        <x:v>15</x:v>
      </x:c>
      <x:c r="C360" s="3">
        <x:v>58</x:v>
      </x:c>
      <x:c r="D360" s="2" t="s">
        <x:v>1384</x:v>
      </x:c>
      <x:c r="E360" s="2" t="s">
        <x:v>1309</x:v>
      </x:c>
      <x:c r="F360" s="2" t="s">
        <x:v>224</x:v>
      </x:c>
      <x:c r="G360" s="2"/>
      <x:c r="H360" s="2" t="s">
        <x:v>627</x:v>
      </x:c>
      <x:c r="I360" s="2" t="s">
        <x:v>1416</x:v>
      </x:c>
      <x:c r="J360" s="2" t="s">
        <x:v>1426</x:v>
      </x:c>
      <x:c r="K360" s="2" t="n">
        <x:v>52</x:v>
      </x:c>
      <x:c r="L360" s="2"/>
      <x:c r="M360" s="2"/>
      <x:c r="N360" s="2" t="s">
        <x:v>1350</x:v>
      </x:c>
      <x:c r="O360" s="2" t="s">
        <x:v>1355</x:v>
      </x:c>
      <x:c r="P360" s="2" t="s">
        <x:v>1356</x:v>
      </x:c>
      <x:c r="Q360" s="2"/>
      <x:c r="R360" s="3">
        <x:v>4</x:v>
      </x:c>
      <x:c r="S360" s="3"/>
      <x:c r="T360" s="2"/>
      <x:c r="U360" s="2"/>
      <x:c r="V360" s="2"/>
      <x:c r="W360" s="2" t="s">
        <x:v>1416</x:v>
      </x:c>
      <x:c r="X360" s="3"/>
      <x:c r="Y360" s="3"/>
      <x:c r="Z360" s="2"/>
      <x:c r="AA360" s="2" t="s">
        <x:v>243</x:v>
      </x:c>
      <x:c r="AB360" s="2" t="s">
        <x:v>1357</x:v>
      </x:c>
      <x:c r="AC360" s="2"/>
      <x:c r="AD360" s="2"/>
      <x:c r="AE360" s="2"/>
      <x:c r="AF360" s="2"/>
      <x:c r="AG360" s="2"/>
      <x:c r="AH360" s="2"/>
      <x:c r="AI360" s="4"/>
      <x:c r="AJ360" s="2"/>
      <x:c r="AK360" s="2" t="s">
        <x:v>234</x:v>
      </x:c>
      <x:c r="AL360" s="2" t="s">
        <x:v>2902</x:v>
      </x:c>
      <x:c r="AM360" s="2">
        <x:v>60</x:v>
      </x:c>
      <x:c r="AN360" s="2">
        <x:v>60</x:v>
      </x:c>
    </x:row>
    <x:row r="361" ht="52">
      <x:c r="A361" s="2" t="s">
        <x:v>91</x:v>
      </x:c>
      <x:c r="B361" s="2" t="s">
        <x:v>15</x:v>
      </x:c>
      <x:c r="C361" s="3">
        <x:v>59</x:v>
      </x:c>
      <x:c r="D361" s="2" t="s">
        <x:v>1281</x:v>
      </x:c>
      <x:c r="E361" s="2" t="s">
        <x:v>1309</x:v>
      </x:c>
      <x:c r="F361" s="2" t="s">
        <x:v>224</x:v>
      </x:c>
      <x:c r="G361" s="2" t="s">
        <x:v>2921</x:v>
      </x:c>
      <x:c r="H361" s="2" t="s">
        <x:v>618</x:v>
      </x:c>
      <x:c r="I361" s="2" t="s">
        <x:v>1416</x:v>
      </x:c>
      <x:c r="J361" s="2" t="s">
        <x:v>1427</x:v>
      </x:c>
      <x:c r="K361" s="2" t="n">
        <x:v>52</x:v>
      </x:c>
      <x:c r="L361" s="2"/>
      <x:c r="M361" s="2"/>
      <x:c r="N361" s="2" t="s">
        <x:v>1350</x:v>
      </x:c>
      <x:c r="O361" s="2" t="s">
        <x:v>1355</x:v>
      </x:c>
      <x:c r="P361" s="2" t="s">
        <x:v>1352</x:v>
      </x:c>
      <x:c r="Q361" s="2"/>
      <x:c r="R361" s="3">
        <x:v>4</x:v>
      </x:c>
      <x:c r="S361" s="3"/>
      <x:c r="T361" s="2"/>
      <x:c r="U361" s="2"/>
      <x:c r="V361" s="2"/>
      <x:c r="W361" s="2" t="s">
        <x:v>1416</x:v>
      </x:c>
      <x:c r="X361" s="3"/>
      <x:c r="Y361" s="3"/>
      <x:c r="Z361" s="2"/>
      <x:c r="AA361" s="2" t="s">
        <x:v>243</x:v>
      </x:c>
      <x:c r="AB361" s="2" t="s">
        <x:v>244</x:v>
      </x:c>
      <x:c r="AC361" s="2"/>
      <x:c r="AD361" s="2"/>
      <x:c r="AE361" s="2"/>
      <x:c r="AF361" s="2"/>
      <x:c r="AG361" s="2"/>
      <x:c r="AH361" s="2"/>
      <x:c r="AI361" s="4"/>
      <x:c r="AJ361" s="2"/>
      <x:c r="AK361" s="2" t="s">
        <x:v>234</x:v>
      </x:c>
      <x:c r="AL361" s="2" t="s">
        <x:v>2902</x:v>
      </x:c>
      <x:c r="AM361" s="2">
        <x:v>61</x:v>
      </x:c>
      <x:c r="AN361" s="2">
        <x:v>61</x:v>
      </x:c>
    </x:row>
    <x:row r="362" ht="52">
      <x:c r="A362" s="2" t="s">
        <x:v>6</x:v>
      </x:c>
      <x:c r="B362" s="2" t="s">
        <x:v>15</x:v>
      </x:c>
      <x:c r="C362" s="3">
        <x:v>60</x:v>
      </x:c>
      <x:c r="D362" s="2" t="s">
        <x:v>1281</x:v>
      </x:c>
      <x:c r="E362" s="2" t="s">
        <x:v>1428</x:v>
      </x:c>
      <x:c r="F362" s="2" t="s">
        <x:v>224</x:v>
      </x:c>
      <x:c r="G362" s="2"/>
      <x:c r="H362" s="2" t="s">
        <x:v>618</x:v>
      </x:c>
      <x:c r="I362" s="2" t="s">
        <x:v>1429</x:v>
      </x:c>
      <x:c r="J362" s="2" t="s">
        <x:v>1371</x:v>
      </x:c>
      <x:c r="K362" s="2"/>
      <x:c r="L362" s="2"/>
      <x:c r="M362" s="2"/>
      <x:c r="N362" s="2" t="s">
        <x:v>1430</x:v>
      </x:c>
      <x:c r="O362" s="2" t="s">
        <x:v>1351</x:v>
      </x:c>
      <x:c r="P362" s="2" t="s">
        <x:v>1352</x:v>
      </x:c>
      <x:c r="Q362" s="2"/>
      <x:c r="R362" s="3">
        <x:v>2</x:v>
      </x:c>
      <x:c r="S362" s="3"/>
      <x:c r="T362" s="2"/>
      <x:c r="U362" s="2"/>
      <x:c r="V362" s="2"/>
      <x:c r="W362" s="2" t="s">
        <x:v>1429</x:v>
      </x:c>
      <x:c r="X362" s="3"/>
      <x:c r="Y362" s="3"/>
      <x:c r="Z362" s="2"/>
      <x:c r="AA362" s="2" t="s">
        <x:v>243</x:v>
      </x:c>
      <x:c r="AB362" s="2" t="s">
        <x:v>244</x:v>
      </x:c>
      <x:c r="AC362" s="2"/>
      <x:c r="AD362" s="2"/>
      <x:c r="AE362" s="2"/>
      <x:c r="AF362" s="2"/>
      <x:c r="AG362" s="2"/>
      <x:c r="AH362" s="2"/>
      <x:c r="AI362" s="4"/>
      <x:c r="AJ362" s="2"/>
      <x:c r="AK362" s="2" t="s">
        <x:v>234</x:v>
      </x:c>
      <x:c r="AL362" s="2" t="s">
        <x:v>2902</x:v>
      </x:c>
      <x:c r="AM362" s="2">
        <x:v>62</x:v>
      </x:c>
      <x:c r="AN362" s="2">
        <x:v>62</x:v>
      </x:c>
    </x:row>
    <x:row r="363" ht="52">
      <x:c r="A363" s="2" t="s">
        <x:v>6</x:v>
      </x:c>
      <x:c r="B363" s="2" t="s">
        <x:v>15</x:v>
      </x:c>
      <x:c r="C363" s="3">
        <x:v>61</x:v>
      </x:c>
      <x:c r="D363" s="2" t="s">
        <x:v>1431</x:v>
      </x:c>
      <x:c r="E363" s="2" t="s">
        <x:v>1428</x:v>
      </x:c>
      <x:c r="F363" s="2" t="s">
        <x:v>224</x:v>
      </x:c>
      <x:c r="G363" s="2"/>
      <x:c r="H363" s="2" t="s">
        <x:v>627</x:v>
      </x:c>
      <x:c r="I363" s="2" t="s">
        <x:v>1429</x:v>
      </x:c>
      <x:c r="J363" s="2" t="s">
        <x:v>1432</x:v>
      </x:c>
      <x:c r="K363" s="2" t="n">
        <x:v>60</x:v>
      </x:c>
      <x:c r="L363" s="2"/>
      <x:c r="M363" s="2"/>
      <x:c r="N363" s="2" t="s">
        <x:v>1430</x:v>
      </x:c>
      <x:c r="O363" s="2" t="s">
        <x:v>1355</x:v>
      </x:c>
      <x:c r="P363" s="2" t="s">
        <x:v>1356</x:v>
      </x:c>
      <x:c r="Q363" s="2"/>
      <x:c r="R363" s="3">
        <x:v>2</x:v>
      </x:c>
      <x:c r="S363" s="3"/>
      <x:c r="T363" s="2"/>
      <x:c r="U363" s="2"/>
      <x:c r="V363" s="2"/>
      <x:c r="W363" s="2" t="s">
        <x:v>1429</x:v>
      </x:c>
      <x:c r="X363" s="3"/>
      <x:c r="Y363" s="3"/>
      <x:c r="Z363" s="2"/>
      <x:c r="AA363" s="2" t="s">
        <x:v>243</x:v>
      </x:c>
      <x:c r="AB363" s="2" t="s">
        <x:v>1357</x:v>
      </x:c>
      <x:c r="AC363" s="2"/>
      <x:c r="AD363" s="2"/>
      <x:c r="AE363" s="2"/>
      <x:c r="AF363" s="2"/>
      <x:c r="AG363" s="2"/>
      <x:c r="AH363" s="2"/>
      <x:c r="AI363" s="4"/>
      <x:c r="AJ363" s="2"/>
      <x:c r="AK363" s="2" t="s">
        <x:v>234</x:v>
      </x:c>
      <x:c r="AL363" s="2" t="s">
        <x:v>2902</x:v>
      </x:c>
      <x:c r="AM363" s="2">
        <x:v>63</x:v>
      </x:c>
      <x:c r="AN363" s="2">
        <x:v>63</x:v>
      </x:c>
    </x:row>
    <x:row r="364" ht="52">
      <x:c r="A364" s="2" t="s">
        <x:v>6</x:v>
      </x:c>
      <x:c r="B364" s="2" t="s">
        <x:v>15</x:v>
      </x:c>
      <x:c r="C364" s="3">
        <x:v>62</x:v>
      </x:c>
      <x:c r="D364" s="2" t="s">
        <x:v>1433</x:v>
      </x:c>
      <x:c r="E364" s="2" t="s">
        <x:v>1428</x:v>
      </x:c>
      <x:c r="F364" s="2" t="s">
        <x:v>247</x:v>
      </x:c>
      <x:c r="G364" s="2"/>
      <x:c r="H364" s="2" t="s">
        <x:v>627</x:v>
      </x:c>
      <x:c r="I364" s="2" t="s">
        <x:v>1429</x:v>
      </x:c>
      <x:c r="J364" s="2" t="s">
        <x:v>1434</x:v>
      </x:c>
      <x:c r="K364" s="2" t="n">
        <x:v>60</x:v>
      </x:c>
      <x:c r="L364" s="2"/>
      <x:c r="M364" s="2"/>
      <x:c r="N364" s="2" t="s">
        <x:v>1430</x:v>
      </x:c>
      <x:c r="O364" s="2" t="s">
        <x:v>1355</x:v>
      </x:c>
      <x:c r="P364" s="2" t="s">
        <x:v>1356</x:v>
      </x:c>
      <x:c r="Q364" s="2"/>
      <x:c r="R364" s="3">
        <x:v>2</x:v>
      </x:c>
      <x:c r="S364" s="3"/>
      <x:c r="T364" s="2"/>
      <x:c r="U364" s="2"/>
      <x:c r="V364" s="2"/>
      <x:c r="W364" s="2" t="s">
        <x:v>1429</x:v>
      </x:c>
      <x:c r="X364" s="3"/>
      <x:c r="Y364" s="3"/>
      <x:c r="Z364" s="2"/>
      <x:c r="AA364" s="2" t="s">
        <x:v>232</x:v>
      </x:c>
      <x:c r="AB364" s="2" t="s">
        <x:v>1357</x:v>
      </x:c>
      <x:c r="AC364" s="2"/>
      <x:c r="AD364" s="2"/>
      <x:c r="AE364" s="2"/>
      <x:c r="AF364" s="2"/>
      <x:c r="AG364" s="2"/>
      <x:c r="AH364" s="2"/>
      <x:c r="AI364" s="4"/>
      <x:c r="AJ364" s="2"/>
      <x:c r="AK364" s="2" t="s">
        <x:v>234</x:v>
      </x:c>
      <x:c r="AL364" s="2" t="s">
        <x:v>2902</x:v>
      </x:c>
      <x:c r="AM364" s="2">
        <x:v>64</x:v>
      </x:c>
      <x:c r="AN364" s="2">
        <x:v>64</x:v>
      </x:c>
    </x:row>
    <x:row r="365" ht="52">
      <x:c r="A365" s="2" t="s">
        <x:v>91</x:v>
      </x:c>
      <x:c r="B365" s="2" t="s">
        <x:v>15</x:v>
      </x:c>
      <x:c r="C365" s="3">
        <x:v>63</x:v>
      </x:c>
      <x:c r="D365" s="2" t="s">
        <x:v>1388</x:v>
      </x:c>
      <x:c r="E365" s="2" t="s">
        <x:v>1428</x:v>
      </x:c>
      <x:c r="F365" s="2" t="s">
        <x:v>247</x:v>
      </x:c>
      <x:c r="G365" s="2" t="s">
        <x:v>1415</x:v>
      </x:c>
      <x:c r="H365" s="2" t="s">
        <x:v>618</x:v>
      </x:c>
      <x:c r="I365" s="2" t="s">
        <x:v>1429</x:v>
      </x:c>
      <x:c r="J365" s="2" t="s">
        <x:v>1391</x:v>
      </x:c>
      <x:c r="K365" s="2" t="n">
        <x:v>60</x:v>
      </x:c>
      <x:c r="L365" s="2"/>
      <x:c r="M365" s="2"/>
      <x:c r="N365" s="2" t="s">
        <x:v>1430</x:v>
      </x:c>
      <x:c r="O365" s="2" t="s">
        <x:v>1355</x:v>
      </x:c>
      <x:c r="P365" s="2" t="s">
        <x:v>1352</x:v>
      </x:c>
      <x:c r="Q365" s="2"/>
      <x:c r="R365" s="3">
        <x:v>2</x:v>
      </x:c>
      <x:c r="S365" s="3"/>
      <x:c r="T365" s="2"/>
      <x:c r="U365" s="2"/>
      <x:c r="V365" s="2"/>
      <x:c r="W365" s="2" t="s">
        <x:v>1429</x:v>
      </x:c>
      <x:c r="X365" s="3"/>
      <x:c r="Y365" s="3"/>
      <x:c r="Z365" s="2"/>
      <x:c r="AA365" s="2" t="s">
        <x:v>232</x:v>
      </x:c>
      <x:c r="AB365" s="2" t="s">
        <x:v>233</x:v>
      </x:c>
      <x:c r="AC365" s="2"/>
      <x:c r="AD365" s="2"/>
      <x:c r="AE365" s="2"/>
      <x:c r="AF365" s="2"/>
      <x:c r="AG365" s="2"/>
      <x:c r="AH365" s="2"/>
      <x:c r="AI365" s="4"/>
      <x:c r="AJ365" s="2"/>
      <x:c r="AK365" s="2" t="s">
        <x:v>234</x:v>
      </x:c>
      <x:c r="AL365" s="2" t="s">
        <x:v>2902</x:v>
      </x:c>
      <x:c r="AM365" s="2">
        <x:v>65</x:v>
      </x:c>
      <x:c r="AN365" s="2">
        <x:v>65</x:v>
      </x:c>
    </x:row>
    <x:row r="366" ht="52">
      <x:c r="A366" s="2" t="s">
        <x:v>6</x:v>
      </x:c>
      <x:c r="B366" s="2" t="s">
        <x:v>15</x:v>
      </x:c>
      <x:c r="C366" s="3">
        <x:v>64</x:v>
      </x:c>
      <x:c r="D366" s="2" t="s">
        <x:v>1346</x:v>
      </x:c>
      <x:c r="E366" s="2" t="s">
        <x:v>1435</x:v>
      </x:c>
      <x:c r="F366" s="2" t="s">
        <x:v>254</x:v>
      </x:c>
      <x:c r="G366" s="2"/>
      <x:c r="H366" s="2" t="s">
        <x:v>618</x:v>
      </x:c>
      <x:c r="I366" s="2" t="s">
        <x:v>1436</x:v>
      </x:c>
      <x:c r="J366" s="2" t="s">
        <x:v>1414</x:v>
      </x:c>
      <x:c r="K366" s="2"/>
      <x:c r="L366" s="2"/>
      <x:c r="M366" s="2"/>
      <x:c r="N366" s="2" t="s">
        <x:v>1430</x:v>
      </x:c>
      <x:c r="O366" s="2" t="s">
        <x:v>1351</x:v>
      </x:c>
      <x:c r="P366" s="2" t="s">
        <x:v>1352</x:v>
      </x:c>
      <x:c r="Q366" s="2"/>
      <x:c r="R366" s="3">
        <x:v>3</x:v>
      </x:c>
      <x:c r="S366" s="3"/>
      <x:c r="T366" s="2"/>
      <x:c r="U366" s="2"/>
      <x:c r="V366" s="2"/>
      <x:c r="W366" s="2" t="s">
        <x:v>1436</x:v>
      </x:c>
      <x:c r="X366" s="3"/>
      <x:c r="Y366" s="3"/>
      <x:c r="Z366" s="2"/>
      <x:c r="AA366" s="2" t="s">
        <x:v>232</x:v>
      </x:c>
      <x:c r="AB366" s="2" t="s">
        <x:v>292</x:v>
      </x:c>
      <x:c r="AC366" s="2"/>
      <x:c r="AD366" s="2"/>
      <x:c r="AE366" s="2"/>
      <x:c r="AF366" s="2"/>
      <x:c r="AG366" s="2"/>
      <x:c r="AH366" s="2"/>
      <x:c r="AI366" s="4"/>
      <x:c r="AJ366" s="2"/>
      <x:c r="AK366" s="2" t="s">
        <x:v>234</x:v>
      </x:c>
      <x:c r="AL366" s="2" t="s">
        <x:v>2902</x:v>
      </x:c>
      <x:c r="AM366" s="2">
        <x:v>66</x:v>
      </x:c>
      <x:c r="AN366" s="2">
        <x:v>66</x:v>
      </x:c>
    </x:row>
    <x:row r="367" ht="52">
      <x:c r="A367" s="2" t="s">
        <x:v>6</x:v>
      </x:c>
      <x:c r="B367" s="2" t="s">
        <x:v>15</x:v>
      </x:c>
      <x:c r="C367" s="3">
        <x:v>65</x:v>
      </x:c>
      <x:c r="D367" s="2" t="s">
        <x:v>1401</x:v>
      </x:c>
      <x:c r="E367" s="2" t="s">
        <x:v>1435</x:v>
      </x:c>
      <x:c r="F367" s="2" t="s">
        <x:v>254</x:v>
      </x:c>
      <x:c r="G367" s="2"/>
      <x:c r="H367" s="2" t="s">
        <x:v>627</x:v>
      </x:c>
      <x:c r="I367" s="2" t="s">
        <x:v>1436</x:v>
      </x:c>
      <x:c r="J367" s="2" t="s">
        <x:v>1437</x:v>
      </x:c>
      <x:c r="K367" s="2" t="n">
        <x:v>64</x:v>
      </x:c>
      <x:c r="L367" s="2"/>
      <x:c r="M367" s="2"/>
      <x:c r="N367" s="2" t="s">
        <x:v>1430</x:v>
      </x:c>
      <x:c r="O367" s="2" t="s">
        <x:v>1355</x:v>
      </x:c>
      <x:c r="P367" s="2" t="s">
        <x:v>1356</x:v>
      </x:c>
      <x:c r="Q367" s="2"/>
      <x:c r="R367" s="3">
        <x:v>3</x:v>
      </x:c>
      <x:c r="S367" s="3"/>
      <x:c r="T367" s="2"/>
      <x:c r="U367" s="2"/>
      <x:c r="V367" s="2"/>
      <x:c r="W367" s="2" t="s">
        <x:v>1436</x:v>
      </x:c>
      <x:c r="X367" s="3"/>
      <x:c r="Y367" s="3"/>
      <x:c r="Z367" s="2"/>
      <x:c r="AA367" s="2" t="s">
        <x:v>232</x:v>
      </x:c>
      <x:c r="AB367" s="2" t="s">
        <x:v>1357</x:v>
      </x:c>
      <x:c r="AC367" s="2"/>
      <x:c r="AD367" s="2"/>
      <x:c r="AE367" s="2"/>
      <x:c r="AF367" s="2"/>
      <x:c r="AG367" s="2"/>
      <x:c r="AH367" s="2"/>
      <x:c r="AI367" s="4"/>
      <x:c r="AJ367" s="2"/>
      <x:c r="AK367" s="2" t="s">
        <x:v>234</x:v>
      </x:c>
      <x:c r="AL367" s="2" t="s">
        <x:v>2902</x:v>
      </x:c>
      <x:c r="AM367" s="2">
        <x:v>67</x:v>
      </x:c>
      <x:c r="AN367" s="2">
        <x:v>67</x:v>
      </x:c>
    </x:row>
    <x:row r="368" ht="52">
      <x:c r="A368" s="2" t="s">
        <x:v>6</x:v>
      </x:c>
      <x:c r="B368" s="2" t="s">
        <x:v>15</x:v>
      </x:c>
      <x:c r="C368" s="3">
        <x:v>66</x:v>
      </x:c>
      <x:c r="D368" s="2" t="s">
        <x:v>1418</x:v>
      </x:c>
      <x:c r="E368" s="2" t="s">
        <x:v>1435</x:v>
      </x:c>
      <x:c r="F368" s="2" t="s">
        <x:v>237</x:v>
      </x:c>
      <x:c r="G368" s="2"/>
      <x:c r="H368" s="2" t="s">
        <x:v>627</x:v>
      </x:c>
      <x:c r="I368" s="2" t="s">
        <x:v>1436</x:v>
      </x:c>
      <x:c r="J368" s="2" t="s">
        <x:v>1438</x:v>
      </x:c>
      <x:c r="K368" s="2" t="n">
        <x:v>64</x:v>
      </x:c>
      <x:c r="L368" s="2"/>
      <x:c r="M368" s="2"/>
      <x:c r="N368" s="2" t="s">
        <x:v>1430</x:v>
      </x:c>
      <x:c r="O368" s="2" t="s">
        <x:v>1355</x:v>
      </x:c>
      <x:c r="P368" s="2" t="s">
        <x:v>1356</x:v>
      </x:c>
      <x:c r="Q368" s="2"/>
      <x:c r="R368" s="3">
        <x:v>3</x:v>
      </x:c>
      <x:c r="S368" s="3"/>
      <x:c r="T368" s="2"/>
      <x:c r="U368" s="2"/>
      <x:c r="V368" s="2"/>
      <x:c r="W368" s="2" t="s">
        <x:v>1436</x:v>
      </x:c>
      <x:c r="X368" s="3"/>
      <x:c r="Y368" s="3"/>
      <x:c r="Z368" s="2"/>
      <x:c r="AA368" s="2" t="s">
        <x:v>275</x:v>
      </x:c>
      <x:c r="AB368" s="2" t="s">
        <x:v>1357</x:v>
      </x:c>
      <x:c r="AC368" s="2"/>
      <x:c r="AD368" s="2"/>
      <x:c r="AE368" s="2"/>
      <x:c r="AF368" s="2"/>
      <x:c r="AG368" s="2"/>
      <x:c r="AH368" s="2"/>
      <x:c r="AI368" s="4"/>
      <x:c r="AJ368" s="2"/>
      <x:c r="AK368" s="2" t="s">
        <x:v>234</x:v>
      </x:c>
      <x:c r="AL368" s="2" t="s">
        <x:v>2902</x:v>
      </x:c>
      <x:c r="AM368" s="2">
        <x:v>68</x:v>
      </x:c>
      <x:c r="AN368" s="2">
        <x:v>68</x:v>
      </x:c>
    </x:row>
    <x:row r="369" ht="52">
      <x:c r="A369" s="2" t="s">
        <x:v>91</x:v>
      </x:c>
      <x:c r="B369" s="2" t="s">
        <x:v>15</x:v>
      </x:c>
      <x:c r="C369" s="3">
        <x:v>67</x:v>
      </x:c>
      <x:c r="D369" s="2" t="s">
        <x:v>1340</x:v>
      </x:c>
      <x:c r="E369" s="2" t="s">
        <x:v>1435</x:v>
      </x:c>
      <x:c r="F369" s="2" t="s">
        <x:v>237</x:v>
      </x:c>
      <x:c r="G369" s="2" t="s">
        <x:v>2909</x:v>
      </x:c>
      <x:c r="H369" s="2" t="s">
        <x:v>618</x:v>
      </x:c>
      <x:c r="I369" s="2" t="s">
        <x:v>1436</x:v>
      </x:c>
      <x:c r="J369" s="2" t="s">
        <x:v>1375</x:v>
      </x:c>
      <x:c r="K369" s="2" t="n">
        <x:v>64</x:v>
      </x:c>
      <x:c r="L369" s="2"/>
      <x:c r="M369" s="2"/>
      <x:c r="N369" s="2" t="s">
        <x:v>1430</x:v>
      </x:c>
      <x:c r="O369" s="2" t="s">
        <x:v>1355</x:v>
      </x:c>
      <x:c r="P369" s="2" t="s">
        <x:v>1352</x:v>
      </x:c>
      <x:c r="Q369" s="2"/>
      <x:c r="R369" s="3">
        <x:v>3</x:v>
      </x:c>
      <x:c r="S369" s="3"/>
      <x:c r="T369" s="2"/>
      <x:c r="U369" s="2"/>
      <x:c r="V369" s="2"/>
      <x:c r="W369" s="2" t="s">
        <x:v>1436</x:v>
      </x:c>
      <x:c r="X369" s="3"/>
      <x:c r="Y369" s="3"/>
      <x:c r="Z369" s="2"/>
      <x:c r="AA369" s="2" t="s">
        <x:v>275</x:v>
      </x:c>
      <x:c r="AB369" s="2" t="s">
        <x:v>284</x:v>
      </x:c>
      <x:c r="AC369" s="2"/>
      <x:c r="AD369" s="2"/>
      <x:c r="AE369" s="2"/>
      <x:c r="AF369" s="2"/>
      <x:c r="AG369" s="2"/>
      <x:c r="AH369" s="2"/>
      <x:c r="AI369" s="4"/>
      <x:c r="AJ369" s="2"/>
      <x:c r="AK369" s="2" t="s">
        <x:v>234</x:v>
      </x:c>
      <x:c r="AL369" s="2" t="s">
        <x:v>2902</x:v>
      </x:c>
      <x:c r="AM369" s="2">
        <x:v>69</x:v>
      </x:c>
      <x:c r="AN369" s="2">
        <x:v>69</x:v>
      </x:c>
    </x:row>
    <x:row r="370" ht="52">
      <x:c r="A370" s="2" t="s">
        <x:v>91</x:v>
      </x:c>
      <x:c r="B370" s="2" t="s">
        <x:v>15</x:v>
      </x:c>
      <x:c r="C370" s="3">
        <x:v>68</x:v>
      </x:c>
      <x:c r="D370" s="2" t="s">
        <x:v>1439</x:v>
      </x:c>
      <x:c r="E370" s="2" t="s">
        <x:v>1440</x:v>
      </x:c>
      <x:c r="F370" s="2" t="s">
        <x:v>254</x:v>
      </x:c>
      <x:c r="G370" s="2" t="s">
        <x:v>1290</x:v>
      </x:c>
      <x:c r="H370" s="2" t="s">
        <x:v>618</x:v>
      </x:c>
      <x:c r="I370" s="2" t="s">
        <x:v>1441</x:v>
      </x:c>
      <x:c r="J370" s="2" t="s">
        <x:v>1442</x:v>
      </x:c>
      <x:c r="K370" s="2"/>
      <x:c r="L370" s="2"/>
      <x:c r="M370" s="2"/>
      <x:c r="N370" s="2" t="s">
        <x:v>1430</x:v>
      </x:c>
      <x:c r="O370" s="2" t="s">
        <x:v>1351</x:v>
      </x:c>
      <x:c r="P370" s="2" t="s">
        <x:v>1352</x:v>
      </x:c>
      <x:c r="Q370" s="2"/>
      <x:c r="R370" s="3">
        <x:v>4</x:v>
      </x:c>
      <x:c r="S370" s="3"/>
      <x:c r="T370" s="2"/>
      <x:c r="U370" s="2"/>
      <x:c r="V370" s="2"/>
      <x:c r="W370" s="2" t="s">
        <x:v>1441</x:v>
      </x:c>
      <x:c r="X370" s="3"/>
      <x:c r="Y370" s="3"/>
      <x:c r="Z370" s="2"/>
      <x:c r="AA370" s="2" t="s">
        <x:v>1314</x:v>
      </x:c>
      <x:c r="AB370" s="2" t="s">
        <x:v>1315</x:v>
      </x:c>
      <x:c r="AC370" s="2"/>
      <x:c r="AD370" s="2"/>
      <x:c r="AE370" s="2"/>
      <x:c r="AF370" s="2"/>
      <x:c r="AG370" s="2"/>
      <x:c r="AH370" s="2"/>
      <x:c r="AI370" s="4"/>
      <x:c r="AJ370" s="2"/>
      <x:c r="AK370" s="2" t="s">
        <x:v>234</x:v>
      </x:c>
      <x:c r="AL370" s="2" t="s">
        <x:v>2902</x:v>
      </x:c>
      <x:c r="AM370" s="2">
        <x:v>70</x:v>
      </x:c>
      <x:c r="AN370" s="2">
        <x:v>70</x:v>
      </x:c>
    </x:row>
    <x:row r="371" ht="52">
      <x:c r="A371" s="2" t="s">
        <x:v>6</x:v>
      </x:c>
      <x:c r="B371" s="2" t="s">
        <x:v>15</x:v>
      </x:c>
      <x:c r="C371" s="3">
        <x:v>69</x:v>
      </x:c>
      <x:c r="D371" s="2" t="s">
        <x:v>1443</x:v>
      </x:c>
      <x:c r="E371" s="2" t="s">
        <x:v>1440</x:v>
      </x:c>
      <x:c r="F371" s="2" t="s">
        <x:v>254</x:v>
      </x:c>
      <x:c r="G371" s="2"/>
      <x:c r="H371" s="2" t="s">
        <x:v>627</x:v>
      </x:c>
      <x:c r="I371" s="2" t="s">
        <x:v>1441</x:v>
      </x:c>
      <x:c r="J371" s="2" t="s">
        <x:v>1444</x:v>
      </x:c>
      <x:c r="K371" s="2" t="n">
        <x:v>68</x:v>
      </x:c>
      <x:c r="L371" s="2"/>
      <x:c r="M371" s="2"/>
      <x:c r="N371" s="2" t="s">
        <x:v>1430</x:v>
      </x:c>
      <x:c r="O371" s="2" t="s">
        <x:v>1355</x:v>
      </x:c>
      <x:c r="P371" s="2" t="s">
        <x:v>1356</x:v>
      </x:c>
      <x:c r="Q371" s="2"/>
      <x:c r="R371" s="3">
        <x:v>4</x:v>
      </x:c>
      <x:c r="S371" s="3"/>
      <x:c r="T371" s="2"/>
      <x:c r="U371" s="2"/>
      <x:c r="V371" s="2"/>
      <x:c r="W371" s="2" t="s">
        <x:v>1441</x:v>
      </x:c>
      <x:c r="X371" s="3"/>
      <x:c r="Y371" s="3"/>
      <x:c r="Z371" s="2"/>
      <x:c r="AA371" s="2" t="s">
        <x:v>1314</x:v>
      </x:c>
      <x:c r="AB371" s="2" t="s">
        <x:v>1357</x:v>
      </x:c>
      <x:c r="AC371" s="2"/>
      <x:c r="AD371" s="2"/>
      <x:c r="AE371" s="2"/>
      <x:c r="AF371" s="2"/>
      <x:c r="AG371" s="2"/>
      <x:c r="AH371" s="2"/>
      <x:c r="AI371" s="4"/>
      <x:c r="AJ371" s="2"/>
      <x:c r="AK371" s="2" t="s">
        <x:v>234</x:v>
      </x:c>
      <x:c r="AL371" s="2" t="s">
        <x:v>2902</x:v>
      </x:c>
      <x:c r="AM371" s="2">
        <x:v>71</x:v>
      </x:c>
      <x:c r="AN371" s="2">
        <x:v>71</x:v>
      </x:c>
    </x:row>
    <x:row r="372" ht="52">
      <x:c r="A372" s="2" t="s">
        <x:v>6</x:v>
      </x:c>
      <x:c r="B372" s="2" t="s">
        <x:v>15</x:v>
      </x:c>
      <x:c r="C372" s="3">
        <x:v>70</x:v>
      </x:c>
      <x:c r="D372" s="2" t="s">
        <x:v>1407</x:v>
      </x:c>
      <x:c r="E372" s="2" t="s">
        <x:v>1440</x:v>
      </x:c>
      <x:c r="F372" s="2" t="s">
        <x:v>247</x:v>
      </x:c>
      <x:c r="G372" s="2"/>
      <x:c r="H372" s="2" t="s">
        <x:v>627</x:v>
      </x:c>
      <x:c r="I372" s="2" t="s">
        <x:v>1441</x:v>
      </x:c>
      <x:c r="J372" s="2" t="s">
        <x:v>1445</x:v>
      </x:c>
      <x:c r="K372" s="2" t="n">
        <x:v>68</x:v>
      </x:c>
      <x:c r="L372" s="2"/>
      <x:c r="M372" s="2"/>
      <x:c r="N372" s="2" t="s">
        <x:v>1430</x:v>
      </x:c>
      <x:c r="O372" s="2" t="s">
        <x:v>1355</x:v>
      </x:c>
      <x:c r="P372" s="2" t="s">
        <x:v>1356</x:v>
      </x:c>
      <x:c r="Q372" s="2"/>
      <x:c r="R372" s="3">
        <x:v>4</x:v>
      </x:c>
      <x:c r="S372" s="3"/>
      <x:c r="T372" s="2"/>
      <x:c r="U372" s="2"/>
      <x:c r="V372" s="2"/>
      <x:c r="W372" s="2" t="s">
        <x:v>1441</x:v>
      </x:c>
      <x:c r="X372" s="3"/>
      <x:c r="Y372" s="3"/>
      <x:c r="Z372" s="2"/>
      <x:c r="AA372" s="2" t="s">
        <x:v>275</x:v>
      </x:c>
      <x:c r="AB372" s="2" t="s">
        <x:v>1357</x:v>
      </x:c>
      <x:c r="AC372" s="2"/>
      <x:c r="AD372" s="2"/>
      <x:c r="AE372" s="2"/>
      <x:c r="AF372" s="2"/>
      <x:c r="AG372" s="2"/>
      <x:c r="AH372" s="2"/>
      <x:c r="AI372" s="4"/>
      <x:c r="AJ372" s="2"/>
      <x:c r="AK372" s="2" t="s">
        <x:v>234</x:v>
      </x:c>
      <x:c r="AL372" s="2" t="s">
        <x:v>2902</x:v>
      </x:c>
      <x:c r="AM372" s="2">
        <x:v>72</x:v>
      </x:c>
      <x:c r="AN372" s="2">
        <x:v>72</x:v>
      </x:c>
    </x:row>
    <x:row r="373" ht="52">
      <x:c r="A373" s="2" t="s">
        <x:v>91</x:v>
      </x:c>
      <x:c r="B373" s="2" t="s">
        <x:v>15</x:v>
      </x:c>
      <x:c r="C373" s="3">
        <x:v>71</x:v>
      </x:c>
      <x:c r="D373" s="2" t="s">
        <x:v>1340</x:v>
      </x:c>
      <x:c r="E373" s="2" t="s">
        <x:v>1440</x:v>
      </x:c>
      <x:c r="F373" s="2" t="s">
        <x:v>247</x:v>
      </x:c>
      <x:c r="G373" s="2" t="s">
        <x:v>2907</x:v>
      </x:c>
      <x:c r="H373" s="2" t="s">
        <x:v>618</x:v>
      </x:c>
      <x:c r="I373" s="2" t="s">
        <x:v>1441</x:v>
      </x:c>
      <x:c r="J373" s="2" t="s">
        <x:v>1446</x:v>
      </x:c>
      <x:c r="K373" s="2" t="n">
        <x:v>68</x:v>
      </x:c>
      <x:c r="L373" s="2"/>
      <x:c r="M373" s="2"/>
      <x:c r="N373" s="2" t="s">
        <x:v>1430</x:v>
      </x:c>
      <x:c r="O373" s="2" t="s">
        <x:v>1355</x:v>
      </x:c>
      <x:c r="P373" s="2" t="s">
        <x:v>1352</x:v>
      </x:c>
      <x:c r="Q373" s="2"/>
      <x:c r="R373" s="3">
        <x:v>4</x:v>
      </x:c>
      <x:c r="S373" s="3"/>
      <x:c r="T373" s="2"/>
      <x:c r="U373" s="2"/>
      <x:c r="V373" s="2"/>
      <x:c r="W373" s="2" t="s">
        <x:v>1441</x:v>
      </x:c>
      <x:c r="X373" s="3"/>
      <x:c r="Y373" s="3"/>
      <x:c r="Z373" s="2"/>
      <x:c r="AA373" s="2" t="s">
        <x:v>275</x:v>
      </x:c>
      <x:c r="AB373" s="2" t="s">
        <x:v>284</x:v>
      </x:c>
      <x:c r="AC373" s="2"/>
      <x:c r="AD373" s="2"/>
      <x:c r="AE373" s="2"/>
      <x:c r="AF373" s="2"/>
      <x:c r="AG373" s="2"/>
      <x:c r="AH373" s="2"/>
      <x:c r="AI373" s="4"/>
      <x:c r="AJ373" s="2"/>
      <x:c r="AK373" s="2" t="s">
        <x:v>234</x:v>
      </x:c>
      <x:c r="AL373" s="2" t="s">
        <x:v>2902</x:v>
      </x:c>
      <x:c r="AM373" s="2">
        <x:v>73</x:v>
      </x:c>
      <x:c r="AN373" s="2">
        <x:v>73</x:v>
      </x:c>
    </x:row>
    <x:row r="374" ht="52">
      <x:c r="A374" s="2" t="s">
        <x:v>6</x:v>
      </x:c>
      <x:c r="B374" s="2" t="s">
        <x:v>15</x:v>
      </x:c>
      <x:c r="C374" s="3">
        <x:v>72</x:v>
      </x:c>
      <x:c r="D374" s="2" t="s">
        <x:v>1388</x:v>
      </x:c>
      <x:c r="E374" s="2" t="s">
        <x:v>1447</x:v>
      </x:c>
      <x:c r="F374" s="2" t="s">
        <x:v>237</x:v>
      </x:c>
      <x:c r="G374" s="2"/>
      <x:c r="H374" s="2" t="s">
        <x:v>618</x:v>
      </x:c>
      <x:c r="I374" s="2" t="s">
        <x:v>1448</x:v>
      </x:c>
      <x:c r="J374" s="2" t="s">
        <x:v>1349</x:v>
      </x:c>
      <x:c r="K374" s="2"/>
      <x:c r="L374" s="2"/>
      <x:c r="M374" s="2"/>
      <x:c r="N374" s="2" t="s">
        <x:v>1430</x:v>
      </x:c>
      <x:c r="O374" s="2" t="s">
        <x:v>1351</x:v>
      </x:c>
      <x:c r="P374" s="2" t="s">
        <x:v>1352</x:v>
      </x:c>
      <x:c r="Q374" s="2"/>
      <x:c r="R374" s="3">
        <x:v>2</x:v>
      </x:c>
      <x:c r="S374" s="3"/>
      <x:c r="T374" s="2"/>
      <x:c r="U374" s="2"/>
      <x:c r="V374" s="2"/>
      <x:c r="W374" s="2" t="s">
        <x:v>1448</x:v>
      </x:c>
      <x:c r="X374" s="3"/>
      <x:c r="Y374" s="3"/>
      <x:c r="Z374" s="2"/>
      <x:c r="AA374" s="2" t="s">
        <x:v>232</x:v>
      </x:c>
      <x:c r="AB374" s="2" t="s">
        <x:v>233</x:v>
      </x:c>
      <x:c r="AC374" s="2"/>
      <x:c r="AD374" s="2"/>
      <x:c r="AE374" s="2"/>
      <x:c r="AF374" s="2"/>
      <x:c r="AG374" s="2"/>
      <x:c r="AH374" s="2"/>
      <x:c r="AI374" s="4"/>
      <x:c r="AJ374" s="2"/>
      <x:c r="AK374" s="2" t="s">
        <x:v>234</x:v>
      </x:c>
      <x:c r="AL374" s="2" t="s">
        <x:v>2902</x:v>
      </x:c>
      <x:c r="AM374" s="2">
        <x:v>74</x:v>
      </x:c>
      <x:c r="AN374" s="2">
        <x:v>74</x:v>
      </x:c>
    </x:row>
    <x:row r="375" ht="52">
      <x:c r="A375" s="2" t="s">
        <x:v>6</x:v>
      </x:c>
      <x:c r="B375" s="2" t="s">
        <x:v>15</x:v>
      </x:c>
      <x:c r="C375" s="3">
        <x:v>73</x:v>
      </x:c>
      <x:c r="D375" s="2" t="s">
        <x:v>1353</x:v>
      </x:c>
      <x:c r="E375" s="2" t="s">
        <x:v>1447</x:v>
      </x:c>
      <x:c r="F375" s="2" t="s">
        <x:v>237</x:v>
      </x:c>
      <x:c r="G375" s="2"/>
      <x:c r="H375" s="2" t="s">
        <x:v>627</x:v>
      </x:c>
      <x:c r="I375" s="2" t="s">
        <x:v>1448</x:v>
      </x:c>
      <x:c r="J375" s="2" t="s">
        <x:v>1449</x:v>
      </x:c>
      <x:c r="K375" s="2" t="n">
        <x:v>72</x:v>
      </x:c>
      <x:c r="L375" s="2"/>
      <x:c r="M375" s="2"/>
      <x:c r="N375" s="2" t="s">
        <x:v>1430</x:v>
      </x:c>
      <x:c r="O375" s="2" t="s">
        <x:v>1355</x:v>
      </x:c>
      <x:c r="P375" s="2" t="s">
        <x:v>1356</x:v>
      </x:c>
      <x:c r="Q375" s="2"/>
      <x:c r="R375" s="3">
        <x:v>2</x:v>
      </x:c>
      <x:c r="S375" s="3"/>
      <x:c r="T375" s="2"/>
      <x:c r="U375" s="2"/>
      <x:c r="V375" s="2"/>
      <x:c r="W375" s="2" t="s">
        <x:v>1448</x:v>
      </x:c>
      <x:c r="X375" s="3"/>
      <x:c r="Y375" s="3"/>
      <x:c r="Z375" s="2"/>
      <x:c r="AA375" s="2" t="s">
        <x:v>232</x:v>
      </x:c>
      <x:c r="AB375" s="2" t="s">
        <x:v>1357</x:v>
      </x:c>
      <x:c r="AC375" s="2"/>
      <x:c r="AD375" s="2"/>
      <x:c r="AE375" s="2"/>
      <x:c r="AF375" s="2"/>
      <x:c r="AG375" s="2"/>
      <x:c r="AH375" s="2"/>
      <x:c r="AI375" s="4"/>
      <x:c r="AJ375" s="2"/>
      <x:c r="AK375" s="2" t="s">
        <x:v>234</x:v>
      </x:c>
      <x:c r="AL375" s="2" t="s">
        <x:v>2902</x:v>
      </x:c>
      <x:c r="AM375" s="2">
        <x:v>75</x:v>
      </x:c>
      <x:c r="AN375" s="2">
        <x:v>75</x:v>
      </x:c>
    </x:row>
    <x:row r="376" ht="52">
      <x:c r="A376" s="2" t="s">
        <x:v>91</x:v>
      </x:c>
      <x:c r="B376" s="2" t="s">
        <x:v>15</x:v>
      </x:c>
      <x:c r="C376" s="3">
        <x:v>74</x:v>
      </x:c>
      <x:c r="D376" s="2" t="s">
        <x:v>1401</x:v>
      </x:c>
      <x:c r="E376" s="2" t="s">
        <x:v>1447</x:v>
      </x:c>
      <x:c r="F376" s="2" t="s">
        <x:v>254</x:v>
      </x:c>
      <x:c r="G376" s="2" t="s">
        <x:v>2922</x:v>
      </x:c>
      <x:c r="H376" s="2" t="s">
        <x:v>627</x:v>
      </x:c>
      <x:c r="I376" s="2" t="s">
        <x:v>1448</x:v>
      </x:c>
      <x:c r="J376" s="2" t="s">
        <x:v>1402</x:v>
      </x:c>
      <x:c r="K376" s="2" t="n">
        <x:v>72</x:v>
      </x:c>
      <x:c r="L376" s="2"/>
      <x:c r="M376" s="2"/>
      <x:c r="N376" s="2" t="s">
        <x:v>1430</x:v>
      </x:c>
      <x:c r="O376" s="2" t="s">
        <x:v>1355</x:v>
      </x:c>
      <x:c r="P376" s="2" t="s">
        <x:v>1356</x:v>
      </x:c>
      <x:c r="Q376" s="2"/>
      <x:c r="R376" s="3">
        <x:v>2</x:v>
      </x:c>
      <x:c r="S376" s="3"/>
      <x:c r="T376" s="2"/>
      <x:c r="U376" s="2"/>
      <x:c r="V376" s="2"/>
      <x:c r="W376" s="2" t="s">
        <x:v>1448</x:v>
      </x:c>
      <x:c r="X376" s="3"/>
      <x:c r="Y376" s="3"/>
      <x:c r="Z376" s="2"/>
      <x:c r="AA376" s="2" t="s">
        <x:v>243</x:v>
      </x:c>
      <x:c r="AB376" s="2" t="s">
        <x:v>1357</x:v>
      </x:c>
      <x:c r="AC376" s="2"/>
      <x:c r="AD376" s="2"/>
      <x:c r="AE376" s="2"/>
      <x:c r="AF376" s="2"/>
      <x:c r="AG376" s="2"/>
      <x:c r="AH376" s="2"/>
      <x:c r="AI376" s="4"/>
      <x:c r="AJ376" s="2"/>
      <x:c r="AK376" s="2" t="s">
        <x:v>234</x:v>
      </x:c>
      <x:c r="AL376" s="2" t="s">
        <x:v>2902</x:v>
      </x:c>
      <x:c r="AM376" s="2">
        <x:v>76</x:v>
      </x:c>
      <x:c r="AN376" s="2">
        <x:v>76</x:v>
      </x:c>
    </x:row>
    <x:row r="377" ht="52">
      <x:c r="A377" s="2" t="s">
        <x:v>6</x:v>
      </x:c>
      <x:c r="B377" s="2" t="s">
        <x:v>15</x:v>
      </x:c>
      <x:c r="C377" s="3">
        <x:v>75</x:v>
      </x:c>
      <x:c r="D377" s="2" t="s">
        <x:v>1281</x:v>
      </x:c>
      <x:c r="E377" s="2" t="s">
        <x:v>1447</x:v>
      </x:c>
      <x:c r="F377" s="2" t="s">
        <x:v>254</x:v>
      </x:c>
      <x:c r="G377" s="2"/>
      <x:c r="H377" s="2" t="s">
        <x:v>618</x:v>
      </x:c>
      <x:c r="I377" s="2" t="s">
        <x:v>1448</x:v>
      </x:c>
      <x:c r="J377" s="2" t="s">
        <x:v>1403</x:v>
      </x:c>
      <x:c r="K377" s="2" t="n">
        <x:v>72</x:v>
      </x:c>
      <x:c r="L377" s="2"/>
      <x:c r="M377" s="2"/>
      <x:c r="N377" s="2" t="s">
        <x:v>1430</x:v>
      </x:c>
      <x:c r="O377" s="2" t="s">
        <x:v>1355</x:v>
      </x:c>
      <x:c r="P377" s="2" t="s">
        <x:v>1352</x:v>
      </x:c>
      <x:c r="Q377" s="2"/>
      <x:c r="R377" s="3">
        <x:v>2</x:v>
      </x:c>
      <x:c r="S377" s="3"/>
      <x:c r="T377" s="2"/>
      <x:c r="U377" s="2"/>
      <x:c r="V377" s="2"/>
      <x:c r="W377" s="2" t="s">
        <x:v>1448</x:v>
      </x:c>
      <x:c r="X377" s="3"/>
      <x:c r="Y377" s="3"/>
      <x:c r="Z377" s="2"/>
      <x:c r="AA377" s="2" t="s">
        <x:v>243</x:v>
      </x:c>
      <x:c r="AB377" s="2" t="s">
        <x:v>244</x:v>
      </x:c>
      <x:c r="AC377" s="2"/>
      <x:c r="AD377" s="2"/>
      <x:c r="AE377" s="2"/>
      <x:c r="AF377" s="2"/>
      <x:c r="AG377" s="2"/>
      <x:c r="AH377" s="2"/>
      <x:c r="AI377" s="4"/>
      <x:c r="AJ377" s="2"/>
      <x:c r="AK377" s="2" t="s">
        <x:v>234</x:v>
      </x:c>
      <x:c r="AL377" s="2" t="s">
        <x:v>2902</x:v>
      </x:c>
      <x:c r="AM377" s="2">
        <x:v>77</x:v>
      </x:c>
      <x:c r="AN377" s="2">
        <x:v>77</x:v>
      </x:c>
    </x:row>
    <x:row r="378" ht="52">
      <x:c r="A378" s="2" t="s">
        <x:v>91</x:v>
      </x:c>
      <x:c r="B378" s="2" t="s">
        <x:v>15</x:v>
      </x:c>
      <x:c r="C378" s="3">
        <x:v>76</x:v>
      </x:c>
      <x:c r="D378" s="2" t="s">
        <x:v>1335</x:v>
      </x:c>
      <x:c r="E378" s="2" t="s">
        <x:v>1450</x:v>
      </x:c>
      <x:c r="F378" s="2" t="s">
        <x:v>247</x:v>
      </x:c>
      <x:c r="G378" s="2" t="s">
        <x:v>1276</x:v>
      </x:c>
      <x:c r="H378" s="2" t="s">
        <x:v>618</x:v>
      </x:c>
      <x:c r="I378" s="2" t="s">
        <x:v>1451</x:v>
      </x:c>
      <x:c r="J378" s="2" t="s">
        <x:v>1406</x:v>
      </x:c>
      <x:c r="K378" s="2"/>
      <x:c r="L378" s="2"/>
      <x:c r="M378" s="2"/>
      <x:c r="N378" s="2" t="s">
        <x:v>1430</x:v>
      </x:c>
      <x:c r="O378" s="2" t="s">
        <x:v>1351</x:v>
      </x:c>
      <x:c r="P378" s="2" t="s">
        <x:v>1352</x:v>
      </x:c>
      <x:c r="Q378" s="2"/>
      <x:c r="R378" s="3">
        <x:v>3</x:v>
      </x:c>
      <x:c r="S378" s="3"/>
      <x:c r="T378" s="2"/>
      <x:c r="U378" s="2"/>
      <x:c r="V378" s="2"/>
      <x:c r="W378" s="2" t="s">
        <x:v>1451</x:v>
      </x:c>
      <x:c r="X378" s="3"/>
      <x:c r="Y378" s="3"/>
      <x:c r="Z378" s="2"/>
      <x:c r="AA378" s="2" t="s">
        <x:v>275</x:v>
      </x:c>
      <x:c r="AB378" s="2" t="s">
        <x:v>276</x:v>
      </x:c>
      <x:c r="AC378" s="2"/>
      <x:c r="AD378" s="2"/>
      <x:c r="AE378" s="2"/>
      <x:c r="AF378" s="2"/>
      <x:c r="AG378" s="2"/>
      <x:c r="AH378" s="2"/>
      <x:c r="AI378" s="4"/>
      <x:c r="AJ378" s="2"/>
      <x:c r="AK378" s="2" t="s">
        <x:v>234</x:v>
      </x:c>
      <x:c r="AL378" s="2" t="s">
        <x:v>2902</x:v>
      </x:c>
      <x:c r="AM378" s="2">
        <x:v>78</x:v>
      </x:c>
      <x:c r="AN378" s="2">
        <x:v>78</x:v>
      </x:c>
    </x:row>
    <x:row r="379" ht="52">
      <x:c r="A379" s="2" t="s">
        <x:v>6</x:v>
      </x:c>
      <x:c r="B379" s="2" t="s">
        <x:v>15</x:v>
      </x:c>
      <x:c r="C379" s="3">
        <x:v>77</x:v>
      </x:c>
      <x:c r="D379" s="2" t="s">
        <x:v>1407</x:v>
      </x:c>
      <x:c r="E379" s="2" t="s">
        <x:v>1450</x:v>
      </x:c>
      <x:c r="F379" s="2" t="s">
        <x:v>247</x:v>
      </x:c>
      <x:c r="G379" s="2"/>
      <x:c r="H379" s="2" t="s">
        <x:v>627</x:v>
      </x:c>
      <x:c r="I379" s="2" t="s">
        <x:v>1451</x:v>
      </x:c>
      <x:c r="J379" s="2" t="s">
        <x:v>1408</x:v>
      </x:c>
      <x:c r="K379" s="2" t="n">
        <x:v>76</x:v>
      </x:c>
      <x:c r="L379" s="2"/>
      <x:c r="M379" s="2"/>
      <x:c r="N379" s="2" t="s">
        <x:v>1430</x:v>
      </x:c>
      <x:c r="O379" s="2" t="s">
        <x:v>1355</x:v>
      </x:c>
      <x:c r="P379" s="2" t="s">
        <x:v>1356</x:v>
      </x:c>
      <x:c r="Q379" s="2"/>
      <x:c r="R379" s="3">
        <x:v>3</x:v>
      </x:c>
      <x:c r="S379" s="3"/>
      <x:c r="T379" s="2"/>
      <x:c r="U379" s="2"/>
      <x:c r="V379" s="2"/>
      <x:c r="W379" s="2" t="s">
        <x:v>1451</x:v>
      </x:c>
      <x:c r="X379" s="3"/>
      <x:c r="Y379" s="3"/>
      <x:c r="Z379" s="2"/>
      <x:c r="AA379" s="2" t="s">
        <x:v>275</x:v>
      </x:c>
      <x:c r="AB379" s="2" t="s">
        <x:v>1357</x:v>
      </x:c>
      <x:c r="AC379" s="2"/>
      <x:c r="AD379" s="2"/>
      <x:c r="AE379" s="2"/>
      <x:c r="AF379" s="2"/>
      <x:c r="AG379" s="2"/>
      <x:c r="AH379" s="2"/>
      <x:c r="AI379" s="4"/>
      <x:c r="AJ379" s="2"/>
      <x:c r="AK379" s="2" t="s">
        <x:v>234</x:v>
      </x:c>
      <x:c r="AL379" s="2" t="s">
        <x:v>2902</x:v>
      </x:c>
      <x:c r="AM379" s="2">
        <x:v>79</x:v>
      </x:c>
      <x:c r="AN379" s="2">
        <x:v>79</x:v>
      </x:c>
    </x:row>
    <x:row r="380" ht="52">
      <x:c r="A380" s="2" t="s">
        <x:v>6</x:v>
      </x:c>
      <x:c r="B380" s="2" t="s">
        <x:v>15</x:v>
      </x:c>
      <x:c r="C380" s="3">
        <x:v>78</x:v>
      </x:c>
      <x:c r="D380" s="2" t="s">
        <x:v>1384</x:v>
      </x:c>
      <x:c r="E380" s="2" t="s">
        <x:v>1450</x:v>
      </x:c>
      <x:c r="F380" s="2" t="s">
        <x:v>224</x:v>
      </x:c>
      <x:c r="G380" s="2"/>
      <x:c r="H380" s="2" t="s">
        <x:v>627</x:v>
      </x:c>
      <x:c r="I380" s="2" t="s">
        <x:v>1451</x:v>
      </x:c>
      <x:c r="J380" s="2" t="s">
        <x:v>1386</x:v>
      </x:c>
      <x:c r="K380" s="2" t="n">
        <x:v>76</x:v>
      </x:c>
      <x:c r="L380" s="2"/>
      <x:c r="M380" s="2"/>
      <x:c r="N380" s="2" t="s">
        <x:v>1430</x:v>
      </x:c>
      <x:c r="O380" s="2" t="s">
        <x:v>1355</x:v>
      </x:c>
      <x:c r="P380" s="2" t="s">
        <x:v>1356</x:v>
      </x:c>
      <x:c r="Q380" s="2"/>
      <x:c r="R380" s="3">
        <x:v>3</x:v>
      </x:c>
      <x:c r="S380" s="3"/>
      <x:c r="T380" s="2"/>
      <x:c r="U380" s="2"/>
      <x:c r="V380" s="2"/>
      <x:c r="W380" s="2" t="s">
        <x:v>1451</x:v>
      </x:c>
      <x:c r="X380" s="3"/>
      <x:c r="Y380" s="3"/>
      <x:c r="Z380" s="2"/>
      <x:c r="AA380" s="2" t="s">
        <x:v>232</x:v>
      </x:c>
      <x:c r="AB380" s="2" t="s">
        <x:v>1357</x:v>
      </x:c>
      <x:c r="AC380" s="2"/>
      <x:c r="AD380" s="2"/>
      <x:c r="AE380" s="2"/>
      <x:c r="AF380" s="2"/>
      <x:c r="AG380" s="2"/>
      <x:c r="AH380" s="2"/>
      <x:c r="AI380" s="4"/>
      <x:c r="AJ380" s="2"/>
      <x:c r="AK380" s="2" t="s">
        <x:v>234</x:v>
      </x:c>
      <x:c r="AL380" s="2" t="s">
        <x:v>2902</x:v>
      </x:c>
      <x:c r="AM380" s="2">
        <x:v>80</x:v>
      </x:c>
      <x:c r="AN380" s="2">
        <x:v>80</x:v>
      </x:c>
    </x:row>
    <x:row r="381" ht="52">
      <x:c r="A381" s="2" t="s">
        <x:v>6</x:v>
      </x:c>
      <x:c r="B381" s="2" t="s">
        <x:v>15</x:v>
      </x:c>
      <x:c r="C381" s="3">
        <x:v>79</x:v>
      </x:c>
      <x:c r="D381" s="2" t="s">
        <x:v>1346</x:v>
      </x:c>
      <x:c r="E381" s="2" t="s">
        <x:v>1450</x:v>
      </x:c>
      <x:c r="F381" s="2" t="s">
        <x:v>224</x:v>
      </x:c>
      <x:c r="G381" s="2"/>
      <x:c r="H381" s="2" t="s">
        <x:v>618</x:v>
      </x:c>
      <x:c r="I381" s="2" t="s">
        <x:v>1451</x:v>
      </x:c>
      <x:c r="J381" s="2" t="s">
        <x:v>1387</x:v>
      </x:c>
      <x:c r="K381" s="2" t="n">
        <x:v>76</x:v>
      </x:c>
      <x:c r="L381" s="2"/>
      <x:c r="M381" s="2"/>
      <x:c r="N381" s="2" t="s">
        <x:v>1430</x:v>
      </x:c>
      <x:c r="O381" s="2" t="s">
        <x:v>1355</x:v>
      </x:c>
      <x:c r="P381" s="2" t="s">
        <x:v>1352</x:v>
      </x:c>
      <x:c r="Q381" s="2"/>
      <x:c r="R381" s="3">
        <x:v>3</x:v>
      </x:c>
      <x:c r="S381" s="3"/>
      <x:c r="T381" s="2"/>
      <x:c r="U381" s="2"/>
      <x:c r="V381" s="2"/>
      <x:c r="W381" s="2" t="s">
        <x:v>1451</x:v>
      </x:c>
      <x:c r="X381" s="3"/>
      <x:c r="Y381" s="3"/>
      <x:c r="Z381" s="2"/>
      <x:c r="AA381" s="2" t="s">
        <x:v>232</x:v>
      </x:c>
      <x:c r="AB381" s="2" t="s">
        <x:v>292</x:v>
      </x:c>
      <x:c r="AC381" s="2"/>
      <x:c r="AD381" s="2"/>
      <x:c r="AE381" s="2"/>
      <x:c r="AF381" s="2"/>
      <x:c r="AG381" s="2"/>
      <x:c r="AH381" s="2"/>
      <x:c r="AI381" s="4"/>
      <x:c r="AJ381" s="2"/>
      <x:c r="AK381" s="2" t="s">
        <x:v>234</x:v>
      </x:c>
      <x:c r="AL381" s="2" t="s">
        <x:v>2902</x:v>
      </x:c>
      <x:c r="AM381" s="2">
        <x:v>81</x:v>
      </x:c>
      <x:c r="AN381" s="2">
        <x:v>81</x:v>
      </x:c>
    </x:row>
    <x:row r="382" ht="52">
      <x:c r="A382" s="2" t="s">
        <x:v>6</x:v>
      </x:c>
      <x:c r="B382" s="2" t="s">
        <x:v>15</x:v>
      </x:c>
      <x:c r="C382" s="3">
        <x:v>80</x:v>
      </x:c>
      <x:c r="D382" s="2" t="s">
        <x:v>1388</x:v>
      </x:c>
      <x:c r="E382" s="2" t="s">
        <x:v>1347</x:v>
      </x:c>
      <x:c r="F382" s="2" t="s">
        <x:v>237</x:v>
      </x:c>
      <x:c r="G382" s="2"/>
      <x:c r="H382" s="2" t="s">
        <x:v>618</x:v>
      </x:c>
      <x:c r="I382" s="2" t="s">
        <x:v>1454</x:v>
      </x:c>
      <x:c r="J382" s="2" t="s">
        <x:v>1349</x:v>
      </x:c>
      <x:c r="K382" s="2"/>
      <x:c r="L382" s="2"/>
      <x:c r="M382" s="2"/>
      <x:c r="N382" s="2" t="s">
        <x:v>1455</x:v>
      </x:c>
      <x:c r="O382" s="2" t="s">
        <x:v>1351</x:v>
      </x:c>
      <x:c r="P382" s="2" t="s">
        <x:v>1352</x:v>
      </x:c>
      <x:c r="Q382" s="2"/>
      <x:c r="R382" s="3">
        <x:v>2</x:v>
      </x:c>
      <x:c r="S382" s="3"/>
      <x:c r="T382" s="2"/>
      <x:c r="U382" s="2"/>
      <x:c r="V382" s="2"/>
      <x:c r="W382" s="2" t="s">
        <x:v>1454</x:v>
      </x:c>
      <x:c r="X382" s="3"/>
      <x:c r="Y382" s="3"/>
      <x:c r="Z382" s="2"/>
      <x:c r="AA382" s="2" t="s">
        <x:v>232</x:v>
      </x:c>
      <x:c r="AB382" s="2" t="s">
        <x:v>233</x:v>
      </x:c>
      <x:c r="AC382" s="2"/>
      <x:c r="AD382" s="2"/>
      <x:c r="AE382" s="2"/>
      <x:c r="AF382" s="2"/>
      <x:c r="AG382" s="2"/>
      <x:c r="AH382" s="2"/>
      <x:c r="AI382" s="4"/>
      <x:c r="AJ382" s="2"/>
      <x:c r="AK382" s="2" t="s">
        <x:v>234</x:v>
      </x:c>
      <x:c r="AL382" s="2" t="s">
        <x:v>2902</x:v>
      </x:c>
      <x:c r="AM382" s="2">
        <x:v>82</x:v>
      </x:c>
      <x:c r="AN382" s="2">
        <x:v>82</x:v>
      </x:c>
    </x:row>
    <x:row r="383" ht="52">
      <x:c r="A383" s="2" t="s">
        <x:v>91</x:v>
      </x:c>
      <x:c r="B383" s="2" t="s">
        <x:v>15</x:v>
      </x:c>
      <x:c r="C383" s="3">
        <x:v>81</x:v>
      </x:c>
      <x:c r="D383" s="2" t="s">
        <x:v>1281</x:v>
      </x:c>
      <x:c r="E383" s="2" t="s">
        <x:v>1347</x:v>
      </x:c>
      <x:c r="F383" s="2" t="s">
        <x:v>224</x:v>
      </x:c>
      <x:c r="G383" s="2" t="s">
        <x:v>2907</x:v>
      </x:c>
      <x:c r="H383" s="2" t="s">
        <x:v>618</x:v>
      </x:c>
      <x:c r="I383" s="2" t="s">
        <x:v>1454</x:v>
      </x:c>
      <x:c r="J383" s="2" t="s">
        <x:v>1371</x:v>
      </x:c>
      <x:c r="K383" s="2" t="n">
        <x:v>80</x:v>
      </x:c>
      <x:c r="L383" s="2"/>
      <x:c r="M383" s="2"/>
      <x:c r="N383" s="2" t="s">
        <x:v>1455</x:v>
      </x:c>
      <x:c r="O383" s="2" t="s">
        <x:v>1355</x:v>
      </x:c>
      <x:c r="P383" s="2" t="s">
        <x:v>1352</x:v>
      </x:c>
      <x:c r="Q383" s="2"/>
      <x:c r="R383" s="3">
        <x:v>2</x:v>
      </x:c>
      <x:c r="S383" s="3"/>
      <x:c r="T383" s="2"/>
      <x:c r="U383" s="2"/>
      <x:c r="V383" s="2"/>
      <x:c r="W383" s="2" t="s">
        <x:v>1454</x:v>
      </x:c>
      <x:c r="X383" s="3"/>
      <x:c r="Y383" s="3"/>
      <x:c r="Z383" s="2"/>
      <x:c r="AA383" s="2" t="s">
        <x:v>243</x:v>
      </x:c>
      <x:c r="AB383" s="2" t="s">
        <x:v>244</x:v>
      </x:c>
      <x:c r="AC383" s="2"/>
      <x:c r="AD383" s="2"/>
      <x:c r="AE383" s="2"/>
      <x:c r="AF383" s="2"/>
      <x:c r="AG383" s="2"/>
      <x:c r="AH383" s="2"/>
      <x:c r="AI383" s="4"/>
      <x:c r="AJ383" s="2"/>
      <x:c r="AK383" s="2" t="s">
        <x:v>234</x:v>
      </x:c>
      <x:c r="AL383" s="2" t="s">
        <x:v>2902</x:v>
      </x:c>
      <x:c r="AM383" s="2">
        <x:v>83</x:v>
      </x:c>
      <x:c r="AN383" s="2">
        <x:v>83</x:v>
      </x:c>
    </x:row>
    <x:row r="384" ht="52">
      <x:c r="A384" s="2" t="s">
        <x:v>6</x:v>
      </x:c>
      <x:c r="B384" s="2" t="s">
        <x:v>15</x:v>
      </x:c>
      <x:c r="C384" s="3">
        <x:v>82</x:v>
      </x:c>
      <x:c r="D384" s="2" t="s">
        <x:v>1335</x:v>
      </x:c>
      <x:c r="E384" s="2" t="s">
        <x:v>1457</x:v>
      </x:c>
      <x:c r="F384" s="2" t="s">
        <x:v>237</x:v>
      </x:c>
      <x:c r="G384" s="2"/>
      <x:c r="H384" s="2" t="s">
        <x:v>618</x:v>
      </x:c>
      <x:c r="I384" s="2" t="s">
        <x:v>1458</x:v>
      </x:c>
      <x:c r="J384" s="2" t="s">
        <x:v>1375</x:v>
      </x:c>
      <x:c r="K384" s="2"/>
      <x:c r="L384" s="2"/>
      <x:c r="M384" s="2"/>
      <x:c r="N384" s="2" t="s">
        <x:v>1455</x:v>
      </x:c>
      <x:c r="O384" s="2" t="s">
        <x:v>1351</x:v>
      </x:c>
      <x:c r="P384" s="2" t="s">
        <x:v>1352</x:v>
      </x:c>
      <x:c r="Q384" s="2"/>
      <x:c r="R384" s="3">
        <x:v>3</x:v>
      </x:c>
      <x:c r="S384" s="3"/>
      <x:c r="T384" s="2"/>
      <x:c r="U384" s="2"/>
      <x:c r="V384" s="2"/>
      <x:c r="W384" s="2" t="s">
        <x:v>1458</x:v>
      </x:c>
      <x:c r="X384" s="3"/>
      <x:c r="Y384" s="3"/>
      <x:c r="Z384" s="2"/>
      <x:c r="AA384" s="2" t="s">
        <x:v>275</x:v>
      </x:c>
      <x:c r="AB384" s="2" t="s">
        <x:v>276</x:v>
      </x:c>
      <x:c r="AC384" s="2"/>
      <x:c r="AD384" s="2"/>
      <x:c r="AE384" s="2"/>
      <x:c r="AF384" s="2"/>
      <x:c r="AG384" s="2"/>
      <x:c r="AH384" s="2"/>
      <x:c r="AI384" s="4"/>
      <x:c r="AJ384" s="2"/>
      <x:c r="AK384" s="2" t="s">
        <x:v>234</x:v>
      </x:c>
      <x:c r="AL384" s="2" t="s">
        <x:v>2902</x:v>
      </x:c>
      <x:c r="AM384" s="2">
        <x:v>84</x:v>
      </x:c>
      <x:c r="AN384" s="2">
        <x:v>84</x:v>
      </x:c>
    </x:row>
    <x:row r="385" ht="52">
      <x:c r="A385" s="2" t="s">
        <x:v>91</x:v>
      </x:c>
      <x:c r="B385" s="2" t="s">
        <x:v>15</x:v>
      </x:c>
      <x:c r="C385" s="3">
        <x:v>83</x:v>
      </x:c>
      <x:c r="D385" s="2" t="s">
        <x:v>1346</x:v>
      </x:c>
      <x:c r="E385" s="2" t="s">
        <x:v>1457</x:v>
      </x:c>
      <x:c r="F385" s="2" t="s">
        <x:v>224</x:v>
      </x:c>
      <x:c r="G385" s="2" t="s">
        <x:v>2907</x:v>
      </x:c>
      <x:c r="H385" s="2" t="s">
        <x:v>618</x:v>
      </x:c>
      <x:c r="I385" s="2" t="s">
        <x:v>1458</x:v>
      </x:c>
      <x:c r="J385" s="2" t="s">
        <x:v>1387</x:v>
      </x:c>
      <x:c r="K385" s="2" t="n">
        <x:v>82</x:v>
      </x:c>
      <x:c r="L385" s="2"/>
      <x:c r="M385" s="2"/>
      <x:c r="N385" s="2" t="s">
        <x:v>1455</x:v>
      </x:c>
      <x:c r="O385" s="2" t="s">
        <x:v>1355</x:v>
      </x:c>
      <x:c r="P385" s="2" t="s">
        <x:v>1352</x:v>
      </x:c>
      <x:c r="Q385" s="2"/>
      <x:c r="R385" s="3">
        <x:v>3</x:v>
      </x:c>
      <x:c r="S385" s="3"/>
      <x:c r="T385" s="2"/>
      <x:c r="U385" s="2"/>
      <x:c r="V385" s="2"/>
      <x:c r="W385" s="2" t="s">
        <x:v>1458</x:v>
      </x:c>
      <x:c r="X385" s="3"/>
      <x:c r="Y385" s="3"/>
      <x:c r="Z385" s="2"/>
      <x:c r="AA385" s="2" t="s">
        <x:v>232</x:v>
      </x:c>
      <x:c r="AB385" s="2" t="s">
        <x:v>292</x:v>
      </x:c>
      <x:c r="AC385" s="2"/>
      <x:c r="AD385" s="2"/>
      <x:c r="AE385" s="2"/>
      <x:c r="AF385" s="2"/>
      <x:c r="AG385" s="2"/>
      <x:c r="AH385" s="2"/>
      <x:c r="AI385" s="4"/>
      <x:c r="AJ385" s="2"/>
      <x:c r="AK385" s="2" t="s">
        <x:v>234</x:v>
      </x:c>
      <x:c r="AL385" s="2" t="s">
        <x:v>2902</x:v>
      </x:c>
      <x:c r="AM385" s="2">
        <x:v>85</x:v>
      </x:c>
      <x:c r="AN385" s="2">
        <x:v>85</x:v>
      </x:c>
    </x:row>
    <x:row r="386" ht="52">
      <x:c r="A386" s="2" t="s">
        <x:v>91</x:v>
      </x:c>
      <x:c r="B386" s="2" t="s">
        <x:v>15</x:v>
      </x:c>
      <x:c r="C386" s="3">
        <x:v>84</x:v>
      </x:c>
      <x:c r="D386" s="2" t="s">
        <x:v>1288</x:v>
      </x:c>
      <x:c r="E386" s="2" t="s">
        <x:v>1459</x:v>
      </x:c>
      <x:c r="F386" s="2" t="s">
        <x:v>237</x:v>
      </x:c>
      <x:c r="G386" s="2" t="s">
        <x:v>2912</x:v>
      </x:c>
      <x:c r="H386" s="2" t="s">
        <x:v>618</x:v>
      </x:c>
      <x:c r="I386" s="2" t="s">
        <x:v>1460</x:v>
      </x:c>
      <x:c r="J386" s="2" t="s">
        <x:v>1417</x:v>
      </x:c>
      <x:c r="K386" s="2"/>
      <x:c r="L386" s="2"/>
      <x:c r="M386" s="2"/>
      <x:c r="N386" s="2" t="s">
        <x:v>1455</x:v>
      </x:c>
      <x:c r="O386" s="2" t="s">
        <x:v>1351</x:v>
      </x:c>
      <x:c r="P386" s="2" t="s">
        <x:v>1352</x:v>
      </x:c>
      <x:c r="Q386" s="2"/>
      <x:c r="R386" s="3">
        <x:v>4</x:v>
      </x:c>
      <x:c r="S386" s="3"/>
      <x:c r="T386" s="2"/>
      <x:c r="U386" s="2"/>
      <x:c r="V386" s="2"/>
      <x:c r="W386" s="2" t="s">
        <x:v>1460</x:v>
      </x:c>
      <x:c r="X386" s="3"/>
      <x:c r="Y386" s="3"/>
      <x:c r="Z386" s="2"/>
      <x:c r="AA386" s="2" t="s">
        <x:v>232</x:v>
      </x:c>
      <x:c r="AB386" s="2" t="s">
        <x:v>300</x:v>
      </x:c>
      <x:c r="AC386" s="2"/>
      <x:c r="AD386" s="2"/>
      <x:c r="AE386" s="2"/>
      <x:c r="AF386" s="2"/>
      <x:c r="AG386" s="2"/>
      <x:c r="AH386" s="2"/>
      <x:c r="AI386" s="4"/>
      <x:c r="AJ386" s="2"/>
      <x:c r="AK386" s="2" t="s">
        <x:v>234</x:v>
      </x:c>
      <x:c r="AL386" s="2" t="s">
        <x:v>2902</x:v>
      </x:c>
      <x:c r="AM386" s="2">
        <x:v>86</x:v>
      </x:c>
      <x:c r="AN386" s="2">
        <x:v>86</x:v>
      </x:c>
    </x:row>
    <x:row r="387" ht="52">
      <x:c r="A387" s="2" t="s">
        <x:v>6</x:v>
      </x:c>
      <x:c r="B387" s="2" t="s">
        <x:v>15</x:v>
      </x:c>
      <x:c r="C387" s="3">
        <x:v>85</x:v>
      </x:c>
      <x:c r="D387" s="2" t="s">
        <x:v>1340</x:v>
      </x:c>
      <x:c r="E387" s="2" t="s">
        <x:v>1459</x:v>
      </x:c>
      <x:c r="F387" s="2" t="s">
        <x:v>247</x:v>
      </x:c>
      <x:c r="G387" s="2"/>
      <x:c r="H387" s="2" t="s">
        <x:v>618</x:v>
      </x:c>
      <x:c r="I387" s="2" t="s">
        <x:v>1460</x:v>
      </x:c>
      <x:c r="J387" s="2" t="s">
        <x:v>1446</x:v>
      </x:c>
      <x:c r="K387" s="2" t="n">
        <x:v>84</x:v>
      </x:c>
      <x:c r="L387" s="2"/>
      <x:c r="M387" s="2"/>
      <x:c r="N387" s="2" t="s">
        <x:v>1455</x:v>
      </x:c>
      <x:c r="O387" s="2" t="s">
        <x:v>1355</x:v>
      </x:c>
      <x:c r="P387" s="2" t="s">
        <x:v>1352</x:v>
      </x:c>
      <x:c r="Q387" s="2"/>
      <x:c r="R387" s="3">
        <x:v>4</x:v>
      </x:c>
      <x:c r="S387" s="3"/>
      <x:c r="T387" s="2"/>
      <x:c r="U387" s="2"/>
      <x:c r="V387" s="2"/>
      <x:c r="W387" s="2" t="s">
        <x:v>1460</x:v>
      </x:c>
      <x:c r="X387" s="3"/>
      <x:c r="Y387" s="3"/>
      <x:c r="Z387" s="2"/>
      <x:c r="AA387" s="2" t="s">
        <x:v>275</x:v>
      </x:c>
      <x:c r="AB387" s="2" t="s">
        <x:v>284</x:v>
      </x:c>
      <x:c r="AC387" s="2"/>
      <x:c r="AD387" s="2"/>
      <x:c r="AE387" s="2"/>
      <x:c r="AF387" s="2"/>
      <x:c r="AG387" s="2"/>
      <x:c r="AH387" s="2"/>
      <x:c r="AI387" s="4"/>
      <x:c r="AJ387" s="2"/>
      <x:c r="AK387" s="2" t="s">
        <x:v>234</x:v>
      </x:c>
      <x:c r="AL387" s="2" t="s">
        <x:v>2902</x:v>
      </x:c>
      <x:c r="AM387" s="2">
        <x:v>87</x:v>
      </x:c>
      <x:c r="AN387" s="2">
        <x:v>87</x:v>
      </x:c>
    </x:row>
    <x:row r="388" ht="52">
      <x:c r="A388" s="2" t="s">
        <x:v>6</x:v>
      </x:c>
      <x:c r="B388" s="2" t="s">
        <x:v>15</x:v>
      </x:c>
      <x:c r="C388" s="3">
        <x:v>86</x:v>
      </x:c>
      <x:c r="D388" s="2" t="s">
        <x:v>1281</x:v>
      </x:c>
      <x:c r="E388" s="2" t="s">
        <x:v>1447</x:v>
      </x:c>
      <x:c r="F388" s="2" t="s">
        <x:v>254</x:v>
      </x:c>
      <x:c r="G388" s="2"/>
      <x:c r="H388" s="2" t="s">
        <x:v>618</x:v>
      </x:c>
      <x:c r="I388" s="2" t="s">
        <x:v>1461</x:v>
      </x:c>
      <x:c r="J388" s="2" t="s">
        <x:v>1403</x:v>
      </x:c>
      <x:c r="K388" s="2"/>
      <x:c r="L388" s="2"/>
      <x:c r="M388" s="2"/>
      <x:c r="N388" s="2" t="s">
        <x:v>1455</x:v>
      </x:c>
      <x:c r="O388" s="2" t="s">
        <x:v>1351</x:v>
      </x:c>
      <x:c r="P388" s="2" t="s">
        <x:v>1352</x:v>
      </x:c>
      <x:c r="Q388" s="2"/>
      <x:c r="R388" s="3">
        <x:v>2</x:v>
      </x:c>
      <x:c r="S388" s="3"/>
      <x:c r="T388" s="2"/>
      <x:c r="U388" s="2"/>
      <x:c r="V388" s="2"/>
      <x:c r="W388" s="2" t="s">
        <x:v>1461</x:v>
      </x:c>
      <x:c r="X388" s="3"/>
      <x:c r="Y388" s="3"/>
      <x:c r="Z388" s="2"/>
      <x:c r="AA388" s="2" t="s">
        <x:v>243</x:v>
      </x:c>
      <x:c r="AB388" s="2" t="s">
        <x:v>244</x:v>
      </x:c>
      <x:c r="AC388" s="2"/>
      <x:c r="AD388" s="2"/>
      <x:c r="AE388" s="2"/>
      <x:c r="AF388" s="2"/>
      <x:c r="AG388" s="2"/>
      <x:c r="AH388" s="2"/>
      <x:c r="AI388" s="4"/>
      <x:c r="AJ388" s="2"/>
      <x:c r="AK388" s="2" t="s">
        <x:v>234</x:v>
      </x:c>
      <x:c r="AL388" s="2" t="s">
        <x:v>2902</x:v>
      </x:c>
      <x:c r="AM388" s="2">
        <x:v>88</x:v>
      </x:c>
      <x:c r="AN388" s="2">
        <x:v>88</x:v>
      </x:c>
    </x:row>
    <x:row r="389" ht="52">
      <x:c r="A389" s="2" t="s">
        <x:v>6</x:v>
      </x:c>
      <x:c r="B389" s="2" t="s">
        <x:v>15</x:v>
      </x:c>
      <x:c r="C389" s="3">
        <x:v>87</x:v>
      </x:c>
      <x:c r="D389" s="2" t="s">
        <x:v>1388</x:v>
      </x:c>
      <x:c r="E389" s="2" t="s">
        <x:v>1447</x:v>
      </x:c>
      <x:c r="F389" s="2" t="s">
        <x:v>237</x:v>
      </x:c>
      <x:c r="G389" s="2"/>
      <x:c r="H389" s="2" t="s">
        <x:v>618</x:v>
      </x:c>
      <x:c r="I389" s="2" t="s">
        <x:v>1461</x:v>
      </x:c>
      <x:c r="J389" s="2" t="s">
        <x:v>1349</x:v>
      </x:c>
      <x:c r="K389" s="2" t="n">
        <x:v>86</x:v>
      </x:c>
      <x:c r="L389" s="2"/>
      <x:c r="M389" s="2"/>
      <x:c r="N389" s="2" t="s">
        <x:v>1455</x:v>
      </x:c>
      <x:c r="O389" s="2" t="s">
        <x:v>1355</x:v>
      </x:c>
      <x:c r="P389" s="2" t="s">
        <x:v>1352</x:v>
      </x:c>
      <x:c r="Q389" s="2"/>
      <x:c r="R389" s="3">
        <x:v>2</x:v>
      </x:c>
      <x:c r="S389" s="3"/>
      <x:c r="T389" s="2"/>
      <x:c r="U389" s="2"/>
      <x:c r="V389" s="2"/>
      <x:c r="W389" s="2" t="s">
        <x:v>1461</x:v>
      </x:c>
      <x:c r="X389" s="3"/>
      <x:c r="Y389" s="3"/>
      <x:c r="Z389" s="2"/>
      <x:c r="AA389" s="2" t="s">
        <x:v>232</x:v>
      </x:c>
      <x:c r="AB389" s="2" t="s">
        <x:v>233</x:v>
      </x:c>
      <x:c r="AC389" s="2"/>
      <x:c r="AD389" s="2"/>
      <x:c r="AE389" s="2"/>
      <x:c r="AF389" s="2"/>
      <x:c r="AG389" s="2"/>
      <x:c r="AH389" s="2"/>
      <x:c r="AI389" s="4"/>
      <x:c r="AJ389" s="2"/>
      <x:c r="AK389" s="2" t="s">
        <x:v>234</x:v>
      </x:c>
      <x:c r="AL389" s="2" t="s">
        <x:v>2902</x:v>
      </x:c>
      <x:c r="AM389" s="2">
        <x:v>89</x:v>
      </x:c>
      <x:c r="AN389" s="2">
        <x:v>89</x:v>
      </x:c>
    </x:row>
    <x:row r="390" ht="52">
      <x:c r="A390" s="2" t="s">
        <x:v>6</x:v>
      </x:c>
      <x:c r="B390" s="2" t="s">
        <x:v>15</x:v>
      </x:c>
      <x:c r="C390" s="3">
        <x:v>88</x:v>
      </x:c>
      <x:c r="D390" s="2" t="s">
        <x:v>1346</x:v>
      </x:c>
      <x:c r="E390" s="2" t="s">
        <x:v>1462</x:v>
      </x:c>
      <x:c r="F390" s="2" t="s">
        <x:v>224</x:v>
      </x:c>
      <x:c r="G390" s="2"/>
      <x:c r="H390" s="2" t="s">
        <x:v>618</x:v>
      </x:c>
      <x:c r="I390" s="2" t="s">
        <x:v>1463</x:v>
      </x:c>
      <x:c r="J390" s="2" t="s">
        <x:v>1387</x:v>
      </x:c>
      <x:c r="K390" s="2"/>
      <x:c r="L390" s="2"/>
      <x:c r="M390" s="2"/>
      <x:c r="N390" s="2" t="s">
        <x:v>1455</x:v>
      </x:c>
      <x:c r="O390" s="2" t="s">
        <x:v>1351</x:v>
      </x:c>
      <x:c r="P390" s="2" t="s">
        <x:v>1352</x:v>
      </x:c>
      <x:c r="Q390" s="2"/>
      <x:c r="R390" s="3">
        <x:v>3</x:v>
      </x:c>
      <x:c r="S390" s="3"/>
      <x:c r="T390" s="2"/>
      <x:c r="U390" s="2"/>
      <x:c r="V390" s="2"/>
      <x:c r="W390" s="2" t="s">
        <x:v>1463</x:v>
      </x:c>
      <x:c r="X390" s="3"/>
      <x:c r="Y390" s="3"/>
      <x:c r="Z390" s="2"/>
      <x:c r="AA390" s="2" t="s">
        <x:v>232</x:v>
      </x:c>
      <x:c r="AB390" s="2" t="s">
        <x:v>292</x:v>
      </x:c>
      <x:c r="AC390" s="2"/>
      <x:c r="AD390" s="2"/>
      <x:c r="AE390" s="2"/>
      <x:c r="AF390" s="2"/>
      <x:c r="AG390" s="2"/>
      <x:c r="AH390" s="2"/>
      <x:c r="AI390" s="4"/>
      <x:c r="AJ390" s="2"/>
      <x:c r="AK390" s="2" t="s">
        <x:v>234</x:v>
      </x:c>
      <x:c r="AL390" s="2" t="s">
        <x:v>2902</x:v>
      </x:c>
      <x:c r="AM390" s="2">
        <x:v>90</x:v>
      </x:c>
      <x:c r="AN390" s="2">
        <x:v>90</x:v>
      </x:c>
    </x:row>
    <x:row r="391" ht="52">
      <x:c r="A391" s="2" t="s">
        <x:v>91</x:v>
      </x:c>
      <x:c r="B391" s="2" t="s">
        <x:v>15</x:v>
      </x:c>
      <x:c r="C391" s="3">
        <x:v>89</x:v>
      </x:c>
      <x:c r="D391" s="2" t="s">
        <x:v>1335</x:v>
      </x:c>
      <x:c r="E391" s="2" t="s">
        <x:v>1462</x:v>
      </x:c>
      <x:c r="F391" s="2" t="s">
        <x:v>247</x:v>
      </x:c>
      <x:c r="G391" s="2" t="s">
        <x:v>1290</x:v>
      </x:c>
      <x:c r="H391" s="2" t="s">
        <x:v>618</x:v>
      </x:c>
      <x:c r="I391" s="2" t="s">
        <x:v>1463</x:v>
      </x:c>
      <x:c r="J391" s="2" t="s">
        <x:v>1406</x:v>
      </x:c>
      <x:c r="K391" s="2" t="n">
        <x:v>88</x:v>
      </x:c>
      <x:c r="L391" s="2"/>
      <x:c r="M391" s="2"/>
      <x:c r="N391" s="2" t="s">
        <x:v>1455</x:v>
      </x:c>
      <x:c r="O391" s="2" t="s">
        <x:v>1355</x:v>
      </x:c>
      <x:c r="P391" s="2" t="s">
        <x:v>1352</x:v>
      </x:c>
      <x:c r="Q391" s="2"/>
      <x:c r="R391" s="3">
        <x:v>3</x:v>
      </x:c>
      <x:c r="S391" s="3"/>
      <x:c r="T391" s="2"/>
      <x:c r="U391" s="2"/>
      <x:c r="V391" s="2"/>
      <x:c r="W391" s="2" t="s">
        <x:v>1463</x:v>
      </x:c>
      <x:c r="X391" s="3"/>
      <x:c r="Y391" s="3"/>
      <x:c r="Z391" s="2"/>
      <x:c r="AA391" s="2" t="s">
        <x:v>275</x:v>
      </x:c>
      <x:c r="AB391" s="2" t="s">
        <x:v>276</x:v>
      </x:c>
      <x:c r="AC391" s="2"/>
      <x:c r="AD391" s="2"/>
      <x:c r="AE391" s="2"/>
      <x:c r="AF391" s="2"/>
      <x:c r="AG391" s="2"/>
      <x:c r="AH391" s="2"/>
      <x:c r="AI391" s="4"/>
      <x:c r="AJ391" s="2"/>
      <x:c r="AK391" s="2" t="s">
        <x:v>234</x:v>
      </x:c>
      <x:c r="AL391" s="2" t="s">
        <x:v>2902</x:v>
      </x:c>
      <x:c r="AM391" s="2">
        <x:v>91</x:v>
      </x:c>
      <x:c r="AN391" s="2">
        <x:v>91</x:v>
      </x:c>
    </x:row>
    <x:row r="392" ht="52">
      <x:c r="A392" s="2" t="s">
        <x:v>91</x:v>
      </x:c>
      <x:c r="B392" s="2" t="s">
        <x:v>15</x:v>
      </x:c>
      <x:c r="C392" s="3">
        <x:v>90</x:v>
      </x:c>
      <x:c r="D392" s="2" t="s">
        <x:v>1439</x:v>
      </x:c>
      <x:c r="E392" s="2" t="s">
        <x:v>1317</x:v>
      </x:c>
      <x:c r="F392" s="2" t="s">
        <x:v>254</x:v>
      </x:c>
      <x:c r="G392" s="2" t="s">
        <x:v>2923</x:v>
      </x:c>
      <x:c r="H392" s="2" t="s">
        <x:v>618</x:v>
      </x:c>
      <x:c r="I392" s="2" t="s">
        <x:v>1465</x:v>
      </x:c>
      <x:c r="J392" s="2" t="s">
        <x:v>1442</x:v>
      </x:c>
      <x:c r="K392" s="2"/>
      <x:c r="L392" s="2"/>
      <x:c r="M392" s="2"/>
      <x:c r="N392" s="2" t="s">
        <x:v>1455</x:v>
      </x:c>
      <x:c r="O392" s="2" t="s">
        <x:v>1351</x:v>
      </x:c>
      <x:c r="P392" s="2" t="s">
        <x:v>1352</x:v>
      </x:c>
      <x:c r="Q392" s="2"/>
      <x:c r="R392" s="3">
        <x:v>4</x:v>
      </x:c>
      <x:c r="S392" s="3"/>
      <x:c r="T392" s="2"/>
      <x:c r="U392" s="2"/>
      <x:c r="V392" s="2"/>
      <x:c r="W392" s="2" t="s">
        <x:v>1465</x:v>
      </x:c>
      <x:c r="X392" s="3"/>
      <x:c r="Y392" s="3"/>
      <x:c r="Z392" s="2"/>
      <x:c r="AA392" s="2" t="s">
        <x:v>1314</x:v>
      </x:c>
      <x:c r="AB392" s="2" t="s">
        <x:v>1315</x:v>
      </x:c>
      <x:c r="AC392" s="2"/>
      <x:c r="AD392" s="2"/>
      <x:c r="AE392" s="2"/>
      <x:c r="AF392" s="2"/>
      <x:c r="AG392" s="2"/>
      <x:c r="AH392" s="2"/>
      <x:c r="AI392" s="4"/>
      <x:c r="AJ392" s="2"/>
      <x:c r="AK392" s="2" t="s">
        <x:v>234</x:v>
      </x:c>
      <x:c r="AL392" s="2" t="s">
        <x:v>2902</x:v>
      </x:c>
      <x:c r="AM392" s="2">
        <x:v>92</x:v>
      </x:c>
      <x:c r="AN392" s="2">
        <x:v>92</x:v>
      </x:c>
    </x:row>
    <x:row r="393" ht="52">
      <x:c r="A393" s="2" t="s">
        <x:v>6</x:v>
      </x:c>
      <x:c r="B393" s="2" t="s">
        <x:v>15</x:v>
      </x:c>
      <x:c r="C393" s="3">
        <x:v>91</x:v>
      </x:c>
      <x:c r="D393" s="2" t="s">
        <x:v>1466</x:v>
      </x:c>
      <x:c r="E393" s="2" t="s">
        <x:v>1317</x:v>
      </x:c>
      <x:c r="F393" s="2" t="s">
        <x:v>224</x:v>
      </x:c>
      <x:c r="G393" s="2"/>
      <x:c r="H393" s="2" t="s">
        <x:v>618</x:v>
      </x:c>
      <x:c r="I393" s="2" t="s">
        <x:v>1465</x:v>
      </x:c>
      <x:c r="J393" s="2" t="s">
        <x:v>1427</x:v>
      </x:c>
      <x:c r="K393" s="2" t="n">
        <x:v>90</x:v>
      </x:c>
      <x:c r="L393" s="2"/>
      <x:c r="M393" s="2"/>
      <x:c r="N393" s="2" t="s">
        <x:v>1455</x:v>
      </x:c>
      <x:c r="O393" s="2" t="s">
        <x:v>1355</x:v>
      </x:c>
      <x:c r="P393" s="2" t="s">
        <x:v>1352</x:v>
      </x:c>
      <x:c r="Q393" s="2"/>
      <x:c r="R393" s="3">
        <x:v>4</x:v>
      </x:c>
      <x:c r="S393" s="3"/>
      <x:c r="T393" s="2"/>
      <x:c r="U393" s="2"/>
      <x:c r="V393" s="2"/>
      <x:c r="W393" s="2" t="s">
        <x:v>1465</x:v>
      </x:c>
      <x:c r="X393" s="3"/>
      <x:c r="Y393" s="3"/>
      <x:c r="Z393" s="2"/>
      <x:c r="AA393" s="2" t="s">
        <x:v>243</x:v>
      </x:c>
      <x:c r="AB393" s="2" t="s">
        <x:v>267</x:v>
      </x:c>
      <x:c r="AC393" s="2"/>
      <x:c r="AD393" s="2"/>
      <x:c r="AE393" s="2"/>
      <x:c r="AF393" s="2"/>
      <x:c r="AG393" s="2"/>
      <x:c r="AH393" s="2"/>
      <x:c r="AI393" s="4"/>
      <x:c r="AJ393" s="2"/>
      <x:c r="AK393" s="2" t="s">
        <x:v>234</x:v>
      </x:c>
      <x:c r="AL393" s="2" t="s">
        <x:v>2902</x:v>
      </x:c>
      <x:c r="AM393" s="2">
        <x:v>93</x:v>
      </x:c>
      <x:c r="AN393" s="2">
        <x:v>93</x:v>
      </x:c>
    </x:row>
    <x:row r="394" ht="52">
      <x:c r="A394" s="2" t="s">
        <x:v>91</x:v>
      </x:c>
      <x:c r="B394" s="2" t="s">
        <x:v>15</x:v>
      </x:c>
      <x:c r="C394" s="3">
        <x:v>92</x:v>
      </x:c>
      <x:c r="D394" s="2" t="s">
        <x:v>1388</x:v>
      </x:c>
      <x:c r="E394" s="2" t="s">
        <x:v>1428</x:v>
      </x:c>
      <x:c r="F394" s="2" t="s">
        <x:v>247</x:v>
      </x:c>
      <x:c r="G394" s="2" t="s">
        <x:v>1415</x:v>
      </x:c>
      <x:c r="H394" s="2" t="s">
        <x:v>618</x:v>
      </x:c>
      <x:c r="I394" s="2" t="s">
        <x:v>1467</x:v>
      </x:c>
      <x:c r="J394" s="2" t="s">
        <x:v>1391</x:v>
      </x:c>
      <x:c r="K394" s="2"/>
      <x:c r="L394" s="2"/>
      <x:c r="M394" s="2"/>
      <x:c r="N394" s="2" t="s">
        <x:v>1455</x:v>
      </x:c>
      <x:c r="O394" s="2" t="s">
        <x:v>1351</x:v>
      </x:c>
      <x:c r="P394" s="2" t="s">
        <x:v>1352</x:v>
      </x:c>
      <x:c r="Q394" s="2"/>
      <x:c r="R394" s="3">
        <x:v>2</x:v>
      </x:c>
      <x:c r="S394" s="3"/>
      <x:c r="T394" s="2"/>
      <x:c r="U394" s="2"/>
      <x:c r="V394" s="2"/>
      <x:c r="W394" s="2" t="s">
        <x:v>1467</x:v>
      </x:c>
      <x:c r="X394" s="3"/>
      <x:c r="Y394" s="3"/>
      <x:c r="Z394" s="2"/>
      <x:c r="AA394" s="2" t="s">
        <x:v>232</x:v>
      </x:c>
      <x:c r="AB394" s="2" t="s">
        <x:v>233</x:v>
      </x:c>
      <x:c r="AC394" s="2"/>
      <x:c r="AD394" s="2"/>
      <x:c r="AE394" s="2"/>
      <x:c r="AF394" s="2"/>
      <x:c r="AG394" s="2"/>
      <x:c r="AH394" s="2"/>
      <x:c r="AI394" s="4"/>
      <x:c r="AJ394" s="2"/>
      <x:c r="AK394" s="2" t="s">
        <x:v>234</x:v>
      </x:c>
      <x:c r="AL394" s="2" t="s">
        <x:v>2902</x:v>
      </x:c>
      <x:c r="AM394" s="2">
        <x:v>94</x:v>
      </x:c>
      <x:c r="AN394" s="2">
        <x:v>94</x:v>
      </x:c>
    </x:row>
    <x:row r="395" ht="52">
      <x:c r="A395" s="2" t="s">
        <x:v>6</x:v>
      </x:c>
      <x:c r="B395" s="2" t="s">
        <x:v>15</x:v>
      </x:c>
      <x:c r="C395" s="3">
        <x:v>93</x:v>
      </x:c>
      <x:c r="D395" s="2" t="s">
        <x:v>1335</x:v>
      </x:c>
      <x:c r="E395" s="2" t="s">
        <x:v>1428</x:v>
      </x:c>
      <x:c r="F395" s="2" t="s">
        <x:v>224</x:v>
      </x:c>
      <x:c r="G395" s="2"/>
      <x:c r="H395" s="2" t="s">
        <x:v>618</x:v>
      </x:c>
      <x:c r="I395" s="2" t="s">
        <x:v>1467</x:v>
      </x:c>
      <x:c r="J395" s="2" t="s">
        <x:v>1371</x:v>
      </x:c>
      <x:c r="K395" s="2" t="n">
        <x:v>92</x:v>
      </x:c>
      <x:c r="L395" s="2"/>
      <x:c r="M395" s="2"/>
      <x:c r="N395" s="2" t="s">
        <x:v>1455</x:v>
      </x:c>
      <x:c r="O395" s="2" t="s">
        <x:v>1355</x:v>
      </x:c>
      <x:c r="P395" s="2" t="s">
        <x:v>1352</x:v>
      </x:c>
      <x:c r="Q395" s="2"/>
      <x:c r="R395" s="3">
        <x:v>2</x:v>
      </x:c>
      <x:c r="S395" s="3"/>
      <x:c r="T395" s="2"/>
      <x:c r="U395" s="2"/>
      <x:c r="V395" s="2"/>
      <x:c r="W395" s="2" t="s">
        <x:v>1467</x:v>
      </x:c>
      <x:c r="X395" s="3"/>
      <x:c r="Y395" s="3"/>
      <x:c r="Z395" s="2"/>
      <x:c r="AA395" s="2" t="s">
        <x:v>243</x:v>
      </x:c>
      <x:c r="AB395" s="2" t="s">
        <x:v>276</x:v>
      </x:c>
      <x:c r="AC395" s="2"/>
      <x:c r="AD395" s="2"/>
      <x:c r="AE395" s="2"/>
      <x:c r="AF395" s="2"/>
      <x:c r="AG395" s="2"/>
      <x:c r="AH395" s="2"/>
      <x:c r="AI395" s="4"/>
      <x:c r="AJ395" s="2"/>
      <x:c r="AK395" s="2" t="s">
        <x:v>234</x:v>
      </x:c>
      <x:c r="AL395" s="2" t="s">
        <x:v>2902</x:v>
      </x:c>
      <x:c r="AM395" s="2">
        <x:v>95</x:v>
      </x:c>
      <x:c r="AN395" s="2">
        <x:v>95</x:v>
      </x:c>
    </x:row>
    <x:row r="396" ht="52">
      <x:c r="A396" s="2" t="s">
        <x:v>6</x:v>
      </x:c>
      <x:c r="B396" s="2" t="s">
        <x:v>15</x:v>
      </x:c>
      <x:c r="C396" s="3">
        <x:v>94</x:v>
      </x:c>
      <x:c r="D396" s="2" t="s">
        <x:v>1335</x:v>
      </x:c>
      <x:c r="E396" s="2" t="s">
        <x:v>1468</x:v>
      </x:c>
      <x:c r="F396" s="2" t="s">
        <x:v>237</x:v>
      </x:c>
      <x:c r="G396" s="2"/>
      <x:c r="H396" s="2" t="s">
        <x:v>618</x:v>
      </x:c>
      <x:c r="I396" s="2" t="s">
        <x:v>1469</x:v>
      </x:c>
      <x:c r="J396" s="2" t="s">
        <x:v>1375</x:v>
      </x:c>
      <x:c r="K396" s="2"/>
      <x:c r="L396" s="2"/>
      <x:c r="M396" s="2"/>
      <x:c r="N396" s="2" t="s">
        <x:v>1455</x:v>
      </x:c>
      <x:c r="O396" s="2" t="s">
        <x:v>1351</x:v>
      </x:c>
      <x:c r="P396" s="2" t="s">
        <x:v>1352</x:v>
      </x:c>
      <x:c r="Q396" s="2"/>
      <x:c r="R396" s="3">
        <x:v>3</x:v>
      </x:c>
      <x:c r="S396" s="3"/>
      <x:c r="T396" s="2"/>
      <x:c r="U396" s="2"/>
      <x:c r="V396" s="2"/>
      <x:c r="W396" s="2" t="s">
        <x:v>1469</x:v>
      </x:c>
      <x:c r="X396" s="3"/>
      <x:c r="Y396" s="3"/>
      <x:c r="Z396" s="2"/>
      <x:c r="AA396" s="2" t="s">
        <x:v>275</x:v>
      </x:c>
      <x:c r="AB396" s="2" t="s">
        <x:v>276</x:v>
      </x:c>
      <x:c r="AC396" s="2"/>
      <x:c r="AD396" s="2"/>
      <x:c r="AE396" s="2"/>
      <x:c r="AF396" s="2"/>
      <x:c r="AG396" s="2"/>
      <x:c r="AH396" s="2"/>
      <x:c r="AI396" s="4"/>
      <x:c r="AJ396" s="2"/>
      <x:c r="AK396" s="2" t="s">
        <x:v>234</x:v>
      </x:c>
      <x:c r="AL396" s="2" t="s">
        <x:v>2902</x:v>
      </x:c>
      <x:c r="AM396" s="2">
        <x:v>96</x:v>
      </x:c>
      <x:c r="AN396" s="2">
        <x:v>96</x:v>
      </x:c>
    </x:row>
    <x:row r="397" ht="52">
      <x:c r="A397" s="2" t="s">
        <x:v>91</x:v>
      </x:c>
      <x:c r="B397" s="2" t="s">
        <x:v>15</x:v>
      </x:c>
      <x:c r="C397" s="3">
        <x:v>95</x:v>
      </x:c>
      <x:c r="D397" s="2" t="s">
        <x:v>1466</x:v>
      </x:c>
      <x:c r="E397" s="2" t="s">
        <x:v>1468</x:v>
      </x:c>
      <x:c r="F397" s="2" t="s">
        <x:v>254</x:v>
      </x:c>
      <x:c r="G397" s="2" t="s">
        <x:v>2908</x:v>
      </x:c>
      <x:c r="H397" s="2" t="s">
        <x:v>618</x:v>
      </x:c>
      <x:c r="I397" s="2" t="s">
        <x:v>1469</x:v>
      </x:c>
      <x:c r="J397" s="2" t="s">
        <x:v>1414</x:v>
      </x:c>
      <x:c r="K397" s="2" t="n">
        <x:v>94</x:v>
      </x:c>
      <x:c r="L397" s="2"/>
      <x:c r="M397" s="2"/>
      <x:c r="N397" s="2" t="s">
        <x:v>1455</x:v>
      </x:c>
      <x:c r="O397" s="2" t="s">
        <x:v>1355</x:v>
      </x:c>
      <x:c r="P397" s="2" t="s">
        <x:v>1352</x:v>
      </x:c>
      <x:c r="Q397" s="2"/>
      <x:c r="R397" s="3">
        <x:v>3</x:v>
      </x:c>
      <x:c r="S397" s="3"/>
      <x:c r="T397" s="2"/>
      <x:c r="U397" s="2"/>
      <x:c r="V397" s="2"/>
      <x:c r="W397" s="2" t="s">
        <x:v>1469</x:v>
      </x:c>
      <x:c r="X397" s="3"/>
      <x:c r="Y397" s="3"/>
      <x:c r="Z397" s="2"/>
      <x:c r="AA397" s="2" t="s">
        <x:v>232</x:v>
      </x:c>
      <x:c r="AB397" s="2" t="s">
        <x:v>267</x:v>
      </x:c>
      <x:c r="AC397" s="2"/>
      <x:c r="AD397" s="2"/>
      <x:c r="AE397" s="2"/>
      <x:c r="AF397" s="2"/>
      <x:c r="AG397" s="2"/>
      <x:c r="AH397" s="2"/>
      <x:c r="AI397" s="4"/>
      <x:c r="AJ397" s="2"/>
      <x:c r="AK397" s="2" t="s">
        <x:v>234</x:v>
      </x:c>
      <x:c r="AL397" s="2" t="s">
        <x:v>2902</x:v>
      </x:c>
      <x:c r="AM397" s="2">
        <x:v>97</x:v>
      </x:c>
      <x:c r="AN397" s="2">
        <x:v>97</x:v>
      </x:c>
    </x:row>
    <x:row r="398" ht="52">
      <x:c r="A398" s="2" t="s">
        <x:v>91</x:v>
      </x:c>
      <x:c r="B398" s="2" t="s">
        <x:v>15</x:v>
      </x:c>
      <x:c r="C398" s="3">
        <x:v>96</x:v>
      </x:c>
      <x:c r="D398" s="2" t="s">
        <x:v>1288</x:v>
      </x:c>
      <x:c r="E398" s="2" t="s">
        <x:v>1470</x:v>
      </x:c>
      <x:c r="F398" s="2" t="s">
        <x:v>237</x:v>
      </x:c>
      <x:c r="G398" s="2" t="s">
        <x:v>1373</x:v>
      </x:c>
      <x:c r="H398" s="2" t="s">
        <x:v>618</x:v>
      </x:c>
      <x:c r="I398" s="2" t="s">
        <x:v>1471</x:v>
      </x:c>
      <x:c r="J398" s="2" t="s">
        <x:v>1417</x:v>
      </x:c>
      <x:c r="K398" s="2"/>
      <x:c r="L398" s="2"/>
      <x:c r="M398" s="2"/>
      <x:c r="N398" s="2" t="s">
        <x:v>1455</x:v>
      </x:c>
      <x:c r="O398" s="2" t="s">
        <x:v>1351</x:v>
      </x:c>
      <x:c r="P398" s="2" t="s">
        <x:v>1352</x:v>
      </x:c>
      <x:c r="Q398" s="2"/>
      <x:c r="R398" s="3">
        <x:v>4</x:v>
      </x:c>
      <x:c r="S398" s="3"/>
      <x:c r="T398" s="2"/>
      <x:c r="U398" s="2"/>
      <x:c r="V398" s="2"/>
      <x:c r="W398" s="2" t="s">
        <x:v>1471</x:v>
      </x:c>
      <x:c r="X398" s="3"/>
      <x:c r="Y398" s="3"/>
      <x:c r="Z398" s="2"/>
      <x:c r="AA398" s="2" t="s">
        <x:v>232</x:v>
      </x:c>
      <x:c r="AB398" s="2" t="s">
        <x:v>300</x:v>
      </x:c>
      <x:c r="AC398" s="2"/>
      <x:c r="AD398" s="2"/>
      <x:c r="AE398" s="2"/>
      <x:c r="AF398" s="2"/>
      <x:c r="AG398" s="2"/>
      <x:c r="AH398" s="2"/>
      <x:c r="AI398" s="4"/>
      <x:c r="AJ398" s="2"/>
      <x:c r="AK398" s="2" t="s">
        <x:v>234</x:v>
      </x:c>
      <x:c r="AL398" s="2" t="s">
        <x:v>2902</x:v>
      </x:c>
      <x:c r="AM398" s="2">
        <x:v>98</x:v>
      </x:c>
      <x:c r="AN398" s="2">
        <x:v>98</x:v>
      </x:c>
    </x:row>
    <x:row r="399" ht="52">
      <x:c r="A399" s="2" t="s">
        <x:v>91</x:v>
      </x:c>
      <x:c r="B399" s="2" t="s">
        <x:v>15</x:v>
      </x:c>
      <x:c r="C399" s="3">
        <x:v>97</x:v>
      </x:c>
      <x:c r="D399" s="2" t="s">
        <x:v>1439</x:v>
      </x:c>
      <x:c r="E399" s="2" t="s">
        <x:v>1470</x:v>
      </x:c>
      <x:c r="F399" s="2" t="s">
        <x:v>254</x:v>
      </x:c>
      <x:c r="G399" s="2" t="s">
        <x:v>1373</x:v>
      </x:c>
      <x:c r="H399" s="2" t="s">
        <x:v>618</x:v>
      </x:c>
      <x:c r="I399" s="2" t="s">
        <x:v>1471</x:v>
      </x:c>
      <x:c r="J399" s="2" t="s">
        <x:v>1442</x:v>
      </x:c>
      <x:c r="K399" s="2" t="n">
        <x:v>96</x:v>
      </x:c>
      <x:c r="L399" s="2"/>
      <x:c r="M399" s="2"/>
      <x:c r="N399" s="2" t="s">
        <x:v>1455</x:v>
      </x:c>
      <x:c r="O399" s="2" t="s">
        <x:v>1355</x:v>
      </x:c>
      <x:c r="P399" s="2" t="s">
        <x:v>1352</x:v>
      </x:c>
      <x:c r="Q399" s="2"/>
      <x:c r="R399" s="3">
        <x:v>4</x:v>
      </x:c>
      <x:c r="S399" s="3"/>
      <x:c r="T399" s="2"/>
      <x:c r="U399" s="2"/>
      <x:c r="V399" s="2"/>
      <x:c r="W399" s="2" t="s">
        <x:v>1471</x:v>
      </x:c>
      <x:c r="X399" s="3"/>
      <x:c r="Y399" s="3"/>
      <x:c r="Z399" s="2"/>
      <x:c r="AA399" s="2" t="s">
        <x:v>1314</x:v>
      </x:c>
      <x:c r="AB399" s="2" t="s">
        <x:v>1315</x:v>
      </x:c>
      <x:c r="AC399" s="2"/>
      <x:c r="AD399" s="2"/>
      <x:c r="AE399" s="2"/>
      <x:c r="AF399" s="2"/>
      <x:c r="AG399" s="2"/>
      <x:c r="AH399" s="2"/>
      <x:c r="AI399" s="4"/>
      <x:c r="AJ399" s="2"/>
      <x:c r="AK399" s="2" t="s">
        <x:v>234</x:v>
      </x:c>
      <x:c r="AL399" s="2" t="s">
        <x:v>2902</x:v>
      </x:c>
      <x:c r="AM399" s="2">
        <x:v>99</x:v>
      </x:c>
      <x:c r="AN399" s="2">
        <x:v>99</x:v>
      </x:c>
    </x:row>
    <x:row r="400" ht="52">
      <x:c r="A400" s="2" t="s">
        <x:v>6</x:v>
      </x:c>
      <x:c r="B400" s="2" t="s">
        <x:v>15</x:v>
      </x:c>
      <x:c r="C400" s="3">
        <x:v>98</x:v>
      </x:c>
      <x:c r="D400" s="2" t="s">
        <x:v>1335</x:v>
      </x:c>
      <x:c r="E400" s="2" t="s">
        <x:v>1389</x:v>
      </x:c>
      <x:c r="F400" s="2" t="s">
        <x:v>254</x:v>
      </x:c>
      <x:c r="G400" s="2"/>
      <x:c r="H400" s="2" t="s">
        <x:v>618</x:v>
      </x:c>
      <x:c r="I400" s="2" t="s">
        <x:v>1473</x:v>
      </x:c>
      <x:c r="J400" s="2" t="s">
        <x:v>1403</x:v>
      </x:c>
      <x:c r="K400" s="2"/>
      <x:c r="L400" s="2"/>
      <x:c r="M400" s="2"/>
      <x:c r="N400" s="2" t="s">
        <x:v>1455</x:v>
      </x:c>
      <x:c r="O400" s="2" t="s">
        <x:v>1351</x:v>
      </x:c>
      <x:c r="P400" s="2" t="s">
        <x:v>1352</x:v>
      </x:c>
      <x:c r="Q400" s="2"/>
      <x:c r="R400" s="3">
        <x:v>2</x:v>
      </x:c>
      <x:c r="S400" s="3"/>
      <x:c r="T400" s="2"/>
      <x:c r="U400" s="2"/>
      <x:c r="V400" s="2"/>
      <x:c r="W400" s="2" t="s">
        <x:v>1473</x:v>
      </x:c>
      <x:c r="X400" s="3"/>
      <x:c r="Y400" s="3"/>
      <x:c r="Z400" s="2"/>
      <x:c r="AA400" s="2" t="s">
        <x:v>243</x:v>
      </x:c>
      <x:c r="AB400" s="2" t="s">
        <x:v>276</x:v>
      </x:c>
      <x:c r="AC400" s="2"/>
      <x:c r="AD400" s="2"/>
      <x:c r="AE400" s="2"/>
      <x:c r="AF400" s="2"/>
      <x:c r="AG400" s="2"/>
      <x:c r="AH400" s="2"/>
      <x:c r="AI400" s="4"/>
      <x:c r="AJ400" s="2"/>
      <x:c r="AK400" s="2" t="s">
        <x:v>234</x:v>
      </x:c>
      <x:c r="AL400" s="2" t="s">
        <x:v>2902</x:v>
      </x:c>
      <x:c r="AM400" s="2">
        <x:v>100</x:v>
      </x:c>
      <x:c r="AN400" s="2">
        <x:v>100</x:v>
      </x:c>
    </x:row>
    <x:row r="401" ht="52">
      <x:c r="A401" s="2" t="s">
        <x:v>91</x:v>
      </x:c>
      <x:c r="B401" s="2" t="s">
        <x:v>15</x:v>
      </x:c>
      <x:c r="C401" s="3">
        <x:v>99</x:v>
      </x:c>
      <x:c r="D401" s="2" t="s">
        <x:v>1388</x:v>
      </x:c>
      <x:c r="E401" s="2" t="s">
        <x:v>1389</x:v>
      </x:c>
      <x:c r="F401" s="2" t="s">
        <x:v>247</x:v>
      </x:c>
      <x:c r="G401" s="2" t="s">
        <x:v>1276</x:v>
      </x:c>
      <x:c r="H401" s="2" t="s">
        <x:v>618</x:v>
      </x:c>
      <x:c r="I401" s="2" t="s">
        <x:v>1473</x:v>
      </x:c>
      <x:c r="J401" s="2" t="s">
        <x:v>1391</x:v>
      </x:c>
      <x:c r="K401" s="2" t="n">
        <x:v>98</x:v>
      </x:c>
      <x:c r="L401" s="2"/>
      <x:c r="M401" s="2"/>
      <x:c r="N401" s="2" t="s">
        <x:v>1455</x:v>
      </x:c>
      <x:c r="O401" s="2" t="s">
        <x:v>1355</x:v>
      </x:c>
      <x:c r="P401" s="2" t="s">
        <x:v>1352</x:v>
      </x:c>
      <x:c r="Q401" s="2"/>
      <x:c r="R401" s="3">
        <x:v>2</x:v>
      </x:c>
      <x:c r="S401" s="3"/>
      <x:c r="T401" s="2"/>
      <x:c r="U401" s="2"/>
      <x:c r="V401" s="2"/>
      <x:c r="W401" s="2" t="s">
        <x:v>1473</x:v>
      </x:c>
      <x:c r="X401" s="3"/>
      <x:c r="Y401" s="3"/>
      <x:c r="Z401" s="2"/>
      <x:c r="AA401" s="2" t="s">
        <x:v>232</x:v>
      </x:c>
      <x:c r="AB401" s="2" t="s">
        <x:v>233</x:v>
      </x:c>
      <x:c r="AC401" s="2"/>
      <x:c r="AD401" s="2"/>
      <x:c r="AE401" s="2"/>
      <x:c r="AF401" s="2"/>
      <x:c r="AG401" s="2"/>
      <x:c r="AH401" s="2"/>
      <x:c r="AI401" s="4"/>
      <x:c r="AJ401" s="2"/>
      <x:c r="AK401" s="2" t="s">
        <x:v>234</x:v>
      </x:c>
      <x:c r="AL401" s="2" t="s">
        <x:v>2902</x:v>
      </x:c>
      <x:c r="AM401" s="2">
        <x:v>101</x:v>
      </x:c>
      <x:c r="AN401" s="2">
        <x:v>101</x:v>
      </x:c>
    </x:row>
    <x:row r="402" ht="52">
      <x:c r="A402" s="2" t="s">
        <x:v>6</x:v>
      </x:c>
      <x:c r="B402" s="2" t="s">
        <x:v>15</x:v>
      </x:c>
      <x:c r="C402" s="3">
        <x:v>100</x:v>
      </x:c>
      <x:c r="D402" s="2" t="s">
        <x:v>1466</x:v>
      </x:c>
      <x:c r="E402" s="2" t="s">
        <x:v>1474</x:v>
      </x:c>
      <x:c r="F402" s="2" t="s">
        <x:v>254</x:v>
      </x:c>
      <x:c r="G402" s="2"/>
      <x:c r="H402" s="2" t="s">
        <x:v>618</x:v>
      </x:c>
      <x:c r="I402" s="2" t="s">
        <x:v>1475</x:v>
      </x:c>
      <x:c r="J402" s="2" t="s">
        <x:v>1414</x:v>
      </x:c>
      <x:c r="K402" s="2"/>
      <x:c r="L402" s="2"/>
      <x:c r="M402" s="2"/>
      <x:c r="N402" s="2" t="s">
        <x:v>1455</x:v>
      </x:c>
      <x:c r="O402" s="2" t="s">
        <x:v>1351</x:v>
      </x:c>
      <x:c r="P402" s="2" t="s">
        <x:v>1352</x:v>
      </x:c>
      <x:c r="Q402" s="2"/>
      <x:c r="R402" s="3">
        <x:v>3</x:v>
      </x:c>
      <x:c r="S402" s="3"/>
      <x:c r="T402" s="2"/>
      <x:c r="U402" s="2"/>
      <x:c r="V402" s="2"/>
      <x:c r="W402" s="2" t="s">
        <x:v>1475</x:v>
      </x:c>
      <x:c r="X402" s="3"/>
      <x:c r="Y402" s="3"/>
      <x:c r="Z402" s="2"/>
      <x:c r="AA402" s="2" t="s">
        <x:v>232</x:v>
      </x:c>
      <x:c r="AB402" s="2" t="s">
        <x:v>267</x:v>
      </x:c>
      <x:c r="AC402" s="2"/>
      <x:c r="AD402" s="2"/>
      <x:c r="AE402" s="2"/>
      <x:c r="AF402" s="2"/>
      <x:c r="AG402" s="2"/>
      <x:c r="AH402" s="2"/>
      <x:c r="AI402" s="4"/>
      <x:c r="AJ402" s="2"/>
      <x:c r="AK402" s="2" t="s">
        <x:v>234</x:v>
      </x:c>
      <x:c r="AL402" s="2" t="s">
        <x:v>2902</x:v>
      </x:c>
      <x:c r="AM402" s="2">
        <x:v>102</x:v>
      </x:c>
      <x:c r="AN402" s="2">
        <x:v>102</x:v>
      </x:c>
    </x:row>
    <x:row r="403" ht="52">
      <x:c r="A403" s="2" t="s">
        <x:v>91</x:v>
      </x:c>
      <x:c r="B403" s="2" t="s">
        <x:v>15</x:v>
      </x:c>
      <x:c r="C403" s="3">
        <x:v>101</x:v>
      </x:c>
      <x:c r="D403" s="2" t="s">
        <x:v>1335</x:v>
      </x:c>
      <x:c r="E403" s="2" t="s">
        <x:v>1474</x:v>
      </x:c>
      <x:c r="F403" s="2" t="s">
        <x:v>247</x:v>
      </x:c>
      <x:c r="G403" s="2" t="s">
        <x:v>1415</x:v>
      </x:c>
      <x:c r="H403" s="2" t="s">
        <x:v>618</x:v>
      </x:c>
      <x:c r="I403" s="2" t="s">
        <x:v>1475</x:v>
      </x:c>
      <x:c r="J403" s="2" t="s">
        <x:v>1406</x:v>
      </x:c>
      <x:c r="K403" s="2" t="n">
        <x:v>100</x:v>
      </x:c>
      <x:c r="L403" s="2"/>
      <x:c r="M403" s="2"/>
      <x:c r="N403" s="2" t="s">
        <x:v>1455</x:v>
      </x:c>
      <x:c r="O403" s="2" t="s">
        <x:v>1355</x:v>
      </x:c>
      <x:c r="P403" s="2" t="s">
        <x:v>1352</x:v>
      </x:c>
      <x:c r="Q403" s="2"/>
      <x:c r="R403" s="3">
        <x:v>3</x:v>
      </x:c>
      <x:c r="S403" s="3"/>
      <x:c r="T403" s="2"/>
      <x:c r="U403" s="2"/>
      <x:c r="V403" s="2"/>
      <x:c r="W403" s="2" t="s">
        <x:v>1475</x:v>
      </x:c>
      <x:c r="X403" s="3"/>
      <x:c r="Y403" s="3"/>
      <x:c r="Z403" s="2"/>
      <x:c r="AA403" s="2" t="s">
        <x:v>275</x:v>
      </x:c>
      <x:c r="AB403" s="2" t="s">
        <x:v>276</x:v>
      </x:c>
      <x:c r="AC403" s="2"/>
      <x:c r="AD403" s="2"/>
      <x:c r="AE403" s="2"/>
      <x:c r="AF403" s="2"/>
      <x:c r="AG403" s="2"/>
      <x:c r="AH403" s="2"/>
      <x:c r="AI403" s="4"/>
      <x:c r="AJ403" s="2"/>
      <x:c r="AK403" s="2" t="s">
        <x:v>234</x:v>
      </x:c>
      <x:c r="AL403" s="2" t="s">
        <x:v>2902</x:v>
      </x:c>
      <x:c r="AM403" s="2">
        <x:v>103</x:v>
      </x:c>
      <x:c r="AN403" s="2">
        <x:v>103</x:v>
      </x:c>
    </x:row>
    <x:row r="404" ht="52">
      <x:c r="A404" s="2" t="s">
        <x:v>91</x:v>
      </x:c>
      <x:c r="B404" s="2" t="s">
        <x:v>15</x:v>
      </x:c>
      <x:c r="C404" s="3">
        <x:v>102</x:v>
      </x:c>
      <x:c r="D404" s="2" t="s">
        <x:v>1340</x:v>
      </x:c>
      <x:c r="E404" s="2" t="s">
        <x:v>1476</x:v>
      </x:c>
      <x:c r="F404" s="2" t="s">
        <x:v>247</x:v>
      </x:c>
      <x:c r="G404" s="2" t="s">
        <x:v>2924</x:v>
      </x:c>
      <x:c r="H404" s="2" t="s">
        <x:v>618</x:v>
      </x:c>
      <x:c r="I404" s="2" t="s">
        <x:v>1477</x:v>
      </x:c>
      <x:c r="J404" s="2" t="s">
        <x:v>1446</x:v>
      </x:c>
      <x:c r="K404" s="2"/>
      <x:c r="L404" s="2"/>
      <x:c r="M404" s="2"/>
      <x:c r="N404" s="2" t="s">
        <x:v>1455</x:v>
      </x:c>
      <x:c r="O404" s="2" t="s">
        <x:v>1351</x:v>
      </x:c>
      <x:c r="P404" s="2" t="s">
        <x:v>1352</x:v>
      </x:c>
      <x:c r="Q404" s="2"/>
      <x:c r="R404" s="3">
        <x:v>4</x:v>
      </x:c>
      <x:c r="S404" s="3"/>
      <x:c r="T404" s="2"/>
      <x:c r="U404" s="2"/>
      <x:c r="V404" s="2"/>
      <x:c r="W404" s="2" t="s">
        <x:v>1477</x:v>
      </x:c>
      <x:c r="X404" s="3"/>
      <x:c r="Y404" s="3"/>
      <x:c r="Z404" s="2"/>
      <x:c r="AA404" s="2" t="s">
        <x:v>275</x:v>
      </x:c>
      <x:c r="AB404" s="2" t="s">
        <x:v>284</x:v>
      </x:c>
      <x:c r="AC404" s="2"/>
      <x:c r="AD404" s="2"/>
      <x:c r="AE404" s="2"/>
      <x:c r="AF404" s="2"/>
      <x:c r="AG404" s="2"/>
      <x:c r="AH404" s="2"/>
      <x:c r="AI404" s="4"/>
      <x:c r="AJ404" s="2"/>
      <x:c r="AK404" s="2" t="s">
        <x:v>234</x:v>
      </x:c>
      <x:c r="AL404" s="2" t="s">
        <x:v>2902</x:v>
      </x:c>
      <x:c r="AM404" s="2">
        <x:v>104</x:v>
      </x:c>
      <x:c r="AN404" s="2">
        <x:v>104</x:v>
      </x:c>
    </x:row>
    <x:row r="405" ht="52">
      <x:c r="A405" s="2" t="s">
        <x:v>6</x:v>
      </x:c>
      <x:c r="B405" s="2" t="s">
        <x:v>15</x:v>
      </x:c>
      <x:c r="C405" s="3">
        <x:v>103</x:v>
      </x:c>
      <x:c r="D405" s="2" t="s">
        <x:v>1466</x:v>
      </x:c>
      <x:c r="E405" s="2" t="s">
        <x:v>1476</x:v>
      </x:c>
      <x:c r="F405" s="2" t="s">
        <x:v>224</x:v>
      </x:c>
      <x:c r="G405" s="2"/>
      <x:c r="H405" s="2" t="s">
        <x:v>618</x:v>
      </x:c>
      <x:c r="I405" s="2" t="s">
        <x:v>1477</x:v>
      </x:c>
      <x:c r="J405" s="2" t="s">
        <x:v>1427</x:v>
      </x:c>
      <x:c r="K405" s="2" t="n">
        <x:v>102</x:v>
      </x:c>
      <x:c r="L405" s="2"/>
      <x:c r="M405" s="2"/>
      <x:c r="N405" s="2" t="s">
        <x:v>1455</x:v>
      </x:c>
      <x:c r="O405" s="2" t="s">
        <x:v>1355</x:v>
      </x:c>
      <x:c r="P405" s="2" t="s">
        <x:v>1352</x:v>
      </x:c>
      <x:c r="Q405" s="2"/>
      <x:c r="R405" s="3">
        <x:v>4</x:v>
      </x:c>
      <x:c r="S405" s="3"/>
      <x:c r="T405" s="2"/>
      <x:c r="U405" s="2"/>
      <x:c r="V405" s="2"/>
      <x:c r="W405" s="2" t="s">
        <x:v>1477</x:v>
      </x:c>
      <x:c r="X405" s="3"/>
      <x:c r="Y405" s="3"/>
      <x:c r="Z405" s="2"/>
      <x:c r="AA405" s="2" t="s">
        <x:v>243</x:v>
      </x:c>
      <x:c r="AB405" s="2" t="s">
        <x:v>267</x:v>
      </x:c>
      <x:c r="AC405" s="2"/>
      <x:c r="AD405" s="2"/>
      <x:c r="AE405" s="2"/>
      <x:c r="AF405" s="2"/>
      <x:c r="AG405" s="2"/>
      <x:c r="AH405" s="2"/>
      <x:c r="AI405" s="4"/>
      <x:c r="AJ405" s="2"/>
      <x:c r="AK405" s="2" t="s">
        <x:v>234</x:v>
      </x:c>
      <x:c r="AL405" s="2" t="s">
        <x:v>2902</x:v>
      </x:c>
      <x:c r="AM405" s="2">
        <x:v>105</x:v>
      </x:c>
      <x:c r="AN405" s="2">
        <x:v>105</x:v>
      </x:c>
    </x:row>
    <x:row r="406" ht="52">
      <x:c r="A406" s="2" t="s">
        <x:v>91</x:v>
      </x:c>
      <x:c r="B406" s="2" t="s">
        <x:v>15</x:v>
      </x:c>
      <x:c r="C406" s="3">
        <x:v>104</x:v>
      </x:c>
      <x:c r="D406" s="2" t="s">
        <x:v>1288</x:v>
      </x:c>
      <x:c r="E406" s="2" t="s">
        <x:v>1478</x:v>
      </x:c>
      <x:c r="F406" s="2" t="s">
        <x:v>237</x:v>
      </x:c>
      <x:c r="G406" s="2" t="s">
        <x:v>1373</x:v>
      </x:c>
      <x:c r="H406" s="2" t="s">
        <x:v>618</x:v>
      </x:c>
      <x:c r="I406" s="2" t="s">
        <x:v>1479</x:v>
      </x:c>
      <x:c r="J406" s="2" t="s">
        <x:v>1417</x:v>
      </x:c>
      <x:c r="K406" s="2"/>
      <x:c r="L406" s="2"/>
      <x:c r="M406" s="2"/>
      <x:c r="N406" s="2" t="s">
        <x:v>1455</x:v>
      </x:c>
      <x:c r="O406" s="2" t="s">
        <x:v>1351</x:v>
      </x:c>
      <x:c r="P406" s="2" t="s">
        <x:v>1352</x:v>
      </x:c>
      <x:c r="Q406" s="2"/>
      <x:c r="R406" s="3">
        <x:v>4</x:v>
      </x:c>
      <x:c r="S406" s="3"/>
      <x:c r="T406" s="2"/>
      <x:c r="U406" s="2"/>
      <x:c r="V406" s="2"/>
      <x:c r="W406" s="2" t="s">
        <x:v>1479</x:v>
      </x:c>
      <x:c r="X406" s="3"/>
      <x:c r="Y406" s="3"/>
      <x:c r="Z406" s="2"/>
      <x:c r="AA406" s="2" t="s">
        <x:v>232</x:v>
      </x:c>
      <x:c r="AB406" s="2" t="s">
        <x:v>300</x:v>
      </x:c>
      <x:c r="AC406" s="2"/>
      <x:c r="AD406" s="2"/>
      <x:c r="AE406" s="2"/>
      <x:c r="AF406" s="2"/>
      <x:c r="AG406" s="2"/>
      <x:c r="AH406" s="2"/>
      <x:c r="AI406" s="4"/>
      <x:c r="AJ406" s="2"/>
      <x:c r="AK406" s="2" t="s">
        <x:v>234</x:v>
      </x:c>
      <x:c r="AL406" s="2" t="s">
        <x:v>2902</x:v>
      </x:c>
      <x:c r="AM406" s="2">
        <x:v>106</x:v>
      </x:c>
      <x:c r="AN406" s="2">
        <x:v>106</x:v>
      </x:c>
    </x:row>
    <x:row r="407" ht="52">
      <x:c r="A407" s="2" t="s">
        <x:v>6</x:v>
      </x:c>
      <x:c r="B407" s="2" t="s">
        <x:v>15</x:v>
      </x:c>
      <x:c r="C407" s="3">
        <x:v>105</x:v>
      </x:c>
      <x:c r="D407" s="2" t="s">
        <x:v>1466</x:v>
      </x:c>
      <x:c r="E407" s="2" t="s">
        <x:v>1478</x:v>
      </x:c>
      <x:c r="F407" s="2" t="s">
        <x:v>224</x:v>
      </x:c>
      <x:c r="G407" s="2"/>
      <x:c r="H407" s="2" t="s">
        <x:v>618</x:v>
      </x:c>
      <x:c r="I407" s="2" t="s">
        <x:v>1479</x:v>
      </x:c>
      <x:c r="J407" s="2" t="s">
        <x:v>1427</x:v>
      </x:c>
      <x:c r="K407" s="2" t="n">
        <x:v>104</x:v>
      </x:c>
      <x:c r="L407" s="2"/>
      <x:c r="M407" s="2"/>
      <x:c r="N407" s="2" t="s">
        <x:v>1455</x:v>
      </x:c>
      <x:c r="O407" s="2" t="s">
        <x:v>1355</x:v>
      </x:c>
      <x:c r="P407" s="2" t="s">
        <x:v>1352</x:v>
      </x:c>
      <x:c r="Q407" s="2"/>
      <x:c r="R407" s="3">
        <x:v>4</x:v>
      </x:c>
      <x:c r="S407" s="3"/>
      <x:c r="T407" s="2"/>
      <x:c r="U407" s="2"/>
      <x:c r="V407" s="2"/>
      <x:c r="W407" s="2" t="s">
        <x:v>1479</x:v>
      </x:c>
      <x:c r="X407" s="3"/>
      <x:c r="Y407" s="3"/>
      <x:c r="Z407" s="2"/>
      <x:c r="AA407" s="2" t="s">
        <x:v>243</x:v>
      </x:c>
      <x:c r="AB407" s="2" t="s">
        <x:v>267</x:v>
      </x:c>
      <x:c r="AC407" s="2"/>
      <x:c r="AD407" s="2"/>
      <x:c r="AE407" s="2"/>
      <x:c r="AF407" s="2"/>
      <x:c r="AG407" s="2"/>
      <x:c r="AH407" s="2"/>
      <x:c r="AI407" s="4"/>
      <x:c r="AJ407" s="2"/>
      <x:c r="AK407" s="2" t="s">
        <x:v>234</x:v>
      </x:c>
      <x:c r="AL407" s="2" t="s">
        <x:v>2902</x:v>
      </x:c>
      <x:c r="AM407" s="2">
        <x:v>107</x:v>
      </x:c>
      <x:c r="AN407" s="2">
        <x:v>107</x:v>
      </x:c>
    </x:row>
    <x:row r="408" ht="52">
      <x:c r="A408" s="2" t="s">
        <x:v>6</x:v>
      </x:c>
      <x:c r="B408" s="2" t="s">
        <x:v>15</x:v>
      </x:c>
      <x:c r="C408" s="3">
        <x:v>106</x:v>
      </x:c>
      <x:c r="D408" s="2" t="s">
        <x:v>1340</x:v>
      </x:c>
      <x:c r="E408" s="2" t="s">
        <x:v>1478</x:v>
      </x:c>
      <x:c r="F408" s="2" t="s">
        <x:v>247</x:v>
      </x:c>
      <x:c r="G408" s="2"/>
      <x:c r="H408" s="2" t="s">
        <x:v>618</x:v>
      </x:c>
      <x:c r="I408" s="2" t="s">
        <x:v>1480</x:v>
      </x:c>
      <x:c r="J408" s="2" t="s">
        <x:v>1446</x:v>
      </x:c>
      <x:c r="K408" s="2"/>
      <x:c r="L408" s="2"/>
      <x:c r="M408" s="2"/>
      <x:c r="N408" s="2" t="s">
        <x:v>1455</x:v>
      </x:c>
      <x:c r="O408" s="2" t="s">
        <x:v>1351</x:v>
      </x:c>
      <x:c r="P408" s="2" t="s">
        <x:v>1352</x:v>
      </x:c>
      <x:c r="Q408" s="2"/>
      <x:c r="R408" s="3">
        <x:v>4</x:v>
      </x:c>
      <x:c r="S408" s="3"/>
      <x:c r="T408" s="2"/>
      <x:c r="U408" s="2"/>
      <x:c r="V408" s="2"/>
      <x:c r="W408" s="2" t="s">
        <x:v>1480</x:v>
      </x:c>
      <x:c r="X408" s="3"/>
      <x:c r="Y408" s="3"/>
      <x:c r="Z408" s="2"/>
      <x:c r="AA408" s="2" t="s">
        <x:v>275</x:v>
      </x:c>
      <x:c r="AB408" s="2" t="s">
        <x:v>284</x:v>
      </x:c>
      <x:c r="AC408" s="2"/>
      <x:c r="AD408" s="2"/>
      <x:c r="AE408" s="2"/>
      <x:c r="AF408" s="2"/>
      <x:c r="AG408" s="2"/>
      <x:c r="AH408" s="2"/>
      <x:c r="AI408" s="4"/>
      <x:c r="AJ408" s="2"/>
      <x:c r="AK408" s="2" t="s">
        <x:v>234</x:v>
      </x:c>
      <x:c r="AL408" s="2" t="s">
        <x:v>2902</x:v>
      </x:c>
      <x:c r="AM408" s="2">
        <x:v>108</x:v>
      </x:c>
      <x:c r="AN408" s="2">
        <x:v>108</x:v>
      </x:c>
    </x:row>
    <x:row r="409" ht="52">
      <x:c r="A409" s="2" t="s">
        <x:v>6</x:v>
      </x:c>
      <x:c r="B409" s="2" t="s">
        <x:v>15</x:v>
      </x:c>
      <x:c r="C409" s="3">
        <x:v>107</x:v>
      </x:c>
      <x:c r="D409" s="2" t="s">
        <x:v>1288</x:v>
      </x:c>
      <x:c r="E409" s="2" t="s">
        <x:v>1478</x:v>
      </x:c>
      <x:c r="F409" s="2" t="s">
        <x:v>237</x:v>
      </x:c>
      <x:c r="G409" s="2"/>
      <x:c r="H409" s="2" t="s">
        <x:v>618</x:v>
      </x:c>
      <x:c r="I409" s="2" t="s">
        <x:v>1480</x:v>
      </x:c>
      <x:c r="J409" s="2" t="s">
        <x:v>1417</x:v>
      </x:c>
      <x:c r="K409" s="2" t="n">
        <x:v>106</x:v>
      </x:c>
      <x:c r="L409" s="2"/>
      <x:c r="M409" s="2"/>
      <x:c r="N409" s="2" t="s">
        <x:v>1455</x:v>
      </x:c>
      <x:c r="O409" s="2" t="s">
        <x:v>1355</x:v>
      </x:c>
      <x:c r="P409" s="2" t="s">
        <x:v>1352</x:v>
      </x:c>
      <x:c r="Q409" s="2"/>
      <x:c r="R409" s="3">
        <x:v>4</x:v>
      </x:c>
      <x:c r="S409" s="3"/>
      <x:c r="T409" s="2"/>
      <x:c r="U409" s="2"/>
      <x:c r="V409" s="2"/>
      <x:c r="W409" s="2" t="s">
        <x:v>1480</x:v>
      </x:c>
      <x:c r="X409" s="3"/>
      <x:c r="Y409" s="3"/>
      <x:c r="Z409" s="2"/>
      <x:c r="AA409" s="2" t="s">
        <x:v>232</x:v>
      </x:c>
      <x:c r="AB409" s="2" t="s">
        <x:v>300</x:v>
      </x:c>
      <x:c r="AC409" s="2"/>
      <x:c r="AD409" s="2"/>
      <x:c r="AE409" s="2"/>
      <x:c r="AF409" s="2"/>
      <x:c r="AG409" s="2"/>
      <x:c r="AH409" s="2"/>
      <x:c r="AI409" s="4"/>
      <x:c r="AJ409" s="2"/>
      <x:c r="AK409" s="2" t="s">
        <x:v>234</x:v>
      </x:c>
      <x:c r="AL409" s="2" t="s">
        <x:v>2902</x:v>
      </x:c>
      <x:c r="AM409" s="2">
        <x:v>109</x:v>
      </x:c>
      <x:c r="AN409" s="2">
        <x:v>109</x:v>
      </x:c>
    </x:row>
    <x:row r="410" ht="52">
      <x:c r="A410" s="2" t="s">
        <x:v>91</x:v>
      </x:c>
      <x:c r="B410" s="2" t="s">
        <x:v>15</x:v>
      </x:c>
      <x:c r="C410" s="3">
        <x:v>108</x:v>
      </x:c>
      <x:c r="D410" s="2" t="s">
        <x:v>1466</x:v>
      </x:c>
      <x:c r="E410" s="2" t="s">
        <x:v>1478</x:v>
      </x:c>
      <x:c r="F410" s="2" t="s">
        <x:v>224</x:v>
      </x:c>
      <x:c r="G410" s="2" t="s">
        <x:v>2925</x:v>
      </x:c>
      <x:c r="H410" s="2" t="s">
        <x:v>618</x:v>
      </x:c>
      <x:c r="I410" s="2" t="s">
        <x:v>1481</x:v>
      </x:c>
      <x:c r="J410" s="2" t="s">
        <x:v>1427</x:v>
      </x:c>
      <x:c r="K410" s="2"/>
      <x:c r="L410" s="2"/>
      <x:c r="M410" s="2"/>
      <x:c r="N410" s="2" t="s">
        <x:v>1455</x:v>
      </x:c>
      <x:c r="O410" s="2" t="s">
        <x:v>1351</x:v>
      </x:c>
      <x:c r="P410" s="2" t="s">
        <x:v>1352</x:v>
      </x:c>
      <x:c r="Q410" s="2"/>
      <x:c r="R410" s="3">
        <x:v>4</x:v>
      </x:c>
      <x:c r="S410" s="3"/>
      <x:c r="T410" s="2"/>
      <x:c r="U410" s="2"/>
      <x:c r="V410" s="2"/>
      <x:c r="W410" s="2" t="s">
        <x:v>1481</x:v>
      </x:c>
      <x:c r="X410" s="3"/>
      <x:c r="Y410" s="3"/>
      <x:c r="Z410" s="2"/>
      <x:c r="AA410" s="2" t="s">
        <x:v>243</x:v>
      </x:c>
      <x:c r="AB410" s="2" t="s">
        <x:v>267</x:v>
      </x:c>
      <x:c r="AC410" s="2"/>
      <x:c r="AD410" s="2"/>
      <x:c r="AE410" s="2"/>
      <x:c r="AF410" s="2"/>
      <x:c r="AG410" s="2"/>
      <x:c r="AH410" s="2"/>
      <x:c r="AI410" s="4"/>
      <x:c r="AJ410" s="2"/>
      <x:c r="AK410" s="2" t="s">
        <x:v>234</x:v>
      </x:c>
      <x:c r="AL410" s="2" t="s">
        <x:v>2902</x:v>
      </x:c>
      <x:c r="AM410" s="2">
        <x:v>110</x:v>
      </x:c>
      <x:c r="AN410" s="2">
        <x:v>110</x:v>
      </x:c>
    </x:row>
    <x:row r="411" ht="52">
      <x:c r="A411" s="2" t="s">
        <x:v>91</x:v>
      </x:c>
      <x:c r="B411" s="2" t="s">
        <x:v>15</x:v>
      </x:c>
      <x:c r="C411" s="3">
        <x:v>109</x:v>
      </x:c>
      <x:c r="D411" s="2" t="s">
        <x:v>1439</x:v>
      </x:c>
      <x:c r="E411" s="2" t="s">
        <x:v>1478</x:v>
      </x:c>
      <x:c r="F411" s="2" t="s">
        <x:v>254</x:v>
      </x:c>
      <x:c r="G411" s="2" t="s">
        <x:v>2926</x:v>
      </x:c>
      <x:c r="H411" s="2" t="s">
        <x:v>618</x:v>
      </x:c>
      <x:c r="I411" s="2" t="s">
        <x:v>1481</x:v>
      </x:c>
      <x:c r="J411" s="2" t="s">
        <x:v>1442</x:v>
      </x:c>
      <x:c r="K411" s="2" t="n">
        <x:v>108</x:v>
      </x:c>
      <x:c r="L411" s="2"/>
      <x:c r="M411" s="2"/>
      <x:c r="N411" s="2" t="s">
        <x:v>1455</x:v>
      </x:c>
      <x:c r="O411" s="2" t="s">
        <x:v>1355</x:v>
      </x:c>
      <x:c r="P411" s="2" t="s">
        <x:v>1352</x:v>
      </x:c>
      <x:c r="Q411" s="2"/>
      <x:c r="R411" s="3">
        <x:v>4</x:v>
      </x:c>
      <x:c r="S411" s="3"/>
      <x:c r="T411" s="2"/>
      <x:c r="U411" s="2"/>
      <x:c r="V411" s="2"/>
      <x:c r="W411" s="2" t="s">
        <x:v>1481</x:v>
      </x:c>
      <x:c r="X411" s="3"/>
      <x:c r="Y411" s="3"/>
      <x:c r="Z411" s="2"/>
      <x:c r="AA411" s="2" t="s">
        <x:v>1314</x:v>
      </x:c>
      <x:c r="AB411" s="2" t="s">
        <x:v>1315</x:v>
      </x:c>
      <x:c r="AC411" s="2"/>
      <x:c r="AD411" s="2"/>
      <x:c r="AE411" s="2"/>
      <x:c r="AF411" s="2"/>
      <x:c r="AG411" s="2"/>
      <x:c r="AH411" s="2"/>
      <x:c r="AI411" s="4"/>
      <x:c r="AJ411" s="2"/>
      <x:c r="AK411" s="2" t="s">
        <x:v>234</x:v>
      </x:c>
      <x:c r="AL411" s="2" t="s">
        <x:v>2902</x:v>
      </x:c>
      <x:c r="AM411" s="2">
        <x:v>111</x:v>
      </x:c>
      <x:c r="AN411" s="2">
        <x:v>111</x:v>
      </x:c>
    </x:row>
    <x:row r="412" ht="52">
      <x:c r="A412" s="2" t="s">
        <x:v>91</x:v>
      </x:c>
      <x:c r="B412" s="2" t="s">
        <x:v>15</x:v>
      </x:c>
      <x:c r="C412" s="3">
        <x:v>110</x:v>
      </x:c>
      <x:c r="D412" s="2" t="s">
        <x:v>1346</x:v>
      </x:c>
      <x:c r="E412" s="2" t="s">
        <x:v>1483</x:v>
      </x:c>
      <x:c r="F412" s="2" t="s">
        <x:v>368</x:v>
      </x:c>
      <x:c r="G412" s="2" t="s">
        <x:v>2819</x:v>
      </x:c>
      <x:c r="H412" s="2" t="s">
        <x:v>1484</x:v>
      </x:c>
      <x:c r="I412" s="2" t="s">
        <x:v>1485</x:v>
      </x:c>
      <x:c r="J412" s="2" t="s">
        <x:v>1486</x:v>
      </x:c>
      <x:c r="K412" s="2"/>
      <x:c r="L412" s="2"/>
      <x:c r="M412" s="2"/>
      <x:c r="N412" s="2" t="s">
        <x:v>1487</x:v>
      </x:c>
      <x:c r="O412" s="2" t="s">
        <x:v>1351</x:v>
      </x:c>
      <x:c r="P412" s="2" t="s">
        <x:v>1488</x:v>
      </x:c>
      <x:c r="Q412" s="2"/>
      <x:c r="R412" s="3">
        <x:v>2</x:v>
      </x:c>
      <x:c r="S412" s="3"/>
      <x:c r="T412" s="2"/>
      <x:c r="U412" s="2"/>
      <x:c r="V412" s="2"/>
      <x:c r="W412" s="2" t="s">
        <x:v>1485</x:v>
      </x:c>
      <x:c r="X412" s="3"/>
      <x:c r="Y412" s="3"/>
      <x:c r="Z412" s="2"/>
      <x:c r="AA412" s="2" t="s">
        <x:v>232</x:v>
      </x:c>
      <x:c r="AB412" s="2" t="s">
        <x:v>292</x:v>
      </x:c>
      <x:c r="AC412" s="2"/>
      <x:c r="AD412" s="2"/>
      <x:c r="AE412" s="2"/>
      <x:c r="AF412" s="2"/>
      <x:c r="AG412" s="2"/>
      <x:c r="AH412" s="2"/>
      <x:c r="AI412" s="4"/>
      <x:c r="AJ412" s="2"/>
      <x:c r="AK412" s="2" t="s">
        <x:v>234</x:v>
      </x:c>
      <x:c r="AL412" s="2" t="s">
        <x:v>2902</x:v>
      </x:c>
      <x:c r="AM412" s="2">
        <x:v>112</x:v>
      </x:c>
      <x:c r="AN412" s="2">
        <x:v>112</x:v>
      </x:c>
    </x:row>
    <x:row r="413" ht="52">
      <x:c r="A413" s="2" t="s">
        <x:v>6</x:v>
      </x:c>
      <x:c r="B413" s="2" t="s">
        <x:v>15</x:v>
      </x:c>
      <x:c r="C413" s="3">
        <x:v>111</x:v>
      </x:c>
      <x:c r="D413" s="2" t="s">
        <x:v>1281</x:v>
      </x:c>
      <x:c r="E413" s="2" t="s">
        <x:v>1483</x:v>
      </x:c>
      <x:c r="F413" s="2" t="s">
        <x:v>237</x:v>
      </x:c>
      <x:c r="G413" s="2"/>
      <x:c r="H413" s="2" t="s">
        <x:v>1489</x:v>
      </x:c>
      <x:c r="I413" s="2" t="s">
        <x:v>1485</x:v>
      </x:c>
      <x:c r="J413" s="2" t="s">
        <x:v>1490</x:v>
      </x:c>
      <x:c r="K413" s="2" t="n">
        <x:v>110</x:v>
      </x:c>
      <x:c r="L413" s="2"/>
      <x:c r="M413" s="2"/>
      <x:c r="N413" s="2" t="s">
        <x:v>1487</x:v>
      </x:c>
      <x:c r="O413" s="2" t="s">
        <x:v>1355</x:v>
      </x:c>
      <x:c r="P413" s="2" t="s">
        <x:v>1491</x:v>
      </x:c>
      <x:c r="Q413" s="2"/>
      <x:c r="R413" s="3">
        <x:v>2</x:v>
      </x:c>
      <x:c r="S413" s="3"/>
      <x:c r="T413" s="2"/>
      <x:c r="U413" s="2"/>
      <x:c r="V413" s="2"/>
      <x:c r="W413" s="2" t="s">
        <x:v>1485</x:v>
      </x:c>
      <x:c r="X413" s="3"/>
      <x:c r="Y413" s="3"/>
      <x:c r="Z413" s="2"/>
      <x:c r="AA413" s="2" t="s">
        <x:v>243</x:v>
      </x:c>
      <x:c r="AB413" s="2" t="s">
        <x:v>244</x:v>
      </x:c>
      <x:c r="AC413" s="2"/>
      <x:c r="AD413" s="2"/>
      <x:c r="AE413" s="2"/>
      <x:c r="AF413" s="2"/>
      <x:c r="AG413" s="2"/>
      <x:c r="AH413" s="2"/>
      <x:c r="AI413" s="4"/>
      <x:c r="AJ413" s="2"/>
      <x:c r="AK413" s="2" t="s">
        <x:v>234</x:v>
      </x:c>
      <x:c r="AL413" s="2" t="s">
        <x:v>2902</x:v>
      </x:c>
      <x:c r="AM413" s="2">
        <x:v>113</x:v>
      </x:c>
      <x:c r="AN413" s="2">
        <x:v>113</x:v>
      </x:c>
    </x:row>
    <x:row r="414" ht="52">
      <x:c r="A414" s="2" t="s">
        <x:v>91</x:v>
      </x:c>
      <x:c r="B414" s="2" t="s">
        <x:v>15</x:v>
      </x:c>
      <x:c r="C414" s="3">
        <x:v>112</x:v>
      </x:c>
      <x:c r="D414" s="2" t="s">
        <x:v>1388</x:v>
      </x:c>
      <x:c r="E414" s="2" t="s">
        <x:v>1492</x:v>
      </x:c>
      <x:c r="F414" s="2" t="s">
        <x:v>224</x:v>
      </x:c>
      <x:c r="G414" s="2" t="s">
        <x:v>1493</x:v>
      </x:c>
      <x:c r="H414" s="2" t="s">
        <x:v>1489</x:v>
      </x:c>
      <x:c r="I414" s="2" t="s">
        <x:v>1494</x:v>
      </x:c>
      <x:c r="J414" s="2" t="s">
        <x:v>1495</x:v>
      </x:c>
      <x:c r="K414" s="2"/>
      <x:c r="L414" s="2"/>
      <x:c r="M414" s="2"/>
      <x:c r="N414" s="2" t="s">
        <x:v>1487</x:v>
      </x:c>
      <x:c r="O414" s="2" t="s">
        <x:v>1351</x:v>
      </x:c>
      <x:c r="P414" s="2" t="s">
        <x:v>1491</x:v>
      </x:c>
      <x:c r="Q414" s="2"/>
      <x:c r="R414" s="3">
        <x:v>2</x:v>
      </x:c>
      <x:c r="S414" s="3"/>
      <x:c r="T414" s="2"/>
      <x:c r="U414" s="2"/>
      <x:c r="V414" s="2"/>
      <x:c r="W414" s="2" t="s">
        <x:v>1494</x:v>
      </x:c>
      <x:c r="X414" s="3"/>
      <x:c r="Y414" s="3"/>
      <x:c r="Z414" s="2"/>
      <x:c r="AA414" s="2" t="s">
        <x:v>232</x:v>
      </x:c>
      <x:c r="AB414" s="2" t="s">
        <x:v>233</x:v>
      </x:c>
      <x:c r="AC414" s="2"/>
      <x:c r="AD414" s="2"/>
      <x:c r="AE414" s="2"/>
      <x:c r="AF414" s="2"/>
      <x:c r="AG414" s="2"/>
      <x:c r="AH414" s="2"/>
      <x:c r="AI414" s="4"/>
      <x:c r="AJ414" s="2"/>
      <x:c r="AK414" s="2" t="s">
        <x:v>234</x:v>
      </x:c>
      <x:c r="AL414" s="2" t="s">
        <x:v>2902</x:v>
      </x:c>
      <x:c r="AM414" s="2">
        <x:v>114</x:v>
      </x:c>
      <x:c r="AN414" s="2">
        <x:v>114</x:v>
      </x:c>
    </x:row>
    <x:row r="415" ht="52">
      <x:c r="A415" s="2" t="s">
        <x:v>6</x:v>
      </x:c>
      <x:c r="B415" s="2" t="s">
        <x:v>15</x:v>
      </x:c>
      <x:c r="C415" s="3">
        <x:v>113</x:v>
      </x:c>
      <x:c r="D415" s="2" t="s">
        <x:v>1335</x:v>
      </x:c>
      <x:c r="E415" s="2" t="s">
        <x:v>1492</x:v>
      </x:c>
      <x:c r="F415" s="2" t="s">
        <x:v>368</x:v>
      </x:c>
      <x:c r="G415" s="2"/>
      <x:c r="H415" s="2" t="s">
        <x:v>1484</x:v>
      </x:c>
      <x:c r="I415" s="2" t="s">
        <x:v>1494</x:v>
      </x:c>
      <x:c r="J415" s="2" t="s">
        <x:v>1486</x:v>
      </x:c>
      <x:c r="K415" s="2" t="n">
        <x:v>112</x:v>
      </x:c>
      <x:c r="L415" s="2"/>
      <x:c r="M415" s="2"/>
      <x:c r="N415" s="2" t="s">
        <x:v>1487</x:v>
      </x:c>
      <x:c r="O415" s="2" t="s">
        <x:v>1355</x:v>
      </x:c>
      <x:c r="P415" s="2" t="s">
        <x:v>1488</x:v>
      </x:c>
      <x:c r="Q415" s="2"/>
      <x:c r="R415" s="3">
        <x:v>2</x:v>
      </x:c>
      <x:c r="S415" s="3"/>
      <x:c r="T415" s="2"/>
      <x:c r="U415" s="2"/>
      <x:c r="V415" s="2"/>
      <x:c r="W415" s="2" t="s">
        <x:v>1494</x:v>
      </x:c>
      <x:c r="X415" s="3"/>
      <x:c r="Y415" s="3"/>
      <x:c r="Z415" s="2"/>
      <x:c r="AA415" s="2" t="s">
        <x:v>243</x:v>
      </x:c>
      <x:c r="AB415" s="2" t="s">
        <x:v>276</x:v>
      </x:c>
      <x:c r="AC415" s="2"/>
      <x:c r="AD415" s="2"/>
      <x:c r="AE415" s="2"/>
      <x:c r="AF415" s="2"/>
      <x:c r="AG415" s="2"/>
      <x:c r="AH415" s="2"/>
      <x:c r="AI415" s="4"/>
      <x:c r="AJ415" s="2"/>
      <x:c r="AK415" s="2" t="s">
        <x:v>234</x:v>
      </x:c>
      <x:c r="AL415" s="2" t="s">
        <x:v>2902</x:v>
      </x:c>
      <x:c r="AM415" s="2">
        <x:v>115</x:v>
      </x:c>
      <x:c r="AN415" s="2">
        <x:v>115</x:v>
      </x:c>
    </x:row>
    <x:row r="416" ht="52">
      <x:c r="A416" s="2" t="s">
        <x:v>91</x:v>
      </x:c>
      <x:c r="B416" s="2" t="s">
        <x:v>15</x:v>
      </x:c>
      <x:c r="C416" s="3">
        <x:v>114</x:v>
      </x:c>
      <x:c r="D416" s="2" t="s">
        <x:v>1466</x:v>
      </x:c>
      <x:c r="E416" s="2" t="s">
        <x:v>1496</x:v>
      </x:c>
      <x:c r="F416" s="2" t="s">
        <x:v>368</x:v>
      </x:c>
      <x:c r="G416" s="2" t="s">
        <x:v>1373</x:v>
      </x:c>
      <x:c r="H416" s="2" t="s">
        <x:v>1484</x:v>
      </x:c>
      <x:c r="I416" s="2" t="s">
        <x:v>1498</x:v>
      </x:c>
      <x:c r="J416" s="2" t="s">
        <x:v>1486</x:v>
      </x:c>
      <x:c r="K416" s="2"/>
      <x:c r="L416" s="2"/>
      <x:c r="M416" s="2"/>
      <x:c r="N416" s="2" t="s">
        <x:v>1487</x:v>
      </x:c>
      <x:c r="O416" s="2" t="s">
        <x:v>1351</x:v>
      </x:c>
      <x:c r="P416" s="2" t="s">
        <x:v>1488</x:v>
      </x:c>
      <x:c r="Q416" s="2"/>
      <x:c r="R416" s="3">
        <x:v>3</x:v>
      </x:c>
      <x:c r="S416" s="3"/>
      <x:c r="T416" s="2"/>
      <x:c r="U416" s="2"/>
      <x:c r="V416" s="2"/>
      <x:c r="W416" s="2" t="s">
        <x:v>1498</x:v>
      </x:c>
      <x:c r="X416" s="3"/>
      <x:c r="Y416" s="3"/>
      <x:c r="Z416" s="2"/>
      <x:c r="AA416" s="2" t="s">
        <x:v>232</x:v>
      </x:c>
      <x:c r="AB416" s="2" t="s">
        <x:v>267</x:v>
      </x:c>
      <x:c r="AC416" s="2"/>
      <x:c r="AD416" s="2"/>
      <x:c r="AE416" s="2"/>
      <x:c r="AF416" s="2"/>
      <x:c r="AG416" s="2"/>
      <x:c r="AH416" s="2"/>
      <x:c r="AI416" s="4"/>
      <x:c r="AJ416" s="2"/>
      <x:c r="AK416" s="2" t="s">
        <x:v>234</x:v>
      </x:c>
      <x:c r="AL416" s="2" t="s">
        <x:v>2902</x:v>
      </x:c>
      <x:c r="AM416" s="2">
        <x:v>116</x:v>
      </x:c>
      <x:c r="AN416" s="2">
        <x:v>116</x:v>
      </x:c>
    </x:row>
    <x:row r="417" ht="52">
      <x:c r="A417" s="2" t="s">
        <x:v>6</x:v>
      </x:c>
      <x:c r="B417" s="2" t="s">
        <x:v>15</x:v>
      </x:c>
      <x:c r="C417" s="3">
        <x:v>115</x:v>
      </x:c>
      <x:c r="D417" s="2" t="s">
        <x:v>1335</x:v>
      </x:c>
      <x:c r="E417" s="2" t="s">
        <x:v>1496</x:v>
      </x:c>
      <x:c r="F417" s="2" t="s">
        <x:v>224</x:v>
      </x:c>
      <x:c r="G417" s="2"/>
      <x:c r="H417" s="2" t="s">
        <x:v>1489</x:v>
      </x:c>
      <x:c r="I417" s="2" t="s">
        <x:v>1498</x:v>
      </x:c>
      <x:c r="J417" s="2" t="s">
        <x:v>1499</x:v>
      </x:c>
      <x:c r="K417" s="2" t="n">
        <x:v>114</x:v>
      </x:c>
      <x:c r="L417" s="2"/>
      <x:c r="M417" s="2"/>
      <x:c r="N417" s="2" t="s">
        <x:v>1487</x:v>
      </x:c>
      <x:c r="O417" s="2" t="s">
        <x:v>1355</x:v>
      </x:c>
      <x:c r="P417" s="2" t="s">
        <x:v>1491</x:v>
      </x:c>
      <x:c r="Q417" s="2"/>
      <x:c r="R417" s="3">
        <x:v>3</x:v>
      </x:c>
      <x:c r="S417" s="3"/>
      <x:c r="T417" s="2"/>
      <x:c r="U417" s="2"/>
      <x:c r="V417" s="2"/>
      <x:c r="W417" s="2" t="s">
        <x:v>1498</x:v>
      </x:c>
      <x:c r="X417" s="3"/>
      <x:c r="Y417" s="3"/>
      <x:c r="Z417" s="2"/>
      <x:c r="AA417" s="2" t="s">
        <x:v>275</x:v>
      </x:c>
      <x:c r="AB417" s="2" t="s">
        <x:v>276</x:v>
      </x:c>
      <x:c r="AC417" s="2"/>
      <x:c r="AD417" s="2"/>
      <x:c r="AE417" s="2"/>
      <x:c r="AF417" s="2"/>
      <x:c r="AG417" s="2"/>
      <x:c r="AH417" s="2"/>
      <x:c r="AI417" s="4"/>
      <x:c r="AJ417" s="2"/>
      <x:c r="AK417" s="2" t="s">
        <x:v>234</x:v>
      </x:c>
      <x:c r="AL417" s="2" t="s">
        <x:v>2902</x:v>
      </x:c>
      <x:c r="AM417" s="2">
        <x:v>117</x:v>
      </x:c>
      <x:c r="AN417" s="2">
        <x:v>117</x:v>
      </x:c>
    </x:row>
    <x:row r="418" ht="52">
      <x:c r="A418" s="2" t="s">
        <x:v>91</x:v>
      </x:c>
      <x:c r="B418" s="2" t="s">
        <x:v>15</x:v>
      </x:c>
      <x:c r="C418" s="3">
        <x:v>116</x:v>
      </x:c>
      <x:c r="D418" s="2" t="s">
        <x:v>1466</x:v>
      </x:c>
      <x:c r="E418" s="2" t="s">
        <x:v>1500</x:v>
      </x:c>
      <x:c r="F418" s="2" t="s">
        <x:v>237</x:v>
      </x:c>
      <x:c r="G418" s="2" t="s">
        <x:v>1276</x:v>
      </x:c>
      <x:c r="H418" s="2" t="s">
        <x:v>1489</x:v>
      </x:c>
      <x:c r="I418" s="2" t="s">
        <x:v>1501</x:v>
      </x:c>
      <x:c r="J418" s="2" t="s">
        <x:v>1502</x:v>
      </x:c>
      <x:c r="K418" s="2"/>
      <x:c r="L418" s="2"/>
      <x:c r="M418" s="2"/>
      <x:c r="N418" s="2" t="s">
        <x:v>1487</x:v>
      </x:c>
      <x:c r="O418" s="2" t="s">
        <x:v>1351</x:v>
      </x:c>
      <x:c r="P418" s="2" t="s">
        <x:v>1491</x:v>
      </x:c>
      <x:c r="Q418" s="2"/>
      <x:c r="R418" s="3">
        <x:v>3</x:v>
      </x:c>
      <x:c r="S418" s="3"/>
      <x:c r="T418" s="2"/>
      <x:c r="U418" s="2"/>
      <x:c r="V418" s="2"/>
      <x:c r="W418" s="2" t="s">
        <x:v>1501</x:v>
      </x:c>
      <x:c r="X418" s="3"/>
      <x:c r="Y418" s="3"/>
      <x:c r="Z418" s="2"/>
      <x:c r="AA418" s="2" t="s">
        <x:v>232</x:v>
      </x:c>
      <x:c r="AB418" s="2" t="s">
        <x:v>267</x:v>
      </x:c>
      <x:c r="AC418" s="2"/>
      <x:c r="AD418" s="2"/>
      <x:c r="AE418" s="2"/>
      <x:c r="AF418" s="2"/>
      <x:c r="AG418" s="2"/>
      <x:c r="AH418" s="2"/>
      <x:c r="AI418" s="4"/>
      <x:c r="AJ418" s="2"/>
      <x:c r="AK418" s="2" t="s">
        <x:v>234</x:v>
      </x:c>
      <x:c r="AL418" s="2" t="s">
        <x:v>2902</x:v>
      </x:c>
      <x:c r="AM418" s="2">
        <x:v>118</x:v>
      </x:c>
      <x:c r="AN418" s="2">
        <x:v>118</x:v>
      </x:c>
    </x:row>
    <x:row r="419" ht="52">
      <x:c r="A419" s="2" t="s">
        <x:v>6</x:v>
      </x:c>
      <x:c r="B419" s="2" t="s">
        <x:v>15</x:v>
      </x:c>
      <x:c r="C419" s="3">
        <x:v>117</x:v>
      </x:c>
      <x:c r="D419" s="2" t="s">
        <x:v>1340</x:v>
      </x:c>
      <x:c r="E419" s="2" t="s">
        <x:v>1500</x:v>
      </x:c>
      <x:c r="F419" s="2" t="s">
        <x:v>368</x:v>
      </x:c>
      <x:c r="G419" s="2"/>
      <x:c r="H419" s="2" t="s">
        <x:v>1484</x:v>
      </x:c>
      <x:c r="I419" s="2" t="s">
        <x:v>1501</x:v>
      </x:c>
      <x:c r="J419" s="2" t="s">
        <x:v>1486</x:v>
      </x:c>
      <x:c r="K419" s="2" t="n">
        <x:v>116</x:v>
      </x:c>
      <x:c r="L419" s="2"/>
      <x:c r="M419" s="2"/>
      <x:c r="N419" s="2" t="s">
        <x:v>1487</x:v>
      </x:c>
      <x:c r="O419" s="2" t="s">
        <x:v>1355</x:v>
      </x:c>
      <x:c r="P419" s="2" t="s">
        <x:v>1488</x:v>
      </x:c>
      <x:c r="Q419" s="2"/>
      <x:c r="R419" s="3">
        <x:v>3</x:v>
      </x:c>
      <x:c r="S419" s="3"/>
      <x:c r="T419" s="2"/>
      <x:c r="U419" s="2"/>
      <x:c r="V419" s="2"/>
      <x:c r="W419" s="2" t="s">
        <x:v>1501</x:v>
      </x:c>
      <x:c r="X419" s="3"/>
      <x:c r="Y419" s="3"/>
      <x:c r="Z419" s="2"/>
      <x:c r="AA419" s="2" t="s">
        <x:v>275</x:v>
      </x:c>
      <x:c r="AB419" s="2" t="s">
        <x:v>284</x:v>
      </x:c>
      <x:c r="AC419" s="2"/>
      <x:c r="AD419" s="2"/>
      <x:c r="AE419" s="2"/>
      <x:c r="AF419" s="2"/>
      <x:c r="AG419" s="2"/>
      <x:c r="AH419" s="2"/>
      <x:c r="AI419" s="4"/>
      <x:c r="AJ419" s="2"/>
      <x:c r="AK419" s="2" t="s">
        <x:v>234</x:v>
      </x:c>
      <x:c r="AL419" s="2" t="s">
        <x:v>2902</x:v>
      </x:c>
      <x:c r="AM419" s="2">
        <x:v>119</x:v>
      </x:c>
      <x:c r="AN419" s="2">
        <x:v>119</x:v>
      </x:c>
    </x:row>
    <x:row r="420" ht="52">
      <x:c r="A420" s="2" t="s">
        <x:v>6</x:v>
      </x:c>
      <x:c r="B420" s="2" t="s">
        <x:v>15</x:v>
      </x:c>
      <x:c r="C420" s="3">
        <x:v>118</x:v>
      </x:c>
      <x:c r="D420" s="2" t="s">
        <x:v>1346</x:v>
      </x:c>
      <x:c r="E420" s="2" t="s">
        <x:v>1503</x:v>
      </x:c>
      <x:c r="F420" s="2" t="s">
        <x:v>368</x:v>
      </x:c>
      <x:c r="G420" s="2"/>
      <x:c r="H420" s="2" t="s">
        <x:v>1484</x:v>
      </x:c>
      <x:c r="I420" s="2" t="s">
        <x:v>1504</x:v>
      </x:c>
      <x:c r="J420" s="2" t="s">
        <x:v>1486</x:v>
      </x:c>
      <x:c r="K420" s="2"/>
      <x:c r="L420" s="2"/>
      <x:c r="M420" s="2"/>
      <x:c r="N420" s="2" t="s">
        <x:v>1487</x:v>
      </x:c>
      <x:c r="O420" s="2" t="s">
        <x:v>1351</x:v>
      </x:c>
      <x:c r="P420" s="2" t="s">
        <x:v>1488</x:v>
      </x:c>
      <x:c r="Q420" s="2"/>
      <x:c r="R420" s="3">
        <x:v>4</x:v>
      </x:c>
      <x:c r="S420" s="3"/>
      <x:c r="T420" s="2"/>
      <x:c r="U420" s="2"/>
      <x:c r="V420" s="2"/>
      <x:c r="W420" s="2" t="s">
        <x:v>1504</x:v>
      </x:c>
      <x:c r="X420" s="3"/>
      <x:c r="Y420" s="3"/>
      <x:c r="Z420" s="2"/>
      <x:c r="AA420" s="2" t="s">
        <x:v>232</x:v>
      </x:c>
      <x:c r="AB420" s="2" t="s">
        <x:v>292</x:v>
      </x:c>
      <x:c r="AC420" s="2"/>
      <x:c r="AD420" s="2"/>
      <x:c r="AE420" s="2"/>
      <x:c r="AF420" s="2"/>
      <x:c r="AG420" s="2"/>
      <x:c r="AH420" s="2"/>
      <x:c r="AI420" s="4"/>
      <x:c r="AJ420" s="2"/>
      <x:c r="AK420" s="2" t="s">
        <x:v>234</x:v>
      </x:c>
      <x:c r="AL420" s="2" t="s">
        <x:v>2902</x:v>
      </x:c>
      <x:c r="AM420" s="2">
        <x:v>120</x:v>
      </x:c>
      <x:c r="AN420" s="2">
        <x:v>120</x:v>
      </x:c>
    </x:row>
    <x:row r="421" ht="52">
      <x:c r="A421" s="2" t="s">
        <x:v>6</x:v>
      </x:c>
      <x:c r="B421" s="2" t="s">
        <x:v>15</x:v>
      </x:c>
      <x:c r="C421" s="3">
        <x:v>119</x:v>
      </x:c>
      <x:c r="D421" s="2" t="s">
        <x:v>1466</x:v>
      </x:c>
      <x:c r="E421" s="2" t="s">
        <x:v>1503</x:v>
      </x:c>
      <x:c r="F421" s="2" t="s">
        <x:v>247</x:v>
      </x:c>
      <x:c r="G421" s="2"/>
      <x:c r="H421" s="2" t="s">
        <x:v>1489</x:v>
      </x:c>
      <x:c r="I421" s="2" t="s">
        <x:v>1504</x:v>
      </x:c>
      <x:c r="J421" s="2" t="s">
        <x:v>1505</x:v>
      </x:c>
      <x:c r="K421" s="2" t="n">
        <x:v>118</x:v>
      </x:c>
      <x:c r="L421" s="2"/>
      <x:c r="M421" s="2"/>
      <x:c r="N421" s="2" t="s">
        <x:v>1487</x:v>
      </x:c>
      <x:c r="O421" s="2" t="s">
        <x:v>1355</x:v>
      </x:c>
      <x:c r="P421" s="2" t="s">
        <x:v>1491</x:v>
      </x:c>
      <x:c r="Q421" s="2"/>
      <x:c r="R421" s="3">
        <x:v>4</x:v>
      </x:c>
      <x:c r="S421" s="3"/>
      <x:c r="T421" s="2"/>
      <x:c r="U421" s="2"/>
      <x:c r="V421" s="2"/>
      <x:c r="W421" s="2" t="s">
        <x:v>1504</x:v>
      </x:c>
      <x:c r="X421" s="3"/>
      <x:c r="Y421" s="3"/>
      <x:c r="Z421" s="2"/>
      <x:c r="AA421" s="2" t="s">
        <x:v>243</x:v>
      </x:c>
      <x:c r="AB421" s="2" t="s">
        <x:v>267</x:v>
      </x:c>
      <x:c r="AC421" s="2"/>
      <x:c r="AD421" s="2"/>
      <x:c r="AE421" s="2"/>
      <x:c r="AF421" s="2"/>
      <x:c r="AG421" s="2"/>
      <x:c r="AH421" s="2"/>
      <x:c r="AI421" s="4"/>
      <x:c r="AJ421" s="2"/>
      <x:c r="AK421" s="2" t="s">
        <x:v>234</x:v>
      </x:c>
      <x:c r="AL421" s="2" t="s">
        <x:v>2902</x:v>
      </x:c>
      <x:c r="AM421" s="2">
        <x:v>121</x:v>
      </x:c>
      <x:c r="AN421" s="2">
        <x:v>121</x:v>
      </x:c>
    </x:row>
    <x:row r="422" ht="52">
      <x:c r="A422" s="2" t="s">
        <x:v>6</x:v>
      </x:c>
      <x:c r="B422" s="2" t="s">
        <x:v>15</x:v>
      </x:c>
      <x:c r="C422" s="3">
        <x:v>120</x:v>
      </x:c>
      <x:c r="D422" s="2" t="s">
        <x:v>1340</x:v>
      </x:c>
      <x:c r="E422" s="2" t="s">
        <x:v>1506</x:v>
      </x:c>
      <x:c r="F422" s="2" t="s">
        <x:v>237</x:v>
      </x:c>
      <x:c r="G422" s="2"/>
      <x:c r="H422" s="2" t="s">
        <x:v>1489</x:v>
      </x:c>
      <x:c r="I422" s="2" t="s">
        <x:v>1507</x:v>
      </x:c>
      <x:c r="J422" s="2" t="s">
        <x:v>1508</x:v>
      </x:c>
      <x:c r="K422" s="2"/>
      <x:c r="L422" s="2"/>
      <x:c r="M422" s="2"/>
      <x:c r="N422" s="2" t="s">
        <x:v>1487</x:v>
      </x:c>
      <x:c r="O422" s="2" t="s">
        <x:v>1351</x:v>
      </x:c>
      <x:c r="P422" s="2" t="s">
        <x:v>1491</x:v>
      </x:c>
      <x:c r="Q422" s="2"/>
      <x:c r="R422" s="3">
        <x:v>4</x:v>
      </x:c>
      <x:c r="S422" s="3"/>
      <x:c r="T422" s="2"/>
      <x:c r="U422" s="2"/>
      <x:c r="V422" s="2"/>
      <x:c r="W422" s="2" t="s">
        <x:v>1507</x:v>
      </x:c>
      <x:c r="X422" s="3"/>
      <x:c r="Y422" s="3"/>
      <x:c r="Z422" s="2"/>
      <x:c r="AA422" s="2" t="s">
        <x:v>275</x:v>
      </x:c>
      <x:c r="AB422" s="2" t="s">
        <x:v>284</x:v>
      </x:c>
      <x:c r="AC422" s="2"/>
      <x:c r="AD422" s="2"/>
      <x:c r="AE422" s="2"/>
      <x:c r="AF422" s="2"/>
      <x:c r="AG422" s="2"/>
      <x:c r="AH422" s="2"/>
      <x:c r="AI422" s="4"/>
      <x:c r="AJ422" s="2"/>
      <x:c r="AK422" s="2" t="s">
        <x:v>234</x:v>
      </x:c>
      <x:c r="AL422" s="2" t="s">
        <x:v>2902</x:v>
      </x:c>
      <x:c r="AM422" s="2">
        <x:v>122</x:v>
      </x:c>
      <x:c r="AN422" s="2">
        <x:v>122</x:v>
      </x:c>
    </x:row>
    <x:row r="423" ht="52">
      <x:c r="A423" s="2" t="s">
        <x:v>6</x:v>
      </x:c>
      <x:c r="B423" s="2" t="s">
        <x:v>15</x:v>
      </x:c>
      <x:c r="C423" s="3">
        <x:v>121</x:v>
      </x:c>
      <x:c r="D423" s="2" t="s">
        <x:v>1466</x:v>
      </x:c>
      <x:c r="E423" s="2" t="s">
        <x:v>1506</x:v>
      </x:c>
      <x:c r="F423" s="2" t="s">
        <x:v>368</x:v>
      </x:c>
      <x:c r="G423" s="2"/>
      <x:c r="H423" s="2" t="s">
        <x:v>1484</x:v>
      </x:c>
      <x:c r="I423" s="2" t="s">
        <x:v>1507</x:v>
      </x:c>
      <x:c r="J423" s="2" t="s">
        <x:v>1486</x:v>
      </x:c>
      <x:c r="K423" s="2" t="n">
        <x:v>120</x:v>
      </x:c>
      <x:c r="L423" s="2"/>
      <x:c r="M423" s="2"/>
      <x:c r="N423" s="2" t="s">
        <x:v>1487</x:v>
      </x:c>
      <x:c r="O423" s="2" t="s">
        <x:v>1355</x:v>
      </x:c>
      <x:c r="P423" s="2" t="s">
        <x:v>1488</x:v>
      </x:c>
      <x:c r="Q423" s="2"/>
      <x:c r="R423" s="3">
        <x:v>4</x:v>
      </x:c>
      <x:c r="S423" s="3"/>
      <x:c r="T423" s="2"/>
      <x:c r="U423" s="2"/>
      <x:c r="V423" s="2"/>
      <x:c r="W423" s="2" t="s">
        <x:v>1507</x:v>
      </x:c>
      <x:c r="X423" s="3"/>
      <x:c r="Y423" s="3"/>
      <x:c r="Z423" s="2"/>
      <x:c r="AA423" s="2" t="s">
        <x:v>243</x:v>
      </x:c>
      <x:c r="AB423" s="2" t="s">
        <x:v>267</x:v>
      </x:c>
      <x:c r="AC423" s="2"/>
      <x:c r="AD423" s="2"/>
      <x:c r="AE423" s="2"/>
      <x:c r="AF423" s="2"/>
      <x:c r="AG423" s="2"/>
      <x:c r="AH423" s="2"/>
      <x:c r="AI423" s="4"/>
      <x:c r="AJ423" s="2"/>
      <x:c r="AK423" s="2" t="s">
        <x:v>234</x:v>
      </x:c>
      <x:c r="AL423" s="2" t="s">
        <x:v>2902</x:v>
      </x:c>
      <x:c r="AM423" s="2">
        <x:v>123</x:v>
      </x:c>
      <x:c r="AN423" s="2">
        <x:v>123</x:v>
      </x:c>
    </x:row>
    <x:row r="424" ht="52">
      <x:c r="A424" s="2" t="s">
        <x:v>6</x:v>
      </x:c>
      <x:c r="B424" s="2" t="s">
        <x:v>15</x:v>
      </x:c>
      <x:c r="C424" s="3">
        <x:v>122</x:v>
      </x:c>
      <x:c r="D424" s="2" t="s">
        <x:v>1281</x:v>
      </x:c>
      <x:c r="E424" s="2" t="s">
        <x:v>1509</x:v>
      </x:c>
      <x:c r="F424" s="2" t="s">
        <x:v>368</x:v>
      </x:c>
      <x:c r="G424" s="2"/>
      <x:c r="H424" s="2" t="s">
        <x:v>1484</x:v>
      </x:c>
      <x:c r="I424" s="2" t="s">
        <x:v>1510</x:v>
      </x:c>
      <x:c r="J424" s="2" t="s">
        <x:v>1486</x:v>
      </x:c>
      <x:c r="K424" s="2"/>
      <x:c r="L424" s="2"/>
      <x:c r="M424" s="2"/>
      <x:c r="N424" s="2" t="s">
        <x:v>1487</x:v>
      </x:c>
      <x:c r="O424" s="2" t="s">
        <x:v>1351</x:v>
      </x:c>
      <x:c r="P424" s="2" t="s">
        <x:v>1488</x:v>
      </x:c>
      <x:c r="Q424" s="2"/>
      <x:c r="R424" s="3">
        <x:v>4</x:v>
      </x:c>
      <x:c r="S424" s="3"/>
      <x:c r="T424" s="2"/>
      <x:c r="U424" s="2"/>
      <x:c r="V424" s="2"/>
      <x:c r="W424" s="2" t="s">
        <x:v>1510</x:v>
      </x:c>
      <x:c r="X424" s="3"/>
      <x:c r="Y424" s="3"/>
      <x:c r="Z424" s="2"/>
      <x:c r="AA424" s="2" t="s">
        <x:v>243</x:v>
      </x:c>
      <x:c r="AB424" s="2" t="s">
        <x:v>244</x:v>
      </x:c>
      <x:c r="AC424" s="2"/>
      <x:c r="AD424" s="2"/>
      <x:c r="AE424" s="2"/>
      <x:c r="AF424" s="2"/>
      <x:c r="AG424" s="2"/>
      <x:c r="AH424" s="2"/>
      <x:c r="AI424" s="4"/>
      <x:c r="AJ424" s="2"/>
      <x:c r="AK424" s="2" t="s">
        <x:v>234</x:v>
      </x:c>
      <x:c r="AL424" s="2" t="s">
        <x:v>2902</x:v>
      </x:c>
      <x:c r="AM424" s="2">
        <x:v>124</x:v>
      </x:c>
      <x:c r="AN424" s="2">
        <x:v>124</x:v>
      </x:c>
    </x:row>
    <x:row r="425" ht="52">
      <x:c r="A425" s="2" t="s">
        <x:v>91</x:v>
      </x:c>
      <x:c r="B425" s="2" t="s">
        <x:v>15</x:v>
      </x:c>
      <x:c r="C425" s="3">
        <x:v>123</x:v>
      </x:c>
      <x:c r="D425" s="2" t="s">
        <x:v>1335</x:v>
      </x:c>
      <x:c r="E425" s="2" t="s">
        <x:v>1509</x:v>
      </x:c>
      <x:c r="F425" s="2" t="s">
        <x:v>224</x:v>
      </x:c>
      <x:c r="G425" s="2" t="s">
        <x:v>1493</x:v>
      </x:c>
      <x:c r="H425" s="2" t="s">
        <x:v>1489</x:v>
      </x:c>
      <x:c r="I425" s="2" t="s">
        <x:v>1510</x:v>
      </x:c>
      <x:c r="J425" s="2" t="s">
        <x:v>1511</x:v>
      </x:c>
      <x:c r="K425" s="2" t="n">
        <x:v>122</x:v>
      </x:c>
      <x:c r="L425" s="2"/>
      <x:c r="M425" s="2"/>
      <x:c r="N425" s="2" t="s">
        <x:v>1487</x:v>
      </x:c>
      <x:c r="O425" s="2" t="s">
        <x:v>1355</x:v>
      </x:c>
      <x:c r="P425" s="2" t="s">
        <x:v>1491</x:v>
      </x:c>
      <x:c r="Q425" s="2"/>
      <x:c r="R425" s="3">
        <x:v>4</x:v>
      </x:c>
      <x:c r="S425" s="3"/>
      <x:c r="T425" s="2"/>
      <x:c r="U425" s="2"/>
      <x:c r="V425" s="2"/>
      <x:c r="W425" s="2" t="s">
        <x:v>1510</x:v>
      </x:c>
      <x:c r="X425" s="3"/>
      <x:c r="Y425" s="3"/>
      <x:c r="Z425" s="2"/>
      <x:c r="AA425" s="2" t="s">
        <x:v>1314</x:v>
      </x:c>
      <x:c r="AB425" s="2" t="s">
        <x:v>276</x:v>
      </x:c>
      <x:c r="AC425" s="2"/>
      <x:c r="AD425" s="2"/>
      <x:c r="AE425" s="2"/>
      <x:c r="AF425" s="2"/>
      <x:c r="AG425" s="2"/>
      <x:c r="AH425" s="2"/>
      <x:c r="AI425" s="4"/>
      <x:c r="AJ425" s="2"/>
      <x:c r="AK425" s="2" t="s">
        <x:v>234</x:v>
      </x:c>
      <x:c r="AL425" s="2" t="s">
        <x:v>2902</x:v>
      </x:c>
      <x:c r="AM425" s="2">
        <x:v>125</x:v>
      </x:c>
      <x:c r="AN425" s="2">
        <x:v>125</x:v>
      </x:c>
    </x:row>
    <x:row r="426" ht="52">
      <x:c r="A426" s="2" t="s">
        <x:v>91</x:v>
      </x:c>
      <x:c r="B426" s="2" t="s">
        <x:v>15</x:v>
      </x:c>
      <x:c r="C426" s="3">
        <x:v>124</x:v>
      </x:c>
      <x:c r="D426" s="2" t="s">
        <x:v>1281</x:v>
      </x:c>
      <x:c r="E426" s="2" t="s">
        <x:v>1512</x:v>
      </x:c>
      <x:c r="F426" s="2" t="s">
        <x:v>254</x:v>
      </x:c>
      <x:c r="G426" s="2" t="s">
        <x:v>1493</x:v>
      </x:c>
      <x:c r="H426" s="2" t="s">
        <x:v>1489</x:v>
      </x:c>
      <x:c r="I426" s="2" t="s">
        <x:v>1514</x:v>
      </x:c>
      <x:c r="J426" s="2" t="s">
        <x:v>1515</x:v>
      </x:c>
      <x:c r="K426" s="2"/>
      <x:c r="L426" s="2"/>
      <x:c r="M426" s="2"/>
      <x:c r="N426" s="2" t="s">
        <x:v>1487</x:v>
      </x:c>
      <x:c r="O426" s="2" t="s">
        <x:v>1351</x:v>
      </x:c>
      <x:c r="P426" s="2" t="s">
        <x:v>1491</x:v>
      </x:c>
      <x:c r="Q426" s="2"/>
      <x:c r="R426" s="3">
        <x:v>4</x:v>
      </x:c>
      <x:c r="S426" s="3"/>
      <x:c r="T426" s="2"/>
      <x:c r="U426" s="2"/>
      <x:c r="V426" s="2"/>
      <x:c r="W426" s="2" t="s">
        <x:v>1514</x:v>
      </x:c>
      <x:c r="X426" s="3"/>
      <x:c r="Y426" s="3"/>
      <x:c r="Z426" s="2"/>
      <x:c r="AA426" s="2" t="s">
        <x:v>243</x:v>
      </x:c>
      <x:c r="AB426" s="2" t="s">
        <x:v>244</x:v>
      </x:c>
      <x:c r="AC426" s="2"/>
      <x:c r="AD426" s="2"/>
      <x:c r="AE426" s="2"/>
      <x:c r="AF426" s="2"/>
      <x:c r="AG426" s="2"/>
      <x:c r="AH426" s="2"/>
      <x:c r="AI426" s="4"/>
      <x:c r="AJ426" s="2"/>
      <x:c r="AK426" s="2" t="s">
        <x:v>234</x:v>
      </x:c>
      <x:c r="AL426" s="2" t="s">
        <x:v>2902</x:v>
      </x:c>
      <x:c r="AM426" s="2">
        <x:v>126</x:v>
      </x:c>
      <x:c r="AN426" s="2">
        <x:v>126</x:v>
      </x:c>
    </x:row>
    <x:row r="427" ht="52">
      <x:c r="A427" s="2" t="s">
        <x:v>6</x:v>
      </x:c>
      <x:c r="B427" s="2" t="s">
        <x:v>15</x:v>
      </x:c>
      <x:c r="C427" s="3">
        <x:v>125</x:v>
      </x:c>
      <x:c r="D427" s="2" t="s">
        <x:v>1388</x:v>
      </x:c>
      <x:c r="E427" s="2" t="s">
        <x:v>1512</x:v>
      </x:c>
      <x:c r="F427" s="2" t="s">
        <x:v>368</x:v>
      </x:c>
      <x:c r="G427" s="2"/>
      <x:c r="H427" s="2" t="s">
        <x:v>1484</x:v>
      </x:c>
      <x:c r="I427" s="2" t="s">
        <x:v>1514</x:v>
      </x:c>
      <x:c r="J427" s="2" t="s">
        <x:v>1486</x:v>
      </x:c>
      <x:c r="K427" s="2" t="n">
        <x:v>124</x:v>
      </x:c>
      <x:c r="L427" s="2"/>
      <x:c r="M427" s="2"/>
      <x:c r="N427" s="2" t="s">
        <x:v>1487</x:v>
      </x:c>
      <x:c r="O427" s="2" t="s">
        <x:v>1355</x:v>
      </x:c>
      <x:c r="P427" s="2" t="s">
        <x:v>1488</x:v>
      </x:c>
      <x:c r="Q427" s="2"/>
      <x:c r="R427" s="3">
        <x:v>4</x:v>
      </x:c>
      <x:c r="S427" s="3"/>
      <x:c r="T427" s="2"/>
      <x:c r="U427" s="2"/>
      <x:c r="V427" s="2"/>
      <x:c r="W427" s="2" t="s">
        <x:v>1514</x:v>
      </x:c>
      <x:c r="X427" s="3"/>
      <x:c r="Y427" s="3"/>
      <x:c r="Z427" s="2"/>
      <x:c r="AA427" s="2" t="s">
        <x:v>275</x:v>
      </x:c>
      <x:c r="AB427" s="2" t="s">
        <x:v>233</x:v>
      </x:c>
      <x:c r="AC427" s="2"/>
      <x:c r="AD427" s="2"/>
      <x:c r="AE427" s="2"/>
      <x:c r="AF427" s="2"/>
      <x:c r="AG427" s="2"/>
      <x:c r="AH427" s="2"/>
      <x:c r="AI427" s="4"/>
      <x:c r="AJ427" s="2"/>
      <x:c r="AK427" s="2" t="s">
        <x:v>234</x:v>
      </x:c>
      <x:c r="AL427" s="2" t="s">
        <x:v>2902</x:v>
      </x:c>
      <x:c r="AM427" s="2">
        <x:v>127</x:v>
      </x:c>
      <x:c r="AN427" s="2">
        <x:v>127</x:v>
      </x:c>
    </x:row>
    <x:row r="428" ht="52">
      <x:c r="A428" s="2" t="s">
        <x:v>91</x:v>
      </x:c>
      <x:c r="B428" s="2" t="s">
        <x:v>15</x:v>
      </x:c>
      <x:c r="C428" s="3">
        <x:v>126</x:v>
      </x:c>
      <x:c r="D428" s="2" t="s">
        <x:v>1335</x:v>
      </x:c>
      <x:c r="E428" s="2" t="s">
        <x:v>1516</x:v>
      </x:c>
      <x:c r="F428" s="2" t="s">
        <x:v>368</x:v>
      </x:c>
      <x:c r="G428" s="2" t="s">
        <x:v>2909</x:v>
      </x:c>
      <x:c r="H428" s="2" t="s">
        <x:v>1484</x:v>
      </x:c>
      <x:c r="I428" s="2" t="s">
        <x:v>1517</x:v>
      </x:c>
      <x:c r="J428" s="2" t="s">
        <x:v>1486</x:v>
      </x:c>
      <x:c r="K428" s="2"/>
      <x:c r="L428" s="2"/>
      <x:c r="M428" s="2"/>
      <x:c r="N428" s="2" t="s">
        <x:v>1487</x:v>
      </x:c>
      <x:c r="O428" s="2" t="s">
        <x:v>1351</x:v>
      </x:c>
      <x:c r="P428" s="2" t="s">
        <x:v>1488</x:v>
      </x:c>
      <x:c r="Q428" s="2"/>
      <x:c r="R428" s="3">
        <x:v>4</x:v>
      </x:c>
      <x:c r="S428" s="3"/>
      <x:c r="T428" s="2"/>
      <x:c r="U428" s="2"/>
      <x:c r="V428" s="2"/>
      <x:c r="W428" s="2" t="s">
        <x:v>1517</x:v>
      </x:c>
      <x:c r="X428" s="3"/>
      <x:c r="Y428" s="3"/>
      <x:c r="Z428" s="2"/>
      <x:c r="AA428" s="2" t="s">
        <x:v>1314</x:v>
      </x:c>
      <x:c r="AB428" s="2" t="s">
        <x:v>276</x:v>
      </x:c>
      <x:c r="AC428" s="2"/>
      <x:c r="AD428" s="2"/>
      <x:c r="AE428" s="2"/>
      <x:c r="AF428" s="2"/>
      <x:c r="AG428" s="2"/>
      <x:c r="AH428" s="2"/>
      <x:c r="AI428" s="4"/>
      <x:c r="AJ428" s="2"/>
      <x:c r="AK428" s="2" t="s">
        <x:v>234</x:v>
      </x:c>
      <x:c r="AL428" s="2" t="s">
        <x:v>2902</x:v>
      </x:c>
      <x:c r="AM428" s="2">
        <x:v>128</x:v>
      </x:c>
      <x:c r="AN428" s="2">
        <x:v>128</x:v>
      </x:c>
    </x:row>
    <x:row r="429" ht="52">
      <x:c r="A429" s="2" t="s">
        <x:v>91</x:v>
      </x:c>
      <x:c r="B429" s="2" t="s">
        <x:v>15</x:v>
      </x:c>
      <x:c r="C429" s="3">
        <x:v>127</x:v>
      </x:c>
      <x:c r="D429" s="2" t="s">
        <x:v>1281</x:v>
      </x:c>
      <x:c r="E429" s="2" t="s">
        <x:v>1516</x:v>
      </x:c>
      <x:c r="F429" s="2" t="s">
        <x:v>247</x:v>
      </x:c>
      <x:c r="G429" s="2" t="s">
        <x:v>2909</x:v>
      </x:c>
      <x:c r="H429" s="2" t="s">
        <x:v>1489</x:v>
      </x:c>
      <x:c r="I429" s="2" t="s">
        <x:v>1517</x:v>
      </x:c>
      <x:c r="J429" s="2" t="s">
        <x:v>1519</x:v>
      </x:c>
      <x:c r="K429" s="2" t="n">
        <x:v>126</x:v>
      </x:c>
      <x:c r="L429" s="2"/>
      <x:c r="M429" s="2"/>
      <x:c r="N429" s="2" t="s">
        <x:v>1487</x:v>
      </x:c>
      <x:c r="O429" s="2" t="s">
        <x:v>1355</x:v>
      </x:c>
      <x:c r="P429" s="2" t="s">
        <x:v>1491</x:v>
      </x:c>
      <x:c r="Q429" s="2"/>
      <x:c r="R429" s="3">
        <x:v>4</x:v>
      </x:c>
      <x:c r="S429" s="3"/>
      <x:c r="T429" s="2"/>
      <x:c r="U429" s="2"/>
      <x:c r="V429" s="2"/>
      <x:c r="W429" s="2" t="s">
        <x:v>1517</x:v>
      </x:c>
      <x:c r="X429" s="3"/>
      <x:c r="Y429" s="3"/>
      <x:c r="Z429" s="2"/>
      <x:c r="AA429" s="2" t="s">
        <x:v>243</x:v>
      </x:c>
      <x:c r="AB429" s="2" t="s">
        <x:v>244</x:v>
      </x:c>
      <x:c r="AC429" s="2"/>
      <x:c r="AD429" s="2"/>
      <x:c r="AE429" s="2"/>
      <x:c r="AF429" s="2"/>
      <x:c r="AG429" s="2"/>
      <x:c r="AH429" s="2"/>
      <x:c r="AI429" s="4"/>
      <x:c r="AJ429" s="2"/>
      <x:c r="AK429" s="2" t="s">
        <x:v>234</x:v>
      </x:c>
      <x:c r="AL429" s="2" t="s">
        <x:v>2902</x:v>
      </x:c>
      <x:c r="AM429" s="2">
        <x:v>129</x:v>
      </x:c>
      <x:c r="AN429" s="2">
        <x:v>129</x:v>
      </x:c>
    </x:row>
    <x:row r="430" ht="52">
      <x:c r="A430" s="2" t="s">
        <x:v>91</x:v>
      </x:c>
      <x:c r="B430" s="2" t="s">
        <x:v>15</x:v>
      </x:c>
      <x:c r="C430" s="3">
        <x:v>128</x:v>
      </x:c>
      <x:c r="D430" s="2" t="s">
        <x:v>1340</x:v>
      </x:c>
      <x:c r="E430" s="2" t="s">
        <x:v>1520</x:v>
      </x:c>
      <x:c r="F430" s="2" t="s">
        <x:v>254</x:v>
      </x:c>
      <x:c r="G430" s="2" t="s">
        <x:v>1493</x:v>
      </x:c>
      <x:c r="H430" s="2" t="s">
        <x:v>1489</x:v>
      </x:c>
      <x:c r="I430" s="2" t="s">
        <x:v>1521</x:v>
      </x:c>
      <x:c r="J430" s="2" t="s">
        <x:v>1522</x:v>
      </x:c>
      <x:c r="K430" s="2"/>
      <x:c r="L430" s="2"/>
      <x:c r="M430" s="2"/>
      <x:c r="N430" s="2" t="s">
        <x:v>1487</x:v>
      </x:c>
      <x:c r="O430" s="2" t="s">
        <x:v>1351</x:v>
      </x:c>
      <x:c r="P430" s="2" t="s">
        <x:v>1491</x:v>
      </x:c>
      <x:c r="Q430" s="2"/>
      <x:c r="R430" s="3">
        <x:v>4</x:v>
      </x:c>
      <x:c r="S430" s="3"/>
      <x:c r="T430" s="2"/>
      <x:c r="U430" s="2"/>
      <x:c r="V430" s="2"/>
      <x:c r="W430" s="2" t="s">
        <x:v>1521</x:v>
      </x:c>
      <x:c r="X430" s="3"/>
      <x:c r="Y430" s="3"/>
      <x:c r="Z430" s="2"/>
      <x:c r="AA430" s="2" t="s">
        <x:v>275</x:v>
      </x:c>
      <x:c r="AB430" s="2" t="s">
        <x:v>284</x:v>
      </x:c>
      <x:c r="AC430" s="2"/>
      <x:c r="AD430" s="2"/>
      <x:c r="AE430" s="2"/>
      <x:c r="AF430" s="2"/>
      <x:c r="AG430" s="2"/>
      <x:c r="AH430" s="2"/>
      <x:c r="AI430" s="4"/>
      <x:c r="AJ430" s="2"/>
      <x:c r="AK430" s="2" t="s">
        <x:v>234</x:v>
      </x:c>
      <x:c r="AL430" s="2" t="s">
        <x:v>2902</x:v>
      </x:c>
      <x:c r="AM430" s="2">
        <x:v>130</x:v>
      </x:c>
      <x:c r="AN430" s="2">
        <x:v>130</x:v>
      </x:c>
    </x:row>
    <x:row r="431" ht="52">
      <x:c r="A431" s="2" t="s">
        <x:v>91</x:v>
      </x:c>
      <x:c r="B431" s="2" t="s">
        <x:v>15</x:v>
      </x:c>
      <x:c r="C431" s="3">
        <x:v>129</x:v>
      </x:c>
      <x:c r="D431" s="2" t="s">
        <x:v>1439</x:v>
      </x:c>
      <x:c r="E431" s="2" t="s">
        <x:v>1520</x:v>
      </x:c>
      <x:c r="F431" s="2" t="s">
        <x:v>368</x:v>
      </x:c>
      <x:c r="G431" s="2" t="s">
        <x:v>1290</x:v>
      </x:c>
      <x:c r="H431" s="2" t="s">
        <x:v>1484</x:v>
      </x:c>
      <x:c r="I431" s="2" t="s">
        <x:v>1521</x:v>
      </x:c>
      <x:c r="J431" s="2" t="s">
        <x:v>1486</x:v>
      </x:c>
      <x:c r="K431" s="2" t="n">
        <x:v>128</x:v>
      </x:c>
      <x:c r="L431" s="2"/>
      <x:c r="M431" s="2"/>
      <x:c r="N431" s="2" t="s">
        <x:v>1487</x:v>
      </x:c>
      <x:c r="O431" s="2" t="s">
        <x:v>1355</x:v>
      </x:c>
      <x:c r="P431" s="2" t="s">
        <x:v>1488</x:v>
      </x:c>
      <x:c r="Q431" s="2"/>
      <x:c r="R431" s="3">
        <x:v>4</x:v>
      </x:c>
      <x:c r="S431" s="3"/>
      <x:c r="T431" s="2"/>
      <x:c r="U431" s="2"/>
      <x:c r="V431" s="2"/>
      <x:c r="W431" s="2" t="s">
        <x:v>1521</x:v>
      </x:c>
      <x:c r="X431" s="3"/>
      <x:c r="Y431" s="3"/>
      <x:c r="Z431" s="2"/>
      <x:c r="AA431" s="2" t="s">
        <x:v>1314</x:v>
      </x:c>
      <x:c r="AB431" s="2" t="s">
        <x:v>1315</x:v>
      </x:c>
      <x:c r="AC431" s="2"/>
      <x:c r="AD431" s="2"/>
      <x:c r="AE431" s="2"/>
      <x:c r="AF431" s="2"/>
      <x:c r="AG431" s="2"/>
      <x:c r="AH431" s="2"/>
      <x:c r="AI431" s="4"/>
      <x:c r="AJ431" s="2"/>
      <x:c r="AK431" s="2" t="s">
        <x:v>234</x:v>
      </x:c>
      <x:c r="AL431" s="2" t="s">
        <x:v>2902</x:v>
      </x:c>
      <x:c r="AM431" s="2">
        <x:v>131</x:v>
      </x:c>
      <x:c r="AN431" s="2">
        <x:v>131</x:v>
      </x:c>
    </x:row>
    <x:row r="432" ht="39">
      <x:c r="A432" s="2" t="s">
        <x:v>91</x:v>
      </x:c>
      <x:c r="B432" s="2" t="s">
        <x:v>15</x:v>
      </x:c>
      <x:c r="C432" s="3">
        <x:v>130</x:v>
      </x:c>
      <x:c r="D432" s="2" t="s">
        <x:v>1439</x:v>
      </x:c>
      <x:c r="E432" s="2" t="s">
        <x:v>1523</x:v>
      </x:c>
      <x:c r="F432" s="2" t="s">
        <x:v>1524</x:v>
      </x:c>
      <x:c r="G432" s="2" t="s">
        <x:v>2909</x:v>
      </x:c>
      <x:c r="H432" s="2" t="s">
        <x:v>1525</x:v>
      </x:c>
      <x:c r="I432" s="2" t="s">
        <x:v>1526</x:v>
      </x:c>
      <x:c r="J432" s="2" t="s">
        <x:v>1527</x:v>
      </x:c>
      <x:c r="K432" s="2"/>
      <x:c r="L432" s="2"/>
      <x:c r="M432" s="2"/>
      <x:c r="N432" s="2" t="s">
        <x:v>1528</x:v>
      </x:c>
      <x:c r="O432" s="2" t="s">
        <x:v>1351</x:v>
      </x:c>
      <x:c r="P432" s="2" t="s">
        <x:v>1529</x:v>
      </x:c>
      <x:c r="Q432" s="2"/>
      <x:c r="R432" s="3">
        <x:v>3</x:v>
      </x:c>
      <x:c r="S432" s="3"/>
      <x:c r="T432" s="2"/>
      <x:c r="U432" s="2"/>
      <x:c r="V432" s="2"/>
      <x:c r="W432" s="2" t="s">
        <x:v>1526</x:v>
      </x:c>
      <x:c r="X432" s="3"/>
      <x:c r="Y432" s="3"/>
      <x:c r="Z432" s="2"/>
      <x:c r="AA432" s="2" t="s">
        <x:v>632</x:v>
      </x:c>
      <x:c r="AB432" s="2" t="s">
        <x:v>1315</x:v>
      </x:c>
      <x:c r="AC432" s="2"/>
      <x:c r="AD432" s="2"/>
      <x:c r="AE432" s="2"/>
      <x:c r="AF432" s="2"/>
      <x:c r="AG432" s="2"/>
      <x:c r="AH432" s="2"/>
      <x:c r="AI432" s="4"/>
      <x:c r="AJ432" s="2"/>
      <x:c r="AK432" s="2" t="s">
        <x:v>234</x:v>
      </x:c>
      <x:c r="AL432" s="2" t="s">
        <x:v>2902</x:v>
      </x:c>
      <x:c r="AM432" s="2">
        <x:v>132</x:v>
      </x:c>
      <x:c r="AN432" s="2">
        <x:v>132</x:v>
      </x:c>
    </x:row>
    <x:row r="433" ht="39">
      <x:c r="A433" s="2" t="s">
        <x:v>91</x:v>
      </x:c>
      <x:c r="B433" s="2" t="s">
        <x:v>15</x:v>
      </x:c>
      <x:c r="C433" s="3">
        <x:v>131</x:v>
      </x:c>
      <x:c r="D433" s="2" t="s">
        <x:v>1288</x:v>
      </x:c>
      <x:c r="E433" s="2" t="s">
        <x:v>1523</x:v>
      </x:c>
      <x:c r="F433" s="2" t="s">
        <x:v>1524</x:v>
      </x:c>
      <x:c r="G433" s="2" t="s">
        <x:v>2909</x:v>
      </x:c>
      <x:c r="H433" s="2" t="s">
        <x:v>1525</x:v>
      </x:c>
      <x:c r="I433" s="2" t="s">
        <x:v>1526</x:v>
      </x:c>
      <x:c r="J433" s="2" t="s">
        <x:v>1527</x:v>
      </x:c>
      <x:c r="K433" s="2" t="n">
        <x:v>130</x:v>
      </x:c>
      <x:c r="L433" s="2"/>
      <x:c r="M433" s="2"/>
      <x:c r="N433" s="2" t="s">
        <x:v>1528</x:v>
      </x:c>
      <x:c r="O433" s="2" t="s">
        <x:v>1530</x:v>
      </x:c>
      <x:c r="P433" s="2" t="s">
        <x:v>1529</x:v>
      </x:c>
      <x:c r="Q433" s="2"/>
      <x:c r="R433" s="3">
        <x:v>3</x:v>
      </x:c>
      <x:c r="S433" s="3"/>
      <x:c r="T433" s="2"/>
      <x:c r="U433" s="2"/>
      <x:c r="V433" s="2"/>
      <x:c r="W433" s="2" t="s">
        <x:v>1526</x:v>
      </x:c>
      <x:c r="X433" s="3"/>
      <x:c r="Y433" s="3"/>
      <x:c r="Z433" s="2"/>
      <x:c r="AA433" s="2" t="s">
        <x:v>632</x:v>
      </x:c>
      <x:c r="AB433" s="2" t="s">
        <x:v>300</x:v>
      </x:c>
      <x:c r="AC433" s="2"/>
      <x:c r="AD433" s="2"/>
      <x:c r="AE433" s="2"/>
      <x:c r="AF433" s="2"/>
      <x:c r="AG433" s="2"/>
      <x:c r="AH433" s="2"/>
      <x:c r="AI433" s="4"/>
      <x:c r="AJ433" s="2"/>
      <x:c r="AK433" s="2" t="s">
        <x:v>234</x:v>
      </x:c>
      <x:c r="AL433" s="2" t="s">
        <x:v>2902</x:v>
      </x:c>
      <x:c r="AM433" s="2">
        <x:v>133</x:v>
      </x:c>
      <x:c r="AN433" s="2">
        <x:v>133</x:v>
      </x:c>
    </x:row>
    <x:row r="434" ht="39">
      <x:c r="A434" s="2" t="s">
        <x:v>91</x:v>
      </x:c>
      <x:c r="B434" s="2" t="s">
        <x:v>15</x:v>
      </x:c>
      <x:c r="C434" s="3">
        <x:v>132</x:v>
      </x:c>
      <x:c r="D434" s="2" t="s">
        <x:v>1288</x:v>
      </x:c>
      <x:c r="E434" s="2" t="s">
        <x:v>1531</x:v>
      </x:c>
      <x:c r="F434" s="2" t="s">
        <x:v>1524</x:v>
      </x:c>
      <x:c r="G434" s="2" t="s">
        <x:v>2909</x:v>
      </x:c>
      <x:c r="H434" s="2" t="s">
        <x:v>1525</x:v>
      </x:c>
      <x:c r="I434" s="2" t="s">
        <x:v>1532</x:v>
      </x:c>
      <x:c r="J434" s="2" t="s">
        <x:v>1527</x:v>
      </x:c>
      <x:c r="K434" s="2"/>
      <x:c r="L434" s="2"/>
      <x:c r="M434" s="2"/>
      <x:c r="N434" s="2" t="s">
        <x:v>1528</x:v>
      </x:c>
      <x:c r="O434" s="2" t="s">
        <x:v>1351</x:v>
      </x:c>
      <x:c r="P434" s="2" t="s">
        <x:v>1529</x:v>
      </x:c>
      <x:c r="Q434" s="2"/>
      <x:c r="R434" s="3">
        <x:v>3</x:v>
      </x:c>
      <x:c r="S434" s="3"/>
      <x:c r="T434" s="2"/>
      <x:c r="U434" s="2"/>
      <x:c r="V434" s="2"/>
      <x:c r="W434" s="2" t="s">
        <x:v>1532</x:v>
      </x:c>
      <x:c r="X434" s="3"/>
      <x:c r="Y434" s="3"/>
      <x:c r="Z434" s="2"/>
      <x:c r="AA434" s="2" t="s">
        <x:v>632</x:v>
      </x:c>
      <x:c r="AB434" s="2" t="s">
        <x:v>300</x:v>
      </x:c>
      <x:c r="AC434" s="2"/>
      <x:c r="AD434" s="2"/>
      <x:c r="AE434" s="2"/>
      <x:c r="AF434" s="2"/>
      <x:c r="AG434" s="2"/>
      <x:c r="AH434" s="2"/>
      <x:c r="AI434" s="4"/>
      <x:c r="AJ434" s="2"/>
      <x:c r="AK434" s="2" t="s">
        <x:v>234</x:v>
      </x:c>
      <x:c r="AL434" s="2" t="s">
        <x:v>2902</x:v>
      </x:c>
      <x:c r="AM434" s="2">
        <x:v>134</x:v>
      </x:c>
      <x:c r="AN434" s="2">
        <x:v>134</x:v>
      </x:c>
    </x:row>
    <x:row r="435" ht="39">
      <x:c r="A435" s="2" t="s">
        <x:v>91</x:v>
      </x:c>
      <x:c r="B435" s="2" t="s">
        <x:v>15</x:v>
      </x:c>
      <x:c r="C435" s="3">
        <x:v>133</x:v>
      </x:c>
      <x:c r="D435" s="2" t="s">
        <x:v>1439</x:v>
      </x:c>
      <x:c r="E435" s="2" t="s">
        <x:v>1531</x:v>
      </x:c>
      <x:c r="F435" s="2" t="s">
        <x:v>1524</x:v>
      </x:c>
      <x:c r="G435" s="2" t="s">
        <x:v>2909</x:v>
      </x:c>
      <x:c r="H435" s="2" t="s">
        <x:v>1525</x:v>
      </x:c>
      <x:c r="I435" s="2" t="s">
        <x:v>1532</x:v>
      </x:c>
      <x:c r="J435" s="2" t="s">
        <x:v>1527</x:v>
      </x:c>
      <x:c r="K435" s="2" t="n">
        <x:v>132</x:v>
      </x:c>
      <x:c r="L435" s="2"/>
      <x:c r="M435" s="2"/>
      <x:c r="N435" s="2" t="s">
        <x:v>1528</x:v>
      </x:c>
      <x:c r="O435" s="2" t="s">
        <x:v>1530</x:v>
      </x:c>
      <x:c r="P435" s="2" t="s">
        <x:v>1529</x:v>
      </x:c>
      <x:c r="Q435" s="2"/>
      <x:c r="R435" s="3">
        <x:v>3</x:v>
      </x:c>
      <x:c r="S435" s="3"/>
      <x:c r="T435" s="2"/>
      <x:c r="U435" s="2"/>
      <x:c r="V435" s="2"/>
      <x:c r="W435" s="2" t="s">
        <x:v>1532</x:v>
      </x:c>
      <x:c r="X435" s="3"/>
      <x:c r="Y435" s="3"/>
      <x:c r="Z435" s="2"/>
      <x:c r="AA435" s="2" t="s">
        <x:v>632</x:v>
      </x:c>
      <x:c r="AB435" s="2" t="s">
        <x:v>1315</x:v>
      </x:c>
      <x:c r="AC435" s="2"/>
      <x:c r="AD435" s="2"/>
      <x:c r="AE435" s="2"/>
      <x:c r="AF435" s="2"/>
      <x:c r="AG435" s="2"/>
      <x:c r="AH435" s="2"/>
      <x:c r="AI435" s="4"/>
      <x:c r="AJ435" s="2"/>
      <x:c r="AK435" s="2" t="s">
        <x:v>234</x:v>
      </x:c>
      <x:c r="AL435" s="2" t="s">
        <x:v>2902</x:v>
      </x:c>
      <x:c r="AM435" s="2">
        <x:v>135</x:v>
      </x:c>
      <x:c r="AN435" s="2">
        <x:v>135</x:v>
      </x:c>
    </x:row>
    <x:row r="436" ht="39">
      <x:c r="A436" s="2" t="s">
        <x:v>91</x:v>
      </x:c>
      <x:c r="B436" s="2" t="s">
        <x:v>15</x:v>
      </x:c>
      <x:c r="C436" s="3">
        <x:v>134</x:v>
      </x:c>
      <x:c r="D436" s="2" t="s">
        <x:v>1439</x:v>
      </x:c>
      <x:c r="E436" s="2" t="s">
        <x:v>1533</x:v>
      </x:c>
      <x:c r="F436" s="2" t="s">
        <x:v>1524</x:v>
      </x:c>
      <x:c r="G436" s="2" t="s">
        <x:v>2927</x:v>
      </x:c>
      <x:c r="H436" s="2" t="s">
        <x:v>1525</x:v>
      </x:c>
      <x:c r="I436" s="2" t="s">
        <x:v>1534</x:v>
      </x:c>
      <x:c r="J436" s="2" t="s">
        <x:v>1527</x:v>
      </x:c>
      <x:c r="K436" s="2"/>
      <x:c r="L436" s="2"/>
      <x:c r="M436" s="2"/>
      <x:c r="N436" s="2" t="s">
        <x:v>1528</x:v>
      </x:c>
      <x:c r="O436" s="2" t="s">
        <x:v>1351</x:v>
      </x:c>
      <x:c r="P436" s="2" t="s">
        <x:v>1529</x:v>
      </x:c>
      <x:c r="Q436" s="2"/>
      <x:c r="R436" s="3">
        <x:v>3</x:v>
      </x:c>
      <x:c r="S436" s="3"/>
      <x:c r="T436" s="2"/>
      <x:c r="U436" s="2"/>
      <x:c r="V436" s="2"/>
      <x:c r="W436" s="2" t="s">
        <x:v>1534</x:v>
      </x:c>
      <x:c r="X436" s="3"/>
      <x:c r="Y436" s="3"/>
      <x:c r="Z436" s="2"/>
      <x:c r="AA436" s="2" t="s">
        <x:v>632</x:v>
      </x:c>
      <x:c r="AB436" s="2" t="s">
        <x:v>1315</x:v>
      </x:c>
      <x:c r="AC436" s="2"/>
      <x:c r="AD436" s="2"/>
      <x:c r="AE436" s="2"/>
      <x:c r="AF436" s="2"/>
      <x:c r="AG436" s="2"/>
      <x:c r="AH436" s="2"/>
      <x:c r="AI436" s="4"/>
      <x:c r="AJ436" s="2"/>
      <x:c r="AK436" s="2" t="s">
        <x:v>234</x:v>
      </x:c>
      <x:c r="AL436" s="2" t="s">
        <x:v>2902</x:v>
      </x:c>
      <x:c r="AM436" s="2">
        <x:v>136</x:v>
      </x:c>
      <x:c r="AN436" s="2">
        <x:v>136</x:v>
      </x:c>
    </x:row>
    <x:row r="437" ht="39">
      <x:c r="A437" s="2" t="s">
        <x:v>91</x:v>
      </x:c>
      <x:c r="B437" s="2" t="s">
        <x:v>15</x:v>
      </x:c>
      <x:c r="C437" s="3">
        <x:v>135</x:v>
      </x:c>
      <x:c r="D437" s="2" t="s">
        <x:v>1288</x:v>
      </x:c>
      <x:c r="E437" s="2" t="s">
        <x:v>1533</x:v>
      </x:c>
      <x:c r="F437" s="2" t="s">
        <x:v>1524</x:v>
      </x:c>
      <x:c r="G437" s="2" t="s">
        <x:v>2928</x:v>
      </x:c>
      <x:c r="H437" s="2" t="s">
        <x:v>1525</x:v>
      </x:c>
      <x:c r="I437" s="2" t="s">
        <x:v>1534</x:v>
      </x:c>
      <x:c r="J437" s="2" t="s">
        <x:v>1527</x:v>
      </x:c>
      <x:c r="K437" s="2" t="n">
        <x:v>134</x:v>
      </x:c>
      <x:c r="L437" s="2"/>
      <x:c r="M437" s="2"/>
      <x:c r="N437" s="2" t="s">
        <x:v>1528</x:v>
      </x:c>
      <x:c r="O437" s="2" t="s">
        <x:v>1530</x:v>
      </x:c>
      <x:c r="P437" s="2" t="s">
        <x:v>1529</x:v>
      </x:c>
      <x:c r="Q437" s="2"/>
      <x:c r="R437" s="3">
        <x:v>3</x:v>
      </x:c>
      <x:c r="S437" s="3"/>
      <x:c r="T437" s="2"/>
      <x:c r="U437" s="2"/>
      <x:c r="V437" s="2"/>
      <x:c r="W437" s="2" t="s">
        <x:v>1534</x:v>
      </x:c>
      <x:c r="X437" s="3"/>
      <x:c r="Y437" s="3"/>
      <x:c r="Z437" s="2"/>
      <x:c r="AA437" s="2" t="s">
        <x:v>632</x:v>
      </x:c>
      <x:c r="AB437" s="2" t="s">
        <x:v>300</x:v>
      </x:c>
      <x:c r="AC437" s="2"/>
      <x:c r="AD437" s="2"/>
      <x:c r="AE437" s="2"/>
      <x:c r="AF437" s="2"/>
      <x:c r="AG437" s="2"/>
      <x:c r="AH437" s="2"/>
      <x:c r="AI437" s="4"/>
      <x:c r="AJ437" s="2"/>
      <x:c r="AK437" s="2" t="s">
        <x:v>234</x:v>
      </x:c>
      <x:c r="AL437" s="2" t="s">
        <x:v>2902</x:v>
      </x:c>
      <x:c r="AM437" s="2">
        <x:v>137</x:v>
      </x:c>
      <x:c r="AN437" s="2">
        <x:v>137</x:v>
      </x:c>
    </x:row>
    <x:row r="438" ht="39">
      <x:c r="A438" s="2" t="s">
        <x:v>91</x:v>
      </x:c>
      <x:c r="B438" s="2" t="s">
        <x:v>15</x:v>
      </x:c>
      <x:c r="C438" s="3">
        <x:v>136</x:v>
      </x:c>
      <x:c r="D438" s="2" t="s">
        <x:v>1288</x:v>
      </x:c>
      <x:c r="E438" s="2" t="s">
        <x:v>1535</x:v>
      </x:c>
      <x:c r="F438" s="2" t="s">
        <x:v>1524</x:v>
      </x:c>
      <x:c r="G438" s="2" t="s">
        <x:v>1373</x:v>
      </x:c>
      <x:c r="H438" s="2" t="s">
        <x:v>1525</x:v>
      </x:c>
      <x:c r="I438" s="2" t="s">
        <x:v>1536</x:v>
      </x:c>
      <x:c r="J438" s="2" t="s">
        <x:v>1527</x:v>
      </x:c>
      <x:c r="K438" s="2"/>
      <x:c r="L438" s="2"/>
      <x:c r="M438" s="2"/>
      <x:c r="N438" s="2" t="s">
        <x:v>1528</x:v>
      </x:c>
      <x:c r="O438" s="2" t="s">
        <x:v>1351</x:v>
      </x:c>
      <x:c r="P438" s="2" t="s">
        <x:v>1529</x:v>
      </x:c>
      <x:c r="Q438" s="2"/>
      <x:c r="R438" s="3">
        <x:v>3</x:v>
      </x:c>
      <x:c r="S438" s="3"/>
      <x:c r="T438" s="2"/>
      <x:c r="U438" s="2"/>
      <x:c r="V438" s="2"/>
      <x:c r="W438" s="2" t="s">
        <x:v>1536</x:v>
      </x:c>
      <x:c r="X438" s="3"/>
      <x:c r="Y438" s="3"/>
      <x:c r="Z438" s="2"/>
      <x:c r="AA438" s="2" t="s">
        <x:v>632</x:v>
      </x:c>
      <x:c r="AB438" s="2" t="s">
        <x:v>300</x:v>
      </x:c>
      <x:c r="AC438" s="2"/>
      <x:c r="AD438" s="2"/>
      <x:c r="AE438" s="2"/>
      <x:c r="AF438" s="2"/>
      <x:c r="AG438" s="2"/>
      <x:c r="AH438" s="2"/>
      <x:c r="AI438" s="4"/>
      <x:c r="AJ438" s="2"/>
      <x:c r="AK438" s="2" t="s">
        <x:v>234</x:v>
      </x:c>
      <x:c r="AL438" s="2" t="s">
        <x:v>2902</x:v>
      </x:c>
      <x:c r="AM438" s="2">
        <x:v>138</x:v>
      </x:c>
      <x:c r="AN438" s="2">
        <x:v>138</x:v>
      </x:c>
    </x:row>
    <x:row r="439" ht="39">
      <x:c r="A439" s="2" t="s">
        <x:v>91</x:v>
      </x:c>
      <x:c r="B439" s="2" t="s">
        <x:v>15</x:v>
      </x:c>
      <x:c r="C439" s="3">
        <x:v>137</x:v>
      </x:c>
      <x:c r="D439" s="2" t="s">
        <x:v>1439</x:v>
      </x:c>
      <x:c r="E439" s="2" t="s">
        <x:v>1535</x:v>
      </x:c>
      <x:c r="F439" s="2" t="s">
        <x:v>1524</x:v>
      </x:c>
      <x:c r="G439" s="2" t="s">
        <x:v>1373</x:v>
      </x:c>
      <x:c r="H439" s="2" t="s">
        <x:v>1525</x:v>
      </x:c>
      <x:c r="I439" s="2" t="s">
        <x:v>1536</x:v>
      </x:c>
      <x:c r="J439" s="2" t="s">
        <x:v>1527</x:v>
      </x:c>
      <x:c r="K439" s="2" t="n">
        <x:v>136</x:v>
      </x:c>
      <x:c r="L439" s="2"/>
      <x:c r="M439" s="2"/>
      <x:c r="N439" s="2" t="s">
        <x:v>1528</x:v>
      </x:c>
      <x:c r="O439" s="2" t="s">
        <x:v>1530</x:v>
      </x:c>
      <x:c r="P439" s="2" t="s">
        <x:v>1529</x:v>
      </x:c>
      <x:c r="Q439" s="2"/>
      <x:c r="R439" s="3">
        <x:v>3</x:v>
      </x:c>
      <x:c r="S439" s="3"/>
      <x:c r="T439" s="2"/>
      <x:c r="U439" s="2"/>
      <x:c r="V439" s="2"/>
      <x:c r="W439" s="2" t="s">
        <x:v>1536</x:v>
      </x:c>
      <x:c r="X439" s="3"/>
      <x:c r="Y439" s="3"/>
      <x:c r="Z439" s="2"/>
      <x:c r="AA439" s="2" t="s">
        <x:v>632</x:v>
      </x:c>
      <x:c r="AB439" s="2" t="s">
        <x:v>1315</x:v>
      </x:c>
      <x:c r="AC439" s="2"/>
      <x:c r="AD439" s="2"/>
      <x:c r="AE439" s="2"/>
      <x:c r="AF439" s="2"/>
      <x:c r="AG439" s="2"/>
      <x:c r="AH439" s="2"/>
      <x:c r="AI439" s="4"/>
      <x:c r="AJ439" s="2"/>
      <x:c r="AK439" s="2" t="s">
        <x:v>234</x:v>
      </x:c>
      <x:c r="AL439" s="2" t="s">
        <x:v>2902</x:v>
      </x:c>
      <x:c r="AM439" s="2">
        <x:v>139</x:v>
      </x:c>
      <x:c r="AN439" s="2">
        <x:v>139</x:v>
      </x:c>
    </x:row>
    <x:row r="440" ht="39">
      <x:c r="A440" s="2" t="s">
        <x:v>91</x:v>
      </x:c>
      <x:c r="B440" s="2" t="s">
        <x:v>15</x:v>
      </x:c>
      <x:c r="C440" s="3">
        <x:v>138</x:v>
      </x:c>
      <x:c r="D440" s="2" t="s">
        <x:v>1439</x:v>
      </x:c>
      <x:c r="E440" s="2" t="s">
        <x:v>261</x:v>
      </x:c>
      <x:c r="F440" s="2" t="s">
        <x:v>1524</x:v>
      </x:c>
      <x:c r="G440" s="2" t="s">
        <x:v>1415</x:v>
      </x:c>
      <x:c r="H440" s="2" t="s">
        <x:v>1525</x:v>
      </x:c>
      <x:c r="I440" s="2" t="s">
        <x:v>1538</x:v>
      </x:c>
      <x:c r="J440" s="2" t="s">
        <x:v>1527</x:v>
      </x:c>
      <x:c r="K440" s="2"/>
      <x:c r="L440" s="2"/>
      <x:c r="M440" s="2"/>
      <x:c r="N440" s="2" t="s">
        <x:v>1528</x:v>
      </x:c>
      <x:c r="O440" s="2" t="s">
        <x:v>1351</x:v>
      </x:c>
      <x:c r="P440" s="2" t="s">
        <x:v>1529</x:v>
      </x:c>
      <x:c r="Q440" s="2"/>
      <x:c r="R440" s="3">
        <x:v>3</x:v>
      </x:c>
      <x:c r="S440" s="3"/>
      <x:c r="T440" s="2"/>
      <x:c r="U440" s="2"/>
      <x:c r="V440" s="2"/>
      <x:c r="W440" s="2" t="s">
        <x:v>1538</x:v>
      </x:c>
      <x:c r="X440" s="3"/>
      <x:c r="Y440" s="3"/>
      <x:c r="Z440" s="2"/>
      <x:c r="AA440" s="2" t="s">
        <x:v>632</x:v>
      </x:c>
      <x:c r="AB440" s="2" t="s">
        <x:v>1315</x:v>
      </x:c>
      <x:c r="AC440" s="2"/>
      <x:c r="AD440" s="2"/>
      <x:c r="AE440" s="2"/>
      <x:c r="AF440" s="2"/>
      <x:c r="AG440" s="2"/>
      <x:c r="AH440" s="2"/>
      <x:c r="AI440" s="4"/>
      <x:c r="AJ440" s="2"/>
      <x:c r="AK440" s="2" t="s">
        <x:v>234</x:v>
      </x:c>
      <x:c r="AL440" s="2" t="s">
        <x:v>2902</x:v>
      </x:c>
      <x:c r="AM440" s="2">
        <x:v>140</x:v>
      </x:c>
      <x:c r="AN440" s="2">
        <x:v>140</x:v>
      </x:c>
    </x:row>
    <x:row r="441" ht="39">
      <x:c r="A441" s="2" t="s">
        <x:v>91</x:v>
      </x:c>
      <x:c r="B441" s="2" t="s">
        <x:v>15</x:v>
      </x:c>
      <x:c r="C441" s="3">
        <x:v>139</x:v>
      </x:c>
      <x:c r="D441" s="2" t="s">
        <x:v>1288</x:v>
      </x:c>
      <x:c r="E441" s="2" t="s">
        <x:v>261</x:v>
      </x:c>
      <x:c r="F441" s="2" t="s">
        <x:v>1524</x:v>
      </x:c>
      <x:c r="G441" s="2" t="s">
        <x:v>1415</x:v>
      </x:c>
      <x:c r="H441" s="2" t="s">
        <x:v>1525</x:v>
      </x:c>
      <x:c r="I441" s="2" t="s">
        <x:v>1538</x:v>
      </x:c>
      <x:c r="J441" s="2" t="s">
        <x:v>1527</x:v>
      </x:c>
      <x:c r="K441" s="2" t="n">
        <x:v>138</x:v>
      </x:c>
      <x:c r="L441" s="2"/>
      <x:c r="M441" s="2"/>
      <x:c r="N441" s="2" t="s">
        <x:v>1528</x:v>
      </x:c>
      <x:c r="O441" s="2" t="s">
        <x:v>1530</x:v>
      </x:c>
      <x:c r="P441" s="2" t="s">
        <x:v>1529</x:v>
      </x:c>
      <x:c r="Q441" s="2"/>
      <x:c r="R441" s="3">
        <x:v>3</x:v>
      </x:c>
      <x:c r="S441" s="3"/>
      <x:c r="T441" s="2"/>
      <x:c r="U441" s="2"/>
      <x:c r="V441" s="2"/>
      <x:c r="W441" s="2" t="s">
        <x:v>1538</x:v>
      </x:c>
      <x:c r="X441" s="3"/>
      <x:c r="Y441" s="3"/>
      <x:c r="Z441" s="2"/>
      <x:c r="AA441" s="2" t="s">
        <x:v>632</x:v>
      </x:c>
      <x:c r="AB441" s="2" t="s">
        <x:v>300</x:v>
      </x:c>
      <x:c r="AC441" s="2"/>
      <x:c r="AD441" s="2"/>
      <x:c r="AE441" s="2"/>
      <x:c r="AF441" s="2"/>
      <x:c r="AG441" s="2"/>
      <x:c r="AH441" s="2"/>
      <x:c r="AI441" s="4"/>
      <x:c r="AJ441" s="2"/>
      <x:c r="AK441" s="2" t="s">
        <x:v>234</x:v>
      </x:c>
      <x:c r="AL441" s="2" t="s">
        <x:v>2902</x:v>
      </x:c>
      <x:c r="AM441" s="2">
        <x:v>141</x:v>
      </x:c>
      <x:c r="AN441" s="2">
        <x:v>141</x:v>
      </x:c>
    </x:row>
    <x:row r="442" ht="39">
      <x:c r="A442" s="2" t="s">
        <x:v>91</x:v>
      </x:c>
      <x:c r="B442" s="2" t="s">
        <x:v>15</x:v>
      </x:c>
      <x:c r="C442" s="3">
        <x:v>140</x:v>
      </x:c>
      <x:c r="D442" s="2" t="s">
        <x:v>1466</x:v>
      </x:c>
      <x:c r="E442" s="2" t="s">
        <x:v>1347</x:v>
      </x:c>
      <x:c r="F442" s="2" t="s">
        <x:v>1524</x:v>
      </x:c>
      <x:c r="G442" s="2" t="s">
        <x:v>1290</x:v>
      </x:c>
      <x:c r="H442" s="2" t="s">
        <x:v>1525</x:v>
      </x:c>
      <x:c r="I442" s="2" t="s">
        <x:v>1540</x:v>
      </x:c>
      <x:c r="J442" s="2" t="s">
        <x:v>1541</x:v>
      </x:c>
      <x:c r="K442" s="2"/>
      <x:c r="L442" s="2"/>
      <x:c r="M442" s="2"/>
      <x:c r="N442" s="2" t="s">
        <x:v>1528</x:v>
      </x:c>
      <x:c r="O442" s="2" t="s">
        <x:v>1351</x:v>
      </x:c>
      <x:c r="P442" s="2" t="s">
        <x:v>1529</x:v>
      </x:c>
      <x:c r="Q442" s="2"/>
      <x:c r="R442" s="3">
        <x:v>2</x:v>
      </x:c>
      <x:c r="S442" s="3"/>
      <x:c r="T442" s="2"/>
      <x:c r="U442" s="2"/>
      <x:c r="V442" s="2"/>
      <x:c r="W442" s="2" t="s">
        <x:v>1540</x:v>
      </x:c>
      <x:c r="X442" s="3"/>
      <x:c r="Y442" s="3"/>
      <x:c r="Z442" s="2"/>
      <x:c r="AA442" s="2" t="s">
        <x:v>632</x:v>
      </x:c>
      <x:c r="AB442" s="2" t="s">
        <x:v>267</x:v>
      </x:c>
      <x:c r="AC442" s="2"/>
      <x:c r="AD442" s="2"/>
      <x:c r="AE442" s="2"/>
      <x:c r="AF442" s="2"/>
      <x:c r="AG442" s="2"/>
      <x:c r="AH442" s="2"/>
      <x:c r="AI442" s="4"/>
      <x:c r="AJ442" s="2"/>
      <x:c r="AK442" s="2" t="s">
        <x:v>234</x:v>
      </x:c>
      <x:c r="AL442" s="2" t="s">
        <x:v>2902</x:v>
      </x:c>
      <x:c r="AM442" s="2">
        <x:v>142</x:v>
      </x:c>
      <x:c r="AN442" s="2">
        <x:v>142</x:v>
      </x:c>
    </x:row>
    <x:row r="443" ht="39">
      <x:c r="A443" s="2" t="s">
        <x:v>91</x:v>
      </x:c>
      <x:c r="B443" s="2" t="s">
        <x:v>15</x:v>
      </x:c>
      <x:c r="C443" s="3">
        <x:v>141</x:v>
      </x:c>
      <x:c r="D443" s="2" t="s">
        <x:v>1340</x:v>
      </x:c>
      <x:c r="E443" s="2" t="s">
        <x:v>1347</x:v>
      </x:c>
      <x:c r="F443" s="2" t="s">
        <x:v>1524</x:v>
      </x:c>
      <x:c r="G443" s="2" t="s">
        <x:v>1290</x:v>
      </x:c>
      <x:c r="H443" s="2" t="s">
        <x:v>1525</x:v>
      </x:c>
      <x:c r="I443" s="2" t="s">
        <x:v>1540</x:v>
      </x:c>
      <x:c r="J443" s="2" t="s">
        <x:v>1541</x:v>
      </x:c>
      <x:c r="K443" s="2" t="n">
        <x:v>140</x:v>
      </x:c>
      <x:c r="L443" s="2"/>
      <x:c r="M443" s="2"/>
      <x:c r="N443" s="2" t="s">
        <x:v>1528</x:v>
      </x:c>
      <x:c r="O443" s="2" t="s">
        <x:v>1530</x:v>
      </x:c>
      <x:c r="P443" s="2" t="s">
        <x:v>1529</x:v>
      </x:c>
      <x:c r="Q443" s="2"/>
      <x:c r="R443" s="3">
        <x:v>2</x:v>
      </x:c>
      <x:c r="S443" s="3"/>
      <x:c r="T443" s="2"/>
      <x:c r="U443" s="2"/>
      <x:c r="V443" s="2"/>
      <x:c r="W443" s="2" t="s">
        <x:v>1540</x:v>
      </x:c>
      <x:c r="X443" s="3"/>
      <x:c r="Y443" s="3"/>
      <x:c r="Z443" s="2"/>
      <x:c r="AA443" s="2" t="s">
        <x:v>632</x:v>
      </x:c>
      <x:c r="AB443" s="2" t="s">
        <x:v>284</x:v>
      </x:c>
      <x:c r="AC443" s="2"/>
      <x:c r="AD443" s="2"/>
      <x:c r="AE443" s="2"/>
      <x:c r="AF443" s="2"/>
      <x:c r="AG443" s="2"/>
      <x:c r="AH443" s="2"/>
      <x:c r="AI443" s="4"/>
      <x:c r="AJ443" s="2"/>
      <x:c r="AK443" s="2" t="s">
        <x:v>234</x:v>
      </x:c>
      <x:c r="AL443" s="2" t="s">
        <x:v>2902</x:v>
      </x:c>
      <x:c r="AM443" s="2">
        <x:v>143</x:v>
      </x:c>
      <x:c r="AN443" s="2">
        <x:v>143</x:v>
      </x:c>
    </x:row>
    <x:row r="444" ht="39">
      <x:c r="A444" s="2" t="s">
        <x:v>91</x:v>
      </x:c>
      <x:c r="B444" s="2" t="s">
        <x:v>15</x:v>
      </x:c>
      <x:c r="C444" s="3">
        <x:v>142</x:v>
      </x:c>
      <x:c r="D444" s="2" t="s">
        <x:v>1340</x:v>
      </x:c>
      <x:c r="E444" s="2" t="s">
        <x:v>1389</x:v>
      </x:c>
      <x:c r="F444" s="2" t="s">
        <x:v>1524</x:v>
      </x:c>
      <x:c r="G444" s="2" t="s">
        <x:v>1276</x:v>
      </x:c>
      <x:c r="H444" s="2" t="s">
        <x:v>1525</x:v>
      </x:c>
      <x:c r="I444" s="2" t="s">
        <x:v>1542</x:v>
      </x:c>
      <x:c r="J444" s="2" t="s">
        <x:v>1541</x:v>
      </x:c>
      <x:c r="K444" s="2"/>
      <x:c r="L444" s="2"/>
      <x:c r="M444" s="2"/>
      <x:c r="N444" s="2" t="s">
        <x:v>1528</x:v>
      </x:c>
      <x:c r="O444" s="2" t="s">
        <x:v>1351</x:v>
      </x:c>
      <x:c r="P444" s="2" t="s">
        <x:v>1529</x:v>
      </x:c>
      <x:c r="Q444" s="2"/>
      <x:c r="R444" s="3">
        <x:v>2</x:v>
      </x:c>
      <x:c r="S444" s="3"/>
      <x:c r="T444" s="2"/>
      <x:c r="U444" s="2"/>
      <x:c r="V444" s="2"/>
      <x:c r="W444" s="2" t="s">
        <x:v>1542</x:v>
      </x:c>
      <x:c r="X444" s="3"/>
      <x:c r="Y444" s="3"/>
      <x:c r="Z444" s="2"/>
      <x:c r="AA444" s="2" t="s">
        <x:v>632</x:v>
      </x:c>
      <x:c r="AB444" s="2" t="s">
        <x:v>284</x:v>
      </x:c>
      <x:c r="AC444" s="2"/>
      <x:c r="AD444" s="2"/>
      <x:c r="AE444" s="2"/>
      <x:c r="AF444" s="2"/>
      <x:c r="AG444" s="2"/>
      <x:c r="AH444" s="2"/>
      <x:c r="AI444" s="4"/>
      <x:c r="AJ444" s="2"/>
      <x:c r="AK444" s="2" t="s">
        <x:v>234</x:v>
      </x:c>
      <x:c r="AL444" s="2" t="s">
        <x:v>2902</x:v>
      </x:c>
      <x:c r="AM444" s="2">
        <x:v>144</x:v>
      </x:c>
      <x:c r="AN444" s="2">
        <x:v>144</x:v>
      </x:c>
    </x:row>
    <x:row r="445" ht="39">
      <x:c r="A445" s="2" t="s">
        <x:v>91</x:v>
      </x:c>
      <x:c r="B445" s="2" t="s">
        <x:v>15</x:v>
      </x:c>
      <x:c r="C445" s="3">
        <x:v>143</x:v>
      </x:c>
      <x:c r="D445" s="2" t="s">
        <x:v>1466</x:v>
      </x:c>
      <x:c r="E445" s="2" t="s">
        <x:v>1389</x:v>
      </x:c>
      <x:c r="F445" s="2" t="s">
        <x:v>1524</x:v>
      </x:c>
      <x:c r="G445" s="2" t="s">
        <x:v>1276</x:v>
      </x:c>
      <x:c r="H445" s="2" t="s">
        <x:v>1525</x:v>
      </x:c>
      <x:c r="I445" s="2" t="s">
        <x:v>1542</x:v>
      </x:c>
      <x:c r="J445" s="2" t="s">
        <x:v>1541</x:v>
      </x:c>
      <x:c r="K445" s="2" t="n">
        <x:v>142</x:v>
      </x:c>
      <x:c r="L445" s="2"/>
      <x:c r="M445" s="2"/>
      <x:c r="N445" s="2" t="s">
        <x:v>1528</x:v>
      </x:c>
      <x:c r="O445" s="2" t="s">
        <x:v>1530</x:v>
      </x:c>
      <x:c r="P445" s="2" t="s">
        <x:v>1529</x:v>
      </x:c>
      <x:c r="Q445" s="2"/>
      <x:c r="R445" s="3">
        <x:v>2</x:v>
      </x:c>
      <x:c r="S445" s="3"/>
      <x:c r="T445" s="2"/>
      <x:c r="U445" s="2"/>
      <x:c r="V445" s="2"/>
      <x:c r="W445" s="2" t="s">
        <x:v>1542</x:v>
      </x:c>
      <x:c r="X445" s="3"/>
      <x:c r="Y445" s="3"/>
      <x:c r="Z445" s="2"/>
      <x:c r="AA445" s="2" t="s">
        <x:v>632</x:v>
      </x:c>
      <x:c r="AB445" s="2" t="s">
        <x:v>267</x:v>
      </x:c>
      <x:c r="AC445" s="2"/>
      <x:c r="AD445" s="2"/>
      <x:c r="AE445" s="2"/>
      <x:c r="AF445" s="2"/>
      <x:c r="AG445" s="2"/>
      <x:c r="AH445" s="2"/>
      <x:c r="AI445" s="4"/>
      <x:c r="AJ445" s="2"/>
      <x:c r="AK445" s="2" t="s">
        <x:v>234</x:v>
      </x:c>
      <x:c r="AL445" s="2" t="s">
        <x:v>2902</x:v>
      </x:c>
      <x:c r="AM445" s="2">
        <x:v>145</x:v>
      </x:c>
      <x:c r="AN445" s="2">
        <x:v>145</x:v>
      </x:c>
    </x:row>
    <x:row r="446" ht="39">
      <x:c r="A446" s="2" t="s">
        <x:v>91</x:v>
      </x:c>
      <x:c r="B446" s="2" t="s">
        <x:v>15</x:v>
      </x:c>
      <x:c r="C446" s="3">
        <x:v>144</x:v>
      </x:c>
      <x:c r="D446" s="2" t="s">
        <x:v>1466</x:v>
      </x:c>
      <x:c r="E446" s="2" t="s">
        <x:v>1543</x:v>
      </x:c>
      <x:c r="F446" s="2" t="s">
        <x:v>1524</x:v>
      </x:c>
      <x:c r="G446" s="2" t="s">
        <x:v>1373</x:v>
      </x:c>
      <x:c r="H446" s="2" t="s">
        <x:v>1525</x:v>
      </x:c>
      <x:c r="I446" s="2" t="s">
        <x:v>1544</x:v>
      </x:c>
      <x:c r="J446" s="2" t="s">
        <x:v>1541</x:v>
      </x:c>
      <x:c r="K446" s="2"/>
      <x:c r="L446" s="2"/>
      <x:c r="M446" s="2"/>
      <x:c r="N446" s="2" t="s">
        <x:v>1528</x:v>
      </x:c>
      <x:c r="O446" s="2" t="s">
        <x:v>1351</x:v>
      </x:c>
      <x:c r="P446" s="2" t="s">
        <x:v>1529</x:v>
      </x:c>
      <x:c r="Q446" s="2"/>
      <x:c r="R446" s="3">
        <x:v>2</x:v>
      </x:c>
      <x:c r="S446" s="3"/>
      <x:c r="T446" s="2"/>
      <x:c r="U446" s="2"/>
      <x:c r="V446" s="2"/>
      <x:c r="W446" s="2" t="s">
        <x:v>1544</x:v>
      </x:c>
      <x:c r="X446" s="3"/>
      <x:c r="Y446" s="3"/>
      <x:c r="Z446" s="2"/>
      <x:c r="AA446" s="2" t="s">
        <x:v>632</x:v>
      </x:c>
      <x:c r="AB446" s="2" t="s">
        <x:v>267</x:v>
      </x:c>
      <x:c r="AC446" s="2"/>
      <x:c r="AD446" s="2"/>
      <x:c r="AE446" s="2"/>
      <x:c r="AF446" s="2"/>
      <x:c r="AG446" s="2"/>
      <x:c r="AH446" s="2"/>
      <x:c r="AI446" s="4"/>
      <x:c r="AJ446" s="2"/>
      <x:c r="AK446" s="2" t="s">
        <x:v>234</x:v>
      </x:c>
      <x:c r="AL446" s="2" t="s">
        <x:v>2902</x:v>
      </x:c>
      <x:c r="AM446" s="2">
        <x:v>146</x:v>
      </x:c>
      <x:c r="AN446" s="2">
        <x:v>146</x:v>
      </x:c>
    </x:row>
    <x:row r="447" ht="39">
      <x:c r="A447" s="2" t="s">
        <x:v>91</x:v>
      </x:c>
      <x:c r="B447" s="2" t="s">
        <x:v>15</x:v>
      </x:c>
      <x:c r="C447" s="3">
        <x:v>145</x:v>
      </x:c>
      <x:c r="D447" s="2" t="s">
        <x:v>1340</x:v>
      </x:c>
      <x:c r="E447" s="2" t="s">
        <x:v>1543</x:v>
      </x:c>
      <x:c r="F447" s="2" t="s">
        <x:v>1524</x:v>
      </x:c>
      <x:c r="G447" s="2" t="s">
        <x:v>1373</x:v>
      </x:c>
      <x:c r="H447" s="2" t="s">
        <x:v>1525</x:v>
      </x:c>
      <x:c r="I447" s="2" t="s">
        <x:v>1544</x:v>
      </x:c>
      <x:c r="J447" s="2" t="s">
        <x:v>1541</x:v>
      </x:c>
      <x:c r="K447" s="2" t="n">
        <x:v>144</x:v>
      </x:c>
      <x:c r="L447" s="2"/>
      <x:c r="M447" s="2"/>
      <x:c r="N447" s="2" t="s">
        <x:v>1528</x:v>
      </x:c>
      <x:c r="O447" s="2" t="s">
        <x:v>1530</x:v>
      </x:c>
      <x:c r="P447" s="2" t="s">
        <x:v>1529</x:v>
      </x:c>
      <x:c r="Q447" s="2"/>
      <x:c r="R447" s="3">
        <x:v>2</x:v>
      </x:c>
      <x:c r="S447" s="3"/>
      <x:c r="T447" s="2"/>
      <x:c r="U447" s="2"/>
      <x:c r="V447" s="2"/>
      <x:c r="W447" s="2" t="s">
        <x:v>1544</x:v>
      </x:c>
      <x:c r="X447" s="3"/>
      <x:c r="Y447" s="3"/>
      <x:c r="Z447" s="2"/>
      <x:c r="AA447" s="2" t="s">
        <x:v>632</x:v>
      </x:c>
      <x:c r="AB447" s="2" t="s">
        <x:v>284</x:v>
      </x:c>
      <x:c r="AC447" s="2"/>
      <x:c r="AD447" s="2"/>
      <x:c r="AE447" s="2"/>
      <x:c r="AF447" s="2"/>
      <x:c r="AG447" s="2"/>
      <x:c r="AH447" s="2"/>
      <x:c r="AI447" s="4"/>
      <x:c r="AJ447" s="2"/>
      <x:c r="AK447" s="2" t="s">
        <x:v>234</x:v>
      </x:c>
      <x:c r="AL447" s="2" t="s">
        <x:v>2902</x:v>
      </x:c>
      <x:c r="AM447" s="2">
        <x:v>147</x:v>
      </x:c>
      <x:c r="AN447" s="2">
        <x:v>147</x:v>
      </x:c>
    </x:row>
    <x:row r="448" ht="39">
      <x:c r="A448" s="2" t="s">
        <x:v>91</x:v>
      </x:c>
      <x:c r="B448" s="2" t="s">
        <x:v>15</x:v>
      </x:c>
      <x:c r="C448" s="3">
        <x:v>146</x:v>
      </x:c>
      <x:c r="D448" s="2" t="s">
        <x:v>1340</x:v>
      </x:c>
      <x:c r="E448" s="2" t="s">
        <x:v>253</x:v>
      </x:c>
      <x:c r="F448" s="2" t="s">
        <x:v>1524</x:v>
      </x:c>
      <x:c r="G448" s="2" t="s">
        <x:v>1290</x:v>
      </x:c>
      <x:c r="H448" s="2" t="s">
        <x:v>1525</x:v>
      </x:c>
      <x:c r="I448" s="2" t="s">
        <x:v>1546</x:v>
      </x:c>
      <x:c r="J448" s="2" t="s">
        <x:v>1541</x:v>
      </x:c>
      <x:c r="K448" s="2"/>
      <x:c r="L448" s="2"/>
      <x:c r="M448" s="2"/>
      <x:c r="N448" s="2" t="s">
        <x:v>1528</x:v>
      </x:c>
      <x:c r="O448" s="2" t="s">
        <x:v>1351</x:v>
      </x:c>
      <x:c r="P448" s="2" t="s">
        <x:v>1529</x:v>
      </x:c>
      <x:c r="Q448" s="2"/>
      <x:c r="R448" s="3">
        <x:v>2</x:v>
      </x:c>
      <x:c r="S448" s="3"/>
      <x:c r="T448" s="2"/>
      <x:c r="U448" s="2"/>
      <x:c r="V448" s="2"/>
      <x:c r="W448" s="2" t="s">
        <x:v>1546</x:v>
      </x:c>
      <x:c r="X448" s="3"/>
      <x:c r="Y448" s="3"/>
      <x:c r="Z448" s="2"/>
      <x:c r="AA448" s="2" t="s">
        <x:v>632</x:v>
      </x:c>
      <x:c r="AB448" s="2" t="s">
        <x:v>284</x:v>
      </x:c>
      <x:c r="AC448" s="2"/>
      <x:c r="AD448" s="2"/>
      <x:c r="AE448" s="2"/>
      <x:c r="AF448" s="2"/>
      <x:c r="AG448" s="2"/>
      <x:c r="AH448" s="2"/>
      <x:c r="AI448" s="4"/>
      <x:c r="AJ448" s="2"/>
      <x:c r="AK448" s="2" t="s">
        <x:v>234</x:v>
      </x:c>
      <x:c r="AL448" s="2" t="s">
        <x:v>2902</x:v>
      </x:c>
      <x:c r="AM448" s="2">
        <x:v>148</x:v>
      </x:c>
      <x:c r="AN448" s="2">
        <x:v>148</x:v>
      </x:c>
    </x:row>
    <x:row r="449" ht="39">
      <x:c r="A449" s="2" t="s">
        <x:v>91</x:v>
      </x:c>
      <x:c r="B449" s="2" t="s">
        <x:v>15</x:v>
      </x:c>
      <x:c r="C449" s="3">
        <x:v>147</x:v>
      </x:c>
      <x:c r="D449" s="2" t="s">
        <x:v>1466</x:v>
      </x:c>
      <x:c r="E449" s="2" t="s">
        <x:v>253</x:v>
      </x:c>
      <x:c r="F449" s="2" t="s">
        <x:v>1524</x:v>
      </x:c>
      <x:c r="G449" s="2" t="s">
        <x:v>1290</x:v>
      </x:c>
      <x:c r="H449" s="2" t="s">
        <x:v>1525</x:v>
      </x:c>
      <x:c r="I449" s="2" t="s">
        <x:v>1546</x:v>
      </x:c>
      <x:c r="J449" s="2" t="s">
        <x:v>1541</x:v>
      </x:c>
      <x:c r="K449" s="2" t="n">
        <x:v>146</x:v>
      </x:c>
      <x:c r="L449" s="2"/>
      <x:c r="M449" s="2"/>
      <x:c r="N449" s="2" t="s">
        <x:v>1528</x:v>
      </x:c>
      <x:c r="O449" s="2" t="s">
        <x:v>1530</x:v>
      </x:c>
      <x:c r="P449" s="2" t="s">
        <x:v>1529</x:v>
      </x:c>
      <x:c r="Q449" s="2"/>
      <x:c r="R449" s="3">
        <x:v>2</x:v>
      </x:c>
      <x:c r="S449" s="3"/>
      <x:c r="T449" s="2"/>
      <x:c r="U449" s="2"/>
      <x:c r="V449" s="2"/>
      <x:c r="W449" s="2" t="s">
        <x:v>1546</x:v>
      </x:c>
      <x:c r="X449" s="3"/>
      <x:c r="Y449" s="3"/>
      <x:c r="Z449" s="2"/>
      <x:c r="AA449" s="2" t="s">
        <x:v>632</x:v>
      </x:c>
      <x:c r="AB449" s="2" t="s">
        <x:v>267</x:v>
      </x:c>
      <x:c r="AC449" s="2"/>
      <x:c r="AD449" s="2"/>
      <x:c r="AE449" s="2"/>
      <x:c r="AF449" s="2"/>
      <x:c r="AG449" s="2"/>
      <x:c r="AH449" s="2"/>
      <x:c r="AI449" s="4"/>
      <x:c r="AJ449" s="2"/>
      <x:c r="AK449" s="2" t="s">
        <x:v>234</x:v>
      </x:c>
      <x:c r="AL449" s="2" t="s">
        <x:v>2902</x:v>
      </x:c>
      <x:c r="AM449" s="2">
        <x:v>149</x:v>
      </x:c>
      <x:c r="AN449" s="2">
        <x:v>149</x:v>
      </x:c>
    </x:row>
    <x:row r="450" ht="39">
      <x:c r="A450" s="2" t="s">
        <x:v>91</x:v>
      </x:c>
      <x:c r="B450" s="2" t="s">
        <x:v>15</x:v>
      </x:c>
      <x:c r="C450" s="3">
        <x:v>148</x:v>
      </x:c>
      <x:c r="D450" s="2" t="s">
        <x:v>1466</x:v>
      </x:c>
      <x:c r="E450" s="2" t="s">
        <x:v>246</x:v>
      </x:c>
      <x:c r="F450" s="2" t="s">
        <x:v>1524</x:v>
      </x:c>
      <x:c r="G450" s="2" t="s">
        <x:v>1290</x:v>
      </x:c>
      <x:c r="H450" s="2" t="s">
        <x:v>1525</x:v>
      </x:c>
      <x:c r="I450" s="2" t="s">
        <x:v>1547</x:v>
      </x:c>
      <x:c r="J450" s="2" t="s">
        <x:v>1541</x:v>
      </x:c>
      <x:c r="K450" s="2"/>
      <x:c r="L450" s="2"/>
      <x:c r="M450" s="2"/>
      <x:c r="N450" s="2" t="s">
        <x:v>1528</x:v>
      </x:c>
      <x:c r="O450" s="2" t="s">
        <x:v>1351</x:v>
      </x:c>
      <x:c r="P450" s="2" t="s">
        <x:v>1529</x:v>
      </x:c>
      <x:c r="Q450" s="2"/>
      <x:c r="R450" s="3">
        <x:v>2</x:v>
      </x:c>
      <x:c r="S450" s="3"/>
      <x:c r="T450" s="2"/>
      <x:c r="U450" s="2"/>
      <x:c r="V450" s="2"/>
      <x:c r="W450" s="2" t="s">
        <x:v>1547</x:v>
      </x:c>
      <x:c r="X450" s="3"/>
      <x:c r="Y450" s="3"/>
      <x:c r="Z450" s="2"/>
      <x:c r="AA450" s="2" t="s">
        <x:v>632</x:v>
      </x:c>
      <x:c r="AB450" s="2" t="s">
        <x:v>267</x:v>
      </x:c>
      <x:c r="AC450" s="2"/>
      <x:c r="AD450" s="2"/>
      <x:c r="AE450" s="2"/>
      <x:c r="AF450" s="2"/>
      <x:c r="AG450" s="2"/>
      <x:c r="AH450" s="2"/>
      <x:c r="AI450" s="4"/>
      <x:c r="AJ450" s="2"/>
      <x:c r="AK450" s="2" t="s">
        <x:v>234</x:v>
      </x:c>
      <x:c r="AL450" s="2" t="s">
        <x:v>2902</x:v>
      </x:c>
      <x:c r="AM450" s="2">
        <x:v>150</x:v>
      </x:c>
      <x:c r="AN450" s="2">
        <x:v>150</x:v>
      </x:c>
    </x:row>
    <x:row r="451" ht="39">
      <x:c r="A451" s="2" t="s">
        <x:v>91</x:v>
      </x:c>
      <x:c r="B451" s="2" t="s">
        <x:v>15</x:v>
      </x:c>
      <x:c r="C451" s="3">
        <x:v>149</x:v>
      </x:c>
      <x:c r="D451" s="2" t="s">
        <x:v>1340</x:v>
      </x:c>
      <x:c r="E451" s="2" t="s">
        <x:v>246</x:v>
      </x:c>
      <x:c r="F451" s="2" t="s">
        <x:v>1524</x:v>
      </x:c>
      <x:c r="G451" s="2" t="s">
        <x:v>1290</x:v>
      </x:c>
      <x:c r="H451" s="2" t="s">
        <x:v>1525</x:v>
      </x:c>
      <x:c r="I451" s="2" t="s">
        <x:v>1547</x:v>
      </x:c>
      <x:c r="J451" s="2" t="s">
        <x:v>1541</x:v>
      </x:c>
      <x:c r="K451" s="2" t="n">
        <x:v>148</x:v>
      </x:c>
      <x:c r="L451" s="2"/>
      <x:c r="M451" s="2"/>
      <x:c r="N451" s="2" t="s">
        <x:v>1528</x:v>
      </x:c>
      <x:c r="O451" s="2" t="s">
        <x:v>1530</x:v>
      </x:c>
      <x:c r="P451" s="2" t="s">
        <x:v>1529</x:v>
      </x:c>
      <x:c r="Q451" s="2"/>
      <x:c r="R451" s="3">
        <x:v>2</x:v>
      </x:c>
      <x:c r="S451" s="3"/>
      <x:c r="T451" s="2"/>
      <x:c r="U451" s="2"/>
      <x:c r="V451" s="2"/>
      <x:c r="W451" s="2" t="s">
        <x:v>1547</x:v>
      </x:c>
      <x:c r="X451" s="3"/>
      <x:c r="Y451" s="3"/>
      <x:c r="Z451" s="2"/>
      <x:c r="AA451" s="2" t="s">
        <x:v>632</x:v>
      </x:c>
      <x:c r="AB451" s="2" t="s">
        <x:v>284</x:v>
      </x:c>
      <x:c r="AC451" s="2"/>
      <x:c r="AD451" s="2"/>
      <x:c r="AE451" s="2"/>
      <x:c r="AF451" s="2"/>
      <x:c r="AG451" s="2"/>
      <x:c r="AH451" s="2"/>
      <x:c r="AI451" s="4"/>
      <x:c r="AJ451" s="2"/>
      <x:c r="AK451" s="2" t="s">
        <x:v>234</x:v>
      </x:c>
      <x:c r="AL451" s="2" t="s">
        <x:v>2902</x:v>
      </x:c>
      <x:c r="AM451" s="2">
        <x:v>151</x:v>
      </x:c>
      <x:c r="AN451" s="2">
        <x:v>151</x:v>
      </x:c>
    </x:row>
    <x:row r="452" ht="39">
      <x:c r="A452" s="2" t="s">
        <x:v>6</x:v>
      </x:c>
      <x:c r="B452" s="2" t="s">
        <x:v>16</x:v>
      </x:c>
      <x:c r="C452" s="3">
        <x:v>0</x:v>
      </x:c>
      <x:c r="D452" s="2" t="s">
        <x:v>307</x:v>
      </x:c>
      <x:c r="E452" s="2" t="s">
        <x:v>308</x:v>
      </x:c>
      <x:c r="F452" s="2" t="s">
        <x:v>309</x:v>
      </x:c>
      <x:c r="G452" s="2"/>
      <x:c r="H452" s="2" t="s">
        <x:v>96</x:v>
      </x:c>
      <x:c r="I452" s="2" t="s">
        <x:v>311</x:v>
      </x:c>
      <x:c r="J452" s="2" t="s">
        <x:v>312</x:v>
      </x:c>
      <x:c r="K452" s="2"/>
      <x:c r="L452" s="2" t="s">
        <x:v>313</x:v>
      </x:c>
      <x:c r="M452" s="2"/>
      <x:c r="N452" s="2"/>
      <x:c r="O452" s="2" t="s">
        <x:v>314</x:v>
      </x:c>
      <x:c r="P452" s="2" t="s">
        <x:v>315</x:v>
      </x:c>
      <x:c r="Q452" s="2"/>
      <x:c r="R452" s="3">
        <x:v>3</x:v>
      </x:c>
      <x:c r="S452" s="3"/>
      <x:c r="T452" s="2"/>
      <x:c r="U452" s="2"/>
      <x:c r="V452" s="2"/>
      <x:c r="W452" s="2"/>
      <x:c r="X452" s="3"/>
      <x:c r="Y452" s="3"/>
      <x:c r="Z452" s="2"/>
      <x:c r="AA452" s="2"/>
      <x:c r="AB452" s="2"/>
      <x:c r="AC452" s="2" t="s">
        <x:v>316</x:v>
      </x:c>
      <x:c r="AD452" s="2" t="s">
        <x:v>317</x:v>
      </x:c>
      <x:c r="AE452" s="2" t="s">
        <x:v>318</x:v>
      </x:c>
      <x:c r="AF452" s="2" t="s">
        <x:v>319</x:v>
      </x:c>
      <x:c r="AG452" s="2"/>
      <x:c r="AH452" s="2"/>
      <x:c r="AI452" s="4"/>
      <x:c r="AJ452" s="2"/>
      <x:c r="AK452" s="2" t="s">
        <x:v>320</x:v>
      </x:c>
      <x:c r="AL452" s="2" t="s">
        <x:v>2857</x:v>
      </x:c>
      <x:c r="AM452" s="2">
        <x:v>2</x:v>
      </x:c>
      <x:c r="AN452" s="2">
        <x:v>2</x:v>
      </x:c>
    </x:row>
    <x:row r="453" ht="39">
      <x:c r="A453" s="2" t="s">
        <x:v>6</x:v>
      </x:c>
      <x:c r="B453" s="2" t="s">
        <x:v>16</x:v>
      </x:c>
      <x:c r="C453" s="3">
        <x:v>1</x:v>
      </x:c>
      <x:c r="D453" s="2" t="s">
        <x:v>321</x:v>
      </x:c>
      <x:c r="E453" s="2" t="s">
        <x:v>308</x:v>
      </x:c>
      <x:c r="F453" s="2" t="s">
        <x:v>322</x:v>
      </x:c>
      <x:c r="G453" s="2"/>
      <x:c r="H453" s="2" t="s">
        <x:v>96</x:v>
      </x:c>
      <x:c r="I453" s="2" t="s">
        <x:v>311</x:v>
      </x:c>
      <x:c r="J453" s="2" t="s">
        <x:v>312</x:v>
      </x:c>
      <x:c r="K453" s="2" t="n">
        <x:v>0</x:v>
      </x:c>
      <x:c r="L453" s="2" t="s">
        <x:v>323</x:v>
      </x:c>
      <x:c r="M453" s="2"/>
      <x:c r="N453" s="2"/>
      <x:c r="O453" s="2" t="s">
        <x:v>324</x:v>
      </x:c>
      <x:c r="P453" s="2" t="s">
        <x:v>325</x:v>
      </x:c>
      <x:c r="Q453" s="2"/>
      <x:c r="R453" s="3">
        <x:v>3</x:v>
      </x:c>
      <x:c r="S453" s="3"/>
      <x:c r="T453" s="2"/>
      <x:c r="U453" s="2"/>
      <x:c r="V453" s="2"/>
      <x:c r="W453" s="2"/>
      <x:c r="X453" s="3"/>
      <x:c r="Y453" s="3"/>
      <x:c r="Z453" s="2"/>
      <x:c r="AA453" s="2"/>
      <x:c r="AB453" s="2"/>
      <x:c r="AC453" s="2" t="s">
        <x:v>326</x:v>
      </x:c>
      <x:c r="AD453" s="2" t="s">
        <x:v>317</x:v>
      </x:c>
      <x:c r="AE453" s="2" t="s">
        <x:v>318</x:v>
      </x:c>
      <x:c r="AF453" s="2" t="s">
        <x:v>319</x:v>
      </x:c>
      <x:c r="AG453" s="2"/>
      <x:c r="AH453" s="2"/>
      <x:c r="AI453" s="4"/>
      <x:c r="AJ453" s="2"/>
      <x:c r="AK453" s="2" t="s">
        <x:v>320</x:v>
      </x:c>
      <x:c r="AL453" s="2" t="s">
        <x:v>2857</x:v>
      </x:c>
      <x:c r="AM453" s="2">
        <x:v>3</x:v>
      </x:c>
      <x:c r="AN453" s="2">
        <x:v>3</x:v>
      </x:c>
    </x:row>
    <x:row r="454" ht="39">
      <x:c r="A454" s="2" t="s">
        <x:v>6</x:v>
      </x:c>
      <x:c r="B454" s="2" t="s">
        <x:v>16</x:v>
      </x:c>
      <x:c r="C454" s="3">
        <x:v>2</x:v>
      </x:c>
      <x:c r="D454" s="2" t="s">
        <x:v>327</x:v>
      </x:c>
      <x:c r="E454" s="2" t="s">
        <x:v>308</x:v>
      </x:c>
      <x:c r="F454" s="2" t="s">
        <x:v>328</x:v>
      </x:c>
      <x:c r="G454" s="2"/>
      <x:c r="H454" s="2" t="s">
        <x:v>96</x:v>
      </x:c>
      <x:c r="I454" s="2" t="s">
        <x:v>311</x:v>
      </x:c>
      <x:c r="J454" s="2" t="s">
        <x:v>312</x:v>
      </x:c>
      <x:c r="K454" s="2" t="n">
        <x:v>0</x:v>
      </x:c>
      <x:c r="L454" s="2" t="s">
        <x:v>330</x:v>
      </x:c>
      <x:c r="M454" s="2"/>
      <x:c r="N454" s="2"/>
      <x:c r="O454" s="2" t="s">
        <x:v>324</x:v>
      </x:c>
      <x:c r="P454" s="2" t="s">
        <x:v>331</x:v>
      </x:c>
      <x:c r="Q454" s="2"/>
      <x:c r="R454" s="3">
        <x:v>3</x:v>
      </x:c>
      <x:c r="S454" s="3"/>
      <x:c r="T454" s="2"/>
      <x:c r="U454" s="2"/>
      <x:c r="V454" s="2"/>
      <x:c r="W454" s="2"/>
      <x:c r="X454" s="3"/>
      <x:c r="Y454" s="3"/>
      <x:c r="Z454" s="2"/>
      <x:c r="AA454" s="2"/>
      <x:c r="AB454" s="2"/>
      <x:c r="AC454" s="2" t="s">
        <x:v>316</x:v>
      </x:c>
      <x:c r="AD454" s="2" t="s">
        <x:v>318</x:v>
      </x:c>
      <x:c r="AE454" s="2" t="s">
        <x:v>317</x:v>
      </x:c>
      <x:c r="AF454" s="2" t="s">
        <x:v>319</x:v>
      </x:c>
      <x:c r="AG454" s="2"/>
      <x:c r="AH454" s="2"/>
      <x:c r="AI454" s="4"/>
      <x:c r="AJ454" s="2"/>
      <x:c r="AK454" s="2" t="s">
        <x:v>320</x:v>
      </x:c>
      <x:c r="AL454" s="2" t="s">
        <x:v>2857</x:v>
      </x:c>
      <x:c r="AM454" s="2">
        <x:v>4</x:v>
      </x:c>
      <x:c r="AN454" s="2">
        <x:v>4</x:v>
      </x:c>
    </x:row>
    <x:row r="455" ht="39">
      <x:c r="A455" s="2" t="s">
        <x:v>6</x:v>
      </x:c>
      <x:c r="B455" s="2" t="s">
        <x:v>16</x:v>
      </x:c>
      <x:c r="C455" s="3">
        <x:v>3</x:v>
      </x:c>
      <x:c r="D455" s="2" t="s">
        <x:v>332</x:v>
      </x:c>
      <x:c r="E455" s="2" t="s">
        <x:v>308</x:v>
      </x:c>
      <x:c r="F455" s="2" t="s">
        <x:v>333</x:v>
      </x:c>
      <x:c r="G455" s="2"/>
      <x:c r="H455" s="2" t="s">
        <x:v>96</x:v>
      </x:c>
      <x:c r="I455" s="2" t="s">
        <x:v>311</x:v>
      </x:c>
      <x:c r="J455" s="2" t="s">
        <x:v>312</x:v>
      </x:c>
      <x:c r="K455" s="2" t="n">
        <x:v>0</x:v>
      </x:c>
      <x:c r="L455" s="2" t="s">
        <x:v>335</x:v>
      </x:c>
      <x:c r="M455" s="2"/>
      <x:c r="N455" s="2"/>
      <x:c r="O455" s="2" t="s">
        <x:v>324</x:v>
      </x:c>
      <x:c r="P455" s="2" t="s">
        <x:v>336</x:v>
      </x:c>
      <x:c r="Q455" s="2"/>
      <x:c r="R455" s="3">
        <x:v>3</x:v>
      </x:c>
      <x:c r="S455" s="3"/>
      <x:c r="T455" s="2"/>
      <x:c r="U455" s="2"/>
      <x:c r="V455" s="2"/>
      <x:c r="W455" s="2"/>
      <x:c r="X455" s="3"/>
      <x:c r="Y455" s="3"/>
      <x:c r="Z455" s="2"/>
      <x:c r="AA455" s="2"/>
      <x:c r="AB455" s="2"/>
      <x:c r="AC455" s="2" t="s">
        <x:v>326</x:v>
      </x:c>
      <x:c r="AD455" s="2" t="s">
        <x:v>318</x:v>
      </x:c>
      <x:c r="AE455" s="2" t="s">
        <x:v>317</x:v>
      </x:c>
      <x:c r="AF455" s="2" t="s">
        <x:v>319</x:v>
      </x:c>
      <x:c r="AG455" s="2"/>
      <x:c r="AH455" s="2"/>
      <x:c r="AI455" s="4"/>
      <x:c r="AJ455" s="2"/>
      <x:c r="AK455" s="2" t="s">
        <x:v>320</x:v>
      </x:c>
      <x:c r="AL455" s="2" t="s">
        <x:v>2857</x:v>
      </x:c>
      <x:c r="AM455" s="2">
        <x:v>5</x:v>
      </x:c>
      <x:c r="AN455" s="2">
        <x:v>5</x:v>
      </x:c>
    </x:row>
    <x:row r="456" ht="39">
      <x:c r="A456" s="2" t="s">
        <x:v>91</x:v>
      </x:c>
      <x:c r="B456" s="2" t="s">
        <x:v>16</x:v>
      </x:c>
      <x:c r="C456" s="3">
        <x:v>4</x:v>
      </x:c>
      <x:c r="D456" s="2" t="s">
        <x:v>337</x:v>
      </x:c>
      <x:c r="E456" s="2" t="s">
        <x:v>338</x:v>
      </x:c>
      <x:c r="F456" s="2" t="s">
        <x:v>339</x:v>
      </x:c>
      <x:c r="G456" s="2" t="s">
        <x:v>2929</x:v>
      </x:c>
      <x:c r="H456" s="2" t="s">
        <x:v>96</x:v>
      </x:c>
      <x:c r="I456" s="2" t="s">
        <x:v>341</x:v>
      </x:c>
      <x:c r="J456" s="2" t="s">
        <x:v>312</x:v>
      </x:c>
      <x:c r="K456" s="2"/>
      <x:c r="L456" s="2" t="s">
        <x:v>342</x:v>
      </x:c>
      <x:c r="M456" s="2"/>
      <x:c r="N456" s="2"/>
      <x:c r="O456" s="2" t="s">
        <x:v>314</x:v>
      </x:c>
      <x:c r="P456" s="2" t="s">
        <x:v>343</x:v>
      </x:c>
      <x:c r="Q456" s="2"/>
      <x:c r="R456" s="3">
        <x:v>4</x:v>
      </x:c>
      <x:c r="S456" s="3"/>
      <x:c r="T456" s="2"/>
      <x:c r="U456" s="2"/>
      <x:c r="V456" s="2"/>
      <x:c r="W456" s="2"/>
      <x:c r="X456" s="3"/>
      <x:c r="Y456" s="3"/>
      <x:c r="Z456" s="2"/>
      <x:c r="AA456" s="2"/>
      <x:c r="AB456" s="2"/>
      <x:c r="AC456" s="2" t="s">
        <x:v>316</x:v>
      </x:c>
      <x:c r="AD456" s="2" t="s">
        <x:v>317</x:v>
      </x:c>
      <x:c r="AE456" s="2" t="s">
        <x:v>344</x:v>
      </x:c>
      <x:c r="AF456" s="2" t="s">
        <x:v>319</x:v>
      </x:c>
      <x:c r="AG456" s="2"/>
      <x:c r="AH456" s="2"/>
      <x:c r="AI456" s="4"/>
      <x:c r="AJ456" s="2"/>
      <x:c r="AK456" s="2" t="s">
        <x:v>320</x:v>
      </x:c>
      <x:c r="AL456" s="2" t="s">
        <x:v>2857</x:v>
      </x:c>
      <x:c r="AM456" s="2">
        <x:v>6</x:v>
      </x:c>
      <x:c r="AN456" s="2">
        <x:v>6</x:v>
      </x:c>
    </x:row>
    <x:row r="457" ht="39">
      <x:c r="A457" s="2" t="s">
        <x:v>6</x:v>
      </x:c>
      <x:c r="B457" s="2" t="s">
        <x:v>16</x:v>
      </x:c>
      <x:c r="C457" s="3">
        <x:v>5</x:v>
      </x:c>
      <x:c r="D457" s="2" t="s">
        <x:v>345</x:v>
      </x:c>
      <x:c r="E457" s="2" t="s">
        <x:v>338</x:v>
      </x:c>
      <x:c r="F457" s="2" t="s">
        <x:v>346</x:v>
      </x:c>
      <x:c r="G457" s="2"/>
      <x:c r="H457" s="2" t="s">
        <x:v>96</x:v>
      </x:c>
      <x:c r="I457" s="2" t="s">
        <x:v>341</x:v>
      </x:c>
      <x:c r="J457" s="2" t="s">
        <x:v>312</x:v>
      </x:c>
      <x:c r="K457" s="2" t="n">
        <x:v>4</x:v>
      </x:c>
      <x:c r="L457" s="2" t="s">
        <x:v>348</x:v>
      </x:c>
      <x:c r="M457" s="2"/>
      <x:c r="N457" s="2"/>
      <x:c r="O457" s="2" t="s">
        <x:v>324</x:v>
      </x:c>
      <x:c r="P457" s="2" t="s">
        <x:v>349</x:v>
      </x:c>
      <x:c r="Q457" s="2"/>
      <x:c r="R457" s="3">
        <x:v>4</x:v>
      </x:c>
      <x:c r="S457" s="3"/>
      <x:c r="T457" s="2"/>
      <x:c r="U457" s="2"/>
      <x:c r="V457" s="2"/>
      <x:c r="W457" s="2"/>
      <x:c r="X457" s="3"/>
      <x:c r="Y457" s="3"/>
      <x:c r="Z457" s="2"/>
      <x:c r="AA457" s="2"/>
      <x:c r="AB457" s="2"/>
      <x:c r="AC457" s="2" t="s">
        <x:v>326</x:v>
      </x:c>
      <x:c r="AD457" s="2" t="s">
        <x:v>317</x:v>
      </x:c>
      <x:c r="AE457" s="2" t="s">
        <x:v>344</x:v>
      </x:c>
      <x:c r="AF457" s="2" t="s">
        <x:v>319</x:v>
      </x:c>
      <x:c r="AG457" s="2"/>
      <x:c r="AH457" s="2"/>
      <x:c r="AI457" s="4"/>
      <x:c r="AJ457" s="2"/>
      <x:c r="AK457" s="2" t="s">
        <x:v>320</x:v>
      </x:c>
      <x:c r="AL457" s="2" t="s">
        <x:v>2857</x:v>
      </x:c>
      <x:c r="AM457" s="2">
        <x:v>7</x:v>
      </x:c>
      <x:c r="AN457" s="2">
        <x:v>7</x:v>
      </x:c>
    </x:row>
    <x:row r="458" ht="39">
      <x:c r="A458" s="2" t="s">
        <x:v>91</x:v>
      </x:c>
      <x:c r="B458" s="2" t="s">
        <x:v>16</x:v>
      </x:c>
      <x:c r="C458" s="3">
        <x:v>6</x:v>
      </x:c>
      <x:c r="D458" s="2" t="s">
        <x:v>350</x:v>
      </x:c>
      <x:c r="E458" s="2" t="s">
        <x:v>338</x:v>
      </x:c>
      <x:c r="F458" s="2" t="s">
        <x:v>351</x:v>
      </x:c>
      <x:c r="G458" s="2" t="s">
        <x:v>2930</x:v>
      </x:c>
      <x:c r="H458" s="2" t="s">
        <x:v>96</x:v>
      </x:c>
      <x:c r="I458" s="2" t="s">
        <x:v>341</x:v>
      </x:c>
      <x:c r="J458" s="2" t="s">
        <x:v>312</x:v>
      </x:c>
      <x:c r="K458" s="2" t="n">
        <x:v>4</x:v>
      </x:c>
      <x:c r="L458" s="2" t="s">
        <x:v>353</x:v>
      </x:c>
      <x:c r="M458" s="2"/>
      <x:c r="N458" s="2"/>
      <x:c r="O458" s="2" t="s">
        <x:v>324</x:v>
      </x:c>
      <x:c r="P458" s="2" t="s">
        <x:v>354</x:v>
      </x:c>
      <x:c r="Q458" s="2"/>
      <x:c r="R458" s="3">
        <x:v>4</x:v>
      </x:c>
      <x:c r="S458" s="3"/>
      <x:c r="T458" s="2"/>
      <x:c r="U458" s="2"/>
      <x:c r="V458" s="2"/>
      <x:c r="W458" s="2"/>
      <x:c r="X458" s="3"/>
      <x:c r="Y458" s="3"/>
      <x:c r="Z458" s="2"/>
      <x:c r="AA458" s="2"/>
      <x:c r="AB458" s="2"/>
      <x:c r="AC458" s="2" t="s">
        <x:v>316</x:v>
      </x:c>
      <x:c r="AD458" s="2" t="s">
        <x:v>344</x:v>
      </x:c>
      <x:c r="AE458" s="2" t="s">
        <x:v>317</x:v>
      </x:c>
      <x:c r="AF458" s="2" t="s">
        <x:v>319</x:v>
      </x:c>
      <x:c r="AG458" s="2"/>
      <x:c r="AH458" s="2"/>
      <x:c r="AI458" s="4"/>
      <x:c r="AJ458" s="2"/>
      <x:c r="AK458" s="2" t="s">
        <x:v>320</x:v>
      </x:c>
      <x:c r="AL458" s="2" t="s">
        <x:v>2857</x:v>
      </x:c>
      <x:c r="AM458" s="2">
        <x:v>8</x:v>
      </x:c>
      <x:c r="AN458" s="2">
        <x:v>8</x:v>
      </x:c>
    </x:row>
    <x:row r="459" ht="39">
      <x:c r="A459" s="2" t="s">
        <x:v>91</x:v>
      </x:c>
      <x:c r="B459" s="2" t="s">
        <x:v>16</x:v>
      </x:c>
      <x:c r="C459" s="3">
        <x:v>7</x:v>
      </x:c>
      <x:c r="D459" s="2" t="s">
        <x:v>355</x:v>
      </x:c>
      <x:c r="E459" s="2" t="s">
        <x:v>338</x:v>
      </x:c>
      <x:c r="F459" s="2" t="s">
        <x:v>356</x:v>
      </x:c>
      <x:c r="G459" s="2" t="s">
        <x:v>2931</x:v>
      </x:c>
      <x:c r="H459" s="2" t="s">
        <x:v>96</x:v>
      </x:c>
      <x:c r="I459" s="2" t="s">
        <x:v>341</x:v>
      </x:c>
      <x:c r="J459" s="2" t="s">
        <x:v>312</x:v>
      </x:c>
      <x:c r="K459" s="2" t="n">
        <x:v>4</x:v>
      </x:c>
      <x:c r="L459" s="2" t="s">
        <x:v>357</x:v>
      </x:c>
      <x:c r="M459" s="2"/>
      <x:c r="N459" s="2"/>
      <x:c r="O459" s="2" t="s">
        <x:v>324</x:v>
      </x:c>
      <x:c r="P459" s="2" t="s">
        <x:v>358</x:v>
      </x:c>
      <x:c r="Q459" s="2"/>
      <x:c r="R459" s="3">
        <x:v>4</x:v>
      </x:c>
      <x:c r="S459" s="3"/>
      <x:c r="T459" s="2"/>
      <x:c r="U459" s="2"/>
      <x:c r="V459" s="2"/>
      <x:c r="W459" s="2"/>
      <x:c r="X459" s="3"/>
      <x:c r="Y459" s="3"/>
      <x:c r="Z459" s="2"/>
      <x:c r="AA459" s="2"/>
      <x:c r="AB459" s="2"/>
      <x:c r="AC459" s="2" t="s">
        <x:v>326</x:v>
      </x:c>
      <x:c r="AD459" s="2" t="s">
        <x:v>344</x:v>
      </x:c>
      <x:c r="AE459" s="2" t="s">
        <x:v>317</x:v>
      </x:c>
      <x:c r="AF459" s="2" t="s">
        <x:v>319</x:v>
      </x:c>
      <x:c r="AG459" s="2"/>
      <x:c r="AH459" s="2"/>
      <x:c r="AI459" s="4"/>
      <x:c r="AJ459" s="2"/>
      <x:c r="AK459" s="2" t="s">
        <x:v>320</x:v>
      </x:c>
      <x:c r="AL459" s="2" t="s">
        <x:v>2857</x:v>
      </x:c>
      <x:c r="AM459" s="2">
        <x:v>9</x:v>
      </x:c>
      <x:c r="AN459" s="2">
        <x:v>9</x:v>
      </x:c>
    </x:row>
    <x:row r="460" ht="39">
      <x:c r="A460" s="2" t="s">
        <x:v>91</x:v>
      </x:c>
      <x:c r="B460" s="2" t="s">
        <x:v>16</x:v>
      </x:c>
      <x:c r="C460" s="3">
        <x:v>8</x:v>
      </x:c>
      <x:c r="D460" s="2" t="s">
        <x:v>359</x:v>
      </x:c>
      <x:c r="E460" s="2" t="s">
        <x:v>360</x:v>
      </x:c>
      <x:c r="F460" s="2" t="s">
        <x:v>361</x:v>
      </x:c>
      <x:c r="G460" s="2" t="s">
        <x:v>2932</x:v>
      </x:c>
      <x:c r="H460" s="2" t="s">
        <x:v>96</x:v>
      </x:c>
      <x:c r="I460" s="2" t="s">
        <x:v>363</x:v>
      </x:c>
      <x:c r="J460" s="2" t="s">
        <x:v>364</x:v>
      </x:c>
      <x:c r="K460" s="2"/>
      <x:c r="L460" s="2" t="s">
        <x:v>365</x:v>
      </x:c>
      <x:c r="M460" s="2"/>
      <x:c r="N460" s="2"/>
      <x:c r="O460" s="2" t="s">
        <x:v>314</x:v>
      </x:c>
      <x:c r="P460" s="2" t="s">
        <x:v>366</x:v>
      </x:c>
      <x:c r="Q460" s="2"/>
      <x:c r="R460" s="3">
        <x:v>3</x:v>
      </x:c>
      <x:c r="S460" s="3"/>
      <x:c r="T460" s="2"/>
      <x:c r="U460" s="2"/>
      <x:c r="V460" s="2"/>
      <x:c r="W460" s="2"/>
      <x:c r="X460" s="3"/>
      <x:c r="Y460" s="3"/>
      <x:c r="Z460" s="2"/>
      <x:c r="AA460" s="2"/>
      <x:c r="AB460" s="2"/>
      <x:c r="AC460" s="2" t="s">
        <x:v>367</x:v>
      </x:c>
      <x:c r="AD460" s="2" t="s">
        <x:v>368</x:v>
      </x:c>
      <x:c r="AE460" s="2" t="s">
        <x:v>318</x:v>
      </x:c>
      <x:c r="AF460" s="2" t="s">
        <x:v>319</x:v>
      </x:c>
      <x:c r="AG460" s="2"/>
      <x:c r="AH460" s="2"/>
      <x:c r="AI460" s="4"/>
      <x:c r="AJ460" s="2"/>
      <x:c r="AK460" s="2" t="s">
        <x:v>320</x:v>
      </x:c>
      <x:c r="AL460" s="2" t="s">
        <x:v>2857</x:v>
      </x:c>
      <x:c r="AM460" s="2">
        <x:v>10</x:v>
      </x:c>
      <x:c r="AN460" s="2">
        <x:v>10</x:v>
      </x:c>
    </x:row>
    <x:row r="461" ht="39">
      <x:c r="A461" s="2" t="s">
        <x:v>6</x:v>
      </x:c>
      <x:c r="B461" s="2" t="s">
        <x:v>16</x:v>
      </x:c>
      <x:c r="C461" s="3">
        <x:v>9</x:v>
      </x:c>
      <x:c r="D461" s="2" t="s">
        <x:v>369</x:v>
      </x:c>
      <x:c r="E461" s="2" t="s">
        <x:v>360</x:v>
      </x:c>
      <x:c r="F461" s="2" t="s">
        <x:v>370</x:v>
      </x:c>
      <x:c r="G461" s="2" t="s">
        <x:v>2933</x:v>
      </x:c>
      <x:c r="H461" s="2" t="s">
        <x:v>96</x:v>
      </x:c>
      <x:c r="I461" s="2" t="s">
        <x:v>363</x:v>
      </x:c>
      <x:c r="J461" s="2" t="s">
        <x:v>364</x:v>
      </x:c>
      <x:c r="K461" s="2" t="n">
        <x:v>8</x:v>
      </x:c>
      <x:c r="L461" s="2" t="s">
        <x:v>372</x:v>
      </x:c>
      <x:c r="M461" s="2"/>
      <x:c r="N461" s="2"/>
      <x:c r="O461" s="2" t="s">
        <x:v>324</x:v>
      </x:c>
      <x:c r="P461" s="2" t="s">
        <x:v>373</x:v>
      </x:c>
      <x:c r="Q461" s="2"/>
      <x:c r="R461" s="3">
        <x:v>3</x:v>
      </x:c>
      <x:c r="S461" s="3"/>
      <x:c r="T461" s="2"/>
      <x:c r="U461" s="2"/>
      <x:c r="V461" s="2"/>
      <x:c r="W461" s="2"/>
      <x:c r="X461" s="3"/>
      <x:c r="Y461" s="3"/>
      <x:c r="Z461" s="2"/>
      <x:c r="AA461" s="2"/>
      <x:c r="AB461" s="2"/>
      <x:c r="AC461" s="2" t="s">
        <x:v>374</x:v>
      </x:c>
      <x:c r="AD461" s="2" t="s">
        <x:v>368</x:v>
      </x:c>
      <x:c r="AE461" s="2" t="s">
        <x:v>318</x:v>
      </x:c>
      <x:c r="AF461" s="2" t="s">
        <x:v>319</x:v>
      </x:c>
      <x:c r="AG461" s="2"/>
      <x:c r="AH461" s="2"/>
      <x:c r="AI461" s="4"/>
      <x:c r="AJ461" s="2"/>
      <x:c r="AK461" s="2" t="s">
        <x:v>320</x:v>
      </x:c>
      <x:c r="AL461" s="2" t="s">
        <x:v>2857</x:v>
      </x:c>
      <x:c r="AM461" s="2">
        <x:v>11</x:v>
      </x:c>
      <x:c r="AN461" s="2">
        <x:v>11</x:v>
      </x:c>
    </x:row>
    <x:row r="462" ht="39">
      <x:c r="A462" s="2" t="s">
        <x:v>6</x:v>
      </x:c>
      <x:c r="B462" s="2" t="s">
        <x:v>16</x:v>
      </x:c>
      <x:c r="C462" s="3">
        <x:v>10</x:v>
      </x:c>
      <x:c r="D462" s="2" t="s">
        <x:v>375</x:v>
      </x:c>
      <x:c r="E462" s="2" t="s">
        <x:v>360</x:v>
      </x:c>
      <x:c r="F462" s="2" t="s">
        <x:v>376</x:v>
      </x:c>
      <x:c r="G462" s="2"/>
      <x:c r="H462" s="2" t="s">
        <x:v>96</x:v>
      </x:c>
      <x:c r="I462" s="2" t="s">
        <x:v>363</x:v>
      </x:c>
      <x:c r="J462" s="2" t="s">
        <x:v>364</x:v>
      </x:c>
      <x:c r="K462" s="2" t="n">
        <x:v>8</x:v>
      </x:c>
      <x:c r="L462" s="2" t="s">
        <x:v>378</x:v>
      </x:c>
      <x:c r="M462" s="2"/>
      <x:c r="N462" s="2"/>
      <x:c r="O462" s="2" t="s">
        <x:v>324</x:v>
      </x:c>
      <x:c r="P462" s="2" t="s">
        <x:v>379</x:v>
      </x:c>
      <x:c r="Q462" s="2"/>
      <x:c r="R462" s="3">
        <x:v>3</x:v>
      </x:c>
      <x:c r="S462" s="3"/>
      <x:c r="T462" s="2"/>
      <x:c r="U462" s="2"/>
      <x:c r="V462" s="2"/>
      <x:c r="W462" s="2"/>
      <x:c r="X462" s="3"/>
      <x:c r="Y462" s="3"/>
      <x:c r="Z462" s="2"/>
      <x:c r="AA462" s="2"/>
      <x:c r="AB462" s="2"/>
      <x:c r="AC462" s="2" t="s">
        <x:v>367</x:v>
      </x:c>
      <x:c r="AD462" s="2" t="s">
        <x:v>318</x:v>
      </x:c>
      <x:c r="AE462" s="2" t="s">
        <x:v>368</x:v>
      </x:c>
      <x:c r="AF462" s="2" t="s">
        <x:v>319</x:v>
      </x:c>
      <x:c r="AG462" s="2"/>
      <x:c r="AH462" s="2"/>
      <x:c r="AI462" s="4"/>
      <x:c r="AJ462" s="2"/>
      <x:c r="AK462" s="2" t="s">
        <x:v>320</x:v>
      </x:c>
      <x:c r="AL462" s="2" t="s">
        <x:v>2857</x:v>
      </x:c>
      <x:c r="AM462" s="2">
        <x:v>12</x:v>
      </x:c>
      <x:c r="AN462" s="2">
        <x:v>12</x:v>
      </x:c>
    </x:row>
    <x:row r="463" ht="52">
      <x:c r="A463" s="2" t="s">
        <x:v>6</x:v>
      </x:c>
      <x:c r="B463" s="2" t="s">
        <x:v>16</x:v>
      </x:c>
      <x:c r="C463" s="3">
        <x:v>11</x:v>
      </x:c>
      <x:c r="D463" s="2" t="s">
        <x:v>380</x:v>
      </x:c>
      <x:c r="E463" s="2" t="s">
        <x:v>360</x:v>
      </x:c>
      <x:c r="F463" s="2" t="s">
        <x:v>381</x:v>
      </x:c>
      <x:c r="G463" s="2" t="s">
        <x:v>2934</x:v>
      </x:c>
      <x:c r="H463" s="2" t="s">
        <x:v>96</x:v>
      </x:c>
      <x:c r="I463" s="2" t="s">
        <x:v>363</x:v>
      </x:c>
      <x:c r="J463" s="2" t="s">
        <x:v>364</x:v>
      </x:c>
      <x:c r="K463" s="2" t="n">
        <x:v>8</x:v>
      </x:c>
      <x:c r="L463" s="2" t="s">
        <x:v>382</x:v>
      </x:c>
      <x:c r="M463" s="2"/>
      <x:c r="N463" s="2"/>
      <x:c r="O463" s="2" t="s">
        <x:v>324</x:v>
      </x:c>
      <x:c r="P463" s="2" t="s">
        <x:v>383</x:v>
      </x:c>
      <x:c r="Q463" s="2"/>
      <x:c r="R463" s="3">
        <x:v>3</x:v>
      </x:c>
      <x:c r="S463" s="3"/>
      <x:c r="T463" s="2"/>
      <x:c r="U463" s="2"/>
      <x:c r="V463" s="2"/>
      <x:c r="W463" s="2"/>
      <x:c r="X463" s="3"/>
      <x:c r="Y463" s="3"/>
      <x:c r="Z463" s="2"/>
      <x:c r="AA463" s="2"/>
      <x:c r="AB463" s="2"/>
      <x:c r="AC463" s="2" t="s">
        <x:v>374</x:v>
      </x:c>
      <x:c r="AD463" s="2" t="s">
        <x:v>318</x:v>
      </x:c>
      <x:c r="AE463" s="2" t="s">
        <x:v>368</x:v>
      </x:c>
      <x:c r="AF463" s="2" t="s">
        <x:v>319</x:v>
      </x:c>
      <x:c r="AG463" s="2"/>
      <x:c r="AH463" s="2"/>
      <x:c r="AI463" s="4"/>
      <x:c r="AJ463" s="2"/>
      <x:c r="AK463" s="2" t="s">
        <x:v>320</x:v>
      </x:c>
      <x:c r="AL463" s="2" t="s">
        <x:v>2857</x:v>
      </x:c>
      <x:c r="AM463" s="2">
        <x:v>13</x:v>
      </x:c>
      <x:c r="AN463" s="2">
        <x:v>13</x:v>
      </x:c>
    </x:row>
    <x:row r="464" ht="39">
      <x:c r="A464" s="2" t="s">
        <x:v>6</x:v>
      </x:c>
      <x:c r="B464" s="2" t="s">
        <x:v>16</x:v>
      </x:c>
      <x:c r="C464" s="3">
        <x:v>12</x:v>
      </x:c>
      <x:c r="D464" s="2" t="s">
        <x:v>1554</x:v>
      </x:c>
      <x:c r="E464" s="2" t="s">
        <x:v>1555</x:v>
      </x:c>
      <x:c r="F464" s="2" t="s">
        <x:v>1556</x:v>
      </x:c>
      <x:c r="G464" s="2" t="s">
        <x:v>2935</x:v>
      </x:c>
      <x:c r="H464" s="2" t="s">
        <x:v>96</x:v>
      </x:c>
      <x:c r="I464" s="2" t="s">
        <x:v>1557</x:v>
      </x:c>
      <x:c r="J464" s="2" t="s">
        <x:v>364</x:v>
      </x:c>
      <x:c r="K464" s="2"/>
      <x:c r="L464" s="2" t="s">
        <x:v>1558</x:v>
      </x:c>
      <x:c r="M464" s="2"/>
      <x:c r="N464" s="2"/>
      <x:c r="O464" s="2" t="s">
        <x:v>314</x:v>
      </x:c>
      <x:c r="P464" s="2" t="s">
        <x:v>1559</x:v>
      </x:c>
      <x:c r="Q464" s="2"/>
      <x:c r="R464" s="3">
        <x:v>4</x:v>
      </x:c>
      <x:c r="S464" s="3"/>
      <x:c r="T464" s="2"/>
      <x:c r="U464" s="2"/>
      <x:c r="V464" s="2"/>
      <x:c r="W464" s="2"/>
      <x:c r="X464" s="3"/>
      <x:c r="Y464" s="3"/>
      <x:c r="Z464" s="2"/>
      <x:c r="AA464" s="2"/>
      <x:c r="AB464" s="2"/>
      <x:c r="AC464" s="2" t="s">
        <x:v>367</x:v>
      </x:c>
      <x:c r="AD464" s="2" t="s">
        <x:v>368</x:v>
      </x:c>
      <x:c r="AE464" s="2" t="s">
        <x:v>344</x:v>
      </x:c>
      <x:c r="AF464" s="2" t="s">
        <x:v>319</x:v>
      </x:c>
      <x:c r="AG464" s="2"/>
      <x:c r="AH464" s="2"/>
      <x:c r="AI464" s="4"/>
      <x:c r="AJ464" s="2"/>
      <x:c r="AK464" s="2" t="s">
        <x:v>320</x:v>
      </x:c>
      <x:c r="AL464" s="2" t="s">
        <x:v>2857</x:v>
      </x:c>
      <x:c r="AM464" s="2">
        <x:v>14</x:v>
      </x:c>
      <x:c r="AN464" s="2">
        <x:v>14</x:v>
      </x:c>
    </x:row>
    <x:row r="465" ht="39">
      <x:c r="A465" s="2" t="s">
        <x:v>6</x:v>
      </x:c>
      <x:c r="B465" s="2" t="s">
        <x:v>16</x:v>
      </x:c>
      <x:c r="C465" s="3">
        <x:v>13</x:v>
      </x:c>
      <x:c r="D465" s="2" t="s">
        <x:v>1560</x:v>
      </x:c>
      <x:c r="E465" s="2" t="s">
        <x:v>1555</x:v>
      </x:c>
      <x:c r="F465" s="2" t="s">
        <x:v>1561</x:v>
      </x:c>
      <x:c r="G465" s="2"/>
      <x:c r="H465" s="2" t="s">
        <x:v>96</x:v>
      </x:c>
      <x:c r="I465" s="2" t="s">
        <x:v>1557</x:v>
      </x:c>
      <x:c r="J465" s="2" t="s">
        <x:v>364</x:v>
      </x:c>
      <x:c r="K465" s="2" t="n">
        <x:v>12</x:v>
      </x:c>
      <x:c r="L465" s="2" t="s">
        <x:v>1563</x:v>
      </x:c>
      <x:c r="M465" s="2"/>
      <x:c r="N465" s="2"/>
      <x:c r="O465" s="2" t="s">
        <x:v>324</x:v>
      </x:c>
      <x:c r="P465" s="2" t="s">
        <x:v>1564</x:v>
      </x:c>
      <x:c r="Q465" s="2"/>
      <x:c r="R465" s="3">
        <x:v>4</x:v>
      </x:c>
      <x:c r="S465" s="3"/>
      <x:c r="T465" s="2"/>
      <x:c r="U465" s="2"/>
      <x:c r="V465" s="2"/>
      <x:c r="W465" s="2"/>
      <x:c r="X465" s="3"/>
      <x:c r="Y465" s="3"/>
      <x:c r="Z465" s="2"/>
      <x:c r="AA465" s="2"/>
      <x:c r="AB465" s="2"/>
      <x:c r="AC465" s="2" t="s">
        <x:v>374</x:v>
      </x:c>
      <x:c r="AD465" s="2" t="s">
        <x:v>368</x:v>
      </x:c>
      <x:c r="AE465" s="2" t="s">
        <x:v>344</x:v>
      </x:c>
      <x:c r="AF465" s="2" t="s">
        <x:v>319</x:v>
      </x:c>
      <x:c r="AG465" s="2"/>
      <x:c r="AH465" s="2"/>
      <x:c r="AI465" s="4"/>
      <x:c r="AJ465" s="2"/>
      <x:c r="AK465" s="2" t="s">
        <x:v>320</x:v>
      </x:c>
      <x:c r="AL465" s="2" t="s">
        <x:v>2857</x:v>
      </x:c>
      <x:c r="AM465" s="2">
        <x:v>15</x:v>
      </x:c>
      <x:c r="AN465" s="2">
        <x:v>15</x:v>
      </x:c>
    </x:row>
    <x:row r="466" ht="39">
      <x:c r="A466" s="2" t="s">
        <x:v>6</x:v>
      </x:c>
      <x:c r="B466" s="2" t="s">
        <x:v>16</x:v>
      </x:c>
      <x:c r="C466" s="3">
        <x:v>14</x:v>
      </x:c>
      <x:c r="D466" s="2" t="s">
        <x:v>1565</x:v>
      </x:c>
      <x:c r="E466" s="2" t="s">
        <x:v>1555</x:v>
      </x:c>
      <x:c r="F466" s="2" t="s">
        <x:v>1566</x:v>
      </x:c>
      <x:c r="G466" s="2"/>
      <x:c r="H466" s="2" t="s">
        <x:v>96</x:v>
      </x:c>
      <x:c r="I466" s="2" t="s">
        <x:v>1557</x:v>
      </x:c>
      <x:c r="J466" s="2" t="s">
        <x:v>364</x:v>
      </x:c>
      <x:c r="K466" s="2" t="n">
        <x:v>12</x:v>
      </x:c>
      <x:c r="L466" s="2" t="s">
        <x:v>1568</x:v>
      </x:c>
      <x:c r="M466" s="2"/>
      <x:c r="N466" s="2"/>
      <x:c r="O466" s="2" t="s">
        <x:v>324</x:v>
      </x:c>
      <x:c r="P466" s="2" t="s">
        <x:v>1569</x:v>
      </x:c>
      <x:c r="Q466" s="2"/>
      <x:c r="R466" s="3">
        <x:v>4</x:v>
      </x:c>
      <x:c r="S466" s="3"/>
      <x:c r="T466" s="2"/>
      <x:c r="U466" s="2"/>
      <x:c r="V466" s="2"/>
      <x:c r="W466" s="2"/>
      <x:c r="X466" s="3"/>
      <x:c r="Y466" s="3"/>
      <x:c r="Z466" s="2"/>
      <x:c r="AA466" s="2"/>
      <x:c r="AB466" s="2"/>
      <x:c r="AC466" s="2" t="s">
        <x:v>367</x:v>
      </x:c>
      <x:c r="AD466" s="2" t="s">
        <x:v>344</x:v>
      </x:c>
      <x:c r="AE466" s="2" t="s">
        <x:v>368</x:v>
      </x:c>
      <x:c r="AF466" s="2" t="s">
        <x:v>319</x:v>
      </x:c>
      <x:c r="AG466" s="2"/>
      <x:c r="AH466" s="2"/>
      <x:c r="AI466" s="4"/>
      <x:c r="AJ466" s="2"/>
      <x:c r="AK466" s="2" t="s">
        <x:v>320</x:v>
      </x:c>
      <x:c r="AL466" s="2" t="s">
        <x:v>2857</x:v>
      </x:c>
      <x:c r="AM466" s="2">
        <x:v>16</x:v>
      </x:c>
      <x:c r="AN466" s="2">
        <x:v>16</x:v>
      </x:c>
    </x:row>
    <x:row r="467" ht="39">
      <x:c r="A467" s="2" t="s">
        <x:v>6</x:v>
      </x:c>
      <x:c r="B467" s="2" t="s">
        <x:v>16</x:v>
      </x:c>
      <x:c r="C467" s="3">
        <x:v>15</x:v>
      </x:c>
      <x:c r="D467" s="2" t="s">
        <x:v>1570</x:v>
      </x:c>
      <x:c r="E467" s="2" t="s">
        <x:v>1555</x:v>
      </x:c>
      <x:c r="F467" s="2" t="s">
        <x:v>1571</x:v>
      </x:c>
      <x:c r="G467" s="2"/>
      <x:c r="H467" s="2" t="s">
        <x:v>96</x:v>
      </x:c>
      <x:c r="I467" s="2" t="s">
        <x:v>1557</x:v>
      </x:c>
      <x:c r="J467" s="2" t="s">
        <x:v>364</x:v>
      </x:c>
      <x:c r="K467" s="2" t="n">
        <x:v>12</x:v>
      </x:c>
      <x:c r="L467" s="2" t="s">
        <x:v>1572</x:v>
      </x:c>
      <x:c r="M467" s="2"/>
      <x:c r="N467" s="2"/>
      <x:c r="O467" s="2" t="s">
        <x:v>324</x:v>
      </x:c>
      <x:c r="P467" s="2" t="s">
        <x:v>1573</x:v>
      </x:c>
      <x:c r="Q467" s="2"/>
      <x:c r="R467" s="3">
        <x:v>4</x:v>
      </x:c>
      <x:c r="S467" s="3"/>
      <x:c r="T467" s="2"/>
      <x:c r="U467" s="2"/>
      <x:c r="V467" s="2"/>
      <x:c r="W467" s="2"/>
      <x:c r="X467" s="3"/>
      <x:c r="Y467" s="3"/>
      <x:c r="Z467" s="2"/>
      <x:c r="AA467" s="2"/>
      <x:c r="AB467" s="2"/>
      <x:c r="AC467" s="2" t="s">
        <x:v>374</x:v>
      </x:c>
      <x:c r="AD467" s="2" t="s">
        <x:v>344</x:v>
      </x:c>
      <x:c r="AE467" s="2" t="s">
        <x:v>368</x:v>
      </x:c>
      <x:c r="AF467" s="2" t="s">
        <x:v>319</x:v>
      </x:c>
      <x:c r="AG467" s="2"/>
      <x:c r="AH467" s="2"/>
      <x:c r="AI467" s="4"/>
      <x:c r="AJ467" s="2"/>
      <x:c r="AK467" s="2" t="s">
        <x:v>320</x:v>
      </x:c>
      <x:c r="AL467" s="2" t="s">
        <x:v>2857</x:v>
      </x:c>
      <x:c r="AM467" s="2">
        <x:v>17</x:v>
      </x:c>
      <x:c r="AN467" s="2">
        <x:v>17</x:v>
      </x:c>
    </x:row>
    <x:row r="468" ht="39">
      <x:c r="A468" s="2" t="s">
        <x:v>6</x:v>
      </x:c>
      <x:c r="B468" s="2" t="s">
        <x:v>16</x:v>
      </x:c>
      <x:c r="C468" s="3">
        <x:v>16</x:v>
      </x:c>
      <x:c r="D468" s="2" t="s">
        <x:v>1574</x:v>
      </x:c>
      <x:c r="E468" s="2" t="s">
        <x:v>1575</x:v>
      </x:c>
      <x:c r="F468" s="2" t="s">
        <x:v>1576</x:v>
      </x:c>
      <x:c r="G468" s="2" t="s">
        <x:v>2936</x:v>
      </x:c>
      <x:c r="H468" s="2" t="s">
        <x:v>96</x:v>
      </x:c>
      <x:c r="I468" s="2" t="s">
        <x:v>1577</x:v>
      </x:c>
      <x:c r="J468" s="2" t="s">
        <x:v>1578</x:v>
      </x:c>
      <x:c r="K468" s="2"/>
      <x:c r="L468" s="2" t="s">
        <x:v>1579</x:v>
      </x:c>
      <x:c r="M468" s="2"/>
      <x:c r="N468" s="2"/>
      <x:c r="O468" s="2" t="s">
        <x:v>314</x:v>
      </x:c>
      <x:c r="P468" s="2" t="s">
        <x:v>1580</x:v>
      </x:c>
      <x:c r="Q468" s="2"/>
      <x:c r="R468" s="3">
        <x:v>4</x:v>
      </x:c>
      <x:c r="S468" s="3"/>
      <x:c r="T468" s="2"/>
      <x:c r="U468" s="2"/>
      <x:c r="V468" s="2"/>
      <x:c r="W468" s="2"/>
      <x:c r="X468" s="3"/>
      <x:c r="Y468" s="3"/>
      <x:c r="Z468" s="2"/>
      <x:c r="AA468" s="2"/>
      <x:c r="AB468" s="2"/>
      <x:c r="AC468" s="2" t="s">
        <x:v>367</x:v>
      </x:c>
      <x:c r="AD468" s="2" t="s">
        <x:v>317</x:v>
      </x:c>
      <x:c r="AE468" s="2" t="s">
        <x:v>318</x:v>
      </x:c>
      <x:c r="AF468" s="2" t="s">
        <x:v>319</x:v>
      </x:c>
      <x:c r="AG468" s="2"/>
      <x:c r="AH468" s="2"/>
      <x:c r="AI468" s="4"/>
      <x:c r="AJ468" s="2"/>
      <x:c r="AK468" s="2" t="s">
        <x:v>320</x:v>
      </x:c>
      <x:c r="AL468" s="2" t="s">
        <x:v>2857</x:v>
      </x:c>
      <x:c r="AM468" s="2">
        <x:v>18</x:v>
      </x:c>
      <x:c r="AN468" s="2">
        <x:v>18</x:v>
      </x:c>
    </x:row>
    <x:row r="469" ht="39">
      <x:c r="A469" s="2" t="s">
        <x:v>6</x:v>
      </x:c>
      <x:c r="B469" s="2" t="s">
        <x:v>16</x:v>
      </x:c>
      <x:c r="C469" s="3">
        <x:v>17</x:v>
      </x:c>
      <x:c r="D469" s="2" t="s">
        <x:v>1581</x:v>
      </x:c>
      <x:c r="E469" s="2" t="s">
        <x:v>1575</x:v>
      </x:c>
      <x:c r="F469" s="2" t="s">
        <x:v>1582</x:v>
      </x:c>
      <x:c r="G469" s="2"/>
      <x:c r="H469" s="2" t="s">
        <x:v>96</x:v>
      </x:c>
      <x:c r="I469" s="2" t="s">
        <x:v>1577</x:v>
      </x:c>
      <x:c r="J469" s="2" t="s">
        <x:v>1578</x:v>
      </x:c>
      <x:c r="K469" s="2" t="n">
        <x:v>16</x:v>
      </x:c>
      <x:c r="L469" s="2" t="s">
        <x:v>1583</x:v>
      </x:c>
      <x:c r="M469" s="2"/>
      <x:c r="N469" s="2"/>
      <x:c r="O469" s="2" t="s">
        <x:v>324</x:v>
      </x:c>
      <x:c r="P469" s="2" t="s">
        <x:v>1584</x:v>
      </x:c>
      <x:c r="Q469" s="2"/>
      <x:c r="R469" s="3">
        <x:v>4</x:v>
      </x:c>
      <x:c r="S469" s="3"/>
      <x:c r="T469" s="2"/>
      <x:c r="U469" s="2"/>
      <x:c r="V469" s="2"/>
      <x:c r="W469" s="2"/>
      <x:c r="X469" s="3"/>
      <x:c r="Y469" s="3"/>
      <x:c r="Z469" s="2"/>
      <x:c r="AA469" s="2"/>
      <x:c r="AB469" s="2"/>
      <x:c r="AC469" s="2" t="s">
        <x:v>374</x:v>
      </x:c>
      <x:c r="AD469" s="2" t="s">
        <x:v>318</x:v>
      </x:c>
      <x:c r="AE469" s="2" t="s">
        <x:v>317</x:v>
      </x:c>
      <x:c r="AF469" s="2" t="s">
        <x:v>319</x:v>
      </x:c>
      <x:c r="AG469" s="2"/>
      <x:c r="AH469" s="2"/>
      <x:c r="AI469" s="4"/>
      <x:c r="AJ469" s="2"/>
      <x:c r="AK469" s="2" t="s">
        <x:v>320</x:v>
      </x:c>
      <x:c r="AL469" s="2" t="s">
        <x:v>2857</x:v>
      </x:c>
      <x:c r="AM469" s="2">
        <x:v>19</x:v>
      </x:c>
      <x:c r="AN469" s="2">
        <x:v>19</x:v>
      </x:c>
    </x:row>
    <x:row r="470" ht="39">
      <x:c r="A470" s="2" t="s">
        <x:v>6</x:v>
      </x:c>
      <x:c r="B470" s="2" t="s">
        <x:v>16</x:v>
      </x:c>
      <x:c r="C470" s="3">
        <x:v>18</x:v>
      </x:c>
      <x:c r="D470" s="2" t="s">
        <x:v>1585</x:v>
      </x:c>
      <x:c r="E470" s="2" t="s">
        <x:v>1575</x:v>
      </x:c>
      <x:c r="F470" s="2" t="s">
        <x:v>1586</x:v>
      </x:c>
      <x:c r="G470" s="2"/>
      <x:c r="H470" s="2" t="s">
        <x:v>96</x:v>
      </x:c>
      <x:c r="I470" s="2" t="s">
        <x:v>1577</x:v>
      </x:c>
      <x:c r="J470" s="2" t="s">
        <x:v>1578</x:v>
      </x:c>
      <x:c r="K470" s="2" t="n">
        <x:v>16</x:v>
      </x:c>
      <x:c r="L470" s="2" t="s">
        <x:v>1587</x:v>
      </x:c>
      <x:c r="M470" s="2"/>
      <x:c r="N470" s="2"/>
      <x:c r="O470" s="2" t="s">
        <x:v>324</x:v>
      </x:c>
      <x:c r="P470" s="2" t="s">
        <x:v>1588</x:v>
      </x:c>
      <x:c r="Q470" s="2"/>
      <x:c r="R470" s="3">
        <x:v>4</x:v>
      </x:c>
      <x:c r="S470" s="3"/>
      <x:c r="T470" s="2"/>
      <x:c r="U470" s="2"/>
      <x:c r="V470" s="2"/>
      <x:c r="W470" s="2"/>
      <x:c r="X470" s="3"/>
      <x:c r="Y470" s="3"/>
      <x:c r="Z470" s="2"/>
      <x:c r="AA470" s="2"/>
      <x:c r="AB470" s="2"/>
      <x:c r="AC470" s="2" t="s">
        <x:v>316</x:v>
      </x:c>
      <x:c r="AD470" s="2" t="s">
        <x:v>368</x:v>
      </x:c>
      <x:c r="AE470" s="2" t="s">
        <x:v>344</x:v>
      </x:c>
      <x:c r="AF470" s="2" t="s">
        <x:v>319</x:v>
      </x:c>
      <x:c r="AG470" s="2"/>
      <x:c r="AH470" s="2"/>
      <x:c r="AI470" s="4"/>
      <x:c r="AJ470" s="2"/>
      <x:c r="AK470" s="2" t="s">
        <x:v>320</x:v>
      </x:c>
      <x:c r="AL470" s="2" t="s">
        <x:v>2857</x:v>
      </x:c>
      <x:c r="AM470" s="2">
        <x:v>20</x:v>
      </x:c>
      <x:c r="AN470" s="2">
        <x:v>20</x:v>
      </x:c>
    </x:row>
    <x:row r="471" ht="39">
      <x:c r="A471" s="2" t="s">
        <x:v>6</x:v>
      </x:c>
      <x:c r="B471" s="2" t="s">
        <x:v>16</x:v>
      </x:c>
      <x:c r="C471" s="3">
        <x:v>19</x:v>
      </x:c>
      <x:c r="D471" s="2" t="s">
        <x:v>1589</x:v>
      </x:c>
      <x:c r="E471" s="2" t="s">
        <x:v>1575</x:v>
      </x:c>
      <x:c r="F471" s="2" t="s">
        <x:v>1590</x:v>
      </x:c>
      <x:c r="G471" s="2" t="s">
        <x:v>2937</x:v>
      </x:c>
      <x:c r="H471" s="2" t="s">
        <x:v>96</x:v>
      </x:c>
      <x:c r="I471" s="2" t="s">
        <x:v>1577</x:v>
      </x:c>
      <x:c r="J471" s="2" t="s">
        <x:v>1578</x:v>
      </x:c>
      <x:c r="K471" s="2" t="n">
        <x:v>16</x:v>
      </x:c>
      <x:c r="L471" s="2" t="s">
        <x:v>1591</x:v>
      </x:c>
      <x:c r="M471" s="2"/>
      <x:c r="N471" s="2"/>
      <x:c r="O471" s="2" t="s">
        <x:v>324</x:v>
      </x:c>
      <x:c r="P471" s="2" t="s">
        <x:v>1592</x:v>
      </x:c>
      <x:c r="Q471" s="2"/>
      <x:c r="R471" s="3">
        <x:v>4</x:v>
      </x:c>
      <x:c r="S471" s="3"/>
      <x:c r="T471" s="2"/>
      <x:c r="U471" s="2"/>
      <x:c r="V471" s="2"/>
      <x:c r="W471" s="2"/>
      <x:c r="X471" s="3"/>
      <x:c r="Y471" s="3"/>
      <x:c r="Z471" s="2"/>
      <x:c r="AA471" s="2"/>
      <x:c r="AB471" s="2"/>
      <x:c r="AC471" s="2" t="s">
        <x:v>326</x:v>
      </x:c>
      <x:c r="AD471" s="2" t="s">
        <x:v>344</x:v>
      </x:c>
      <x:c r="AE471" s="2" t="s">
        <x:v>368</x:v>
      </x:c>
      <x:c r="AF471" s="2" t="s">
        <x:v>319</x:v>
      </x:c>
      <x:c r="AG471" s="2"/>
      <x:c r="AH471" s="2"/>
      <x:c r="AI471" s="4"/>
      <x:c r="AJ471" s="2"/>
      <x:c r="AK471" s="2" t="s">
        <x:v>320</x:v>
      </x:c>
      <x:c r="AL471" s="2" t="s">
        <x:v>2857</x:v>
      </x:c>
      <x:c r="AM471" s="2">
        <x:v>21</x:v>
      </x:c>
      <x:c r="AN471" s="2">
        <x:v>21</x:v>
      </x:c>
    </x:row>
    <x:row r="472" ht="52">
      <x:c r="A472" s="2" t="s">
        <x:v>6</x:v>
      </x:c>
      <x:c r="B472" s="2" t="s">
        <x:v>16</x:v>
      </x:c>
      <x:c r="C472" s="3">
        <x:v>20</x:v>
      </x:c>
      <x:c r="D472" s="2" t="s">
        <x:v>1593</x:v>
      </x:c>
      <x:c r="E472" s="2" t="s">
        <x:v>1594</x:v>
      </x:c>
      <x:c r="F472" s="2" t="s">
        <x:v>1595</x:v>
      </x:c>
      <x:c r="G472" s="2"/>
      <x:c r="H472" s="2" t="s">
        <x:v>618</x:v>
      </x:c>
      <x:c r="I472" s="2" t="s">
        <x:v>1597</x:v>
      </x:c>
      <x:c r="J472" s="2" t="s">
        <x:v>1598</x:v>
      </x:c>
      <x:c r="K472" s="2"/>
      <x:c r="L472" s="2" t="s">
        <x:v>1599</x:v>
      </x:c>
      <x:c r="M472" s="2"/>
      <x:c r="N472" s="2"/>
      <x:c r="O472" s="2" t="s">
        <x:v>1600</x:v>
      </x:c>
      <x:c r="P472" s="2" t="s">
        <x:v>1601</x:v>
      </x:c>
      <x:c r="Q472" s="2"/>
      <x:c r="R472" s="3">
        <x:v>3</x:v>
      </x:c>
      <x:c r="S472" s="3"/>
      <x:c r="T472" s="2"/>
      <x:c r="U472" s="2"/>
      <x:c r="V472" s="2"/>
      <x:c r="W472" s="2"/>
      <x:c r="X472" s="3"/>
      <x:c r="Y472" s="3"/>
      <x:c r="Z472" s="2"/>
      <x:c r="AA472" s="2"/>
      <x:c r="AB472" s="2"/>
      <x:c r="AC472" s="2" t="s">
        <x:v>316</x:v>
      </x:c>
      <x:c r="AD472" s="2" t="s">
        <x:v>317</x:v>
      </x:c>
      <x:c r="AE472" s="2" t="s">
        <x:v>368</x:v>
      </x:c>
      <x:c r="AF472" s="2" t="s">
        <x:v>319</x:v>
      </x:c>
      <x:c r="AG472" s="2"/>
      <x:c r="AH472" s="2"/>
      <x:c r="AI472" s="4"/>
      <x:c r="AJ472" s="2"/>
      <x:c r="AK472" s="2" t="s">
        <x:v>320</x:v>
      </x:c>
      <x:c r="AL472" s="2" t="s">
        <x:v>2857</x:v>
      </x:c>
      <x:c r="AM472" s="2">
        <x:v>22</x:v>
      </x:c>
      <x:c r="AN472" s="2">
        <x:v>22</x:v>
      </x:c>
    </x:row>
    <x:row r="473" ht="52">
      <x:c r="A473" s="2" t="s">
        <x:v>91</x:v>
      </x:c>
      <x:c r="B473" s="2" t="s">
        <x:v>16</x:v>
      </x:c>
      <x:c r="C473" s="3">
        <x:v>21</x:v>
      </x:c>
      <x:c r="D473" s="2" t="s">
        <x:v>1602</x:v>
      </x:c>
      <x:c r="E473" s="2" t="s">
        <x:v>1594</x:v>
      </x:c>
      <x:c r="F473" s="2" t="s">
        <x:v>1603</x:v>
      </x:c>
      <x:c r="G473" s="2" t="s">
        <x:v>2938</x:v>
      </x:c>
      <x:c r="H473" s="2" t="s">
        <x:v>618</x:v>
      </x:c>
      <x:c r="I473" s="2" t="s">
        <x:v>1597</x:v>
      </x:c>
      <x:c r="J473" s="2" t="s">
        <x:v>1598</x:v>
      </x:c>
      <x:c r="K473" s="2" t="n">
        <x:v>20</x:v>
      </x:c>
      <x:c r="L473" s="2" t="s">
        <x:v>1604</x:v>
      </x:c>
      <x:c r="M473" s="2"/>
      <x:c r="N473" s="2"/>
      <x:c r="O473" s="2" t="s">
        <x:v>1605</x:v>
      </x:c>
      <x:c r="P473" s="2" t="s">
        <x:v>1606</x:v>
      </x:c>
      <x:c r="Q473" s="2"/>
      <x:c r="R473" s="3">
        <x:v>3</x:v>
      </x:c>
      <x:c r="S473" s="3"/>
      <x:c r="T473" s="2"/>
      <x:c r="U473" s="2"/>
      <x:c r="V473" s="2"/>
      <x:c r="W473" s="2"/>
      <x:c r="X473" s="3"/>
      <x:c r="Y473" s="3"/>
      <x:c r="Z473" s="2"/>
      <x:c r="AA473" s="2"/>
      <x:c r="AB473" s="2"/>
      <x:c r="AC473" s="2" t="s">
        <x:v>326</x:v>
      </x:c>
      <x:c r="AD473" s="2" t="s">
        <x:v>317</x:v>
      </x:c>
      <x:c r="AE473" s="2" t="s">
        <x:v>368</x:v>
      </x:c>
      <x:c r="AF473" s="2" t="s">
        <x:v>319</x:v>
      </x:c>
      <x:c r="AG473" s="2"/>
      <x:c r="AH473" s="2"/>
      <x:c r="AI473" s="4"/>
      <x:c r="AJ473" s="2"/>
      <x:c r="AK473" s="2" t="s">
        <x:v>320</x:v>
      </x:c>
      <x:c r="AL473" s="2" t="s">
        <x:v>2857</x:v>
      </x:c>
      <x:c r="AM473" s="2">
        <x:v>23</x:v>
      </x:c>
      <x:c r="AN473" s="2">
        <x:v>23</x:v>
      </x:c>
    </x:row>
    <x:row r="474" ht="52">
      <x:c r="A474" s="2" t="s">
        <x:v>6</x:v>
      </x:c>
      <x:c r="B474" s="2" t="s">
        <x:v>16</x:v>
      </x:c>
      <x:c r="C474" s="3">
        <x:v>22</x:v>
      </x:c>
      <x:c r="D474" s="2" t="s">
        <x:v>1607</x:v>
      </x:c>
      <x:c r="E474" s="2" t="s">
        <x:v>1594</x:v>
      </x:c>
      <x:c r="F474" s="2" t="s">
        <x:v>1608</x:v>
      </x:c>
      <x:c r="G474" s="2" t="s">
        <x:v>2939</x:v>
      </x:c>
      <x:c r="H474" s="2" t="s">
        <x:v>618</x:v>
      </x:c>
      <x:c r="I474" s="2" t="s">
        <x:v>1597</x:v>
      </x:c>
      <x:c r="J474" s="2" t="s">
        <x:v>1598</x:v>
      </x:c>
      <x:c r="K474" s="2" t="n">
        <x:v>20</x:v>
      </x:c>
      <x:c r="L474" s="2" t="s">
        <x:v>1609</x:v>
      </x:c>
      <x:c r="M474" s="2"/>
      <x:c r="N474" s="2"/>
      <x:c r="O474" s="2" t="s">
        <x:v>1605</x:v>
      </x:c>
      <x:c r="P474" s="2" t="s">
        <x:v>1610</x:v>
      </x:c>
      <x:c r="Q474" s="2"/>
      <x:c r="R474" s="3">
        <x:v>3</x:v>
      </x:c>
      <x:c r="S474" s="3"/>
      <x:c r="T474" s="2"/>
      <x:c r="U474" s="2"/>
      <x:c r="V474" s="2"/>
      <x:c r="W474" s="2"/>
      <x:c r="X474" s="3"/>
      <x:c r="Y474" s="3"/>
      <x:c r="Z474" s="2"/>
      <x:c r="AA474" s="2"/>
      <x:c r="AB474" s="2"/>
      <x:c r="AC474" s="2" t="s">
        <x:v>316</x:v>
      </x:c>
      <x:c r="AD474" s="2" t="s">
        <x:v>368</x:v>
      </x:c>
      <x:c r="AE474" s="2" t="s">
        <x:v>317</x:v>
      </x:c>
      <x:c r="AF474" s="2" t="s">
        <x:v>319</x:v>
      </x:c>
      <x:c r="AG474" s="2"/>
      <x:c r="AH474" s="2"/>
      <x:c r="AI474" s="4"/>
      <x:c r="AJ474" s="2"/>
      <x:c r="AK474" s="2" t="s">
        <x:v>320</x:v>
      </x:c>
      <x:c r="AL474" s="2" t="s">
        <x:v>2857</x:v>
      </x:c>
      <x:c r="AM474" s="2">
        <x:v>24</x:v>
      </x:c>
      <x:c r="AN474" s="2">
        <x:v>24</x:v>
      </x:c>
    </x:row>
    <x:row r="475" ht="65">
      <x:c r="A475" s="2" t="s">
        <x:v>91</x:v>
      </x:c>
      <x:c r="B475" s="2" t="s">
        <x:v>16</x:v>
      </x:c>
      <x:c r="C475" s="3">
        <x:v>23</x:v>
      </x:c>
      <x:c r="D475" s="2" t="s">
        <x:v>1611</x:v>
      </x:c>
      <x:c r="E475" s="2" t="s">
        <x:v>1594</x:v>
      </x:c>
      <x:c r="F475" s="2" t="s">
        <x:v>1612</x:v>
      </x:c>
      <x:c r="G475" s="2" t="s">
        <x:v>2940</x:v>
      </x:c>
      <x:c r="H475" s="2" t="s">
        <x:v>618</x:v>
      </x:c>
      <x:c r="I475" s="2" t="s">
        <x:v>1597</x:v>
      </x:c>
      <x:c r="J475" s="2" t="s">
        <x:v>1598</x:v>
      </x:c>
      <x:c r="K475" s="2" t="n">
        <x:v>20</x:v>
      </x:c>
      <x:c r="L475" s="2" t="s">
        <x:v>1613</x:v>
      </x:c>
      <x:c r="M475" s="2"/>
      <x:c r="N475" s="2"/>
      <x:c r="O475" s="2" t="s">
        <x:v>1605</x:v>
      </x:c>
      <x:c r="P475" s="2" t="s">
        <x:v>1614</x:v>
      </x:c>
      <x:c r="Q475" s="2"/>
      <x:c r="R475" s="3">
        <x:v>3</x:v>
      </x:c>
      <x:c r="S475" s="3"/>
      <x:c r="T475" s="2"/>
      <x:c r="U475" s="2"/>
      <x:c r="V475" s="2"/>
      <x:c r="W475" s="2"/>
      <x:c r="X475" s="3"/>
      <x:c r="Y475" s="3"/>
      <x:c r="Z475" s="2"/>
      <x:c r="AA475" s="2"/>
      <x:c r="AB475" s="2"/>
      <x:c r="AC475" s="2" t="s">
        <x:v>326</x:v>
      </x:c>
      <x:c r="AD475" s="2" t="s">
        <x:v>368</x:v>
      </x:c>
      <x:c r="AE475" s="2" t="s">
        <x:v>317</x:v>
      </x:c>
      <x:c r="AF475" s="2" t="s">
        <x:v>319</x:v>
      </x:c>
      <x:c r="AG475" s="2"/>
      <x:c r="AH475" s="2"/>
      <x:c r="AI475" s="4"/>
      <x:c r="AJ475" s="2"/>
      <x:c r="AK475" s="2" t="s">
        <x:v>320</x:v>
      </x:c>
      <x:c r="AL475" s="2" t="s">
        <x:v>2857</x:v>
      </x:c>
      <x:c r="AM475" s="2">
        <x:v>25</x:v>
      </x:c>
      <x:c r="AN475" s="2">
        <x:v>25</x:v>
      </x:c>
    </x:row>
    <x:row r="476" ht="52">
      <x:c r="A476" s="2" t="s">
        <x:v>91</x:v>
      </x:c>
      <x:c r="B476" s="2" t="s">
        <x:v>16</x:v>
      </x:c>
      <x:c r="C476" s="3">
        <x:v>24</x:v>
      </x:c>
      <x:c r="D476" s="2" t="s">
        <x:v>1593</x:v>
      </x:c>
      <x:c r="E476" s="2" t="s">
        <x:v>1615</x:v>
      </x:c>
      <x:c r="F476" s="2" t="s">
        <x:v>1595</x:v>
      </x:c>
      <x:c r="G476" s="2" t="s">
        <x:v>2941</x:v>
      </x:c>
      <x:c r="H476" s="2" t="s">
        <x:v>618</x:v>
      </x:c>
      <x:c r="I476" s="2" t="s">
        <x:v>1616</x:v>
      </x:c>
      <x:c r="J476" s="2" t="s">
        <x:v>1598</x:v>
      </x:c>
      <x:c r="K476" s="2"/>
      <x:c r="L476" s="2" t="s">
        <x:v>1617</x:v>
      </x:c>
      <x:c r="M476" s="2"/>
      <x:c r="N476" s="2"/>
      <x:c r="O476" s="2" t="s">
        <x:v>1600</x:v>
      </x:c>
      <x:c r="P476" s="2" t="s">
        <x:v>1618</x:v>
      </x:c>
      <x:c r="Q476" s="2"/>
      <x:c r="R476" s="3">
        <x:v>4</x:v>
      </x:c>
      <x:c r="S476" s="3"/>
      <x:c r="T476" s="2"/>
      <x:c r="U476" s="2"/>
      <x:c r="V476" s="2"/>
      <x:c r="W476" s="2"/>
      <x:c r="X476" s="3"/>
      <x:c r="Y476" s="3"/>
      <x:c r="Z476" s="2"/>
      <x:c r="AA476" s="2"/>
      <x:c r="AB476" s="2"/>
      <x:c r="AC476" s="2" t="s">
        <x:v>316</x:v>
      </x:c>
      <x:c r="AD476" s="2" t="s">
        <x:v>317</x:v>
      </x:c>
      <x:c r="AE476" s="2" t="s">
        <x:v>368</x:v>
      </x:c>
      <x:c r="AF476" s="2" t="s">
        <x:v>319</x:v>
      </x:c>
      <x:c r="AG476" s="2"/>
      <x:c r="AH476" s="2"/>
      <x:c r="AI476" s="4"/>
      <x:c r="AJ476" s="2"/>
      <x:c r="AK476" s="2" t="s">
        <x:v>320</x:v>
      </x:c>
      <x:c r="AL476" s="2" t="s">
        <x:v>2857</x:v>
      </x:c>
      <x:c r="AM476" s="2">
        <x:v>26</x:v>
      </x:c>
      <x:c r="AN476" s="2">
        <x:v>26</x:v>
      </x:c>
    </x:row>
    <x:row r="477" ht="52">
      <x:c r="A477" s="2" t="s">
        <x:v>91</x:v>
      </x:c>
      <x:c r="B477" s="2" t="s">
        <x:v>16</x:v>
      </x:c>
      <x:c r="C477" s="3">
        <x:v>25</x:v>
      </x:c>
      <x:c r="D477" s="2" t="s">
        <x:v>1602</x:v>
      </x:c>
      <x:c r="E477" s="2" t="s">
        <x:v>1615</x:v>
      </x:c>
      <x:c r="F477" s="2" t="s">
        <x:v>1603</x:v>
      </x:c>
      <x:c r="G477" s="2" t="s">
        <x:v>2942</x:v>
      </x:c>
      <x:c r="H477" s="2" t="s">
        <x:v>618</x:v>
      </x:c>
      <x:c r="I477" s="2" t="s">
        <x:v>1616</x:v>
      </x:c>
      <x:c r="J477" s="2" t="s">
        <x:v>1598</x:v>
      </x:c>
      <x:c r="K477" s="2" t="n">
        <x:v>24</x:v>
      </x:c>
      <x:c r="L477" s="2" t="s">
        <x:v>1619</x:v>
      </x:c>
      <x:c r="M477" s="2"/>
      <x:c r="N477" s="2"/>
      <x:c r="O477" s="2" t="s">
        <x:v>1605</x:v>
      </x:c>
      <x:c r="P477" s="2" t="s">
        <x:v>1620</x:v>
      </x:c>
      <x:c r="Q477" s="2"/>
      <x:c r="R477" s="3">
        <x:v>4</x:v>
      </x:c>
      <x:c r="S477" s="3"/>
      <x:c r="T477" s="2"/>
      <x:c r="U477" s="2"/>
      <x:c r="V477" s="2"/>
      <x:c r="W477" s="2"/>
      <x:c r="X477" s="3"/>
      <x:c r="Y477" s="3"/>
      <x:c r="Z477" s="2"/>
      <x:c r="AA477" s="2"/>
      <x:c r="AB477" s="2"/>
      <x:c r="AC477" s="2" t="s">
        <x:v>326</x:v>
      </x:c>
      <x:c r="AD477" s="2" t="s">
        <x:v>317</x:v>
      </x:c>
      <x:c r="AE477" s="2" t="s">
        <x:v>368</x:v>
      </x:c>
      <x:c r="AF477" s="2" t="s">
        <x:v>319</x:v>
      </x:c>
      <x:c r="AG477" s="2"/>
      <x:c r="AH477" s="2"/>
      <x:c r="AI477" s="4"/>
      <x:c r="AJ477" s="2"/>
      <x:c r="AK477" s="2" t="s">
        <x:v>320</x:v>
      </x:c>
      <x:c r="AL477" s="2" t="s">
        <x:v>2857</x:v>
      </x:c>
      <x:c r="AM477" s="2">
        <x:v>27</x:v>
      </x:c>
      <x:c r="AN477" s="2">
        <x:v>27</x:v>
      </x:c>
    </x:row>
    <x:row r="478" ht="52">
      <x:c r="A478" s="2" t="s">
        <x:v>6</x:v>
      </x:c>
      <x:c r="B478" s="2" t="s">
        <x:v>16</x:v>
      </x:c>
      <x:c r="C478" s="3">
        <x:v>26</x:v>
      </x:c>
      <x:c r="D478" s="2" t="s">
        <x:v>1607</x:v>
      </x:c>
      <x:c r="E478" s="2" t="s">
        <x:v>1615</x:v>
      </x:c>
      <x:c r="F478" s="2" t="s">
        <x:v>1608</x:v>
      </x:c>
      <x:c r="G478" s="2"/>
      <x:c r="H478" s="2" t="s">
        <x:v>618</x:v>
      </x:c>
      <x:c r="I478" s="2" t="s">
        <x:v>1616</x:v>
      </x:c>
      <x:c r="J478" s="2" t="s">
        <x:v>1598</x:v>
      </x:c>
      <x:c r="K478" s="2" t="n">
        <x:v>24</x:v>
      </x:c>
      <x:c r="L478" s="2" t="s">
        <x:v>1621</x:v>
      </x:c>
      <x:c r="M478" s="2"/>
      <x:c r="N478" s="2"/>
      <x:c r="O478" s="2" t="s">
        <x:v>1605</x:v>
      </x:c>
      <x:c r="P478" s="2" t="s">
        <x:v>1622</x:v>
      </x:c>
      <x:c r="Q478" s="2"/>
      <x:c r="R478" s="3">
        <x:v>4</x:v>
      </x:c>
      <x:c r="S478" s="3"/>
      <x:c r="T478" s="2"/>
      <x:c r="U478" s="2"/>
      <x:c r="V478" s="2"/>
      <x:c r="W478" s="2"/>
      <x:c r="X478" s="3"/>
      <x:c r="Y478" s="3"/>
      <x:c r="Z478" s="2"/>
      <x:c r="AA478" s="2"/>
      <x:c r="AB478" s="2"/>
      <x:c r="AC478" s="2" t="s">
        <x:v>316</x:v>
      </x:c>
      <x:c r="AD478" s="2" t="s">
        <x:v>368</x:v>
      </x:c>
      <x:c r="AE478" s="2" t="s">
        <x:v>317</x:v>
      </x:c>
      <x:c r="AF478" s="2" t="s">
        <x:v>319</x:v>
      </x:c>
      <x:c r="AG478" s="2"/>
      <x:c r="AH478" s="2"/>
      <x:c r="AI478" s="4"/>
      <x:c r="AJ478" s="2"/>
      <x:c r="AK478" s="2" t="s">
        <x:v>320</x:v>
      </x:c>
      <x:c r="AL478" s="2" t="s">
        <x:v>2857</x:v>
      </x:c>
      <x:c r="AM478" s="2">
        <x:v>28</x:v>
      </x:c>
      <x:c r="AN478" s="2">
        <x:v>28</x:v>
      </x:c>
    </x:row>
    <x:row r="479" ht="52">
      <x:c r="A479" s="2" t="s">
        <x:v>6</x:v>
      </x:c>
      <x:c r="B479" s="2" t="s">
        <x:v>16</x:v>
      </x:c>
      <x:c r="C479" s="3">
        <x:v>27</x:v>
      </x:c>
      <x:c r="D479" s="2" t="s">
        <x:v>1611</x:v>
      </x:c>
      <x:c r="E479" s="2" t="s">
        <x:v>1615</x:v>
      </x:c>
      <x:c r="F479" s="2" t="s">
        <x:v>1612</x:v>
      </x:c>
      <x:c r="G479" s="2"/>
      <x:c r="H479" s="2" t="s">
        <x:v>618</x:v>
      </x:c>
      <x:c r="I479" s="2" t="s">
        <x:v>1616</x:v>
      </x:c>
      <x:c r="J479" s="2" t="s">
        <x:v>1598</x:v>
      </x:c>
      <x:c r="K479" s="2" t="n">
        <x:v>24</x:v>
      </x:c>
      <x:c r="L479" s="2" t="s">
        <x:v>1624</x:v>
      </x:c>
      <x:c r="M479" s="2"/>
      <x:c r="N479" s="2"/>
      <x:c r="O479" s="2" t="s">
        <x:v>1605</x:v>
      </x:c>
      <x:c r="P479" s="2" t="s">
        <x:v>1625</x:v>
      </x:c>
      <x:c r="Q479" s="2"/>
      <x:c r="R479" s="3">
        <x:v>4</x:v>
      </x:c>
      <x:c r="S479" s="3"/>
      <x:c r="T479" s="2"/>
      <x:c r="U479" s="2"/>
      <x:c r="V479" s="2"/>
      <x:c r="W479" s="2"/>
      <x:c r="X479" s="3"/>
      <x:c r="Y479" s="3"/>
      <x:c r="Z479" s="2"/>
      <x:c r="AA479" s="2"/>
      <x:c r="AB479" s="2"/>
      <x:c r="AC479" s="2" t="s">
        <x:v>326</x:v>
      </x:c>
      <x:c r="AD479" s="2" t="s">
        <x:v>368</x:v>
      </x:c>
      <x:c r="AE479" s="2" t="s">
        <x:v>317</x:v>
      </x:c>
      <x:c r="AF479" s="2" t="s">
        <x:v>319</x:v>
      </x:c>
      <x:c r="AG479" s="2"/>
      <x:c r="AH479" s="2"/>
      <x:c r="AI479" s="4"/>
      <x:c r="AJ479" s="2"/>
      <x:c r="AK479" s="2" t="s">
        <x:v>320</x:v>
      </x:c>
      <x:c r="AL479" s="2" t="s">
        <x:v>2857</x:v>
      </x:c>
      <x:c r="AM479" s="2">
        <x:v>29</x:v>
      </x:c>
      <x:c r="AN479" s="2">
        <x:v>29</x:v>
      </x:c>
    </x:row>
    <x:row r="480" ht="52">
      <x:c r="A480" s="2" t="s">
        <x:v>6</x:v>
      </x:c>
      <x:c r="B480" s="2" t="s">
        <x:v>16</x:v>
      </x:c>
      <x:c r="C480" s="3">
        <x:v>28</x:v>
      </x:c>
      <x:c r="D480" s="2" t="s">
        <x:v>1593</x:v>
      </x:c>
      <x:c r="E480" s="2" t="s">
        <x:v>1594</x:v>
      </x:c>
      <x:c r="F480" s="2" t="s">
        <x:v>1595</x:v>
      </x:c>
      <x:c r="G480" s="2"/>
      <x:c r="H480" s="2" t="s">
        <x:v>618</x:v>
      </x:c>
      <x:c r="I480" s="2" t="s">
        <x:v>1626</x:v>
      </x:c>
      <x:c r="J480" s="2" t="s">
        <x:v>1598</x:v>
      </x:c>
      <x:c r="K480" s="2"/>
      <x:c r="L480" s="2" t="s">
        <x:v>1627</x:v>
      </x:c>
      <x:c r="M480" s="2"/>
      <x:c r="N480" s="2"/>
      <x:c r="O480" s="2" t="s">
        <x:v>1600</x:v>
      </x:c>
      <x:c r="P480" s="2" t="s">
        <x:v>1628</x:v>
      </x:c>
      <x:c r="Q480" s="2"/>
      <x:c r="R480" s="3">
        <x:v>3</x:v>
      </x:c>
      <x:c r="S480" s="3"/>
      <x:c r="T480" s="2"/>
      <x:c r="U480" s="2"/>
      <x:c r="V480" s="2"/>
      <x:c r="W480" s="2"/>
      <x:c r="X480" s="3"/>
      <x:c r="Y480" s="3"/>
      <x:c r="Z480" s="2"/>
      <x:c r="AA480" s="2"/>
      <x:c r="AB480" s="2"/>
      <x:c r="AC480" s="2" t="s">
        <x:v>316</x:v>
      </x:c>
      <x:c r="AD480" s="2" t="s">
        <x:v>317</x:v>
      </x:c>
      <x:c r="AE480" s="2" t="s">
        <x:v>368</x:v>
      </x:c>
      <x:c r="AF480" s="2" t="s">
        <x:v>319</x:v>
      </x:c>
      <x:c r="AG480" s="2"/>
      <x:c r="AH480" s="2"/>
      <x:c r="AI480" s="4"/>
      <x:c r="AJ480" s="2"/>
      <x:c r="AK480" s="2" t="s">
        <x:v>320</x:v>
      </x:c>
      <x:c r="AL480" s="2" t="s">
        <x:v>2857</x:v>
      </x:c>
      <x:c r="AM480" s="2">
        <x:v>30</x:v>
      </x:c>
      <x:c r="AN480" s="2">
        <x:v>30</x:v>
      </x:c>
    </x:row>
    <x:row r="481" ht="52">
      <x:c r="A481" s="2" t="s">
        <x:v>91</x:v>
      </x:c>
      <x:c r="B481" s="2" t="s">
        <x:v>16</x:v>
      </x:c>
      <x:c r="C481" s="3">
        <x:v>29</x:v>
      </x:c>
      <x:c r="D481" s="2" t="s">
        <x:v>1602</x:v>
      </x:c>
      <x:c r="E481" s="2" t="s">
        <x:v>1594</x:v>
      </x:c>
      <x:c r="F481" s="2" t="s">
        <x:v>1603</x:v>
      </x:c>
      <x:c r="G481" s="2" t="s">
        <x:v>2943</x:v>
      </x:c>
      <x:c r="H481" s="2" t="s">
        <x:v>618</x:v>
      </x:c>
      <x:c r="I481" s="2" t="s">
        <x:v>1626</x:v>
      </x:c>
      <x:c r="J481" s="2" t="s">
        <x:v>1598</x:v>
      </x:c>
      <x:c r="K481" s="2" t="n">
        <x:v>28</x:v>
      </x:c>
      <x:c r="L481" s="2" t="s">
        <x:v>1630</x:v>
      </x:c>
      <x:c r="M481" s="2"/>
      <x:c r="N481" s="2"/>
      <x:c r="O481" s="2" t="s">
        <x:v>1605</x:v>
      </x:c>
      <x:c r="P481" s="2" t="s">
        <x:v>1631</x:v>
      </x:c>
      <x:c r="Q481" s="2"/>
      <x:c r="R481" s="3">
        <x:v>3</x:v>
      </x:c>
      <x:c r="S481" s="3"/>
      <x:c r="T481" s="2"/>
      <x:c r="U481" s="2"/>
      <x:c r="V481" s="2"/>
      <x:c r="W481" s="2"/>
      <x:c r="X481" s="3"/>
      <x:c r="Y481" s="3"/>
      <x:c r="Z481" s="2"/>
      <x:c r="AA481" s="2"/>
      <x:c r="AB481" s="2"/>
      <x:c r="AC481" s="2" t="s">
        <x:v>326</x:v>
      </x:c>
      <x:c r="AD481" s="2" t="s">
        <x:v>317</x:v>
      </x:c>
      <x:c r="AE481" s="2" t="s">
        <x:v>368</x:v>
      </x:c>
      <x:c r="AF481" s="2" t="s">
        <x:v>319</x:v>
      </x:c>
      <x:c r="AG481" s="2"/>
      <x:c r="AH481" s="2"/>
      <x:c r="AI481" s="4"/>
      <x:c r="AJ481" s="2"/>
      <x:c r="AK481" s="2" t="s">
        <x:v>320</x:v>
      </x:c>
      <x:c r="AL481" s="2" t="s">
        <x:v>2857</x:v>
      </x:c>
      <x:c r="AM481" s="2">
        <x:v>31</x:v>
      </x:c>
      <x:c r="AN481" s="2">
        <x:v>31</x:v>
      </x:c>
    </x:row>
    <x:row r="482" ht="52">
      <x:c r="A482" s="2" t="s">
        <x:v>6</x:v>
      </x:c>
      <x:c r="B482" s="2" t="s">
        <x:v>16</x:v>
      </x:c>
      <x:c r="C482" s="3">
        <x:v>30</x:v>
      </x:c>
      <x:c r="D482" s="2" t="s">
        <x:v>1607</x:v>
      </x:c>
      <x:c r="E482" s="2" t="s">
        <x:v>1594</x:v>
      </x:c>
      <x:c r="F482" s="2" t="s">
        <x:v>1608</x:v>
      </x:c>
      <x:c r="G482" s="2"/>
      <x:c r="H482" s="2" t="s">
        <x:v>618</x:v>
      </x:c>
      <x:c r="I482" s="2" t="s">
        <x:v>1626</x:v>
      </x:c>
      <x:c r="J482" s="2" t="s">
        <x:v>1598</x:v>
      </x:c>
      <x:c r="K482" s="2" t="n">
        <x:v>28</x:v>
      </x:c>
      <x:c r="L482" s="2" t="s">
        <x:v>1632</x:v>
      </x:c>
      <x:c r="M482" s="2"/>
      <x:c r="N482" s="2"/>
      <x:c r="O482" s="2" t="s">
        <x:v>1605</x:v>
      </x:c>
      <x:c r="P482" s="2" t="s">
        <x:v>1633</x:v>
      </x:c>
      <x:c r="Q482" s="2"/>
      <x:c r="R482" s="3">
        <x:v>3</x:v>
      </x:c>
      <x:c r="S482" s="3"/>
      <x:c r="T482" s="2"/>
      <x:c r="U482" s="2"/>
      <x:c r="V482" s="2"/>
      <x:c r="W482" s="2"/>
      <x:c r="X482" s="3"/>
      <x:c r="Y482" s="3"/>
      <x:c r="Z482" s="2"/>
      <x:c r="AA482" s="2"/>
      <x:c r="AB482" s="2"/>
      <x:c r="AC482" s="2" t="s">
        <x:v>316</x:v>
      </x:c>
      <x:c r="AD482" s="2" t="s">
        <x:v>368</x:v>
      </x:c>
      <x:c r="AE482" s="2" t="s">
        <x:v>317</x:v>
      </x:c>
      <x:c r="AF482" s="2" t="s">
        <x:v>319</x:v>
      </x:c>
      <x:c r="AG482" s="2"/>
      <x:c r="AH482" s="2"/>
      <x:c r="AI482" s="4"/>
      <x:c r="AJ482" s="2"/>
      <x:c r="AK482" s="2" t="s">
        <x:v>320</x:v>
      </x:c>
      <x:c r="AL482" s="2" t="s">
        <x:v>2857</x:v>
      </x:c>
      <x:c r="AM482" s="2">
        <x:v>32</x:v>
      </x:c>
      <x:c r="AN482" s="2">
        <x:v>32</x:v>
      </x:c>
    </x:row>
    <x:row r="483" ht="52">
      <x:c r="A483" s="2" t="s">
        <x:v>6</x:v>
      </x:c>
      <x:c r="B483" s="2" t="s">
        <x:v>16</x:v>
      </x:c>
      <x:c r="C483" s="3">
        <x:v>31</x:v>
      </x:c>
      <x:c r="D483" s="2" t="s">
        <x:v>1611</x:v>
      </x:c>
      <x:c r="E483" s="2" t="s">
        <x:v>1594</x:v>
      </x:c>
      <x:c r="F483" s="2" t="s">
        <x:v>1612</x:v>
      </x:c>
      <x:c r="G483" s="2"/>
      <x:c r="H483" s="2" t="s">
        <x:v>618</x:v>
      </x:c>
      <x:c r="I483" s="2" t="s">
        <x:v>1626</x:v>
      </x:c>
      <x:c r="J483" s="2" t="s">
        <x:v>1598</x:v>
      </x:c>
      <x:c r="K483" s="2" t="n">
        <x:v>28</x:v>
      </x:c>
      <x:c r="L483" s="2" t="s">
        <x:v>1634</x:v>
      </x:c>
      <x:c r="M483" s="2"/>
      <x:c r="N483" s="2"/>
      <x:c r="O483" s="2" t="s">
        <x:v>1605</x:v>
      </x:c>
      <x:c r="P483" s="2" t="s">
        <x:v>1635</x:v>
      </x:c>
      <x:c r="Q483" s="2"/>
      <x:c r="R483" s="3">
        <x:v>3</x:v>
      </x:c>
      <x:c r="S483" s="3"/>
      <x:c r="T483" s="2"/>
      <x:c r="U483" s="2"/>
      <x:c r="V483" s="2"/>
      <x:c r="W483" s="2"/>
      <x:c r="X483" s="3"/>
      <x:c r="Y483" s="3"/>
      <x:c r="Z483" s="2"/>
      <x:c r="AA483" s="2"/>
      <x:c r="AB483" s="2"/>
      <x:c r="AC483" s="2" t="s">
        <x:v>326</x:v>
      </x:c>
      <x:c r="AD483" s="2" t="s">
        <x:v>368</x:v>
      </x:c>
      <x:c r="AE483" s="2" t="s">
        <x:v>317</x:v>
      </x:c>
      <x:c r="AF483" s="2" t="s">
        <x:v>319</x:v>
      </x:c>
      <x:c r="AG483" s="2"/>
      <x:c r="AH483" s="2"/>
      <x:c r="AI483" s="4"/>
      <x:c r="AJ483" s="2"/>
      <x:c r="AK483" s="2" t="s">
        <x:v>320</x:v>
      </x:c>
      <x:c r="AL483" s="2" t="s">
        <x:v>2857</x:v>
      </x:c>
      <x:c r="AM483" s="2">
        <x:v>33</x:v>
      </x:c>
      <x:c r="AN483" s="2">
        <x:v>33</x:v>
      </x:c>
    </x:row>
    <x:row r="484" ht="52">
      <x:c r="A484" s="2" t="s">
        <x:v>6</x:v>
      </x:c>
      <x:c r="B484" s="2" t="s">
        <x:v>16</x:v>
      </x:c>
      <x:c r="C484" s="3">
        <x:v>32</x:v>
      </x:c>
      <x:c r="D484" s="2" t="s">
        <x:v>1636</x:v>
      </x:c>
      <x:c r="E484" s="2" t="s">
        <x:v>1615</x:v>
      </x:c>
      <x:c r="F484" s="2" t="s">
        <x:v>1637</x:v>
      </x:c>
      <x:c r="G484" s="2"/>
      <x:c r="H484" s="2" t="s">
        <x:v>618</x:v>
      </x:c>
      <x:c r="I484" s="2" t="s">
        <x:v>1639</x:v>
      </x:c>
      <x:c r="J484" s="2" t="s">
        <x:v>1598</x:v>
      </x:c>
      <x:c r="K484" s="2"/>
      <x:c r="L484" s="2" t="s">
        <x:v>1640</x:v>
      </x:c>
      <x:c r="M484" s="2"/>
      <x:c r="N484" s="2"/>
      <x:c r="O484" s="2" t="s">
        <x:v>1600</x:v>
      </x:c>
      <x:c r="P484" s="2" t="s">
        <x:v>1641</x:v>
      </x:c>
      <x:c r="Q484" s="2"/>
      <x:c r="R484" s="3">
        <x:v>4</x:v>
      </x:c>
      <x:c r="S484" s="3"/>
      <x:c r="T484" s="2"/>
      <x:c r="U484" s="2"/>
      <x:c r="V484" s="2"/>
      <x:c r="W484" s="2"/>
      <x:c r="X484" s="3"/>
      <x:c r="Y484" s="3"/>
      <x:c r="Z484" s="2"/>
      <x:c r="AA484" s="2"/>
      <x:c r="AB484" s="2"/>
      <x:c r="AC484" s="2" t="s">
        <x:v>367</x:v>
      </x:c>
      <x:c r="AD484" s="2" t="s">
        <x:v>317</x:v>
      </x:c>
      <x:c r="AE484" s="2" t="s">
        <x:v>368</x:v>
      </x:c>
      <x:c r="AF484" s="2" t="s">
        <x:v>319</x:v>
      </x:c>
      <x:c r="AG484" s="2"/>
      <x:c r="AH484" s="2"/>
      <x:c r="AI484" s="4"/>
      <x:c r="AJ484" s="2"/>
      <x:c r="AK484" s="2" t="s">
        <x:v>320</x:v>
      </x:c>
      <x:c r="AL484" s="2" t="s">
        <x:v>2857</x:v>
      </x:c>
      <x:c r="AM484" s="2">
        <x:v>34</x:v>
      </x:c>
      <x:c r="AN484" s="2">
        <x:v>34</x:v>
      </x:c>
    </x:row>
    <x:row r="485" ht="52">
      <x:c r="A485" s="2" t="s">
        <x:v>91</x:v>
      </x:c>
      <x:c r="B485" s="2" t="s">
        <x:v>16</x:v>
      </x:c>
      <x:c r="C485" s="3">
        <x:v>33</x:v>
      </x:c>
      <x:c r="D485" s="2" t="s">
        <x:v>1642</x:v>
      </x:c>
      <x:c r="E485" s="2" t="s">
        <x:v>1615</x:v>
      </x:c>
      <x:c r="F485" s="2" t="s">
        <x:v>1643</x:v>
      </x:c>
      <x:c r="G485" s="2" t="s">
        <x:v>2944</x:v>
      </x:c>
      <x:c r="H485" s="2" t="s">
        <x:v>618</x:v>
      </x:c>
      <x:c r="I485" s="2" t="s">
        <x:v>1639</x:v>
      </x:c>
      <x:c r="J485" s="2" t="s">
        <x:v>1598</x:v>
      </x:c>
      <x:c r="K485" s="2" t="n">
        <x:v>32</x:v>
      </x:c>
      <x:c r="L485" s="2" t="s">
        <x:v>1644</x:v>
      </x:c>
      <x:c r="M485" s="2"/>
      <x:c r="N485" s="2"/>
      <x:c r="O485" s="2" t="s">
        <x:v>1605</x:v>
      </x:c>
      <x:c r="P485" s="2" t="s">
        <x:v>1645</x:v>
      </x:c>
      <x:c r="Q485" s="2"/>
      <x:c r="R485" s="3">
        <x:v>4</x:v>
      </x:c>
      <x:c r="S485" s="3"/>
      <x:c r="T485" s="2"/>
      <x:c r="U485" s="2"/>
      <x:c r="V485" s="2"/>
      <x:c r="W485" s="2"/>
      <x:c r="X485" s="3"/>
      <x:c r="Y485" s="3"/>
      <x:c r="Z485" s="2"/>
      <x:c r="AA485" s="2"/>
      <x:c r="AB485" s="2"/>
      <x:c r="AC485" s="2" t="s">
        <x:v>374</x:v>
      </x:c>
      <x:c r="AD485" s="2" t="s">
        <x:v>317</x:v>
      </x:c>
      <x:c r="AE485" s="2" t="s">
        <x:v>368</x:v>
      </x:c>
      <x:c r="AF485" s="2" t="s">
        <x:v>319</x:v>
      </x:c>
      <x:c r="AG485" s="2"/>
      <x:c r="AH485" s="2"/>
      <x:c r="AI485" s="4"/>
      <x:c r="AJ485" s="2"/>
      <x:c r="AK485" s="2" t="s">
        <x:v>320</x:v>
      </x:c>
      <x:c r="AL485" s="2" t="s">
        <x:v>2857</x:v>
      </x:c>
      <x:c r="AM485" s="2">
        <x:v>35</x:v>
      </x:c>
      <x:c r="AN485" s="2">
        <x:v>35</x:v>
      </x:c>
    </x:row>
    <x:row r="486" ht="52">
      <x:c r="A486" s="2" t="s">
        <x:v>91</x:v>
      </x:c>
      <x:c r="B486" s="2" t="s">
        <x:v>16</x:v>
      </x:c>
      <x:c r="C486" s="3">
        <x:v>34</x:v>
      </x:c>
      <x:c r="D486" s="2" t="s">
        <x:v>1646</x:v>
      </x:c>
      <x:c r="E486" s="2" t="s">
        <x:v>1615</x:v>
      </x:c>
      <x:c r="F486" s="2" t="s">
        <x:v>1647</x:v>
      </x:c>
      <x:c r="G486" s="2" t="s">
        <x:v>2945</x:v>
      </x:c>
      <x:c r="H486" s="2" t="s">
        <x:v>618</x:v>
      </x:c>
      <x:c r="I486" s="2" t="s">
        <x:v>1639</x:v>
      </x:c>
      <x:c r="J486" s="2" t="s">
        <x:v>1598</x:v>
      </x:c>
      <x:c r="K486" s="2" t="n">
        <x:v>32</x:v>
      </x:c>
      <x:c r="L486" s="2" t="s">
        <x:v>1649</x:v>
      </x:c>
      <x:c r="M486" s="2"/>
      <x:c r="N486" s="2"/>
      <x:c r="O486" s="2" t="s">
        <x:v>1605</x:v>
      </x:c>
      <x:c r="P486" s="2" t="s">
        <x:v>1650</x:v>
      </x:c>
      <x:c r="Q486" s="2"/>
      <x:c r="R486" s="3">
        <x:v>4</x:v>
      </x:c>
      <x:c r="S486" s="3"/>
      <x:c r="T486" s="2"/>
      <x:c r="U486" s="2"/>
      <x:c r="V486" s="2"/>
      <x:c r="W486" s="2"/>
      <x:c r="X486" s="3"/>
      <x:c r="Y486" s="3"/>
      <x:c r="Z486" s="2"/>
      <x:c r="AA486" s="2"/>
      <x:c r="AB486" s="2"/>
      <x:c r="AC486" s="2" t="s">
        <x:v>367</x:v>
      </x:c>
      <x:c r="AD486" s="2" t="s">
        <x:v>368</x:v>
      </x:c>
      <x:c r="AE486" s="2" t="s">
        <x:v>317</x:v>
      </x:c>
      <x:c r="AF486" s="2" t="s">
        <x:v>319</x:v>
      </x:c>
      <x:c r="AG486" s="2"/>
      <x:c r="AH486" s="2"/>
      <x:c r="AI486" s="4"/>
      <x:c r="AJ486" s="2"/>
      <x:c r="AK486" s="2" t="s">
        <x:v>320</x:v>
      </x:c>
      <x:c r="AL486" s="2" t="s">
        <x:v>2857</x:v>
      </x:c>
      <x:c r="AM486" s="2">
        <x:v>36</x:v>
      </x:c>
      <x:c r="AN486" s="2">
        <x:v>36</x:v>
      </x:c>
    </x:row>
    <x:row r="487" ht="52">
      <x:c r="A487" s="2" t="s">
        <x:v>6</x:v>
      </x:c>
      <x:c r="B487" s="2" t="s">
        <x:v>16</x:v>
      </x:c>
      <x:c r="C487" s="3">
        <x:v>35</x:v>
      </x:c>
      <x:c r="D487" s="2" t="s">
        <x:v>1651</x:v>
      </x:c>
      <x:c r="E487" s="2" t="s">
        <x:v>1615</x:v>
      </x:c>
      <x:c r="F487" s="2" t="s">
        <x:v>1652</x:v>
      </x:c>
      <x:c r="G487" s="2"/>
      <x:c r="H487" s="2" t="s">
        <x:v>618</x:v>
      </x:c>
      <x:c r="I487" s="2" t="s">
        <x:v>1639</x:v>
      </x:c>
      <x:c r="J487" s="2" t="s">
        <x:v>1598</x:v>
      </x:c>
      <x:c r="K487" s="2" t="n">
        <x:v>32</x:v>
      </x:c>
      <x:c r="L487" s="2" t="s">
        <x:v>1653</x:v>
      </x:c>
      <x:c r="M487" s="2"/>
      <x:c r="N487" s="2"/>
      <x:c r="O487" s="2" t="s">
        <x:v>1605</x:v>
      </x:c>
      <x:c r="P487" s="2" t="s">
        <x:v>1654</x:v>
      </x:c>
      <x:c r="Q487" s="2"/>
      <x:c r="R487" s="3">
        <x:v>4</x:v>
      </x:c>
      <x:c r="S487" s="3"/>
      <x:c r="T487" s="2"/>
      <x:c r="U487" s="2"/>
      <x:c r="V487" s="2"/>
      <x:c r="W487" s="2"/>
      <x:c r="X487" s="3"/>
      <x:c r="Y487" s="3"/>
      <x:c r="Z487" s="2"/>
      <x:c r="AA487" s="2"/>
      <x:c r="AB487" s="2"/>
      <x:c r="AC487" s="2" t="s">
        <x:v>374</x:v>
      </x:c>
      <x:c r="AD487" s="2" t="s">
        <x:v>368</x:v>
      </x:c>
      <x:c r="AE487" s="2" t="s">
        <x:v>317</x:v>
      </x:c>
      <x:c r="AF487" s="2" t="s">
        <x:v>319</x:v>
      </x:c>
      <x:c r="AG487" s="2"/>
      <x:c r="AH487" s="2"/>
      <x:c r="AI487" s="4"/>
      <x:c r="AJ487" s="2"/>
      <x:c r="AK487" s="2" t="s">
        <x:v>320</x:v>
      </x:c>
      <x:c r="AL487" s="2" t="s">
        <x:v>2857</x:v>
      </x:c>
      <x:c r="AM487" s="2">
        <x:v>37</x:v>
      </x:c>
      <x:c r="AN487" s="2">
        <x:v>37</x:v>
      </x:c>
    </x:row>
    <x:row r="488" ht="52">
      <x:c r="A488" s="2" t="s">
        <x:v>91</x:v>
      </x:c>
      <x:c r="B488" s="2" t="s">
        <x:v>16</x:v>
      </x:c>
      <x:c r="C488" s="3">
        <x:v>36</x:v>
      </x:c>
      <x:c r="D488" s="2" t="s">
        <x:v>1636</x:v>
      </x:c>
      <x:c r="E488" s="2" t="s">
        <x:v>1594</x:v>
      </x:c>
      <x:c r="F488" s="2" t="s">
        <x:v>1637</x:v>
      </x:c>
      <x:c r="G488" s="2" t="s">
        <x:v>1761</x:v>
      </x:c>
      <x:c r="H488" s="2" t="s">
        <x:v>618</x:v>
      </x:c>
      <x:c r="I488" s="2" t="s">
        <x:v>1655</x:v>
      </x:c>
      <x:c r="J488" s="2" t="s">
        <x:v>1598</x:v>
      </x:c>
      <x:c r="K488" s="2"/>
      <x:c r="L488" s="2" t="s">
        <x:v>1656</x:v>
      </x:c>
      <x:c r="M488" s="2"/>
      <x:c r="N488" s="2"/>
      <x:c r="O488" s="2" t="s">
        <x:v>1600</x:v>
      </x:c>
      <x:c r="P488" s="2" t="s">
        <x:v>1657</x:v>
      </x:c>
      <x:c r="Q488" s="2"/>
      <x:c r="R488" s="3">
        <x:v>3</x:v>
      </x:c>
      <x:c r="S488" s="3"/>
      <x:c r="T488" s="2"/>
      <x:c r="U488" s="2"/>
      <x:c r="V488" s="2"/>
      <x:c r="W488" s="2"/>
      <x:c r="X488" s="3"/>
      <x:c r="Y488" s="3"/>
      <x:c r="Z488" s="2"/>
      <x:c r="AA488" s="2"/>
      <x:c r="AB488" s="2"/>
      <x:c r="AC488" s="2" t="s">
        <x:v>367</x:v>
      </x:c>
      <x:c r="AD488" s="2" t="s">
        <x:v>317</x:v>
      </x:c>
      <x:c r="AE488" s="2" t="s">
        <x:v>368</x:v>
      </x:c>
      <x:c r="AF488" s="2" t="s">
        <x:v>319</x:v>
      </x:c>
      <x:c r="AG488" s="2"/>
      <x:c r="AH488" s="2"/>
      <x:c r="AI488" s="4"/>
      <x:c r="AJ488" s="2"/>
      <x:c r="AK488" s="2" t="s">
        <x:v>320</x:v>
      </x:c>
      <x:c r="AL488" s="2" t="s">
        <x:v>2857</x:v>
      </x:c>
      <x:c r="AM488" s="2">
        <x:v>38</x:v>
      </x:c>
      <x:c r="AN488" s="2">
        <x:v>38</x:v>
      </x:c>
    </x:row>
    <x:row r="489" ht="52">
      <x:c r="A489" s="2" t="s">
        <x:v>6</x:v>
      </x:c>
      <x:c r="B489" s="2" t="s">
        <x:v>16</x:v>
      </x:c>
      <x:c r="C489" s="3">
        <x:v>37</x:v>
      </x:c>
      <x:c r="D489" s="2" t="s">
        <x:v>1642</x:v>
      </x:c>
      <x:c r="E489" s="2" t="s">
        <x:v>1594</x:v>
      </x:c>
      <x:c r="F489" s="2" t="s">
        <x:v>1643</x:v>
      </x:c>
      <x:c r="G489" s="2"/>
      <x:c r="H489" s="2" t="s">
        <x:v>618</x:v>
      </x:c>
      <x:c r="I489" s="2" t="s">
        <x:v>1655</x:v>
      </x:c>
      <x:c r="J489" s="2" t="s">
        <x:v>1598</x:v>
      </x:c>
      <x:c r="K489" s="2" t="n">
        <x:v>36</x:v>
      </x:c>
      <x:c r="L489" s="2" t="s">
        <x:v>1658</x:v>
      </x:c>
      <x:c r="M489" s="2"/>
      <x:c r="N489" s="2"/>
      <x:c r="O489" s="2" t="s">
        <x:v>1605</x:v>
      </x:c>
      <x:c r="P489" s="2" t="s">
        <x:v>1659</x:v>
      </x:c>
      <x:c r="Q489" s="2"/>
      <x:c r="R489" s="3">
        <x:v>3</x:v>
      </x:c>
      <x:c r="S489" s="3"/>
      <x:c r="T489" s="2"/>
      <x:c r="U489" s="2"/>
      <x:c r="V489" s="2"/>
      <x:c r="W489" s="2"/>
      <x:c r="X489" s="3"/>
      <x:c r="Y489" s="3"/>
      <x:c r="Z489" s="2"/>
      <x:c r="AA489" s="2"/>
      <x:c r="AB489" s="2"/>
      <x:c r="AC489" s="2" t="s">
        <x:v>374</x:v>
      </x:c>
      <x:c r="AD489" s="2" t="s">
        <x:v>317</x:v>
      </x:c>
      <x:c r="AE489" s="2" t="s">
        <x:v>368</x:v>
      </x:c>
      <x:c r="AF489" s="2" t="s">
        <x:v>319</x:v>
      </x:c>
      <x:c r="AG489" s="2"/>
      <x:c r="AH489" s="2"/>
      <x:c r="AI489" s="4"/>
      <x:c r="AJ489" s="2"/>
      <x:c r="AK489" s="2" t="s">
        <x:v>320</x:v>
      </x:c>
      <x:c r="AL489" s="2" t="s">
        <x:v>2857</x:v>
      </x:c>
      <x:c r="AM489" s="2">
        <x:v>39</x:v>
      </x:c>
      <x:c r="AN489" s="2">
        <x:v>39</x:v>
      </x:c>
    </x:row>
    <x:row r="490" ht="52">
      <x:c r="A490" s="2" t="s">
        <x:v>6</x:v>
      </x:c>
      <x:c r="B490" s="2" t="s">
        <x:v>16</x:v>
      </x:c>
      <x:c r="C490" s="3">
        <x:v>38</x:v>
      </x:c>
      <x:c r="D490" s="2" t="s">
        <x:v>1646</x:v>
      </x:c>
      <x:c r="E490" s="2" t="s">
        <x:v>1594</x:v>
      </x:c>
      <x:c r="F490" s="2" t="s">
        <x:v>1647</x:v>
      </x:c>
      <x:c r="G490" s="2"/>
      <x:c r="H490" s="2" t="s">
        <x:v>618</x:v>
      </x:c>
      <x:c r="I490" s="2" t="s">
        <x:v>1655</x:v>
      </x:c>
      <x:c r="J490" s="2" t="s">
        <x:v>1598</x:v>
      </x:c>
      <x:c r="K490" s="2" t="n">
        <x:v>36</x:v>
      </x:c>
      <x:c r="L490" s="2" t="s">
        <x:v>1660</x:v>
      </x:c>
      <x:c r="M490" s="2"/>
      <x:c r="N490" s="2"/>
      <x:c r="O490" s="2" t="s">
        <x:v>1605</x:v>
      </x:c>
      <x:c r="P490" s="2" t="s">
        <x:v>1661</x:v>
      </x:c>
      <x:c r="Q490" s="2"/>
      <x:c r="R490" s="3">
        <x:v>3</x:v>
      </x:c>
      <x:c r="S490" s="3"/>
      <x:c r="T490" s="2"/>
      <x:c r="U490" s="2"/>
      <x:c r="V490" s="2"/>
      <x:c r="W490" s="2"/>
      <x:c r="X490" s="3"/>
      <x:c r="Y490" s="3"/>
      <x:c r="Z490" s="2"/>
      <x:c r="AA490" s="2"/>
      <x:c r="AB490" s="2"/>
      <x:c r="AC490" s="2" t="s">
        <x:v>367</x:v>
      </x:c>
      <x:c r="AD490" s="2" t="s">
        <x:v>368</x:v>
      </x:c>
      <x:c r="AE490" s="2" t="s">
        <x:v>317</x:v>
      </x:c>
      <x:c r="AF490" s="2" t="s">
        <x:v>319</x:v>
      </x:c>
      <x:c r="AG490" s="2"/>
      <x:c r="AH490" s="2"/>
      <x:c r="AI490" s="4"/>
      <x:c r="AJ490" s="2"/>
      <x:c r="AK490" s="2" t="s">
        <x:v>320</x:v>
      </x:c>
      <x:c r="AL490" s="2" t="s">
        <x:v>2857</x:v>
      </x:c>
      <x:c r="AM490" s="2">
        <x:v>40</x:v>
      </x:c>
      <x:c r="AN490" s="2">
        <x:v>40</x:v>
      </x:c>
    </x:row>
    <x:row r="491" ht="52">
      <x:c r="A491" s="2" t="s">
        <x:v>91</x:v>
      </x:c>
      <x:c r="B491" s="2" t="s">
        <x:v>16</x:v>
      </x:c>
      <x:c r="C491" s="3">
        <x:v>39</x:v>
      </x:c>
      <x:c r="D491" s="2" t="s">
        <x:v>1651</x:v>
      </x:c>
      <x:c r="E491" s="2" t="s">
        <x:v>1594</x:v>
      </x:c>
      <x:c r="F491" s="2" t="s">
        <x:v>1652</x:v>
      </x:c>
      <x:c r="G491" s="2" t="s">
        <x:v>2946</x:v>
      </x:c>
      <x:c r="H491" s="2" t="s">
        <x:v>618</x:v>
      </x:c>
      <x:c r="I491" s="2" t="s">
        <x:v>1655</x:v>
      </x:c>
      <x:c r="J491" s="2" t="s">
        <x:v>1598</x:v>
      </x:c>
      <x:c r="K491" s="2" t="n">
        <x:v>36</x:v>
      </x:c>
      <x:c r="L491" s="2" t="s">
        <x:v>1662</x:v>
      </x:c>
      <x:c r="M491" s="2"/>
      <x:c r="N491" s="2"/>
      <x:c r="O491" s="2" t="s">
        <x:v>1605</x:v>
      </x:c>
      <x:c r="P491" s="2" t="s">
        <x:v>1663</x:v>
      </x:c>
      <x:c r="Q491" s="2"/>
      <x:c r="R491" s="3">
        <x:v>3</x:v>
      </x:c>
      <x:c r="S491" s="3"/>
      <x:c r="T491" s="2"/>
      <x:c r="U491" s="2"/>
      <x:c r="V491" s="2"/>
      <x:c r="W491" s="2"/>
      <x:c r="X491" s="3"/>
      <x:c r="Y491" s="3"/>
      <x:c r="Z491" s="2"/>
      <x:c r="AA491" s="2"/>
      <x:c r="AB491" s="2"/>
      <x:c r="AC491" s="2" t="s">
        <x:v>374</x:v>
      </x:c>
      <x:c r="AD491" s="2" t="s">
        <x:v>368</x:v>
      </x:c>
      <x:c r="AE491" s="2" t="s">
        <x:v>317</x:v>
      </x:c>
      <x:c r="AF491" s="2" t="s">
        <x:v>319</x:v>
      </x:c>
      <x:c r="AG491" s="2"/>
      <x:c r="AH491" s="2"/>
      <x:c r="AI491" s="4"/>
      <x:c r="AJ491" s="2"/>
      <x:c r="AK491" s="2" t="s">
        <x:v>320</x:v>
      </x:c>
      <x:c r="AL491" s="2" t="s">
        <x:v>2857</x:v>
      </x:c>
      <x:c r="AM491" s="2">
        <x:v>41</x:v>
      </x:c>
      <x:c r="AN491" s="2">
        <x:v>41</x:v>
      </x:c>
    </x:row>
    <x:row r="492" ht="52">
      <x:c r="A492" s="2" t="s">
        <x:v>91</x:v>
      </x:c>
      <x:c r="B492" s="2" t="s">
        <x:v>16</x:v>
      </x:c>
      <x:c r="C492" s="3">
        <x:v>40</x:v>
      </x:c>
      <x:c r="D492" s="2" t="s">
        <x:v>1636</x:v>
      </x:c>
      <x:c r="E492" s="2" t="s">
        <x:v>1615</x:v>
      </x:c>
      <x:c r="F492" s="2" t="s">
        <x:v>1637</x:v>
      </x:c>
      <x:c r="G492" s="2" t="s">
        <x:v>2947</x:v>
      </x:c>
      <x:c r="H492" s="2" t="s">
        <x:v>618</x:v>
      </x:c>
      <x:c r="I492" s="2" t="s">
        <x:v>1664</x:v>
      </x:c>
      <x:c r="J492" s="2" t="s">
        <x:v>1598</x:v>
      </x:c>
      <x:c r="K492" s="2"/>
      <x:c r="L492" s="2" t="s">
        <x:v>1640</x:v>
      </x:c>
      <x:c r="M492" s="2"/>
      <x:c r="N492" s="2"/>
      <x:c r="O492" s="2" t="s">
        <x:v>1600</x:v>
      </x:c>
      <x:c r="P492" s="2" t="s">
        <x:v>1641</x:v>
      </x:c>
      <x:c r="Q492" s="2"/>
      <x:c r="R492" s="3">
        <x:v>4</x:v>
      </x:c>
      <x:c r="S492" s="3"/>
      <x:c r="T492" s="2"/>
      <x:c r="U492" s="2"/>
      <x:c r="V492" s="2"/>
      <x:c r="W492" s="2"/>
      <x:c r="X492" s="3"/>
      <x:c r="Y492" s="3"/>
      <x:c r="Z492" s="2"/>
      <x:c r="AA492" s="2"/>
      <x:c r="AB492" s="2"/>
      <x:c r="AC492" s="2" t="s">
        <x:v>367</x:v>
      </x:c>
      <x:c r="AD492" s="2" t="s">
        <x:v>317</x:v>
      </x:c>
      <x:c r="AE492" s="2" t="s">
        <x:v>368</x:v>
      </x:c>
      <x:c r="AF492" s="2" t="s">
        <x:v>319</x:v>
      </x:c>
      <x:c r="AG492" s="2"/>
      <x:c r="AH492" s="2"/>
      <x:c r="AI492" s="4"/>
      <x:c r="AJ492" s="2"/>
      <x:c r="AK492" s="2" t="s">
        <x:v>320</x:v>
      </x:c>
      <x:c r="AL492" s="2" t="s">
        <x:v>2857</x:v>
      </x:c>
      <x:c r="AM492" s="2">
        <x:v>42</x:v>
      </x:c>
      <x:c r="AN492" s="2">
        <x:v>42</x:v>
      </x:c>
    </x:row>
    <x:row r="493" ht="52">
      <x:c r="A493" s="2" t="s">
        <x:v>91</x:v>
      </x:c>
      <x:c r="B493" s="2" t="s">
        <x:v>16</x:v>
      </x:c>
      <x:c r="C493" s="3">
        <x:v>41</x:v>
      </x:c>
      <x:c r="D493" s="2" t="s">
        <x:v>1642</x:v>
      </x:c>
      <x:c r="E493" s="2" t="s">
        <x:v>1615</x:v>
      </x:c>
      <x:c r="F493" s="2" t="s">
        <x:v>1643</x:v>
      </x:c>
      <x:c r="G493" s="2" t="s">
        <x:v>2948</x:v>
      </x:c>
      <x:c r="H493" s="2" t="s">
        <x:v>618</x:v>
      </x:c>
      <x:c r="I493" s="2" t="s">
        <x:v>1664</x:v>
      </x:c>
      <x:c r="J493" s="2" t="s">
        <x:v>1598</x:v>
      </x:c>
      <x:c r="K493" s="2" t="n">
        <x:v>40</x:v>
      </x:c>
      <x:c r="L493" s="2" t="s">
        <x:v>1665</x:v>
      </x:c>
      <x:c r="M493" s="2"/>
      <x:c r="N493" s="2"/>
      <x:c r="O493" s="2" t="s">
        <x:v>1605</x:v>
      </x:c>
      <x:c r="P493" s="2" t="s">
        <x:v>1666</x:v>
      </x:c>
      <x:c r="Q493" s="2"/>
      <x:c r="R493" s="3">
        <x:v>4</x:v>
      </x:c>
      <x:c r="S493" s="3"/>
      <x:c r="T493" s="2"/>
      <x:c r="U493" s="2"/>
      <x:c r="V493" s="2"/>
      <x:c r="W493" s="2"/>
      <x:c r="X493" s="3"/>
      <x:c r="Y493" s="3"/>
      <x:c r="Z493" s="2"/>
      <x:c r="AA493" s="2"/>
      <x:c r="AB493" s="2"/>
      <x:c r="AC493" s="2" t="s">
        <x:v>374</x:v>
      </x:c>
      <x:c r="AD493" s="2" t="s">
        <x:v>317</x:v>
      </x:c>
      <x:c r="AE493" s="2" t="s">
        <x:v>368</x:v>
      </x:c>
      <x:c r="AF493" s="2" t="s">
        <x:v>319</x:v>
      </x:c>
      <x:c r="AG493" s="2"/>
      <x:c r="AH493" s="2"/>
      <x:c r="AI493" s="4"/>
      <x:c r="AJ493" s="2"/>
      <x:c r="AK493" s="2" t="s">
        <x:v>320</x:v>
      </x:c>
      <x:c r="AL493" s="2" t="s">
        <x:v>2857</x:v>
      </x:c>
      <x:c r="AM493" s="2">
        <x:v>43</x:v>
      </x:c>
      <x:c r="AN493" s="2">
        <x:v>43</x:v>
      </x:c>
    </x:row>
    <x:row r="494" ht="52">
      <x:c r="A494" s="2" t="s">
        <x:v>91</x:v>
      </x:c>
      <x:c r="B494" s="2" t="s">
        <x:v>16</x:v>
      </x:c>
      <x:c r="C494" s="3">
        <x:v>42</x:v>
      </x:c>
      <x:c r="D494" s="2" t="s">
        <x:v>1646</x:v>
      </x:c>
      <x:c r="E494" s="2" t="s">
        <x:v>1615</x:v>
      </x:c>
      <x:c r="F494" s="2" t="s">
        <x:v>1647</x:v>
      </x:c>
      <x:c r="G494" s="2" t="s">
        <x:v>1686</x:v>
      </x:c>
      <x:c r="H494" s="2" t="s">
        <x:v>618</x:v>
      </x:c>
      <x:c r="I494" s="2" t="s">
        <x:v>1664</x:v>
      </x:c>
      <x:c r="J494" s="2" t="s">
        <x:v>1598</x:v>
      </x:c>
      <x:c r="K494" s="2" t="n">
        <x:v>40</x:v>
      </x:c>
      <x:c r="L494" s="2" t="s">
        <x:v>1649</x:v>
      </x:c>
      <x:c r="M494" s="2"/>
      <x:c r="N494" s="2"/>
      <x:c r="O494" s="2" t="s">
        <x:v>1605</x:v>
      </x:c>
      <x:c r="P494" s="2" t="s">
        <x:v>1650</x:v>
      </x:c>
      <x:c r="Q494" s="2"/>
      <x:c r="R494" s="3">
        <x:v>4</x:v>
      </x:c>
      <x:c r="S494" s="3"/>
      <x:c r="T494" s="2"/>
      <x:c r="U494" s="2"/>
      <x:c r="V494" s="2"/>
      <x:c r="W494" s="2"/>
      <x:c r="X494" s="3"/>
      <x:c r="Y494" s="3"/>
      <x:c r="Z494" s="2"/>
      <x:c r="AA494" s="2"/>
      <x:c r="AB494" s="2"/>
      <x:c r="AC494" s="2" t="s">
        <x:v>367</x:v>
      </x:c>
      <x:c r="AD494" s="2" t="s">
        <x:v>368</x:v>
      </x:c>
      <x:c r="AE494" s="2" t="s">
        <x:v>317</x:v>
      </x:c>
      <x:c r="AF494" s="2" t="s">
        <x:v>319</x:v>
      </x:c>
      <x:c r="AG494" s="2"/>
      <x:c r="AH494" s="2"/>
      <x:c r="AI494" s="4"/>
      <x:c r="AJ494" s="2"/>
      <x:c r="AK494" s="2" t="s">
        <x:v>320</x:v>
      </x:c>
      <x:c r="AL494" s="2" t="s">
        <x:v>2857</x:v>
      </x:c>
      <x:c r="AM494" s="2">
        <x:v>44</x:v>
      </x:c>
      <x:c r="AN494" s="2">
        <x:v>44</x:v>
      </x:c>
    </x:row>
    <x:row r="495" ht="52">
      <x:c r="A495" s="2" t="s">
        <x:v>91</x:v>
      </x:c>
      <x:c r="B495" s="2" t="s">
        <x:v>16</x:v>
      </x:c>
      <x:c r="C495" s="3">
        <x:v>43</x:v>
      </x:c>
      <x:c r="D495" s="2" t="s">
        <x:v>1651</x:v>
      </x:c>
      <x:c r="E495" s="2" t="s">
        <x:v>1615</x:v>
      </x:c>
      <x:c r="F495" s="2" t="s">
        <x:v>1652</x:v>
      </x:c>
      <x:c r="G495" s="2" t="s">
        <x:v>1686</x:v>
      </x:c>
      <x:c r="H495" s="2" t="s">
        <x:v>618</x:v>
      </x:c>
      <x:c r="I495" s="2" t="s">
        <x:v>1664</x:v>
      </x:c>
      <x:c r="J495" s="2" t="s">
        <x:v>1598</x:v>
      </x:c>
      <x:c r="K495" s="2" t="n">
        <x:v>40</x:v>
      </x:c>
      <x:c r="L495" s="2" t="s">
        <x:v>1653</x:v>
      </x:c>
      <x:c r="M495" s="2"/>
      <x:c r="N495" s="2"/>
      <x:c r="O495" s="2" t="s">
        <x:v>1605</x:v>
      </x:c>
      <x:c r="P495" s="2" t="s">
        <x:v>1654</x:v>
      </x:c>
      <x:c r="Q495" s="2"/>
      <x:c r="R495" s="3">
        <x:v>4</x:v>
      </x:c>
      <x:c r="S495" s="3"/>
      <x:c r="T495" s="2"/>
      <x:c r="U495" s="2"/>
      <x:c r="V495" s="2"/>
      <x:c r="W495" s="2"/>
      <x:c r="X495" s="3"/>
      <x:c r="Y495" s="3"/>
      <x:c r="Z495" s="2"/>
      <x:c r="AA495" s="2"/>
      <x:c r="AB495" s="2"/>
      <x:c r="AC495" s="2" t="s">
        <x:v>374</x:v>
      </x:c>
      <x:c r="AD495" s="2" t="s">
        <x:v>368</x:v>
      </x:c>
      <x:c r="AE495" s="2" t="s">
        <x:v>317</x:v>
      </x:c>
      <x:c r="AF495" s="2" t="s">
        <x:v>319</x:v>
      </x:c>
      <x:c r="AG495" s="2"/>
      <x:c r="AH495" s="2"/>
      <x:c r="AI495" s="4"/>
      <x:c r="AJ495" s="2"/>
      <x:c r="AK495" s="2" t="s">
        <x:v>320</x:v>
      </x:c>
      <x:c r="AL495" s="2" t="s">
        <x:v>2857</x:v>
      </x:c>
      <x:c r="AM495" s="2">
        <x:v>45</x:v>
      </x:c>
      <x:c r="AN495" s="2">
        <x:v>45</x:v>
      </x:c>
    </x:row>
    <x:row r="496" ht="52">
      <x:c r="A496" s="2" t="s">
        <x:v>6</x:v>
      </x:c>
      <x:c r="B496" s="2" t="s">
        <x:v>16</x:v>
      </x:c>
      <x:c r="C496" s="3">
        <x:v>44</x:v>
      </x:c>
      <x:c r="D496" s="2" t="s">
        <x:v>1593</x:v>
      </x:c>
      <x:c r="E496" s="2" t="s">
        <x:v>1594</x:v>
      </x:c>
      <x:c r="F496" s="2" t="s">
        <x:v>1595</x:v>
      </x:c>
      <x:c r="G496" s="2"/>
      <x:c r="H496" s="2" t="s">
        <x:v>618</x:v>
      </x:c>
      <x:c r="I496" s="2" t="s">
        <x:v>1667</x:v>
      </x:c>
      <x:c r="J496" s="2" t="s">
        <x:v>1668</x:v>
      </x:c>
      <x:c r="K496" s="2"/>
      <x:c r="L496" s="2" t="s">
        <x:v>1599</x:v>
      </x:c>
      <x:c r="M496" s="2"/>
      <x:c r="N496" s="2"/>
      <x:c r="O496" s="2" t="s">
        <x:v>1600</x:v>
      </x:c>
      <x:c r="P496" s="2" t="s">
        <x:v>1669</x:v>
      </x:c>
      <x:c r="Q496" s="2"/>
      <x:c r="R496" s="3">
        <x:v>3</x:v>
      </x:c>
      <x:c r="S496" s="3"/>
      <x:c r="T496" s="2"/>
      <x:c r="U496" s="2"/>
      <x:c r="V496" s="2"/>
      <x:c r="W496" s="2"/>
      <x:c r="X496" s="3"/>
      <x:c r="Y496" s="3"/>
      <x:c r="Z496" s="2"/>
      <x:c r="AA496" s="2"/>
      <x:c r="AB496" s="2"/>
      <x:c r="AC496" s="2" t="s">
        <x:v>316</x:v>
      </x:c>
      <x:c r="AD496" s="2" t="s">
        <x:v>317</x:v>
      </x:c>
      <x:c r="AE496" s="2" t="s">
        <x:v>368</x:v>
      </x:c>
      <x:c r="AF496" s="2" t="s">
        <x:v>319</x:v>
      </x:c>
      <x:c r="AG496" s="2"/>
      <x:c r="AH496" s="2"/>
      <x:c r="AI496" s="4"/>
      <x:c r="AJ496" s="2"/>
      <x:c r="AK496" s="2" t="s">
        <x:v>320</x:v>
      </x:c>
      <x:c r="AL496" s="2" t="s">
        <x:v>2857</x:v>
      </x:c>
      <x:c r="AM496" s="2">
        <x:v>46</x:v>
      </x:c>
      <x:c r="AN496" s="2">
        <x:v>46</x:v>
      </x:c>
    </x:row>
    <x:row r="497" ht="39">
      <x:c r="A497" s="2" t="s">
        <x:v>6</x:v>
      </x:c>
      <x:c r="B497" s="2" t="s">
        <x:v>16</x:v>
      </x:c>
      <x:c r="C497" s="3">
        <x:v>45</x:v>
      </x:c>
      <x:c r="D497" s="2" t="s">
        <x:v>1670</x:v>
      </x:c>
      <x:c r="E497" s="2" t="s">
        <x:v>1594</x:v>
      </x:c>
      <x:c r="F497" s="2" t="s">
        <x:v>1671</x:v>
      </x:c>
      <x:c r="G497" s="2"/>
      <x:c r="H497" s="2" t="s">
        <x:v>627</x:v>
      </x:c>
      <x:c r="I497" s="2" t="s">
        <x:v>1667</x:v>
      </x:c>
      <x:c r="J497" s="2" t="s">
        <x:v>1673</x:v>
      </x:c>
      <x:c r="K497" s="2" t="n">
        <x:v>44</x:v>
      </x:c>
      <x:c r="L497" s="2" t="s">
        <x:v>1599</x:v>
      </x:c>
      <x:c r="M497" s="2"/>
      <x:c r="N497" s="2"/>
      <x:c r="O497" s="2" t="s">
        <x:v>1674</x:v>
      </x:c>
      <x:c r="P497" s="2" t="s">
        <x:v>1675</x:v>
      </x:c>
      <x:c r="Q497" s="2"/>
      <x:c r="R497" s="3">
        <x:v>3</x:v>
      </x:c>
      <x:c r="S497" s="3"/>
      <x:c r="T497" s="2"/>
      <x:c r="U497" s="2"/>
      <x:c r="V497" s="2"/>
      <x:c r="W497" s="2"/>
      <x:c r="X497" s="3"/>
      <x:c r="Y497" s="3"/>
      <x:c r="Z497" s="2"/>
      <x:c r="AA497" s="2"/>
      <x:c r="AB497" s="2"/>
      <x:c r="AC497" s="2" t="s">
        <x:v>316</x:v>
      </x:c>
      <x:c r="AD497" s="2" t="s">
        <x:v>317</x:v>
      </x:c>
      <x:c r="AE497" s="2" t="s">
        <x:v>368</x:v>
      </x:c>
      <x:c r="AF497" s="2" t="s">
        <x:v>319</x:v>
      </x:c>
      <x:c r="AG497" s="2"/>
      <x:c r="AH497" s="2"/>
      <x:c r="AI497" s="4"/>
      <x:c r="AJ497" s="2"/>
      <x:c r="AK497" s="2" t="s">
        <x:v>320</x:v>
      </x:c>
      <x:c r="AL497" s="2" t="s">
        <x:v>2857</x:v>
      </x:c>
      <x:c r="AM497" s="2">
        <x:v>47</x:v>
      </x:c>
      <x:c r="AN497" s="2">
        <x:v>47</x:v>
      </x:c>
    </x:row>
    <x:row r="498" ht="26">
      <x:c r="A498" s="2" t="s">
        <x:v>6</x:v>
      </x:c>
      <x:c r="B498" s="2" t="s">
        <x:v>16</x:v>
      </x:c>
      <x:c r="C498" s="3">
        <x:v>46</x:v>
      </x:c>
      <x:c r="D498" s="2" t="s">
        <x:v>1676</x:v>
      </x:c>
      <x:c r="E498" s="2" t="s">
        <x:v>1594</x:v>
      </x:c>
      <x:c r="F498" s="2" t="s">
        <x:v>1595</x:v>
      </x:c>
      <x:c r="G498" s="2"/>
      <x:c r="H498" s="2" t="s">
        <x:v>634</x:v>
      </x:c>
      <x:c r="I498" s="2" t="s">
        <x:v>1667</x:v>
      </x:c>
      <x:c r="J498" s="2" t="s">
        <x:v>1677</x:v>
      </x:c>
      <x:c r="K498" s="2" t="n">
        <x:v>44</x:v>
      </x:c>
      <x:c r="L498" s="2" t="s">
        <x:v>1599</x:v>
      </x:c>
      <x:c r="M498" s="2"/>
      <x:c r="N498" s="2"/>
      <x:c r="O498" s="2" t="s">
        <x:v>1678</x:v>
      </x:c>
      <x:c r="P498" s="2" t="s">
        <x:v>1679</x:v>
      </x:c>
      <x:c r="Q498" s="2"/>
      <x:c r="R498" s="3">
        <x:v>3</x:v>
      </x:c>
      <x:c r="S498" s="3"/>
      <x:c r="T498" s="2"/>
      <x:c r="U498" s="2"/>
      <x:c r="V498" s="2"/>
      <x:c r="W498" s="2"/>
      <x:c r="X498" s="3"/>
      <x:c r="Y498" s="3"/>
      <x:c r="Z498" s="2"/>
      <x:c r="AA498" s="2"/>
      <x:c r="AB498" s="2"/>
      <x:c r="AC498" s="2" t="s">
        <x:v>316</x:v>
      </x:c>
      <x:c r="AD498" s="2" t="s">
        <x:v>317</x:v>
      </x:c>
      <x:c r="AE498" s="2" t="s">
        <x:v>368</x:v>
      </x:c>
      <x:c r="AF498" s="2" t="s">
        <x:v>319</x:v>
      </x:c>
      <x:c r="AG498" s="2"/>
      <x:c r="AH498" s="2"/>
      <x:c r="AI498" s="4"/>
      <x:c r="AJ498" s="2"/>
      <x:c r="AK498" s="2" t="s">
        <x:v>320</x:v>
      </x:c>
      <x:c r="AL498" s="2" t="s">
        <x:v>2857</x:v>
      </x:c>
      <x:c r="AM498" s="2">
        <x:v>48</x:v>
      </x:c>
      <x:c r="AN498" s="2">
        <x:v>48</x:v>
      </x:c>
    </x:row>
    <x:row r="499" ht="39">
      <x:c r="A499" s="2" t="s">
        <x:v>6</x:v>
      </x:c>
      <x:c r="B499" s="2" t="s">
        <x:v>16</x:v>
      </x:c>
      <x:c r="C499" s="3">
        <x:v>47</x:v>
      </x:c>
      <x:c r="D499" s="2" t="s">
        <x:v>1680</x:v>
      </x:c>
      <x:c r="E499" s="2" t="s">
        <x:v>1594</x:v>
      </x:c>
      <x:c r="F499" s="2" t="s">
        <x:v>1671</x:v>
      </x:c>
      <x:c r="G499" s="2"/>
      <x:c r="H499" s="2" t="s">
        <x:v>634</x:v>
      </x:c>
      <x:c r="I499" s="2" t="s">
        <x:v>1667</x:v>
      </x:c>
      <x:c r="J499" s="2" t="s">
        <x:v>1363</x:v>
      </x:c>
      <x:c r="K499" s="2" t="n">
        <x:v>44</x:v>
      </x:c>
      <x:c r="L499" s="2" t="s">
        <x:v>1599</x:v>
      </x:c>
      <x:c r="M499" s="2"/>
      <x:c r="N499" s="2"/>
      <x:c r="O499" s="2" t="s">
        <x:v>1681</x:v>
      </x:c>
      <x:c r="P499" s="2" t="s">
        <x:v>1682</x:v>
      </x:c>
      <x:c r="Q499" s="2"/>
      <x:c r="R499" s="3">
        <x:v>3</x:v>
      </x:c>
      <x:c r="S499" s="3"/>
      <x:c r="T499" s="2"/>
      <x:c r="U499" s="2"/>
      <x:c r="V499" s="2"/>
      <x:c r="W499" s="2"/>
      <x:c r="X499" s="3"/>
      <x:c r="Y499" s="3"/>
      <x:c r="Z499" s="2"/>
      <x:c r="AA499" s="2"/>
      <x:c r="AB499" s="2"/>
      <x:c r="AC499" s="2" t="s">
        <x:v>316</x:v>
      </x:c>
      <x:c r="AD499" s="2" t="s">
        <x:v>317</x:v>
      </x:c>
      <x:c r="AE499" s="2" t="s">
        <x:v>368</x:v>
      </x:c>
      <x:c r="AF499" s="2" t="s">
        <x:v>319</x:v>
      </x:c>
      <x:c r="AG499" s="2"/>
      <x:c r="AH499" s="2"/>
      <x:c r="AI499" s="4"/>
      <x:c r="AJ499" s="2"/>
      <x:c r="AK499" s="2" t="s">
        <x:v>320</x:v>
      </x:c>
      <x:c r="AL499" s="2" t="s">
        <x:v>2857</x:v>
      </x:c>
      <x:c r="AM499" s="2">
        <x:v>49</x:v>
      </x:c>
      <x:c r="AN499" s="2">
        <x:v>49</x:v>
      </x:c>
    </x:row>
    <x:row r="500" ht="52">
      <x:c r="A500" s="2" t="s">
        <x:v>91</x:v>
      </x:c>
      <x:c r="B500" s="2" t="s">
        <x:v>16</x:v>
      </x:c>
      <x:c r="C500" s="3">
        <x:v>48</x:v>
      </x:c>
      <x:c r="D500" s="2" t="s">
        <x:v>1593</x:v>
      </x:c>
      <x:c r="E500" s="2" t="s">
        <x:v>1615</x:v>
      </x:c>
      <x:c r="F500" s="2" t="s">
        <x:v>1595</x:v>
      </x:c>
      <x:c r="G500" s="2" t="s">
        <x:v>2949</x:v>
      </x:c>
      <x:c r="H500" s="2" t="s">
        <x:v>618</x:v>
      </x:c>
      <x:c r="I500" s="2" t="s">
        <x:v>1683</x:v>
      </x:c>
      <x:c r="J500" s="2" t="s">
        <x:v>1668</x:v>
      </x:c>
      <x:c r="K500" s="2"/>
      <x:c r="L500" s="2" t="s">
        <x:v>1617</x:v>
      </x:c>
      <x:c r="M500" s="2"/>
      <x:c r="N500" s="2"/>
      <x:c r="O500" s="2" t="s">
        <x:v>1600</x:v>
      </x:c>
      <x:c r="P500" s="2" t="s">
        <x:v>1684</x:v>
      </x:c>
      <x:c r="Q500" s="2"/>
      <x:c r="R500" s="3">
        <x:v>4</x:v>
      </x:c>
      <x:c r="S500" s="3"/>
      <x:c r="T500" s="2"/>
      <x:c r="U500" s="2"/>
      <x:c r="V500" s="2"/>
      <x:c r="W500" s="2"/>
      <x:c r="X500" s="3"/>
      <x:c r="Y500" s="3"/>
      <x:c r="Z500" s="2"/>
      <x:c r="AA500" s="2"/>
      <x:c r="AB500" s="2"/>
      <x:c r="AC500" s="2" t="s">
        <x:v>316</x:v>
      </x:c>
      <x:c r="AD500" s="2" t="s">
        <x:v>317</x:v>
      </x:c>
      <x:c r="AE500" s="2" t="s">
        <x:v>368</x:v>
      </x:c>
      <x:c r="AF500" s="2" t="s">
        <x:v>319</x:v>
      </x:c>
      <x:c r="AG500" s="2"/>
      <x:c r="AH500" s="2"/>
      <x:c r="AI500" s="4"/>
      <x:c r="AJ500" s="2"/>
      <x:c r="AK500" s="2" t="s">
        <x:v>320</x:v>
      </x:c>
      <x:c r="AL500" s="2" t="s">
        <x:v>2857</x:v>
      </x:c>
      <x:c r="AM500" s="2">
        <x:v>50</x:v>
      </x:c>
      <x:c r="AN500" s="2">
        <x:v>50</x:v>
      </x:c>
    </x:row>
    <x:row r="501" ht="39">
      <x:c r="A501" s="2" t="s">
        <x:v>6</x:v>
      </x:c>
      <x:c r="B501" s="2" t="s">
        <x:v>16</x:v>
      </x:c>
      <x:c r="C501" s="3">
        <x:v>49</x:v>
      </x:c>
      <x:c r="D501" s="2" t="s">
        <x:v>1685</x:v>
      </x:c>
      <x:c r="E501" s="2" t="s">
        <x:v>1615</x:v>
      </x:c>
      <x:c r="F501" s="2" t="s">
        <x:v>1671</x:v>
      </x:c>
      <x:c r="G501" s="2"/>
      <x:c r="H501" s="2" t="s">
        <x:v>627</x:v>
      </x:c>
      <x:c r="I501" s="2" t="s">
        <x:v>1683</x:v>
      </x:c>
      <x:c r="J501" s="2" t="s">
        <x:v>1673</x:v>
      </x:c>
      <x:c r="K501" s="2" t="n">
        <x:v>48</x:v>
      </x:c>
      <x:c r="L501" s="2" t="s">
        <x:v>1617</x:v>
      </x:c>
      <x:c r="M501" s="2"/>
      <x:c r="N501" s="2"/>
      <x:c r="O501" s="2" t="s">
        <x:v>1674</x:v>
      </x:c>
      <x:c r="P501" s="2" t="s">
        <x:v>1687</x:v>
      </x:c>
      <x:c r="Q501" s="2"/>
      <x:c r="R501" s="3">
        <x:v>4</x:v>
      </x:c>
      <x:c r="S501" s="3"/>
      <x:c r="T501" s="2"/>
      <x:c r="U501" s="2"/>
      <x:c r="V501" s="2"/>
      <x:c r="W501" s="2"/>
      <x:c r="X501" s="3"/>
      <x:c r="Y501" s="3"/>
      <x:c r="Z501" s="2"/>
      <x:c r="AA501" s="2"/>
      <x:c r="AB501" s="2"/>
      <x:c r="AC501" s="2" t="s">
        <x:v>316</x:v>
      </x:c>
      <x:c r="AD501" s="2" t="s">
        <x:v>317</x:v>
      </x:c>
      <x:c r="AE501" s="2" t="s">
        <x:v>368</x:v>
      </x:c>
      <x:c r="AF501" s="2" t="s">
        <x:v>319</x:v>
      </x:c>
      <x:c r="AG501" s="2"/>
      <x:c r="AH501" s="2"/>
      <x:c r="AI501" s="4"/>
      <x:c r="AJ501" s="2"/>
      <x:c r="AK501" s="2" t="s">
        <x:v>320</x:v>
      </x:c>
      <x:c r="AL501" s="2" t="s">
        <x:v>2857</x:v>
      </x:c>
      <x:c r="AM501" s="2">
        <x:v>51</x:v>
      </x:c>
      <x:c r="AN501" s="2">
        <x:v>51</x:v>
      </x:c>
    </x:row>
    <x:row r="502" ht="26">
      <x:c r="A502" s="2" t="s">
        <x:v>91</x:v>
      </x:c>
      <x:c r="B502" s="2" t="s">
        <x:v>16</x:v>
      </x:c>
      <x:c r="C502" s="3">
        <x:v>50</x:v>
      </x:c>
      <x:c r="D502" s="2" t="s">
        <x:v>1676</x:v>
      </x:c>
      <x:c r="E502" s="2" t="s">
        <x:v>1615</x:v>
      </x:c>
      <x:c r="F502" s="2" t="s">
        <x:v>1595</x:v>
      </x:c>
      <x:c r="G502" s="2" t="s">
        <x:v>1686</x:v>
      </x:c>
      <x:c r="H502" s="2" t="s">
        <x:v>634</x:v>
      </x:c>
      <x:c r="I502" s="2" t="s">
        <x:v>1683</x:v>
      </x:c>
      <x:c r="J502" s="2" t="s">
        <x:v>1677</x:v>
      </x:c>
      <x:c r="K502" s="2" t="n">
        <x:v>48</x:v>
      </x:c>
      <x:c r="L502" s="2" t="s">
        <x:v>1617</x:v>
      </x:c>
      <x:c r="M502" s="2"/>
      <x:c r="N502" s="2"/>
      <x:c r="O502" s="2" t="s">
        <x:v>1678</x:v>
      </x:c>
      <x:c r="P502" s="2" t="s">
        <x:v>1679</x:v>
      </x:c>
      <x:c r="Q502" s="2"/>
      <x:c r="R502" s="3">
        <x:v>4</x:v>
      </x:c>
      <x:c r="S502" s="3"/>
      <x:c r="T502" s="2"/>
      <x:c r="U502" s="2"/>
      <x:c r="V502" s="2"/>
      <x:c r="W502" s="2"/>
      <x:c r="X502" s="3"/>
      <x:c r="Y502" s="3"/>
      <x:c r="Z502" s="2"/>
      <x:c r="AA502" s="2"/>
      <x:c r="AB502" s="2"/>
      <x:c r="AC502" s="2" t="s">
        <x:v>316</x:v>
      </x:c>
      <x:c r="AD502" s="2" t="s">
        <x:v>317</x:v>
      </x:c>
      <x:c r="AE502" s="2" t="s">
        <x:v>368</x:v>
      </x:c>
      <x:c r="AF502" s="2" t="s">
        <x:v>319</x:v>
      </x:c>
      <x:c r="AG502" s="2"/>
      <x:c r="AH502" s="2"/>
      <x:c r="AI502" s="4"/>
      <x:c r="AJ502" s="2"/>
      <x:c r="AK502" s="2" t="s">
        <x:v>320</x:v>
      </x:c>
      <x:c r="AL502" s="2" t="s">
        <x:v>2857</x:v>
      </x:c>
      <x:c r="AM502" s="2">
        <x:v>52</x:v>
      </x:c>
      <x:c r="AN502" s="2">
        <x:v>52</x:v>
      </x:c>
    </x:row>
    <x:row r="503" ht="39">
      <x:c r="A503" s="2" t="s">
        <x:v>6</x:v>
      </x:c>
      <x:c r="B503" s="2" t="s">
        <x:v>16</x:v>
      </x:c>
      <x:c r="C503" s="3">
        <x:v>51</x:v>
      </x:c>
      <x:c r="D503" s="2" t="s">
        <x:v>1680</x:v>
      </x:c>
      <x:c r="E503" s="2" t="s">
        <x:v>1615</x:v>
      </x:c>
      <x:c r="F503" s="2" t="s">
        <x:v>1671</x:v>
      </x:c>
      <x:c r="G503" s="2"/>
      <x:c r="H503" s="2" t="s">
        <x:v>634</x:v>
      </x:c>
      <x:c r="I503" s="2" t="s">
        <x:v>1683</x:v>
      </x:c>
      <x:c r="J503" s="2" t="s">
        <x:v>1363</x:v>
      </x:c>
      <x:c r="K503" s="2" t="n">
        <x:v>48</x:v>
      </x:c>
      <x:c r="L503" s="2" t="s">
        <x:v>1617</x:v>
      </x:c>
      <x:c r="M503" s="2"/>
      <x:c r="N503" s="2"/>
      <x:c r="O503" s="2" t="s">
        <x:v>1681</x:v>
      </x:c>
      <x:c r="P503" s="2" t="s">
        <x:v>1690</x:v>
      </x:c>
      <x:c r="Q503" s="2"/>
      <x:c r="R503" s="3">
        <x:v>4</x:v>
      </x:c>
      <x:c r="S503" s="3"/>
      <x:c r="T503" s="2"/>
      <x:c r="U503" s="2"/>
      <x:c r="V503" s="2"/>
      <x:c r="W503" s="2"/>
      <x:c r="X503" s="3"/>
      <x:c r="Y503" s="3"/>
      <x:c r="Z503" s="2"/>
      <x:c r="AA503" s="2"/>
      <x:c r="AB503" s="2"/>
      <x:c r="AC503" s="2" t="s">
        <x:v>316</x:v>
      </x:c>
      <x:c r="AD503" s="2" t="s">
        <x:v>317</x:v>
      </x:c>
      <x:c r="AE503" s="2" t="s">
        <x:v>368</x:v>
      </x:c>
      <x:c r="AF503" s="2" t="s">
        <x:v>319</x:v>
      </x:c>
      <x:c r="AG503" s="2"/>
      <x:c r="AH503" s="2"/>
      <x:c r="AI503" s="4"/>
      <x:c r="AJ503" s="2"/>
      <x:c r="AK503" s="2" t="s">
        <x:v>320</x:v>
      </x:c>
      <x:c r="AL503" s="2" t="s">
        <x:v>2857</x:v>
      </x:c>
      <x:c r="AM503" s="2">
        <x:v>53</x:v>
      </x:c>
      <x:c r="AN503" s="2">
        <x:v>53</x:v>
      </x:c>
    </x:row>
    <x:row r="504" ht="52">
      <x:c r="A504" s="2" t="s">
        <x:v>6</x:v>
      </x:c>
      <x:c r="B504" s="2" t="s">
        <x:v>16</x:v>
      </x:c>
      <x:c r="C504" s="3">
        <x:v>52</x:v>
      </x:c>
      <x:c r="D504" s="2" t="s">
        <x:v>1607</x:v>
      </x:c>
      <x:c r="E504" s="2" t="s">
        <x:v>1691</x:v>
      </x:c>
      <x:c r="F504" s="2" t="s">
        <x:v>1608</x:v>
      </x:c>
      <x:c r="G504" s="2"/>
      <x:c r="H504" s="2" t="s">
        <x:v>618</x:v>
      </x:c>
      <x:c r="I504" s="2" t="s">
        <x:v>1693</x:v>
      </x:c>
      <x:c r="J504" s="2" t="s">
        <x:v>1668</x:v>
      </x:c>
      <x:c r="K504" s="2"/>
      <x:c r="L504" s="2" t="s">
        <x:v>1609</x:v>
      </x:c>
      <x:c r="M504" s="2"/>
      <x:c r="N504" s="2"/>
      <x:c r="O504" s="2" t="s">
        <x:v>1600</x:v>
      </x:c>
      <x:c r="P504" s="2" t="s">
        <x:v>1694</x:v>
      </x:c>
      <x:c r="Q504" s="2"/>
      <x:c r="R504" s="3">
        <x:v>3</x:v>
      </x:c>
      <x:c r="S504" s="3"/>
      <x:c r="T504" s="2"/>
      <x:c r="U504" s="2"/>
      <x:c r="V504" s="2"/>
      <x:c r="W504" s="2"/>
      <x:c r="X504" s="3"/>
      <x:c r="Y504" s="3"/>
      <x:c r="Z504" s="2"/>
      <x:c r="AA504" s="2"/>
      <x:c r="AB504" s="2"/>
      <x:c r="AC504" s="2" t="s">
        <x:v>316</x:v>
      </x:c>
      <x:c r="AD504" s="2" t="s">
        <x:v>368</x:v>
      </x:c>
      <x:c r="AE504" s="2" t="s">
        <x:v>317</x:v>
      </x:c>
      <x:c r="AF504" s="2" t="s">
        <x:v>319</x:v>
      </x:c>
      <x:c r="AG504" s="2"/>
      <x:c r="AH504" s="2"/>
      <x:c r="AI504" s="4"/>
      <x:c r="AJ504" s="2"/>
      <x:c r="AK504" s="2" t="s">
        <x:v>320</x:v>
      </x:c>
      <x:c r="AL504" s="2" t="s">
        <x:v>2857</x:v>
      </x:c>
      <x:c r="AM504" s="2">
        <x:v>54</x:v>
      </x:c>
      <x:c r="AN504" s="2">
        <x:v>54</x:v>
      </x:c>
    </x:row>
    <x:row r="505" ht="39">
      <x:c r="A505" s="2" t="s">
        <x:v>6</x:v>
      </x:c>
      <x:c r="B505" s="2" t="s">
        <x:v>16</x:v>
      </x:c>
      <x:c r="C505" s="3">
        <x:v>53</x:v>
      </x:c>
      <x:c r="D505" s="2" t="s">
        <x:v>1695</x:v>
      </x:c>
      <x:c r="E505" s="2" t="s">
        <x:v>1691</x:v>
      </x:c>
      <x:c r="F505" s="2" t="s">
        <x:v>1696</x:v>
      </x:c>
      <x:c r="G505" s="2" t="s">
        <x:v>2950</x:v>
      </x:c>
      <x:c r="H505" s="2" t="s">
        <x:v>627</x:v>
      </x:c>
      <x:c r="I505" s="2" t="s">
        <x:v>1693</x:v>
      </x:c>
      <x:c r="J505" s="2" t="s">
        <x:v>1673</x:v>
      </x:c>
      <x:c r="K505" s="2" t="n">
        <x:v>52</x:v>
      </x:c>
      <x:c r="L505" s="2" t="s">
        <x:v>1609</x:v>
      </x:c>
      <x:c r="M505" s="2"/>
      <x:c r="N505" s="2"/>
      <x:c r="O505" s="2" t="s">
        <x:v>1674</x:v>
      </x:c>
      <x:c r="P505" s="2" t="s">
        <x:v>1698</x:v>
      </x:c>
      <x:c r="Q505" s="2"/>
      <x:c r="R505" s="3">
        <x:v>3</x:v>
      </x:c>
      <x:c r="S505" s="3"/>
      <x:c r="T505" s="2"/>
      <x:c r="U505" s="2"/>
      <x:c r="V505" s="2"/>
      <x:c r="W505" s="2"/>
      <x:c r="X505" s="3"/>
      <x:c r="Y505" s="3"/>
      <x:c r="Z505" s="2"/>
      <x:c r="AA505" s="2"/>
      <x:c r="AB505" s="2"/>
      <x:c r="AC505" s="2" t="s">
        <x:v>316</x:v>
      </x:c>
      <x:c r="AD505" s="2" t="s">
        <x:v>368</x:v>
      </x:c>
      <x:c r="AE505" s="2" t="s">
        <x:v>317</x:v>
      </x:c>
      <x:c r="AF505" s="2" t="s">
        <x:v>319</x:v>
      </x:c>
      <x:c r="AG505" s="2"/>
      <x:c r="AH505" s="2"/>
      <x:c r="AI505" s="4"/>
      <x:c r="AJ505" s="2"/>
      <x:c r="AK505" s="2" t="s">
        <x:v>320</x:v>
      </x:c>
      <x:c r="AL505" s="2" t="s">
        <x:v>2857</x:v>
      </x:c>
      <x:c r="AM505" s="2">
        <x:v>55</x:v>
      </x:c>
      <x:c r="AN505" s="2">
        <x:v>55</x:v>
      </x:c>
    </x:row>
    <x:row r="506" ht="26">
      <x:c r="A506" s="2" t="s">
        <x:v>91</x:v>
      </x:c>
      <x:c r="B506" s="2" t="s">
        <x:v>16</x:v>
      </x:c>
      <x:c r="C506" s="3">
        <x:v>54</x:v>
      </x:c>
      <x:c r="D506" s="2" t="s">
        <x:v>1699</x:v>
      </x:c>
      <x:c r="E506" s="2" t="s">
        <x:v>1691</x:v>
      </x:c>
      <x:c r="F506" s="2" t="s">
        <x:v>1608</x:v>
      </x:c>
      <x:c r="G506" s="2" t="s">
        <x:v>2950</x:v>
      </x:c>
      <x:c r="H506" s="2" t="s">
        <x:v>634</x:v>
      </x:c>
      <x:c r="I506" s="2" t="s">
        <x:v>1693</x:v>
      </x:c>
      <x:c r="J506" s="2" t="s">
        <x:v>1677</x:v>
      </x:c>
      <x:c r="K506" s="2" t="n">
        <x:v>52</x:v>
      </x:c>
      <x:c r="L506" s="2" t="s">
        <x:v>1609</x:v>
      </x:c>
      <x:c r="M506" s="2"/>
      <x:c r="N506" s="2"/>
      <x:c r="O506" s="2" t="s">
        <x:v>1678</x:v>
      </x:c>
      <x:c r="P506" s="2" t="s">
        <x:v>1679</x:v>
      </x:c>
      <x:c r="Q506" s="2"/>
      <x:c r="R506" s="3">
        <x:v>3</x:v>
      </x:c>
      <x:c r="S506" s="3"/>
      <x:c r="T506" s="2"/>
      <x:c r="U506" s="2"/>
      <x:c r="V506" s="2"/>
      <x:c r="W506" s="2"/>
      <x:c r="X506" s="3"/>
      <x:c r="Y506" s="3"/>
      <x:c r="Z506" s="2"/>
      <x:c r="AA506" s="2"/>
      <x:c r="AB506" s="2"/>
      <x:c r="AC506" s="2" t="s">
        <x:v>316</x:v>
      </x:c>
      <x:c r="AD506" s="2" t="s">
        <x:v>368</x:v>
      </x:c>
      <x:c r="AE506" s="2" t="s">
        <x:v>317</x:v>
      </x:c>
      <x:c r="AF506" s="2" t="s">
        <x:v>319</x:v>
      </x:c>
      <x:c r="AG506" s="2"/>
      <x:c r="AH506" s="2"/>
      <x:c r="AI506" s="4"/>
      <x:c r="AJ506" s="2"/>
      <x:c r="AK506" s="2" t="s">
        <x:v>320</x:v>
      </x:c>
      <x:c r="AL506" s="2" t="s">
        <x:v>2857</x:v>
      </x:c>
      <x:c r="AM506" s="2">
        <x:v>56</x:v>
      </x:c>
      <x:c r="AN506" s="2">
        <x:v>56</x:v>
      </x:c>
    </x:row>
    <x:row r="507" ht="39">
      <x:c r="A507" s="2" t="s">
        <x:v>6</x:v>
      </x:c>
      <x:c r="B507" s="2" t="s">
        <x:v>16</x:v>
      </x:c>
      <x:c r="C507" s="3">
        <x:v>55</x:v>
      </x:c>
      <x:c r="D507" s="2" t="s">
        <x:v>1700</x:v>
      </x:c>
      <x:c r="E507" s="2" t="s">
        <x:v>1691</x:v>
      </x:c>
      <x:c r="F507" s="2" t="s">
        <x:v>1696</x:v>
      </x:c>
      <x:c r="G507" s="2" t="s">
        <x:v>1686</x:v>
      </x:c>
      <x:c r="H507" s="2" t="s">
        <x:v>634</x:v>
      </x:c>
      <x:c r="I507" s="2" t="s">
        <x:v>1693</x:v>
      </x:c>
      <x:c r="J507" s="2" t="s">
        <x:v>1363</x:v>
      </x:c>
      <x:c r="K507" s="2" t="n">
        <x:v>52</x:v>
      </x:c>
      <x:c r="L507" s="2" t="s">
        <x:v>1609</x:v>
      </x:c>
      <x:c r="M507" s="2"/>
      <x:c r="N507" s="2"/>
      <x:c r="O507" s="2" t="s">
        <x:v>1681</x:v>
      </x:c>
      <x:c r="P507" s="2" t="s">
        <x:v>1701</x:v>
      </x:c>
      <x:c r="Q507" s="2"/>
      <x:c r="R507" s="3">
        <x:v>3</x:v>
      </x:c>
      <x:c r="S507" s="3"/>
      <x:c r="T507" s="2"/>
      <x:c r="U507" s="2"/>
      <x:c r="V507" s="2"/>
      <x:c r="W507" s="2"/>
      <x:c r="X507" s="3"/>
      <x:c r="Y507" s="3"/>
      <x:c r="Z507" s="2"/>
      <x:c r="AA507" s="2"/>
      <x:c r="AB507" s="2"/>
      <x:c r="AC507" s="2" t="s">
        <x:v>316</x:v>
      </x:c>
      <x:c r="AD507" s="2" t="s">
        <x:v>368</x:v>
      </x:c>
      <x:c r="AE507" s="2" t="s">
        <x:v>317</x:v>
      </x:c>
      <x:c r="AF507" s="2" t="s">
        <x:v>319</x:v>
      </x:c>
      <x:c r="AG507" s="2"/>
      <x:c r="AH507" s="2"/>
      <x:c r="AI507" s="4"/>
      <x:c r="AJ507" s="2"/>
      <x:c r="AK507" s="2" t="s">
        <x:v>320</x:v>
      </x:c>
      <x:c r="AL507" s="2" t="s">
        <x:v>2857</x:v>
      </x:c>
      <x:c r="AM507" s="2">
        <x:v>57</x:v>
      </x:c>
      <x:c r="AN507" s="2">
        <x:v>57</x:v>
      </x:c>
    </x:row>
    <x:row r="508" ht="52">
      <x:c r="A508" s="2" t="s">
        <x:v>91</x:v>
      </x:c>
      <x:c r="B508" s="2" t="s">
        <x:v>16</x:v>
      </x:c>
      <x:c r="C508" s="3">
        <x:v>56</x:v>
      </x:c>
      <x:c r="D508" s="2" t="s">
        <x:v>1602</x:v>
      </x:c>
      <x:c r="E508" s="2" t="s">
        <x:v>1615</x:v>
      </x:c>
      <x:c r="F508" s="2" t="s">
        <x:v>1603</x:v>
      </x:c>
      <x:c r="G508" s="2" t="s">
        <x:v>2951</x:v>
      </x:c>
      <x:c r="H508" s="2" t="s">
        <x:v>618</x:v>
      </x:c>
      <x:c r="I508" s="2" t="s">
        <x:v>1703</x:v>
      </x:c>
      <x:c r="J508" s="2" t="s">
        <x:v>1668</x:v>
      </x:c>
      <x:c r="K508" s="2"/>
      <x:c r="L508" s="2" t="s">
        <x:v>1704</x:v>
      </x:c>
      <x:c r="M508" s="2"/>
      <x:c r="N508" s="2"/>
      <x:c r="O508" s="2" t="s">
        <x:v>1600</x:v>
      </x:c>
      <x:c r="P508" s="2" t="s">
        <x:v>1705</x:v>
      </x:c>
      <x:c r="Q508" s="2"/>
      <x:c r="R508" s="3">
        <x:v>4</x:v>
      </x:c>
      <x:c r="S508" s="3"/>
      <x:c r="T508" s="2"/>
      <x:c r="U508" s="2"/>
      <x:c r="V508" s="2"/>
      <x:c r="W508" s="2"/>
      <x:c r="X508" s="3"/>
      <x:c r="Y508" s="3"/>
      <x:c r="Z508" s="2"/>
      <x:c r="AA508" s="2"/>
      <x:c r="AB508" s="2"/>
      <x:c r="AC508" s="2" t="s">
        <x:v>326</x:v>
      </x:c>
      <x:c r="AD508" s="2" t="s">
        <x:v>317</x:v>
      </x:c>
      <x:c r="AE508" s="2" t="s">
        <x:v>368</x:v>
      </x:c>
      <x:c r="AF508" s="2" t="s">
        <x:v>319</x:v>
      </x:c>
      <x:c r="AG508" s="2"/>
      <x:c r="AH508" s="2"/>
      <x:c r="AI508" s="4"/>
      <x:c r="AJ508" s="2"/>
      <x:c r="AK508" s="2" t="s">
        <x:v>320</x:v>
      </x:c>
      <x:c r="AL508" s="2" t="s">
        <x:v>2857</x:v>
      </x:c>
      <x:c r="AM508" s="2">
        <x:v>58</x:v>
      </x:c>
      <x:c r="AN508" s="2">
        <x:v>58</x:v>
      </x:c>
    </x:row>
    <x:row r="509" ht="39">
      <x:c r="A509" s="2" t="s">
        <x:v>91</x:v>
      </x:c>
      <x:c r="B509" s="2" t="s">
        <x:v>16</x:v>
      </x:c>
      <x:c r="C509" s="3">
        <x:v>57</x:v>
      </x:c>
      <x:c r="D509" s="2" t="s">
        <x:v>1670</x:v>
      </x:c>
      <x:c r="E509" s="2" t="s">
        <x:v>1615</x:v>
      </x:c>
      <x:c r="F509" s="2" t="s">
        <x:v>1671</x:v>
      </x:c>
      <x:c r="G509" s="2" t="s">
        <x:v>2952</x:v>
      </x:c>
      <x:c r="H509" s="2" t="s">
        <x:v>627</x:v>
      </x:c>
      <x:c r="I509" s="2" t="s">
        <x:v>1703</x:v>
      </x:c>
      <x:c r="J509" s="2" t="s">
        <x:v>1673</x:v>
      </x:c>
      <x:c r="K509" s="2" t="n">
        <x:v>56</x:v>
      </x:c>
      <x:c r="L509" s="2" t="s">
        <x:v>1704</x:v>
      </x:c>
      <x:c r="M509" s="2"/>
      <x:c r="N509" s="2"/>
      <x:c r="O509" s="2" t="s">
        <x:v>1674</x:v>
      </x:c>
      <x:c r="P509" s="2" t="s">
        <x:v>1707</x:v>
      </x:c>
      <x:c r="Q509" s="2"/>
      <x:c r="R509" s="3">
        <x:v>4</x:v>
      </x:c>
      <x:c r="S509" s="3"/>
      <x:c r="T509" s="2"/>
      <x:c r="U509" s="2"/>
      <x:c r="V509" s="2"/>
      <x:c r="W509" s="2"/>
      <x:c r="X509" s="3"/>
      <x:c r="Y509" s="3"/>
      <x:c r="Z509" s="2"/>
      <x:c r="AA509" s="2"/>
      <x:c r="AB509" s="2"/>
      <x:c r="AC509" s="2" t="s">
        <x:v>326</x:v>
      </x:c>
      <x:c r="AD509" s="2" t="s">
        <x:v>317</x:v>
      </x:c>
      <x:c r="AE509" s="2" t="s">
        <x:v>368</x:v>
      </x:c>
      <x:c r="AF509" s="2" t="s">
        <x:v>319</x:v>
      </x:c>
      <x:c r="AG509" s="2"/>
      <x:c r="AH509" s="2"/>
      <x:c r="AI509" s="4"/>
      <x:c r="AJ509" s="2"/>
      <x:c r="AK509" s="2" t="s">
        <x:v>320</x:v>
      </x:c>
      <x:c r="AL509" s="2" t="s">
        <x:v>2857</x:v>
      </x:c>
      <x:c r="AM509" s="2">
        <x:v>59</x:v>
      </x:c>
      <x:c r="AN509" s="2">
        <x:v>59</x:v>
      </x:c>
    </x:row>
    <x:row r="510" ht="26">
      <x:c r="A510" s="2" t="s">
        <x:v>91</x:v>
      </x:c>
      <x:c r="B510" s="2" t="s">
        <x:v>16</x:v>
      </x:c>
      <x:c r="C510" s="3">
        <x:v>58</x:v>
      </x:c>
      <x:c r="D510" s="2" t="s">
        <x:v>1708</x:v>
      </x:c>
      <x:c r="E510" s="2" t="s">
        <x:v>1615</x:v>
      </x:c>
      <x:c r="F510" s="2" t="s">
        <x:v>1603</x:v>
      </x:c>
      <x:c r="G510" s="2" t="s">
        <x:v>2953</x:v>
      </x:c>
      <x:c r="H510" s="2" t="s">
        <x:v>634</x:v>
      </x:c>
      <x:c r="I510" s="2" t="s">
        <x:v>1703</x:v>
      </x:c>
      <x:c r="J510" s="2" t="s">
        <x:v>1677</x:v>
      </x:c>
      <x:c r="K510" s="2" t="n">
        <x:v>56</x:v>
      </x:c>
      <x:c r="L510" s="2" t="s">
        <x:v>1704</x:v>
      </x:c>
      <x:c r="M510" s="2"/>
      <x:c r="N510" s="2"/>
      <x:c r="O510" s="2" t="s">
        <x:v>1678</x:v>
      </x:c>
      <x:c r="P510" s="2" t="s">
        <x:v>1679</x:v>
      </x:c>
      <x:c r="Q510" s="2"/>
      <x:c r="R510" s="3">
        <x:v>4</x:v>
      </x:c>
      <x:c r="S510" s="3"/>
      <x:c r="T510" s="2"/>
      <x:c r="U510" s="2"/>
      <x:c r="V510" s="2"/>
      <x:c r="W510" s="2"/>
      <x:c r="X510" s="3"/>
      <x:c r="Y510" s="3"/>
      <x:c r="Z510" s="2"/>
      <x:c r="AA510" s="2"/>
      <x:c r="AB510" s="2"/>
      <x:c r="AC510" s="2" t="s">
        <x:v>326</x:v>
      </x:c>
      <x:c r="AD510" s="2" t="s">
        <x:v>317</x:v>
      </x:c>
      <x:c r="AE510" s="2" t="s">
        <x:v>368</x:v>
      </x:c>
      <x:c r="AF510" s="2" t="s">
        <x:v>319</x:v>
      </x:c>
      <x:c r="AG510" s="2"/>
      <x:c r="AH510" s="2"/>
      <x:c r="AI510" s="4"/>
      <x:c r="AJ510" s="2"/>
      <x:c r="AK510" s="2" t="s">
        <x:v>320</x:v>
      </x:c>
      <x:c r="AL510" s="2" t="s">
        <x:v>2857</x:v>
      </x:c>
      <x:c r="AM510" s="2">
        <x:v>60</x:v>
      </x:c>
      <x:c r="AN510" s="2">
        <x:v>60</x:v>
      </x:c>
    </x:row>
    <x:row r="511" ht="39">
      <x:c r="A511" s="2" t="s">
        <x:v>6</x:v>
      </x:c>
      <x:c r="B511" s="2" t="s">
        <x:v>16</x:v>
      </x:c>
      <x:c r="C511" s="3">
        <x:v>59</x:v>
      </x:c>
      <x:c r="D511" s="2" t="s">
        <x:v>1680</x:v>
      </x:c>
      <x:c r="E511" s="2" t="s">
        <x:v>1615</x:v>
      </x:c>
      <x:c r="F511" s="2" t="s">
        <x:v>1671</x:v>
      </x:c>
      <x:c r="G511" s="2"/>
      <x:c r="H511" s="2" t="s">
        <x:v>634</x:v>
      </x:c>
      <x:c r="I511" s="2" t="s">
        <x:v>1703</x:v>
      </x:c>
      <x:c r="J511" s="2" t="s">
        <x:v>1363</x:v>
      </x:c>
      <x:c r="K511" s="2" t="n">
        <x:v>56</x:v>
      </x:c>
      <x:c r="L511" s="2" t="s">
        <x:v>1704</x:v>
      </x:c>
      <x:c r="M511" s="2"/>
      <x:c r="N511" s="2"/>
      <x:c r="O511" s="2" t="s">
        <x:v>1681</x:v>
      </x:c>
      <x:c r="P511" s="2" t="s">
        <x:v>1711</x:v>
      </x:c>
      <x:c r="Q511" s="2"/>
      <x:c r="R511" s="3">
        <x:v>4</x:v>
      </x:c>
      <x:c r="S511" s="3"/>
      <x:c r="T511" s="2"/>
      <x:c r="U511" s="2"/>
      <x:c r="V511" s="2"/>
      <x:c r="W511" s="2"/>
      <x:c r="X511" s="3"/>
      <x:c r="Y511" s="3"/>
      <x:c r="Z511" s="2"/>
      <x:c r="AA511" s="2"/>
      <x:c r="AB511" s="2"/>
      <x:c r="AC511" s="2" t="s">
        <x:v>326</x:v>
      </x:c>
      <x:c r="AD511" s="2" t="s">
        <x:v>317</x:v>
      </x:c>
      <x:c r="AE511" s="2" t="s">
        <x:v>368</x:v>
      </x:c>
      <x:c r="AF511" s="2" t="s">
        <x:v>319</x:v>
      </x:c>
      <x:c r="AG511" s="2"/>
      <x:c r="AH511" s="2"/>
      <x:c r="AI511" s="4"/>
      <x:c r="AJ511" s="2"/>
      <x:c r="AK511" s="2" t="s">
        <x:v>320</x:v>
      </x:c>
      <x:c r="AL511" s="2" t="s">
        <x:v>2857</x:v>
      </x:c>
      <x:c r="AM511" s="2">
        <x:v>61</x:v>
      </x:c>
      <x:c r="AN511" s="2">
        <x:v>61</x:v>
      </x:c>
    </x:row>
    <x:row r="512" ht="52">
      <x:c r="A512" s="2" t="s">
        <x:v>6</x:v>
      </x:c>
      <x:c r="B512" s="2" t="s">
        <x:v>16</x:v>
      </x:c>
      <x:c r="C512" s="3">
        <x:v>60</x:v>
      </x:c>
      <x:c r="D512" s="2" t="s">
        <x:v>1611</x:v>
      </x:c>
      <x:c r="E512" s="2" t="s">
        <x:v>1691</x:v>
      </x:c>
      <x:c r="F512" s="2" t="s">
        <x:v>1612</x:v>
      </x:c>
      <x:c r="G512" s="2" t="s">
        <x:v>2954</x:v>
      </x:c>
      <x:c r="H512" s="2" t="s">
        <x:v>618</x:v>
      </x:c>
      <x:c r="I512" s="2" t="s">
        <x:v>1713</x:v>
      </x:c>
      <x:c r="J512" s="2" t="s">
        <x:v>1668</x:v>
      </x:c>
      <x:c r="K512" s="2"/>
      <x:c r="L512" s="2" t="s">
        <x:v>1613</x:v>
      </x:c>
      <x:c r="M512" s="2"/>
      <x:c r="N512" s="2"/>
      <x:c r="O512" s="2" t="s">
        <x:v>1600</x:v>
      </x:c>
      <x:c r="P512" s="2" t="s">
        <x:v>1714</x:v>
      </x:c>
      <x:c r="Q512" s="2"/>
      <x:c r="R512" s="3">
        <x:v>3</x:v>
      </x:c>
      <x:c r="S512" s="3"/>
      <x:c r="T512" s="2"/>
      <x:c r="U512" s="2"/>
      <x:c r="V512" s="2"/>
      <x:c r="W512" s="2"/>
      <x:c r="X512" s="3"/>
      <x:c r="Y512" s="3"/>
      <x:c r="Z512" s="2"/>
      <x:c r="AA512" s="2"/>
      <x:c r="AB512" s="2"/>
      <x:c r="AC512" s="2" t="s">
        <x:v>326</x:v>
      </x:c>
      <x:c r="AD512" s="2" t="s">
        <x:v>368</x:v>
      </x:c>
      <x:c r="AE512" s="2" t="s">
        <x:v>317</x:v>
      </x:c>
      <x:c r="AF512" s="2" t="s">
        <x:v>319</x:v>
      </x:c>
      <x:c r="AG512" s="2"/>
      <x:c r="AH512" s="2"/>
      <x:c r="AI512" s="4"/>
      <x:c r="AJ512" s="2"/>
      <x:c r="AK512" s="2" t="s">
        <x:v>320</x:v>
      </x:c>
      <x:c r="AL512" s="2" t="s">
        <x:v>2857</x:v>
      </x:c>
      <x:c r="AM512" s="2">
        <x:v>62</x:v>
      </x:c>
      <x:c r="AN512" s="2">
        <x:v>62</x:v>
      </x:c>
    </x:row>
    <x:row r="513" ht="39">
      <x:c r="A513" s="2" t="s">
        <x:v>6</x:v>
      </x:c>
      <x:c r="B513" s="2" t="s">
        <x:v>16</x:v>
      </x:c>
      <x:c r="C513" s="3">
        <x:v>61</x:v>
      </x:c>
      <x:c r="D513" s="2" t="s">
        <x:v>1715</x:v>
      </x:c>
      <x:c r="E513" s="2" t="s">
        <x:v>1691</x:v>
      </x:c>
      <x:c r="F513" s="2" t="s">
        <x:v>1696</x:v>
      </x:c>
      <x:c r="G513" s="2"/>
      <x:c r="H513" s="2" t="s">
        <x:v>627</x:v>
      </x:c>
      <x:c r="I513" s="2" t="s">
        <x:v>1713</x:v>
      </x:c>
      <x:c r="J513" s="2" t="s">
        <x:v>1673</x:v>
      </x:c>
      <x:c r="K513" s="2" t="n">
        <x:v>60</x:v>
      </x:c>
      <x:c r="L513" s="2" t="s">
        <x:v>1613</x:v>
      </x:c>
      <x:c r="M513" s="2"/>
      <x:c r="N513" s="2"/>
      <x:c r="O513" s="2" t="s">
        <x:v>1674</x:v>
      </x:c>
      <x:c r="P513" s="2" t="s">
        <x:v>1717</x:v>
      </x:c>
      <x:c r="Q513" s="2"/>
      <x:c r="R513" s="3">
        <x:v>3</x:v>
      </x:c>
      <x:c r="S513" s="3"/>
      <x:c r="T513" s="2"/>
      <x:c r="U513" s="2"/>
      <x:c r="V513" s="2"/>
      <x:c r="W513" s="2"/>
      <x:c r="X513" s="3"/>
      <x:c r="Y513" s="3"/>
      <x:c r="Z513" s="2"/>
      <x:c r="AA513" s="2"/>
      <x:c r="AB513" s="2"/>
      <x:c r="AC513" s="2" t="s">
        <x:v>326</x:v>
      </x:c>
      <x:c r="AD513" s="2" t="s">
        <x:v>368</x:v>
      </x:c>
      <x:c r="AE513" s="2" t="s">
        <x:v>317</x:v>
      </x:c>
      <x:c r="AF513" s="2" t="s">
        <x:v>319</x:v>
      </x:c>
      <x:c r="AG513" s="2"/>
      <x:c r="AH513" s="2"/>
      <x:c r="AI513" s="4"/>
      <x:c r="AJ513" s="2"/>
      <x:c r="AK513" s="2" t="s">
        <x:v>320</x:v>
      </x:c>
      <x:c r="AL513" s="2" t="s">
        <x:v>2857</x:v>
      </x:c>
      <x:c r="AM513" s="2">
        <x:v>63</x:v>
      </x:c>
      <x:c r="AN513" s="2">
        <x:v>63</x:v>
      </x:c>
    </x:row>
    <x:row r="514" ht="26">
      <x:c r="A514" s="2" t="s">
        <x:v>6</x:v>
      </x:c>
      <x:c r="B514" s="2" t="s">
        <x:v>16</x:v>
      </x:c>
      <x:c r="C514" s="3">
        <x:v>62</x:v>
      </x:c>
      <x:c r="D514" s="2" t="s">
        <x:v>1718</x:v>
      </x:c>
      <x:c r="E514" s="2" t="s">
        <x:v>1691</x:v>
      </x:c>
      <x:c r="F514" s="2" t="s">
        <x:v>1612</x:v>
      </x:c>
      <x:c r="G514" s="2"/>
      <x:c r="H514" s="2" t="s">
        <x:v>634</x:v>
      </x:c>
      <x:c r="I514" s="2" t="s">
        <x:v>1713</x:v>
      </x:c>
      <x:c r="J514" s="2" t="s">
        <x:v>1677</x:v>
      </x:c>
      <x:c r="K514" s="2" t="n">
        <x:v>60</x:v>
      </x:c>
      <x:c r="L514" s="2" t="s">
        <x:v>1613</x:v>
      </x:c>
      <x:c r="M514" s="2"/>
      <x:c r="N514" s="2"/>
      <x:c r="O514" s="2" t="s">
        <x:v>1678</x:v>
      </x:c>
      <x:c r="P514" s="2" t="s">
        <x:v>1679</x:v>
      </x:c>
      <x:c r="Q514" s="2"/>
      <x:c r="R514" s="3">
        <x:v>3</x:v>
      </x:c>
      <x:c r="S514" s="3"/>
      <x:c r="T514" s="2"/>
      <x:c r="U514" s="2"/>
      <x:c r="V514" s="2"/>
      <x:c r="W514" s="2"/>
      <x:c r="X514" s="3"/>
      <x:c r="Y514" s="3"/>
      <x:c r="Z514" s="2"/>
      <x:c r="AA514" s="2"/>
      <x:c r="AB514" s="2"/>
      <x:c r="AC514" s="2" t="s">
        <x:v>326</x:v>
      </x:c>
      <x:c r="AD514" s="2" t="s">
        <x:v>368</x:v>
      </x:c>
      <x:c r="AE514" s="2" t="s">
        <x:v>317</x:v>
      </x:c>
      <x:c r="AF514" s="2" t="s">
        <x:v>319</x:v>
      </x:c>
      <x:c r="AG514" s="2"/>
      <x:c r="AH514" s="2"/>
      <x:c r="AI514" s="4"/>
      <x:c r="AJ514" s="2"/>
      <x:c r="AK514" s="2" t="s">
        <x:v>320</x:v>
      </x:c>
      <x:c r="AL514" s="2" t="s">
        <x:v>2857</x:v>
      </x:c>
      <x:c r="AM514" s="2">
        <x:v>64</x:v>
      </x:c>
      <x:c r="AN514" s="2">
        <x:v>64</x:v>
      </x:c>
    </x:row>
    <x:row r="515" ht="39">
      <x:c r="A515" s="2" t="s">
        <x:v>6</x:v>
      </x:c>
      <x:c r="B515" s="2" t="s">
        <x:v>16</x:v>
      </x:c>
      <x:c r="C515" s="3">
        <x:v>63</x:v>
      </x:c>
      <x:c r="D515" s="2" t="s">
        <x:v>1700</x:v>
      </x:c>
      <x:c r="E515" s="2" t="s">
        <x:v>1691</x:v>
      </x:c>
      <x:c r="F515" s="2" t="s">
        <x:v>1696</x:v>
      </x:c>
      <x:c r="G515" s="2" t="s">
        <x:v>1735</x:v>
      </x:c>
      <x:c r="H515" s="2" t="s">
        <x:v>634</x:v>
      </x:c>
      <x:c r="I515" s="2" t="s">
        <x:v>1713</x:v>
      </x:c>
      <x:c r="J515" s="2" t="s">
        <x:v>1363</x:v>
      </x:c>
      <x:c r="K515" s="2" t="n">
        <x:v>60</x:v>
      </x:c>
      <x:c r="L515" s="2" t="s">
        <x:v>1613</x:v>
      </x:c>
      <x:c r="M515" s="2"/>
      <x:c r="N515" s="2"/>
      <x:c r="O515" s="2" t="s">
        <x:v>1681</x:v>
      </x:c>
      <x:c r="P515" s="2" t="s">
        <x:v>1720</x:v>
      </x:c>
      <x:c r="Q515" s="2"/>
      <x:c r="R515" s="3">
        <x:v>3</x:v>
      </x:c>
      <x:c r="S515" s="3"/>
      <x:c r="T515" s="2"/>
      <x:c r="U515" s="2"/>
      <x:c r="V515" s="2"/>
      <x:c r="W515" s="2"/>
      <x:c r="X515" s="3"/>
      <x:c r="Y515" s="3"/>
      <x:c r="Z515" s="2"/>
      <x:c r="AA515" s="2"/>
      <x:c r="AB515" s="2"/>
      <x:c r="AC515" s="2" t="s">
        <x:v>326</x:v>
      </x:c>
      <x:c r="AD515" s="2" t="s">
        <x:v>368</x:v>
      </x:c>
      <x:c r="AE515" s="2" t="s">
        <x:v>317</x:v>
      </x:c>
      <x:c r="AF515" s="2" t="s">
        <x:v>319</x:v>
      </x:c>
      <x:c r="AG515" s="2"/>
      <x:c r="AH515" s="2"/>
      <x:c r="AI515" s="4"/>
      <x:c r="AJ515" s="2"/>
      <x:c r="AK515" s="2" t="s">
        <x:v>320</x:v>
      </x:c>
      <x:c r="AL515" s="2" t="s">
        <x:v>2857</x:v>
      </x:c>
      <x:c r="AM515" s="2">
        <x:v>65</x:v>
      </x:c>
      <x:c r="AN515" s="2">
        <x:v>65</x:v>
      </x:c>
    </x:row>
    <x:row r="516" ht="52">
      <x:c r="A516" s="2" t="s">
        <x:v>6</x:v>
      </x:c>
      <x:c r="B516" s="2" t="s">
        <x:v>16</x:v>
      </x:c>
      <x:c r="C516" s="3">
        <x:v>64</x:v>
      </x:c>
      <x:c r="D516" s="2" t="s">
        <x:v>1611</x:v>
      </x:c>
      <x:c r="E516" s="2" t="s">
        <x:v>1721</x:v>
      </x:c>
      <x:c r="F516" s="2" t="s">
        <x:v>1612</x:v>
      </x:c>
      <x:c r="G516" s="2" t="s">
        <x:v>1686</x:v>
      </x:c>
      <x:c r="H516" s="2" t="s">
        <x:v>618</x:v>
      </x:c>
      <x:c r="I516" s="2" t="s">
        <x:v>1723</x:v>
      </x:c>
      <x:c r="J516" s="2" t="s">
        <x:v>1668</x:v>
      </x:c>
      <x:c r="K516" s="2"/>
      <x:c r="L516" s="2" t="s">
        <x:v>1624</x:v>
      </x:c>
      <x:c r="M516" s="2"/>
      <x:c r="N516" s="2"/>
      <x:c r="O516" s="2" t="s">
        <x:v>1600</x:v>
      </x:c>
      <x:c r="P516" s="2" t="s">
        <x:v>1724</x:v>
      </x:c>
      <x:c r="Q516" s="2"/>
      <x:c r="R516" s="3">
        <x:v>4</x:v>
      </x:c>
      <x:c r="S516" s="3"/>
      <x:c r="T516" s="2"/>
      <x:c r="U516" s="2"/>
      <x:c r="V516" s="2"/>
      <x:c r="W516" s="2"/>
      <x:c r="X516" s="3"/>
      <x:c r="Y516" s="3"/>
      <x:c r="Z516" s="2"/>
      <x:c r="AA516" s="2"/>
      <x:c r="AB516" s="2"/>
      <x:c r="AC516" s="2" t="s">
        <x:v>326</x:v>
      </x:c>
      <x:c r="AD516" s="2" t="s">
        <x:v>368</x:v>
      </x:c>
      <x:c r="AE516" s="2" t="s">
        <x:v>317</x:v>
      </x:c>
      <x:c r="AF516" s="2" t="s">
        <x:v>319</x:v>
      </x:c>
      <x:c r="AG516" s="2"/>
      <x:c r="AH516" s="2"/>
      <x:c r="AI516" s="4"/>
      <x:c r="AJ516" s="2"/>
      <x:c r="AK516" s="2" t="s">
        <x:v>320</x:v>
      </x:c>
      <x:c r="AL516" s="2" t="s">
        <x:v>2857</x:v>
      </x:c>
      <x:c r="AM516" s="2">
        <x:v>66</x:v>
      </x:c>
      <x:c r="AN516" s="2">
        <x:v>66</x:v>
      </x:c>
    </x:row>
    <x:row r="517" ht="39">
      <x:c r="A517" s="2" t="s">
        <x:v>6</x:v>
      </x:c>
      <x:c r="B517" s="2" t="s">
        <x:v>16</x:v>
      </x:c>
      <x:c r="C517" s="3">
        <x:v>65</x:v>
      </x:c>
      <x:c r="D517" s="2" t="s">
        <x:v>1725</x:v>
      </x:c>
      <x:c r="E517" s="2" t="s">
        <x:v>1721</x:v>
      </x:c>
      <x:c r="F517" s="2" t="s">
        <x:v>1696</x:v>
      </x:c>
      <x:c r="G517" s="2" t="s">
        <x:v>1735</x:v>
      </x:c>
      <x:c r="H517" s="2" t="s">
        <x:v>627</x:v>
      </x:c>
      <x:c r="I517" s="2" t="s">
        <x:v>1723</x:v>
      </x:c>
      <x:c r="J517" s="2" t="s">
        <x:v>1673</x:v>
      </x:c>
      <x:c r="K517" s="2" t="n">
        <x:v>64</x:v>
      </x:c>
      <x:c r="L517" s="2" t="s">
        <x:v>1624</x:v>
      </x:c>
      <x:c r="M517" s="2"/>
      <x:c r="N517" s="2"/>
      <x:c r="O517" s="2" t="s">
        <x:v>1674</x:v>
      </x:c>
      <x:c r="P517" s="2" t="s">
        <x:v>1727</x:v>
      </x:c>
      <x:c r="Q517" s="2"/>
      <x:c r="R517" s="3">
        <x:v>4</x:v>
      </x:c>
      <x:c r="S517" s="3"/>
      <x:c r="T517" s="2"/>
      <x:c r="U517" s="2"/>
      <x:c r="V517" s="2"/>
      <x:c r="W517" s="2"/>
      <x:c r="X517" s="3"/>
      <x:c r="Y517" s="3"/>
      <x:c r="Z517" s="2"/>
      <x:c r="AA517" s="2"/>
      <x:c r="AB517" s="2"/>
      <x:c r="AC517" s="2" t="s">
        <x:v>326</x:v>
      </x:c>
      <x:c r="AD517" s="2" t="s">
        <x:v>368</x:v>
      </x:c>
      <x:c r="AE517" s="2" t="s">
        <x:v>317</x:v>
      </x:c>
      <x:c r="AF517" s="2" t="s">
        <x:v>319</x:v>
      </x:c>
      <x:c r="AG517" s="2"/>
      <x:c r="AH517" s="2"/>
      <x:c r="AI517" s="4"/>
      <x:c r="AJ517" s="2"/>
      <x:c r="AK517" s="2" t="s">
        <x:v>320</x:v>
      </x:c>
      <x:c r="AL517" s="2" t="s">
        <x:v>2857</x:v>
      </x:c>
      <x:c r="AM517" s="2">
        <x:v>67</x:v>
      </x:c>
      <x:c r="AN517" s="2">
        <x:v>67</x:v>
      </x:c>
    </x:row>
    <x:row r="518" ht="26">
      <x:c r="A518" s="2" t="s">
        <x:v>6</x:v>
      </x:c>
      <x:c r="B518" s="2" t="s">
        <x:v>16</x:v>
      </x:c>
      <x:c r="C518" s="3">
        <x:v>66</x:v>
      </x:c>
      <x:c r="D518" s="2" t="s">
        <x:v>1718</x:v>
      </x:c>
      <x:c r="E518" s="2" t="s">
        <x:v>1721</x:v>
      </x:c>
      <x:c r="F518" s="2" t="s">
        <x:v>1612</x:v>
      </x:c>
      <x:c r="G518" s="2"/>
      <x:c r="H518" s="2" t="s">
        <x:v>634</x:v>
      </x:c>
      <x:c r="I518" s="2" t="s">
        <x:v>1723</x:v>
      </x:c>
      <x:c r="J518" s="2" t="s">
        <x:v>1677</x:v>
      </x:c>
      <x:c r="K518" s="2" t="n">
        <x:v>64</x:v>
      </x:c>
      <x:c r="L518" s="2" t="s">
        <x:v>1624</x:v>
      </x:c>
      <x:c r="M518" s="2"/>
      <x:c r="N518" s="2"/>
      <x:c r="O518" s="2" t="s">
        <x:v>1678</x:v>
      </x:c>
      <x:c r="P518" s="2" t="s">
        <x:v>1679</x:v>
      </x:c>
      <x:c r="Q518" s="2"/>
      <x:c r="R518" s="3">
        <x:v>4</x:v>
      </x:c>
      <x:c r="S518" s="3"/>
      <x:c r="T518" s="2"/>
      <x:c r="U518" s="2"/>
      <x:c r="V518" s="2"/>
      <x:c r="W518" s="2"/>
      <x:c r="X518" s="3"/>
      <x:c r="Y518" s="3"/>
      <x:c r="Z518" s="2"/>
      <x:c r="AA518" s="2"/>
      <x:c r="AB518" s="2"/>
      <x:c r="AC518" s="2" t="s">
        <x:v>326</x:v>
      </x:c>
      <x:c r="AD518" s="2" t="s">
        <x:v>368</x:v>
      </x:c>
      <x:c r="AE518" s="2" t="s">
        <x:v>317</x:v>
      </x:c>
      <x:c r="AF518" s="2" t="s">
        <x:v>319</x:v>
      </x:c>
      <x:c r="AG518" s="2"/>
      <x:c r="AH518" s="2"/>
      <x:c r="AI518" s="4"/>
      <x:c r="AJ518" s="2"/>
      <x:c r="AK518" s="2" t="s">
        <x:v>320</x:v>
      </x:c>
      <x:c r="AL518" s="2" t="s">
        <x:v>2857</x:v>
      </x:c>
      <x:c r="AM518" s="2">
        <x:v>68</x:v>
      </x:c>
      <x:c r="AN518" s="2">
        <x:v>68</x:v>
      </x:c>
    </x:row>
    <x:row r="519" ht="39">
      <x:c r="A519" s="2" t="s">
        <x:v>6</x:v>
      </x:c>
      <x:c r="B519" s="2" t="s">
        <x:v>16</x:v>
      </x:c>
      <x:c r="C519" s="3">
        <x:v>67</x:v>
      </x:c>
      <x:c r="D519" s="2" t="s">
        <x:v>1700</x:v>
      </x:c>
      <x:c r="E519" s="2" t="s">
        <x:v>1721</x:v>
      </x:c>
      <x:c r="F519" s="2" t="s">
        <x:v>1696</x:v>
      </x:c>
      <x:c r="G519" s="2" t="s">
        <x:v>1761</x:v>
      </x:c>
      <x:c r="H519" s="2" t="s">
        <x:v>634</x:v>
      </x:c>
      <x:c r="I519" s="2" t="s">
        <x:v>1723</x:v>
      </x:c>
      <x:c r="J519" s="2" t="s">
        <x:v>1363</x:v>
      </x:c>
      <x:c r="K519" s="2" t="n">
        <x:v>64</x:v>
      </x:c>
      <x:c r="L519" s="2" t="s">
        <x:v>1624</x:v>
      </x:c>
      <x:c r="M519" s="2"/>
      <x:c r="N519" s="2"/>
      <x:c r="O519" s="2" t="s">
        <x:v>1681</x:v>
      </x:c>
      <x:c r="P519" s="2" t="s">
        <x:v>1729</x:v>
      </x:c>
      <x:c r="Q519" s="2"/>
      <x:c r="R519" s="3">
        <x:v>4</x:v>
      </x:c>
      <x:c r="S519" s="3"/>
      <x:c r="T519" s="2"/>
      <x:c r="U519" s="2"/>
      <x:c r="V519" s="2"/>
      <x:c r="W519" s="2"/>
      <x:c r="X519" s="3"/>
      <x:c r="Y519" s="3"/>
      <x:c r="Z519" s="2"/>
      <x:c r="AA519" s="2"/>
      <x:c r="AB519" s="2"/>
      <x:c r="AC519" s="2" t="s">
        <x:v>326</x:v>
      </x:c>
      <x:c r="AD519" s="2" t="s">
        <x:v>368</x:v>
      </x:c>
      <x:c r="AE519" s="2" t="s">
        <x:v>317</x:v>
      </x:c>
      <x:c r="AF519" s="2" t="s">
        <x:v>319</x:v>
      </x:c>
      <x:c r="AG519" s="2"/>
      <x:c r="AH519" s="2"/>
      <x:c r="AI519" s="4"/>
      <x:c r="AJ519" s="2"/>
      <x:c r="AK519" s="2" t="s">
        <x:v>320</x:v>
      </x:c>
      <x:c r="AL519" s="2" t="s">
        <x:v>2857</x:v>
      </x:c>
      <x:c r="AM519" s="2">
        <x:v>69</x:v>
      </x:c>
      <x:c r="AN519" s="2">
        <x:v>69</x:v>
      </x:c>
    </x:row>
    <x:row r="520" ht="52">
      <x:c r="A520" s="2" t="s">
        <x:v>6</x:v>
      </x:c>
      <x:c r="B520" s="2" t="s">
        <x:v>16</x:v>
      </x:c>
      <x:c r="C520" s="3">
        <x:v>68</x:v>
      </x:c>
      <x:c r="D520" s="2" t="s">
        <x:v>1636</x:v>
      </x:c>
      <x:c r="E520" s="2" t="s">
        <x:v>1594</x:v>
      </x:c>
      <x:c r="F520" s="2" t="s">
        <x:v>1637</x:v>
      </x:c>
      <x:c r="G520" s="2"/>
      <x:c r="H520" s="2" t="s">
        <x:v>618</x:v>
      </x:c>
      <x:c r="I520" s="2" t="s">
        <x:v>1730</x:v>
      </x:c>
      <x:c r="J520" s="2" t="s">
        <x:v>1668</x:v>
      </x:c>
      <x:c r="K520" s="2"/>
      <x:c r="L520" s="2" t="s">
        <x:v>1731</x:v>
      </x:c>
      <x:c r="M520" s="2"/>
      <x:c r="N520" s="2"/>
      <x:c r="O520" s="2" t="s">
        <x:v>1600</x:v>
      </x:c>
      <x:c r="P520" s="2" t="s">
        <x:v>1732</x:v>
      </x:c>
      <x:c r="Q520" s="2"/>
      <x:c r="R520" s="3">
        <x:v>3</x:v>
      </x:c>
      <x:c r="S520" s="3"/>
      <x:c r="T520" s="2"/>
      <x:c r="U520" s="2"/>
      <x:c r="V520" s="2"/>
      <x:c r="W520" s="2"/>
      <x:c r="X520" s="3"/>
      <x:c r="Y520" s="3"/>
      <x:c r="Z520" s="2"/>
      <x:c r="AA520" s="2"/>
      <x:c r="AB520" s="2"/>
      <x:c r="AC520" s="2" t="s">
        <x:v>367</x:v>
      </x:c>
      <x:c r="AD520" s="2" t="s">
        <x:v>317</x:v>
      </x:c>
      <x:c r="AE520" s="2" t="s">
        <x:v>368</x:v>
      </x:c>
      <x:c r="AF520" s="2" t="s">
        <x:v>319</x:v>
      </x:c>
      <x:c r="AG520" s="2"/>
      <x:c r="AH520" s="2"/>
      <x:c r="AI520" s="4"/>
      <x:c r="AJ520" s="2"/>
      <x:c r="AK520" s="2" t="s">
        <x:v>320</x:v>
      </x:c>
      <x:c r="AL520" s="2" t="s">
        <x:v>2857</x:v>
      </x:c>
      <x:c r="AM520" s="2">
        <x:v>70</x:v>
      </x:c>
      <x:c r="AN520" s="2">
        <x:v>70</x:v>
      </x:c>
    </x:row>
    <x:row r="521" ht="39">
      <x:c r="A521" s="2" t="s">
        <x:v>6</x:v>
      </x:c>
      <x:c r="B521" s="2" t="s">
        <x:v>16</x:v>
      </x:c>
      <x:c r="C521" s="3">
        <x:v>69</x:v>
      </x:c>
      <x:c r="D521" s="2" t="s">
        <x:v>1670</x:v>
      </x:c>
      <x:c r="E521" s="2" t="s">
        <x:v>1594</x:v>
      </x:c>
      <x:c r="F521" s="2" t="s">
        <x:v>1671</x:v>
      </x:c>
      <x:c r="G521" s="2" t="s">
        <x:v>1735</x:v>
      </x:c>
      <x:c r="H521" s="2" t="s">
        <x:v>627</x:v>
      </x:c>
      <x:c r="I521" s="2" t="s">
        <x:v>1730</x:v>
      </x:c>
      <x:c r="J521" s="2" t="s">
        <x:v>1673</x:v>
      </x:c>
      <x:c r="K521" s="2" t="n">
        <x:v>68</x:v>
      </x:c>
      <x:c r="L521" s="2" t="s">
        <x:v>1731</x:v>
      </x:c>
      <x:c r="M521" s="2"/>
      <x:c r="N521" s="2"/>
      <x:c r="O521" s="2" t="s">
        <x:v>1674</x:v>
      </x:c>
      <x:c r="P521" s="2" t="s">
        <x:v>1733</x:v>
      </x:c>
      <x:c r="Q521" s="2"/>
      <x:c r="R521" s="3">
        <x:v>3</x:v>
      </x:c>
      <x:c r="S521" s="3"/>
      <x:c r="T521" s="2"/>
      <x:c r="U521" s="2"/>
      <x:c r="V521" s="2"/>
      <x:c r="W521" s="2"/>
      <x:c r="X521" s="3"/>
      <x:c r="Y521" s="3"/>
      <x:c r="Z521" s="2"/>
      <x:c r="AA521" s="2"/>
      <x:c r="AB521" s="2"/>
      <x:c r="AC521" s="2" t="s">
        <x:v>367</x:v>
      </x:c>
      <x:c r="AD521" s="2" t="s">
        <x:v>317</x:v>
      </x:c>
      <x:c r="AE521" s="2" t="s">
        <x:v>368</x:v>
      </x:c>
      <x:c r="AF521" s="2" t="s">
        <x:v>319</x:v>
      </x:c>
      <x:c r="AG521" s="2"/>
      <x:c r="AH521" s="2"/>
      <x:c r="AI521" s="4"/>
      <x:c r="AJ521" s="2"/>
      <x:c r="AK521" s="2" t="s">
        <x:v>320</x:v>
      </x:c>
      <x:c r="AL521" s="2" t="s">
        <x:v>2857</x:v>
      </x:c>
      <x:c r="AM521" s="2">
        <x:v>71</x:v>
      </x:c>
      <x:c r="AN521" s="2">
        <x:v>71</x:v>
      </x:c>
    </x:row>
    <x:row r="522" ht="26">
      <x:c r="A522" s="2" t="s">
        <x:v>91</x:v>
      </x:c>
      <x:c r="B522" s="2" t="s">
        <x:v>16</x:v>
      </x:c>
      <x:c r="C522" s="3">
        <x:v>70</x:v>
      </x:c>
      <x:c r="D522" s="2" t="s">
        <x:v>1734</x:v>
      </x:c>
      <x:c r="E522" s="2" t="s">
        <x:v>1594</x:v>
      </x:c>
      <x:c r="F522" s="2" t="s">
        <x:v>1637</x:v>
      </x:c>
      <x:c r="G522" s="2" t="s">
        <x:v>2955</x:v>
      </x:c>
      <x:c r="H522" s="2" t="s">
        <x:v>634</x:v>
      </x:c>
      <x:c r="I522" s="2" t="s">
        <x:v>1730</x:v>
      </x:c>
      <x:c r="J522" s="2" t="s">
        <x:v>1677</x:v>
      </x:c>
      <x:c r="K522" s="2" t="n">
        <x:v>68</x:v>
      </x:c>
      <x:c r="L522" s="2" t="s">
        <x:v>1731</x:v>
      </x:c>
      <x:c r="M522" s="2"/>
      <x:c r="N522" s="2"/>
      <x:c r="O522" s="2" t="s">
        <x:v>1678</x:v>
      </x:c>
      <x:c r="P522" s="2" t="s">
        <x:v>1679</x:v>
      </x:c>
      <x:c r="Q522" s="2"/>
      <x:c r="R522" s="3">
        <x:v>3</x:v>
      </x:c>
      <x:c r="S522" s="3"/>
      <x:c r="T522" s="2"/>
      <x:c r="U522" s="2"/>
      <x:c r="V522" s="2"/>
      <x:c r="W522" s="2"/>
      <x:c r="X522" s="3"/>
      <x:c r="Y522" s="3"/>
      <x:c r="Z522" s="2"/>
      <x:c r="AA522" s="2"/>
      <x:c r="AB522" s="2"/>
      <x:c r="AC522" s="2" t="s">
        <x:v>367</x:v>
      </x:c>
      <x:c r="AD522" s="2" t="s">
        <x:v>317</x:v>
      </x:c>
      <x:c r="AE522" s="2" t="s">
        <x:v>368</x:v>
      </x:c>
      <x:c r="AF522" s="2" t="s">
        <x:v>319</x:v>
      </x:c>
      <x:c r="AG522" s="2"/>
      <x:c r="AH522" s="2"/>
      <x:c r="AI522" s="4"/>
      <x:c r="AJ522" s="2"/>
      <x:c r="AK522" s="2" t="s">
        <x:v>320</x:v>
      </x:c>
      <x:c r="AL522" s="2" t="s">
        <x:v>2857</x:v>
      </x:c>
      <x:c r="AM522" s="2">
        <x:v>72</x:v>
      </x:c>
      <x:c r="AN522" s="2">
        <x:v>72</x:v>
      </x:c>
    </x:row>
    <x:row r="523" ht="39">
      <x:c r="A523" s="2" t="s">
        <x:v>6</x:v>
      </x:c>
      <x:c r="B523" s="2" t="s">
        <x:v>16</x:v>
      </x:c>
      <x:c r="C523" s="3">
        <x:v>71</x:v>
      </x:c>
      <x:c r="D523" s="2" t="s">
        <x:v>1680</x:v>
      </x:c>
      <x:c r="E523" s="2" t="s">
        <x:v>1594</x:v>
      </x:c>
      <x:c r="F523" s="2" t="s">
        <x:v>1671</x:v>
      </x:c>
      <x:c r="G523" s="2" t="s">
        <x:v>2956</x:v>
      </x:c>
      <x:c r="H523" s="2" t="s">
        <x:v>634</x:v>
      </x:c>
      <x:c r="I523" s="2" t="s">
        <x:v>1730</x:v>
      </x:c>
      <x:c r="J523" s="2" t="s">
        <x:v>1363</x:v>
      </x:c>
      <x:c r="K523" s="2" t="n">
        <x:v>68</x:v>
      </x:c>
      <x:c r="L523" s="2" t="s">
        <x:v>1731</x:v>
      </x:c>
      <x:c r="M523" s="2"/>
      <x:c r="N523" s="2"/>
      <x:c r="O523" s="2" t="s">
        <x:v>1681</x:v>
      </x:c>
      <x:c r="P523" s="2" t="s">
        <x:v>1736</x:v>
      </x:c>
      <x:c r="Q523" s="2"/>
      <x:c r="R523" s="3">
        <x:v>3</x:v>
      </x:c>
      <x:c r="S523" s="3"/>
      <x:c r="T523" s="2"/>
      <x:c r="U523" s="2"/>
      <x:c r="V523" s="2"/>
      <x:c r="W523" s="2"/>
      <x:c r="X523" s="3"/>
      <x:c r="Y523" s="3"/>
      <x:c r="Z523" s="2"/>
      <x:c r="AA523" s="2"/>
      <x:c r="AB523" s="2"/>
      <x:c r="AC523" s="2" t="s">
        <x:v>367</x:v>
      </x:c>
      <x:c r="AD523" s="2" t="s">
        <x:v>317</x:v>
      </x:c>
      <x:c r="AE523" s="2" t="s">
        <x:v>368</x:v>
      </x:c>
      <x:c r="AF523" s="2" t="s">
        <x:v>319</x:v>
      </x:c>
      <x:c r="AG523" s="2"/>
      <x:c r="AH523" s="2"/>
      <x:c r="AI523" s="4"/>
      <x:c r="AJ523" s="2"/>
      <x:c r="AK523" s="2" t="s">
        <x:v>320</x:v>
      </x:c>
      <x:c r="AL523" s="2" t="s">
        <x:v>2857</x:v>
      </x:c>
      <x:c r="AM523" s="2">
        <x:v>73</x:v>
      </x:c>
      <x:c r="AN523" s="2">
        <x:v>73</x:v>
      </x:c>
    </x:row>
    <x:row r="524" ht="52">
      <x:c r="A524" s="2" t="s">
        <x:v>6</x:v>
      </x:c>
      <x:c r="B524" s="2" t="s">
        <x:v>16</x:v>
      </x:c>
      <x:c r="C524" s="3">
        <x:v>72</x:v>
      </x:c>
      <x:c r="D524" s="2" t="s">
        <x:v>1646</x:v>
      </x:c>
      <x:c r="E524" s="2" t="s">
        <x:v>1721</x:v>
      </x:c>
      <x:c r="F524" s="2" t="s">
        <x:v>1647</x:v>
      </x:c>
      <x:c r="G524" s="2"/>
      <x:c r="H524" s="2" t="s">
        <x:v>618</x:v>
      </x:c>
      <x:c r="I524" s="2" t="s">
        <x:v>1737</x:v>
      </x:c>
      <x:c r="J524" s="2" t="s">
        <x:v>1668</x:v>
      </x:c>
      <x:c r="K524" s="2"/>
      <x:c r="L524" s="2" t="s">
        <x:v>1649</x:v>
      </x:c>
      <x:c r="M524" s="2"/>
      <x:c r="N524" s="2"/>
      <x:c r="O524" s="2" t="s">
        <x:v>1600</x:v>
      </x:c>
      <x:c r="P524" s="2" t="s">
        <x:v>1738</x:v>
      </x:c>
      <x:c r="Q524" s="2"/>
      <x:c r="R524" s="3">
        <x:v>4</x:v>
      </x:c>
      <x:c r="S524" s="3"/>
      <x:c r="T524" s="2"/>
      <x:c r="U524" s="2"/>
      <x:c r="V524" s="2"/>
      <x:c r="W524" s="2"/>
      <x:c r="X524" s="3"/>
      <x:c r="Y524" s="3"/>
      <x:c r="Z524" s="2"/>
      <x:c r="AA524" s="2"/>
      <x:c r="AB524" s="2"/>
      <x:c r="AC524" s="2" t="s">
        <x:v>367</x:v>
      </x:c>
      <x:c r="AD524" s="2" t="s">
        <x:v>368</x:v>
      </x:c>
      <x:c r="AE524" s="2" t="s">
        <x:v>317</x:v>
      </x:c>
      <x:c r="AF524" s="2" t="s">
        <x:v>319</x:v>
      </x:c>
      <x:c r="AG524" s="2"/>
      <x:c r="AH524" s="2"/>
      <x:c r="AI524" s="4"/>
      <x:c r="AJ524" s="2"/>
      <x:c r="AK524" s="2" t="s">
        <x:v>320</x:v>
      </x:c>
      <x:c r="AL524" s="2" t="s">
        <x:v>2857</x:v>
      </x:c>
      <x:c r="AM524" s="2">
        <x:v>74</x:v>
      </x:c>
      <x:c r="AN524" s="2">
        <x:v>74</x:v>
      </x:c>
    </x:row>
    <x:row r="525" ht="39">
      <x:c r="A525" s="2" t="s">
        <x:v>6</x:v>
      </x:c>
      <x:c r="B525" s="2" t="s">
        <x:v>16</x:v>
      </x:c>
      <x:c r="C525" s="3">
        <x:v>73</x:v>
      </x:c>
      <x:c r="D525" s="2" t="s">
        <x:v>1725</x:v>
      </x:c>
      <x:c r="E525" s="2" t="s">
        <x:v>1721</x:v>
      </x:c>
      <x:c r="F525" s="2" t="s">
        <x:v>1696</x:v>
      </x:c>
      <x:c r="G525" s="2" t="s">
        <x:v>1742</x:v>
      </x:c>
      <x:c r="H525" s="2" t="s">
        <x:v>627</x:v>
      </x:c>
      <x:c r="I525" s="2" t="s">
        <x:v>1737</x:v>
      </x:c>
      <x:c r="J525" s="2" t="s">
        <x:v>1673</x:v>
      </x:c>
      <x:c r="K525" s="2" t="n">
        <x:v>72</x:v>
      </x:c>
      <x:c r="L525" s="2" t="s">
        <x:v>1649</x:v>
      </x:c>
      <x:c r="M525" s="2"/>
      <x:c r="N525" s="2"/>
      <x:c r="O525" s="2" t="s">
        <x:v>1674</x:v>
      </x:c>
      <x:c r="P525" s="2" t="s">
        <x:v>1740</x:v>
      </x:c>
      <x:c r="Q525" s="2"/>
      <x:c r="R525" s="3">
        <x:v>4</x:v>
      </x:c>
      <x:c r="S525" s="3"/>
      <x:c r="T525" s="2"/>
      <x:c r="U525" s="2"/>
      <x:c r="V525" s="2"/>
      <x:c r="W525" s="2"/>
      <x:c r="X525" s="3"/>
      <x:c r="Y525" s="3"/>
      <x:c r="Z525" s="2"/>
      <x:c r="AA525" s="2"/>
      <x:c r="AB525" s="2"/>
      <x:c r="AC525" s="2" t="s">
        <x:v>367</x:v>
      </x:c>
      <x:c r="AD525" s="2" t="s">
        <x:v>368</x:v>
      </x:c>
      <x:c r="AE525" s="2" t="s">
        <x:v>317</x:v>
      </x:c>
      <x:c r="AF525" s="2" t="s">
        <x:v>319</x:v>
      </x:c>
      <x:c r="AG525" s="2"/>
      <x:c r="AH525" s="2"/>
      <x:c r="AI525" s="4"/>
      <x:c r="AJ525" s="2"/>
      <x:c r="AK525" s="2" t="s">
        <x:v>320</x:v>
      </x:c>
      <x:c r="AL525" s="2" t="s">
        <x:v>2857</x:v>
      </x:c>
      <x:c r="AM525" s="2">
        <x:v>75</x:v>
      </x:c>
      <x:c r="AN525" s="2">
        <x:v>75</x:v>
      </x:c>
    </x:row>
    <x:row r="526" ht="26">
      <x:c r="A526" s="2" t="s">
        <x:v>6</x:v>
      </x:c>
      <x:c r="B526" s="2" t="s">
        <x:v>16</x:v>
      </x:c>
      <x:c r="C526" s="3">
        <x:v>74</x:v>
      </x:c>
      <x:c r="D526" s="2" t="s">
        <x:v>1741</x:v>
      </x:c>
      <x:c r="E526" s="2" t="s">
        <x:v>1721</x:v>
      </x:c>
      <x:c r="F526" s="2" t="s">
        <x:v>1647</x:v>
      </x:c>
      <x:c r="G526" s="2"/>
      <x:c r="H526" s="2" t="s">
        <x:v>634</x:v>
      </x:c>
      <x:c r="I526" s="2" t="s">
        <x:v>1737</x:v>
      </x:c>
      <x:c r="J526" s="2" t="s">
        <x:v>1677</x:v>
      </x:c>
      <x:c r="K526" s="2" t="n">
        <x:v>72</x:v>
      </x:c>
      <x:c r="L526" s="2" t="s">
        <x:v>1649</x:v>
      </x:c>
      <x:c r="M526" s="2"/>
      <x:c r="N526" s="2"/>
      <x:c r="O526" s="2" t="s">
        <x:v>1678</x:v>
      </x:c>
      <x:c r="P526" s="2" t="s">
        <x:v>1679</x:v>
      </x:c>
      <x:c r="Q526" s="2"/>
      <x:c r="R526" s="3">
        <x:v>4</x:v>
      </x:c>
      <x:c r="S526" s="3"/>
      <x:c r="T526" s="2"/>
      <x:c r="U526" s="2"/>
      <x:c r="V526" s="2"/>
      <x:c r="W526" s="2"/>
      <x:c r="X526" s="3"/>
      <x:c r="Y526" s="3"/>
      <x:c r="Z526" s="2"/>
      <x:c r="AA526" s="2"/>
      <x:c r="AB526" s="2"/>
      <x:c r="AC526" s="2" t="s">
        <x:v>367</x:v>
      </x:c>
      <x:c r="AD526" s="2" t="s">
        <x:v>368</x:v>
      </x:c>
      <x:c r="AE526" s="2" t="s">
        <x:v>317</x:v>
      </x:c>
      <x:c r="AF526" s="2" t="s">
        <x:v>319</x:v>
      </x:c>
      <x:c r="AG526" s="2"/>
      <x:c r="AH526" s="2"/>
      <x:c r="AI526" s="4"/>
      <x:c r="AJ526" s="2"/>
      <x:c r="AK526" s="2" t="s">
        <x:v>320</x:v>
      </x:c>
      <x:c r="AL526" s="2" t="s">
        <x:v>2857</x:v>
      </x:c>
      <x:c r="AM526" s="2">
        <x:v>76</x:v>
      </x:c>
      <x:c r="AN526" s="2">
        <x:v>76</x:v>
      </x:c>
    </x:row>
    <x:row r="527" ht="39">
      <x:c r="A527" s="2" t="s">
        <x:v>6</x:v>
      </x:c>
      <x:c r="B527" s="2" t="s">
        <x:v>16</x:v>
      </x:c>
      <x:c r="C527" s="3">
        <x:v>75</x:v>
      </x:c>
      <x:c r="D527" s="2" t="s">
        <x:v>1700</x:v>
      </x:c>
      <x:c r="E527" s="2" t="s">
        <x:v>1721</x:v>
      </x:c>
      <x:c r="F527" s="2" t="s">
        <x:v>1696</x:v>
      </x:c>
      <x:c r="G527" s="2" t="s">
        <x:v>2957</x:v>
      </x:c>
      <x:c r="H527" s="2" t="s">
        <x:v>634</x:v>
      </x:c>
      <x:c r="I527" s="2" t="s">
        <x:v>1737</x:v>
      </x:c>
      <x:c r="J527" s="2" t="s">
        <x:v>1363</x:v>
      </x:c>
      <x:c r="K527" s="2" t="n">
        <x:v>72</x:v>
      </x:c>
      <x:c r="L527" s="2" t="s">
        <x:v>1649</x:v>
      </x:c>
      <x:c r="M527" s="2"/>
      <x:c r="N527" s="2"/>
      <x:c r="O527" s="2" t="s">
        <x:v>1681</x:v>
      </x:c>
      <x:c r="P527" s="2" t="s">
        <x:v>1743</x:v>
      </x:c>
      <x:c r="Q527" s="2"/>
      <x:c r="R527" s="3">
        <x:v>4</x:v>
      </x:c>
      <x:c r="S527" s="3"/>
      <x:c r="T527" s="2"/>
      <x:c r="U527" s="2"/>
      <x:c r="V527" s="2"/>
      <x:c r="W527" s="2"/>
      <x:c r="X527" s="3"/>
      <x:c r="Y527" s="3"/>
      <x:c r="Z527" s="2"/>
      <x:c r="AA527" s="2"/>
      <x:c r="AB527" s="2"/>
      <x:c r="AC527" s="2" t="s">
        <x:v>367</x:v>
      </x:c>
      <x:c r="AD527" s="2" t="s">
        <x:v>368</x:v>
      </x:c>
      <x:c r="AE527" s="2" t="s">
        <x:v>317</x:v>
      </x:c>
      <x:c r="AF527" s="2" t="s">
        <x:v>319</x:v>
      </x:c>
      <x:c r="AG527" s="2"/>
      <x:c r="AH527" s="2"/>
      <x:c r="AI527" s="4"/>
      <x:c r="AJ527" s="2"/>
      <x:c r="AK527" s="2" t="s">
        <x:v>320</x:v>
      </x:c>
      <x:c r="AL527" s="2" t="s">
        <x:v>2857</x:v>
      </x:c>
      <x:c r="AM527" s="2">
        <x:v>77</x:v>
      </x:c>
      <x:c r="AN527" s="2">
        <x:v>77</x:v>
      </x:c>
    </x:row>
    <x:row r="528" ht="52">
      <x:c r="A528" s="2" t="s">
        <x:v>6</x:v>
      </x:c>
      <x:c r="B528" s="2" t="s">
        <x:v>16</x:v>
      </x:c>
      <x:c r="C528" s="3">
        <x:v>76</x:v>
      </x:c>
      <x:c r="D528" s="2" t="s">
        <x:v>1642</x:v>
      </x:c>
      <x:c r="E528" s="2" t="s">
        <x:v>1594</x:v>
      </x:c>
      <x:c r="F528" s="2" t="s">
        <x:v>1643</x:v>
      </x:c>
      <x:c r="G528" s="2"/>
      <x:c r="H528" s="2" t="s">
        <x:v>618</x:v>
      </x:c>
      <x:c r="I528" s="2" t="s">
        <x:v>1744</x:v>
      </x:c>
      <x:c r="J528" s="2" t="s">
        <x:v>1668</x:v>
      </x:c>
      <x:c r="K528" s="2"/>
      <x:c r="L528" s="2" t="s">
        <x:v>1745</x:v>
      </x:c>
      <x:c r="M528" s="2"/>
      <x:c r="N528" s="2"/>
      <x:c r="O528" s="2" t="s">
        <x:v>1600</x:v>
      </x:c>
      <x:c r="P528" s="2" t="s">
        <x:v>1746</x:v>
      </x:c>
      <x:c r="Q528" s="2"/>
      <x:c r="R528" s="3">
        <x:v>3</x:v>
      </x:c>
      <x:c r="S528" s="3"/>
      <x:c r="T528" s="2"/>
      <x:c r="U528" s="2"/>
      <x:c r="V528" s="2"/>
      <x:c r="W528" s="2"/>
      <x:c r="X528" s="3"/>
      <x:c r="Y528" s="3"/>
      <x:c r="Z528" s="2"/>
      <x:c r="AA528" s="2"/>
      <x:c r="AB528" s="2"/>
      <x:c r="AC528" s="2" t="s">
        <x:v>374</x:v>
      </x:c>
      <x:c r="AD528" s="2" t="s">
        <x:v>317</x:v>
      </x:c>
      <x:c r="AE528" s="2" t="s">
        <x:v>368</x:v>
      </x:c>
      <x:c r="AF528" s="2" t="s">
        <x:v>319</x:v>
      </x:c>
      <x:c r="AG528" s="2"/>
      <x:c r="AH528" s="2"/>
      <x:c r="AI528" s="4"/>
      <x:c r="AJ528" s="2"/>
      <x:c r="AK528" s="2" t="s">
        <x:v>320</x:v>
      </x:c>
      <x:c r="AL528" s="2" t="s">
        <x:v>2857</x:v>
      </x:c>
      <x:c r="AM528" s="2">
        <x:v>78</x:v>
      </x:c>
      <x:c r="AN528" s="2">
        <x:v>78</x:v>
      </x:c>
    </x:row>
    <x:row r="529" ht="39">
      <x:c r="A529" s="2" t="s">
        <x:v>6</x:v>
      </x:c>
      <x:c r="B529" s="2" t="s">
        <x:v>16</x:v>
      </x:c>
      <x:c r="C529" s="3">
        <x:v>77</x:v>
      </x:c>
      <x:c r="D529" s="2" t="s">
        <x:v>1670</x:v>
      </x:c>
      <x:c r="E529" s="2" t="s">
        <x:v>1594</x:v>
      </x:c>
      <x:c r="F529" s="2" t="s">
        <x:v>1671</x:v>
      </x:c>
      <x:c r="G529" s="2" t="s">
        <x:v>1739</x:v>
      </x:c>
      <x:c r="H529" s="2" t="s">
        <x:v>627</x:v>
      </x:c>
      <x:c r="I529" s="2" t="s">
        <x:v>1744</x:v>
      </x:c>
      <x:c r="J529" s="2" t="s">
        <x:v>1673</x:v>
      </x:c>
      <x:c r="K529" s="2" t="n">
        <x:v>76</x:v>
      </x:c>
      <x:c r="L529" s="2" t="s">
        <x:v>1745</x:v>
      </x:c>
      <x:c r="M529" s="2"/>
      <x:c r="N529" s="2"/>
      <x:c r="O529" s="2" t="s">
        <x:v>1674</x:v>
      </x:c>
      <x:c r="P529" s="2" t="s">
        <x:v>1747</x:v>
      </x:c>
      <x:c r="Q529" s="2"/>
      <x:c r="R529" s="3">
        <x:v>3</x:v>
      </x:c>
      <x:c r="S529" s="3"/>
      <x:c r="T529" s="2"/>
      <x:c r="U529" s="2"/>
      <x:c r="V529" s="2"/>
      <x:c r="W529" s="2"/>
      <x:c r="X529" s="3"/>
      <x:c r="Y529" s="3"/>
      <x:c r="Z529" s="2"/>
      <x:c r="AA529" s="2"/>
      <x:c r="AB529" s="2"/>
      <x:c r="AC529" s="2" t="s">
        <x:v>374</x:v>
      </x:c>
      <x:c r="AD529" s="2" t="s">
        <x:v>317</x:v>
      </x:c>
      <x:c r="AE529" s="2" t="s">
        <x:v>368</x:v>
      </x:c>
      <x:c r="AF529" s="2" t="s">
        <x:v>319</x:v>
      </x:c>
      <x:c r="AG529" s="2"/>
      <x:c r="AH529" s="2"/>
      <x:c r="AI529" s="4"/>
      <x:c r="AJ529" s="2"/>
      <x:c r="AK529" s="2" t="s">
        <x:v>320</x:v>
      </x:c>
      <x:c r="AL529" s="2" t="s">
        <x:v>2857</x:v>
      </x:c>
      <x:c r="AM529" s="2">
        <x:v>79</x:v>
      </x:c>
      <x:c r="AN529" s="2">
        <x:v>79</x:v>
      </x:c>
    </x:row>
    <x:row r="530" ht="26">
      <x:c r="A530" s="2" t="s">
        <x:v>91</x:v>
      </x:c>
      <x:c r="B530" s="2" t="s">
        <x:v>16</x:v>
      </x:c>
      <x:c r="C530" s="3">
        <x:v>78</x:v>
      </x:c>
      <x:c r="D530" s="2" t="s">
        <x:v>1748</x:v>
      </x:c>
      <x:c r="E530" s="2" t="s">
        <x:v>1594</x:v>
      </x:c>
      <x:c r="F530" s="2" t="s">
        <x:v>1643</x:v>
      </x:c>
      <x:c r="G530" s="2" t="s">
        <x:v>1735</x:v>
      </x:c>
      <x:c r="H530" s="2" t="s">
        <x:v>634</x:v>
      </x:c>
      <x:c r="I530" s="2" t="s">
        <x:v>1744</x:v>
      </x:c>
      <x:c r="J530" s="2" t="s">
        <x:v>1677</x:v>
      </x:c>
      <x:c r="K530" s="2" t="n">
        <x:v>76</x:v>
      </x:c>
      <x:c r="L530" s="2" t="s">
        <x:v>1745</x:v>
      </x:c>
      <x:c r="M530" s="2"/>
      <x:c r="N530" s="2"/>
      <x:c r="O530" s="2" t="s">
        <x:v>1678</x:v>
      </x:c>
      <x:c r="P530" s="2" t="s">
        <x:v>1679</x:v>
      </x:c>
      <x:c r="Q530" s="2"/>
      <x:c r="R530" s="3">
        <x:v>3</x:v>
      </x:c>
      <x:c r="S530" s="3"/>
      <x:c r="T530" s="2"/>
      <x:c r="U530" s="2"/>
      <x:c r="V530" s="2"/>
      <x:c r="W530" s="2"/>
      <x:c r="X530" s="3"/>
      <x:c r="Y530" s="3"/>
      <x:c r="Z530" s="2"/>
      <x:c r="AA530" s="2"/>
      <x:c r="AB530" s="2"/>
      <x:c r="AC530" s="2" t="s">
        <x:v>374</x:v>
      </x:c>
      <x:c r="AD530" s="2" t="s">
        <x:v>317</x:v>
      </x:c>
      <x:c r="AE530" s="2" t="s">
        <x:v>368</x:v>
      </x:c>
      <x:c r="AF530" s="2" t="s">
        <x:v>319</x:v>
      </x:c>
      <x:c r="AG530" s="2"/>
      <x:c r="AH530" s="2"/>
      <x:c r="AI530" s="4"/>
      <x:c r="AJ530" s="2"/>
      <x:c r="AK530" s="2" t="s">
        <x:v>320</x:v>
      </x:c>
      <x:c r="AL530" s="2" t="s">
        <x:v>2857</x:v>
      </x:c>
      <x:c r="AM530" s="2">
        <x:v>80</x:v>
      </x:c>
      <x:c r="AN530" s="2">
        <x:v>80</x:v>
      </x:c>
    </x:row>
    <x:row r="531" ht="39">
      <x:c r="A531" s="2" t="s">
        <x:v>6</x:v>
      </x:c>
      <x:c r="B531" s="2" t="s">
        <x:v>16</x:v>
      </x:c>
      <x:c r="C531" s="3">
        <x:v>79</x:v>
      </x:c>
      <x:c r="D531" s="2" t="s">
        <x:v>1680</x:v>
      </x:c>
      <x:c r="E531" s="2" t="s">
        <x:v>1594</x:v>
      </x:c>
      <x:c r="F531" s="2" t="s">
        <x:v>1671</x:v>
      </x:c>
      <x:c r="G531" s="2" t="s">
        <x:v>1761</x:v>
      </x:c>
      <x:c r="H531" s="2" t="s">
        <x:v>634</x:v>
      </x:c>
      <x:c r="I531" s="2" t="s">
        <x:v>1744</x:v>
      </x:c>
      <x:c r="J531" s="2" t="s">
        <x:v>1363</x:v>
      </x:c>
      <x:c r="K531" s="2" t="n">
        <x:v>76</x:v>
      </x:c>
      <x:c r="L531" s="2" t="s">
        <x:v>1745</x:v>
      </x:c>
      <x:c r="M531" s="2"/>
      <x:c r="N531" s="2"/>
      <x:c r="O531" s="2" t="s">
        <x:v>1681</x:v>
      </x:c>
      <x:c r="P531" s="2" t="s">
        <x:v>1750</x:v>
      </x:c>
      <x:c r="Q531" s="2"/>
      <x:c r="R531" s="3">
        <x:v>3</x:v>
      </x:c>
      <x:c r="S531" s="3"/>
      <x:c r="T531" s="2"/>
      <x:c r="U531" s="2"/>
      <x:c r="V531" s="2"/>
      <x:c r="W531" s="2"/>
      <x:c r="X531" s="3"/>
      <x:c r="Y531" s="3"/>
      <x:c r="Z531" s="2"/>
      <x:c r="AA531" s="2"/>
      <x:c r="AB531" s="2"/>
      <x:c r="AC531" s="2" t="s">
        <x:v>374</x:v>
      </x:c>
      <x:c r="AD531" s="2" t="s">
        <x:v>317</x:v>
      </x:c>
      <x:c r="AE531" s="2" t="s">
        <x:v>368</x:v>
      </x:c>
      <x:c r="AF531" s="2" t="s">
        <x:v>319</x:v>
      </x:c>
      <x:c r="AG531" s="2"/>
      <x:c r="AH531" s="2"/>
      <x:c r="AI531" s="4"/>
      <x:c r="AJ531" s="2"/>
      <x:c r="AK531" s="2" t="s">
        <x:v>320</x:v>
      </x:c>
      <x:c r="AL531" s="2" t="s">
        <x:v>2857</x:v>
      </x:c>
      <x:c r="AM531" s="2">
        <x:v>81</x:v>
      </x:c>
      <x:c r="AN531" s="2">
        <x:v>81</x:v>
      </x:c>
    </x:row>
    <x:row r="532" ht="52">
      <x:c r="A532" s="2" t="s">
        <x:v>91</x:v>
      </x:c>
      <x:c r="B532" s="2" t="s">
        <x:v>16</x:v>
      </x:c>
      <x:c r="C532" s="3">
        <x:v>80</x:v>
      </x:c>
      <x:c r="D532" s="2" t="s">
        <x:v>1651</x:v>
      </x:c>
      <x:c r="E532" s="2" t="s">
        <x:v>1721</x:v>
      </x:c>
      <x:c r="F532" s="2" t="s">
        <x:v>1652</x:v>
      </x:c>
      <x:c r="G532" s="2" t="s">
        <x:v>2958</x:v>
      </x:c>
      <x:c r="H532" s="2" t="s">
        <x:v>618</x:v>
      </x:c>
      <x:c r="I532" s="2" t="s">
        <x:v>1752</x:v>
      </x:c>
      <x:c r="J532" s="2" t="s">
        <x:v>1668</x:v>
      </x:c>
      <x:c r="K532" s="2"/>
      <x:c r="L532" s="2" t="s">
        <x:v>1653</x:v>
      </x:c>
      <x:c r="M532" s="2"/>
      <x:c r="N532" s="2"/>
      <x:c r="O532" s="2" t="s">
        <x:v>1600</x:v>
      </x:c>
      <x:c r="P532" s="2" t="s">
        <x:v>1753</x:v>
      </x:c>
      <x:c r="Q532" s="2"/>
      <x:c r="R532" s="3">
        <x:v>4</x:v>
      </x:c>
      <x:c r="S532" s="3"/>
      <x:c r="T532" s="2"/>
      <x:c r="U532" s="2"/>
      <x:c r="V532" s="2"/>
      <x:c r="W532" s="2"/>
      <x:c r="X532" s="3"/>
      <x:c r="Y532" s="3"/>
      <x:c r="Z532" s="2"/>
      <x:c r="AA532" s="2"/>
      <x:c r="AB532" s="2"/>
      <x:c r="AC532" s="2" t="s">
        <x:v>374</x:v>
      </x:c>
      <x:c r="AD532" s="2" t="s">
        <x:v>368</x:v>
      </x:c>
      <x:c r="AE532" s="2" t="s">
        <x:v>317</x:v>
      </x:c>
      <x:c r="AF532" s="2" t="s">
        <x:v>319</x:v>
      </x:c>
      <x:c r="AG532" s="2"/>
      <x:c r="AH532" s="2"/>
      <x:c r="AI532" s="4"/>
      <x:c r="AJ532" s="2"/>
      <x:c r="AK532" s="2" t="s">
        <x:v>320</x:v>
      </x:c>
      <x:c r="AL532" s="2" t="s">
        <x:v>2857</x:v>
      </x:c>
      <x:c r="AM532" s="2">
        <x:v>82</x:v>
      </x:c>
      <x:c r="AN532" s="2">
        <x:v>82</x:v>
      </x:c>
    </x:row>
    <x:row r="533" ht="39">
      <x:c r="A533" s="2" t="s">
        <x:v>91</x:v>
      </x:c>
      <x:c r="B533" s="2" t="s">
        <x:v>16</x:v>
      </x:c>
      <x:c r="C533" s="3">
        <x:v>81</x:v>
      </x:c>
      <x:c r="D533" s="2" t="s">
        <x:v>1695</x:v>
      </x:c>
      <x:c r="E533" s="2" t="s">
        <x:v>1721</x:v>
      </x:c>
      <x:c r="F533" s="2" t="s">
        <x:v>1696</x:v>
      </x:c>
      <x:c r="G533" s="2" t="s">
        <x:v>2959</x:v>
      </x:c>
      <x:c r="H533" s="2" t="s">
        <x:v>627</x:v>
      </x:c>
      <x:c r="I533" s="2" t="s">
        <x:v>1752</x:v>
      </x:c>
      <x:c r="J533" s="2" t="s">
        <x:v>1673</x:v>
      </x:c>
      <x:c r="K533" s="2" t="n">
        <x:v>80</x:v>
      </x:c>
      <x:c r="L533" s="2" t="s">
        <x:v>1653</x:v>
      </x:c>
      <x:c r="M533" s="2"/>
      <x:c r="N533" s="2"/>
      <x:c r="O533" s="2" t="s">
        <x:v>1674</x:v>
      </x:c>
      <x:c r="P533" s="2" t="s">
        <x:v>1754</x:v>
      </x:c>
      <x:c r="Q533" s="2"/>
      <x:c r="R533" s="3">
        <x:v>4</x:v>
      </x:c>
      <x:c r="S533" s="3"/>
      <x:c r="T533" s="2"/>
      <x:c r="U533" s="2"/>
      <x:c r="V533" s="2"/>
      <x:c r="W533" s="2"/>
      <x:c r="X533" s="3"/>
      <x:c r="Y533" s="3"/>
      <x:c r="Z533" s="2"/>
      <x:c r="AA533" s="2"/>
      <x:c r="AB533" s="2"/>
      <x:c r="AC533" s="2" t="s">
        <x:v>374</x:v>
      </x:c>
      <x:c r="AD533" s="2" t="s">
        <x:v>368</x:v>
      </x:c>
      <x:c r="AE533" s="2" t="s">
        <x:v>317</x:v>
      </x:c>
      <x:c r="AF533" s="2" t="s">
        <x:v>319</x:v>
      </x:c>
      <x:c r="AG533" s="2"/>
      <x:c r="AH533" s="2"/>
      <x:c r="AI533" s="4"/>
      <x:c r="AJ533" s="2"/>
      <x:c r="AK533" s="2" t="s">
        <x:v>320</x:v>
      </x:c>
      <x:c r="AL533" s="2" t="s">
        <x:v>2857</x:v>
      </x:c>
      <x:c r="AM533" s="2">
        <x:v>83</x:v>
      </x:c>
      <x:c r="AN533" s="2">
        <x:v>83</x:v>
      </x:c>
    </x:row>
    <x:row r="534" ht="26">
      <x:c r="A534" s="2" t="s">
        <x:v>91</x:v>
      </x:c>
      <x:c r="B534" s="2" t="s">
        <x:v>16</x:v>
      </x:c>
      <x:c r="C534" s="3">
        <x:v>82</x:v>
      </x:c>
      <x:c r="D534" s="2" t="s">
        <x:v>1755</x:v>
      </x:c>
      <x:c r="E534" s="2" t="s">
        <x:v>1721</x:v>
      </x:c>
      <x:c r="F534" s="2" t="s">
        <x:v>1652</x:v>
      </x:c>
      <x:c r="G534" s="2" t="s">
        <x:v>2958</x:v>
      </x:c>
      <x:c r="H534" s="2" t="s">
        <x:v>634</x:v>
      </x:c>
      <x:c r="I534" s="2" t="s">
        <x:v>1752</x:v>
      </x:c>
      <x:c r="J534" s="2" t="s">
        <x:v>1677</x:v>
      </x:c>
      <x:c r="K534" s="2" t="n">
        <x:v>80</x:v>
      </x:c>
      <x:c r="L534" s="2" t="s">
        <x:v>1653</x:v>
      </x:c>
      <x:c r="M534" s="2"/>
      <x:c r="N534" s="2"/>
      <x:c r="O534" s="2" t="s">
        <x:v>1678</x:v>
      </x:c>
      <x:c r="P534" s="2" t="s">
        <x:v>1679</x:v>
      </x:c>
      <x:c r="Q534" s="2"/>
      <x:c r="R534" s="3">
        <x:v>4</x:v>
      </x:c>
      <x:c r="S534" s="3"/>
      <x:c r="T534" s="2"/>
      <x:c r="U534" s="2"/>
      <x:c r="V534" s="2"/>
      <x:c r="W534" s="2"/>
      <x:c r="X534" s="3"/>
      <x:c r="Y534" s="3"/>
      <x:c r="Z534" s="2"/>
      <x:c r="AA534" s="2"/>
      <x:c r="AB534" s="2"/>
      <x:c r="AC534" s="2" t="s">
        <x:v>374</x:v>
      </x:c>
      <x:c r="AD534" s="2" t="s">
        <x:v>368</x:v>
      </x:c>
      <x:c r="AE534" s="2" t="s">
        <x:v>317</x:v>
      </x:c>
      <x:c r="AF534" s="2" t="s">
        <x:v>319</x:v>
      </x:c>
      <x:c r="AG534" s="2"/>
      <x:c r="AH534" s="2"/>
      <x:c r="AI534" s="4"/>
      <x:c r="AJ534" s="2"/>
      <x:c r="AK534" s="2" t="s">
        <x:v>320</x:v>
      </x:c>
      <x:c r="AL534" s="2" t="s">
        <x:v>2857</x:v>
      </x:c>
      <x:c r="AM534" s="2">
        <x:v>84</x:v>
      </x:c>
      <x:c r="AN534" s="2">
        <x:v>84</x:v>
      </x:c>
    </x:row>
    <x:row r="535" ht="39">
      <x:c r="A535" s="2" t="s">
        <x:v>6</x:v>
      </x:c>
      <x:c r="B535" s="2" t="s">
        <x:v>16</x:v>
      </x:c>
      <x:c r="C535" s="3">
        <x:v>83</x:v>
      </x:c>
      <x:c r="D535" s="2" t="s">
        <x:v>1700</x:v>
      </x:c>
      <x:c r="E535" s="2" t="s">
        <x:v>1721</x:v>
      </x:c>
      <x:c r="F535" s="2" t="s">
        <x:v>1696</x:v>
      </x:c>
      <x:c r="G535" s="2"/>
      <x:c r="H535" s="2" t="s">
        <x:v>634</x:v>
      </x:c>
      <x:c r="I535" s="2" t="s">
        <x:v>1752</x:v>
      </x:c>
      <x:c r="J535" s="2" t="s">
        <x:v>1363</x:v>
      </x:c>
      <x:c r="K535" s="2" t="n">
        <x:v>80</x:v>
      </x:c>
      <x:c r="L535" s="2" t="s">
        <x:v>1653</x:v>
      </x:c>
      <x:c r="M535" s="2"/>
      <x:c r="N535" s="2"/>
      <x:c r="O535" s="2" t="s">
        <x:v>1681</x:v>
      </x:c>
      <x:c r="P535" s="2" t="s">
        <x:v>1757</x:v>
      </x:c>
      <x:c r="Q535" s="2"/>
      <x:c r="R535" s="3">
        <x:v>4</x:v>
      </x:c>
      <x:c r="S535" s="3"/>
      <x:c r="T535" s="2"/>
      <x:c r="U535" s="2"/>
      <x:c r="V535" s="2"/>
      <x:c r="W535" s="2"/>
      <x:c r="X535" s="3"/>
      <x:c r="Y535" s="3"/>
      <x:c r="Z535" s="2"/>
      <x:c r="AA535" s="2"/>
      <x:c r="AB535" s="2"/>
      <x:c r="AC535" s="2" t="s">
        <x:v>374</x:v>
      </x:c>
      <x:c r="AD535" s="2" t="s">
        <x:v>368</x:v>
      </x:c>
      <x:c r="AE535" s="2" t="s">
        <x:v>317</x:v>
      </x:c>
      <x:c r="AF535" s="2" t="s">
        <x:v>319</x:v>
      </x:c>
      <x:c r="AG535" s="2"/>
      <x:c r="AH535" s="2"/>
      <x:c r="AI535" s="4"/>
      <x:c r="AJ535" s="2"/>
      <x:c r="AK535" s="2" t="s">
        <x:v>320</x:v>
      </x:c>
      <x:c r="AL535" s="2" t="s">
        <x:v>2857</x:v>
      </x:c>
      <x:c r="AM535" s="2">
        <x:v>85</x:v>
      </x:c>
      <x:c r="AN535" s="2">
        <x:v>85</x:v>
      </x:c>
    </x:row>
    <x:row r="536" ht="52">
      <x:c r="A536" s="2" t="s">
        <x:v>6</x:v>
      </x:c>
      <x:c r="B536" s="2" t="s">
        <x:v>16</x:v>
      </x:c>
      <x:c r="C536" s="3">
        <x:v>84</x:v>
      </x:c>
      <x:c r="D536" s="2" t="s">
        <x:v>1593</x:v>
      </x:c>
      <x:c r="E536" s="2" t="s">
        <x:v>1758</x:v>
      </x:c>
      <x:c r="F536" s="2" t="s">
        <x:v>1595</x:v>
      </x:c>
      <x:c r="G536" s="2"/>
      <x:c r="H536" s="2" t="s">
        <x:v>618</x:v>
      </x:c>
      <x:c r="I536" s="2" t="s">
        <x:v>1760</x:v>
      </x:c>
      <x:c r="J536" s="2" t="s">
        <x:v>1668</x:v>
      </x:c>
      <x:c r="K536" s="2"/>
      <x:c r="L536" s="2" t="s">
        <x:v>1617</x:v>
      </x:c>
      <x:c r="M536" s="2"/>
      <x:c r="N536" s="2"/>
      <x:c r="O536" s="2" t="s">
        <x:v>1600</x:v>
      </x:c>
      <x:c r="P536" s="2" t="s">
        <x:v>1684</x:v>
      </x:c>
      <x:c r="Q536" s="2"/>
      <x:c r="R536" s="3">
        <x:v>4</x:v>
      </x:c>
      <x:c r="S536" s="3"/>
      <x:c r="T536" s="2"/>
      <x:c r="U536" s="2"/>
      <x:c r="V536" s="2"/>
      <x:c r="W536" s="2"/>
      <x:c r="X536" s="3"/>
      <x:c r="Y536" s="3"/>
      <x:c r="Z536" s="2"/>
      <x:c r="AA536" s="2"/>
      <x:c r="AB536" s="2"/>
      <x:c r="AC536" s="2" t="s">
        <x:v>316</x:v>
      </x:c>
      <x:c r="AD536" s="2" t="s">
        <x:v>317</x:v>
      </x:c>
      <x:c r="AE536" s="2" t="s">
        <x:v>368</x:v>
      </x:c>
      <x:c r="AF536" s="2" t="s">
        <x:v>319</x:v>
      </x:c>
      <x:c r="AG536" s="2"/>
      <x:c r="AH536" s="2"/>
      <x:c r="AI536" s="4"/>
      <x:c r="AJ536" s="2"/>
      <x:c r="AK536" s="2" t="s">
        <x:v>320</x:v>
      </x:c>
      <x:c r="AL536" s="2" t="s">
        <x:v>2857</x:v>
      </x:c>
      <x:c r="AM536" s="2">
        <x:v>86</x:v>
      </x:c>
      <x:c r="AN536" s="2">
        <x:v>86</x:v>
      </x:c>
    </x:row>
    <x:row r="537" ht="39">
      <x:c r="A537" s="2" t="s">
        <x:v>6</x:v>
      </x:c>
      <x:c r="B537" s="2" t="s">
        <x:v>16</x:v>
      </x:c>
      <x:c r="C537" s="3">
        <x:v>85</x:v>
      </x:c>
      <x:c r="D537" s="2" t="s">
        <x:v>1685</x:v>
      </x:c>
      <x:c r="E537" s="2" t="s">
        <x:v>1758</x:v>
      </x:c>
      <x:c r="F537" s="2" t="s">
        <x:v>1671</x:v>
      </x:c>
      <x:c r="G537" s="2" t="s">
        <x:v>2960</x:v>
      </x:c>
      <x:c r="H537" s="2" t="s">
        <x:v>627</x:v>
      </x:c>
      <x:c r="I537" s="2" t="s">
        <x:v>1760</x:v>
      </x:c>
      <x:c r="J537" s="2" t="s">
        <x:v>1673</x:v>
      </x:c>
      <x:c r="K537" s="2" t="n">
        <x:v>84</x:v>
      </x:c>
      <x:c r="L537" s="2" t="s">
        <x:v>1617</x:v>
      </x:c>
      <x:c r="M537" s="2"/>
      <x:c r="N537" s="2"/>
      <x:c r="O537" s="2" t="s">
        <x:v>1674</x:v>
      </x:c>
      <x:c r="P537" s="2" t="s">
        <x:v>1687</x:v>
      </x:c>
      <x:c r="Q537" s="2"/>
      <x:c r="R537" s="3">
        <x:v>4</x:v>
      </x:c>
      <x:c r="S537" s="3"/>
      <x:c r="T537" s="2"/>
      <x:c r="U537" s="2"/>
      <x:c r="V537" s="2"/>
      <x:c r="W537" s="2"/>
      <x:c r="X537" s="3"/>
      <x:c r="Y537" s="3"/>
      <x:c r="Z537" s="2"/>
      <x:c r="AA537" s="2"/>
      <x:c r="AB537" s="2"/>
      <x:c r="AC537" s="2" t="s">
        <x:v>316</x:v>
      </x:c>
      <x:c r="AD537" s="2" t="s">
        <x:v>317</x:v>
      </x:c>
      <x:c r="AE537" s="2" t="s">
        <x:v>368</x:v>
      </x:c>
      <x:c r="AF537" s="2" t="s">
        <x:v>319</x:v>
      </x:c>
      <x:c r="AG537" s="2"/>
      <x:c r="AH537" s="2"/>
      <x:c r="AI537" s="4"/>
      <x:c r="AJ537" s="2"/>
      <x:c r="AK537" s="2" t="s">
        <x:v>320</x:v>
      </x:c>
      <x:c r="AL537" s="2" t="s">
        <x:v>2857</x:v>
      </x:c>
      <x:c r="AM537" s="2">
        <x:v>87</x:v>
      </x:c>
      <x:c r="AN537" s="2">
        <x:v>87</x:v>
      </x:c>
    </x:row>
    <x:row r="538" ht="52">
      <x:c r="A538" s="2" t="s">
        <x:v>6</x:v>
      </x:c>
      <x:c r="B538" s="2" t="s">
        <x:v>16</x:v>
      </x:c>
      <x:c r="C538" s="3">
        <x:v>86</x:v>
      </x:c>
      <x:c r="D538" s="2" t="s">
        <x:v>1607</x:v>
      </x:c>
      <x:c r="E538" s="2" t="s">
        <x:v>1762</x:v>
      </x:c>
      <x:c r="F538" s="2" t="s">
        <x:v>1608</x:v>
      </x:c>
      <x:c r="G538" s="2"/>
      <x:c r="H538" s="2" t="s">
        <x:v>618</x:v>
      </x:c>
      <x:c r="I538" s="2" t="s">
        <x:v>1764</x:v>
      </x:c>
      <x:c r="J538" s="2" t="s">
        <x:v>1668</x:v>
      </x:c>
      <x:c r="K538" s="2"/>
      <x:c r="L538" s="2" t="s">
        <x:v>1632</x:v>
      </x:c>
      <x:c r="M538" s="2"/>
      <x:c r="N538" s="2"/>
      <x:c r="O538" s="2" t="s">
        <x:v>1600</x:v>
      </x:c>
      <x:c r="P538" s="2" t="s">
        <x:v>1765</x:v>
      </x:c>
      <x:c r="Q538" s="2"/>
      <x:c r="R538" s="3">
        <x:v>3</x:v>
      </x:c>
      <x:c r="S538" s="3"/>
      <x:c r="T538" s="2"/>
      <x:c r="U538" s="2"/>
      <x:c r="V538" s="2"/>
      <x:c r="W538" s="2"/>
      <x:c r="X538" s="3"/>
      <x:c r="Y538" s="3"/>
      <x:c r="Z538" s="2"/>
      <x:c r="AA538" s="2"/>
      <x:c r="AB538" s="2"/>
      <x:c r="AC538" s="2" t="s">
        <x:v>316</x:v>
      </x:c>
      <x:c r="AD538" s="2" t="s">
        <x:v>368</x:v>
      </x:c>
      <x:c r="AE538" s="2" t="s">
        <x:v>317</x:v>
      </x:c>
      <x:c r="AF538" s="2" t="s">
        <x:v>319</x:v>
      </x:c>
      <x:c r="AG538" s="2"/>
      <x:c r="AH538" s="2"/>
      <x:c r="AI538" s="4"/>
      <x:c r="AJ538" s="2"/>
      <x:c r="AK538" s="2" t="s">
        <x:v>320</x:v>
      </x:c>
      <x:c r="AL538" s="2" t="s">
        <x:v>2857</x:v>
      </x:c>
      <x:c r="AM538" s="2">
        <x:v>88</x:v>
      </x:c>
      <x:c r="AN538" s="2">
        <x:v>88</x:v>
      </x:c>
    </x:row>
    <x:row r="539" ht="39">
      <x:c r="A539" s="2" t="s">
        <x:v>6</x:v>
      </x:c>
      <x:c r="B539" s="2" t="s">
        <x:v>16</x:v>
      </x:c>
      <x:c r="C539" s="3">
        <x:v>87</x:v>
      </x:c>
      <x:c r="D539" s="2" t="s">
        <x:v>1725</x:v>
      </x:c>
      <x:c r="E539" s="2" t="s">
        <x:v>1762</x:v>
      </x:c>
      <x:c r="F539" s="2" t="s">
        <x:v>1696</x:v>
      </x:c>
      <x:c r="G539" s="2"/>
      <x:c r="H539" s="2" t="s">
        <x:v>627</x:v>
      </x:c>
      <x:c r="I539" s="2" t="s">
        <x:v>1764</x:v>
      </x:c>
      <x:c r="J539" s="2" t="s">
        <x:v>1673</x:v>
      </x:c>
      <x:c r="K539" s="2" t="n">
        <x:v>86</x:v>
      </x:c>
      <x:c r="L539" s="2" t="s">
        <x:v>1632</x:v>
      </x:c>
      <x:c r="M539" s="2"/>
      <x:c r="N539" s="2"/>
      <x:c r="O539" s="2" t="s">
        <x:v>1674</x:v>
      </x:c>
      <x:c r="P539" s="2" t="s">
        <x:v>1767</x:v>
      </x:c>
      <x:c r="Q539" s="2"/>
      <x:c r="R539" s="3">
        <x:v>3</x:v>
      </x:c>
      <x:c r="S539" s="3"/>
      <x:c r="T539" s="2"/>
      <x:c r="U539" s="2"/>
      <x:c r="V539" s="2"/>
      <x:c r="W539" s="2"/>
      <x:c r="X539" s="3"/>
      <x:c r="Y539" s="3"/>
      <x:c r="Z539" s="2"/>
      <x:c r="AA539" s="2"/>
      <x:c r="AB539" s="2"/>
      <x:c r="AC539" s="2" t="s">
        <x:v>316</x:v>
      </x:c>
      <x:c r="AD539" s="2" t="s">
        <x:v>368</x:v>
      </x:c>
      <x:c r="AE539" s="2" t="s">
        <x:v>317</x:v>
      </x:c>
      <x:c r="AF539" s="2" t="s">
        <x:v>319</x:v>
      </x:c>
      <x:c r="AG539" s="2"/>
      <x:c r="AH539" s="2"/>
      <x:c r="AI539" s="4"/>
      <x:c r="AJ539" s="2"/>
      <x:c r="AK539" s="2" t="s">
        <x:v>320</x:v>
      </x:c>
      <x:c r="AL539" s="2" t="s">
        <x:v>2857</x:v>
      </x:c>
      <x:c r="AM539" s="2">
        <x:v>89</x:v>
      </x:c>
      <x:c r="AN539" s="2">
        <x:v>89</x:v>
      </x:c>
    </x:row>
    <x:row r="540" ht="52">
      <x:c r="A540" s="2" t="s">
        <x:v>6</x:v>
      </x:c>
      <x:c r="B540" s="2" t="s">
        <x:v>16</x:v>
      </x:c>
      <x:c r="C540" s="3">
        <x:v>88</x:v>
      </x:c>
      <x:c r="D540" s="2" t="s">
        <x:v>1602</x:v>
      </x:c>
      <x:c r="E540" s="2" t="s">
        <x:v>1594</x:v>
      </x:c>
      <x:c r="F540" s="2" t="s">
        <x:v>1603</x:v>
      </x:c>
      <x:c r="G540" s="2"/>
      <x:c r="H540" s="2" t="s">
        <x:v>618</x:v>
      </x:c>
      <x:c r="I540" s="2" t="s">
        <x:v>1769</x:v>
      </x:c>
      <x:c r="J540" s="2" t="s">
        <x:v>1668</x:v>
      </x:c>
      <x:c r="K540" s="2"/>
      <x:c r="L540" s="2" t="s">
        <x:v>1604</x:v>
      </x:c>
      <x:c r="M540" s="2"/>
      <x:c r="N540" s="2"/>
      <x:c r="O540" s="2" t="s">
        <x:v>1600</x:v>
      </x:c>
      <x:c r="P540" s="2" t="s">
        <x:v>1770</x:v>
      </x:c>
      <x:c r="Q540" s="2"/>
      <x:c r="R540" s="3">
        <x:v>3</x:v>
      </x:c>
      <x:c r="S540" s="3"/>
      <x:c r="T540" s="2"/>
      <x:c r="U540" s="2"/>
      <x:c r="V540" s="2"/>
      <x:c r="W540" s="2"/>
      <x:c r="X540" s="3"/>
      <x:c r="Y540" s="3"/>
      <x:c r="Z540" s="2"/>
      <x:c r="AA540" s="2"/>
      <x:c r="AB540" s="2"/>
      <x:c r="AC540" s="2" t="s">
        <x:v>326</x:v>
      </x:c>
      <x:c r="AD540" s="2" t="s">
        <x:v>317</x:v>
      </x:c>
      <x:c r="AE540" s="2" t="s">
        <x:v>368</x:v>
      </x:c>
      <x:c r="AF540" s="2" t="s">
        <x:v>319</x:v>
      </x:c>
      <x:c r="AG540" s="2"/>
      <x:c r="AH540" s="2"/>
      <x:c r="AI540" s="4"/>
      <x:c r="AJ540" s="2"/>
      <x:c r="AK540" s="2" t="s">
        <x:v>320</x:v>
      </x:c>
      <x:c r="AL540" s="2" t="s">
        <x:v>2857</x:v>
      </x:c>
      <x:c r="AM540" s="2">
        <x:v>90</x:v>
      </x:c>
      <x:c r="AN540" s="2">
        <x:v>90</x:v>
      </x:c>
    </x:row>
    <x:row r="541" ht="39">
      <x:c r="A541" s="2" t="s">
        <x:v>6</x:v>
      </x:c>
      <x:c r="B541" s="2" t="s">
        <x:v>16</x:v>
      </x:c>
      <x:c r="C541" s="3">
        <x:v>89</x:v>
      </x:c>
      <x:c r="D541" s="2" t="s">
        <x:v>1670</x:v>
      </x:c>
      <x:c r="E541" s="2" t="s">
        <x:v>1594</x:v>
      </x:c>
      <x:c r="F541" s="2" t="s">
        <x:v>1671</x:v>
      </x:c>
      <x:c r="G541" s="2" t="s">
        <x:v>1735</x:v>
      </x:c>
      <x:c r="H541" s="2" t="s">
        <x:v>627</x:v>
      </x:c>
      <x:c r="I541" s="2" t="s">
        <x:v>1769</x:v>
      </x:c>
      <x:c r="J541" s="2" t="s">
        <x:v>1673</x:v>
      </x:c>
      <x:c r="K541" s="2" t="n">
        <x:v>88</x:v>
      </x:c>
      <x:c r="L541" s="2" t="s">
        <x:v>1604</x:v>
      </x:c>
      <x:c r="M541" s="2"/>
      <x:c r="N541" s="2"/>
      <x:c r="O541" s="2" t="s">
        <x:v>1674</x:v>
      </x:c>
      <x:c r="P541" s="2" t="s">
        <x:v>1772</x:v>
      </x:c>
      <x:c r="Q541" s="2"/>
      <x:c r="R541" s="3">
        <x:v>3</x:v>
      </x:c>
      <x:c r="S541" s="3"/>
      <x:c r="T541" s="2"/>
      <x:c r="U541" s="2"/>
      <x:c r="V541" s="2"/>
      <x:c r="W541" s="2"/>
      <x:c r="X541" s="3"/>
      <x:c r="Y541" s="3"/>
      <x:c r="Z541" s="2"/>
      <x:c r="AA541" s="2"/>
      <x:c r="AB541" s="2"/>
      <x:c r="AC541" s="2" t="s">
        <x:v>326</x:v>
      </x:c>
      <x:c r="AD541" s="2" t="s">
        <x:v>317</x:v>
      </x:c>
      <x:c r="AE541" s="2" t="s">
        <x:v>368</x:v>
      </x:c>
      <x:c r="AF541" s="2" t="s">
        <x:v>319</x:v>
      </x:c>
      <x:c r="AG541" s="2"/>
      <x:c r="AH541" s="2"/>
      <x:c r="AI541" s="4"/>
      <x:c r="AJ541" s="2"/>
      <x:c r="AK541" s="2" t="s">
        <x:v>320</x:v>
      </x:c>
      <x:c r="AL541" s="2" t="s">
        <x:v>2857</x:v>
      </x:c>
      <x:c r="AM541" s="2">
        <x:v>91</x:v>
      </x:c>
      <x:c r="AN541" s="2">
        <x:v>91</x:v>
      </x:c>
    </x:row>
    <x:row r="542" ht="52">
      <x:c r="A542" s="2" t="s">
        <x:v>91</x:v>
      </x:c>
      <x:c r="B542" s="2" t="s">
        <x:v>16</x:v>
      </x:c>
      <x:c r="C542" s="3">
        <x:v>90</x:v>
      </x:c>
      <x:c r="D542" s="2" t="s">
        <x:v>1611</x:v>
      </x:c>
      <x:c r="E542" s="2" t="s">
        <x:v>1721</x:v>
      </x:c>
      <x:c r="F542" s="2" t="s">
        <x:v>1612</x:v>
      </x:c>
      <x:c r="G542" s="2" t="s">
        <x:v>2854</x:v>
      </x:c>
      <x:c r="H542" s="2" t="s">
        <x:v>618</x:v>
      </x:c>
      <x:c r="I542" s="2" t="s">
        <x:v>1774</x:v>
      </x:c>
      <x:c r="J542" s="2" t="s">
        <x:v>1668</x:v>
      </x:c>
      <x:c r="K542" s="2"/>
      <x:c r="L542" s="2" t="s">
        <x:v>1624</x:v>
      </x:c>
      <x:c r="M542" s="2"/>
      <x:c r="N542" s="2"/>
      <x:c r="O542" s="2" t="s">
        <x:v>1600</x:v>
      </x:c>
      <x:c r="P542" s="2" t="s">
        <x:v>1724</x:v>
      </x:c>
      <x:c r="Q542" s="2"/>
      <x:c r="R542" s="3">
        <x:v>4</x:v>
      </x:c>
      <x:c r="S542" s="3"/>
      <x:c r="T542" s="2"/>
      <x:c r="U542" s="2"/>
      <x:c r="V542" s="2"/>
      <x:c r="W542" s="2"/>
      <x:c r="X542" s="3"/>
      <x:c r="Y542" s="3"/>
      <x:c r="Z542" s="2"/>
      <x:c r="AA542" s="2"/>
      <x:c r="AB542" s="2"/>
      <x:c r="AC542" s="2" t="s">
        <x:v>326</x:v>
      </x:c>
      <x:c r="AD542" s="2" t="s">
        <x:v>368</x:v>
      </x:c>
      <x:c r="AE542" s="2" t="s">
        <x:v>317</x:v>
      </x:c>
      <x:c r="AF542" s="2" t="s">
        <x:v>319</x:v>
      </x:c>
      <x:c r="AG542" s="2"/>
      <x:c r="AH542" s="2"/>
      <x:c r="AI542" s="4"/>
      <x:c r="AJ542" s="2"/>
      <x:c r="AK542" s="2" t="s">
        <x:v>320</x:v>
      </x:c>
      <x:c r="AL542" s="2" t="s">
        <x:v>2857</x:v>
      </x:c>
      <x:c r="AM542" s="2">
        <x:v>92</x:v>
      </x:c>
      <x:c r="AN542" s="2">
        <x:v>92</x:v>
      </x:c>
    </x:row>
    <x:row r="543" ht="39">
      <x:c r="A543" s="2" t="s">
        <x:v>6</x:v>
      </x:c>
      <x:c r="B543" s="2" t="s">
        <x:v>16</x:v>
      </x:c>
      <x:c r="C543" s="3">
        <x:v>91</x:v>
      </x:c>
      <x:c r="D543" s="2" t="s">
        <x:v>1725</x:v>
      </x:c>
      <x:c r="E543" s="2" t="s">
        <x:v>1721</x:v>
      </x:c>
      <x:c r="F543" s="2" t="s">
        <x:v>1696</x:v>
      </x:c>
      <x:c r="G543" s="2" t="s">
        <x:v>2961</x:v>
      </x:c>
      <x:c r="H543" s="2" t="s">
        <x:v>627</x:v>
      </x:c>
      <x:c r="I543" s="2" t="s">
        <x:v>1774</x:v>
      </x:c>
      <x:c r="J543" s="2" t="s">
        <x:v>1673</x:v>
      </x:c>
      <x:c r="K543" s="2" t="n">
        <x:v>90</x:v>
      </x:c>
      <x:c r="L543" s="2" t="s">
        <x:v>1624</x:v>
      </x:c>
      <x:c r="M543" s="2"/>
      <x:c r="N543" s="2"/>
      <x:c r="O543" s="2" t="s">
        <x:v>1674</x:v>
      </x:c>
      <x:c r="P543" s="2" t="s">
        <x:v>1727</x:v>
      </x:c>
      <x:c r="Q543" s="2"/>
      <x:c r="R543" s="3">
        <x:v>4</x:v>
      </x:c>
      <x:c r="S543" s="3"/>
      <x:c r="T543" s="2"/>
      <x:c r="U543" s="2"/>
      <x:c r="V543" s="2"/>
      <x:c r="W543" s="2"/>
      <x:c r="X543" s="3"/>
      <x:c r="Y543" s="3"/>
      <x:c r="Z543" s="2"/>
      <x:c r="AA543" s="2"/>
      <x:c r="AB543" s="2"/>
      <x:c r="AC543" s="2" t="s">
        <x:v>326</x:v>
      </x:c>
      <x:c r="AD543" s="2" t="s">
        <x:v>368</x:v>
      </x:c>
      <x:c r="AE543" s="2" t="s">
        <x:v>317</x:v>
      </x:c>
      <x:c r="AF543" s="2" t="s">
        <x:v>319</x:v>
      </x:c>
      <x:c r="AG543" s="2"/>
      <x:c r="AH543" s="2"/>
      <x:c r="AI543" s="4"/>
      <x:c r="AJ543" s="2"/>
      <x:c r="AK543" s="2" t="s">
        <x:v>320</x:v>
      </x:c>
      <x:c r="AL543" s="2" t="s">
        <x:v>2857</x:v>
      </x:c>
      <x:c r="AM543" s="2">
        <x:v>93</x:v>
      </x:c>
      <x:c r="AN543" s="2">
        <x:v>93</x:v>
      </x:c>
    </x:row>
    <x:row r="544" ht="52">
      <x:c r="A544" s="2" t="s">
        <x:v>91</x:v>
      </x:c>
      <x:c r="B544" s="2" t="s">
        <x:v>16</x:v>
      </x:c>
      <x:c r="C544" s="3">
        <x:v>92</x:v>
      </x:c>
      <x:c r="D544" s="2" t="s">
        <x:v>1636</x:v>
      </x:c>
      <x:c r="E544" s="2" t="s">
        <x:v>1758</x:v>
      </x:c>
      <x:c r="F544" s="2" t="s">
        <x:v>1637</x:v>
      </x:c>
      <x:c r="G544" s="2" t="s">
        <x:v>2962</x:v>
      </x:c>
      <x:c r="H544" s="2" t="s">
        <x:v>618</x:v>
      </x:c>
      <x:c r="I544" s="2" t="s">
        <x:v>1776</x:v>
      </x:c>
      <x:c r="J544" s="2" t="s">
        <x:v>1668</x:v>
      </x:c>
      <x:c r="K544" s="2"/>
      <x:c r="L544" s="2" t="s">
        <x:v>1640</x:v>
      </x:c>
      <x:c r="M544" s="2"/>
      <x:c r="N544" s="2"/>
      <x:c r="O544" s="2" t="s">
        <x:v>1600</x:v>
      </x:c>
      <x:c r="P544" s="2" t="s">
        <x:v>1777</x:v>
      </x:c>
      <x:c r="Q544" s="2"/>
      <x:c r="R544" s="3">
        <x:v>4</x:v>
      </x:c>
      <x:c r="S544" s="3"/>
      <x:c r="T544" s="2"/>
      <x:c r="U544" s="2"/>
      <x:c r="V544" s="2"/>
      <x:c r="W544" s="2"/>
      <x:c r="X544" s="3"/>
      <x:c r="Y544" s="3"/>
      <x:c r="Z544" s="2"/>
      <x:c r="AA544" s="2"/>
      <x:c r="AB544" s="2"/>
      <x:c r="AC544" s="2" t="s">
        <x:v>367</x:v>
      </x:c>
      <x:c r="AD544" s="2" t="s">
        <x:v>317</x:v>
      </x:c>
      <x:c r="AE544" s="2" t="s">
        <x:v>368</x:v>
      </x:c>
      <x:c r="AF544" s="2" t="s">
        <x:v>319</x:v>
      </x:c>
      <x:c r="AG544" s="2"/>
      <x:c r="AH544" s="2"/>
      <x:c r="AI544" s="4"/>
      <x:c r="AJ544" s="2"/>
      <x:c r="AK544" s="2" t="s">
        <x:v>320</x:v>
      </x:c>
      <x:c r="AL544" s="2" t="s">
        <x:v>2857</x:v>
      </x:c>
      <x:c r="AM544" s="2">
        <x:v>94</x:v>
      </x:c>
      <x:c r="AN544" s="2">
        <x:v>94</x:v>
      </x:c>
    </x:row>
    <x:row r="545" ht="39">
      <x:c r="A545" s="2" t="s">
        <x:v>6</x:v>
      </x:c>
      <x:c r="B545" s="2" t="s">
        <x:v>16</x:v>
      </x:c>
      <x:c r="C545" s="3">
        <x:v>93</x:v>
      </x:c>
      <x:c r="D545" s="2" t="s">
        <x:v>1778</x:v>
      </x:c>
      <x:c r="E545" s="2" t="s">
        <x:v>1758</x:v>
      </x:c>
      <x:c r="F545" s="2" t="s">
        <x:v>1671</x:v>
      </x:c>
      <x:c r="G545" s="2"/>
      <x:c r="H545" s="2" t="s">
        <x:v>627</x:v>
      </x:c>
      <x:c r="I545" s="2" t="s">
        <x:v>1776</x:v>
      </x:c>
      <x:c r="J545" s="2" t="s">
        <x:v>1673</x:v>
      </x:c>
      <x:c r="K545" s="2" t="n">
        <x:v>92</x:v>
      </x:c>
      <x:c r="L545" s="2" t="s">
        <x:v>1640</x:v>
      </x:c>
      <x:c r="M545" s="2"/>
      <x:c r="N545" s="2"/>
      <x:c r="O545" s="2" t="s">
        <x:v>1674</x:v>
      </x:c>
      <x:c r="P545" s="2" t="s">
        <x:v>1780</x:v>
      </x:c>
      <x:c r="Q545" s="2"/>
      <x:c r="R545" s="3">
        <x:v>4</x:v>
      </x:c>
      <x:c r="S545" s="3"/>
      <x:c r="T545" s="2"/>
      <x:c r="U545" s="2"/>
      <x:c r="V545" s="2"/>
      <x:c r="W545" s="2"/>
      <x:c r="X545" s="3"/>
      <x:c r="Y545" s="3"/>
      <x:c r="Z545" s="2"/>
      <x:c r="AA545" s="2"/>
      <x:c r="AB545" s="2"/>
      <x:c r="AC545" s="2" t="s">
        <x:v>367</x:v>
      </x:c>
      <x:c r="AD545" s="2" t="s">
        <x:v>317</x:v>
      </x:c>
      <x:c r="AE545" s="2" t="s">
        <x:v>368</x:v>
      </x:c>
      <x:c r="AF545" s="2" t="s">
        <x:v>319</x:v>
      </x:c>
      <x:c r="AG545" s="2"/>
      <x:c r="AH545" s="2"/>
      <x:c r="AI545" s="4"/>
      <x:c r="AJ545" s="2"/>
      <x:c r="AK545" s="2" t="s">
        <x:v>320</x:v>
      </x:c>
      <x:c r="AL545" s="2" t="s">
        <x:v>2857</x:v>
      </x:c>
      <x:c r="AM545" s="2">
        <x:v>95</x:v>
      </x:c>
      <x:c r="AN545" s="2">
        <x:v>95</x:v>
      </x:c>
    </x:row>
    <x:row r="546" ht="52">
      <x:c r="A546" s="2" t="s">
        <x:v>6</x:v>
      </x:c>
      <x:c r="B546" s="2" t="s">
        <x:v>16</x:v>
      </x:c>
      <x:c r="C546" s="3">
        <x:v>94</x:v>
      </x:c>
      <x:c r="D546" s="2" t="s">
        <x:v>1646</x:v>
      </x:c>
      <x:c r="E546" s="2" t="s">
        <x:v>1762</x:v>
      </x:c>
      <x:c r="F546" s="2" t="s">
        <x:v>1647</x:v>
      </x:c>
      <x:c r="G546" s="2"/>
      <x:c r="H546" s="2" t="s">
        <x:v>618</x:v>
      </x:c>
      <x:c r="I546" s="2" t="s">
        <x:v>1782</x:v>
      </x:c>
      <x:c r="J546" s="2" t="s">
        <x:v>1668</x:v>
      </x:c>
      <x:c r="K546" s="2"/>
      <x:c r="L546" s="2" t="s">
        <x:v>1783</x:v>
      </x:c>
      <x:c r="M546" s="2"/>
      <x:c r="N546" s="2"/>
      <x:c r="O546" s="2" t="s">
        <x:v>1600</x:v>
      </x:c>
      <x:c r="P546" s="2" t="s">
        <x:v>1784</x:v>
      </x:c>
      <x:c r="Q546" s="2"/>
      <x:c r="R546" s="3">
        <x:v>3</x:v>
      </x:c>
      <x:c r="S546" s="3"/>
      <x:c r="T546" s="2"/>
      <x:c r="U546" s="2"/>
      <x:c r="V546" s="2"/>
      <x:c r="W546" s="2"/>
      <x:c r="X546" s="3"/>
      <x:c r="Y546" s="3"/>
      <x:c r="Z546" s="2"/>
      <x:c r="AA546" s="2"/>
      <x:c r="AB546" s="2"/>
      <x:c r="AC546" s="2" t="s">
        <x:v>367</x:v>
      </x:c>
      <x:c r="AD546" s="2" t="s">
        <x:v>368</x:v>
      </x:c>
      <x:c r="AE546" s="2" t="s">
        <x:v>317</x:v>
      </x:c>
      <x:c r="AF546" s="2" t="s">
        <x:v>319</x:v>
      </x:c>
      <x:c r="AG546" s="2"/>
      <x:c r="AH546" s="2"/>
      <x:c r="AI546" s="4"/>
      <x:c r="AJ546" s="2"/>
      <x:c r="AK546" s="2" t="s">
        <x:v>320</x:v>
      </x:c>
      <x:c r="AL546" s="2" t="s">
        <x:v>2857</x:v>
      </x:c>
      <x:c r="AM546" s="2">
        <x:v>96</x:v>
      </x:c>
      <x:c r="AN546" s="2">
        <x:v>96</x:v>
      </x:c>
    </x:row>
    <x:row r="547" ht="39">
      <x:c r="A547" s="2" t="s">
        <x:v>91</x:v>
      </x:c>
      <x:c r="B547" s="2" t="s">
        <x:v>16</x:v>
      </x:c>
      <x:c r="C547" s="3">
        <x:v>95</x:v>
      </x:c>
      <x:c r="D547" s="2" t="s">
        <x:v>1695</x:v>
      </x:c>
      <x:c r="E547" s="2" t="s">
        <x:v>1762</x:v>
      </x:c>
      <x:c r="F547" s="2" t="s">
        <x:v>1696</x:v>
      </x:c>
      <x:c r="G547" s="2" t="s">
        <x:v>2963</x:v>
      </x:c>
      <x:c r="H547" s="2" t="s">
        <x:v>627</x:v>
      </x:c>
      <x:c r="I547" s="2" t="s">
        <x:v>1782</x:v>
      </x:c>
      <x:c r="J547" s="2" t="s">
        <x:v>1673</x:v>
      </x:c>
      <x:c r="K547" s="2" t="n">
        <x:v>94</x:v>
      </x:c>
      <x:c r="L547" s="2" t="s">
        <x:v>1783</x:v>
      </x:c>
      <x:c r="M547" s="2"/>
      <x:c r="N547" s="2"/>
      <x:c r="O547" s="2" t="s">
        <x:v>1674</x:v>
      </x:c>
      <x:c r="P547" s="2" t="s">
        <x:v>1785</x:v>
      </x:c>
      <x:c r="Q547" s="2"/>
      <x:c r="R547" s="3">
        <x:v>3</x:v>
      </x:c>
      <x:c r="S547" s="3"/>
      <x:c r="T547" s="2"/>
      <x:c r="U547" s="2"/>
      <x:c r="V547" s="2"/>
      <x:c r="W547" s="2"/>
      <x:c r="X547" s="3"/>
      <x:c r="Y547" s="3"/>
      <x:c r="Z547" s="2"/>
      <x:c r="AA547" s="2"/>
      <x:c r="AB547" s="2"/>
      <x:c r="AC547" s="2" t="s">
        <x:v>367</x:v>
      </x:c>
      <x:c r="AD547" s="2" t="s">
        <x:v>368</x:v>
      </x:c>
      <x:c r="AE547" s="2" t="s">
        <x:v>317</x:v>
      </x:c>
      <x:c r="AF547" s="2" t="s">
        <x:v>319</x:v>
      </x:c>
      <x:c r="AG547" s="2"/>
      <x:c r="AH547" s="2"/>
      <x:c r="AI547" s="4"/>
      <x:c r="AJ547" s="2"/>
      <x:c r="AK547" s="2" t="s">
        <x:v>320</x:v>
      </x:c>
      <x:c r="AL547" s="2" t="s">
        <x:v>2857</x:v>
      </x:c>
      <x:c r="AM547" s="2">
        <x:v>97</x:v>
      </x:c>
      <x:c r="AN547" s="2">
        <x:v>97</x:v>
      </x:c>
    </x:row>
    <x:row r="548" ht="52">
      <x:c r="A548" s="2" t="s">
        <x:v>91</x:v>
      </x:c>
      <x:c r="B548" s="2" t="s">
        <x:v>16</x:v>
      </x:c>
      <x:c r="C548" s="3">
        <x:v>96</x:v>
      </x:c>
      <x:c r="D548" s="2" t="s">
        <x:v>1646</x:v>
      </x:c>
      <x:c r="E548" s="2" t="s">
        <x:v>1786</x:v>
      </x:c>
      <x:c r="F548" s="2" t="s">
        <x:v>1647</x:v>
      </x:c>
      <x:c r="G548" s="2" t="s">
        <x:v>2964</x:v>
      </x:c>
      <x:c r="H548" s="2" t="s">
        <x:v>618</x:v>
      </x:c>
      <x:c r="I548" s="2" t="s">
        <x:v>1787</x:v>
      </x:c>
      <x:c r="J548" s="2" t="s">
        <x:v>1668</x:v>
      </x:c>
      <x:c r="K548" s="2"/>
      <x:c r="L548" s="2" t="s">
        <x:v>1649</x:v>
      </x:c>
      <x:c r="M548" s="2"/>
      <x:c r="N548" s="2"/>
      <x:c r="O548" s="2" t="s">
        <x:v>1600</x:v>
      </x:c>
      <x:c r="P548" s="2" t="s">
        <x:v>1738</x:v>
      </x:c>
      <x:c r="Q548" s="2"/>
      <x:c r="R548" s="3">
        <x:v>4</x:v>
      </x:c>
      <x:c r="S548" s="3"/>
      <x:c r="T548" s="2"/>
      <x:c r="U548" s="2"/>
      <x:c r="V548" s="2"/>
      <x:c r="W548" s="2"/>
      <x:c r="X548" s="3"/>
      <x:c r="Y548" s="3"/>
      <x:c r="Z548" s="2"/>
      <x:c r="AA548" s="2"/>
      <x:c r="AB548" s="2"/>
      <x:c r="AC548" s="2" t="s">
        <x:v>367</x:v>
      </x:c>
      <x:c r="AD548" s="2" t="s">
        <x:v>368</x:v>
      </x:c>
      <x:c r="AE548" s="2" t="s">
        <x:v>317</x:v>
      </x:c>
      <x:c r="AF548" s="2" t="s">
        <x:v>319</x:v>
      </x:c>
      <x:c r="AG548" s="2"/>
      <x:c r="AH548" s="2"/>
      <x:c r="AI548" s="4"/>
      <x:c r="AJ548" s="2"/>
      <x:c r="AK548" s="2" t="s">
        <x:v>320</x:v>
      </x:c>
      <x:c r="AL548" s="2" t="s">
        <x:v>2857</x:v>
      </x:c>
      <x:c r="AM548" s="2">
        <x:v>98</x:v>
      </x:c>
      <x:c r="AN548" s="2">
        <x:v>98</x:v>
      </x:c>
    </x:row>
    <x:row r="549" ht="39">
      <x:c r="A549" s="2" t="s">
        <x:v>6</x:v>
      </x:c>
      <x:c r="B549" s="2" t="s">
        <x:v>16</x:v>
      </x:c>
      <x:c r="C549" s="3">
        <x:v>97</x:v>
      </x:c>
      <x:c r="D549" s="2" t="s">
        <x:v>1725</x:v>
      </x:c>
      <x:c r="E549" s="2" t="s">
        <x:v>1786</x:v>
      </x:c>
      <x:c r="F549" s="2" t="s">
        <x:v>1696</x:v>
      </x:c>
      <x:c r="G549" s="2" t="s">
        <x:v>2965</x:v>
      </x:c>
      <x:c r="H549" s="2" t="s">
        <x:v>627</x:v>
      </x:c>
      <x:c r="I549" s="2" t="s">
        <x:v>1787</x:v>
      </x:c>
      <x:c r="J549" s="2" t="s">
        <x:v>1673</x:v>
      </x:c>
      <x:c r="K549" s="2" t="n">
        <x:v>96</x:v>
      </x:c>
      <x:c r="L549" s="2" t="s">
        <x:v>1649</x:v>
      </x:c>
      <x:c r="M549" s="2"/>
      <x:c r="N549" s="2"/>
      <x:c r="O549" s="2" t="s">
        <x:v>1674</x:v>
      </x:c>
      <x:c r="P549" s="2" t="s">
        <x:v>1740</x:v>
      </x:c>
      <x:c r="Q549" s="2"/>
      <x:c r="R549" s="3">
        <x:v>4</x:v>
      </x:c>
      <x:c r="S549" s="3"/>
      <x:c r="T549" s="2"/>
      <x:c r="U549" s="2"/>
      <x:c r="V549" s="2"/>
      <x:c r="W549" s="2"/>
      <x:c r="X549" s="3"/>
      <x:c r="Y549" s="3"/>
      <x:c r="Z549" s="2"/>
      <x:c r="AA549" s="2"/>
      <x:c r="AB549" s="2"/>
      <x:c r="AC549" s="2" t="s">
        <x:v>367</x:v>
      </x:c>
      <x:c r="AD549" s="2" t="s">
        <x:v>368</x:v>
      </x:c>
      <x:c r="AE549" s="2" t="s">
        <x:v>317</x:v>
      </x:c>
      <x:c r="AF549" s="2" t="s">
        <x:v>319</x:v>
      </x:c>
      <x:c r="AG549" s="2"/>
      <x:c r="AH549" s="2"/>
      <x:c r="AI549" s="4"/>
      <x:c r="AJ549" s="2"/>
      <x:c r="AK549" s="2" t="s">
        <x:v>320</x:v>
      </x:c>
      <x:c r="AL549" s="2" t="s">
        <x:v>2857</x:v>
      </x:c>
      <x:c r="AM549" s="2">
        <x:v>99</x:v>
      </x:c>
      <x:c r="AN549" s="2">
        <x:v>99</x:v>
      </x:c>
    </x:row>
    <x:row r="550" ht="52">
      <x:c r="A550" s="2" t="s">
        <x:v>91</x:v>
      </x:c>
      <x:c r="B550" s="2" t="s">
        <x:v>16</x:v>
      </x:c>
      <x:c r="C550" s="3">
        <x:v>98</x:v>
      </x:c>
      <x:c r="D550" s="2" t="s">
        <x:v>1642</x:v>
      </x:c>
      <x:c r="E550" s="2" t="s">
        <x:v>1789</x:v>
      </x:c>
      <x:c r="F550" s="2" t="s">
        <x:v>1643</x:v>
      </x:c>
      <x:c r="G550" s="2" t="s">
        <x:v>2966</x:v>
      </x:c>
      <x:c r="H550" s="2" t="s">
        <x:v>618</x:v>
      </x:c>
      <x:c r="I550" s="2" t="s">
        <x:v>1790</x:v>
      </x:c>
      <x:c r="J550" s="2" t="s">
        <x:v>1668</x:v>
      </x:c>
      <x:c r="K550" s="2"/>
      <x:c r="L550" s="2" t="s">
        <x:v>1658</x:v>
      </x:c>
      <x:c r="M550" s="2"/>
      <x:c r="N550" s="2"/>
      <x:c r="O550" s="2" t="s">
        <x:v>1600</x:v>
      </x:c>
      <x:c r="P550" s="2" t="s">
        <x:v>1791</x:v>
      </x:c>
      <x:c r="Q550" s="2"/>
      <x:c r="R550" s="3">
        <x:v>3</x:v>
      </x:c>
      <x:c r="S550" s="3"/>
      <x:c r="T550" s="2"/>
      <x:c r="U550" s="2"/>
      <x:c r="V550" s="2"/>
      <x:c r="W550" s="2"/>
      <x:c r="X550" s="3"/>
      <x:c r="Y550" s="3"/>
      <x:c r="Z550" s="2"/>
      <x:c r="AA550" s="2"/>
      <x:c r="AB550" s="2"/>
      <x:c r="AC550" s="2" t="s">
        <x:v>374</x:v>
      </x:c>
      <x:c r="AD550" s="2" t="s">
        <x:v>317</x:v>
      </x:c>
      <x:c r="AE550" s="2" t="s">
        <x:v>368</x:v>
      </x:c>
      <x:c r="AF550" s="2" t="s">
        <x:v>319</x:v>
      </x:c>
      <x:c r="AG550" s="2"/>
      <x:c r="AH550" s="2"/>
      <x:c r="AI550" s="4"/>
      <x:c r="AJ550" s="2"/>
      <x:c r="AK550" s="2" t="s">
        <x:v>320</x:v>
      </x:c>
      <x:c r="AL550" s="2" t="s">
        <x:v>2857</x:v>
      </x:c>
      <x:c r="AM550" s="2">
        <x:v>100</x:v>
      </x:c>
      <x:c r="AN550" s="2">
        <x:v>100</x:v>
      </x:c>
    </x:row>
    <x:row r="551" ht="39">
      <x:c r="A551" s="2" t="s">
        <x:v>6</x:v>
      </x:c>
      <x:c r="B551" s="2" t="s">
        <x:v>16</x:v>
      </x:c>
      <x:c r="C551" s="3">
        <x:v>99</x:v>
      </x:c>
      <x:c r="D551" s="2" t="s">
        <x:v>1685</x:v>
      </x:c>
      <x:c r="E551" s="2" t="s">
        <x:v>1789</x:v>
      </x:c>
      <x:c r="F551" s="2" t="s">
        <x:v>1671</x:v>
      </x:c>
      <x:c r="G551" s="2" t="s">
        <x:v>1735</x:v>
      </x:c>
      <x:c r="H551" s="2" t="s">
        <x:v>627</x:v>
      </x:c>
      <x:c r="I551" s="2" t="s">
        <x:v>1790</x:v>
      </x:c>
      <x:c r="J551" s="2" t="s">
        <x:v>1673</x:v>
      </x:c>
      <x:c r="K551" s="2" t="n">
        <x:v>98</x:v>
      </x:c>
      <x:c r="L551" s="2" t="s">
        <x:v>1658</x:v>
      </x:c>
      <x:c r="M551" s="2"/>
      <x:c r="N551" s="2"/>
      <x:c r="O551" s="2" t="s">
        <x:v>1674</x:v>
      </x:c>
      <x:c r="P551" s="2" t="s">
        <x:v>1792</x:v>
      </x:c>
      <x:c r="Q551" s="2"/>
      <x:c r="R551" s="3">
        <x:v>3</x:v>
      </x:c>
      <x:c r="S551" s="3"/>
      <x:c r="T551" s="2"/>
      <x:c r="U551" s="2"/>
      <x:c r="V551" s="2"/>
      <x:c r="W551" s="2"/>
      <x:c r="X551" s="3"/>
      <x:c r="Y551" s="3"/>
      <x:c r="Z551" s="2"/>
      <x:c r="AA551" s="2"/>
      <x:c r="AB551" s="2"/>
      <x:c r="AC551" s="2" t="s">
        <x:v>374</x:v>
      </x:c>
      <x:c r="AD551" s="2" t="s">
        <x:v>317</x:v>
      </x:c>
      <x:c r="AE551" s="2" t="s">
        <x:v>368</x:v>
      </x:c>
      <x:c r="AF551" s="2" t="s">
        <x:v>319</x:v>
      </x:c>
      <x:c r="AG551" s="2"/>
      <x:c r="AH551" s="2"/>
      <x:c r="AI551" s="4"/>
      <x:c r="AJ551" s="2"/>
      <x:c r="AK551" s="2" t="s">
        <x:v>320</x:v>
      </x:c>
      <x:c r="AL551" s="2" t="s">
        <x:v>2857</x:v>
      </x:c>
      <x:c r="AM551" s="2">
        <x:v>101</x:v>
      </x:c>
      <x:c r="AN551" s="2">
        <x:v>101</x:v>
      </x:c>
    </x:row>
    <x:row r="552" ht="52">
      <x:c r="A552" s="2" t="s">
        <x:v>91</x:v>
      </x:c>
      <x:c r="B552" s="2" t="s">
        <x:v>16</x:v>
      </x:c>
      <x:c r="C552" s="3">
        <x:v>100</x:v>
      </x:c>
      <x:c r="D552" s="2" t="s">
        <x:v>1642</x:v>
      </x:c>
      <x:c r="E552" s="2" t="s">
        <x:v>1758</x:v>
      </x:c>
      <x:c r="F552" s="2" t="s">
        <x:v>1643</x:v>
      </x:c>
      <x:c r="G552" s="2" t="s">
        <x:v>1735</x:v>
      </x:c>
      <x:c r="H552" s="2" t="s">
        <x:v>618</x:v>
      </x:c>
      <x:c r="I552" s="2" t="s">
        <x:v>1794</x:v>
      </x:c>
      <x:c r="J552" s="2" t="s">
        <x:v>1668</x:v>
      </x:c>
      <x:c r="K552" s="2"/>
      <x:c r="L552" s="2" t="s">
        <x:v>1644</x:v>
      </x:c>
      <x:c r="M552" s="2"/>
      <x:c r="N552" s="2"/>
      <x:c r="O552" s="2" t="s">
        <x:v>1600</x:v>
      </x:c>
      <x:c r="P552" s="2" t="s">
        <x:v>1795</x:v>
      </x:c>
      <x:c r="Q552" s="2"/>
      <x:c r="R552" s="3">
        <x:v>4</x:v>
      </x:c>
      <x:c r="S552" s="3"/>
      <x:c r="T552" s="2"/>
      <x:c r="U552" s="2"/>
      <x:c r="V552" s="2"/>
      <x:c r="W552" s="2"/>
      <x:c r="X552" s="3"/>
      <x:c r="Y552" s="3"/>
      <x:c r="Z552" s="2"/>
      <x:c r="AA552" s="2"/>
      <x:c r="AB552" s="2"/>
      <x:c r="AC552" s="2" t="s">
        <x:v>374</x:v>
      </x:c>
      <x:c r="AD552" s="2" t="s">
        <x:v>317</x:v>
      </x:c>
      <x:c r="AE552" s="2" t="s">
        <x:v>368</x:v>
      </x:c>
      <x:c r="AF552" s="2" t="s">
        <x:v>319</x:v>
      </x:c>
      <x:c r="AG552" s="2"/>
      <x:c r="AH552" s="2"/>
      <x:c r="AI552" s="4"/>
      <x:c r="AJ552" s="2"/>
      <x:c r="AK552" s="2" t="s">
        <x:v>320</x:v>
      </x:c>
      <x:c r="AL552" s="2" t="s">
        <x:v>2857</x:v>
      </x:c>
      <x:c r="AM552" s="2">
        <x:v>102</x:v>
      </x:c>
      <x:c r="AN552" s="2">
        <x:v>102</x:v>
      </x:c>
    </x:row>
    <x:row r="553" ht="39">
      <x:c r="A553" s="2" t="s">
        <x:v>6</x:v>
      </x:c>
      <x:c r="B553" s="2" t="s">
        <x:v>16</x:v>
      </x:c>
      <x:c r="C553" s="3">
        <x:v>101</x:v>
      </x:c>
      <x:c r="D553" s="2" t="s">
        <x:v>1778</x:v>
      </x:c>
      <x:c r="E553" s="2" t="s">
        <x:v>1758</x:v>
      </x:c>
      <x:c r="F553" s="2" t="s">
        <x:v>1671</x:v>
      </x:c>
      <x:c r="G553" s="2" t="s">
        <x:v>2967</x:v>
      </x:c>
      <x:c r="H553" s="2" t="s">
        <x:v>627</x:v>
      </x:c>
      <x:c r="I553" s="2" t="s">
        <x:v>1794</x:v>
      </x:c>
      <x:c r="J553" s="2" t="s">
        <x:v>1673</x:v>
      </x:c>
      <x:c r="K553" s="2" t="n">
        <x:v>100</x:v>
      </x:c>
      <x:c r="L553" s="2" t="s">
        <x:v>1644</x:v>
      </x:c>
      <x:c r="M553" s="2"/>
      <x:c r="N553" s="2"/>
      <x:c r="O553" s="2" t="s">
        <x:v>1674</x:v>
      </x:c>
      <x:c r="P553" s="2" t="s">
        <x:v>1797</x:v>
      </x:c>
      <x:c r="Q553" s="2"/>
      <x:c r="R553" s="3">
        <x:v>4</x:v>
      </x:c>
      <x:c r="S553" s="3"/>
      <x:c r="T553" s="2"/>
      <x:c r="U553" s="2"/>
      <x:c r="V553" s="2"/>
      <x:c r="W553" s="2"/>
      <x:c r="X553" s="3"/>
      <x:c r="Y553" s="3"/>
      <x:c r="Z553" s="2"/>
      <x:c r="AA553" s="2"/>
      <x:c r="AB553" s="2"/>
      <x:c r="AC553" s="2" t="s">
        <x:v>374</x:v>
      </x:c>
      <x:c r="AD553" s="2" t="s">
        <x:v>317</x:v>
      </x:c>
      <x:c r="AE553" s="2" t="s">
        <x:v>368</x:v>
      </x:c>
      <x:c r="AF553" s="2" t="s">
        <x:v>319</x:v>
      </x:c>
      <x:c r="AG553" s="2"/>
      <x:c r="AH553" s="2"/>
      <x:c r="AI553" s="4"/>
      <x:c r="AJ553" s="2"/>
      <x:c r="AK553" s="2" t="s">
        <x:v>320</x:v>
      </x:c>
      <x:c r="AL553" s="2" t="s">
        <x:v>2857</x:v>
      </x:c>
      <x:c r="AM553" s="2">
        <x:v>103</x:v>
      </x:c>
      <x:c r="AN553" s="2">
        <x:v>103</x:v>
      </x:c>
    </x:row>
    <x:row r="554" ht="52">
      <x:c r="A554" s="2" t="s">
        <x:v>6</x:v>
      </x:c>
      <x:c r="B554" s="2" t="s">
        <x:v>16</x:v>
      </x:c>
      <x:c r="C554" s="3">
        <x:v>102</x:v>
      </x:c>
      <x:c r="D554" s="2" t="s">
        <x:v>1651</x:v>
      </x:c>
      <x:c r="E554" s="2" t="s">
        <x:v>1762</x:v>
      </x:c>
      <x:c r="F554" s="2" t="s">
        <x:v>1652</x:v>
      </x:c>
      <x:c r="G554" s="2"/>
      <x:c r="H554" s="2" t="s">
        <x:v>618</x:v>
      </x:c>
      <x:c r="I554" s="2" t="s">
        <x:v>1798</x:v>
      </x:c>
      <x:c r="J554" s="2" t="s">
        <x:v>1668</x:v>
      </x:c>
      <x:c r="K554" s="2"/>
      <x:c r="L554" s="2" t="s">
        <x:v>1799</x:v>
      </x:c>
      <x:c r="M554" s="2"/>
      <x:c r="N554" s="2"/>
      <x:c r="O554" s="2" t="s">
        <x:v>1600</x:v>
      </x:c>
      <x:c r="P554" s="2" t="s">
        <x:v>1800</x:v>
      </x:c>
      <x:c r="Q554" s="2"/>
      <x:c r="R554" s="3">
        <x:v>3</x:v>
      </x:c>
      <x:c r="S554" s="3"/>
      <x:c r="T554" s="2"/>
      <x:c r="U554" s="2"/>
      <x:c r="V554" s="2"/>
      <x:c r="W554" s="2"/>
      <x:c r="X554" s="3"/>
      <x:c r="Y554" s="3"/>
      <x:c r="Z554" s="2"/>
      <x:c r="AA554" s="2"/>
      <x:c r="AB554" s="2"/>
      <x:c r="AC554" s="2" t="s">
        <x:v>374</x:v>
      </x:c>
      <x:c r="AD554" s="2" t="s">
        <x:v>368</x:v>
      </x:c>
      <x:c r="AE554" s="2" t="s">
        <x:v>317</x:v>
      </x:c>
      <x:c r="AF554" s="2" t="s">
        <x:v>319</x:v>
      </x:c>
      <x:c r="AG554" s="2"/>
      <x:c r="AH554" s="2"/>
      <x:c r="AI554" s="4"/>
      <x:c r="AJ554" s="2"/>
      <x:c r="AK554" s="2" t="s">
        <x:v>320</x:v>
      </x:c>
      <x:c r="AL554" s="2" t="s">
        <x:v>2857</x:v>
      </x:c>
      <x:c r="AM554" s="2">
        <x:v>104</x:v>
      </x:c>
      <x:c r="AN554" s="2">
        <x:v>104</x:v>
      </x:c>
    </x:row>
    <x:row r="555" ht="39">
      <x:c r="A555" s="2" t="s">
        <x:v>6</x:v>
      </x:c>
      <x:c r="B555" s="2" t="s">
        <x:v>16</x:v>
      </x:c>
      <x:c r="C555" s="3">
        <x:v>103</x:v>
      </x:c>
      <x:c r="D555" s="2" t="s">
        <x:v>1715</x:v>
      </x:c>
      <x:c r="E555" s="2" t="s">
        <x:v>1762</x:v>
      </x:c>
      <x:c r="F555" s="2" t="s">
        <x:v>1696</x:v>
      </x:c>
      <x:c r="G555" s="2" t="s">
        <x:v>2958</x:v>
      </x:c>
      <x:c r="H555" s="2" t="s">
        <x:v>627</x:v>
      </x:c>
      <x:c r="I555" s="2" t="s">
        <x:v>1798</x:v>
      </x:c>
      <x:c r="J555" s="2" t="s">
        <x:v>1673</x:v>
      </x:c>
      <x:c r="K555" s="2" t="n">
        <x:v>102</x:v>
      </x:c>
      <x:c r="L555" s="2" t="s">
        <x:v>1799</x:v>
      </x:c>
      <x:c r="M555" s="2"/>
      <x:c r="N555" s="2"/>
      <x:c r="O555" s="2" t="s">
        <x:v>1674</x:v>
      </x:c>
      <x:c r="P555" s="2" t="s">
        <x:v>1802</x:v>
      </x:c>
      <x:c r="Q555" s="2"/>
      <x:c r="R555" s="3">
        <x:v>3</x:v>
      </x:c>
      <x:c r="S555" s="3"/>
      <x:c r="T555" s="2"/>
      <x:c r="U555" s="2"/>
      <x:c r="V555" s="2"/>
      <x:c r="W555" s="2"/>
      <x:c r="X555" s="3"/>
      <x:c r="Y555" s="3"/>
      <x:c r="Z555" s="2"/>
      <x:c r="AA555" s="2"/>
      <x:c r="AB555" s="2"/>
      <x:c r="AC555" s="2" t="s">
        <x:v>374</x:v>
      </x:c>
      <x:c r="AD555" s="2" t="s">
        <x:v>368</x:v>
      </x:c>
      <x:c r="AE555" s="2" t="s">
        <x:v>317</x:v>
      </x:c>
      <x:c r="AF555" s="2" t="s">
        <x:v>319</x:v>
      </x:c>
      <x:c r="AG555" s="2"/>
      <x:c r="AH555" s="2"/>
      <x:c r="AI555" s="4"/>
      <x:c r="AJ555" s="2"/>
      <x:c r="AK555" s="2" t="s">
        <x:v>320</x:v>
      </x:c>
      <x:c r="AL555" s="2" t="s">
        <x:v>2857</x:v>
      </x:c>
      <x:c r="AM555" s="2">
        <x:v>105</x:v>
      </x:c>
      <x:c r="AN555" s="2">
        <x:v>105</x:v>
      </x:c>
    </x:row>
    <x:row r="556" ht="52">
      <x:c r="A556" s="2" t="s">
        <x:v>91</x:v>
      </x:c>
      <x:c r="B556" s="2" t="s">
        <x:v>16</x:v>
      </x:c>
      <x:c r="C556" s="3">
        <x:v>104</x:v>
      </x:c>
      <x:c r="D556" s="2" t="s">
        <x:v>1593</x:v>
      </x:c>
      <x:c r="E556" s="2" t="s">
        <x:v>1594</x:v>
      </x:c>
      <x:c r="F556" s="2" t="s">
        <x:v>1595</x:v>
      </x:c>
      <x:c r="G556" s="2" t="s">
        <x:v>2968</x:v>
      </x:c>
      <x:c r="H556" s="2" t="s">
        <x:v>618</x:v>
      </x:c>
      <x:c r="I556" s="2" t="s">
        <x:v>1804</x:v>
      </x:c>
      <x:c r="J556" s="2" t="s">
        <x:v>1668</x:v>
      </x:c>
      <x:c r="K556" s="2"/>
      <x:c r="L556" s="2" t="s">
        <x:v>1627</x:v>
      </x:c>
      <x:c r="M556" s="2"/>
      <x:c r="N556" s="2"/>
      <x:c r="O556" s="2" t="s">
        <x:v>1600</x:v>
      </x:c>
      <x:c r="P556" s="2" t="s">
        <x:v>1805</x:v>
      </x:c>
      <x:c r="Q556" s="2"/>
      <x:c r="R556" s="3">
        <x:v>3</x:v>
      </x:c>
      <x:c r="S556" s="3"/>
      <x:c r="T556" s="2"/>
      <x:c r="U556" s="2"/>
      <x:c r="V556" s="2"/>
      <x:c r="W556" s="2"/>
      <x:c r="X556" s="3"/>
      <x:c r="Y556" s="3"/>
      <x:c r="Z556" s="2"/>
      <x:c r="AA556" s="2"/>
      <x:c r="AB556" s="2"/>
      <x:c r="AC556" s="2" t="s">
        <x:v>316</x:v>
      </x:c>
      <x:c r="AD556" s="2" t="s">
        <x:v>317</x:v>
      </x:c>
      <x:c r="AE556" s="2" t="s">
        <x:v>368</x:v>
      </x:c>
      <x:c r="AF556" s="2" t="s">
        <x:v>319</x:v>
      </x:c>
      <x:c r="AG556" s="2"/>
      <x:c r="AH556" s="2"/>
      <x:c r="AI556" s="4"/>
      <x:c r="AJ556" s="2"/>
      <x:c r="AK556" s="2" t="s">
        <x:v>320</x:v>
      </x:c>
      <x:c r="AL556" s="2" t="s">
        <x:v>2857</x:v>
      </x:c>
      <x:c r="AM556" s="2">
        <x:v>106</x:v>
      </x:c>
      <x:c r="AN556" s="2">
        <x:v>106</x:v>
      </x:c>
    </x:row>
    <x:row r="557" ht="52">
      <x:c r="A557" s="2" t="s">
        <x:v>6</x:v>
      </x:c>
      <x:c r="B557" s="2" t="s">
        <x:v>16</x:v>
      </x:c>
      <x:c r="C557" s="3">
        <x:v>105</x:v>
      </x:c>
      <x:c r="D557" s="2" t="s">
        <x:v>1607</x:v>
      </x:c>
      <x:c r="E557" s="2" t="s">
        <x:v>1721</x:v>
      </x:c>
      <x:c r="F557" s="2" t="s">
        <x:v>1608</x:v>
      </x:c>
      <x:c r="G557" s="2"/>
      <x:c r="H557" s="2" t="s">
        <x:v>618</x:v>
      </x:c>
      <x:c r="I557" s="2" t="s">
        <x:v>1806</x:v>
      </x:c>
      <x:c r="J557" s="2" t="s">
        <x:v>1668</x:v>
      </x:c>
      <x:c r="K557" s="2"/>
      <x:c r="L557" s="2" t="s">
        <x:v>1621</x:v>
      </x:c>
      <x:c r="M557" s="2"/>
      <x:c r="N557" s="2"/>
      <x:c r="O557" s="2" t="s">
        <x:v>1600</x:v>
      </x:c>
      <x:c r="P557" s="2" t="s">
        <x:v>1807</x:v>
      </x:c>
      <x:c r="Q557" s="2"/>
      <x:c r="R557" s="3">
        <x:v>4</x:v>
      </x:c>
      <x:c r="S557" s="3"/>
      <x:c r="T557" s="2"/>
      <x:c r="U557" s="2"/>
      <x:c r="V557" s="2"/>
      <x:c r="W557" s="2"/>
      <x:c r="X557" s="3"/>
      <x:c r="Y557" s="3"/>
      <x:c r="Z557" s="2"/>
      <x:c r="AA557" s="2"/>
      <x:c r="AB557" s="2"/>
      <x:c r="AC557" s="2" t="s">
        <x:v>316</x:v>
      </x:c>
      <x:c r="AD557" s="2" t="s">
        <x:v>368</x:v>
      </x:c>
      <x:c r="AE557" s="2" t="s">
        <x:v>317</x:v>
      </x:c>
      <x:c r="AF557" s="2" t="s">
        <x:v>319</x:v>
      </x:c>
      <x:c r="AG557" s="2"/>
      <x:c r="AH557" s="2"/>
      <x:c r="AI557" s="4"/>
      <x:c r="AJ557" s="2"/>
      <x:c r="AK557" s="2" t="s">
        <x:v>320</x:v>
      </x:c>
      <x:c r="AL557" s="2" t="s">
        <x:v>2857</x:v>
      </x:c>
      <x:c r="AM557" s="2">
        <x:v>107</x:v>
      </x:c>
      <x:c r="AN557" s="2">
        <x:v>107</x:v>
      </x:c>
    </x:row>
    <x:row r="558" ht="52">
      <x:c r="A558" s="2" t="s">
        <x:v>6</x:v>
      </x:c>
      <x:c r="B558" s="2" t="s">
        <x:v>16</x:v>
      </x:c>
      <x:c r="C558" s="3">
        <x:v>106</x:v>
      </x:c>
      <x:c r="D558" s="2" t="s">
        <x:v>1602</x:v>
      </x:c>
      <x:c r="E558" s="2" t="s">
        <x:v>1758</x:v>
      </x:c>
      <x:c r="F558" s="2" t="s">
        <x:v>1603</x:v>
      </x:c>
      <x:c r="G558" s="2"/>
      <x:c r="H558" s="2" t="s">
        <x:v>618</x:v>
      </x:c>
      <x:c r="I558" s="2" t="s">
        <x:v>1808</x:v>
      </x:c>
      <x:c r="J558" s="2" t="s">
        <x:v>1668</x:v>
      </x:c>
      <x:c r="K558" s="2"/>
      <x:c r="L558" s="2" t="s">
        <x:v>1619</x:v>
      </x:c>
      <x:c r="M558" s="2"/>
      <x:c r="N558" s="2"/>
      <x:c r="O558" s="2" t="s">
        <x:v>1600</x:v>
      </x:c>
      <x:c r="P558" s="2" t="s">
        <x:v>1809</x:v>
      </x:c>
      <x:c r="Q558" s="2"/>
      <x:c r="R558" s="3">
        <x:v>4</x:v>
      </x:c>
      <x:c r="S558" s="3"/>
      <x:c r="T558" s="2"/>
      <x:c r="U558" s="2"/>
      <x:c r="V558" s="2"/>
      <x:c r="W558" s="2"/>
      <x:c r="X558" s="3"/>
      <x:c r="Y558" s="3"/>
      <x:c r="Z558" s="2"/>
      <x:c r="AA558" s="2"/>
      <x:c r="AB558" s="2"/>
      <x:c r="AC558" s="2" t="s">
        <x:v>326</x:v>
      </x:c>
      <x:c r="AD558" s="2" t="s">
        <x:v>317</x:v>
      </x:c>
      <x:c r="AE558" s="2" t="s">
        <x:v>368</x:v>
      </x:c>
      <x:c r="AF558" s="2" t="s">
        <x:v>319</x:v>
      </x:c>
      <x:c r="AG558" s="2"/>
      <x:c r="AH558" s="2"/>
      <x:c r="AI558" s="4"/>
      <x:c r="AJ558" s="2"/>
      <x:c r="AK558" s="2" t="s">
        <x:v>320</x:v>
      </x:c>
      <x:c r="AL558" s="2" t="s">
        <x:v>2857</x:v>
      </x:c>
      <x:c r="AM558" s="2">
        <x:v>108</x:v>
      </x:c>
      <x:c r="AN558" s="2">
        <x:v>108</x:v>
      </x:c>
    </x:row>
    <x:row r="559" ht="52">
      <x:c r="A559" s="2" t="s">
        <x:v>91</x:v>
      </x:c>
      <x:c r="B559" s="2" t="s">
        <x:v>16</x:v>
      </x:c>
      <x:c r="C559" s="3">
        <x:v>107</x:v>
      </x:c>
      <x:c r="D559" s="2" t="s">
        <x:v>1611</x:v>
      </x:c>
      <x:c r="E559" s="2" t="s">
        <x:v>1762</x:v>
      </x:c>
      <x:c r="F559" s="2" t="s">
        <x:v>1612</x:v>
      </x:c>
      <x:c r="G559" s="2" t="s">
        <x:v>2854</x:v>
      </x:c>
      <x:c r="H559" s="2" t="s">
        <x:v>618</x:v>
      </x:c>
      <x:c r="I559" s="2" t="s">
        <x:v>1810</x:v>
      </x:c>
      <x:c r="J559" s="2" t="s">
        <x:v>1668</x:v>
      </x:c>
      <x:c r="K559" s="2"/>
      <x:c r="L559" s="2" t="s">
        <x:v>1634</x:v>
      </x:c>
      <x:c r="M559" s="2"/>
      <x:c r="N559" s="2"/>
      <x:c r="O559" s="2" t="s">
        <x:v>1600</x:v>
      </x:c>
      <x:c r="P559" s="2" t="s">
        <x:v>1811</x:v>
      </x:c>
      <x:c r="Q559" s="2"/>
      <x:c r="R559" s="3">
        <x:v>3</x:v>
      </x:c>
      <x:c r="S559" s="3"/>
      <x:c r="T559" s="2"/>
      <x:c r="U559" s="2"/>
      <x:c r="V559" s="2"/>
      <x:c r="W559" s="2"/>
      <x:c r="X559" s="3"/>
      <x:c r="Y559" s="3"/>
      <x:c r="Z559" s="2"/>
      <x:c r="AA559" s="2"/>
      <x:c r="AB559" s="2"/>
      <x:c r="AC559" s="2" t="s">
        <x:v>326</x:v>
      </x:c>
      <x:c r="AD559" s="2" t="s">
        <x:v>368</x:v>
      </x:c>
      <x:c r="AE559" s="2" t="s">
        <x:v>317</x:v>
      </x:c>
      <x:c r="AF559" s="2" t="s">
        <x:v>319</x:v>
      </x:c>
      <x:c r="AG559" s="2"/>
      <x:c r="AH559" s="2"/>
      <x:c r="AI559" s="4"/>
      <x:c r="AJ559" s="2"/>
      <x:c r="AK559" s="2" t="s">
        <x:v>320</x:v>
      </x:c>
      <x:c r="AL559" s="2" t="s">
        <x:v>2857</x:v>
      </x:c>
      <x:c r="AM559" s="2">
        <x:v>109</x:v>
      </x:c>
      <x:c r="AN559" s="2">
        <x:v>109</x:v>
      </x:c>
    </x:row>
    <x:row r="560" ht="52">
      <x:c r="A560" s="2" t="s">
        <x:v>91</x:v>
      </x:c>
      <x:c r="B560" s="2" t="s">
        <x:v>16</x:v>
      </x:c>
      <x:c r="C560" s="3">
        <x:v>108</x:v>
      </x:c>
      <x:c r="D560" s="2" t="s">
        <x:v>1636</x:v>
      </x:c>
      <x:c r="E560" s="2" t="s">
        <x:v>1594</x:v>
      </x:c>
      <x:c r="F560" s="2" t="s">
        <x:v>1637</x:v>
      </x:c>
      <x:c r="G560" s="2" t="s">
        <x:v>2969</x:v>
      </x:c>
      <x:c r="H560" s="2" t="s">
        <x:v>618</x:v>
      </x:c>
      <x:c r="I560" s="2" t="s">
        <x:v>1812</x:v>
      </x:c>
      <x:c r="J560" s="2" t="s">
        <x:v>1668</x:v>
      </x:c>
      <x:c r="K560" s="2"/>
      <x:c r="L560" s="2" t="s">
        <x:v>1656</x:v>
      </x:c>
      <x:c r="M560" s="2"/>
      <x:c r="N560" s="2"/>
      <x:c r="O560" s="2" t="s">
        <x:v>1600</x:v>
      </x:c>
      <x:c r="P560" s="2" t="s">
        <x:v>1813</x:v>
      </x:c>
      <x:c r="Q560" s="2"/>
      <x:c r="R560" s="3">
        <x:v>3</x:v>
      </x:c>
      <x:c r="S560" s="3"/>
      <x:c r="T560" s="2"/>
      <x:c r="U560" s="2"/>
      <x:c r="V560" s="2"/>
      <x:c r="W560" s="2"/>
      <x:c r="X560" s="3"/>
      <x:c r="Y560" s="3"/>
      <x:c r="Z560" s="2"/>
      <x:c r="AA560" s="2"/>
      <x:c r="AB560" s="2"/>
      <x:c r="AC560" s="2" t="s">
        <x:v>367</x:v>
      </x:c>
      <x:c r="AD560" s="2" t="s">
        <x:v>317</x:v>
      </x:c>
      <x:c r="AE560" s="2" t="s">
        <x:v>368</x:v>
      </x:c>
      <x:c r="AF560" s="2" t="s">
        <x:v>319</x:v>
      </x:c>
      <x:c r="AG560" s="2"/>
      <x:c r="AH560" s="2"/>
      <x:c r="AI560" s="4"/>
      <x:c r="AJ560" s="2"/>
      <x:c r="AK560" s="2" t="s">
        <x:v>320</x:v>
      </x:c>
      <x:c r="AL560" s="2" t="s">
        <x:v>2857</x:v>
      </x:c>
      <x:c r="AM560" s="2">
        <x:v>110</x:v>
      </x:c>
      <x:c r="AN560" s="2">
        <x:v>110</x:v>
      </x:c>
    </x:row>
    <x:row r="561" ht="52">
      <x:c r="A561" s="2" t="s">
        <x:v>91</x:v>
      </x:c>
      <x:c r="B561" s="2" t="s">
        <x:v>16</x:v>
      </x:c>
      <x:c r="C561" s="3">
        <x:v>109</x:v>
      </x:c>
      <x:c r="D561" s="2" t="s">
        <x:v>1651</x:v>
      </x:c>
      <x:c r="E561" s="2" t="s">
        <x:v>1721</x:v>
      </x:c>
      <x:c r="F561" s="2" t="s">
        <x:v>1652</x:v>
      </x:c>
      <x:c r="G561" s="2" t="s">
        <x:v>1686</x:v>
      </x:c>
      <x:c r="H561" s="2" t="s">
        <x:v>618</x:v>
      </x:c>
      <x:c r="I561" s="2" t="s">
        <x:v>1815</x:v>
      </x:c>
      <x:c r="J561" s="2" t="s">
        <x:v>1668</x:v>
      </x:c>
      <x:c r="K561" s="2"/>
      <x:c r="L561" s="2" t="s">
        <x:v>1653</x:v>
      </x:c>
      <x:c r="M561" s="2"/>
      <x:c r="N561" s="2"/>
      <x:c r="O561" s="2" t="s">
        <x:v>1600</x:v>
      </x:c>
      <x:c r="P561" s="2" t="s">
        <x:v>1753</x:v>
      </x:c>
      <x:c r="Q561" s="2"/>
      <x:c r="R561" s="3">
        <x:v>4</x:v>
      </x:c>
      <x:c r="S561" s="3"/>
      <x:c r="T561" s="2"/>
      <x:c r="U561" s="2"/>
      <x:c r="V561" s="2"/>
      <x:c r="W561" s="2"/>
      <x:c r="X561" s="3"/>
      <x:c r="Y561" s="3"/>
      <x:c r="Z561" s="2"/>
      <x:c r="AA561" s="2"/>
      <x:c r="AB561" s="2"/>
      <x:c r="AC561" s="2" t="s">
        <x:v>374</x:v>
      </x:c>
      <x:c r="AD561" s="2" t="s">
        <x:v>368</x:v>
      </x:c>
      <x:c r="AE561" s="2" t="s">
        <x:v>317</x:v>
      </x:c>
      <x:c r="AF561" s="2" t="s">
        <x:v>319</x:v>
      </x:c>
      <x:c r="AG561" s="2"/>
      <x:c r="AH561" s="2"/>
      <x:c r="AI561" s="4"/>
      <x:c r="AJ561" s="2"/>
      <x:c r="AK561" s="2" t="s">
        <x:v>320</x:v>
      </x:c>
      <x:c r="AL561" s="2" t="s">
        <x:v>2857</x:v>
      </x:c>
      <x:c r="AM561" s="2">
        <x:v>111</x:v>
      </x:c>
      <x:c r="AN561" s="2">
        <x:v>111</x:v>
      </x:c>
    </x:row>
    <x:row r="562" ht="39">
      <x:c r="A562" s="2" t="s">
        <x:v>6</x:v>
      </x:c>
      <x:c r="B562" s="2" t="s">
        <x:v>16</x:v>
      </x:c>
      <x:c r="C562" s="3">
        <x:v>110</x:v>
      </x:c>
      <x:c r="D562" s="2" t="s">
        <x:v>1816</x:v>
      </x:c>
      <x:c r="E562" s="2" t="s">
        <x:v>1817</x:v>
      </x:c>
      <x:c r="F562" s="2" t="s">
        <x:v>1818</x:v>
      </x:c>
      <x:c r="G562" s="2"/>
      <x:c r="H562" s="2" t="s">
        <x:v>1819</x:v>
      </x:c>
      <x:c r="I562" s="2" t="s">
        <x:v>1820</x:v>
      </x:c>
      <x:c r="J562" s="2" t="s">
        <x:v>1821</x:v>
      </x:c>
      <x:c r="K562" s="2"/>
      <x:c r="L562" s="2" t="s">
        <x:v>1822</x:v>
      </x:c>
      <x:c r="M562" s="2"/>
      <x:c r="N562" s="2"/>
      <x:c r="O562" s="2" t="s">
        <x:v>1600</x:v>
      </x:c>
      <x:c r="P562" s="2" t="s">
        <x:v>1823</x:v>
      </x:c>
      <x:c r="Q562" s="2"/>
      <x:c r="R562" s="3">
        <x:v>3</x:v>
      </x:c>
      <x:c r="S562" s="3"/>
      <x:c r="T562" s="2"/>
      <x:c r="U562" s="2"/>
      <x:c r="V562" s="2"/>
      <x:c r="W562" s="2"/>
      <x:c r="X562" s="3"/>
      <x:c r="Y562" s="3"/>
      <x:c r="Z562" s="2"/>
      <x:c r="AA562" s="2"/>
      <x:c r="AB562" s="2"/>
      <x:c r="AC562" s="2" t="s">
        <x:v>316</x:v>
      </x:c>
      <x:c r="AD562" s="2" t="s">
        <x:v>480</x:v>
      </x:c>
      <x:c r="AE562" s="2" t="s">
        <x:v>318</x:v>
      </x:c>
      <x:c r="AF562" s="2" t="s">
        <x:v>1824</x:v>
      </x:c>
      <x:c r="AG562" s="2"/>
      <x:c r="AH562" s="2"/>
      <x:c r="AI562" s="4"/>
      <x:c r="AJ562" s="2"/>
      <x:c r="AK562" s="2" t="s">
        <x:v>320</x:v>
      </x:c>
      <x:c r="AL562" s="2" t="s">
        <x:v>2857</x:v>
      </x:c>
      <x:c r="AM562" s="2">
        <x:v>112</x:v>
      </x:c>
      <x:c r="AN562" s="2">
        <x:v>112</x:v>
      </x:c>
    </x:row>
    <x:row r="563" ht="39">
      <x:c r="A563" s="2" t="s">
        <x:v>91</x:v>
      </x:c>
      <x:c r="B563" s="2" t="s">
        <x:v>16</x:v>
      </x:c>
      <x:c r="C563" s="3">
        <x:v>111</x:v>
      </x:c>
      <x:c r="D563" s="2" t="s">
        <x:v>1825</x:v>
      </x:c>
      <x:c r="E563" s="2" t="s">
        <x:v>1817</x:v>
      </x:c>
      <x:c r="F563" s="2" t="s">
        <x:v>1826</x:v>
      </x:c>
      <x:c r="G563" s="2" t="s">
        <x:v>2970</x:v>
      </x:c>
      <x:c r="H563" s="2" t="s">
        <x:v>1819</x:v>
      </x:c>
      <x:c r="I563" s="2" t="s">
        <x:v>1820</x:v>
      </x:c>
      <x:c r="J563" s="2" t="s">
        <x:v>1821</x:v>
      </x:c>
      <x:c r="K563" s="2" t="n">
        <x:v>110</x:v>
      </x:c>
      <x:c r="L563" s="2" t="s">
        <x:v>1828</x:v>
      </x:c>
      <x:c r="M563" s="2"/>
      <x:c r="N563" s="2"/>
      <x:c r="O563" s="2" t="s">
        <x:v>1829</x:v>
      </x:c>
      <x:c r="P563" s="2" t="s">
        <x:v>1823</x:v>
      </x:c>
      <x:c r="Q563" s="2"/>
      <x:c r="R563" s="3">
        <x:v>3</x:v>
      </x:c>
      <x:c r="S563" s="3"/>
      <x:c r="T563" s="2"/>
      <x:c r="U563" s="2"/>
      <x:c r="V563" s="2"/>
      <x:c r="W563" s="2"/>
      <x:c r="X563" s="3"/>
      <x:c r="Y563" s="3"/>
      <x:c r="Z563" s="2"/>
      <x:c r="AA563" s="2"/>
      <x:c r="AB563" s="2"/>
      <x:c r="AC563" s="2" t="s">
        <x:v>326</x:v>
      </x:c>
      <x:c r="AD563" s="2" t="s">
        <x:v>480</x:v>
      </x:c>
      <x:c r="AE563" s="2" t="s">
        <x:v>318</x:v>
      </x:c>
      <x:c r="AF563" s="2" t="s">
        <x:v>1824</x:v>
      </x:c>
      <x:c r="AG563" s="2"/>
      <x:c r="AH563" s="2"/>
      <x:c r="AI563" s="4"/>
      <x:c r="AJ563" s="2"/>
      <x:c r="AK563" s="2" t="s">
        <x:v>320</x:v>
      </x:c>
      <x:c r="AL563" s="2" t="s">
        <x:v>2857</x:v>
      </x:c>
      <x:c r="AM563" s="2">
        <x:v>113</x:v>
      </x:c>
      <x:c r="AN563" s="2">
        <x:v>113</x:v>
      </x:c>
    </x:row>
    <x:row r="564" ht="52">
      <x:c r="A564" s="2" t="s">
        <x:v>6</x:v>
      </x:c>
      <x:c r="B564" s="2" t="s">
        <x:v>16</x:v>
      </x:c>
      <x:c r="C564" s="3">
        <x:v>112</x:v>
      </x:c>
      <x:c r="D564" s="2" t="s">
        <x:v>1830</x:v>
      </x:c>
      <x:c r="E564" s="2" t="s">
        <x:v>1817</x:v>
      </x:c>
      <x:c r="F564" s="2" t="s">
        <x:v>1831</x:v>
      </x:c>
      <x:c r="G564" s="2"/>
      <x:c r="H564" s="2" t="s">
        <x:v>1819</x:v>
      </x:c>
      <x:c r="I564" s="2" t="s">
        <x:v>1820</x:v>
      </x:c>
      <x:c r="J564" s="2" t="s">
        <x:v>1821</x:v>
      </x:c>
      <x:c r="K564" s="2" t="n">
        <x:v>110</x:v>
      </x:c>
      <x:c r="L564" s="2" t="s">
        <x:v>1833</x:v>
      </x:c>
      <x:c r="M564" s="2"/>
      <x:c r="N564" s="2"/>
      <x:c r="O564" s="2" t="s">
        <x:v>1829</x:v>
      </x:c>
      <x:c r="P564" s="2" t="s">
        <x:v>1834</x:v>
      </x:c>
      <x:c r="Q564" s="2"/>
      <x:c r="R564" s="3">
        <x:v>3</x:v>
      </x:c>
      <x:c r="S564" s="3"/>
      <x:c r="T564" s="2"/>
      <x:c r="U564" s="2"/>
      <x:c r="V564" s="2"/>
      <x:c r="W564" s="2"/>
      <x:c r="X564" s="3"/>
      <x:c r="Y564" s="3"/>
      <x:c r="Z564" s="2"/>
      <x:c r="AA564" s="2"/>
      <x:c r="AB564" s="2"/>
      <x:c r="AC564" s="2" t="s">
        <x:v>316</x:v>
      </x:c>
      <x:c r="AD564" s="2" t="s">
        <x:v>318</x:v>
      </x:c>
      <x:c r="AE564" s="2" t="s">
        <x:v>480</x:v>
      </x:c>
      <x:c r="AF564" s="2" t="s">
        <x:v>1835</x:v>
      </x:c>
      <x:c r="AG564" s="2"/>
      <x:c r="AH564" s="2"/>
      <x:c r="AI564" s="4"/>
      <x:c r="AJ564" s="2"/>
      <x:c r="AK564" s="2" t="s">
        <x:v>320</x:v>
      </x:c>
      <x:c r="AL564" s="2" t="s">
        <x:v>2857</x:v>
      </x:c>
      <x:c r="AM564" s="2">
        <x:v>114</x:v>
      </x:c>
      <x:c r="AN564" s="2">
        <x:v>114</x:v>
      </x:c>
    </x:row>
    <x:row r="565" ht="52">
      <x:c r="A565" s="2" t="s">
        <x:v>91</x:v>
      </x:c>
      <x:c r="B565" s="2" t="s">
        <x:v>16</x:v>
      </x:c>
      <x:c r="C565" s="3">
        <x:v>113</x:v>
      </x:c>
      <x:c r="D565" s="2" t="s">
        <x:v>1836</x:v>
      </x:c>
      <x:c r="E565" s="2" t="s">
        <x:v>1817</x:v>
      </x:c>
      <x:c r="F565" s="2" t="s">
        <x:v>1837</x:v>
      </x:c>
      <x:c r="G565" s="2" t="s">
        <x:v>2971</x:v>
      </x:c>
      <x:c r="H565" s="2" t="s">
        <x:v>1819</x:v>
      </x:c>
      <x:c r="I565" s="2" t="s">
        <x:v>1820</x:v>
      </x:c>
      <x:c r="J565" s="2" t="s">
        <x:v>1821</x:v>
      </x:c>
      <x:c r="K565" s="2" t="n">
        <x:v>110</x:v>
      </x:c>
      <x:c r="L565" s="2" t="s">
        <x:v>1839</x:v>
      </x:c>
      <x:c r="M565" s="2"/>
      <x:c r="N565" s="2"/>
      <x:c r="O565" s="2" t="s">
        <x:v>1829</x:v>
      </x:c>
      <x:c r="P565" s="2" t="s">
        <x:v>1834</x:v>
      </x:c>
      <x:c r="Q565" s="2"/>
      <x:c r="R565" s="3">
        <x:v>3</x:v>
      </x:c>
      <x:c r="S565" s="3"/>
      <x:c r="T565" s="2"/>
      <x:c r="U565" s="2"/>
      <x:c r="V565" s="2"/>
      <x:c r="W565" s="2"/>
      <x:c r="X565" s="3"/>
      <x:c r="Y565" s="3"/>
      <x:c r="Z565" s="2"/>
      <x:c r="AA565" s="2"/>
      <x:c r="AB565" s="2"/>
      <x:c r="AC565" s="2" t="s">
        <x:v>326</x:v>
      </x:c>
      <x:c r="AD565" s="2" t="s">
        <x:v>318</x:v>
      </x:c>
      <x:c r="AE565" s="2" t="s">
        <x:v>480</x:v>
      </x:c>
      <x:c r="AF565" s="2" t="s">
        <x:v>1835</x:v>
      </x:c>
      <x:c r="AG565" s="2"/>
      <x:c r="AH565" s="2"/>
      <x:c r="AI565" s="4"/>
      <x:c r="AJ565" s="2"/>
      <x:c r="AK565" s="2" t="s">
        <x:v>320</x:v>
      </x:c>
      <x:c r="AL565" s="2" t="s">
        <x:v>2857</x:v>
      </x:c>
      <x:c r="AM565" s="2">
        <x:v>115</x:v>
      </x:c>
      <x:c r="AN565" s="2">
        <x:v>115</x:v>
      </x:c>
    </x:row>
    <x:row r="566" ht="39">
      <x:c r="A566" s="2" t="s">
        <x:v>6</x:v>
      </x:c>
      <x:c r="B566" s="2" t="s">
        <x:v>16</x:v>
      </x:c>
      <x:c r="C566" s="3">
        <x:v>114</x:v>
      </x:c>
      <x:c r="D566" s="2" t="s">
        <x:v>1840</x:v>
      </x:c>
      <x:c r="E566" s="2" t="s">
        <x:v>1841</x:v>
      </x:c>
      <x:c r="F566" s="2" t="s">
        <x:v>1842</x:v>
      </x:c>
      <x:c r="G566" s="2"/>
      <x:c r="H566" s="2" t="s">
        <x:v>1819</x:v>
      </x:c>
      <x:c r="I566" s="2" t="s">
        <x:v>1843</x:v>
      </x:c>
      <x:c r="J566" s="2" t="s">
        <x:v>1821</x:v>
      </x:c>
      <x:c r="K566" s="2"/>
      <x:c r="L566" s="2" t="s">
        <x:v>1844</x:v>
      </x:c>
      <x:c r="M566" s="2"/>
      <x:c r="N566" s="2"/>
      <x:c r="O566" s="2" t="s">
        <x:v>1600</x:v>
      </x:c>
      <x:c r="P566" s="2" t="s">
        <x:v>1823</x:v>
      </x:c>
      <x:c r="Q566" s="2"/>
      <x:c r="R566" s="3">
        <x:v>4</x:v>
      </x:c>
      <x:c r="S566" s="3"/>
      <x:c r="T566" s="2"/>
      <x:c r="U566" s="2"/>
      <x:c r="V566" s="2"/>
      <x:c r="W566" s="2"/>
      <x:c r="X566" s="3"/>
      <x:c r="Y566" s="3"/>
      <x:c r="Z566" s="2"/>
      <x:c r="AA566" s="2"/>
      <x:c r="AB566" s="2"/>
      <x:c r="AC566" s="2" t="s">
        <x:v>316</x:v>
      </x:c>
      <x:c r="AD566" s="2" t="s">
        <x:v>480</x:v>
      </x:c>
      <x:c r="AE566" s="2" t="s">
        <x:v>344</x:v>
      </x:c>
      <x:c r="AF566" s="2" t="s">
        <x:v>1824</x:v>
      </x:c>
      <x:c r="AG566" s="2"/>
      <x:c r="AH566" s="2"/>
      <x:c r="AI566" s="4"/>
      <x:c r="AJ566" s="2"/>
      <x:c r="AK566" s="2" t="s">
        <x:v>320</x:v>
      </x:c>
      <x:c r="AL566" s="2" t="s">
        <x:v>2857</x:v>
      </x:c>
      <x:c r="AM566" s="2">
        <x:v>116</x:v>
      </x:c>
      <x:c r="AN566" s="2">
        <x:v>116</x:v>
      </x:c>
    </x:row>
    <x:row r="567" ht="39">
      <x:c r="A567" s="2" t="s">
        <x:v>91</x:v>
      </x:c>
      <x:c r="B567" s="2" t="s">
        <x:v>16</x:v>
      </x:c>
      <x:c r="C567" s="3">
        <x:v>115</x:v>
      </x:c>
      <x:c r="D567" s="2" t="s">
        <x:v>1845</x:v>
      </x:c>
      <x:c r="E567" s="2" t="s">
        <x:v>1841</x:v>
      </x:c>
      <x:c r="F567" s="2" t="s">
        <x:v>1846</x:v>
      </x:c>
      <x:c r="G567" s="2" t="s">
        <x:v>2972</x:v>
      </x:c>
      <x:c r="H567" s="2" t="s">
        <x:v>1819</x:v>
      </x:c>
      <x:c r="I567" s="2" t="s">
        <x:v>1843</x:v>
      </x:c>
      <x:c r="J567" s="2" t="s">
        <x:v>1821</x:v>
      </x:c>
      <x:c r="K567" s="2" t="n">
        <x:v>114</x:v>
      </x:c>
      <x:c r="L567" s="2" t="s">
        <x:v>1847</x:v>
      </x:c>
      <x:c r="M567" s="2"/>
      <x:c r="N567" s="2"/>
      <x:c r="O567" s="2" t="s">
        <x:v>1829</x:v>
      </x:c>
      <x:c r="P567" s="2" t="s">
        <x:v>1823</x:v>
      </x:c>
      <x:c r="Q567" s="2"/>
      <x:c r="R567" s="3">
        <x:v>4</x:v>
      </x:c>
      <x:c r="S567" s="3"/>
      <x:c r="T567" s="2"/>
      <x:c r="U567" s="2"/>
      <x:c r="V567" s="2"/>
      <x:c r="W567" s="2"/>
      <x:c r="X567" s="3"/>
      <x:c r="Y567" s="3"/>
      <x:c r="Z567" s="2"/>
      <x:c r="AA567" s="2"/>
      <x:c r="AB567" s="2"/>
      <x:c r="AC567" s="2" t="s">
        <x:v>326</x:v>
      </x:c>
      <x:c r="AD567" s="2" t="s">
        <x:v>480</x:v>
      </x:c>
      <x:c r="AE567" s="2" t="s">
        <x:v>344</x:v>
      </x:c>
      <x:c r="AF567" s="2" t="s">
        <x:v>1824</x:v>
      </x:c>
      <x:c r="AG567" s="2"/>
      <x:c r="AH567" s="2"/>
      <x:c r="AI567" s="4"/>
      <x:c r="AJ567" s="2"/>
      <x:c r="AK567" s="2" t="s">
        <x:v>320</x:v>
      </x:c>
      <x:c r="AL567" s="2" t="s">
        <x:v>2857</x:v>
      </x:c>
      <x:c r="AM567" s="2">
        <x:v>117</x:v>
      </x:c>
      <x:c r="AN567" s="2">
        <x:v>117</x:v>
      </x:c>
    </x:row>
    <x:row r="568" ht="52">
      <x:c r="A568" s="2" t="s">
        <x:v>91</x:v>
      </x:c>
      <x:c r="B568" s="2" t="s">
        <x:v>16</x:v>
      </x:c>
      <x:c r="C568" s="3">
        <x:v>116</x:v>
      </x:c>
      <x:c r="D568" s="2" t="s">
        <x:v>1848</x:v>
      </x:c>
      <x:c r="E568" s="2" t="s">
        <x:v>1841</x:v>
      </x:c>
      <x:c r="F568" s="2" t="s">
        <x:v>1849</x:v>
      </x:c>
      <x:c r="G568" s="2" t="s">
        <x:v>2973</x:v>
      </x:c>
      <x:c r="H568" s="2" t="s">
        <x:v>1819</x:v>
      </x:c>
      <x:c r="I568" s="2" t="s">
        <x:v>1843</x:v>
      </x:c>
      <x:c r="J568" s="2" t="s">
        <x:v>1821</x:v>
      </x:c>
      <x:c r="K568" s="2" t="n">
        <x:v>114</x:v>
      </x:c>
      <x:c r="L568" s="2" t="s">
        <x:v>1850</x:v>
      </x:c>
      <x:c r="M568" s="2"/>
      <x:c r="N568" s="2"/>
      <x:c r="O568" s="2" t="s">
        <x:v>1829</x:v>
      </x:c>
      <x:c r="P568" s="2" t="s">
        <x:v>1834</x:v>
      </x:c>
      <x:c r="Q568" s="2"/>
      <x:c r="R568" s="3">
        <x:v>4</x:v>
      </x:c>
      <x:c r="S568" s="3"/>
      <x:c r="T568" s="2"/>
      <x:c r="U568" s="2"/>
      <x:c r="V568" s="2"/>
      <x:c r="W568" s="2"/>
      <x:c r="X568" s="3"/>
      <x:c r="Y568" s="3"/>
      <x:c r="Z568" s="2"/>
      <x:c r="AA568" s="2"/>
      <x:c r="AB568" s="2"/>
      <x:c r="AC568" s="2" t="s">
        <x:v>316</x:v>
      </x:c>
      <x:c r="AD568" s="2" t="s">
        <x:v>344</x:v>
      </x:c>
      <x:c r="AE568" s="2" t="s">
        <x:v>480</x:v>
      </x:c>
      <x:c r="AF568" s="2" t="s">
        <x:v>1835</x:v>
      </x:c>
      <x:c r="AG568" s="2"/>
      <x:c r="AH568" s="2"/>
      <x:c r="AI568" s="4"/>
      <x:c r="AJ568" s="2"/>
      <x:c r="AK568" s="2" t="s">
        <x:v>320</x:v>
      </x:c>
      <x:c r="AL568" s="2" t="s">
        <x:v>2857</x:v>
      </x:c>
      <x:c r="AM568" s="2">
        <x:v>118</x:v>
      </x:c>
      <x:c r="AN568" s="2">
        <x:v>118</x:v>
      </x:c>
    </x:row>
    <x:row r="569" ht="52">
      <x:c r="A569" s="2" t="s">
        <x:v>91</x:v>
      </x:c>
      <x:c r="B569" s="2" t="s">
        <x:v>16</x:v>
      </x:c>
      <x:c r="C569" s="3">
        <x:v>117</x:v>
      </x:c>
      <x:c r="D569" s="2" t="s">
        <x:v>1851</x:v>
      </x:c>
      <x:c r="E569" s="2" t="s">
        <x:v>1841</x:v>
      </x:c>
      <x:c r="F569" s="2" t="s">
        <x:v>1852</x:v>
      </x:c>
      <x:c r="G569" s="2" t="s">
        <x:v>2974</x:v>
      </x:c>
      <x:c r="H569" s="2" t="s">
        <x:v>1819</x:v>
      </x:c>
      <x:c r="I569" s="2" t="s">
        <x:v>1843</x:v>
      </x:c>
      <x:c r="J569" s="2" t="s">
        <x:v>1821</x:v>
      </x:c>
      <x:c r="K569" s="2" t="n">
        <x:v>114</x:v>
      </x:c>
      <x:c r="L569" s="2" t="s">
        <x:v>1854</x:v>
      </x:c>
      <x:c r="M569" s="2"/>
      <x:c r="N569" s="2"/>
      <x:c r="O569" s="2" t="s">
        <x:v>1829</x:v>
      </x:c>
      <x:c r="P569" s="2" t="s">
        <x:v>1834</x:v>
      </x:c>
      <x:c r="Q569" s="2"/>
      <x:c r="R569" s="3">
        <x:v>4</x:v>
      </x:c>
      <x:c r="S569" s="3"/>
      <x:c r="T569" s="2"/>
      <x:c r="U569" s="2"/>
      <x:c r="V569" s="2"/>
      <x:c r="W569" s="2"/>
      <x:c r="X569" s="3"/>
      <x:c r="Y569" s="3"/>
      <x:c r="Z569" s="2"/>
      <x:c r="AA569" s="2"/>
      <x:c r="AB569" s="2"/>
      <x:c r="AC569" s="2" t="s">
        <x:v>326</x:v>
      </x:c>
      <x:c r="AD569" s="2" t="s">
        <x:v>344</x:v>
      </x:c>
      <x:c r="AE569" s="2" t="s">
        <x:v>480</x:v>
      </x:c>
      <x:c r="AF569" s="2" t="s">
        <x:v>1835</x:v>
      </x:c>
      <x:c r="AG569" s="2"/>
      <x:c r="AH569" s="2"/>
      <x:c r="AI569" s="4"/>
      <x:c r="AJ569" s="2"/>
      <x:c r="AK569" s="2" t="s">
        <x:v>320</x:v>
      </x:c>
      <x:c r="AL569" s="2" t="s">
        <x:v>2857</x:v>
      </x:c>
      <x:c r="AM569" s="2">
        <x:v>119</x:v>
      </x:c>
      <x:c r="AN569" s="2">
        <x:v>119</x:v>
      </x:c>
    </x:row>
    <x:row r="570" ht="39">
      <x:c r="A570" s="2" t="s">
        <x:v>6</x:v>
      </x:c>
      <x:c r="B570" s="2" t="s">
        <x:v>16</x:v>
      </x:c>
      <x:c r="C570" s="3">
        <x:v>118</x:v>
      </x:c>
      <x:c r="D570" s="2" t="s">
        <x:v>1855</x:v>
      </x:c>
      <x:c r="E570" s="2" t="s">
        <x:v>1856</x:v>
      </x:c>
      <x:c r="F570" s="2" t="s">
        <x:v>1857</x:v>
      </x:c>
      <x:c r="G570" s="2"/>
      <x:c r="H570" s="2" t="s">
        <x:v>1819</x:v>
      </x:c>
      <x:c r="I570" s="2" t="s">
        <x:v>1858</x:v>
      </x:c>
      <x:c r="J570" s="2" t="s">
        <x:v>1859</x:v>
      </x:c>
      <x:c r="K570" s="2"/>
      <x:c r="L570" s="2" t="s">
        <x:v>1860</x:v>
      </x:c>
      <x:c r="M570" s="2"/>
      <x:c r="N570" s="2"/>
      <x:c r="O570" s="2" t="s">
        <x:v>1600</x:v>
      </x:c>
      <x:c r="P570" s="2" t="s">
        <x:v>1823</x:v>
      </x:c>
      <x:c r="Q570" s="2"/>
      <x:c r="R570" s="3">
        <x:v>3</x:v>
      </x:c>
      <x:c r="S570" s="3"/>
      <x:c r="T570" s="2"/>
      <x:c r="U570" s="2"/>
      <x:c r="V570" s="2"/>
      <x:c r="W570" s="2"/>
      <x:c r="X570" s="3"/>
      <x:c r="Y570" s="3"/>
      <x:c r="Z570" s="2"/>
      <x:c r="AA570" s="2"/>
      <x:c r="AB570" s="2"/>
      <x:c r="AC570" s="2" t="s">
        <x:v>367</x:v>
      </x:c>
      <x:c r="AD570" s="2" t="s">
        <x:v>480</x:v>
      </x:c>
      <x:c r="AE570" s="2" t="s">
        <x:v>317</x:v>
      </x:c>
      <x:c r="AF570" s="2" t="s">
        <x:v>1824</x:v>
      </x:c>
      <x:c r="AG570" s="2"/>
      <x:c r="AH570" s="2"/>
      <x:c r="AI570" s="4"/>
      <x:c r="AJ570" s="2"/>
      <x:c r="AK570" s="2" t="s">
        <x:v>320</x:v>
      </x:c>
      <x:c r="AL570" s="2" t="s">
        <x:v>2857</x:v>
      </x:c>
      <x:c r="AM570" s="2">
        <x:v>120</x:v>
      </x:c>
      <x:c r="AN570" s="2">
        <x:v>120</x:v>
      </x:c>
    </x:row>
    <x:row r="571" ht="39">
      <x:c r="A571" s="2" t="s">
        <x:v>91</x:v>
      </x:c>
      <x:c r="B571" s="2" t="s">
        <x:v>16</x:v>
      </x:c>
      <x:c r="C571" s="3">
        <x:v>119</x:v>
      </x:c>
      <x:c r="D571" s="2" t="s">
        <x:v>1861</x:v>
      </x:c>
      <x:c r="E571" s="2" t="s">
        <x:v>1856</x:v>
      </x:c>
      <x:c r="F571" s="2" t="s">
        <x:v>1862</x:v>
      </x:c>
      <x:c r="G571" s="2" t="s">
        <x:v>2960</x:v>
      </x:c>
      <x:c r="H571" s="2" t="s">
        <x:v>1819</x:v>
      </x:c>
      <x:c r="I571" s="2" t="s">
        <x:v>1858</x:v>
      </x:c>
      <x:c r="J571" s="2" t="s">
        <x:v>1859</x:v>
      </x:c>
      <x:c r="K571" s="2" t="n">
        <x:v>118</x:v>
      </x:c>
      <x:c r="L571" s="2" t="s">
        <x:v>1863</x:v>
      </x:c>
      <x:c r="M571" s="2"/>
      <x:c r="N571" s="2"/>
      <x:c r="O571" s="2" t="s">
        <x:v>1829</x:v>
      </x:c>
      <x:c r="P571" s="2" t="s">
        <x:v>1823</x:v>
      </x:c>
      <x:c r="Q571" s="2"/>
      <x:c r="R571" s="3">
        <x:v>3</x:v>
      </x:c>
      <x:c r="S571" s="3"/>
      <x:c r="T571" s="2"/>
      <x:c r="U571" s="2"/>
      <x:c r="V571" s="2"/>
      <x:c r="W571" s="2"/>
      <x:c r="X571" s="3"/>
      <x:c r="Y571" s="3"/>
      <x:c r="Z571" s="2"/>
      <x:c r="AA571" s="2"/>
      <x:c r="AB571" s="2"/>
      <x:c r="AC571" s="2" t="s">
        <x:v>374</x:v>
      </x:c>
      <x:c r="AD571" s="2" t="s">
        <x:v>480</x:v>
      </x:c>
      <x:c r="AE571" s="2" t="s">
        <x:v>317</x:v>
      </x:c>
      <x:c r="AF571" s="2" t="s">
        <x:v>1824</x:v>
      </x:c>
      <x:c r="AG571" s="2"/>
      <x:c r="AH571" s="2"/>
      <x:c r="AI571" s="4"/>
      <x:c r="AJ571" s="2"/>
      <x:c r="AK571" s="2" t="s">
        <x:v>320</x:v>
      </x:c>
      <x:c r="AL571" s="2" t="s">
        <x:v>2857</x:v>
      </x:c>
      <x:c r="AM571" s="2">
        <x:v>121</x:v>
      </x:c>
      <x:c r="AN571" s="2">
        <x:v>121</x:v>
      </x:c>
    </x:row>
    <x:row r="572" ht="39">
      <x:c r="A572" s="2" t="s">
        <x:v>91</x:v>
      </x:c>
      <x:c r="B572" s="2" t="s">
        <x:v>16</x:v>
      </x:c>
      <x:c r="C572" s="3">
        <x:v>120</x:v>
      </x:c>
      <x:c r="D572" s="2" t="s">
        <x:v>1864</x:v>
      </x:c>
      <x:c r="E572" s="2" t="s">
        <x:v>1856</x:v>
      </x:c>
      <x:c r="F572" s="2" t="s">
        <x:v>1865</x:v>
      </x:c>
      <x:c r="G572" s="2" t="s">
        <x:v>2975</x:v>
      </x:c>
      <x:c r="H572" s="2" t="s">
        <x:v>1819</x:v>
      </x:c>
      <x:c r="I572" s="2" t="s">
        <x:v>1858</x:v>
      </x:c>
      <x:c r="J572" s="2" t="s">
        <x:v>1859</x:v>
      </x:c>
      <x:c r="K572" s="2" t="n">
        <x:v>118</x:v>
      </x:c>
      <x:c r="L572" s="2" t="s">
        <x:v>1867</x:v>
      </x:c>
      <x:c r="M572" s="2"/>
      <x:c r="N572" s="2"/>
      <x:c r="O572" s="2" t="s">
        <x:v>1829</x:v>
      </x:c>
      <x:c r="P572" s="2" t="s">
        <x:v>1834</x:v>
      </x:c>
      <x:c r="Q572" s="2"/>
      <x:c r="R572" s="3">
        <x:v>3</x:v>
      </x:c>
      <x:c r="S572" s="3"/>
      <x:c r="T572" s="2"/>
      <x:c r="U572" s="2"/>
      <x:c r="V572" s="2"/>
      <x:c r="W572" s="2"/>
      <x:c r="X572" s="3"/>
      <x:c r="Y572" s="3"/>
      <x:c r="Z572" s="2"/>
      <x:c r="AA572" s="2"/>
      <x:c r="AB572" s="2"/>
      <x:c r="AC572" s="2" t="s">
        <x:v>367</x:v>
      </x:c>
      <x:c r="AD572" s="2" t="s">
        <x:v>317</x:v>
      </x:c>
      <x:c r="AE572" s="2" t="s">
        <x:v>480</x:v>
      </x:c>
      <x:c r="AF572" s="2" t="s">
        <x:v>1835</x:v>
      </x:c>
      <x:c r="AG572" s="2"/>
      <x:c r="AH572" s="2"/>
      <x:c r="AI572" s="4"/>
      <x:c r="AJ572" s="2"/>
      <x:c r="AK572" s="2" t="s">
        <x:v>320</x:v>
      </x:c>
      <x:c r="AL572" s="2" t="s">
        <x:v>2857</x:v>
      </x:c>
      <x:c r="AM572" s="2">
        <x:v>122</x:v>
      </x:c>
      <x:c r="AN572" s="2">
        <x:v>122</x:v>
      </x:c>
    </x:row>
    <x:row r="573" ht="52">
      <x:c r="A573" s="2" t="s">
        <x:v>91</x:v>
      </x:c>
      <x:c r="B573" s="2" t="s">
        <x:v>16</x:v>
      </x:c>
      <x:c r="C573" s="3">
        <x:v>121</x:v>
      </x:c>
      <x:c r="D573" s="2" t="s">
        <x:v>1868</x:v>
      </x:c>
      <x:c r="E573" s="2" t="s">
        <x:v>1856</x:v>
      </x:c>
      <x:c r="F573" s="2" t="s">
        <x:v>1869</x:v>
      </x:c>
      <x:c r="G573" s="2" t="s">
        <x:v>2976</x:v>
      </x:c>
      <x:c r="H573" s="2" t="s">
        <x:v>1819</x:v>
      </x:c>
      <x:c r="I573" s="2" t="s">
        <x:v>1858</x:v>
      </x:c>
      <x:c r="J573" s="2" t="s">
        <x:v>1859</x:v>
      </x:c>
      <x:c r="K573" s="2" t="n">
        <x:v>118</x:v>
      </x:c>
      <x:c r="L573" s="2" t="s">
        <x:v>1870</x:v>
      </x:c>
      <x:c r="M573" s="2"/>
      <x:c r="N573" s="2"/>
      <x:c r="O573" s="2" t="s">
        <x:v>1829</x:v>
      </x:c>
      <x:c r="P573" s="2" t="s">
        <x:v>1834</x:v>
      </x:c>
      <x:c r="Q573" s="2"/>
      <x:c r="R573" s="3">
        <x:v>3</x:v>
      </x:c>
      <x:c r="S573" s="3"/>
      <x:c r="T573" s="2"/>
      <x:c r="U573" s="2"/>
      <x:c r="V573" s="2"/>
      <x:c r="W573" s="2"/>
      <x:c r="X573" s="3"/>
      <x:c r="Y573" s="3"/>
      <x:c r="Z573" s="2"/>
      <x:c r="AA573" s="2"/>
      <x:c r="AB573" s="2"/>
      <x:c r="AC573" s="2" t="s">
        <x:v>374</x:v>
      </x:c>
      <x:c r="AD573" s="2" t="s">
        <x:v>317</x:v>
      </x:c>
      <x:c r="AE573" s="2" t="s">
        <x:v>480</x:v>
      </x:c>
      <x:c r="AF573" s="2" t="s">
        <x:v>1835</x:v>
      </x:c>
      <x:c r="AG573" s="2"/>
      <x:c r="AH573" s="2"/>
      <x:c r="AI573" s="4"/>
      <x:c r="AJ573" s="2"/>
      <x:c r="AK573" s="2" t="s">
        <x:v>320</x:v>
      </x:c>
      <x:c r="AL573" s="2" t="s">
        <x:v>2857</x:v>
      </x:c>
      <x:c r="AM573" s="2">
        <x:v>123</x:v>
      </x:c>
      <x:c r="AN573" s="2">
        <x:v>123</x:v>
      </x:c>
    </x:row>
    <x:row r="574" ht="39">
      <x:c r="A574" s="2" t="s">
        <x:v>91</x:v>
      </x:c>
      <x:c r="B574" s="2" t="s">
        <x:v>16</x:v>
      </x:c>
      <x:c r="C574" s="3">
        <x:v>122</x:v>
      </x:c>
      <x:c r="D574" s="2" t="s">
        <x:v>1871</x:v>
      </x:c>
      <x:c r="E574" s="2" t="s">
        <x:v>1872</x:v>
      </x:c>
      <x:c r="F574" s="2" t="s">
        <x:v>1873</x:v>
      </x:c>
      <x:c r="G574" s="2" t="s">
        <x:v>2977</x:v>
      </x:c>
      <x:c r="H574" s="2" t="s">
        <x:v>1819</x:v>
      </x:c>
      <x:c r="I574" s="2" t="s">
        <x:v>1874</x:v>
      </x:c>
      <x:c r="J574" s="2" t="s">
        <x:v>1859</x:v>
      </x:c>
      <x:c r="K574" s="2"/>
      <x:c r="L574" s="2" t="s">
        <x:v>1875</x:v>
      </x:c>
      <x:c r="M574" s="2"/>
      <x:c r="N574" s="2"/>
      <x:c r="O574" s="2" t="s">
        <x:v>1600</x:v>
      </x:c>
      <x:c r="P574" s="2" t="s">
        <x:v>1823</x:v>
      </x:c>
      <x:c r="Q574" s="2"/>
      <x:c r="R574" s="3">
        <x:v>4</x:v>
      </x:c>
      <x:c r="S574" s="3"/>
      <x:c r="T574" s="2"/>
      <x:c r="U574" s="2"/>
      <x:c r="V574" s="2"/>
      <x:c r="W574" s="2"/>
      <x:c r="X574" s="3"/>
      <x:c r="Y574" s="3"/>
      <x:c r="Z574" s="2"/>
      <x:c r="AA574" s="2"/>
      <x:c r="AB574" s="2"/>
      <x:c r="AC574" s="2" t="s">
        <x:v>367</x:v>
      </x:c>
      <x:c r="AD574" s="2" t="s">
        <x:v>480</x:v>
      </x:c>
      <x:c r="AE574" s="2" t="s">
        <x:v>368</x:v>
      </x:c>
      <x:c r="AF574" s="2" t="s">
        <x:v>1824</x:v>
      </x:c>
      <x:c r="AG574" s="2"/>
      <x:c r="AH574" s="2"/>
      <x:c r="AI574" s="4"/>
      <x:c r="AJ574" s="2"/>
      <x:c r="AK574" s="2" t="s">
        <x:v>320</x:v>
      </x:c>
      <x:c r="AL574" s="2" t="s">
        <x:v>2857</x:v>
      </x:c>
      <x:c r="AM574" s="2">
        <x:v>124</x:v>
      </x:c>
      <x:c r="AN574" s="2">
        <x:v>124</x:v>
      </x:c>
    </x:row>
    <x:row r="575" ht="39">
      <x:c r="A575" s="2" t="s">
        <x:v>91</x:v>
      </x:c>
      <x:c r="B575" s="2" t="s">
        <x:v>16</x:v>
      </x:c>
      <x:c r="C575" s="3">
        <x:v>123</x:v>
      </x:c>
      <x:c r="D575" s="2" t="s">
        <x:v>1876</x:v>
      </x:c>
      <x:c r="E575" s="2" t="s">
        <x:v>1872</x:v>
      </x:c>
      <x:c r="F575" s="2" t="s">
        <x:v>1877</x:v>
      </x:c>
      <x:c r="G575" s="2" t="s">
        <x:v>2978</x:v>
      </x:c>
      <x:c r="H575" s="2" t="s">
        <x:v>1819</x:v>
      </x:c>
      <x:c r="I575" s="2" t="s">
        <x:v>1874</x:v>
      </x:c>
      <x:c r="J575" s="2" t="s">
        <x:v>1859</x:v>
      </x:c>
      <x:c r="K575" s="2" t="n">
        <x:v>122</x:v>
      </x:c>
      <x:c r="L575" s="2" t="s">
        <x:v>1879</x:v>
      </x:c>
      <x:c r="M575" s="2"/>
      <x:c r="N575" s="2"/>
      <x:c r="O575" s="2" t="s">
        <x:v>1829</x:v>
      </x:c>
      <x:c r="P575" s="2" t="s">
        <x:v>1823</x:v>
      </x:c>
      <x:c r="Q575" s="2"/>
      <x:c r="R575" s="3">
        <x:v>4</x:v>
      </x:c>
      <x:c r="S575" s="3"/>
      <x:c r="T575" s="2"/>
      <x:c r="U575" s="2"/>
      <x:c r="V575" s="2"/>
      <x:c r="W575" s="2"/>
      <x:c r="X575" s="3"/>
      <x:c r="Y575" s="3"/>
      <x:c r="Z575" s="2"/>
      <x:c r="AA575" s="2"/>
      <x:c r="AB575" s="2"/>
      <x:c r="AC575" s="2" t="s">
        <x:v>374</x:v>
      </x:c>
      <x:c r="AD575" s="2" t="s">
        <x:v>480</x:v>
      </x:c>
      <x:c r="AE575" s="2" t="s">
        <x:v>368</x:v>
      </x:c>
      <x:c r="AF575" s="2" t="s">
        <x:v>1824</x:v>
      </x:c>
      <x:c r="AG575" s="2"/>
      <x:c r="AH575" s="2"/>
      <x:c r="AI575" s="4"/>
      <x:c r="AJ575" s="2"/>
      <x:c r="AK575" s="2" t="s">
        <x:v>320</x:v>
      </x:c>
      <x:c r="AL575" s="2" t="s">
        <x:v>2857</x:v>
      </x:c>
      <x:c r="AM575" s="2">
        <x:v>125</x:v>
      </x:c>
      <x:c r="AN575" s="2">
        <x:v>125</x:v>
      </x:c>
    </x:row>
    <x:row r="576" ht="39">
      <x:c r="A576" s="2" t="s">
        <x:v>91</x:v>
      </x:c>
      <x:c r="B576" s="2" t="s">
        <x:v>16</x:v>
      </x:c>
      <x:c r="C576" s="3">
        <x:v>124</x:v>
      </x:c>
      <x:c r="D576" s="2" t="s">
        <x:v>1880</x:v>
      </x:c>
      <x:c r="E576" s="2" t="s">
        <x:v>1872</x:v>
      </x:c>
      <x:c r="F576" s="2" t="s">
        <x:v>1881</x:v>
      </x:c>
      <x:c r="G576" s="2" t="s">
        <x:v>2979</x:v>
      </x:c>
      <x:c r="H576" s="2" t="s">
        <x:v>1819</x:v>
      </x:c>
      <x:c r="I576" s="2" t="s">
        <x:v>1874</x:v>
      </x:c>
      <x:c r="J576" s="2" t="s">
        <x:v>1859</x:v>
      </x:c>
      <x:c r="K576" s="2" t="n">
        <x:v>122</x:v>
      </x:c>
      <x:c r="L576" s="2" t="s">
        <x:v>1883</x:v>
      </x:c>
      <x:c r="M576" s="2"/>
      <x:c r="N576" s="2"/>
      <x:c r="O576" s="2" t="s">
        <x:v>1829</x:v>
      </x:c>
      <x:c r="P576" s="2" t="s">
        <x:v>1834</x:v>
      </x:c>
      <x:c r="Q576" s="2"/>
      <x:c r="R576" s="3">
        <x:v>4</x:v>
      </x:c>
      <x:c r="S576" s="3"/>
      <x:c r="T576" s="2"/>
      <x:c r="U576" s="2"/>
      <x:c r="V576" s="2"/>
      <x:c r="W576" s="2"/>
      <x:c r="X576" s="3"/>
      <x:c r="Y576" s="3"/>
      <x:c r="Z576" s="2"/>
      <x:c r="AA576" s="2"/>
      <x:c r="AB576" s="2"/>
      <x:c r="AC576" s="2" t="s">
        <x:v>367</x:v>
      </x:c>
      <x:c r="AD576" s="2" t="s">
        <x:v>368</x:v>
      </x:c>
      <x:c r="AE576" s="2" t="s">
        <x:v>480</x:v>
      </x:c>
      <x:c r="AF576" s="2" t="s">
        <x:v>1835</x:v>
      </x:c>
      <x:c r="AG576" s="2"/>
      <x:c r="AH576" s="2"/>
      <x:c r="AI576" s="4"/>
      <x:c r="AJ576" s="2"/>
      <x:c r="AK576" s="2" t="s">
        <x:v>320</x:v>
      </x:c>
      <x:c r="AL576" s="2" t="s">
        <x:v>2857</x:v>
      </x:c>
      <x:c r="AM576" s="2">
        <x:v>126</x:v>
      </x:c>
      <x:c r="AN576" s="2">
        <x:v>126</x:v>
      </x:c>
    </x:row>
    <x:row r="577" ht="52">
      <x:c r="A577" s="2" t="s">
        <x:v>91</x:v>
      </x:c>
      <x:c r="B577" s="2" t="s">
        <x:v>16</x:v>
      </x:c>
      <x:c r="C577" s="3">
        <x:v>125</x:v>
      </x:c>
      <x:c r="D577" s="2" t="s">
        <x:v>1884</x:v>
      </x:c>
      <x:c r="E577" s="2" t="s">
        <x:v>1872</x:v>
      </x:c>
      <x:c r="F577" s="2" t="s">
        <x:v>1885</x:v>
      </x:c>
      <x:c r="G577" s="2" t="s">
        <x:v>2980</x:v>
      </x:c>
      <x:c r="H577" s="2" t="s">
        <x:v>1819</x:v>
      </x:c>
      <x:c r="I577" s="2" t="s">
        <x:v>1874</x:v>
      </x:c>
      <x:c r="J577" s="2" t="s">
        <x:v>1859</x:v>
      </x:c>
      <x:c r="K577" s="2" t="n">
        <x:v>122</x:v>
      </x:c>
      <x:c r="L577" s="2" t="s">
        <x:v>1887</x:v>
      </x:c>
      <x:c r="M577" s="2"/>
      <x:c r="N577" s="2"/>
      <x:c r="O577" s="2" t="s">
        <x:v>1829</x:v>
      </x:c>
      <x:c r="P577" s="2" t="s">
        <x:v>1834</x:v>
      </x:c>
      <x:c r="Q577" s="2"/>
      <x:c r="R577" s="3">
        <x:v>4</x:v>
      </x:c>
      <x:c r="S577" s="3"/>
      <x:c r="T577" s="2"/>
      <x:c r="U577" s="2"/>
      <x:c r="V577" s="2"/>
      <x:c r="W577" s="2"/>
      <x:c r="X577" s="3"/>
      <x:c r="Y577" s="3"/>
      <x:c r="Z577" s="2"/>
      <x:c r="AA577" s="2"/>
      <x:c r="AB577" s="2"/>
      <x:c r="AC577" s="2" t="s">
        <x:v>374</x:v>
      </x:c>
      <x:c r="AD577" s="2" t="s">
        <x:v>368</x:v>
      </x:c>
      <x:c r="AE577" s="2" t="s">
        <x:v>480</x:v>
      </x:c>
      <x:c r="AF577" s="2" t="s">
        <x:v>1835</x:v>
      </x:c>
      <x:c r="AG577" s="2"/>
      <x:c r="AH577" s="2"/>
      <x:c r="AI577" s="4"/>
      <x:c r="AJ577" s="2"/>
      <x:c r="AK577" s="2" t="s">
        <x:v>320</x:v>
      </x:c>
      <x:c r="AL577" s="2" t="s">
        <x:v>2857</x:v>
      </x:c>
      <x:c r="AM577" s="2">
        <x:v>127</x:v>
      </x:c>
      <x:c r="AN577" s="2">
        <x:v>127</x:v>
      </x:c>
    </x:row>
    <x:row r="578" ht="39">
      <x:c r="A578" s="2" t="s">
        <x:v>6</x:v>
      </x:c>
      <x:c r="B578" s="2" t="s">
        <x:v>16</x:v>
      </x:c>
      <x:c r="C578" s="3">
        <x:v>126</x:v>
      </x:c>
      <x:c r="D578" s="2" t="s">
        <x:v>1888</x:v>
      </x:c>
      <x:c r="E578" s="2" t="s">
        <x:v>1889</x:v>
      </x:c>
      <x:c r="F578" s="2" t="s">
        <x:v>1890</x:v>
      </x:c>
      <x:c r="G578" s="2"/>
      <x:c r="H578" s="2" t="s">
        <x:v>1819</x:v>
      </x:c>
      <x:c r="I578" s="2" t="s">
        <x:v>1891</x:v>
      </x:c>
      <x:c r="J578" s="2" t="s">
        <x:v>1892</x:v>
      </x:c>
      <x:c r="K578" s="2"/>
      <x:c r="L578" s="2" t="s">
        <x:v>1893</x:v>
      </x:c>
      <x:c r="M578" s="2"/>
      <x:c r="N578" s="2"/>
      <x:c r="O578" s="2" t="s">
        <x:v>1600</x:v>
      </x:c>
      <x:c r="P578" s="2" t="s">
        <x:v>1823</x:v>
      </x:c>
      <x:c r="Q578" s="2"/>
      <x:c r="R578" s="3">
        <x:v>4</x:v>
      </x:c>
      <x:c r="S578" s="3"/>
      <x:c r="T578" s="2"/>
      <x:c r="U578" s="2"/>
      <x:c r="V578" s="2"/>
      <x:c r="W578" s="2"/>
      <x:c r="X578" s="3"/>
      <x:c r="Y578" s="3"/>
      <x:c r="Z578" s="2"/>
      <x:c r="AA578" s="2"/>
      <x:c r="AB578" s="2"/>
      <x:c r="AC578" s="2" t="s">
        <x:v>316</x:v>
      </x:c>
      <x:c r="AD578" s="2" t="s">
        <x:v>480</x:v>
      </x:c>
      <x:c r="AE578" s="2" t="s">
        <x:v>368</x:v>
      </x:c>
      <x:c r="AF578" s="2" t="s">
        <x:v>1824</x:v>
      </x:c>
      <x:c r="AG578" s="2"/>
      <x:c r="AH578" s="2"/>
      <x:c r="AI578" s="4"/>
      <x:c r="AJ578" s="2"/>
      <x:c r="AK578" s="2" t="s">
        <x:v>320</x:v>
      </x:c>
      <x:c r="AL578" s="2" t="s">
        <x:v>2857</x:v>
      </x:c>
      <x:c r="AM578" s="2">
        <x:v>128</x:v>
      </x:c>
      <x:c r="AN578" s="2">
        <x:v>128</x:v>
      </x:c>
    </x:row>
    <x:row r="579" ht="52">
      <x:c r="A579" s="2" t="s">
        <x:v>91</x:v>
      </x:c>
      <x:c r="B579" s="2" t="s">
        <x:v>16</x:v>
      </x:c>
      <x:c r="C579" s="3">
        <x:v>127</x:v>
      </x:c>
      <x:c r="D579" s="2" t="s">
        <x:v>1894</x:v>
      </x:c>
      <x:c r="E579" s="2" t="s">
        <x:v>1889</x:v>
      </x:c>
      <x:c r="F579" s="2" t="s">
        <x:v>1895</x:v>
      </x:c>
      <x:c r="G579" s="2" t="s">
        <x:v>2981</x:v>
      </x:c>
      <x:c r="H579" s="2" t="s">
        <x:v>1819</x:v>
      </x:c>
      <x:c r="I579" s="2" t="s">
        <x:v>1891</x:v>
      </x:c>
      <x:c r="J579" s="2" t="s">
        <x:v>1892</x:v>
      </x:c>
      <x:c r="K579" s="2" t="n">
        <x:v>126</x:v>
      </x:c>
      <x:c r="L579" s="2" t="s">
        <x:v>1897</x:v>
      </x:c>
      <x:c r="M579" s="2"/>
      <x:c r="N579" s="2"/>
      <x:c r="O579" s="2" t="s">
        <x:v>1829</x:v>
      </x:c>
      <x:c r="P579" s="2" t="s">
        <x:v>1834</x:v>
      </x:c>
      <x:c r="Q579" s="2"/>
      <x:c r="R579" s="3">
        <x:v>4</x:v>
      </x:c>
      <x:c r="S579" s="3"/>
      <x:c r="T579" s="2"/>
      <x:c r="U579" s="2"/>
      <x:c r="V579" s="2"/>
      <x:c r="W579" s="2"/>
      <x:c r="X579" s="3"/>
      <x:c r="Y579" s="3"/>
      <x:c r="Z579" s="2"/>
      <x:c r="AA579" s="2"/>
      <x:c r="AB579" s="2"/>
      <x:c r="AC579" s="2" t="s">
        <x:v>326</x:v>
      </x:c>
      <x:c r="AD579" s="2" t="s">
        <x:v>368</x:v>
      </x:c>
      <x:c r="AE579" s="2" t="s">
        <x:v>480</x:v>
      </x:c>
      <x:c r="AF579" s="2" t="s">
        <x:v>1835</x:v>
      </x:c>
      <x:c r="AG579" s="2"/>
      <x:c r="AH579" s="2"/>
      <x:c r="AI579" s="4"/>
      <x:c r="AJ579" s="2"/>
      <x:c r="AK579" s="2" t="s">
        <x:v>320</x:v>
      </x:c>
      <x:c r="AL579" s="2" t="s">
        <x:v>2857</x:v>
      </x:c>
      <x:c r="AM579" s="2">
        <x:v>129</x:v>
      </x:c>
      <x:c r="AN579" s="2">
        <x:v>129</x:v>
      </x:c>
    </x:row>
    <x:row r="580" ht="39">
      <x:c r="A580" s="2" t="s">
        <x:v>6</x:v>
      </x:c>
      <x:c r="B580" s="2" t="s">
        <x:v>16</x:v>
      </x:c>
      <x:c r="C580" s="3">
        <x:v>128</x:v>
      </x:c>
      <x:c r="D580" s="2" t="s">
        <x:v>1855</x:v>
      </x:c>
      <x:c r="E580" s="2" t="s">
        <x:v>1889</x:v>
      </x:c>
      <x:c r="F580" s="2" t="s">
        <x:v>1857</x:v>
      </x:c>
      <x:c r="G580" s="2"/>
      <x:c r="H580" s="2" t="s">
        <x:v>1819</x:v>
      </x:c>
      <x:c r="I580" s="2" t="s">
        <x:v>1891</x:v>
      </x:c>
      <x:c r="J580" s="2" t="s">
        <x:v>1892</x:v>
      </x:c>
      <x:c r="K580" s="2" t="n">
        <x:v>126</x:v>
      </x:c>
      <x:c r="L580" s="2" t="s">
        <x:v>1898</x:v>
      </x:c>
      <x:c r="M580" s="2"/>
      <x:c r="N580" s="2"/>
      <x:c r="O580" s="2" t="s">
        <x:v>1829</x:v>
      </x:c>
      <x:c r="P580" s="2" t="s">
        <x:v>1823</x:v>
      </x:c>
      <x:c r="Q580" s="2"/>
      <x:c r="R580" s="3">
        <x:v>4</x:v>
      </x:c>
      <x:c r="S580" s="3"/>
      <x:c r="T580" s="2"/>
      <x:c r="U580" s="2"/>
      <x:c r="V580" s="2"/>
      <x:c r="W580" s="2"/>
      <x:c r="X580" s="3"/>
      <x:c r="Y580" s="3"/>
      <x:c r="Z580" s="2"/>
      <x:c r="AA580" s="2"/>
      <x:c r="AB580" s="2"/>
      <x:c r="AC580" s="2" t="s">
        <x:v>367</x:v>
      </x:c>
      <x:c r="AD580" s="2" t="s">
        <x:v>480</x:v>
      </x:c>
      <x:c r="AE580" s="2" t="s">
        <x:v>317</x:v>
      </x:c>
      <x:c r="AF580" s="2" t="s">
        <x:v>1824</x:v>
      </x:c>
      <x:c r="AG580" s="2"/>
      <x:c r="AH580" s="2"/>
      <x:c r="AI580" s="4"/>
      <x:c r="AJ580" s="2"/>
      <x:c r="AK580" s="2" t="s">
        <x:v>320</x:v>
      </x:c>
      <x:c r="AL580" s="2" t="s">
        <x:v>2857</x:v>
      </x:c>
      <x:c r="AM580" s="2">
        <x:v>130</x:v>
      </x:c>
      <x:c r="AN580" s="2">
        <x:v>130</x:v>
      </x:c>
    </x:row>
    <x:row r="581" ht="52">
      <x:c r="A581" s="2" t="s">
        <x:v>91</x:v>
      </x:c>
      <x:c r="B581" s="2" t="s">
        <x:v>16</x:v>
      </x:c>
      <x:c r="C581" s="3">
        <x:v>129</x:v>
      </x:c>
      <x:c r="D581" s="2" t="s">
        <x:v>1868</x:v>
      </x:c>
      <x:c r="E581" s="2" t="s">
        <x:v>1889</x:v>
      </x:c>
      <x:c r="F581" s="2" t="s">
        <x:v>1869</x:v>
      </x:c>
      <x:c r="G581" s="2" t="s">
        <x:v>2982</x:v>
      </x:c>
      <x:c r="H581" s="2" t="s">
        <x:v>1819</x:v>
      </x:c>
      <x:c r="I581" s="2" t="s">
        <x:v>1891</x:v>
      </x:c>
      <x:c r="J581" s="2" t="s">
        <x:v>1892</x:v>
      </x:c>
      <x:c r="K581" s="2" t="n">
        <x:v>126</x:v>
      </x:c>
      <x:c r="L581" s="2" t="s">
        <x:v>1900</x:v>
      </x:c>
      <x:c r="M581" s="2"/>
      <x:c r="N581" s="2"/>
      <x:c r="O581" s="2" t="s">
        <x:v>1829</x:v>
      </x:c>
      <x:c r="P581" s="2" t="s">
        <x:v>1834</x:v>
      </x:c>
      <x:c r="Q581" s="2"/>
      <x:c r="R581" s="3">
        <x:v>4</x:v>
      </x:c>
      <x:c r="S581" s="3"/>
      <x:c r="T581" s="2"/>
      <x:c r="U581" s="2"/>
      <x:c r="V581" s="2"/>
      <x:c r="W581" s="2"/>
      <x:c r="X581" s="3"/>
      <x:c r="Y581" s="3"/>
      <x:c r="Z581" s="2"/>
      <x:c r="AA581" s="2"/>
      <x:c r="AB581" s="2"/>
      <x:c r="AC581" s="2" t="s">
        <x:v>374</x:v>
      </x:c>
      <x:c r="AD581" s="2" t="s">
        <x:v>317</x:v>
      </x:c>
      <x:c r="AE581" s="2" t="s">
        <x:v>480</x:v>
      </x:c>
      <x:c r="AF581" s="2" t="s">
        <x:v>1835</x:v>
      </x:c>
      <x:c r="AG581" s="2"/>
      <x:c r="AH581" s="2"/>
      <x:c r="AI581" s="4"/>
      <x:c r="AJ581" s="2"/>
      <x:c r="AK581" s="2" t="s">
        <x:v>320</x:v>
      </x:c>
      <x:c r="AL581" s="2" t="s">
        <x:v>2857</x:v>
      </x:c>
      <x:c r="AM581" s="2">
        <x:v>131</x:v>
      </x:c>
      <x:c r="AN581" s="2">
        <x:v>131</x:v>
      </x:c>
    </x:row>
    <x:row r="582" ht="52">
      <x:c r="A582" s="2" t="s">
        <x:v>91</x:v>
      </x:c>
      <x:c r="B582" s="2" t="s">
        <x:v>16</x:v>
      </x:c>
      <x:c r="C582" s="3">
        <x:v>130</x:v>
      </x:c>
      <x:c r="D582" s="2" t="s">
        <x:v>1574</x:v>
      </x:c>
      <x:c r="E582" s="2" t="s">
        <x:v>1901</x:v>
      </x:c>
      <x:c r="F582" s="2" t="s">
        <x:v>1902</x:v>
      </x:c>
      <x:c r="G582" s="2" t="s">
        <x:v>2983</x:v>
      </x:c>
      <x:c r="H582" s="2" t="s">
        <x:v>1077</x:v>
      </x:c>
      <x:c r="I582" s="2" t="s">
        <x:v>1903</x:v>
      </x:c>
      <x:c r="J582" s="2" t="s">
        <x:v>1904</x:v>
      </x:c>
      <x:c r="K582" s="2"/>
      <x:c r="L582" s="2" t="s">
        <x:v>1905</x:v>
      </x:c>
      <x:c r="M582" s="2"/>
      <x:c r="N582" s="2"/>
      <x:c r="O582" s="2" t="s">
        <x:v>1906</x:v>
      </x:c>
      <x:c r="P582" s="2" t="s">
        <x:v>1907</x:v>
      </x:c>
      <x:c r="Q582" s="2"/>
      <x:c r="R582" s="3">
        <x:v>3</x:v>
      </x:c>
      <x:c r="S582" s="3"/>
      <x:c r="T582" s="2"/>
      <x:c r="U582" s="2"/>
      <x:c r="V582" s="2"/>
      <x:c r="W582" s="2"/>
      <x:c r="X582" s="3"/>
      <x:c r="Y582" s="3"/>
      <x:c r="Z582" s="2"/>
      <x:c r="AA582" s="2"/>
      <x:c r="AB582" s="2"/>
      <x:c r="AC582" s="2" t="s">
        <x:v>367</x:v>
      </x:c>
      <x:c r="AD582" s="2" t="s">
        <x:v>317</x:v>
      </x:c>
      <x:c r="AE582" s="2" t="s">
        <x:v>318</x:v>
      </x:c>
      <x:c r="AF582" s="2" t="s">
        <x:v>319</x:v>
      </x:c>
      <x:c r="AG582" s="2"/>
      <x:c r="AH582" s="2"/>
      <x:c r="AI582" s="4"/>
      <x:c r="AJ582" s="2"/>
      <x:c r="AK582" s="2" t="s">
        <x:v>320</x:v>
      </x:c>
      <x:c r="AL582" s="2" t="s">
        <x:v>2857</x:v>
      </x:c>
      <x:c r="AM582" s="2">
        <x:v>132</x:v>
      </x:c>
      <x:c r="AN582" s="2">
        <x:v>132</x:v>
      </x:c>
    </x:row>
    <x:row r="583" ht="52">
      <x:c r="A583" s="2" t="s">
        <x:v>6</x:v>
      </x:c>
      <x:c r="B583" s="2" t="s">
        <x:v>16</x:v>
      </x:c>
      <x:c r="C583" s="3">
        <x:v>131</x:v>
      </x:c>
      <x:c r="D583" s="2" t="s">
        <x:v>1581</x:v>
      </x:c>
      <x:c r="E583" s="2" t="s">
        <x:v>1901</x:v>
      </x:c>
      <x:c r="F583" s="2" t="s">
        <x:v>1908</x:v>
      </x:c>
      <x:c r="G583" s="2"/>
      <x:c r="H583" s="2" t="s">
        <x:v>1077</x:v>
      </x:c>
      <x:c r="I583" s="2" t="s">
        <x:v>1903</x:v>
      </x:c>
      <x:c r="J583" s="2" t="s">
        <x:v>1904</x:v>
      </x:c>
      <x:c r="K583" s="2" t="n">
        <x:v>130</x:v>
      </x:c>
      <x:c r="L583" s="2" t="s">
        <x:v>1909</x:v>
      </x:c>
      <x:c r="M583" s="2"/>
      <x:c r="N583" s="2"/>
      <x:c r="O583" s="2" t="s">
        <x:v>1910</x:v>
      </x:c>
      <x:c r="P583" s="2" t="s">
        <x:v>1911</x:v>
      </x:c>
      <x:c r="Q583" s="2"/>
      <x:c r="R583" s="3">
        <x:v>3</x:v>
      </x:c>
      <x:c r="S583" s="3"/>
      <x:c r="T583" s="2"/>
      <x:c r="U583" s="2"/>
      <x:c r="V583" s="2"/>
      <x:c r="W583" s="2"/>
      <x:c r="X583" s="3"/>
      <x:c r="Y583" s="3"/>
      <x:c r="Z583" s="2"/>
      <x:c r="AA583" s="2"/>
      <x:c r="AB583" s="2"/>
      <x:c r="AC583" s="2" t="s">
        <x:v>374</x:v>
      </x:c>
      <x:c r="AD583" s="2" t="s">
        <x:v>318</x:v>
      </x:c>
      <x:c r="AE583" s="2" t="s">
        <x:v>317</x:v>
      </x:c>
      <x:c r="AF583" s="2" t="s">
        <x:v>319</x:v>
      </x:c>
      <x:c r="AG583" s="2"/>
      <x:c r="AH583" s="2"/>
      <x:c r="AI583" s="4"/>
      <x:c r="AJ583" s="2"/>
      <x:c r="AK583" s="2" t="s">
        <x:v>320</x:v>
      </x:c>
      <x:c r="AL583" s="2" t="s">
        <x:v>2857</x:v>
      </x:c>
      <x:c r="AM583" s="2">
        <x:v>133</x:v>
      </x:c>
      <x:c r="AN583" s="2">
        <x:v>133</x:v>
      </x:c>
    </x:row>
    <x:row r="584" ht="39">
      <x:c r="A584" s="2" t="s">
        <x:v>91</x:v>
      </x:c>
      <x:c r="B584" s="2" t="s">
        <x:v>16</x:v>
      </x:c>
      <x:c r="C584" s="3">
        <x:v>132</x:v>
      </x:c>
      <x:c r="D584" s="2" t="s">
        <x:v>1574</x:v>
      </x:c>
      <x:c r="E584" s="2" t="s">
        <x:v>1901</x:v>
      </x:c>
      <x:c r="F584" s="2" t="s">
        <x:v>1576</x:v>
      </x:c>
      <x:c r="G584" s="2" t="s">
        <x:v>2984</x:v>
      </x:c>
      <x:c r="H584" s="2" t="s">
        <x:v>1912</x:v>
      </x:c>
      <x:c r="I584" s="2" t="s">
        <x:v>1903</x:v>
      </x:c>
      <x:c r="J584" s="2" t="s">
        <x:v>1913</x:v>
      </x:c>
      <x:c r="K584" s="2"/>
      <x:c r="L584" s="2" t="s">
        <x:v>1905</x:v>
      </x:c>
      <x:c r="M584" s="2"/>
      <x:c r="N584" s="2"/>
      <x:c r="O584" s="2" t="s">
        <x:v>1914</x:v>
      </x:c>
      <x:c r="P584" s="2" t="s">
        <x:v>1915</x:v>
      </x:c>
      <x:c r="Q584" s="2"/>
      <x:c r="R584" s="3">
        <x:v>3</x:v>
      </x:c>
      <x:c r="S584" s="3"/>
      <x:c r="T584" s="2"/>
      <x:c r="U584" s="2"/>
      <x:c r="V584" s="2"/>
      <x:c r="W584" s="2"/>
      <x:c r="X584" s="3"/>
      <x:c r="Y584" s="3"/>
      <x:c r="Z584" s="2"/>
      <x:c r="AA584" s="2"/>
      <x:c r="AB584" s="2"/>
      <x:c r="AC584" s="2" t="s">
        <x:v>367</x:v>
      </x:c>
      <x:c r="AD584" s="2" t="s">
        <x:v>317</x:v>
      </x:c>
      <x:c r="AE584" s="2" t="s">
        <x:v>318</x:v>
      </x:c>
      <x:c r="AF584" s="2" t="s">
        <x:v>319</x:v>
      </x:c>
      <x:c r="AG584" s="2"/>
      <x:c r="AH584" s="2"/>
      <x:c r="AI584" s="4"/>
      <x:c r="AJ584" s="2"/>
      <x:c r="AK584" s="2" t="s">
        <x:v>320</x:v>
      </x:c>
      <x:c r="AL584" s="2" t="s">
        <x:v>2857</x:v>
      </x:c>
      <x:c r="AM584" s="2">
        <x:v>134</x:v>
      </x:c>
      <x:c r="AN584" s="2">
        <x:v>134</x:v>
      </x:c>
    </x:row>
    <x:row r="585" ht="26">
      <x:c r="A585" s="2" t="s">
        <x:v>91</x:v>
      </x:c>
      <x:c r="B585" s="2" t="s">
        <x:v>16</x:v>
      </x:c>
      <x:c r="C585" s="3">
        <x:v>133</x:v>
      </x:c>
      <x:c r="D585" s="2" t="s">
        <x:v>1581</x:v>
      </x:c>
      <x:c r="E585" s="2" t="s">
        <x:v>1901</x:v>
      </x:c>
      <x:c r="F585" s="2" t="s">
        <x:v>1582</x:v>
      </x:c>
      <x:c r="G585" s="2" t="s">
        <x:v>2877</x:v>
      </x:c>
      <x:c r="H585" s="2" t="s">
        <x:v>1912</x:v>
      </x:c>
      <x:c r="I585" s="2" t="s">
        <x:v>1903</x:v>
      </x:c>
      <x:c r="J585" s="2" t="s">
        <x:v>1913</x:v>
      </x:c>
      <x:c r="K585" s="2" t="n">
        <x:v>132</x:v>
      </x:c>
      <x:c r="L585" s="2" t="s">
        <x:v>1909</x:v>
      </x:c>
      <x:c r="M585" s="2"/>
      <x:c r="N585" s="2"/>
      <x:c r="O585" s="2" t="s">
        <x:v>1910</x:v>
      </x:c>
      <x:c r="P585" s="2" t="s">
        <x:v>1916</x:v>
      </x:c>
      <x:c r="Q585" s="2"/>
      <x:c r="R585" s="3">
        <x:v>3</x:v>
      </x:c>
      <x:c r="S585" s="3"/>
      <x:c r="T585" s="2"/>
      <x:c r="U585" s="2"/>
      <x:c r="V585" s="2"/>
      <x:c r="W585" s="2"/>
      <x:c r="X585" s="3"/>
      <x:c r="Y585" s="3"/>
      <x:c r="Z585" s="2"/>
      <x:c r="AA585" s="2"/>
      <x:c r="AB585" s="2"/>
      <x:c r="AC585" s="2" t="s">
        <x:v>374</x:v>
      </x:c>
      <x:c r="AD585" s="2" t="s">
        <x:v>318</x:v>
      </x:c>
      <x:c r="AE585" s="2" t="s">
        <x:v>317</x:v>
      </x:c>
      <x:c r="AF585" s="2" t="s">
        <x:v>319</x:v>
      </x:c>
      <x:c r="AG585" s="2"/>
      <x:c r="AH585" s="2"/>
      <x:c r="AI585" s="4"/>
      <x:c r="AJ585" s="2"/>
      <x:c r="AK585" s="2" t="s">
        <x:v>320</x:v>
      </x:c>
      <x:c r="AL585" s="2" t="s">
        <x:v>2857</x:v>
      </x:c>
      <x:c r="AM585" s="2">
        <x:v>135</x:v>
      </x:c>
      <x:c r="AN585" s="2">
        <x:v>135</x:v>
      </x:c>
    </x:row>
    <x:row r="586" ht="39">
      <x:c r="A586" s="2" t="s">
        <x:v>91</x:v>
      </x:c>
      <x:c r="B586" s="2" t="s">
        <x:v>16</x:v>
      </x:c>
      <x:c r="C586" s="3">
        <x:v>134</x:v>
      </x:c>
      <x:c r="D586" s="2" t="s">
        <x:v>1917</x:v>
      </x:c>
      <x:c r="E586" s="2" t="s">
        <x:v>1575</x:v>
      </x:c>
      <x:c r="F586" s="2" t="s">
        <x:v>1918</x:v>
      </x:c>
      <x:c r="G586" s="2" t="s">
        <x:v>2985</x:v>
      </x:c>
      <x:c r="H586" s="2" t="s">
        <x:v>1912</x:v>
      </x:c>
      <x:c r="I586" s="2" t="s">
        <x:v>1919</x:v>
      </x:c>
      <x:c r="J586" s="2" t="s">
        <x:v>1913</x:v>
      </x:c>
      <x:c r="K586" s="2"/>
      <x:c r="L586" s="2" t="s">
        <x:v>1920</x:v>
      </x:c>
      <x:c r="M586" s="2"/>
      <x:c r="N586" s="2"/>
      <x:c r="O586" s="2" t="s">
        <x:v>1921</x:v>
      </x:c>
      <x:c r="P586" s="2" t="s">
        <x:v>1922</x:v>
      </x:c>
      <x:c r="Q586" s="2"/>
      <x:c r="R586" s="3">
        <x:v>4</x:v>
      </x:c>
      <x:c r="S586" s="3"/>
      <x:c r="T586" s="2"/>
      <x:c r="U586" s="2"/>
      <x:c r="V586" s="2"/>
      <x:c r="W586" s="2"/>
      <x:c r="X586" s="3"/>
      <x:c r="Y586" s="3"/>
      <x:c r="Z586" s="2"/>
      <x:c r="AA586" s="2"/>
      <x:c r="AB586" s="2"/>
      <x:c r="AC586" s="2" t="s">
        <x:v>374</x:v>
      </x:c>
      <x:c r="AD586" s="2" t="s">
        <x:v>317</x:v>
      </x:c>
      <x:c r="AE586" s="2" t="s">
        <x:v>318</x:v>
      </x:c>
      <x:c r="AF586" s="2" t="s">
        <x:v>319</x:v>
      </x:c>
      <x:c r="AG586" s="2"/>
      <x:c r="AH586" s="2"/>
      <x:c r="AI586" s="4"/>
      <x:c r="AJ586" s="2"/>
      <x:c r="AK586" s="2" t="s">
        <x:v>320</x:v>
      </x:c>
      <x:c r="AL586" s="2" t="s">
        <x:v>2857</x:v>
      </x:c>
      <x:c r="AM586" s="2">
        <x:v>136</x:v>
      </x:c>
      <x:c r="AN586" s="2">
        <x:v>136</x:v>
      </x:c>
    </x:row>
    <x:row r="587" ht="26">
      <x:c r="A587" s="2" t="s">
        <x:v>91</x:v>
      </x:c>
      <x:c r="B587" s="2" t="s">
        <x:v>16</x:v>
      </x:c>
      <x:c r="C587" s="3">
        <x:v>135</x:v>
      </x:c>
      <x:c r="D587" s="2" t="s">
        <x:v>1923</x:v>
      </x:c>
      <x:c r="E587" s="2" t="s">
        <x:v>1575</x:v>
      </x:c>
      <x:c r="F587" s="2" t="s">
        <x:v>1924</x:v>
      </x:c>
      <x:c r="G587" s="2" t="s">
        <x:v>2986</x:v>
      </x:c>
      <x:c r="H587" s="2" t="s">
        <x:v>1912</x:v>
      </x:c>
      <x:c r="I587" s="2" t="s">
        <x:v>1919</x:v>
      </x:c>
      <x:c r="J587" s="2" t="s">
        <x:v>1913</x:v>
      </x:c>
      <x:c r="K587" s="2" t="n">
        <x:v>134</x:v>
      </x:c>
      <x:c r="L587" s="2" t="s">
        <x:v>1925</x:v>
      </x:c>
      <x:c r="M587" s="2"/>
      <x:c r="N587" s="2"/>
      <x:c r="O587" s="2" t="s">
        <x:v>1910</x:v>
      </x:c>
      <x:c r="P587" s="2" t="s">
        <x:v>1926</x:v>
      </x:c>
      <x:c r="Q587" s="2"/>
      <x:c r="R587" s="3">
        <x:v>4</x:v>
      </x:c>
      <x:c r="S587" s="3"/>
      <x:c r="T587" s="2"/>
      <x:c r="U587" s="2"/>
      <x:c r="V587" s="2"/>
      <x:c r="W587" s="2"/>
      <x:c r="X587" s="3"/>
      <x:c r="Y587" s="3"/>
      <x:c r="Z587" s="2"/>
      <x:c r="AA587" s="2"/>
      <x:c r="AB587" s="2"/>
      <x:c r="AC587" s="2" t="s">
        <x:v>367</x:v>
      </x:c>
      <x:c r="AD587" s="2" t="s">
        <x:v>318</x:v>
      </x:c>
      <x:c r="AE587" s="2" t="s">
        <x:v>317</x:v>
      </x:c>
      <x:c r="AF587" s="2" t="s">
        <x:v>319</x:v>
      </x:c>
      <x:c r="AG587" s="2"/>
      <x:c r="AH587" s="2"/>
      <x:c r="AI587" s="4"/>
      <x:c r="AJ587" s="2"/>
      <x:c r="AK587" s="2" t="s">
        <x:v>320</x:v>
      </x:c>
      <x:c r="AL587" s="2" t="s">
        <x:v>2857</x:v>
      </x:c>
      <x:c r="AM587" s="2">
        <x:v>137</x:v>
      </x:c>
      <x:c r="AN587" s="2">
        <x:v>137</x:v>
      </x:c>
    </x:row>
    <x:row r="588" ht="52">
      <x:c r="A588" s="2" t="s">
        <x:v>91</x:v>
      </x:c>
      <x:c r="B588" s="2" t="s">
        <x:v>16</x:v>
      </x:c>
      <x:c r="C588" s="3">
        <x:v>136</x:v>
      </x:c>
      <x:c r="D588" s="2" t="s">
        <x:v>1917</x:v>
      </x:c>
      <x:c r="E588" s="2" t="s">
        <x:v>1575</x:v>
      </x:c>
      <x:c r="F588" s="2" t="s">
        <x:v>1927</x:v>
      </x:c>
      <x:c r="G588" s="2" t="s">
        <x:v>2987</x:v>
      </x:c>
      <x:c r="H588" s="2" t="s">
        <x:v>1077</x:v>
      </x:c>
      <x:c r="I588" s="2" t="s">
        <x:v>1919</x:v>
      </x:c>
      <x:c r="J588" s="2" t="s">
        <x:v>1904</x:v>
      </x:c>
      <x:c r="K588" s="2"/>
      <x:c r="L588" s="2" t="s">
        <x:v>1920</x:v>
      </x:c>
      <x:c r="M588" s="2"/>
      <x:c r="N588" s="2"/>
      <x:c r="O588" s="2" t="s">
        <x:v>1928</x:v>
      </x:c>
      <x:c r="P588" s="2" t="s">
        <x:v>1929</x:v>
      </x:c>
      <x:c r="Q588" s="2"/>
      <x:c r="R588" s="3">
        <x:v>4</x:v>
      </x:c>
      <x:c r="S588" s="3"/>
      <x:c r="T588" s="2"/>
      <x:c r="U588" s="2"/>
      <x:c r="V588" s="2"/>
      <x:c r="W588" s="2"/>
      <x:c r="X588" s="3"/>
      <x:c r="Y588" s="3"/>
      <x:c r="Z588" s="2"/>
      <x:c r="AA588" s="2"/>
      <x:c r="AB588" s="2"/>
      <x:c r="AC588" s="2" t="s">
        <x:v>374</x:v>
      </x:c>
      <x:c r="AD588" s="2" t="s">
        <x:v>317</x:v>
      </x:c>
      <x:c r="AE588" s="2" t="s">
        <x:v>318</x:v>
      </x:c>
      <x:c r="AF588" s="2" t="s">
        <x:v>319</x:v>
      </x:c>
      <x:c r="AG588" s="2"/>
      <x:c r="AH588" s="2"/>
      <x:c r="AI588" s="4"/>
      <x:c r="AJ588" s="2"/>
      <x:c r="AK588" s="2" t="s">
        <x:v>320</x:v>
      </x:c>
      <x:c r="AL588" s="2" t="s">
        <x:v>2857</x:v>
      </x:c>
      <x:c r="AM588" s="2">
        <x:v>138</x:v>
      </x:c>
      <x:c r="AN588" s="2">
        <x:v>138</x:v>
      </x:c>
    </x:row>
    <x:row r="589" ht="52">
      <x:c r="A589" s="2" t="s">
        <x:v>6</x:v>
      </x:c>
      <x:c r="B589" s="2" t="s">
        <x:v>16</x:v>
      </x:c>
      <x:c r="C589" s="3">
        <x:v>137</x:v>
      </x:c>
      <x:c r="D589" s="2" t="s">
        <x:v>1923</x:v>
      </x:c>
      <x:c r="E589" s="2" t="s">
        <x:v>1575</x:v>
      </x:c>
      <x:c r="F589" s="2" t="s">
        <x:v>1930</x:v>
      </x:c>
      <x:c r="G589" s="2"/>
      <x:c r="H589" s="2" t="s">
        <x:v>1077</x:v>
      </x:c>
      <x:c r="I589" s="2" t="s">
        <x:v>1919</x:v>
      </x:c>
      <x:c r="J589" s="2" t="s">
        <x:v>1904</x:v>
      </x:c>
      <x:c r="K589" s="2" t="n">
        <x:v>136</x:v>
      </x:c>
      <x:c r="L589" s="2" t="s">
        <x:v>1925</x:v>
      </x:c>
      <x:c r="M589" s="2"/>
      <x:c r="N589" s="2"/>
      <x:c r="O589" s="2" t="s">
        <x:v>1910</x:v>
      </x:c>
      <x:c r="P589" s="2" t="s">
        <x:v>1931</x:v>
      </x:c>
      <x:c r="Q589" s="2"/>
      <x:c r="R589" s="3">
        <x:v>4</x:v>
      </x:c>
      <x:c r="S589" s="3"/>
      <x:c r="T589" s="2"/>
      <x:c r="U589" s="2"/>
      <x:c r="V589" s="2"/>
      <x:c r="W589" s="2"/>
      <x:c r="X589" s="3"/>
      <x:c r="Y589" s="3"/>
      <x:c r="Z589" s="2"/>
      <x:c r="AA589" s="2"/>
      <x:c r="AB589" s="2"/>
      <x:c r="AC589" s="2" t="s">
        <x:v>367</x:v>
      </x:c>
      <x:c r="AD589" s="2" t="s">
        <x:v>318</x:v>
      </x:c>
      <x:c r="AE589" s="2" t="s">
        <x:v>317</x:v>
      </x:c>
      <x:c r="AF589" s="2" t="s">
        <x:v>319</x:v>
      </x:c>
      <x:c r="AG589" s="2"/>
      <x:c r="AH589" s="2"/>
      <x:c r="AI589" s="4"/>
      <x:c r="AJ589" s="2"/>
      <x:c r="AK589" s="2" t="s">
        <x:v>320</x:v>
      </x:c>
      <x:c r="AL589" s="2" t="s">
        <x:v>2857</x:v>
      </x:c>
      <x:c r="AM589" s="2">
        <x:v>139</x:v>
      </x:c>
      <x:c r="AN589" s="2">
        <x:v>139</x:v>
      </x:c>
    </x:row>
    <x:row r="590" ht="52">
      <x:c r="A590" s="2" t="s">
        <x:v>91</x:v>
      </x:c>
      <x:c r="B590" s="2" t="s">
        <x:v>16</x:v>
      </x:c>
      <x:c r="C590" s="3">
        <x:v>138</x:v>
      </x:c>
      <x:c r="D590" s="2" t="s">
        <x:v>1932</x:v>
      </x:c>
      <x:c r="E590" s="2" t="s">
        <x:v>1933</x:v>
      </x:c>
      <x:c r="F590" s="2" t="s">
        <x:v>1934</x:v>
      </x:c>
      <x:c r="G590" s="2" t="s">
        <x:v>2988</x:v>
      </x:c>
      <x:c r="H590" s="2" t="s">
        <x:v>1077</x:v>
      </x:c>
      <x:c r="I590" s="2" t="s">
        <x:v>1935</x:v>
      </x:c>
      <x:c r="J590" s="2" t="s">
        <x:v>1904</x:v>
      </x:c>
      <x:c r="K590" s="2"/>
      <x:c r="L590" s="2" t="s">
        <x:v>1936</x:v>
      </x:c>
      <x:c r="M590" s="2"/>
      <x:c r="N590" s="2"/>
      <x:c r="O590" s="2" t="s">
        <x:v>1906</x:v>
      </x:c>
      <x:c r="P590" s="2" t="s">
        <x:v>1937</x:v>
      </x:c>
      <x:c r="Q590" s="2"/>
      <x:c r="R590" s="3">
        <x:v>3</x:v>
      </x:c>
      <x:c r="S590" s="3"/>
      <x:c r="T590" s="2"/>
      <x:c r="U590" s="2"/>
      <x:c r="V590" s="2"/>
      <x:c r="W590" s="2"/>
      <x:c r="X590" s="3"/>
      <x:c r="Y590" s="3"/>
      <x:c r="Z590" s="2"/>
      <x:c r="AA590" s="2"/>
      <x:c r="AB590" s="2"/>
      <x:c r="AC590" s="2" t="s">
        <x:v>367</x:v>
      </x:c>
      <x:c r="AD590" s="2" t="s">
        <x:v>317</x:v>
      </x:c>
      <x:c r="AE590" s="2" t="s">
        <x:v>344</x:v>
      </x:c>
      <x:c r="AF590" s="2" t="s">
        <x:v>319</x:v>
      </x:c>
      <x:c r="AG590" s="2"/>
      <x:c r="AH590" s="2"/>
      <x:c r="AI590" s="4"/>
      <x:c r="AJ590" s="2"/>
      <x:c r="AK590" s="2" t="s">
        <x:v>320</x:v>
      </x:c>
      <x:c r="AL590" s="2" t="s">
        <x:v>2857</x:v>
      </x:c>
      <x:c r="AM590" s="2">
        <x:v>140</x:v>
      </x:c>
      <x:c r="AN590" s="2">
        <x:v>140</x:v>
      </x:c>
    </x:row>
    <x:row r="591" ht="52">
      <x:c r="A591" s="2" t="s">
        <x:v>91</x:v>
      </x:c>
      <x:c r="B591" s="2" t="s">
        <x:v>16</x:v>
      </x:c>
      <x:c r="C591" s="3">
        <x:v>139</x:v>
      </x:c>
      <x:c r="D591" s="2" t="s">
        <x:v>1938</x:v>
      </x:c>
      <x:c r="E591" s="2" t="s">
        <x:v>1933</x:v>
      </x:c>
      <x:c r="F591" s="2" t="s">
        <x:v>1939</x:v>
      </x:c>
      <x:c r="G591" s="2" t="s">
        <x:v>2989</x:v>
      </x:c>
      <x:c r="H591" s="2" t="s">
        <x:v>1077</x:v>
      </x:c>
      <x:c r="I591" s="2" t="s">
        <x:v>1935</x:v>
      </x:c>
      <x:c r="J591" s="2" t="s">
        <x:v>1904</x:v>
      </x:c>
      <x:c r="K591" s="2" t="n">
        <x:v>138</x:v>
      </x:c>
      <x:c r="L591" s="2" t="s">
        <x:v>1941</x:v>
      </x:c>
      <x:c r="M591" s="2"/>
      <x:c r="N591" s="2"/>
      <x:c r="O591" s="2" t="s">
        <x:v>1910</x:v>
      </x:c>
      <x:c r="P591" s="2" t="s">
        <x:v>1942</x:v>
      </x:c>
      <x:c r="Q591" s="2"/>
      <x:c r="R591" s="3">
        <x:v>3</x:v>
      </x:c>
      <x:c r="S591" s="3"/>
      <x:c r="T591" s="2"/>
      <x:c r="U591" s="2"/>
      <x:c r="V591" s="2"/>
      <x:c r="W591" s="2"/>
      <x:c r="X591" s="3"/>
      <x:c r="Y591" s="3"/>
      <x:c r="Z591" s="2"/>
      <x:c r="AA591" s="2"/>
      <x:c r="AB591" s="2"/>
      <x:c r="AC591" s="2" t="s">
        <x:v>374</x:v>
      </x:c>
      <x:c r="AD591" s="2" t="s">
        <x:v>344</x:v>
      </x:c>
      <x:c r="AE591" s="2" t="s">
        <x:v>317</x:v>
      </x:c>
      <x:c r="AF591" s="2" t="s">
        <x:v>319</x:v>
      </x:c>
      <x:c r="AG591" s="2"/>
      <x:c r="AH591" s="2"/>
      <x:c r="AI591" s="4"/>
      <x:c r="AJ591" s="2"/>
      <x:c r="AK591" s="2" t="s">
        <x:v>320</x:v>
      </x:c>
      <x:c r="AL591" s="2" t="s">
        <x:v>2857</x:v>
      </x:c>
      <x:c r="AM591" s="2">
        <x:v>141</x:v>
      </x:c>
      <x:c r="AN591" s="2">
        <x:v>141</x:v>
      </x:c>
    </x:row>
    <x:row r="592" ht="39">
      <x:c r="A592" s="2" t="s">
        <x:v>91</x:v>
      </x:c>
      <x:c r="B592" s="2" t="s">
        <x:v>16</x:v>
      </x:c>
      <x:c r="C592" s="3">
        <x:v>140</x:v>
      </x:c>
      <x:c r="D592" s="2" t="s">
        <x:v>1932</x:v>
      </x:c>
      <x:c r="E592" s="2" t="s">
        <x:v>1933</x:v>
      </x:c>
      <x:c r="F592" s="2" t="s">
        <x:v>1943</x:v>
      </x:c>
      <x:c r="G592" s="2" t="s">
        <x:v>2990</x:v>
      </x:c>
      <x:c r="H592" s="2" t="s">
        <x:v>1912</x:v>
      </x:c>
      <x:c r="I592" s="2" t="s">
        <x:v>1935</x:v>
      </x:c>
      <x:c r="J592" s="2" t="s">
        <x:v>1913</x:v>
      </x:c>
      <x:c r="K592" s="2"/>
      <x:c r="L592" s="2" t="s">
        <x:v>1936</x:v>
      </x:c>
      <x:c r="M592" s="2"/>
      <x:c r="N592" s="2"/>
      <x:c r="O592" s="2" t="s">
        <x:v>1914</x:v>
      </x:c>
      <x:c r="P592" s="2" t="s">
        <x:v>1944</x:v>
      </x:c>
      <x:c r="Q592" s="2"/>
      <x:c r="R592" s="3">
        <x:v>3</x:v>
      </x:c>
      <x:c r="S592" s="3"/>
      <x:c r="T592" s="2"/>
      <x:c r="U592" s="2"/>
      <x:c r="V592" s="2"/>
      <x:c r="W592" s="2"/>
      <x:c r="X592" s="3"/>
      <x:c r="Y592" s="3"/>
      <x:c r="Z592" s="2"/>
      <x:c r="AA592" s="2"/>
      <x:c r="AB592" s="2"/>
      <x:c r="AC592" s="2" t="s">
        <x:v>367</x:v>
      </x:c>
      <x:c r="AD592" s="2" t="s">
        <x:v>317</x:v>
      </x:c>
      <x:c r="AE592" s="2" t="s">
        <x:v>344</x:v>
      </x:c>
      <x:c r="AF592" s="2" t="s">
        <x:v>319</x:v>
      </x:c>
      <x:c r="AG592" s="2"/>
      <x:c r="AH592" s="2"/>
      <x:c r="AI592" s="4"/>
      <x:c r="AJ592" s="2"/>
      <x:c r="AK592" s="2" t="s">
        <x:v>320</x:v>
      </x:c>
      <x:c r="AL592" s="2" t="s">
        <x:v>2857</x:v>
      </x:c>
      <x:c r="AM592" s="2">
        <x:v>142</x:v>
      </x:c>
      <x:c r="AN592" s="2">
        <x:v>142</x:v>
      </x:c>
    </x:row>
    <x:row r="593" ht="26">
      <x:c r="A593" s="2" t="s">
        <x:v>91</x:v>
      </x:c>
      <x:c r="B593" s="2" t="s">
        <x:v>16</x:v>
      </x:c>
      <x:c r="C593" s="3">
        <x:v>141</x:v>
      </x:c>
      <x:c r="D593" s="2" t="s">
        <x:v>1938</x:v>
      </x:c>
      <x:c r="E593" s="2" t="s">
        <x:v>1933</x:v>
      </x:c>
      <x:c r="F593" s="2" t="s">
        <x:v>1945</x:v>
      </x:c>
      <x:c r="G593" s="2" t="s">
        <x:v>158</x:v>
      </x:c>
      <x:c r="H593" s="2" t="s">
        <x:v>1912</x:v>
      </x:c>
      <x:c r="I593" s="2" t="s">
        <x:v>1935</x:v>
      </x:c>
      <x:c r="J593" s="2" t="s">
        <x:v>1913</x:v>
      </x:c>
      <x:c r="K593" s="2" t="n">
        <x:v>140</x:v>
      </x:c>
      <x:c r="L593" s="2" t="s">
        <x:v>1941</x:v>
      </x:c>
      <x:c r="M593" s="2"/>
      <x:c r="N593" s="2"/>
      <x:c r="O593" s="2" t="s">
        <x:v>1910</x:v>
      </x:c>
      <x:c r="P593" s="2" t="s">
        <x:v>1946</x:v>
      </x:c>
      <x:c r="Q593" s="2"/>
      <x:c r="R593" s="3">
        <x:v>3</x:v>
      </x:c>
      <x:c r="S593" s="3"/>
      <x:c r="T593" s="2"/>
      <x:c r="U593" s="2"/>
      <x:c r="V593" s="2"/>
      <x:c r="W593" s="2"/>
      <x:c r="X593" s="3"/>
      <x:c r="Y593" s="3"/>
      <x:c r="Z593" s="2"/>
      <x:c r="AA593" s="2"/>
      <x:c r="AB593" s="2"/>
      <x:c r="AC593" s="2" t="s">
        <x:v>374</x:v>
      </x:c>
      <x:c r="AD593" s="2" t="s">
        <x:v>344</x:v>
      </x:c>
      <x:c r="AE593" s="2" t="s">
        <x:v>317</x:v>
      </x:c>
      <x:c r="AF593" s="2" t="s">
        <x:v>319</x:v>
      </x:c>
      <x:c r="AG593" s="2"/>
      <x:c r="AH593" s="2"/>
      <x:c r="AI593" s="4"/>
      <x:c r="AJ593" s="2"/>
      <x:c r="AK593" s="2" t="s">
        <x:v>320</x:v>
      </x:c>
      <x:c r="AL593" s="2" t="s">
        <x:v>2857</x:v>
      </x:c>
      <x:c r="AM593" s="2">
        <x:v>143</x:v>
      </x:c>
      <x:c r="AN593" s="2">
        <x:v>143</x:v>
      </x:c>
    </x:row>
    <x:row r="594" ht="39">
      <x:c r="A594" s="2" t="s">
        <x:v>91</x:v>
      </x:c>
      <x:c r="B594" s="2" t="s">
        <x:v>16</x:v>
      </x:c>
      <x:c r="C594" s="3">
        <x:v>142</x:v>
      </x:c>
      <x:c r="D594" s="2" t="s">
        <x:v>369</x:v>
      </x:c>
      <x:c r="E594" s="2" t="s">
        <x:v>1947</x:v>
      </x:c>
      <x:c r="F594" s="2" t="s">
        <x:v>370</x:v>
      </x:c>
      <x:c r="G594" s="2" t="s">
        <x:v>158</x:v>
      </x:c>
      <x:c r="H594" s="2" t="s">
        <x:v>1912</x:v>
      </x:c>
      <x:c r="I594" s="2" t="s">
        <x:v>1948</x:v>
      </x:c>
      <x:c r="J594" s="2" t="s">
        <x:v>1913</x:v>
      </x:c>
      <x:c r="K594" s="2"/>
      <x:c r="L594" s="2" t="s">
        <x:v>1949</x:v>
      </x:c>
      <x:c r="M594" s="2"/>
      <x:c r="N594" s="2"/>
      <x:c r="O594" s="2" t="s">
        <x:v>1921</x:v>
      </x:c>
      <x:c r="P594" s="2" t="s">
        <x:v>1950</x:v>
      </x:c>
      <x:c r="Q594" s="2"/>
      <x:c r="R594" s="3">
        <x:v>4</x:v>
      </x:c>
      <x:c r="S594" s="3"/>
      <x:c r="T594" s="2"/>
      <x:c r="U594" s="2"/>
      <x:c r="V594" s="2"/>
      <x:c r="W594" s="2"/>
      <x:c r="X594" s="3"/>
      <x:c r="Y594" s="3"/>
      <x:c r="Z594" s="2"/>
      <x:c r="AA594" s="2"/>
      <x:c r="AB594" s="2"/>
      <x:c r="AC594" s="2" t="s">
        <x:v>374</x:v>
      </x:c>
      <x:c r="AD594" s="2" t="s">
        <x:v>368</x:v>
      </x:c>
      <x:c r="AE594" s="2" t="s">
        <x:v>318</x:v>
      </x:c>
      <x:c r="AF594" s="2" t="s">
        <x:v>319</x:v>
      </x:c>
      <x:c r="AG594" s="2"/>
      <x:c r="AH594" s="2"/>
      <x:c r="AI594" s="4"/>
      <x:c r="AJ594" s="2"/>
      <x:c r="AK594" s="2" t="s">
        <x:v>320</x:v>
      </x:c>
      <x:c r="AL594" s="2" t="s">
        <x:v>2857</x:v>
      </x:c>
      <x:c r="AM594" s="2">
        <x:v>144</x:v>
      </x:c>
      <x:c r="AN594" s="2">
        <x:v>144</x:v>
      </x:c>
    </x:row>
    <x:row r="595" ht="26">
      <x:c r="A595" s="2" t="s">
        <x:v>91</x:v>
      </x:c>
      <x:c r="B595" s="2" t="s">
        <x:v>16</x:v>
      </x:c>
      <x:c r="C595" s="3">
        <x:v>143</x:v>
      </x:c>
      <x:c r="D595" s="2" t="s">
        <x:v>375</x:v>
      </x:c>
      <x:c r="E595" s="2" t="s">
        <x:v>1947</x:v>
      </x:c>
      <x:c r="F595" s="2" t="s">
        <x:v>376</x:v>
      </x:c>
      <x:c r="G595" s="2" t="s">
        <x:v>158</x:v>
      </x:c>
      <x:c r="H595" s="2" t="s">
        <x:v>1912</x:v>
      </x:c>
      <x:c r="I595" s="2" t="s">
        <x:v>1948</x:v>
      </x:c>
      <x:c r="J595" s="2" t="s">
        <x:v>1913</x:v>
      </x:c>
      <x:c r="K595" s="2" t="n">
        <x:v>142</x:v>
      </x:c>
      <x:c r="L595" s="2" t="s">
        <x:v>1951</x:v>
      </x:c>
      <x:c r="M595" s="2"/>
      <x:c r="N595" s="2"/>
      <x:c r="O595" s="2" t="s">
        <x:v>1910</x:v>
      </x:c>
      <x:c r="P595" s="2" t="s">
        <x:v>1952</x:v>
      </x:c>
      <x:c r="Q595" s="2"/>
      <x:c r="R595" s="3">
        <x:v>4</x:v>
      </x:c>
      <x:c r="S595" s="3"/>
      <x:c r="T595" s="2"/>
      <x:c r="U595" s="2"/>
      <x:c r="V595" s="2"/>
      <x:c r="W595" s="2"/>
      <x:c r="X595" s="3"/>
      <x:c r="Y595" s="3"/>
      <x:c r="Z595" s="2"/>
      <x:c r="AA595" s="2"/>
      <x:c r="AB595" s="2"/>
      <x:c r="AC595" s="2" t="s">
        <x:v>367</x:v>
      </x:c>
      <x:c r="AD595" s="2" t="s">
        <x:v>318</x:v>
      </x:c>
      <x:c r="AE595" s="2" t="s">
        <x:v>368</x:v>
      </x:c>
      <x:c r="AF595" s="2" t="s">
        <x:v>319</x:v>
      </x:c>
      <x:c r="AG595" s="2"/>
      <x:c r="AH595" s="2"/>
      <x:c r="AI595" s="4"/>
      <x:c r="AJ595" s="2"/>
      <x:c r="AK595" s="2" t="s">
        <x:v>320</x:v>
      </x:c>
      <x:c r="AL595" s="2" t="s">
        <x:v>2857</x:v>
      </x:c>
      <x:c r="AM595" s="2">
        <x:v>145</x:v>
      </x:c>
      <x:c r="AN595" s="2">
        <x:v>145</x:v>
      </x:c>
    </x:row>
    <x:row r="596" ht="52">
      <x:c r="A596" s="2" t="s">
        <x:v>6</x:v>
      </x:c>
      <x:c r="B596" s="2" t="s">
        <x:v>16</x:v>
      </x:c>
      <x:c r="C596" s="3">
        <x:v>144</x:v>
      </x:c>
      <x:c r="D596" s="2" t="s">
        <x:v>369</x:v>
      </x:c>
      <x:c r="E596" s="2" t="s">
        <x:v>1947</x:v>
      </x:c>
      <x:c r="F596" s="2" t="s">
        <x:v>1953</x:v>
      </x:c>
      <x:c r="G596" s="2"/>
      <x:c r="H596" s="2" t="s">
        <x:v>1077</x:v>
      </x:c>
      <x:c r="I596" s="2" t="s">
        <x:v>1948</x:v>
      </x:c>
      <x:c r="J596" s="2" t="s">
        <x:v>1904</x:v>
      </x:c>
      <x:c r="K596" s="2"/>
      <x:c r="L596" s="2" t="s">
        <x:v>1949</x:v>
      </x:c>
      <x:c r="M596" s="2"/>
      <x:c r="N596" s="2"/>
      <x:c r="O596" s="2" t="s">
        <x:v>1928</x:v>
      </x:c>
      <x:c r="P596" s="2" t="s">
        <x:v>1954</x:v>
      </x:c>
      <x:c r="Q596" s="2"/>
      <x:c r="R596" s="3">
        <x:v>4</x:v>
      </x:c>
      <x:c r="S596" s="3"/>
      <x:c r="T596" s="2"/>
      <x:c r="U596" s="2"/>
      <x:c r="V596" s="2"/>
      <x:c r="W596" s="2"/>
      <x:c r="X596" s="3"/>
      <x:c r="Y596" s="3"/>
      <x:c r="Z596" s="2"/>
      <x:c r="AA596" s="2"/>
      <x:c r="AB596" s="2"/>
      <x:c r="AC596" s="2" t="s">
        <x:v>374</x:v>
      </x:c>
      <x:c r="AD596" s="2" t="s">
        <x:v>368</x:v>
      </x:c>
      <x:c r="AE596" s="2" t="s">
        <x:v>318</x:v>
      </x:c>
      <x:c r="AF596" s="2" t="s">
        <x:v>319</x:v>
      </x:c>
      <x:c r="AG596" s="2"/>
      <x:c r="AH596" s="2"/>
      <x:c r="AI596" s="4"/>
      <x:c r="AJ596" s="2"/>
      <x:c r="AK596" s="2" t="s">
        <x:v>320</x:v>
      </x:c>
      <x:c r="AL596" s="2" t="s">
        <x:v>2857</x:v>
      </x:c>
      <x:c r="AM596" s="2">
        <x:v>146</x:v>
      </x:c>
      <x:c r="AN596" s="2">
        <x:v>146</x:v>
      </x:c>
    </x:row>
    <x:row r="597" ht="52">
      <x:c r="A597" s="2" t="s">
        <x:v>6</x:v>
      </x:c>
      <x:c r="B597" s="2" t="s">
        <x:v>16</x:v>
      </x:c>
      <x:c r="C597" s="3">
        <x:v>145</x:v>
      </x:c>
      <x:c r="D597" s="2" t="s">
        <x:v>375</x:v>
      </x:c>
      <x:c r="E597" s="2" t="s">
        <x:v>1947</x:v>
      </x:c>
      <x:c r="F597" s="2" t="s">
        <x:v>1955</x:v>
      </x:c>
      <x:c r="G597" s="2"/>
      <x:c r="H597" s="2" t="s">
        <x:v>1077</x:v>
      </x:c>
      <x:c r="I597" s="2" t="s">
        <x:v>1948</x:v>
      </x:c>
      <x:c r="J597" s="2" t="s">
        <x:v>1904</x:v>
      </x:c>
      <x:c r="K597" s="2" t="n">
        <x:v>144</x:v>
      </x:c>
      <x:c r="L597" s="2" t="s">
        <x:v>1951</x:v>
      </x:c>
      <x:c r="M597" s="2"/>
      <x:c r="N597" s="2"/>
      <x:c r="O597" s="2" t="s">
        <x:v>1910</x:v>
      </x:c>
      <x:c r="P597" s="2" t="s">
        <x:v>1956</x:v>
      </x:c>
      <x:c r="Q597" s="2"/>
      <x:c r="R597" s="3">
        <x:v>4</x:v>
      </x:c>
      <x:c r="S597" s="3"/>
      <x:c r="T597" s="2"/>
      <x:c r="U597" s="2"/>
      <x:c r="V597" s="2"/>
      <x:c r="W597" s="2"/>
      <x:c r="X597" s="3"/>
      <x:c r="Y597" s="3"/>
      <x:c r="Z597" s="2"/>
      <x:c r="AA597" s="2"/>
      <x:c r="AB597" s="2"/>
      <x:c r="AC597" s="2" t="s">
        <x:v>367</x:v>
      </x:c>
      <x:c r="AD597" s="2" t="s">
        <x:v>318</x:v>
      </x:c>
      <x:c r="AE597" s="2" t="s">
        <x:v>368</x:v>
      </x:c>
      <x:c r="AF597" s="2" t="s">
        <x:v>319</x:v>
      </x:c>
      <x:c r="AG597" s="2"/>
      <x:c r="AH597" s="2"/>
      <x:c r="AI597" s="4"/>
      <x:c r="AJ597" s="2"/>
      <x:c r="AK597" s="2" t="s">
        <x:v>320</x:v>
      </x:c>
      <x:c r="AL597" s="2" t="s">
        <x:v>2857</x:v>
      </x:c>
      <x:c r="AM597" s="2">
        <x:v>147</x:v>
      </x:c>
      <x:c r="AN597" s="2">
        <x:v>147</x:v>
      </x:c>
    </x:row>
    <x:row r="598" ht="52">
      <x:c r="A598" s="2" t="s">
        <x:v>6</x:v>
      </x:c>
      <x:c r="B598" s="2" t="s">
        <x:v>16</x:v>
      </x:c>
      <x:c r="C598" s="3">
        <x:v>146</x:v>
      </x:c>
      <x:c r="D598" s="2" t="s">
        <x:v>1554</x:v>
      </x:c>
      <x:c r="E598" s="2" t="s">
        <x:v>1957</x:v>
      </x:c>
      <x:c r="F598" s="2" t="s">
        <x:v>1958</x:v>
      </x:c>
      <x:c r="G598" s="2"/>
      <x:c r="H598" s="2" t="s">
        <x:v>1077</x:v>
      </x:c>
      <x:c r="I598" s="2" t="s">
        <x:v>1959</x:v>
      </x:c>
      <x:c r="J598" s="2" t="s">
        <x:v>1904</x:v>
      </x:c>
      <x:c r="K598" s="2"/>
      <x:c r="L598" s="2" t="s">
        <x:v>1960</x:v>
      </x:c>
      <x:c r="M598" s="2"/>
      <x:c r="N598" s="2"/>
      <x:c r="O598" s="2" t="s">
        <x:v>1906</x:v>
      </x:c>
      <x:c r="P598" s="2" t="s">
        <x:v>1961</x:v>
      </x:c>
      <x:c r="Q598" s="2"/>
      <x:c r="R598" s="3">
        <x:v>3</x:v>
      </x:c>
      <x:c r="S598" s="3"/>
      <x:c r="T598" s="2"/>
      <x:c r="U598" s="2"/>
      <x:c r="V598" s="2"/>
      <x:c r="W598" s="2"/>
      <x:c r="X598" s="3"/>
      <x:c r="Y598" s="3"/>
      <x:c r="Z598" s="2"/>
      <x:c r="AA598" s="2"/>
      <x:c r="AB598" s="2"/>
      <x:c r="AC598" s="2" t="s">
        <x:v>367</x:v>
      </x:c>
      <x:c r="AD598" s="2" t="s">
        <x:v>368</x:v>
      </x:c>
      <x:c r="AE598" s="2" t="s">
        <x:v>344</x:v>
      </x:c>
      <x:c r="AF598" s="2" t="s">
        <x:v>319</x:v>
      </x:c>
      <x:c r="AG598" s="2"/>
      <x:c r="AH598" s="2"/>
      <x:c r="AI598" s="4"/>
      <x:c r="AJ598" s="2"/>
      <x:c r="AK598" s="2" t="s">
        <x:v>320</x:v>
      </x:c>
      <x:c r="AL598" s="2" t="s">
        <x:v>2857</x:v>
      </x:c>
      <x:c r="AM598" s="2">
        <x:v>148</x:v>
      </x:c>
      <x:c r="AN598" s="2">
        <x:v>148</x:v>
      </x:c>
    </x:row>
    <x:row r="599" ht="52">
      <x:c r="A599" s="2" t="s">
        <x:v>91</x:v>
      </x:c>
      <x:c r="B599" s="2" t="s">
        <x:v>16</x:v>
      </x:c>
      <x:c r="C599" s="3">
        <x:v>147</x:v>
      </x:c>
      <x:c r="D599" s="2" t="s">
        <x:v>1570</x:v>
      </x:c>
      <x:c r="E599" s="2" t="s">
        <x:v>1957</x:v>
      </x:c>
      <x:c r="F599" s="2" t="s">
        <x:v>1962</x:v>
      </x:c>
      <x:c r="G599" s="2" t="s">
        <x:v>2991</x:v>
      </x:c>
      <x:c r="H599" s="2" t="s">
        <x:v>1077</x:v>
      </x:c>
      <x:c r="I599" s="2" t="s">
        <x:v>1959</x:v>
      </x:c>
      <x:c r="J599" s="2" t="s">
        <x:v>1904</x:v>
      </x:c>
      <x:c r="K599" s="2" t="n">
        <x:v>146</x:v>
      </x:c>
      <x:c r="L599" s="2" t="s">
        <x:v>1963</x:v>
      </x:c>
      <x:c r="M599" s="2"/>
      <x:c r="N599" s="2"/>
      <x:c r="O599" s="2" t="s">
        <x:v>1910</x:v>
      </x:c>
      <x:c r="P599" s="2" t="s">
        <x:v>1964</x:v>
      </x:c>
      <x:c r="Q599" s="2"/>
      <x:c r="R599" s="3">
        <x:v>3</x:v>
      </x:c>
      <x:c r="S599" s="3"/>
      <x:c r="T599" s="2"/>
      <x:c r="U599" s="2"/>
      <x:c r="V599" s="2"/>
      <x:c r="W599" s="2"/>
      <x:c r="X599" s="3"/>
      <x:c r="Y599" s="3"/>
      <x:c r="Z599" s="2"/>
      <x:c r="AA599" s="2"/>
      <x:c r="AB599" s="2"/>
      <x:c r="AC599" s="2" t="s">
        <x:v>374</x:v>
      </x:c>
      <x:c r="AD599" s="2" t="s">
        <x:v>344</x:v>
      </x:c>
      <x:c r="AE599" s="2" t="s">
        <x:v>368</x:v>
      </x:c>
      <x:c r="AF599" s="2" t="s">
        <x:v>319</x:v>
      </x:c>
      <x:c r="AG599" s="2"/>
      <x:c r="AH599" s="2"/>
      <x:c r="AI599" s="4"/>
      <x:c r="AJ599" s="2"/>
      <x:c r="AK599" s="2" t="s">
        <x:v>320</x:v>
      </x:c>
      <x:c r="AL599" s="2" t="s">
        <x:v>2857</x:v>
      </x:c>
      <x:c r="AM599" s="2">
        <x:v>149</x:v>
      </x:c>
      <x:c r="AN599" s="2">
        <x:v>149</x:v>
      </x:c>
    </x:row>
    <x:row r="600" ht="39">
      <x:c r="A600" s="2" t="s">
        <x:v>91</x:v>
      </x:c>
      <x:c r="B600" s="2" t="s">
        <x:v>16</x:v>
      </x:c>
      <x:c r="C600" s="3">
        <x:v>148</x:v>
      </x:c>
      <x:c r="D600" s="2" t="s">
        <x:v>1554</x:v>
      </x:c>
      <x:c r="E600" s="2" t="s">
        <x:v>1957</x:v>
      </x:c>
      <x:c r="F600" s="2" t="s">
        <x:v>1556</x:v>
      </x:c>
      <x:c r="G600" s="2" t="s">
        <x:v>2992</x:v>
      </x:c>
      <x:c r="H600" s="2" t="s">
        <x:v>1912</x:v>
      </x:c>
      <x:c r="I600" s="2" t="s">
        <x:v>1959</x:v>
      </x:c>
      <x:c r="J600" s="2" t="s">
        <x:v>1913</x:v>
      </x:c>
      <x:c r="K600" s="2"/>
      <x:c r="L600" s="2" t="s">
        <x:v>1960</x:v>
      </x:c>
      <x:c r="M600" s="2"/>
      <x:c r="N600" s="2"/>
      <x:c r="O600" s="2" t="s">
        <x:v>1914</x:v>
      </x:c>
      <x:c r="P600" s="2" t="s">
        <x:v>1965</x:v>
      </x:c>
      <x:c r="Q600" s="2"/>
      <x:c r="R600" s="3">
        <x:v>3</x:v>
      </x:c>
      <x:c r="S600" s="3"/>
      <x:c r="T600" s="2"/>
      <x:c r="U600" s="2"/>
      <x:c r="V600" s="2"/>
      <x:c r="W600" s="2"/>
      <x:c r="X600" s="3"/>
      <x:c r="Y600" s="3"/>
      <x:c r="Z600" s="2"/>
      <x:c r="AA600" s="2"/>
      <x:c r="AB600" s="2"/>
      <x:c r="AC600" s="2" t="s">
        <x:v>367</x:v>
      </x:c>
      <x:c r="AD600" s="2" t="s">
        <x:v>368</x:v>
      </x:c>
      <x:c r="AE600" s="2" t="s">
        <x:v>344</x:v>
      </x:c>
      <x:c r="AF600" s="2" t="s">
        <x:v>319</x:v>
      </x:c>
      <x:c r="AG600" s="2"/>
      <x:c r="AH600" s="2"/>
      <x:c r="AI600" s="4"/>
      <x:c r="AJ600" s="2"/>
      <x:c r="AK600" s="2" t="s">
        <x:v>320</x:v>
      </x:c>
      <x:c r="AL600" s="2" t="s">
        <x:v>2857</x:v>
      </x:c>
      <x:c r="AM600" s="2">
        <x:v>150</x:v>
      </x:c>
      <x:c r="AN600" s="2">
        <x:v>150</x:v>
      </x:c>
    </x:row>
    <x:row r="601" ht="26">
      <x:c r="A601" s="2" t="s">
        <x:v>91</x:v>
      </x:c>
      <x:c r="B601" s="2" t="s">
        <x:v>16</x:v>
      </x:c>
      <x:c r="C601" s="3">
        <x:v>149</x:v>
      </x:c>
      <x:c r="D601" s="2" t="s">
        <x:v>1570</x:v>
      </x:c>
      <x:c r="E601" s="2" t="s">
        <x:v>1957</x:v>
      </x:c>
      <x:c r="F601" s="2" t="s">
        <x:v>1571</x:v>
      </x:c>
      <x:c r="G601" s="2" t="s">
        <x:v>2993</x:v>
      </x:c>
      <x:c r="H601" s="2" t="s">
        <x:v>1912</x:v>
      </x:c>
      <x:c r="I601" s="2" t="s">
        <x:v>1959</x:v>
      </x:c>
      <x:c r="J601" s="2" t="s">
        <x:v>1913</x:v>
      </x:c>
      <x:c r="K601" s="2" t="n">
        <x:v>148</x:v>
      </x:c>
      <x:c r="L601" s="2" t="s">
        <x:v>1963</x:v>
      </x:c>
      <x:c r="M601" s="2"/>
      <x:c r="N601" s="2"/>
      <x:c r="O601" s="2" t="s">
        <x:v>1910</x:v>
      </x:c>
      <x:c r="P601" s="2" t="s">
        <x:v>1967</x:v>
      </x:c>
      <x:c r="Q601" s="2"/>
      <x:c r="R601" s="3">
        <x:v>3</x:v>
      </x:c>
      <x:c r="S601" s="3"/>
      <x:c r="T601" s="2"/>
      <x:c r="U601" s="2"/>
      <x:c r="V601" s="2"/>
      <x:c r="W601" s="2"/>
      <x:c r="X601" s="3"/>
      <x:c r="Y601" s="3"/>
      <x:c r="Z601" s="2"/>
      <x:c r="AA601" s="2"/>
      <x:c r="AB601" s="2"/>
      <x:c r="AC601" s="2" t="s">
        <x:v>374</x:v>
      </x:c>
      <x:c r="AD601" s="2" t="s">
        <x:v>344</x:v>
      </x:c>
      <x:c r="AE601" s="2" t="s">
        <x:v>368</x:v>
      </x:c>
      <x:c r="AF601" s="2" t="s">
        <x:v>319</x:v>
      </x:c>
      <x:c r="AG601" s="2"/>
      <x:c r="AH601" s="2"/>
      <x:c r="AI601" s="4"/>
      <x:c r="AJ601" s="2"/>
      <x:c r="AK601" s="2" t="s">
        <x:v>320</x:v>
      </x:c>
      <x:c r="AL601" s="2" t="s">
        <x:v>2857</x:v>
      </x:c>
      <x:c r="AM601" s="2">
        <x:v>151</x:v>
      </x:c>
      <x:c r="AN601" s="2">
        <x:v>151</x:v>
      </x:c>
    </x:row>
    <x:row r="602" ht="39">
      <x:c r="A602" s="2" t="s">
        <x:v>91</x:v>
      </x:c>
      <x:c r="B602" s="2" t="s">
        <x:v>16</x:v>
      </x:c>
      <x:c r="C602" s="3">
        <x:v>150</x:v>
      </x:c>
      <x:c r="D602" s="2" t="s">
        <x:v>1968</x:v>
      </x:c>
      <x:c r="E602" s="2" t="s">
        <x:v>1575</x:v>
      </x:c>
      <x:c r="F602" s="2" t="s">
        <x:v>309</x:v>
      </x:c>
      <x:c r="G602" s="2" t="s">
        <x:v>158</x:v>
      </x:c>
      <x:c r="H602" s="2" t="s">
        <x:v>1912</x:v>
      </x:c>
      <x:c r="I602" s="2" t="s">
        <x:v>1970</x:v>
      </x:c>
      <x:c r="J602" s="2" t="s">
        <x:v>1913</x:v>
      </x:c>
      <x:c r="K602" s="2"/>
      <x:c r="L602" s="2" t="s">
        <x:v>1971</x:v>
      </x:c>
      <x:c r="M602" s="2"/>
      <x:c r="N602" s="2"/>
      <x:c r="O602" s="2" t="s">
        <x:v>1921</x:v>
      </x:c>
      <x:c r="P602" s="2" t="s">
        <x:v>1972</x:v>
      </x:c>
      <x:c r="Q602" s="2"/>
      <x:c r="R602" s="3">
        <x:v>4</x:v>
      </x:c>
      <x:c r="S602" s="3"/>
      <x:c r="T602" s="2"/>
      <x:c r="U602" s="2"/>
      <x:c r="V602" s="2"/>
      <x:c r="W602" s="2"/>
      <x:c r="X602" s="3"/>
      <x:c r="Y602" s="3"/>
      <x:c r="Z602" s="2"/>
      <x:c r="AA602" s="2"/>
      <x:c r="AB602" s="2"/>
      <x:c r="AC602" s="2" t="s">
        <x:v>316</x:v>
      </x:c>
      <x:c r="AD602" s="2" t="s">
        <x:v>317</x:v>
      </x:c>
      <x:c r="AE602" s="2" t="s">
        <x:v>318</x:v>
      </x:c>
      <x:c r="AF602" s="2" t="s">
        <x:v>319</x:v>
      </x:c>
      <x:c r="AG602" s="2"/>
      <x:c r="AH602" s="2"/>
      <x:c r="AI602" s="4"/>
      <x:c r="AJ602" s="2"/>
      <x:c r="AK602" s="2" t="s">
        <x:v>320</x:v>
      </x:c>
      <x:c r="AL602" s="2" t="s">
        <x:v>2857</x:v>
      </x:c>
      <x:c r="AM602" s="2">
        <x:v>152</x:v>
      </x:c>
      <x:c r="AN602" s="2">
        <x:v>152</x:v>
      </x:c>
    </x:row>
    <x:row r="603" ht="26">
      <x:c r="A603" s="2" t="s">
        <x:v>91</x:v>
      </x:c>
      <x:c r="B603" s="2" t="s">
        <x:v>16</x:v>
      </x:c>
      <x:c r="C603" s="3">
        <x:v>151</x:v>
      </x:c>
      <x:c r="D603" s="2" t="s">
        <x:v>332</x:v>
      </x:c>
      <x:c r="E603" s="2" t="s">
        <x:v>1575</x:v>
      </x:c>
      <x:c r="F603" s="2" t="s">
        <x:v>333</x:v>
      </x:c>
      <x:c r="G603" s="2"/>
      <x:c r="H603" s="2" t="s">
        <x:v>1912</x:v>
      </x:c>
      <x:c r="I603" s="2" t="s">
        <x:v>1970</x:v>
      </x:c>
      <x:c r="J603" s="2" t="s">
        <x:v>1913</x:v>
      </x:c>
      <x:c r="K603" s="2" t="n">
        <x:v>150</x:v>
      </x:c>
      <x:c r="L603" s="2" t="s">
        <x:v>1973</x:v>
      </x:c>
      <x:c r="M603" s="2"/>
      <x:c r="N603" s="2"/>
      <x:c r="O603" s="2" t="s">
        <x:v>1910</x:v>
      </x:c>
      <x:c r="P603" s="2" t="s">
        <x:v>1974</x:v>
      </x:c>
      <x:c r="Q603" s="2"/>
      <x:c r="R603" s="3">
        <x:v>4</x:v>
      </x:c>
      <x:c r="S603" s="3"/>
      <x:c r="T603" s="2"/>
      <x:c r="U603" s="2"/>
      <x:c r="V603" s="2"/>
      <x:c r="W603" s="2"/>
      <x:c r="X603" s="3"/>
      <x:c r="Y603" s="3"/>
      <x:c r="Z603" s="2"/>
      <x:c r="AA603" s="2"/>
      <x:c r="AB603" s="2"/>
      <x:c r="AC603" s="2" t="s">
        <x:v>326</x:v>
      </x:c>
      <x:c r="AD603" s="2" t="s">
        <x:v>318</x:v>
      </x:c>
      <x:c r="AE603" s="2" t="s">
        <x:v>317</x:v>
      </x:c>
      <x:c r="AF603" s="2" t="s">
        <x:v>319</x:v>
      </x:c>
      <x:c r="AG603" s="2"/>
      <x:c r="AH603" s="2"/>
      <x:c r="AI603" s="4"/>
      <x:c r="AJ603" s="2"/>
      <x:c r="AK603" s="2" t="s">
        <x:v>320</x:v>
      </x:c>
      <x:c r="AL603" s="2" t="s">
        <x:v>2857</x:v>
      </x:c>
      <x:c r="AM603" s="2">
        <x:v>153</x:v>
      </x:c>
      <x:c r="AN603" s="2">
        <x:v>153</x:v>
      </x:c>
    </x:row>
    <x:row r="604" ht="52">
      <x:c r="A604" s="2" t="s">
        <x:v>6</x:v>
      </x:c>
      <x:c r="B604" s="2" t="s">
        <x:v>16</x:v>
      </x:c>
      <x:c r="C604" s="3">
        <x:v>152</x:v>
      </x:c>
      <x:c r="D604" s="2" t="s">
        <x:v>1968</x:v>
      </x:c>
      <x:c r="E604" s="2" t="s">
        <x:v>1575</x:v>
      </x:c>
      <x:c r="F604" s="2" t="s">
        <x:v>1975</x:v>
      </x:c>
      <x:c r="G604" s="2"/>
      <x:c r="H604" s="2" t="s">
        <x:v>1077</x:v>
      </x:c>
      <x:c r="I604" s="2" t="s">
        <x:v>1970</x:v>
      </x:c>
      <x:c r="J604" s="2" t="s">
        <x:v>1904</x:v>
      </x:c>
      <x:c r="K604" s="2"/>
      <x:c r="L604" s="2" t="s">
        <x:v>1971</x:v>
      </x:c>
      <x:c r="M604" s="2"/>
      <x:c r="N604" s="2"/>
      <x:c r="O604" s="2" t="s">
        <x:v>1928</x:v>
      </x:c>
      <x:c r="P604" s="2" t="s">
        <x:v>1976</x:v>
      </x:c>
      <x:c r="Q604" s="2"/>
      <x:c r="R604" s="3">
        <x:v>4</x:v>
      </x:c>
      <x:c r="S604" s="3"/>
      <x:c r="T604" s="2"/>
      <x:c r="U604" s="2"/>
      <x:c r="V604" s="2"/>
      <x:c r="W604" s="2"/>
      <x:c r="X604" s="3"/>
      <x:c r="Y604" s="3"/>
      <x:c r="Z604" s="2"/>
      <x:c r="AA604" s="2"/>
      <x:c r="AB604" s="2"/>
      <x:c r="AC604" s="2" t="s">
        <x:v>316</x:v>
      </x:c>
      <x:c r="AD604" s="2" t="s">
        <x:v>317</x:v>
      </x:c>
      <x:c r="AE604" s="2" t="s">
        <x:v>318</x:v>
      </x:c>
      <x:c r="AF604" s="2" t="s">
        <x:v>319</x:v>
      </x:c>
      <x:c r="AG604" s="2"/>
      <x:c r="AH604" s="2"/>
      <x:c r="AI604" s="4"/>
      <x:c r="AJ604" s="2"/>
      <x:c r="AK604" s="2" t="s">
        <x:v>320</x:v>
      </x:c>
      <x:c r="AL604" s="2" t="s">
        <x:v>2857</x:v>
      </x:c>
      <x:c r="AM604" s="2">
        <x:v>154</x:v>
      </x:c>
      <x:c r="AN604" s="2">
        <x:v>154</x:v>
      </x:c>
    </x:row>
    <x:row r="605" ht="52">
      <x:c r="A605" s="2" t="s">
        <x:v>6</x:v>
      </x:c>
      <x:c r="B605" s="2" t="s">
        <x:v>16</x:v>
      </x:c>
      <x:c r="C605" s="3">
        <x:v>153</x:v>
      </x:c>
      <x:c r="D605" s="2" t="s">
        <x:v>332</x:v>
      </x:c>
      <x:c r="E605" s="2" t="s">
        <x:v>1575</x:v>
      </x:c>
      <x:c r="F605" s="2" t="s">
        <x:v>1977</x:v>
      </x:c>
      <x:c r="G605" s="2"/>
      <x:c r="H605" s="2" t="s">
        <x:v>1077</x:v>
      </x:c>
      <x:c r="I605" s="2" t="s">
        <x:v>1970</x:v>
      </x:c>
      <x:c r="J605" s="2" t="s">
        <x:v>1904</x:v>
      </x:c>
      <x:c r="K605" s="2" t="n">
        <x:v>152</x:v>
      </x:c>
      <x:c r="L605" s="2" t="s">
        <x:v>1973</x:v>
      </x:c>
      <x:c r="M605" s="2"/>
      <x:c r="N605" s="2"/>
      <x:c r="O605" s="2" t="s">
        <x:v>1910</x:v>
      </x:c>
      <x:c r="P605" s="2" t="s">
        <x:v>1978</x:v>
      </x:c>
      <x:c r="Q605" s="2"/>
      <x:c r="R605" s="3">
        <x:v>4</x:v>
      </x:c>
      <x:c r="S605" s="3"/>
      <x:c r="T605" s="2"/>
      <x:c r="U605" s="2"/>
      <x:c r="V605" s="2"/>
      <x:c r="W605" s="2"/>
      <x:c r="X605" s="3"/>
      <x:c r="Y605" s="3"/>
      <x:c r="Z605" s="2"/>
      <x:c r="AA605" s="2"/>
      <x:c r="AB605" s="2"/>
      <x:c r="AC605" s="2" t="s">
        <x:v>326</x:v>
      </x:c>
      <x:c r="AD605" s="2" t="s">
        <x:v>318</x:v>
      </x:c>
      <x:c r="AE605" s="2" t="s">
        <x:v>317</x:v>
      </x:c>
      <x:c r="AF605" s="2" t="s">
        <x:v>319</x:v>
      </x:c>
      <x:c r="AG605" s="2"/>
      <x:c r="AH605" s="2"/>
      <x:c r="AI605" s="4"/>
      <x:c r="AJ605" s="2"/>
      <x:c r="AK605" s="2" t="s">
        <x:v>320</x:v>
      </x:c>
      <x:c r="AL605" s="2" t="s">
        <x:v>2857</x:v>
      </x:c>
      <x:c r="AM605" s="2">
        <x:v>155</x:v>
      </x:c>
      <x:c r="AN605" s="2">
        <x:v>155</x:v>
      </x:c>
    </x:row>
    <x:row r="606" ht="52">
      <x:c r="A606" s="2" t="s">
        <x:v>6</x:v>
      </x:c>
      <x:c r="B606" s="2" t="s">
        <x:v>16</x:v>
      </x:c>
      <x:c r="C606" s="3">
        <x:v>154</x:v>
      </x:c>
      <x:c r="D606" s="2" t="s">
        <x:v>1979</x:v>
      </x:c>
      <x:c r="E606" s="2" t="s">
        <x:v>1933</x:v>
      </x:c>
      <x:c r="F606" s="2" t="s">
        <x:v>1980</x:v>
      </x:c>
      <x:c r="G606" s="2"/>
      <x:c r="H606" s="2" t="s">
        <x:v>1077</x:v>
      </x:c>
      <x:c r="I606" s="2" t="s">
        <x:v>1981</x:v>
      </x:c>
      <x:c r="J606" s="2" t="s">
        <x:v>1904</x:v>
      </x:c>
      <x:c r="K606" s="2"/>
      <x:c r="L606" s="2" t="s">
        <x:v>1982</x:v>
      </x:c>
      <x:c r="M606" s="2"/>
      <x:c r="N606" s="2"/>
      <x:c r="O606" s="2" t="s">
        <x:v>1906</x:v>
      </x:c>
      <x:c r="P606" s="2" t="s">
        <x:v>1983</x:v>
      </x:c>
      <x:c r="Q606" s="2"/>
      <x:c r="R606" s="3">
        <x:v>3</x:v>
      </x:c>
      <x:c r="S606" s="3"/>
      <x:c r="T606" s="2"/>
      <x:c r="U606" s="2"/>
      <x:c r="V606" s="2"/>
      <x:c r="W606" s="2"/>
      <x:c r="X606" s="3"/>
      <x:c r="Y606" s="3"/>
      <x:c r="Z606" s="2"/>
      <x:c r="AA606" s="2"/>
      <x:c r="AB606" s="2"/>
      <x:c r="AC606" s="2" t="s">
        <x:v>326</x:v>
      </x:c>
      <x:c r="AD606" s="2" t="s">
        <x:v>317</x:v>
      </x:c>
      <x:c r="AE606" s="2" t="s">
        <x:v>344</x:v>
      </x:c>
      <x:c r="AF606" s="2" t="s">
        <x:v>319</x:v>
      </x:c>
      <x:c r="AG606" s="2"/>
      <x:c r="AH606" s="2"/>
      <x:c r="AI606" s="4"/>
      <x:c r="AJ606" s="2"/>
      <x:c r="AK606" s="2" t="s">
        <x:v>320</x:v>
      </x:c>
      <x:c r="AL606" s="2" t="s">
        <x:v>2857</x:v>
      </x:c>
      <x:c r="AM606" s="2">
        <x:v>156</x:v>
      </x:c>
      <x:c r="AN606" s="2">
        <x:v>156</x:v>
      </x:c>
    </x:row>
    <x:row r="607" ht="52">
      <x:c r="A607" s="2" t="s">
        <x:v>6</x:v>
      </x:c>
      <x:c r="B607" s="2" t="s">
        <x:v>16</x:v>
      </x:c>
      <x:c r="C607" s="3">
        <x:v>155</x:v>
      </x:c>
      <x:c r="D607" s="2" t="s">
        <x:v>1984</x:v>
      </x:c>
      <x:c r="E607" s="2" t="s">
        <x:v>1933</x:v>
      </x:c>
      <x:c r="F607" s="2" t="s">
        <x:v>1985</x:v>
      </x:c>
      <x:c r="G607" s="2"/>
      <x:c r="H607" s="2" t="s">
        <x:v>1077</x:v>
      </x:c>
      <x:c r="I607" s="2" t="s">
        <x:v>1981</x:v>
      </x:c>
      <x:c r="J607" s="2" t="s">
        <x:v>1904</x:v>
      </x:c>
      <x:c r="K607" s="2" t="n">
        <x:v>154</x:v>
      </x:c>
      <x:c r="L607" s="2" t="s">
        <x:v>1986</x:v>
      </x:c>
      <x:c r="M607" s="2"/>
      <x:c r="N607" s="2"/>
      <x:c r="O607" s="2" t="s">
        <x:v>1910</x:v>
      </x:c>
      <x:c r="P607" s="2" t="s">
        <x:v>1987</x:v>
      </x:c>
      <x:c r="Q607" s="2"/>
      <x:c r="R607" s="3">
        <x:v>3</x:v>
      </x:c>
      <x:c r="S607" s="3"/>
      <x:c r="T607" s="2"/>
      <x:c r="U607" s="2"/>
      <x:c r="V607" s="2"/>
      <x:c r="W607" s="2"/>
      <x:c r="X607" s="3"/>
      <x:c r="Y607" s="3"/>
      <x:c r="Z607" s="2"/>
      <x:c r="AA607" s="2"/>
      <x:c r="AB607" s="2"/>
      <x:c r="AC607" s="2" t="s">
        <x:v>316</x:v>
      </x:c>
      <x:c r="AD607" s="2" t="s">
        <x:v>344</x:v>
      </x:c>
      <x:c r="AE607" s="2" t="s">
        <x:v>317</x:v>
      </x:c>
      <x:c r="AF607" s="2" t="s">
        <x:v>319</x:v>
      </x:c>
      <x:c r="AG607" s="2"/>
      <x:c r="AH607" s="2"/>
      <x:c r="AI607" s="4"/>
      <x:c r="AJ607" s="2"/>
      <x:c r="AK607" s="2" t="s">
        <x:v>320</x:v>
      </x:c>
      <x:c r="AL607" s="2" t="s">
        <x:v>2857</x:v>
      </x:c>
      <x:c r="AM607" s="2">
        <x:v>157</x:v>
      </x:c>
      <x:c r="AN607" s="2">
        <x:v>157</x:v>
      </x:c>
    </x:row>
    <x:row r="608" ht="39">
      <x:c r="A608" s="2" t="s">
        <x:v>91</x:v>
      </x:c>
      <x:c r="B608" s="2" t="s">
        <x:v>16</x:v>
      </x:c>
      <x:c r="C608" s="3">
        <x:v>156</x:v>
      </x:c>
      <x:c r="D608" s="2" t="s">
        <x:v>1979</x:v>
      </x:c>
      <x:c r="E608" s="2" t="s">
        <x:v>1933</x:v>
      </x:c>
      <x:c r="F608" s="2" t="s">
        <x:v>346</x:v>
      </x:c>
      <x:c r="G608" s="2" t="s">
        <x:v>158</x:v>
      </x:c>
      <x:c r="H608" s="2" t="s">
        <x:v>1912</x:v>
      </x:c>
      <x:c r="I608" s="2" t="s">
        <x:v>1981</x:v>
      </x:c>
      <x:c r="J608" s="2" t="s">
        <x:v>1913</x:v>
      </x:c>
      <x:c r="K608" s="2"/>
      <x:c r="L608" s="2" t="s">
        <x:v>1982</x:v>
      </x:c>
      <x:c r="M608" s="2"/>
      <x:c r="N608" s="2"/>
      <x:c r="O608" s="2" t="s">
        <x:v>1914</x:v>
      </x:c>
      <x:c r="P608" s="2" t="s">
        <x:v>1988</x:v>
      </x:c>
      <x:c r="Q608" s="2"/>
      <x:c r="R608" s="3">
        <x:v>3</x:v>
      </x:c>
      <x:c r="S608" s="3"/>
      <x:c r="T608" s="2"/>
      <x:c r="U608" s="2"/>
      <x:c r="V608" s="2"/>
      <x:c r="W608" s="2"/>
      <x:c r="X608" s="3"/>
      <x:c r="Y608" s="3"/>
      <x:c r="Z608" s="2"/>
      <x:c r="AA608" s="2"/>
      <x:c r="AB608" s="2"/>
      <x:c r="AC608" s="2" t="s">
        <x:v>326</x:v>
      </x:c>
      <x:c r="AD608" s="2" t="s">
        <x:v>317</x:v>
      </x:c>
      <x:c r="AE608" s="2" t="s">
        <x:v>344</x:v>
      </x:c>
      <x:c r="AF608" s="2" t="s">
        <x:v>319</x:v>
      </x:c>
      <x:c r="AG608" s="2"/>
      <x:c r="AH608" s="2"/>
      <x:c r="AI608" s="4"/>
      <x:c r="AJ608" s="2"/>
      <x:c r="AK608" s="2" t="s">
        <x:v>320</x:v>
      </x:c>
      <x:c r="AL608" s="2" t="s">
        <x:v>2857</x:v>
      </x:c>
      <x:c r="AM608" s="2">
        <x:v>158</x:v>
      </x:c>
      <x:c r="AN608" s="2">
        <x:v>158</x:v>
      </x:c>
    </x:row>
    <x:row r="609" ht="39">
      <x:c r="A609" s="2" t="s">
        <x:v>6</x:v>
      </x:c>
      <x:c r="B609" s="2" t="s">
        <x:v>16</x:v>
      </x:c>
      <x:c r="C609" s="3">
        <x:v>157</x:v>
      </x:c>
      <x:c r="D609" s="2" t="s">
        <x:v>1984</x:v>
      </x:c>
      <x:c r="E609" s="2" t="s">
        <x:v>1933</x:v>
      </x:c>
      <x:c r="F609" s="2" t="s">
        <x:v>351</x:v>
      </x:c>
      <x:c r="G609" s="2" t="s">
        <x:v>2994</x:v>
      </x:c>
      <x:c r="H609" s="2" t="s">
        <x:v>1912</x:v>
      </x:c>
      <x:c r="I609" s="2" t="s">
        <x:v>1981</x:v>
      </x:c>
      <x:c r="J609" s="2" t="s">
        <x:v>1913</x:v>
      </x:c>
      <x:c r="K609" s="2" t="n">
        <x:v>156</x:v>
      </x:c>
      <x:c r="L609" s="2" t="s">
        <x:v>1986</x:v>
      </x:c>
      <x:c r="M609" s="2"/>
      <x:c r="N609" s="2"/>
      <x:c r="O609" s="2" t="s">
        <x:v>1910</x:v>
      </x:c>
      <x:c r="P609" s="2" t="s">
        <x:v>1989</x:v>
      </x:c>
      <x:c r="Q609" s="2"/>
      <x:c r="R609" s="3">
        <x:v>3</x:v>
      </x:c>
      <x:c r="S609" s="3"/>
      <x:c r="T609" s="2"/>
      <x:c r="U609" s="2"/>
      <x:c r="V609" s="2"/>
      <x:c r="W609" s="2"/>
      <x:c r="X609" s="3"/>
      <x:c r="Y609" s="3"/>
      <x:c r="Z609" s="2"/>
      <x:c r="AA609" s="2"/>
      <x:c r="AB609" s="2"/>
      <x:c r="AC609" s="2" t="s">
        <x:v>316</x:v>
      </x:c>
      <x:c r="AD609" s="2" t="s">
        <x:v>344</x:v>
      </x:c>
      <x:c r="AE609" s="2" t="s">
        <x:v>317</x:v>
      </x:c>
      <x:c r="AF609" s="2" t="s">
        <x:v>319</x:v>
      </x:c>
      <x:c r="AG609" s="2"/>
      <x:c r="AH609" s="2"/>
      <x:c r="AI609" s="4"/>
      <x:c r="AJ609" s="2"/>
      <x:c r="AK609" s="2" t="s">
        <x:v>320</x:v>
      </x:c>
      <x:c r="AL609" s="2" t="s">
        <x:v>2857</x:v>
      </x:c>
      <x:c r="AM609" s="2">
        <x:v>159</x:v>
      </x:c>
      <x:c r="AN609" s="2">
        <x:v>159</x:v>
      </x:c>
    </x:row>
    <x:row r="610" ht="39">
      <x:c r="A610" s="2" t="s">
        <x:v>91</x:v>
      </x:c>
      <x:c r="B610" s="2" t="s">
        <x:v>16</x:v>
      </x:c>
      <x:c r="C610" s="3">
        <x:v>158</x:v>
      </x:c>
      <x:c r="D610" s="2" t="s">
        <x:v>1990</x:v>
      </x:c>
      <x:c r="E610" s="2" t="s">
        <x:v>1947</x:v>
      </x:c>
      <x:c r="F610" s="2" t="s">
        <x:v>1991</x:v>
      </x:c>
      <x:c r="G610" s="2" t="s">
        <x:v>158</x:v>
      </x:c>
      <x:c r="H610" s="2" t="s">
        <x:v>1912</x:v>
      </x:c>
      <x:c r="I610" s="2" t="s">
        <x:v>1992</x:v>
      </x:c>
      <x:c r="J610" s="2" t="s">
        <x:v>1913</x:v>
      </x:c>
      <x:c r="K610" s="2"/>
      <x:c r="L610" s="2" t="s">
        <x:v>1993</x:v>
      </x:c>
      <x:c r="M610" s="2"/>
      <x:c r="N610" s="2"/>
      <x:c r="O610" s="2" t="s">
        <x:v>1921</x:v>
      </x:c>
      <x:c r="P610" s="2" t="s">
        <x:v>1994</x:v>
      </x:c>
      <x:c r="Q610" s="2"/>
      <x:c r="R610" s="3">
        <x:v>4</x:v>
      </x:c>
      <x:c r="S610" s="3"/>
      <x:c r="T610" s="2"/>
      <x:c r="U610" s="2"/>
      <x:c r="V610" s="2"/>
      <x:c r="W610" s="2"/>
      <x:c r="X610" s="3"/>
      <x:c r="Y610" s="3"/>
      <x:c r="Z610" s="2"/>
      <x:c r="AA610" s="2"/>
      <x:c r="AB610" s="2"/>
      <x:c r="AC610" s="2" t="s">
        <x:v>316</x:v>
      </x:c>
      <x:c r="AD610" s="2" t="s">
        <x:v>368</x:v>
      </x:c>
      <x:c r="AE610" s="2" t="s">
        <x:v>318</x:v>
      </x:c>
      <x:c r="AF610" s="2" t="s">
        <x:v>319</x:v>
      </x:c>
      <x:c r="AG610" s="2"/>
      <x:c r="AH610" s="2"/>
      <x:c r="AI610" s="4"/>
      <x:c r="AJ610" s="2"/>
      <x:c r="AK610" s="2" t="s">
        <x:v>320</x:v>
      </x:c>
      <x:c r="AL610" s="2" t="s">
        <x:v>2857</x:v>
      </x:c>
      <x:c r="AM610" s="2">
        <x:v>160</x:v>
      </x:c>
      <x:c r="AN610" s="2">
        <x:v>160</x:v>
      </x:c>
    </x:row>
    <x:row r="611" ht="26">
      <x:c r="A611" s="2" t="s">
        <x:v>91</x:v>
      </x:c>
      <x:c r="B611" s="2" t="s">
        <x:v>16</x:v>
      </x:c>
      <x:c r="C611" s="3">
        <x:v>159</x:v>
      </x:c>
      <x:c r="D611" s="2" t="s">
        <x:v>1995</x:v>
      </x:c>
      <x:c r="E611" s="2" t="s">
        <x:v>1947</x:v>
      </x:c>
      <x:c r="F611" s="2" t="s">
        <x:v>1996</x:v>
      </x:c>
      <x:c r="G611" s="2" t="s">
        <x:v>158</x:v>
      </x:c>
      <x:c r="H611" s="2" t="s">
        <x:v>1912</x:v>
      </x:c>
      <x:c r="I611" s="2" t="s">
        <x:v>1992</x:v>
      </x:c>
      <x:c r="J611" s="2" t="s">
        <x:v>1913</x:v>
      </x:c>
      <x:c r="K611" s="2" t="n">
        <x:v>158</x:v>
      </x:c>
      <x:c r="L611" s="2" t="s">
        <x:v>1997</x:v>
      </x:c>
      <x:c r="M611" s="2"/>
      <x:c r="N611" s="2"/>
      <x:c r="O611" s="2" t="s">
        <x:v>1910</x:v>
      </x:c>
      <x:c r="P611" s="2" t="s">
        <x:v>1998</x:v>
      </x:c>
      <x:c r="Q611" s="2"/>
      <x:c r="R611" s="3">
        <x:v>4</x:v>
      </x:c>
      <x:c r="S611" s="3"/>
      <x:c r="T611" s="2"/>
      <x:c r="U611" s="2"/>
      <x:c r="V611" s="2"/>
      <x:c r="W611" s="2"/>
      <x:c r="X611" s="3"/>
      <x:c r="Y611" s="3"/>
      <x:c r="Z611" s="2"/>
      <x:c r="AA611" s="2"/>
      <x:c r="AB611" s="2"/>
      <x:c r="AC611" s="2" t="s">
        <x:v>326</x:v>
      </x:c>
      <x:c r="AD611" s="2" t="s">
        <x:v>318</x:v>
      </x:c>
      <x:c r="AE611" s="2" t="s">
        <x:v>368</x:v>
      </x:c>
      <x:c r="AF611" s="2" t="s">
        <x:v>319</x:v>
      </x:c>
      <x:c r="AG611" s="2"/>
      <x:c r="AH611" s="2"/>
      <x:c r="AI611" s="4"/>
      <x:c r="AJ611" s="2"/>
      <x:c r="AK611" s="2" t="s">
        <x:v>320</x:v>
      </x:c>
      <x:c r="AL611" s="2" t="s">
        <x:v>2857</x:v>
      </x:c>
      <x:c r="AM611" s="2">
        <x:v>161</x:v>
      </x:c>
      <x:c r="AN611" s="2">
        <x:v>161</x:v>
      </x:c>
    </x:row>
    <x:row r="612" ht="52">
      <x:c r="A612" s="2" t="s">
        <x:v>6</x:v>
      </x:c>
      <x:c r="B612" s="2" t="s">
        <x:v>16</x:v>
      </x:c>
      <x:c r="C612" s="3">
        <x:v>160</x:v>
      </x:c>
      <x:c r="D612" s="2" t="s">
        <x:v>1990</x:v>
      </x:c>
      <x:c r="E612" s="2" t="s">
        <x:v>1947</x:v>
      </x:c>
      <x:c r="F612" s="2" t="s">
        <x:v>1999</x:v>
      </x:c>
      <x:c r="G612" s="2"/>
      <x:c r="H612" s="2" t="s">
        <x:v>1077</x:v>
      </x:c>
      <x:c r="I612" s="2" t="s">
        <x:v>1992</x:v>
      </x:c>
      <x:c r="J612" s="2" t="s">
        <x:v>1904</x:v>
      </x:c>
      <x:c r="K612" s="2"/>
      <x:c r="L612" s="2" t="s">
        <x:v>1993</x:v>
      </x:c>
      <x:c r="M612" s="2"/>
      <x:c r="N612" s="2"/>
      <x:c r="O612" s="2" t="s">
        <x:v>1928</x:v>
      </x:c>
      <x:c r="P612" s="2" t="s">
        <x:v>2000</x:v>
      </x:c>
      <x:c r="Q612" s="2"/>
      <x:c r="R612" s="3">
        <x:v>4</x:v>
      </x:c>
      <x:c r="S612" s="3"/>
      <x:c r="T612" s="2"/>
      <x:c r="U612" s="2"/>
      <x:c r="V612" s="2"/>
      <x:c r="W612" s="2"/>
      <x:c r="X612" s="3"/>
      <x:c r="Y612" s="3"/>
      <x:c r="Z612" s="2"/>
      <x:c r="AA612" s="2"/>
      <x:c r="AB612" s="2"/>
      <x:c r="AC612" s="2" t="s">
        <x:v>316</x:v>
      </x:c>
      <x:c r="AD612" s="2" t="s">
        <x:v>368</x:v>
      </x:c>
      <x:c r="AE612" s="2" t="s">
        <x:v>318</x:v>
      </x:c>
      <x:c r="AF612" s="2" t="s">
        <x:v>319</x:v>
      </x:c>
      <x:c r="AG612" s="2"/>
      <x:c r="AH612" s="2"/>
      <x:c r="AI612" s="4"/>
      <x:c r="AJ612" s="2"/>
      <x:c r="AK612" s="2" t="s">
        <x:v>320</x:v>
      </x:c>
      <x:c r="AL612" s="2" t="s">
        <x:v>2857</x:v>
      </x:c>
      <x:c r="AM612" s="2">
        <x:v>162</x:v>
      </x:c>
      <x:c r="AN612" s="2">
        <x:v>162</x:v>
      </x:c>
    </x:row>
    <x:row r="613" ht="52">
      <x:c r="A613" s="2" t="s">
        <x:v>6</x:v>
      </x:c>
      <x:c r="B613" s="2" t="s">
        <x:v>16</x:v>
      </x:c>
      <x:c r="C613" s="3">
        <x:v>161</x:v>
      </x:c>
      <x:c r="D613" s="2" t="s">
        <x:v>1995</x:v>
      </x:c>
      <x:c r="E613" s="2" t="s">
        <x:v>1947</x:v>
      </x:c>
      <x:c r="F613" s="2" t="s">
        <x:v>2001</x:v>
      </x:c>
      <x:c r="G613" s="2"/>
      <x:c r="H613" s="2" t="s">
        <x:v>1077</x:v>
      </x:c>
      <x:c r="I613" s="2" t="s">
        <x:v>1992</x:v>
      </x:c>
      <x:c r="J613" s="2" t="s">
        <x:v>1904</x:v>
      </x:c>
      <x:c r="K613" s="2" t="n">
        <x:v>160</x:v>
      </x:c>
      <x:c r="L613" s="2" t="s">
        <x:v>1997</x:v>
      </x:c>
      <x:c r="M613" s="2"/>
      <x:c r="N613" s="2"/>
      <x:c r="O613" s="2" t="s">
        <x:v>1910</x:v>
      </x:c>
      <x:c r="P613" s="2" t="s">
        <x:v>2002</x:v>
      </x:c>
      <x:c r="Q613" s="2"/>
      <x:c r="R613" s="3">
        <x:v>4</x:v>
      </x:c>
      <x:c r="S613" s="3"/>
      <x:c r="T613" s="2"/>
      <x:c r="U613" s="2"/>
      <x:c r="V613" s="2"/>
      <x:c r="W613" s="2"/>
      <x:c r="X613" s="3"/>
      <x:c r="Y613" s="3"/>
      <x:c r="Z613" s="2"/>
      <x:c r="AA613" s="2"/>
      <x:c r="AB613" s="2"/>
      <x:c r="AC613" s="2" t="s">
        <x:v>326</x:v>
      </x:c>
      <x:c r="AD613" s="2" t="s">
        <x:v>318</x:v>
      </x:c>
      <x:c r="AE613" s="2" t="s">
        <x:v>368</x:v>
      </x:c>
      <x:c r="AF613" s="2" t="s">
        <x:v>319</x:v>
      </x:c>
      <x:c r="AG613" s="2"/>
      <x:c r="AH613" s="2"/>
      <x:c r="AI613" s="4"/>
      <x:c r="AJ613" s="2"/>
      <x:c r="AK613" s="2" t="s">
        <x:v>320</x:v>
      </x:c>
      <x:c r="AL613" s="2" t="s">
        <x:v>2857</x:v>
      </x:c>
      <x:c r="AM613" s="2">
        <x:v>163</x:v>
      </x:c>
      <x:c r="AN613" s="2">
        <x:v>163</x:v>
      </x:c>
    </x:row>
    <x:row r="614" ht="52">
      <x:c r="A614" s="2" t="s">
        <x:v>6</x:v>
      </x:c>
      <x:c r="B614" s="2" t="s">
        <x:v>16</x:v>
      </x:c>
      <x:c r="C614" s="3">
        <x:v>162</x:v>
      </x:c>
      <x:c r="D614" s="2" t="s">
        <x:v>2003</x:v>
      </x:c>
      <x:c r="E614" s="2" t="s">
        <x:v>1957</x:v>
      </x:c>
      <x:c r="F614" s="2" t="s">
        <x:v>2004</x:v>
      </x:c>
      <x:c r="G614" s="2"/>
      <x:c r="H614" s="2" t="s">
        <x:v>1077</x:v>
      </x:c>
      <x:c r="I614" s="2" t="s">
        <x:v>2005</x:v>
      </x:c>
      <x:c r="J614" s="2" t="s">
        <x:v>1904</x:v>
      </x:c>
      <x:c r="K614" s="2"/>
      <x:c r="L614" s="2" t="s">
        <x:v>2006</x:v>
      </x:c>
      <x:c r="M614" s="2"/>
      <x:c r="N614" s="2"/>
      <x:c r="O614" s="2" t="s">
        <x:v>1906</x:v>
      </x:c>
      <x:c r="P614" s="2" t="s">
        <x:v>2007</x:v>
      </x:c>
      <x:c r="Q614" s="2"/>
      <x:c r="R614" s="3">
        <x:v>3</x:v>
      </x:c>
      <x:c r="S614" s="3"/>
      <x:c r="T614" s="2"/>
      <x:c r="U614" s="2"/>
      <x:c r="V614" s="2"/>
      <x:c r="W614" s="2"/>
      <x:c r="X614" s="3"/>
      <x:c r="Y614" s="3"/>
      <x:c r="Z614" s="2"/>
      <x:c r="AA614" s="2"/>
      <x:c r="AB614" s="2"/>
      <x:c r="AC614" s="2" t="s">
        <x:v>326</x:v>
      </x:c>
      <x:c r="AD614" s="2" t="s">
        <x:v>368</x:v>
      </x:c>
      <x:c r="AE614" s="2" t="s">
        <x:v>344</x:v>
      </x:c>
      <x:c r="AF614" s="2" t="s">
        <x:v>319</x:v>
      </x:c>
      <x:c r="AG614" s="2"/>
      <x:c r="AH614" s="2"/>
      <x:c r="AI614" s="4"/>
      <x:c r="AJ614" s="2"/>
      <x:c r="AK614" s="2" t="s">
        <x:v>320</x:v>
      </x:c>
      <x:c r="AL614" s="2" t="s">
        <x:v>2857</x:v>
      </x:c>
      <x:c r="AM614" s="2">
        <x:v>164</x:v>
      </x:c>
      <x:c r="AN614" s="2">
        <x:v>164</x:v>
      </x:c>
    </x:row>
    <x:row r="615" ht="52">
      <x:c r="A615" s="2" t="s">
        <x:v>6</x:v>
      </x:c>
      <x:c r="B615" s="2" t="s">
        <x:v>16</x:v>
      </x:c>
      <x:c r="C615" s="3">
        <x:v>163</x:v>
      </x:c>
      <x:c r="D615" s="2" t="s">
        <x:v>2008</x:v>
      </x:c>
      <x:c r="E615" s="2" t="s">
        <x:v>1957</x:v>
      </x:c>
      <x:c r="F615" s="2" t="s">
        <x:v>2009</x:v>
      </x:c>
      <x:c r="G615" s="2"/>
      <x:c r="H615" s="2" t="s">
        <x:v>1077</x:v>
      </x:c>
      <x:c r="I615" s="2" t="s">
        <x:v>2005</x:v>
      </x:c>
      <x:c r="J615" s="2" t="s">
        <x:v>1904</x:v>
      </x:c>
      <x:c r="K615" s="2" t="n">
        <x:v>162</x:v>
      </x:c>
      <x:c r="L615" s="2" t="s">
        <x:v>2010</x:v>
      </x:c>
      <x:c r="M615" s="2"/>
      <x:c r="N615" s="2"/>
      <x:c r="O615" s="2" t="s">
        <x:v>1910</x:v>
      </x:c>
      <x:c r="P615" s="2" t="s">
        <x:v>2011</x:v>
      </x:c>
      <x:c r="Q615" s="2"/>
      <x:c r="R615" s="3">
        <x:v>3</x:v>
      </x:c>
      <x:c r="S615" s="3"/>
      <x:c r="T615" s="2"/>
      <x:c r="U615" s="2"/>
      <x:c r="V615" s="2"/>
      <x:c r="W615" s="2"/>
      <x:c r="X615" s="3"/>
      <x:c r="Y615" s="3"/>
      <x:c r="Z615" s="2"/>
      <x:c r="AA615" s="2"/>
      <x:c r="AB615" s="2"/>
      <x:c r="AC615" s="2" t="s">
        <x:v>316</x:v>
      </x:c>
      <x:c r="AD615" s="2" t="s">
        <x:v>344</x:v>
      </x:c>
      <x:c r="AE615" s="2" t="s">
        <x:v>368</x:v>
      </x:c>
      <x:c r="AF615" s="2" t="s">
        <x:v>319</x:v>
      </x:c>
      <x:c r="AG615" s="2"/>
      <x:c r="AH615" s="2"/>
      <x:c r="AI615" s="4"/>
      <x:c r="AJ615" s="2"/>
      <x:c r="AK615" s="2" t="s">
        <x:v>320</x:v>
      </x:c>
      <x:c r="AL615" s="2" t="s">
        <x:v>2857</x:v>
      </x:c>
      <x:c r="AM615" s="2">
        <x:v>165</x:v>
      </x:c>
      <x:c r="AN615" s="2">
        <x:v>165</x:v>
      </x:c>
    </x:row>
    <x:row r="616" ht="39">
      <x:c r="A616" s="2" t="s">
        <x:v>91</x:v>
      </x:c>
      <x:c r="B616" s="2" t="s">
        <x:v>16</x:v>
      </x:c>
      <x:c r="C616" s="3">
        <x:v>164</x:v>
      </x:c>
      <x:c r="D616" s="2" t="s">
        <x:v>2003</x:v>
      </x:c>
      <x:c r="E616" s="2" t="s">
        <x:v>1957</x:v>
      </x:c>
      <x:c r="F616" s="2" t="s">
        <x:v>2012</x:v>
      </x:c>
      <x:c r="G616" s="2" t="s">
        <x:v>158</x:v>
      </x:c>
      <x:c r="H616" s="2" t="s">
        <x:v>1912</x:v>
      </x:c>
      <x:c r="I616" s="2" t="s">
        <x:v>2005</x:v>
      </x:c>
      <x:c r="J616" s="2" t="s">
        <x:v>1913</x:v>
      </x:c>
      <x:c r="K616" s="2"/>
      <x:c r="L616" s="2" t="s">
        <x:v>2006</x:v>
      </x:c>
      <x:c r="M616" s="2"/>
      <x:c r="N616" s="2"/>
      <x:c r="O616" s="2" t="s">
        <x:v>1914</x:v>
      </x:c>
      <x:c r="P616" s="2" t="s">
        <x:v>2013</x:v>
      </x:c>
      <x:c r="Q616" s="2"/>
      <x:c r="R616" s="3">
        <x:v>3</x:v>
      </x:c>
      <x:c r="S616" s="3"/>
      <x:c r="T616" s="2"/>
      <x:c r="U616" s="2"/>
      <x:c r="V616" s="2"/>
      <x:c r="W616" s="2"/>
      <x:c r="X616" s="3"/>
      <x:c r="Y616" s="3"/>
      <x:c r="Z616" s="2"/>
      <x:c r="AA616" s="2"/>
      <x:c r="AB616" s="2"/>
      <x:c r="AC616" s="2" t="s">
        <x:v>326</x:v>
      </x:c>
      <x:c r="AD616" s="2" t="s">
        <x:v>368</x:v>
      </x:c>
      <x:c r="AE616" s="2" t="s">
        <x:v>344</x:v>
      </x:c>
      <x:c r="AF616" s="2" t="s">
        <x:v>319</x:v>
      </x:c>
      <x:c r="AG616" s="2"/>
      <x:c r="AH616" s="2"/>
      <x:c r="AI616" s="4"/>
      <x:c r="AJ616" s="2"/>
      <x:c r="AK616" s="2" t="s">
        <x:v>320</x:v>
      </x:c>
      <x:c r="AL616" s="2" t="s">
        <x:v>2857</x:v>
      </x:c>
      <x:c r="AM616" s="2">
        <x:v>166</x:v>
      </x:c>
      <x:c r="AN616" s="2">
        <x:v>166</x:v>
      </x:c>
    </x:row>
    <x:row r="617" ht="26">
      <x:c r="A617" s="2" t="s">
        <x:v>91</x:v>
      </x:c>
      <x:c r="B617" s="2" t="s">
        <x:v>16</x:v>
      </x:c>
      <x:c r="C617" s="3">
        <x:v>165</x:v>
      </x:c>
      <x:c r="D617" s="2" t="s">
        <x:v>2008</x:v>
      </x:c>
      <x:c r="E617" s="2" t="s">
        <x:v>1957</x:v>
      </x:c>
      <x:c r="F617" s="2" t="s">
        <x:v>2014</x:v>
      </x:c>
      <x:c r="G617" s="2" t="s">
        <x:v>158</x:v>
      </x:c>
      <x:c r="H617" s="2" t="s">
        <x:v>1912</x:v>
      </x:c>
      <x:c r="I617" s="2" t="s">
        <x:v>2005</x:v>
      </x:c>
      <x:c r="J617" s="2" t="s">
        <x:v>1913</x:v>
      </x:c>
      <x:c r="K617" s="2" t="n">
        <x:v>164</x:v>
      </x:c>
      <x:c r="L617" s="2" t="s">
        <x:v>2010</x:v>
      </x:c>
      <x:c r="M617" s="2"/>
      <x:c r="N617" s="2"/>
      <x:c r="O617" s="2" t="s">
        <x:v>1910</x:v>
      </x:c>
      <x:c r="P617" s="2" t="s">
        <x:v>2015</x:v>
      </x:c>
      <x:c r="Q617" s="2"/>
      <x:c r="R617" s="3">
        <x:v>3</x:v>
      </x:c>
      <x:c r="S617" s="3"/>
      <x:c r="T617" s="2"/>
      <x:c r="U617" s="2"/>
      <x:c r="V617" s="2"/>
      <x:c r="W617" s="2"/>
      <x:c r="X617" s="3"/>
      <x:c r="Y617" s="3"/>
      <x:c r="Z617" s="2"/>
      <x:c r="AA617" s="2"/>
      <x:c r="AB617" s="2"/>
      <x:c r="AC617" s="2" t="s">
        <x:v>316</x:v>
      </x:c>
      <x:c r="AD617" s="2" t="s">
        <x:v>344</x:v>
      </x:c>
      <x:c r="AE617" s="2" t="s">
        <x:v>368</x:v>
      </x:c>
      <x:c r="AF617" s="2" t="s">
        <x:v>319</x:v>
      </x:c>
      <x:c r="AG617" s="2"/>
      <x:c r="AH617" s="2"/>
      <x:c r="AI617" s="4"/>
      <x:c r="AJ617" s="2"/>
      <x:c r="AK617" s="2" t="s">
        <x:v>320</x:v>
      </x:c>
      <x:c r="AL617" s="2" t="s">
        <x:v>2857</x:v>
      </x:c>
      <x:c r="AM617" s="2">
        <x:v>167</x:v>
      </x:c>
      <x:c r="AN617" s="2">
        <x:v>167</x:v>
      </x:c>
    </x:row>
    <x:row r="618" ht="39">
      <x:c r="A618" s="2" t="s">
        <x:v>91</x:v>
      </x:c>
      <x:c r="B618" s="2" t="s">
        <x:v>16</x:v>
      </x:c>
      <x:c r="C618" s="3">
        <x:v>166</x:v>
      </x:c>
      <x:c r="D618" s="2" t="s">
        <x:v>2016</x:v>
      </x:c>
      <x:c r="E618" s="2" t="s">
        <x:v>1555</x:v>
      </x:c>
      <x:c r="F618" s="2" t="s">
        <x:v>1586</x:v>
      </x:c>
      <x:c r="G618" s="2" t="s">
        <x:v>158</x:v>
      </x:c>
      <x:c r="H618" s="2" t="s">
        <x:v>1912</x:v>
      </x:c>
      <x:c r="I618" s="2" t="s">
        <x:v>2018</x:v>
      </x:c>
      <x:c r="J618" s="2" t="s">
        <x:v>1913</x:v>
      </x:c>
      <x:c r="K618" s="2"/>
      <x:c r="L618" s="2" t="s">
        <x:v>2019</x:v>
      </x:c>
      <x:c r="M618" s="2"/>
      <x:c r="N618" s="2"/>
      <x:c r="O618" s="2" t="s">
        <x:v>1921</x:v>
      </x:c>
      <x:c r="P618" s="2" t="s">
        <x:v>2020</x:v>
      </x:c>
      <x:c r="Q618" s="2"/>
      <x:c r="R618" s="3">
        <x:v>4</x:v>
      </x:c>
      <x:c r="S618" s="3"/>
      <x:c r="T618" s="2"/>
      <x:c r="U618" s="2"/>
      <x:c r="V618" s="2"/>
      <x:c r="W618" s="2"/>
      <x:c r="X618" s="3"/>
      <x:c r="Y618" s="3"/>
      <x:c r="Z618" s="2"/>
      <x:c r="AA618" s="2"/>
      <x:c r="AB618" s="2"/>
      <x:c r="AC618" s="2" t="s">
        <x:v>316</x:v>
      </x:c>
      <x:c r="AD618" s="2" t="s">
        <x:v>368</x:v>
      </x:c>
      <x:c r="AE618" s="2" t="s">
        <x:v>344</x:v>
      </x:c>
      <x:c r="AF618" s="2" t="s">
        <x:v>319</x:v>
      </x:c>
      <x:c r="AG618" s="2"/>
      <x:c r="AH618" s="2"/>
      <x:c r="AI618" s="4"/>
      <x:c r="AJ618" s="2"/>
      <x:c r="AK618" s="2" t="s">
        <x:v>320</x:v>
      </x:c>
      <x:c r="AL618" s="2" t="s">
        <x:v>2857</x:v>
      </x:c>
      <x:c r="AM618" s="2">
        <x:v>168</x:v>
      </x:c>
      <x:c r="AN618" s="2">
        <x:v>168</x:v>
      </x:c>
    </x:row>
    <x:row r="619" ht="26">
      <x:c r="A619" s="2" t="s">
        <x:v>91</x:v>
      </x:c>
      <x:c r="B619" s="2" t="s">
        <x:v>16</x:v>
      </x:c>
      <x:c r="C619" s="3">
        <x:v>167</x:v>
      </x:c>
      <x:c r="D619" s="2" t="s">
        <x:v>2021</x:v>
      </x:c>
      <x:c r="E619" s="2" t="s">
        <x:v>1555</x:v>
      </x:c>
      <x:c r="F619" s="2" t="s">
        <x:v>1590</x:v>
      </x:c>
      <x:c r="G619" s="2" t="s">
        <x:v>158</x:v>
      </x:c>
      <x:c r="H619" s="2" t="s">
        <x:v>1912</x:v>
      </x:c>
      <x:c r="I619" s="2" t="s">
        <x:v>2018</x:v>
      </x:c>
      <x:c r="J619" s="2" t="s">
        <x:v>1913</x:v>
      </x:c>
      <x:c r="K619" s="2" t="n">
        <x:v>166</x:v>
      </x:c>
      <x:c r="L619" s="2" t="s">
        <x:v>2022</x:v>
      </x:c>
      <x:c r="M619" s="2"/>
      <x:c r="N619" s="2"/>
      <x:c r="O619" s="2" t="s">
        <x:v>1910</x:v>
      </x:c>
      <x:c r="P619" s="2" t="s">
        <x:v>2023</x:v>
      </x:c>
      <x:c r="Q619" s="2"/>
      <x:c r="R619" s="3">
        <x:v>4</x:v>
      </x:c>
      <x:c r="S619" s="3"/>
      <x:c r="T619" s="2"/>
      <x:c r="U619" s="2"/>
      <x:c r="V619" s="2"/>
      <x:c r="W619" s="2"/>
      <x:c r="X619" s="3"/>
      <x:c r="Y619" s="3"/>
      <x:c r="Z619" s="2"/>
      <x:c r="AA619" s="2"/>
      <x:c r="AB619" s="2"/>
      <x:c r="AC619" s="2" t="s">
        <x:v>326</x:v>
      </x:c>
      <x:c r="AD619" s="2" t="s">
        <x:v>344</x:v>
      </x:c>
      <x:c r="AE619" s="2" t="s">
        <x:v>368</x:v>
      </x:c>
      <x:c r="AF619" s="2" t="s">
        <x:v>319</x:v>
      </x:c>
      <x:c r="AG619" s="2"/>
      <x:c r="AH619" s="2"/>
      <x:c r="AI619" s="4"/>
      <x:c r="AJ619" s="2"/>
      <x:c r="AK619" s="2" t="s">
        <x:v>320</x:v>
      </x:c>
      <x:c r="AL619" s="2" t="s">
        <x:v>2857</x:v>
      </x:c>
      <x:c r="AM619" s="2">
        <x:v>169</x:v>
      </x:c>
      <x:c r="AN619" s="2">
        <x:v>169</x:v>
      </x:c>
    </x:row>
    <x:row r="620" ht="52">
      <x:c r="A620" s="2" t="s">
        <x:v>6</x:v>
      </x:c>
      <x:c r="B620" s="2" t="s">
        <x:v>16</x:v>
      </x:c>
      <x:c r="C620" s="3">
        <x:v>168</x:v>
      </x:c>
      <x:c r="D620" s="2" t="s">
        <x:v>2016</x:v>
      </x:c>
      <x:c r="E620" s="2" t="s">
        <x:v>1555</x:v>
      </x:c>
      <x:c r="F620" s="2" t="s">
        <x:v>2024</x:v>
      </x:c>
      <x:c r="G620" s="2"/>
      <x:c r="H620" s="2" t="s">
        <x:v>1077</x:v>
      </x:c>
      <x:c r="I620" s="2" t="s">
        <x:v>2018</x:v>
      </x:c>
      <x:c r="J620" s="2" t="s">
        <x:v>1904</x:v>
      </x:c>
      <x:c r="K620" s="2"/>
      <x:c r="L620" s="2" t="s">
        <x:v>2019</x:v>
      </x:c>
      <x:c r="M620" s="2"/>
      <x:c r="N620" s="2"/>
      <x:c r="O620" s="2" t="s">
        <x:v>1928</x:v>
      </x:c>
      <x:c r="P620" s="2" t="s">
        <x:v>2025</x:v>
      </x:c>
      <x:c r="Q620" s="2"/>
      <x:c r="R620" s="3">
        <x:v>4</x:v>
      </x:c>
      <x:c r="S620" s="3"/>
      <x:c r="T620" s="2"/>
      <x:c r="U620" s="2"/>
      <x:c r="V620" s="2"/>
      <x:c r="W620" s="2"/>
      <x:c r="X620" s="3"/>
      <x:c r="Y620" s="3"/>
      <x:c r="Z620" s="2"/>
      <x:c r="AA620" s="2"/>
      <x:c r="AB620" s="2"/>
      <x:c r="AC620" s="2" t="s">
        <x:v>316</x:v>
      </x:c>
      <x:c r="AD620" s="2" t="s">
        <x:v>368</x:v>
      </x:c>
      <x:c r="AE620" s="2" t="s">
        <x:v>344</x:v>
      </x:c>
      <x:c r="AF620" s="2" t="s">
        <x:v>319</x:v>
      </x:c>
      <x:c r="AG620" s="2"/>
      <x:c r="AH620" s="2"/>
      <x:c r="AI620" s="4"/>
      <x:c r="AJ620" s="2"/>
      <x:c r="AK620" s="2" t="s">
        <x:v>320</x:v>
      </x:c>
      <x:c r="AL620" s="2" t="s">
        <x:v>2857</x:v>
      </x:c>
      <x:c r="AM620" s="2">
        <x:v>170</x:v>
      </x:c>
      <x:c r="AN620" s="2">
        <x:v>170</x:v>
      </x:c>
    </x:row>
    <x:row r="621" ht="52">
      <x:c r="A621" s="2" t="s">
        <x:v>6</x:v>
      </x:c>
      <x:c r="B621" s="2" t="s">
        <x:v>16</x:v>
      </x:c>
      <x:c r="C621" s="3">
        <x:v>169</x:v>
      </x:c>
      <x:c r="D621" s="2" t="s">
        <x:v>2021</x:v>
      </x:c>
      <x:c r="E621" s="2" t="s">
        <x:v>1555</x:v>
      </x:c>
      <x:c r="F621" s="2" t="s">
        <x:v>2026</x:v>
      </x:c>
      <x:c r="G621" s="2"/>
      <x:c r="H621" s="2" t="s">
        <x:v>1077</x:v>
      </x:c>
      <x:c r="I621" s="2" t="s">
        <x:v>2018</x:v>
      </x:c>
      <x:c r="J621" s="2" t="s">
        <x:v>1904</x:v>
      </x:c>
      <x:c r="K621" s="2" t="n">
        <x:v>168</x:v>
      </x:c>
      <x:c r="L621" s="2" t="s">
        <x:v>2022</x:v>
      </x:c>
      <x:c r="M621" s="2"/>
      <x:c r="N621" s="2"/>
      <x:c r="O621" s="2" t="s">
        <x:v>1910</x:v>
      </x:c>
      <x:c r="P621" s="2" t="s">
        <x:v>2027</x:v>
      </x:c>
      <x:c r="Q621" s="2"/>
      <x:c r="R621" s="3">
        <x:v>4</x:v>
      </x:c>
      <x:c r="S621" s="3"/>
      <x:c r="T621" s="2"/>
      <x:c r="U621" s="2"/>
      <x:c r="V621" s="2"/>
      <x:c r="W621" s="2"/>
      <x:c r="X621" s="3"/>
      <x:c r="Y621" s="3"/>
      <x:c r="Z621" s="2"/>
      <x:c r="AA621" s="2"/>
      <x:c r="AB621" s="2"/>
      <x:c r="AC621" s="2" t="s">
        <x:v>326</x:v>
      </x:c>
      <x:c r="AD621" s="2" t="s">
        <x:v>344</x:v>
      </x:c>
      <x:c r="AE621" s="2" t="s">
        <x:v>368</x:v>
      </x:c>
      <x:c r="AF621" s="2" t="s">
        <x:v>319</x:v>
      </x:c>
      <x:c r="AG621" s="2"/>
      <x:c r="AH621" s="2"/>
      <x:c r="AI621" s="4"/>
      <x:c r="AJ621" s="2"/>
      <x:c r="AK621" s="2" t="s">
        <x:v>320</x:v>
      </x:c>
      <x:c r="AL621" s="2" t="s">
        <x:v>2857</x:v>
      </x:c>
      <x:c r="AM621" s="2">
        <x:v>171</x:v>
      </x:c>
      <x:c r="AN621" s="2">
        <x:v>171</x:v>
      </x:c>
    </x:row>
    <x:row r="622" ht="52">
      <x:c r="A622" s="2" t="s">
        <x:v>6</x:v>
      </x:c>
      <x:c r="B622" s="2" t="s">
        <x:v>17</x:v>
      </x:c>
      <x:c r="C622" s="3">
        <x:v>0</x:v>
      </x:c>
      <x:c r="D622" s="2" t="s">
        <x:v>384</x:v>
      </x:c>
      <x:c r="E622" s="2" t="s">
        <x:v>385</x:v>
      </x:c>
      <x:c r="F622" s="2" t="s">
        <x:v>386</x:v>
      </x:c>
      <x:c r="G622" s="2"/>
      <x:c r="H622" s="2" t="s">
        <x:v>96</x:v>
      </x:c>
      <x:c r="I622" s="2" t="s">
        <x:v>388</x:v>
      </x:c>
      <x:c r="J622" s="2" t="s">
        <x:v>389</x:v>
      </x:c>
      <x:c r="K622" s="2"/>
      <x:c r="L622" s="2" t="s">
        <x:v>390</x:v>
      </x:c>
      <x:c r="M622" s="2" t="s">
        <x:v>391</x:v>
      </x:c>
      <x:c r="N622" s="2">
        <x:v>1</x:v>
      </x:c>
      <x:c r="O622" s="2" t="s">
        <x:v>392</x:v>
      </x:c>
      <x:c r="P622" s="2" t="s">
        <x:v>393</x:v>
      </x:c>
      <x:c r="Q622" s="2"/>
      <x:c r="R622" s="3">
        <x:v>4</x:v>
      </x:c>
      <x:c r="S622" s="3">
        <x:v>1</x:v>
      </x:c>
      <x:c r="T622" s="2" t="s">
        <x:v>103</x:v>
      </x:c>
      <x:c r="U622" s="2"/>
      <x:c r="V622" s="2"/>
      <x:c r="W622" s="2"/>
      <x:c r="X622" s="3"/>
      <x:c r="Y622" s="3"/>
      <x:c r="Z622" s="2"/>
      <x:c r="AA622" s="2"/>
      <x:c r="AB622" s="2" t="s">
        <x:v>394</x:v>
      </x:c>
      <x:c r="AC622" s="2"/>
      <x:c r="AD622" s="2"/>
      <x:c r="AE622" s="2"/>
      <x:c r="AF622" s="2"/>
      <x:c r="AG622" s="2" t="s">
        <x:v>395</x:v>
      </x:c>
      <x:c r="AH622" s="2"/>
      <x:c r="AI622" s="4"/>
      <x:c r="AJ622" s="2"/>
      <x:c r="AK622" s="2" t="s">
        <x:v>396</x:v>
      </x:c>
      <x:c r="AL622" s="2" t="s">
        <x:v>2857</x:v>
      </x:c>
      <x:c r="AM622" s="2">
        <x:v>2</x:v>
      </x:c>
      <x:c r="AN622" s="2">
        <x:v>2</x:v>
      </x:c>
    </x:row>
    <x:row r="623" ht="52">
      <x:c r="A623" s="2" t="s">
        <x:v>6</x:v>
      </x:c>
      <x:c r="B623" s="2" t="s">
        <x:v>17</x:v>
      </x:c>
      <x:c r="C623" s="3">
        <x:v>1</x:v>
      </x:c>
      <x:c r="D623" s="2" t="s">
        <x:v>397</x:v>
      </x:c>
      <x:c r="E623" s="2" t="s">
        <x:v>398</x:v>
      </x:c>
      <x:c r="F623" s="2" t="s">
        <x:v>386</x:v>
      </x:c>
      <x:c r="G623" s="2"/>
      <x:c r="H623" s="2" t="s">
        <x:v>96</x:v>
      </x:c>
      <x:c r="I623" s="2" t="s">
        <x:v>400</x:v>
      </x:c>
      <x:c r="J623" s="2" t="s">
        <x:v>389</x:v>
      </x:c>
      <x:c r="K623" s="2"/>
      <x:c r="L623" s="2" t="s">
        <x:v>401</x:v>
      </x:c>
      <x:c r="M623" s="2" t="s">
        <x:v>391</x:v>
      </x:c>
      <x:c r="N623" s="2">
        <x:v>1</x:v>
      </x:c>
      <x:c r="O623" s="2" t="s">
        <x:v>402</x:v>
      </x:c>
      <x:c r="P623" s="2" t="s">
        <x:v>393</x:v>
      </x:c>
      <x:c r="Q623" s="2"/>
      <x:c r="R623" s="3">
        <x:v>5</x:v>
      </x:c>
      <x:c r="S623" s="3">
        <x:v>1</x:v>
      </x:c>
      <x:c r="T623" s="2" t="s">
        <x:v>103</x:v>
      </x:c>
      <x:c r="U623" s="2"/>
      <x:c r="V623" s="2"/>
      <x:c r="W623" s="2"/>
      <x:c r="X623" s="3"/>
      <x:c r="Y623" s="3"/>
      <x:c r="Z623" s="2"/>
      <x:c r="AA623" s="2"/>
      <x:c r="AB623" s="2" t="s">
        <x:v>394</x:v>
      </x:c>
      <x:c r="AC623" s="2"/>
      <x:c r="AD623" s="2"/>
      <x:c r="AE623" s="2"/>
      <x:c r="AF623" s="2"/>
      <x:c r="AG623" s="2" t="s">
        <x:v>395</x:v>
      </x:c>
      <x:c r="AH623" s="2"/>
      <x:c r="AI623" s="4"/>
      <x:c r="AJ623" s="2"/>
      <x:c r="AK623" s="2" t="s">
        <x:v>396</x:v>
      </x:c>
      <x:c r="AL623" s="2" t="s">
        <x:v>2857</x:v>
      </x:c>
      <x:c r="AM623" s="2">
        <x:v>3</x:v>
      </x:c>
      <x:c r="AN623" s="2">
        <x:v>3</x:v>
      </x:c>
    </x:row>
    <x:row r="624" ht="52">
      <x:c r="A624" s="2" t="s">
        <x:v>6</x:v>
      </x:c>
      <x:c r="B624" s="2" t="s">
        <x:v>17</x:v>
      </x:c>
      <x:c r="C624" s="3">
        <x:v>2</x:v>
      </x:c>
      <x:c r="D624" s="2" t="s">
        <x:v>403</x:v>
      </x:c>
      <x:c r="E624" s="2" t="s">
        <x:v>404</x:v>
      </x:c>
      <x:c r="F624" s="2" t="s">
        <x:v>386</x:v>
      </x:c>
      <x:c r="G624" s="2"/>
      <x:c r="H624" s="2" t="s">
        <x:v>96</x:v>
      </x:c>
      <x:c r="I624" s="2" t="s">
        <x:v>406</x:v>
      </x:c>
      <x:c r="J624" s="2" t="s">
        <x:v>389</x:v>
      </x:c>
      <x:c r="K624" s="2"/>
      <x:c r="L624" s="2" t="s">
        <x:v>407</x:v>
      </x:c>
      <x:c r="M624" s="2" t="s">
        <x:v>391</x:v>
      </x:c>
      <x:c r="N624" s="2">
        <x:v>1</x:v>
      </x:c>
      <x:c r="O624" s="2" t="s">
        <x:v>392</x:v>
      </x:c>
      <x:c r="P624" s="2" t="s">
        <x:v>393</x:v>
      </x:c>
      <x:c r="Q624" s="2"/>
      <x:c r="R624" s="3">
        <x:v>4</x:v>
      </x:c>
      <x:c r="S624" s="3">
        <x:v>1</x:v>
      </x:c>
      <x:c r="T624" s="2" t="s">
        <x:v>103</x:v>
      </x:c>
      <x:c r="U624" s="2"/>
      <x:c r="V624" s="2"/>
      <x:c r="W624" s="2"/>
      <x:c r="X624" s="3"/>
      <x:c r="Y624" s="3"/>
      <x:c r="Z624" s="2"/>
      <x:c r="AA624" s="2"/>
      <x:c r="AB624" s="2" t="s">
        <x:v>394</x:v>
      </x:c>
      <x:c r="AC624" s="2"/>
      <x:c r="AD624" s="2"/>
      <x:c r="AE624" s="2"/>
      <x:c r="AF624" s="2"/>
      <x:c r="AG624" s="2" t="s">
        <x:v>395</x:v>
      </x:c>
      <x:c r="AH624" s="2"/>
      <x:c r="AI624" s="4"/>
      <x:c r="AJ624" s="2"/>
      <x:c r="AK624" s="2" t="s">
        <x:v>396</x:v>
      </x:c>
      <x:c r="AL624" s="2" t="s">
        <x:v>2857</x:v>
      </x:c>
      <x:c r="AM624" s="2">
        <x:v>4</x:v>
      </x:c>
      <x:c r="AN624" s="2">
        <x:v>4</x:v>
      </x:c>
    </x:row>
    <x:row r="625" ht="52">
      <x:c r="A625" s="2" t="s">
        <x:v>6</x:v>
      </x:c>
      <x:c r="B625" s="2" t="s">
        <x:v>17</x:v>
      </x:c>
      <x:c r="C625" s="3">
        <x:v>3</x:v>
      </x:c>
      <x:c r="D625" s="2" t="s">
        <x:v>408</x:v>
      </x:c>
      <x:c r="E625" s="2" t="s">
        <x:v>409</x:v>
      </x:c>
      <x:c r="F625" s="2" t="s">
        <x:v>410</x:v>
      </x:c>
      <x:c r="G625" s="2"/>
      <x:c r="H625" s="2" t="s">
        <x:v>96</x:v>
      </x:c>
      <x:c r="I625" s="2" t="s">
        <x:v>412</x:v>
      </x:c>
      <x:c r="J625" s="2" t="s">
        <x:v>389</x:v>
      </x:c>
      <x:c r="K625" s="2"/>
      <x:c r="L625" s="2" t="s">
        <x:v>413</x:v>
      </x:c>
      <x:c r="M625" s="2" t="s">
        <x:v>391</x:v>
      </x:c>
      <x:c r="N625" s="2">
        <x:v>1</x:v>
      </x:c>
      <x:c r="O625" s="2" t="s">
        <x:v>414</x:v>
      </x:c>
      <x:c r="P625" s="2" t="s">
        <x:v>393</x:v>
      </x:c>
      <x:c r="Q625" s="2"/>
      <x:c r="R625" s="3">
        <x:v>3</x:v>
      </x:c>
      <x:c r="S625" s="3">
        <x:v>1</x:v>
      </x:c>
      <x:c r="T625" s="2" t="s">
        <x:v>103</x:v>
      </x:c>
      <x:c r="U625" s="2"/>
      <x:c r="V625" s="2"/>
      <x:c r="W625" s="2"/>
      <x:c r="X625" s="3"/>
      <x:c r="Y625" s="3"/>
      <x:c r="Z625" s="2"/>
      <x:c r="AA625" s="2"/>
      <x:c r="AB625" s="2" t="s">
        <x:v>415</x:v>
      </x:c>
      <x:c r="AC625" s="2"/>
      <x:c r="AD625" s="2"/>
      <x:c r="AE625" s="2"/>
      <x:c r="AF625" s="2"/>
      <x:c r="AG625" s="2" t="s">
        <x:v>395</x:v>
      </x:c>
      <x:c r="AH625" s="2"/>
      <x:c r="AI625" s="4"/>
      <x:c r="AJ625" s="2"/>
      <x:c r="AK625" s="2" t="s">
        <x:v>396</x:v>
      </x:c>
      <x:c r="AL625" s="2" t="s">
        <x:v>2857</x:v>
      </x:c>
      <x:c r="AM625" s="2">
        <x:v>5</x:v>
      </x:c>
      <x:c r="AN625" s="2">
        <x:v>5</x:v>
      </x:c>
    </x:row>
    <x:row r="626" ht="52">
      <x:c r="A626" s="2" t="s">
        <x:v>6</x:v>
      </x:c>
      <x:c r="B626" s="2" t="s">
        <x:v>17</x:v>
      </x:c>
      <x:c r="C626" s="3">
        <x:v>4</x:v>
      </x:c>
      <x:c r="D626" s="2" t="s">
        <x:v>416</x:v>
      </x:c>
      <x:c r="E626" s="2" t="s">
        <x:v>417</x:v>
      </x:c>
      <x:c r="F626" s="2" t="s">
        <x:v>386</x:v>
      </x:c>
      <x:c r="G626" s="2"/>
      <x:c r="H626" s="2" t="s">
        <x:v>96</x:v>
      </x:c>
      <x:c r="I626" s="2" t="s">
        <x:v>419</x:v>
      </x:c>
      <x:c r="J626" s="2" t="s">
        <x:v>389</x:v>
      </x:c>
      <x:c r="K626" s="2"/>
      <x:c r="L626" s="2" t="s">
        <x:v>420</x:v>
      </x:c>
      <x:c r="M626" s="2" t="s">
        <x:v>391</x:v>
      </x:c>
      <x:c r="N626" s="2">
        <x:v>1</x:v>
      </x:c>
      <x:c r="O626" s="2" t="s">
        <x:v>392</x:v>
      </x:c>
      <x:c r="P626" s="2" t="s">
        <x:v>393</x:v>
      </x:c>
      <x:c r="Q626" s="2"/>
      <x:c r="R626" s="3">
        <x:v>4</x:v>
      </x:c>
      <x:c r="S626" s="3">
        <x:v>1</x:v>
      </x:c>
      <x:c r="T626" s="2" t="s">
        <x:v>103</x:v>
      </x:c>
      <x:c r="U626" s="2"/>
      <x:c r="V626" s="2"/>
      <x:c r="W626" s="2"/>
      <x:c r="X626" s="3"/>
      <x:c r="Y626" s="3"/>
      <x:c r="Z626" s="2"/>
      <x:c r="AA626" s="2"/>
      <x:c r="AB626" s="2" t="s">
        <x:v>415</x:v>
      </x:c>
      <x:c r="AC626" s="2"/>
      <x:c r="AD626" s="2"/>
      <x:c r="AE626" s="2"/>
      <x:c r="AF626" s="2"/>
      <x:c r="AG626" s="2" t="s">
        <x:v>395</x:v>
      </x:c>
      <x:c r="AH626" s="2"/>
      <x:c r="AI626" s="4"/>
      <x:c r="AJ626" s="2"/>
      <x:c r="AK626" s="2" t="s">
        <x:v>396</x:v>
      </x:c>
      <x:c r="AL626" s="2" t="s">
        <x:v>2857</x:v>
      </x:c>
      <x:c r="AM626" s="2">
        <x:v>6</x:v>
      </x:c>
      <x:c r="AN626" s="2">
        <x:v>6</x:v>
      </x:c>
    </x:row>
    <x:row r="627" ht="65">
      <x:c r="A627" s="2" t="s">
        <x:v>91</x:v>
      </x:c>
      <x:c r="B627" s="2" t="s">
        <x:v>17</x:v>
      </x:c>
      <x:c r="C627" s="3">
        <x:v>5</x:v>
      </x:c>
      <x:c r="D627" s="2" t="s">
        <x:v>421</x:v>
      </x:c>
      <x:c r="E627" s="2" t="s">
        <x:v>422</x:v>
      </x:c>
      <x:c r="F627" s="2" t="s">
        <x:v>423</x:v>
      </x:c>
      <x:c r="G627" s="2" t="s">
        <x:v>2995</x:v>
      </x:c>
      <x:c r="H627" s="2" t="s">
        <x:v>96</x:v>
      </x:c>
      <x:c r="I627" s="2" t="s">
        <x:v>425</x:v>
      </x:c>
      <x:c r="J627" s="2" t="s">
        <x:v>389</x:v>
      </x:c>
      <x:c r="K627" s="2"/>
      <x:c r="L627" s="2" t="s">
        <x:v>426</x:v>
      </x:c>
      <x:c r="M627" s="2" t="s">
        <x:v>391</x:v>
      </x:c>
      <x:c r="N627" s="2">
        <x:v>1</x:v>
      </x:c>
      <x:c r="O627" s="2" t="s">
        <x:v>414</x:v>
      </x:c>
      <x:c r="P627" s="2" t="s">
        <x:v>393</x:v>
      </x:c>
      <x:c r="Q627" s="2"/>
      <x:c r="R627" s="3">
        <x:v>3</x:v>
      </x:c>
      <x:c r="S627" s="3">
        <x:v>1</x:v>
      </x:c>
      <x:c r="T627" s="2" t="s">
        <x:v>103</x:v>
      </x:c>
      <x:c r="U627" s="2"/>
      <x:c r="V627" s="2"/>
      <x:c r="W627" s="2"/>
      <x:c r="X627" s="3"/>
      <x:c r="Y627" s="3"/>
      <x:c r="Z627" s="2"/>
      <x:c r="AA627" s="2"/>
      <x:c r="AB627" s="2" t="s">
        <x:v>427</x:v>
      </x:c>
      <x:c r="AC627" s="2"/>
      <x:c r="AD627" s="2"/>
      <x:c r="AE627" s="2"/>
      <x:c r="AF627" s="2"/>
      <x:c r="AG627" s="2" t="s">
        <x:v>428</x:v>
      </x:c>
      <x:c r="AH627" s="2"/>
      <x:c r="AI627" s="4"/>
      <x:c r="AJ627" s="2"/>
      <x:c r="AK627" s="2" t="s">
        <x:v>396</x:v>
      </x:c>
      <x:c r="AL627" s="2" t="s">
        <x:v>2857</x:v>
      </x:c>
      <x:c r="AM627" s="2">
        <x:v>7</x:v>
      </x:c>
      <x:c r="AN627" s="2">
        <x:v>7</x:v>
      </x:c>
    </x:row>
    <x:row r="628" ht="52">
      <x:c r="A628" s="2" t="s">
        <x:v>6</x:v>
      </x:c>
      <x:c r="B628" s="2" t="s">
        <x:v>17</x:v>
      </x:c>
      <x:c r="C628" s="3">
        <x:v>6</x:v>
      </x:c>
      <x:c r="D628" s="2" t="s">
        <x:v>429</x:v>
      </x:c>
      <x:c r="E628" s="2" t="s">
        <x:v>430</x:v>
      </x:c>
      <x:c r="F628" s="2" t="s">
        <x:v>431</x:v>
      </x:c>
      <x:c r="G628" s="2"/>
      <x:c r="H628" s="2" t="s">
        <x:v>96</x:v>
      </x:c>
      <x:c r="I628" s="2" t="s">
        <x:v>433</x:v>
      </x:c>
      <x:c r="J628" s="2" t="s">
        <x:v>389</x:v>
      </x:c>
      <x:c r="K628" s="2"/>
      <x:c r="L628" s="2" t="s">
        <x:v>434</x:v>
      </x:c>
      <x:c r="M628" s="2" t="s">
        <x:v>391</x:v>
      </x:c>
      <x:c r="N628" s="2">
        <x:v>1</x:v>
      </x:c>
      <x:c r="O628" s="2" t="s">
        <x:v>392</x:v>
      </x:c>
      <x:c r="P628" s="2" t="s">
        <x:v>393</x:v>
      </x:c>
      <x:c r="Q628" s="2"/>
      <x:c r="R628" s="3">
        <x:v>4</x:v>
      </x:c>
      <x:c r="S628" s="3">
        <x:v>1</x:v>
      </x:c>
      <x:c r="T628" s="2" t="s">
        <x:v>103</x:v>
      </x:c>
      <x:c r="U628" s="2"/>
      <x:c r="V628" s="2"/>
      <x:c r="W628" s="2"/>
      <x:c r="X628" s="3"/>
      <x:c r="Y628" s="3"/>
      <x:c r="Z628" s="2"/>
      <x:c r="AA628" s="2"/>
      <x:c r="AB628" s="2" t="s">
        <x:v>427</x:v>
      </x:c>
      <x:c r="AC628" s="2"/>
      <x:c r="AD628" s="2"/>
      <x:c r="AE628" s="2"/>
      <x:c r="AF628" s="2"/>
      <x:c r="AG628" s="2" t="s">
        <x:v>428</x:v>
      </x:c>
      <x:c r="AH628" s="2"/>
      <x:c r="AI628" s="4"/>
      <x:c r="AJ628" s="2"/>
      <x:c r="AK628" s="2" t="s">
        <x:v>396</x:v>
      </x:c>
      <x:c r="AL628" s="2" t="s">
        <x:v>2857</x:v>
      </x:c>
      <x:c r="AM628" s="2">
        <x:v>8</x:v>
      </x:c>
      <x:c r="AN628" s="2">
        <x:v>8</x:v>
      </x:c>
    </x:row>
    <x:row r="629" ht="52">
      <x:c r="A629" s="2" t="s">
        <x:v>6</x:v>
      </x:c>
      <x:c r="B629" s="2" t="s">
        <x:v>17</x:v>
      </x:c>
      <x:c r="C629" s="3">
        <x:v>7</x:v>
      </x:c>
      <x:c r="D629" s="2" t="s">
        <x:v>435</x:v>
      </x:c>
      <x:c r="E629" s="2" t="s">
        <x:v>436</x:v>
      </x:c>
      <x:c r="F629" s="2" t="s">
        <x:v>423</x:v>
      </x:c>
      <x:c r="G629" s="2"/>
      <x:c r="H629" s="2" t="s">
        <x:v>96</x:v>
      </x:c>
      <x:c r="I629" s="2" t="s">
        <x:v>438</x:v>
      </x:c>
      <x:c r="J629" s="2" t="s">
        <x:v>389</x:v>
      </x:c>
      <x:c r="K629" s="2"/>
      <x:c r="L629" s="2" t="s">
        <x:v>439</x:v>
      </x:c>
      <x:c r="M629" s="2" t="s">
        <x:v>391</x:v>
      </x:c>
      <x:c r="N629" s="2">
        <x:v>1</x:v>
      </x:c>
      <x:c r="O629" s="2" t="s">
        <x:v>414</x:v>
      </x:c>
      <x:c r="P629" s="2" t="s">
        <x:v>393</x:v>
      </x:c>
      <x:c r="Q629" s="2"/>
      <x:c r="R629" s="3">
        <x:v>3</x:v>
      </x:c>
      <x:c r="S629" s="3">
        <x:v>1</x:v>
      </x:c>
      <x:c r="T629" s="2" t="s">
        <x:v>103</x:v>
      </x:c>
      <x:c r="U629" s="2"/>
      <x:c r="V629" s="2"/>
      <x:c r="W629" s="2"/>
      <x:c r="X629" s="3"/>
      <x:c r="Y629" s="3"/>
      <x:c r="Z629" s="2"/>
      <x:c r="AA629" s="2"/>
      <x:c r="AB629" s="2" t="s">
        <x:v>427</x:v>
      </x:c>
      <x:c r="AC629" s="2"/>
      <x:c r="AD629" s="2"/>
      <x:c r="AE629" s="2"/>
      <x:c r="AF629" s="2"/>
      <x:c r="AG629" s="2" t="s">
        <x:v>428</x:v>
      </x:c>
      <x:c r="AH629" s="2"/>
      <x:c r="AI629" s="4"/>
      <x:c r="AJ629" s="2"/>
      <x:c r="AK629" s="2" t="s">
        <x:v>396</x:v>
      </x:c>
      <x:c r="AL629" s="2" t="s">
        <x:v>2857</x:v>
      </x:c>
      <x:c r="AM629" s="2">
        <x:v>9</x:v>
      </x:c>
      <x:c r="AN629" s="2">
        <x:v>9</x:v>
      </x:c>
    </x:row>
    <x:row r="630" ht="52">
      <x:c r="A630" s="2" t="s">
        <x:v>91</x:v>
      </x:c>
      <x:c r="B630" s="2" t="s">
        <x:v>17</x:v>
      </x:c>
      <x:c r="C630" s="3">
        <x:v>8</x:v>
      </x:c>
      <x:c r="D630" s="2" t="s">
        <x:v>440</x:v>
      </x:c>
      <x:c r="E630" s="2" t="s">
        <x:v>441</x:v>
      </x:c>
      <x:c r="F630" s="2" t="s">
        <x:v>423</x:v>
      </x:c>
      <x:c r="G630" s="2" t="s">
        <x:v>2996</x:v>
      </x:c>
      <x:c r="H630" s="2" t="s">
        <x:v>96</x:v>
      </x:c>
      <x:c r="I630" s="2" t="s">
        <x:v>443</x:v>
      </x:c>
      <x:c r="J630" s="2" t="s">
        <x:v>389</x:v>
      </x:c>
      <x:c r="K630" s="2"/>
      <x:c r="L630" s="2" t="s">
        <x:v>444</x:v>
      </x:c>
      <x:c r="M630" s="2" t="s">
        <x:v>391</x:v>
      </x:c>
      <x:c r="N630" s="2">
        <x:v>1</x:v>
      </x:c>
      <x:c r="O630" s="2" t="s">
        <x:v>392</x:v>
      </x:c>
      <x:c r="P630" s="2" t="s">
        <x:v>393</x:v>
      </x:c>
      <x:c r="Q630" s="2"/>
      <x:c r="R630" s="3">
        <x:v>4</x:v>
      </x:c>
      <x:c r="S630" s="3">
        <x:v>1</x:v>
      </x:c>
      <x:c r="T630" s="2" t="s">
        <x:v>103</x:v>
      </x:c>
      <x:c r="U630" s="2"/>
      <x:c r="V630" s="2"/>
      <x:c r="W630" s="2"/>
      <x:c r="X630" s="3"/>
      <x:c r="Y630" s="3"/>
      <x:c r="Z630" s="2"/>
      <x:c r="AA630" s="2"/>
      <x:c r="AB630" s="2" t="s">
        <x:v>415</x:v>
      </x:c>
      <x:c r="AC630" s="2"/>
      <x:c r="AD630" s="2"/>
      <x:c r="AE630" s="2"/>
      <x:c r="AF630" s="2"/>
      <x:c r="AG630" s="2" t="s">
        <x:v>428</x:v>
      </x:c>
      <x:c r="AH630" s="2"/>
      <x:c r="AI630" s="4"/>
      <x:c r="AJ630" s="2"/>
      <x:c r="AK630" s="2" t="s">
        <x:v>396</x:v>
      </x:c>
      <x:c r="AL630" s="2" t="s">
        <x:v>2857</x:v>
      </x:c>
      <x:c r="AM630" s="2">
        <x:v>10</x:v>
      </x:c>
      <x:c r="AN630" s="2">
        <x:v>10</x:v>
      </x:c>
    </x:row>
    <x:row r="631" ht="52">
      <x:c r="A631" s="2" t="s">
        <x:v>6</x:v>
      </x:c>
      <x:c r="B631" s="2" t="s">
        <x:v>17</x:v>
      </x:c>
      <x:c r="C631" s="3">
        <x:v>9</x:v>
      </x:c>
      <x:c r="D631" s="2" t="s">
        <x:v>445</x:v>
      </x:c>
      <x:c r="E631" s="2" t="s">
        <x:v>436</x:v>
      </x:c>
      <x:c r="F631" s="2" t="s">
        <x:v>431</x:v>
      </x:c>
      <x:c r="G631" s="2"/>
      <x:c r="H631" s="2" t="s">
        <x:v>96</x:v>
      </x:c>
      <x:c r="I631" s="2" t="s">
        <x:v>447</x:v>
      </x:c>
      <x:c r="J631" s="2" t="s">
        <x:v>389</x:v>
      </x:c>
      <x:c r="K631" s="2"/>
      <x:c r="L631" s="2" t="s">
        <x:v>448</x:v>
      </x:c>
      <x:c r="M631" s="2" t="s">
        <x:v>391</x:v>
      </x:c>
      <x:c r="N631" s="2">
        <x:v>1</x:v>
      </x:c>
      <x:c r="O631" s="2" t="s">
        <x:v>414</x:v>
      </x:c>
      <x:c r="P631" s="2" t="s">
        <x:v>393</x:v>
      </x:c>
      <x:c r="Q631" s="2"/>
      <x:c r="R631" s="3">
        <x:v>3</x:v>
      </x:c>
      <x:c r="S631" s="3">
        <x:v>1</x:v>
      </x:c>
      <x:c r="T631" s="2" t="s">
        <x:v>103</x:v>
      </x:c>
      <x:c r="U631" s="2"/>
      <x:c r="V631" s="2"/>
      <x:c r="W631" s="2"/>
      <x:c r="X631" s="3"/>
      <x:c r="Y631" s="3"/>
      <x:c r="Z631" s="2"/>
      <x:c r="AA631" s="2"/>
      <x:c r="AB631" s="2" t="s">
        <x:v>415</x:v>
      </x:c>
      <x:c r="AC631" s="2"/>
      <x:c r="AD631" s="2"/>
      <x:c r="AE631" s="2"/>
      <x:c r="AF631" s="2"/>
      <x:c r="AG631" s="2" t="s">
        <x:v>428</x:v>
      </x:c>
      <x:c r="AH631" s="2"/>
      <x:c r="AI631" s="4"/>
      <x:c r="AJ631" s="2"/>
      <x:c r="AK631" s="2" t="s">
        <x:v>396</x:v>
      </x:c>
      <x:c r="AL631" s="2" t="s">
        <x:v>2857</x:v>
      </x:c>
      <x:c r="AM631" s="2">
        <x:v>11</x:v>
      </x:c>
      <x:c r="AN631" s="2">
        <x:v>11</x:v>
      </x:c>
    </x:row>
    <x:row r="632" ht="52">
      <x:c r="A632" s="2" t="s">
        <x:v>91</x:v>
      </x:c>
      <x:c r="B632" s="2" t="s">
        <x:v>17</x:v>
      </x:c>
      <x:c r="C632" s="3">
        <x:v>10</x:v>
      </x:c>
      <x:c r="D632" s="2" t="s">
        <x:v>2032</x:v>
      </x:c>
      <x:c r="E632" s="2" t="s">
        <x:v>2033</x:v>
      </x:c>
      <x:c r="F632" s="2" t="s">
        <x:v>237</x:v>
      </x:c>
      <x:c r="G632" s="2" t="s">
        <x:v>2997</x:v>
      </x:c>
      <x:c r="H632" s="2" t="s">
        <x:v>96</x:v>
      </x:c>
      <x:c r="I632" s="2" t="s">
        <x:v>2034</x:v>
      </x:c>
      <x:c r="J632" s="2" t="s">
        <x:v>389</x:v>
      </x:c>
      <x:c r="K632" s="2"/>
      <x:c r="L632" s="2" t="s">
        <x:v>2035</x:v>
      </x:c>
      <x:c r="M632" s="2" t="s">
        <x:v>391</x:v>
      </x:c>
      <x:c r="N632" s="2">
        <x:v>1</x:v>
      </x:c>
      <x:c r="O632" s="2" t="s">
        <x:v>392</x:v>
      </x:c>
      <x:c r="P632" s="2" t="s">
        <x:v>393</x:v>
      </x:c>
      <x:c r="Q632" s="2"/>
      <x:c r="R632" s="3">
        <x:v>4</x:v>
      </x:c>
      <x:c r="S632" s="3">
        <x:v>1</x:v>
      </x:c>
      <x:c r="T632" s="2" t="s">
        <x:v>103</x:v>
      </x:c>
      <x:c r="U632" s="2"/>
      <x:c r="V632" s="2"/>
      <x:c r="W632" s="2"/>
      <x:c r="X632" s="3"/>
      <x:c r="Y632" s="3"/>
      <x:c r="Z632" s="2"/>
      <x:c r="AA632" s="2"/>
      <x:c r="AB632" s="2" t="s">
        <x:v>427</x:v>
      </x:c>
      <x:c r="AC632" s="2"/>
      <x:c r="AD632" s="2"/>
      <x:c r="AE632" s="2"/>
      <x:c r="AF632" s="2"/>
      <x:c r="AG632" s="2" t="s">
        <x:v>2036</x:v>
      </x:c>
      <x:c r="AH632" s="2"/>
      <x:c r="AI632" s="4"/>
      <x:c r="AJ632" s="2"/>
      <x:c r="AK632" s="2" t="s">
        <x:v>396</x:v>
      </x:c>
      <x:c r="AL632" s="2" t="s">
        <x:v>2857</x:v>
      </x:c>
      <x:c r="AM632" s="2">
        <x:v>12</x:v>
      </x:c>
      <x:c r="AN632" s="2">
        <x:v>12</x:v>
      </x:c>
    </x:row>
    <x:row r="633" ht="52">
      <x:c r="A633" s="2" t="s">
        <x:v>6</x:v>
      </x:c>
      <x:c r="B633" s="2" t="s">
        <x:v>17</x:v>
      </x:c>
      <x:c r="C633" s="3">
        <x:v>11</x:v>
      </x:c>
      <x:c r="D633" s="2" t="s">
        <x:v>2037</x:v>
      </x:c>
      <x:c r="E633" s="2" t="s">
        <x:v>2038</x:v>
      </x:c>
      <x:c r="F633" s="2" t="s">
        <x:v>237</x:v>
      </x:c>
      <x:c r="G633" s="2"/>
      <x:c r="H633" s="2" t="s">
        <x:v>96</x:v>
      </x:c>
      <x:c r="I633" s="2" t="s">
        <x:v>2039</x:v>
      </x:c>
      <x:c r="J633" s="2" t="s">
        <x:v>389</x:v>
      </x:c>
      <x:c r="K633" s="2"/>
      <x:c r="L633" s="2" t="s">
        <x:v>2040</x:v>
      </x:c>
      <x:c r="M633" s="2" t="s">
        <x:v>391</x:v>
      </x:c>
      <x:c r="N633" s="2">
        <x:v>1</x:v>
      </x:c>
      <x:c r="O633" s="2" t="s">
        <x:v>414</x:v>
      </x:c>
      <x:c r="P633" s="2" t="s">
        <x:v>393</x:v>
      </x:c>
      <x:c r="Q633" s="2"/>
      <x:c r="R633" s="3">
        <x:v>3</x:v>
      </x:c>
      <x:c r="S633" s="3">
        <x:v>1</x:v>
      </x:c>
      <x:c r="T633" s="2" t="s">
        <x:v>103</x:v>
      </x:c>
      <x:c r="U633" s="2"/>
      <x:c r="V633" s="2"/>
      <x:c r="W633" s="2"/>
      <x:c r="X633" s="3"/>
      <x:c r="Y633" s="3"/>
      <x:c r="Z633" s="2"/>
      <x:c r="AA633" s="2"/>
      <x:c r="AB633" s="2" t="s">
        <x:v>427</x:v>
      </x:c>
      <x:c r="AC633" s="2"/>
      <x:c r="AD633" s="2"/>
      <x:c r="AE633" s="2"/>
      <x:c r="AF633" s="2"/>
      <x:c r="AG633" s="2" t="s">
        <x:v>2036</x:v>
      </x:c>
      <x:c r="AH633" s="2"/>
      <x:c r="AI633" s="4"/>
      <x:c r="AJ633" s="2"/>
      <x:c r="AK633" s="2" t="s">
        <x:v>396</x:v>
      </x:c>
      <x:c r="AL633" s="2" t="s">
        <x:v>2857</x:v>
      </x:c>
      <x:c r="AM633" s="2">
        <x:v>13</x:v>
      </x:c>
      <x:c r="AN633" s="2">
        <x:v>13</x:v>
      </x:c>
    </x:row>
    <x:row r="634" ht="52">
      <x:c r="A634" s="2" t="s">
        <x:v>6</x:v>
      </x:c>
      <x:c r="B634" s="2" t="s">
        <x:v>17</x:v>
      </x:c>
      <x:c r="C634" s="3">
        <x:v>12</x:v>
      </x:c>
      <x:c r="D634" s="2" t="s">
        <x:v>2041</x:v>
      </x:c>
      <x:c r="E634" s="2" t="s">
        <x:v>2042</x:v>
      </x:c>
      <x:c r="F634" s="2" t="s">
        <x:v>237</x:v>
      </x:c>
      <x:c r="G634" s="2" t="s">
        <x:v>2998</x:v>
      </x:c>
      <x:c r="H634" s="2" t="s">
        <x:v>96</x:v>
      </x:c>
      <x:c r="I634" s="2" t="s">
        <x:v>2043</x:v>
      </x:c>
      <x:c r="J634" s="2" t="s">
        <x:v>389</x:v>
      </x:c>
      <x:c r="K634" s="2"/>
      <x:c r="L634" s="2" t="s">
        <x:v>2044</x:v>
      </x:c>
      <x:c r="M634" s="2" t="s">
        <x:v>391</x:v>
      </x:c>
      <x:c r="N634" s="2">
        <x:v>1</x:v>
      </x:c>
      <x:c r="O634" s="2" t="s">
        <x:v>402</x:v>
      </x:c>
      <x:c r="P634" s="2" t="s">
        <x:v>393</x:v>
      </x:c>
      <x:c r="Q634" s="2"/>
      <x:c r="R634" s="3">
        <x:v>5</x:v>
      </x:c>
      <x:c r="S634" s="3">
        <x:v>1</x:v>
      </x:c>
      <x:c r="T634" s="2" t="s">
        <x:v>103</x:v>
      </x:c>
      <x:c r="U634" s="2"/>
      <x:c r="V634" s="2"/>
      <x:c r="W634" s="2"/>
      <x:c r="X634" s="3"/>
      <x:c r="Y634" s="3"/>
      <x:c r="Z634" s="2"/>
      <x:c r="AA634" s="2"/>
      <x:c r="AB634" s="2" t="s">
        <x:v>394</x:v>
      </x:c>
      <x:c r="AC634" s="2"/>
      <x:c r="AD634" s="2"/>
      <x:c r="AE634" s="2"/>
      <x:c r="AF634" s="2"/>
      <x:c r="AG634" s="2" t="s">
        <x:v>2036</x:v>
      </x:c>
      <x:c r="AH634" s="2"/>
      <x:c r="AI634" s="4"/>
      <x:c r="AJ634" s="2"/>
      <x:c r="AK634" s="2" t="s">
        <x:v>396</x:v>
      </x:c>
      <x:c r="AL634" s="2" t="s">
        <x:v>2857</x:v>
      </x:c>
      <x:c r="AM634" s="2">
        <x:v>14</x:v>
      </x:c>
      <x:c r="AN634" s="2">
        <x:v>14</x:v>
      </x:c>
    </x:row>
    <x:row r="635" ht="52">
      <x:c r="A635" s="2" t="s">
        <x:v>91</x:v>
      </x:c>
      <x:c r="B635" s="2" t="s">
        <x:v>17</x:v>
      </x:c>
      <x:c r="C635" s="3">
        <x:v>13</x:v>
      </x:c>
      <x:c r="D635" s="2" t="s">
        <x:v>2045</x:v>
      </x:c>
      <x:c r="E635" s="2" t="s">
        <x:v>2046</x:v>
      </x:c>
      <x:c r="F635" s="2" t="s">
        <x:v>2047</x:v>
      </x:c>
      <x:c r="G635" s="2" t="s">
        <x:v>2999</x:v>
      </x:c>
      <x:c r="H635" s="2" t="s">
        <x:v>96</x:v>
      </x:c>
      <x:c r="I635" s="2" t="s">
        <x:v>2048</x:v>
      </x:c>
      <x:c r="J635" s="2" t="s">
        <x:v>389</x:v>
      </x:c>
      <x:c r="K635" s="2"/>
      <x:c r="L635" s="2" t="s">
        <x:v>2049</x:v>
      </x:c>
      <x:c r="M635" s="2" t="s">
        <x:v>391</x:v>
      </x:c>
      <x:c r="N635" s="2">
        <x:v>1</x:v>
      </x:c>
      <x:c r="O635" s="2" t="s">
        <x:v>392</x:v>
      </x:c>
      <x:c r="P635" s="2" t="s">
        <x:v>393</x:v>
      </x:c>
      <x:c r="Q635" s="2"/>
      <x:c r="R635" s="3">
        <x:v>4</x:v>
      </x:c>
      <x:c r="S635" s="3">
        <x:v>1</x:v>
      </x:c>
      <x:c r="T635" s="2" t="s">
        <x:v>103</x:v>
      </x:c>
      <x:c r="U635" s="2"/>
      <x:c r="V635" s="2"/>
      <x:c r="W635" s="2"/>
      <x:c r="X635" s="3"/>
      <x:c r="Y635" s="3"/>
      <x:c r="Z635" s="2"/>
      <x:c r="AA635" s="2"/>
      <x:c r="AB635" s="2" t="s">
        <x:v>394</x:v>
      </x:c>
      <x:c r="AC635" s="2"/>
      <x:c r="AD635" s="2"/>
      <x:c r="AE635" s="2"/>
      <x:c r="AF635" s="2"/>
      <x:c r="AG635" s="2" t="s">
        <x:v>2036</x:v>
      </x:c>
      <x:c r="AH635" s="2"/>
      <x:c r="AI635" s="4"/>
      <x:c r="AJ635" s="2"/>
      <x:c r="AK635" s="2" t="s">
        <x:v>396</x:v>
      </x:c>
      <x:c r="AL635" s="2" t="s">
        <x:v>2857</x:v>
      </x:c>
      <x:c r="AM635" s="2">
        <x:v>15</x:v>
      </x:c>
      <x:c r="AN635" s="2">
        <x:v>15</x:v>
      </x:c>
    </x:row>
    <x:row r="636" ht="52">
      <x:c r="A636" s="2" t="s">
        <x:v>6</x:v>
      </x:c>
      <x:c r="B636" s="2" t="s">
        <x:v>17</x:v>
      </x:c>
      <x:c r="C636" s="3">
        <x:v>14</x:v>
      </x:c>
      <x:c r="D636" s="2" t="s">
        <x:v>2050</x:v>
      </x:c>
      <x:c r="E636" s="2" t="s">
        <x:v>2051</x:v>
      </x:c>
      <x:c r="F636" s="2" t="s">
        <x:v>237</x:v>
      </x:c>
      <x:c r="G636" s="2"/>
      <x:c r="H636" s="2" t="s">
        <x:v>96</x:v>
      </x:c>
      <x:c r="I636" s="2" t="s">
        <x:v>2053</x:v>
      </x:c>
      <x:c r="J636" s="2" t="s">
        <x:v>389</x:v>
      </x:c>
      <x:c r="K636" s="2"/>
      <x:c r="L636" s="2" t="s">
        <x:v>2054</x:v>
      </x:c>
      <x:c r="M636" s="2" t="s">
        <x:v>391</x:v>
      </x:c>
      <x:c r="N636" s="2">
        <x:v>1</x:v>
      </x:c>
      <x:c r="O636" s="2" t="s">
        <x:v>402</x:v>
      </x:c>
      <x:c r="P636" s="2" t="s">
        <x:v>393</x:v>
      </x:c>
      <x:c r="Q636" s="2"/>
      <x:c r="R636" s="3">
        <x:v>5</x:v>
      </x:c>
      <x:c r="S636" s="3">
        <x:v>1</x:v>
      </x:c>
      <x:c r="T636" s="2" t="s">
        <x:v>103</x:v>
      </x:c>
      <x:c r="U636" s="2"/>
      <x:c r="V636" s="2"/>
      <x:c r="W636" s="2"/>
      <x:c r="X636" s="3"/>
      <x:c r="Y636" s="3"/>
      <x:c r="Z636" s="2"/>
      <x:c r="AA636" s="2"/>
      <x:c r="AB636" s="2" t="s">
        <x:v>394</x:v>
      </x:c>
      <x:c r="AC636" s="2"/>
      <x:c r="AD636" s="2"/>
      <x:c r="AE636" s="2"/>
      <x:c r="AF636" s="2"/>
      <x:c r="AG636" s="2" t="s">
        <x:v>2036</x:v>
      </x:c>
      <x:c r="AH636" s="2"/>
      <x:c r="AI636" s="4"/>
      <x:c r="AJ636" s="2"/>
      <x:c r="AK636" s="2" t="s">
        <x:v>396</x:v>
      </x:c>
      <x:c r="AL636" s="2" t="s">
        <x:v>2857</x:v>
      </x:c>
      <x:c r="AM636" s="2">
        <x:v>16</x:v>
      </x:c>
      <x:c r="AN636" s="2">
        <x:v>16</x:v>
      </x:c>
    </x:row>
    <x:row r="637" ht="52">
      <x:c r="A637" s="2" t="s">
        <x:v>91</x:v>
      </x:c>
      <x:c r="B637" s="2" t="s">
        <x:v>17</x:v>
      </x:c>
      <x:c r="C637" s="3">
        <x:v>15</x:v>
      </x:c>
      <x:c r="D637" s="2" t="s">
        <x:v>2055</x:v>
      </x:c>
      <x:c r="E637" s="2" t="s">
        <x:v>2056</x:v>
      </x:c>
      <x:c r="F637" s="2" t="s">
        <x:v>317</x:v>
      </x:c>
      <x:c r="G637" s="2" t="s">
        <x:v>3000</x:v>
      </x:c>
      <x:c r="H637" s="2" t="s">
        <x:v>96</x:v>
      </x:c>
      <x:c r="I637" s="2" t="s">
        <x:v>2058</x:v>
      </x:c>
      <x:c r="J637" s="2" t="s">
        <x:v>389</x:v>
      </x:c>
      <x:c r="K637" s="2"/>
      <x:c r="L637" s="2" t="s">
        <x:v>2059</x:v>
      </x:c>
      <x:c r="M637" s="2" t="s">
        <x:v>391</x:v>
      </x:c>
      <x:c r="N637" s="2">
        <x:v>1</x:v>
      </x:c>
      <x:c r="O637" s="2" t="s">
        <x:v>392</x:v>
      </x:c>
      <x:c r="P637" s="2" t="s">
        <x:v>393</x:v>
      </x:c>
      <x:c r="Q637" s="2"/>
      <x:c r="R637" s="3">
        <x:v>4</x:v>
      </x:c>
      <x:c r="S637" s="3">
        <x:v>1</x:v>
      </x:c>
      <x:c r="T637" s="2" t="s">
        <x:v>103</x:v>
      </x:c>
      <x:c r="U637" s="2"/>
      <x:c r="V637" s="2"/>
      <x:c r="W637" s="2"/>
      <x:c r="X637" s="3"/>
      <x:c r="Y637" s="3"/>
      <x:c r="Z637" s="2"/>
      <x:c r="AA637" s="2"/>
      <x:c r="AB637" s="2" t="s">
        <x:v>427</x:v>
      </x:c>
      <x:c r="AC637" s="2"/>
      <x:c r="AD637" s="2"/>
      <x:c r="AE637" s="2"/>
      <x:c r="AF637" s="2"/>
      <x:c r="AG637" s="2" t="s">
        <x:v>2060</x:v>
      </x:c>
      <x:c r="AH637" s="2"/>
      <x:c r="AI637" s="4"/>
      <x:c r="AJ637" s="2"/>
      <x:c r="AK637" s="2" t="s">
        <x:v>396</x:v>
      </x:c>
      <x:c r="AL637" s="2" t="s">
        <x:v>2857</x:v>
      </x:c>
      <x:c r="AM637" s="2">
        <x:v>17</x:v>
      </x:c>
      <x:c r="AN637" s="2">
        <x:v>17</x:v>
      </x:c>
    </x:row>
    <x:row r="638" ht="52">
      <x:c r="A638" s="2" t="s">
        <x:v>6</x:v>
      </x:c>
      <x:c r="B638" s="2" t="s">
        <x:v>17</x:v>
      </x:c>
      <x:c r="C638" s="3">
        <x:v>16</x:v>
      </x:c>
      <x:c r="D638" s="2" t="s">
        <x:v>2061</x:v>
      </x:c>
      <x:c r="E638" s="2" t="s">
        <x:v>2062</x:v>
      </x:c>
      <x:c r="F638" s="2" t="s">
        <x:v>254</x:v>
      </x:c>
      <x:c r="G638" s="2" t="s">
        <x:v>3001</x:v>
      </x:c>
      <x:c r="H638" s="2" t="s">
        <x:v>96</x:v>
      </x:c>
      <x:c r="I638" s="2" t="s">
        <x:v>2063</x:v>
      </x:c>
      <x:c r="J638" s="2" t="s">
        <x:v>389</x:v>
      </x:c>
      <x:c r="K638" s="2"/>
      <x:c r="L638" s="2" t="s">
        <x:v>2064</x:v>
      </x:c>
      <x:c r="M638" s="2" t="s">
        <x:v>391</x:v>
      </x:c>
      <x:c r="N638" s="2">
        <x:v>1</x:v>
      </x:c>
      <x:c r="O638" s="2" t="s">
        <x:v>392</x:v>
      </x:c>
      <x:c r="P638" s="2" t="s">
        <x:v>393</x:v>
      </x:c>
      <x:c r="Q638" s="2"/>
      <x:c r="R638" s="3">
        <x:v>4</x:v>
      </x:c>
      <x:c r="S638" s="3">
        <x:v>1</x:v>
      </x:c>
      <x:c r="T638" s="2" t="s">
        <x:v>103</x:v>
      </x:c>
      <x:c r="U638" s="2"/>
      <x:c r="V638" s="2"/>
      <x:c r="W638" s="2"/>
      <x:c r="X638" s="3"/>
      <x:c r="Y638" s="3"/>
      <x:c r="Z638" s="2"/>
      <x:c r="AA638" s="2"/>
      <x:c r="AB638" s="2" t="s">
        <x:v>427</x:v>
      </x:c>
      <x:c r="AC638" s="2"/>
      <x:c r="AD638" s="2"/>
      <x:c r="AE638" s="2"/>
      <x:c r="AF638" s="2"/>
      <x:c r="AG638" s="2" t="s">
        <x:v>2060</x:v>
      </x:c>
      <x:c r="AH638" s="2"/>
      <x:c r="AI638" s="4"/>
      <x:c r="AJ638" s="2"/>
      <x:c r="AK638" s="2" t="s">
        <x:v>396</x:v>
      </x:c>
      <x:c r="AL638" s="2" t="s">
        <x:v>2857</x:v>
      </x:c>
      <x:c r="AM638" s="2">
        <x:v>18</x:v>
      </x:c>
      <x:c r="AN638" s="2">
        <x:v>18</x:v>
      </x:c>
    </x:row>
    <x:row r="639" ht="52">
      <x:c r="A639" s="2" t="s">
        <x:v>6</x:v>
      </x:c>
      <x:c r="B639" s="2" t="s">
        <x:v>17</x:v>
      </x:c>
      <x:c r="C639" s="3">
        <x:v>17</x:v>
      </x:c>
      <x:c r="D639" s="2" t="s">
        <x:v>2065</x:v>
      </x:c>
      <x:c r="E639" s="2" t="s">
        <x:v>2066</x:v>
      </x:c>
      <x:c r="F639" s="2" t="s">
        <x:v>254</x:v>
      </x:c>
      <x:c r="G639" s="2" t="s">
        <x:v>3002</x:v>
      </x:c>
      <x:c r="H639" s="2" t="s">
        <x:v>96</x:v>
      </x:c>
      <x:c r="I639" s="2" t="s">
        <x:v>2067</x:v>
      </x:c>
      <x:c r="J639" s="2" t="s">
        <x:v>389</x:v>
      </x:c>
      <x:c r="K639" s="2"/>
      <x:c r="L639" s="2" t="s">
        <x:v>2068</x:v>
      </x:c>
      <x:c r="M639" s="2" t="s">
        <x:v>391</x:v>
      </x:c>
      <x:c r="N639" s="2">
        <x:v>1</x:v>
      </x:c>
      <x:c r="O639" s="2" t="s">
        <x:v>414</x:v>
      </x:c>
      <x:c r="P639" s="2" t="s">
        <x:v>393</x:v>
      </x:c>
      <x:c r="Q639" s="2"/>
      <x:c r="R639" s="3">
        <x:v>3</x:v>
      </x:c>
      <x:c r="S639" s="3">
        <x:v>1</x:v>
      </x:c>
      <x:c r="T639" s="2" t="s">
        <x:v>103</x:v>
      </x:c>
      <x:c r="U639" s="2"/>
      <x:c r="V639" s="2"/>
      <x:c r="W639" s="2"/>
      <x:c r="X639" s="3"/>
      <x:c r="Y639" s="3"/>
      <x:c r="Z639" s="2"/>
      <x:c r="AA639" s="2"/>
      <x:c r="AB639" s="2" t="s">
        <x:v>415</x:v>
      </x:c>
      <x:c r="AC639" s="2"/>
      <x:c r="AD639" s="2"/>
      <x:c r="AE639" s="2"/>
      <x:c r="AF639" s="2"/>
      <x:c r="AG639" s="2" t="s">
        <x:v>2060</x:v>
      </x:c>
      <x:c r="AH639" s="2"/>
      <x:c r="AI639" s="4"/>
      <x:c r="AJ639" s="2"/>
      <x:c r="AK639" s="2" t="s">
        <x:v>396</x:v>
      </x:c>
      <x:c r="AL639" s="2" t="s">
        <x:v>2857</x:v>
      </x:c>
      <x:c r="AM639" s="2">
        <x:v>19</x:v>
      </x:c>
      <x:c r="AN639" s="2">
        <x:v>19</x:v>
      </x:c>
    </x:row>
    <x:row r="640" ht="52">
      <x:c r="A640" s="2" t="s">
        <x:v>6</x:v>
      </x:c>
      <x:c r="B640" s="2" t="s">
        <x:v>17</x:v>
      </x:c>
      <x:c r="C640" s="3">
        <x:v>18</x:v>
      </x:c>
      <x:c r="D640" s="2" t="s">
        <x:v>2069</x:v>
      </x:c>
      <x:c r="E640" s="2" t="s">
        <x:v>2070</x:v>
      </x:c>
      <x:c r="F640" s="2" t="s">
        <x:v>317</x:v>
      </x:c>
      <x:c r="G640" s="2"/>
      <x:c r="H640" s="2" t="s">
        <x:v>96</x:v>
      </x:c>
      <x:c r="I640" s="2" t="s">
        <x:v>2071</x:v>
      </x:c>
      <x:c r="J640" s="2" t="s">
        <x:v>389</x:v>
      </x:c>
      <x:c r="K640" s="2"/>
      <x:c r="L640" s="2" t="s">
        <x:v>2072</x:v>
      </x:c>
      <x:c r="M640" s="2" t="s">
        <x:v>391</x:v>
      </x:c>
      <x:c r="N640" s="2">
        <x:v>1</x:v>
      </x:c>
      <x:c r="O640" s="2" t="s">
        <x:v>392</x:v>
      </x:c>
      <x:c r="P640" s="2" t="s">
        <x:v>393</x:v>
      </x:c>
      <x:c r="Q640" s="2"/>
      <x:c r="R640" s="3">
        <x:v>4</x:v>
      </x:c>
      <x:c r="S640" s="3">
        <x:v>1</x:v>
      </x:c>
      <x:c r="T640" s="2" t="s">
        <x:v>103</x:v>
      </x:c>
      <x:c r="U640" s="2"/>
      <x:c r="V640" s="2"/>
      <x:c r="W640" s="2"/>
      <x:c r="X640" s="3"/>
      <x:c r="Y640" s="3"/>
      <x:c r="Z640" s="2"/>
      <x:c r="AA640" s="2"/>
      <x:c r="AB640" s="2" t="s">
        <x:v>415</x:v>
      </x:c>
      <x:c r="AC640" s="2"/>
      <x:c r="AD640" s="2"/>
      <x:c r="AE640" s="2"/>
      <x:c r="AF640" s="2"/>
      <x:c r="AG640" s="2" t="s">
        <x:v>2060</x:v>
      </x:c>
      <x:c r="AH640" s="2"/>
      <x:c r="AI640" s="4"/>
      <x:c r="AJ640" s="2"/>
      <x:c r="AK640" s="2" t="s">
        <x:v>396</x:v>
      </x:c>
      <x:c r="AL640" s="2" t="s">
        <x:v>2857</x:v>
      </x:c>
      <x:c r="AM640" s="2">
        <x:v>20</x:v>
      </x:c>
      <x:c r="AN640" s="2">
        <x:v>20</x:v>
      </x:c>
    </x:row>
    <x:row r="641" ht="52">
      <x:c r="A641" s="2" t="s">
        <x:v>6</x:v>
      </x:c>
      <x:c r="B641" s="2" t="s">
        <x:v>17</x:v>
      </x:c>
      <x:c r="C641" s="3">
        <x:v>19</x:v>
      </x:c>
      <x:c r="D641" s="2" t="s">
        <x:v>2073</x:v>
      </x:c>
      <x:c r="E641" s="2" t="s">
        <x:v>2074</x:v>
      </x:c>
      <x:c r="F641" s="2" t="s">
        <x:v>254</x:v>
      </x:c>
      <x:c r="G641" s="2"/>
      <x:c r="H641" s="2" t="s">
        <x:v>96</x:v>
      </x:c>
      <x:c r="I641" s="2" t="s">
        <x:v>2075</x:v>
      </x:c>
      <x:c r="J641" s="2" t="s">
        <x:v>389</x:v>
      </x:c>
      <x:c r="K641" s="2"/>
      <x:c r="L641" s="2" t="s">
        <x:v>2076</x:v>
      </x:c>
      <x:c r="M641" s="2" t="s">
        <x:v>391</x:v>
      </x:c>
      <x:c r="N641" s="2">
        <x:v>1</x:v>
      </x:c>
      <x:c r="O641" s="2" t="s">
        <x:v>414</x:v>
      </x:c>
      <x:c r="P641" s="2" t="s">
        <x:v>393</x:v>
      </x:c>
      <x:c r="Q641" s="2"/>
      <x:c r="R641" s="3">
        <x:v>3</x:v>
      </x:c>
      <x:c r="S641" s="3">
        <x:v>1</x:v>
      </x:c>
      <x:c r="T641" s="2" t="s">
        <x:v>103</x:v>
      </x:c>
      <x:c r="U641" s="2"/>
      <x:c r="V641" s="2"/>
      <x:c r="W641" s="2"/>
      <x:c r="X641" s="3"/>
      <x:c r="Y641" s="3"/>
      <x:c r="Z641" s="2"/>
      <x:c r="AA641" s="2"/>
      <x:c r="AB641" s="2" t="s">
        <x:v>415</x:v>
      </x:c>
      <x:c r="AC641" s="2"/>
      <x:c r="AD641" s="2"/>
      <x:c r="AE641" s="2"/>
      <x:c r="AF641" s="2"/>
      <x:c r="AG641" s="2" t="s">
        <x:v>2060</x:v>
      </x:c>
      <x:c r="AH641" s="2"/>
      <x:c r="AI641" s="4"/>
      <x:c r="AJ641" s="2"/>
      <x:c r="AK641" s="2" t="s">
        <x:v>396</x:v>
      </x:c>
      <x:c r="AL641" s="2" t="s">
        <x:v>2857</x:v>
      </x:c>
      <x:c r="AM641" s="2">
        <x:v>21</x:v>
      </x:c>
      <x:c r="AN641" s="2">
        <x:v>21</x:v>
      </x:c>
    </x:row>
    <x:row r="642" ht="52">
      <x:c r="A642" s="2" t="s">
        <x:v>6</x:v>
      </x:c>
      <x:c r="B642" s="2" t="s">
        <x:v>17</x:v>
      </x:c>
      <x:c r="C642" s="3">
        <x:v>20</x:v>
      </x:c>
      <x:c r="D642" s="2" t="s">
        <x:v>2077</x:v>
      </x:c>
      <x:c r="E642" s="2" t="s">
        <x:v>2038</x:v>
      </x:c>
      <x:c r="F642" s="2" t="s">
        <x:v>237</x:v>
      </x:c>
      <x:c r="G642" s="2"/>
      <x:c r="H642" s="2" t="s">
        <x:v>618</x:v>
      </x:c>
      <x:c r="I642" s="2" t="s">
        <x:v>2079</x:v>
      </x:c>
      <x:c r="J642" s="2" t="s">
        <x:v>2080</x:v>
      </x:c>
      <x:c r="K642" s="2"/>
      <x:c r="L642" s="2" t="s">
        <x:v>2081</x:v>
      </x:c>
      <x:c r="M642" s="2" t="s">
        <x:v>2082</x:v>
      </x:c>
      <x:c r="N642" s="2">
        <x:v>2</x:v>
      </x:c>
      <x:c r="O642" s="2" t="s">
        <x:v>2083</x:v>
      </x:c>
      <x:c r="P642" s="2" t="s">
        <x:v>2084</x:v>
      </x:c>
      <x:c r="Q642" s="2"/>
      <x:c r="R642" s="3">
        <x:v>3</x:v>
      </x:c>
      <x:c r="S642" s="3">
        <x:v>1</x:v>
      </x:c>
      <x:c r="T642" s="2" t="s">
        <x:v>103</x:v>
      </x:c>
      <x:c r="U642" s="2"/>
      <x:c r="V642" s="2"/>
      <x:c r="W642" s="2"/>
      <x:c r="X642" s="3"/>
      <x:c r="Y642" s="3"/>
      <x:c r="Z642" s="2"/>
      <x:c r="AA642" s="2"/>
      <x:c r="AB642" s="2" t="s">
        <x:v>415</x:v>
      </x:c>
      <x:c r="AC642" s="2"/>
      <x:c r="AD642" s="2"/>
      <x:c r="AE642" s="2"/>
      <x:c r="AF642" s="2"/>
      <x:c r="AG642" s="2" t="s">
        <x:v>2036</x:v>
      </x:c>
      <x:c r="AH642" s="2"/>
      <x:c r="AI642" s="4"/>
      <x:c r="AJ642" s="2"/>
      <x:c r="AK642" s="2" t="s">
        <x:v>396</x:v>
      </x:c>
      <x:c r="AL642" s="2" t="s">
        <x:v>2857</x:v>
      </x:c>
      <x:c r="AM642" s="2">
        <x:v>22</x:v>
      </x:c>
      <x:c r="AN642" s="2">
        <x:v>22</x:v>
      </x:c>
    </x:row>
    <x:row r="643" ht="39">
      <x:c r="A643" s="2" t="s">
        <x:v>6</x:v>
      </x:c>
      <x:c r="B643" s="2" t="s">
        <x:v>17</x:v>
      </x:c>
      <x:c r="C643" s="3">
        <x:v>21</x:v>
      </x:c>
      <x:c r="D643" s="2" t="s">
        <x:v>1376</x:v>
      </x:c>
      <x:c r="E643" s="2" t="s">
        <x:v>2038</x:v>
      </x:c>
      <x:c r="F643" s="2" t="s">
        <x:v>237</x:v>
      </x:c>
      <x:c r="G643" s="2"/>
      <x:c r="H643" s="2" t="s">
        <x:v>627</x:v>
      </x:c>
      <x:c r="I643" s="2" t="s">
        <x:v>2079</x:v>
      </x:c>
      <x:c r="J643" s="2" t="s">
        <x:v>2086</x:v>
      </x:c>
      <x:c r="K643" s="2" t="n">
        <x:v>20</x:v>
      </x:c>
      <x:c r="L643" s="2" t="s">
        <x:v>2081</x:v>
      </x:c>
      <x:c r="M643" s="2" t="s">
        <x:v>2087</x:v>
      </x:c>
      <x:c r="N643" s="2">
        <x:v>2</x:v>
      </x:c>
      <x:c r="O643" s="2" t="s">
        <x:v>2088</x:v>
      </x:c>
      <x:c r="P643" s="2" t="s">
        <x:v>2089</x:v>
      </x:c>
      <x:c r="Q643" s="2"/>
      <x:c r="R643" s="3">
        <x:v>3</x:v>
      </x:c>
      <x:c r="S643" s="3">
        <x:v>1</x:v>
      </x:c>
      <x:c r="T643" s="2" t="s">
        <x:v>103</x:v>
      </x:c>
      <x:c r="U643" s="2"/>
      <x:c r="V643" s="2"/>
      <x:c r="W643" s="2"/>
      <x:c r="X643" s="3"/>
      <x:c r="Y643" s="3"/>
      <x:c r="Z643" s="2"/>
      <x:c r="AA643" s="2"/>
      <x:c r="AB643" s="2" t="s">
        <x:v>2090</x:v>
      </x:c>
      <x:c r="AC643" s="2"/>
      <x:c r="AD643" s="2"/>
      <x:c r="AE643" s="2"/>
      <x:c r="AF643" s="2"/>
      <x:c r="AG643" s="2" t="s">
        <x:v>2036</x:v>
      </x:c>
      <x:c r="AH643" s="2"/>
      <x:c r="AI643" s="4"/>
      <x:c r="AJ643" s="2"/>
      <x:c r="AK643" s="2" t="s">
        <x:v>396</x:v>
      </x:c>
      <x:c r="AL643" s="2" t="s">
        <x:v>2857</x:v>
      </x:c>
      <x:c r="AM643" s="2">
        <x:v>23</x:v>
      </x:c>
      <x:c r="AN643" s="2">
        <x:v>23</x:v>
      </x:c>
    </x:row>
    <x:row r="644" ht="39">
      <x:c r="A644" s="2" t="s">
        <x:v>6</x:v>
      </x:c>
      <x:c r="B644" s="2" t="s">
        <x:v>17</x:v>
      </x:c>
      <x:c r="C644" s="3">
        <x:v>22</x:v>
      </x:c>
      <x:c r="D644" s="2" t="s">
        <x:v>2091</x:v>
      </x:c>
      <x:c r="E644" s="2" t="s">
        <x:v>2038</x:v>
      </x:c>
      <x:c r="F644" s="2" t="s">
        <x:v>237</x:v>
      </x:c>
      <x:c r="G644" s="2"/>
      <x:c r="H644" s="2" t="s">
        <x:v>634</x:v>
      </x:c>
      <x:c r="I644" s="2" t="s">
        <x:v>2079</x:v>
      </x:c>
      <x:c r="J644" s="2" t="s">
        <x:v>635</x:v>
      </x:c>
      <x:c r="K644" s="2" t="n">
        <x:v>20</x:v>
      </x:c>
      <x:c r="L644" s="2" t="s">
        <x:v>2081</x:v>
      </x:c>
      <x:c r="M644" s="2" t="s">
        <x:v>2093</x:v>
      </x:c>
      <x:c r="N644" s="2">
        <x:v>2</x:v>
      </x:c>
      <x:c r="O644" s="2" t="s">
        <x:v>2094</x:v>
      </x:c>
      <x:c r="P644" s="2" t="s">
        <x:v>2095</x:v>
      </x:c>
      <x:c r="Q644" s="2"/>
      <x:c r="R644" s="3">
        <x:v>3</x:v>
      </x:c>
      <x:c r="S644" s="3">
        <x:v>1</x:v>
      </x:c>
      <x:c r="T644" s="2" t="s">
        <x:v>103</x:v>
      </x:c>
      <x:c r="U644" s="2"/>
      <x:c r="V644" s="2"/>
      <x:c r="W644" s="2"/>
      <x:c r="X644" s="3"/>
      <x:c r="Y644" s="3"/>
      <x:c r="Z644" s="2"/>
      <x:c r="AA644" s="2"/>
      <x:c r="AB644" s="2" t="s">
        <x:v>415</x:v>
      </x:c>
      <x:c r="AC644" s="2"/>
      <x:c r="AD644" s="2"/>
      <x:c r="AE644" s="2"/>
      <x:c r="AF644" s="2"/>
      <x:c r="AG644" s="2" t="s">
        <x:v>2036</x:v>
      </x:c>
      <x:c r="AH644" s="2"/>
      <x:c r="AI644" s="4"/>
      <x:c r="AJ644" s="2"/>
      <x:c r="AK644" s="2" t="s">
        <x:v>396</x:v>
      </x:c>
      <x:c r="AL644" s="2" t="s">
        <x:v>2857</x:v>
      </x:c>
      <x:c r="AM644" s="2">
        <x:v>24</x:v>
      </x:c>
      <x:c r="AN644" s="2">
        <x:v>24</x:v>
      </x:c>
    </x:row>
    <x:row r="645" ht="26">
      <x:c r="A645" s="2" t="s">
        <x:v>6</x:v>
      </x:c>
      <x:c r="B645" s="2" t="s">
        <x:v>17</x:v>
      </x:c>
      <x:c r="C645" s="3">
        <x:v>23</x:v>
      </x:c>
      <x:c r="D645" s="2" t="s">
        <x:v>2096</x:v>
      </x:c>
      <x:c r="E645" s="2" t="s">
        <x:v>2038</x:v>
      </x:c>
      <x:c r="F645" s="2" t="s">
        <x:v>237</x:v>
      </x:c>
      <x:c r="G645" s="2"/>
      <x:c r="H645" s="2" t="s">
        <x:v>634</x:v>
      </x:c>
      <x:c r="I645" s="2" t="s">
        <x:v>2079</x:v>
      </x:c>
      <x:c r="J645" s="2" t="s">
        <x:v>2098</x:v>
      </x:c>
      <x:c r="K645" s="2" t="n">
        <x:v>20</x:v>
      </x:c>
      <x:c r="L645" s="2" t="s">
        <x:v>2081</x:v>
      </x:c>
      <x:c r="M645" s="2" t="s">
        <x:v>2099</x:v>
      </x:c>
      <x:c r="N645" s="2">
        <x:v>2</x:v>
      </x:c>
      <x:c r="O645" s="2" t="s">
        <x:v>2094</x:v>
      </x:c>
      <x:c r="P645" s="2" t="s">
        <x:v>2100</x:v>
      </x:c>
      <x:c r="Q645" s="2"/>
      <x:c r="R645" s="3">
        <x:v>3</x:v>
      </x:c>
      <x:c r="S645" s="3">
        <x:v>1</x:v>
      </x:c>
      <x:c r="T645" s="2" t="s">
        <x:v>103</x:v>
      </x:c>
      <x:c r="U645" s="2"/>
      <x:c r="V645" s="2"/>
      <x:c r="W645" s="2"/>
      <x:c r="X645" s="3"/>
      <x:c r="Y645" s="3"/>
      <x:c r="Z645" s="2"/>
      <x:c r="AA645" s="2"/>
      <x:c r="AB645" s="2" t="s">
        <x:v>2101</x:v>
      </x:c>
      <x:c r="AC645" s="2"/>
      <x:c r="AD645" s="2"/>
      <x:c r="AE645" s="2"/>
      <x:c r="AF645" s="2"/>
      <x:c r="AG645" s="2" t="s">
        <x:v>2036</x:v>
      </x:c>
      <x:c r="AH645" s="2"/>
      <x:c r="AI645" s="4"/>
      <x:c r="AJ645" s="2"/>
      <x:c r="AK645" s="2" t="s">
        <x:v>396</x:v>
      </x:c>
      <x:c r="AL645" s="2" t="s">
        <x:v>2857</x:v>
      </x:c>
      <x:c r="AM645" s="2">
        <x:v>25</x:v>
      </x:c>
      <x:c r="AN645" s="2">
        <x:v>25</x:v>
      </x:c>
    </x:row>
    <x:row r="646" ht="52">
      <x:c r="A646" s="2" t="s">
        <x:v>6</x:v>
      </x:c>
      <x:c r="B646" s="2" t="s">
        <x:v>17</x:v>
      </x:c>
      <x:c r="C646" s="3">
        <x:v>24</x:v>
      </x:c>
      <x:c r="D646" s="2" t="s">
        <x:v>2102</x:v>
      </x:c>
      <x:c r="E646" s="2" t="s">
        <x:v>409</x:v>
      </x:c>
      <x:c r="F646" s="2" t="s">
        <x:v>386</x:v>
      </x:c>
      <x:c r="G646" s="2"/>
      <x:c r="H646" s="2" t="s">
        <x:v>618</x:v>
      </x:c>
      <x:c r="I646" s="2" t="s">
        <x:v>2103</x:v>
      </x:c>
      <x:c r="J646" s="2" t="s">
        <x:v>2080</x:v>
      </x:c>
      <x:c r="K646" s="2"/>
      <x:c r="L646" s="2" t="s">
        <x:v>2104</x:v>
      </x:c>
      <x:c r="M646" s="2" t="s">
        <x:v>2082</x:v>
      </x:c>
      <x:c r="N646" s="2">
        <x:v>2</x:v>
      </x:c>
      <x:c r="O646" s="2" t="s">
        <x:v>2083</x:v>
      </x:c>
      <x:c r="P646" s="2" t="s">
        <x:v>2084</x:v>
      </x:c>
      <x:c r="Q646" s="2"/>
      <x:c r="R646" s="3">
        <x:v>3</x:v>
      </x:c>
      <x:c r="S646" s="3">
        <x:v>1</x:v>
      </x:c>
      <x:c r="T646" s="2" t="s">
        <x:v>103</x:v>
      </x:c>
      <x:c r="U646" s="2"/>
      <x:c r="V646" s="2"/>
      <x:c r="W646" s="2"/>
      <x:c r="X646" s="3"/>
      <x:c r="Y646" s="3"/>
      <x:c r="Z646" s="2"/>
      <x:c r="AA646" s="2"/>
      <x:c r="AB646" s="2" t="s">
        <x:v>427</x:v>
      </x:c>
      <x:c r="AC646" s="2"/>
      <x:c r="AD646" s="2"/>
      <x:c r="AE646" s="2"/>
      <x:c r="AF646" s="2"/>
      <x:c r="AG646" s="2" t="s">
        <x:v>395</x:v>
      </x:c>
      <x:c r="AH646" s="2"/>
      <x:c r="AI646" s="4"/>
      <x:c r="AJ646" s="2"/>
      <x:c r="AK646" s="2" t="s">
        <x:v>396</x:v>
      </x:c>
      <x:c r="AL646" s="2" t="s">
        <x:v>2857</x:v>
      </x:c>
      <x:c r="AM646" s="2">
        <x:v>26</x:v>
      </x:c>
      <x:c r="AN646" s="2">
        <x:v>26</x:v>
      </x:c>
    </x:row>
    <x:row r="647" ht="39">
      <x:c r="A647" s="2" t="s">
        <x:v>6</x:v>
      </x:c>
      <x:c r="B647" s="2" t="s">
        <x:v>17</x:v>
      </x:c>
      <x:c r="C647" s="3">
        <x:v>25</x:v>
      </x:c>
      <x:c r="D647" s="2" t="s">
        <x:v>2105</x:v>
      </x:c>
      <x:c r="E647" s="2" t="s">
        <x:v>409</x:v>
      </x:c>
      <x:c r="F647" s="2" t="s">
        <x:v>386</x:v>
      </x:c>
      <x:c r="G647" s="2"/>
      <x:c r="H647" s="2" t="s">
        <x:v>627</x:v>
      </x:c>
      <x:c r="I647" s="2" t="s">
        <x:v>2103</x:v>
      </x:c>
      <x:c r="J647" s="2" t="s">
        <x:v>2086</x:v>
      </x:c>
      <x:c r="K647" s="2" t="n">
        <x:v>24</x:v>
      </x:c>
      <x:c r="L647" s="2" t="s">
        <x:v>2104</x:v>
      </x:c>
      <x:c r="M647" s="2" t="s">
        <x:v>2087</x:v>
      </x:c>
      <x:c r="N647" s="2">
        <x:v>2</x:v>
      </x:c>
      <x:c r="O647" s="2" t="s">
        <x:v>2088</x:v>
      </x:c>
      <x:c r="P647" s="2" t="s">
        <x:v>2089</x:v>
      </x:c>
      <x:c r="Q647" s="2"/>
      <x:c r="R647" s="3">
        <x:v>3</x:v>
      </x:c>
      <x:c r="S647" s="3">
        <x:v>1</x:v>
      </x:c>
      <x:c r="T647" s="2" t="s">
        <x:v>103</x:v>
      </x:c>
      <x:c r="U647" s="2"/>
      <x:c r="V647" s="2"/>
      <x:c r="W647" s="2"/>
      <x:c r="X647" s="3"/>
      <x:c r="Y647" s="3"/>
      <x:c r="Z647" s="2"/>
      <x:c r="AA647" s="2"/>
      <x:c r="AB647" s="2" t="s">
        <x:v>2090</x:v>
      </x:c>
      <x:c r="AC647" s="2"/>
      <x:c r="AD647" s="2"/>
      <x:c r="AE647" s="2"/>
      <x:c r="AF647" s="2"/>
      <x:c r="AG647" s="2" t="s">
        <x:v>395</x:v>
      </x:c>
      <x:c r="AH647" s="2"/>
      <x:c r="AI647" s="4"/>
      <x:c r="AJ647" s="2"/>
      <x:c r="AK647" s="2" t="s">
        <x:v>396</x:v>
      </x:c>
      <x:c r="AL647" s="2" t="s">
        <x:v>2857</x:v>
      </x:c>
      <x:c r="AM647" s="2">
        <x:v>27</x:v>
      </x:c>
      <x:c r="AN647" s="2">
        <x:v>27</x:v>
      </x:c>
    </x:row>
    <x:row r="648" ht="39">
      <x:c r="A648" s="2" t="s">
        <x:v>6</x:v>
      </x:c>
      <x:c r="B648" s="2" t="s">
        <x:v>17</x:v>
      </x:c>
      <x:c r="C648" s="3">
        <x:v>26</x:v>
      </x:c>
      <x:c r="D648" s="2" t="s">
        <x:v>2106</x:v>
      </x:c>
      <x:c r="E648" s="2" t="s">
        <x:v>409</x:v>
      </x:c>
      <x:c r="F648" s="2" t="s">
        <x:v>386</x:v>
      </x:c>
      <x:c r="G648" s="2"/>
      <x:c r="H648" s="2" t="s">
        <x:v>634</x:v>
      </x:c>
      <x:c r="I648" s="2" t="s">
        <x:v>2103</x:v>
      </x:c>
      <x:c r="J648" s="2" t="s">
        <x:v>635</x:v>
      </x:c>
      <x:c r="K648" s="2" t="n">
        <x:v>24</x:v>
      </x:c>
      <x:c r="L648" s="2" t="s">
        <x:v>2104</x:v>
      </x:c>
      <x:c r="M648" s="2" t="s">
        <x:v>2093</x:v>
      </x:c>
      <x:c r="N648" s="2">
        <x:v>2</x:v>
      </x:c>
      <x:c r="O648" s="2" t="s">
        <x:v>2094</x:v>
      </x:c>
      <x:c r="P648" s="2" t="s">
        <x:v>2095</x:v>
      </x:c>
      <x:c r="Q648" s="2"/>
      <x:c r="R648" s="3">
        <x:v>3</x:v>
      </x:c>
      <x:c r="S648" s="3">
        <x:v>1</x:v>
      </x:c>
      <x:c r="T648" s="2" t="s">
        <x:v>103</x:v>
      </x:c>
      <x:c r="U648" s="2"/>
      <x:c r="V648" s="2"/>
      <x:c r="W648" s="2"/>
      <x:c r="X648" s="3"/>
      <x:c r="Y648" s="3"/>
      <x:c r="Z648" s="2"/>
      <x:c r="AA648" s="2"/>
      <x:c r="AB648" s="2" t="s">
        <x:v>427</x:v>
      </x:c>
      <x:c r="AC648" s="2"/>
      <x:c r="AD648" s="2"/>
      <x:c r="AE648" s="2"/>
      <x:c r="AF648" s="2"/>
      <x:c r="AG648" s="2" t="s">
        <x:v>395</x:v>
      </x:c>
      <x:c r="AH648" s="2"/>
      <x:c r="AI648" s="4"/>
      <x:c r="AJ648" s="2"/>
      <x:c r="AK648" s="2" t="s">
        <x:v>396</x:v>
      </x:c>
      <x:c r="AL648" s="2" t="s">
        <x:v>2857</x:v>
      </x:c>
      <x:c r="AM648" s="2">
        <x:v>28</x:v>
      </x:c>
      <x:c r="AN648" s="2">
        <x:v>28</x:v>
      </x:c>
    </x:row>
    <x:row r="649" ht="26">
      <x:c r="A649" s="2" t="s">
        <x:v>6</x:v>
      </x:c>
      <x:c r="B649" s="2" t="s">
        <x:v>17</x:v>
      </x:c>
      <x:c r="C649" s="3">
        <x:v>27</x:v>
      </x:c>
      <x:c r="D649" s="2" t="s">
        <x:v>2107</x:v>
      </x:c>
      <x:c r="E649" s="2" t="s">
        <x:v>409</x:v>
      </x:c>
      <x:c r="F649" s="2" t="s">
        <x:v>386</x:v>
      </x:c>
      <x:c r="G649" s="2"/>
      <x:c r="H649" s="2" t="s">
        <x:v>634</x:v>
      </x:c>
      <x:c r="I649" s="2" t="s">
        <x:v>2103</x:v>
      </x:c>
      <x:c r="J649" s="2" t="s">
        <x:v>2098</x:v>
      </x:c>
      <x:c r="K649" s="2" t="n">
        <x:v>24</x:v>
      </x:c>
      <x:c r="L649" s="2" t="s">
        <x:v>2104</x:v>
      </x:c>
      <x:c r="M649" s="2" t="s">
        <x:v>2099</x:v>
      </x:c>
      <x:c r="N649" s="2">
        <x:v>2</x:v>
      </x:c>
      <x:c r="O649" s="2" t="s">
        <x:v>2094</x:v>
      </x:c>
      <x:c r="P649" s="2" t="s">
        <x:v>2100</x:v>
      </x:c>
      <x:c r="Q649" s="2"/>
      <x:c r="R649" s="3">
        <x:v>3</x:v>
      </x:c>
      <x:c r="S649" s="3">
        <x:v>1</x:v>
      </x:c>
      <x:c r="T649" s="2" t="s">
        <x:v>103</x:v>
      </x:c>
      <x:c r="U649" s="2"/>
      <x:c r="V649" s="2"/>
      <x:c r="W649" s="2"/>
      <x:c r="X649" s="3"/>
      <x:c r="Y649" s="3"/>
      <x:c r="Z649" s="2"/>
      <x:c r="AA649" s="2"/>
      <x:c r="AB649" s="2" t="s">
        <x:v>2101</x:v>
      </x:c>
      <x:c r="AC649" s="2"/>
      <x:c r="AD649" s="2"/>
      <x:c r="AE649" s="2"/>
      <x:c r="AF649" s="2"/>
      <x:c r="AG649" s="2" t="s">
        <x:v>395</x:v>
      </x:c>
      <x:c r="AH649" s="2"/>
      <x:c r="AI649" s="4"/>
      <x:c r="AJ649" s="2"/>
      <x:c r="AK649" s="2" t="s">
        <x:v>396</x:v>
      </x:c>
      <x:c r="AL649" s="2" t="s">
        <x:v>2857</x:v>
      </x:c>
      <x:c r="AM649" s="2">
        <x:v>29</x:v>
      </x:c>
      <x:c r="AN649" s="2">
        <x:v>29</x:v>
      </x:c>
    </x:row>
    <x:row r="650" ht="52">
      <x:c r="A650" s="2" t="s">
        <x:v>6</x:v>
      </x:c>
      <x:c r="B650" s="2" t="s">
        <x:v>17</x:v>
      </x:c>
      <x:c r="C650" s="3">
        <x:v>28</x:v>
      </x:c>
      <x:c r="D650" s="2" t="s">
        <x:v>2108</x:v>
      </x:c>
      <x:c r="E650" s="2" t="s">
        <x:v>2109</x:v>
      </x:c>
      <x:c r="F650" s="2" t="s">
        <x:v>423</x:v>
      </x:c>
      <x:c r="G650" s="2"/>
      <x:c r="H650" s="2" t="s">
        <x:v>618</x:v>
      </x:c>
      <x:c r="I650" s="2" t="s">
        <x:v>2111</x:v>
      </x:c>
      <x:c r="J650" s="2" t="s">
        <x:v>2080</x:v>
      </x:c>
      <x:c r="K650" s="2"/>
      <x:c r="L650" s="2" t="s">
        <x:v>2112</x:v>
      </x:c>
      <x:c r="M650" s="2" t="s">
        <x:v>2082</x:v>
      </x:c>
      <x:c r="N650" s="2">
        <x:v>2</x:v>
      </x:c>
      <x:c r="O650" s="2" t="s">
        <x:v>2083</x:v>
      </x:c>
      <x:c r="P650" s="2" t="s">
        <x:v>2084</x:v>
      </x:c>
      <x:c r="Q650" s="2"/>
      <x:c r="R650" s="3">
        <x:v>4</x:v>
      </x:c>
      <x:c r="S650" s="3">
        <x:v>1</x:v>
      </x:c>
      <x:c r="T650" s="2" t="s">
        <x:v>103</x:v>
      </x:c>
      <x:c r="U650" s="2"/>
      <x:c r="V650" s="2"/>
      <x:c r="W650" s="2"/>
      <x:c r="X650" s="3"/>
      <x:c r="Y650" s="3"/>
      <x:c r="Z650" s="2"/>
      <x:c r="AA650" s="2"/>
      <x:c r="AB650" s="2" t="s">
        <x:v>394</x:v>
      </x:c>
      <x:c r="AC650" s="2"/>
      <x:c r="AD650" s="2"/>
      <x:c r="AE650" s="2"/>
      <x:c r="AF650" s="2"/>
      <x:c r="AG650" s="2" t="s">
        <x:v>428</x:v>
      </x:c>
      <x:c r="AH650" s="2"/>
      <x:c r="AI650" s="4"/>
      <x:c r="AJ650" s="2"/>
      <x:c r="AK650" s="2" t="s">
        <x:v>396</x:v>
      </x:c>
      <x:c r="AL650" s="2" t="s">
        <x:v>2857</x:v>
      </x:c>
      <x:c r="AM650" s="2">
        <x:v>30</x:v>
      </x:c>
      <x:c r="AN650" s="2">
        <x:v>30</x:v>
      </x:c>
    </x:row>
    <x:row r="651" ht="39">
      <x:c r="A651" s="2" t="s">
        <x:v>91</x:v>
      </x:c>
      <x:c r="B651" s="2" t="s">
        <x:v>17</x:v>
      </x:c>
      <x:c r="C651" s="3">
        <x:v>29</x:v>
      </x:c>
      <x:c r="D651" s="2" t="s">
        <x:v>2113</x:v>
      </x:c>
      <x:c r="E651" s="2" t="s">
        <x:v>2109</x:v>
      </x:c>
      <x:c r="F651" s="2" t="s">
        <x:v>423</x:v>
      </x:c>
      <x:c r="G651" s="2" t="s">
        <x:v>3003</x:v>
      </x:c>
      <x:c r="H651" s="2" t="s">
        <x:v>627</x:v>
      </x:c>
      <x:c r="I651" s="2" t="s">
        <x:v>2111</x:v>
      </x:c>
      <x:c r="J651" s="2" t="s">
        <x:v>2086</x:v>
      </x:c>
      <x:c r="K651" s="2" t="n">
        <x:v>28</x:v>
      </x:c>
      <x:c r="L651" s="2" t="s">
        <x:v>2112</x:v>
      </x:c>
      <x:c r="M651" s="2" t="s">
        <x:v>2087</x:v>
      </x:c>
      <x:c r="N651" s="2">
        <x:v>2</x:v>
      </x:c>
      <x:c r="O651" s="2" t="s">
        <x:v>2088</x:v>
      </x:c>
      <x:c r="P651" s="2" t="s">
        <x:v>2089</x:v>
      </x:c>
      <x:c r="Q651" s="2"/>
      <x:c r="R651" s="3">
        <x:v>4</x:v>
      </x:c>
      <x:c r="S651" s="3">
        <x:v>1</x:v>
      </x:c>
      <x:c r="T651" s="2" t="s">
        <x:v>103</x:v>
      </x:c>
      <x:c r="U651" s="2"/>
      <x:c r="V651" s="2"/>
      <x:c r="W651" s="2"/>
      <x:c r="X651" s="3"/>
      <x:c r="Y651" s="3"/>
      <x:c r="Z651" s="2"/>
      <x:c r="AA651" s="2"/>
      <x:c r="AB651" s="2" t="s">
        <x:v>2090</x:v>
      </x:c>
      <x:c r="AC651" s="2"/>
      <x:c r="AD651" s="2"/>
      <x:c r="AE651" s="2"/>
      <x:c r="AF651" s="2"/>
      <x:c r="AG651" s="2" t="s">
        <x:v>428</x:v>
      </x:c>
      <x:c r="AH651" s="2"/>
      <x:c r="AI651" s="4"/>
      <x:c r="AJ651" s="2"/>
      <x:c r="AK651" s="2" t="s">
        <x:v>396</x:v>
      </x:c>
      <x:c r="AL651" s="2" t="s">
        <x:v>2857</x:v>
      </x:c>
      <x:c r="AM651" s="2">
        <x:v>31</x:v>
      </x:c>
      <x:c r="AN651" s="2">
        <x:v>31</x:v>
      </x:c>
    </x:row>
    <x:row r="652" ht="39">
      <x:c r="A652" s="2" t="s">
        <x:v>6</x:v>
      </x:c>
      <x:c r="B652" s="2" t="s">
        <x:v>17</x:v>
      </x:c>
      <x:c r="C652" s="3">
        <x:v>30</x:v>
      </x:c>
      <x:c r="D652" s="2" t="s">
        <x:v>2115</x:v>
      </x:c>
      <x:c r="E652" s="2" t="s">
        <x:v>2109</x:v>
      </x:c>
      <x:c r="F652" s="2" t="s">
        <x:v>423</x:v>
      </x:c>
      <x:c r="G652" s="2"/>
      <x:c r="H652" s="2" t="s">
        <x:v>634</x:v>
      </x:c>
      <x:c r="I652" s="2" t="s">
        <x:v>2111</x:v>
      </x:c>
      <x:c r="J652" s="2" t="s">
        <x:v>635</x:v>
      </x:c>
      <x:c r="K652" s="2" t="n">
        <x:v>28</x:v>
      </x:c>
      <x:c r="L652" s="2" t="s">
        <x:v>2112</x:v>
      </x:c>
      <x:c r="M652" s="2" t="s">
        <x:v>2093</x:v>
      </x:c>
      <x:c r="N652" s="2">
        <x:v>2</x:v>
      </x:c>
      <x:c r="O652" s="2" t="s">
        <x:v>2094</x:v>
      </x:c>
      <x:c r="P652" s="2" t="s">
        <x:v>2095</x:v>
      </x:c>
      <x:c r="Q652" s="2"/>
      <x:c r="R652" s="3">
        <x:v>4</x:v>
      </x:c>
      <x:c r="S652" s="3">
        <x:v>1</x:v>
      </x:c>
      <x:c r="T652" s="2" t="s">
        <x:v>103</x:v>
      </x:c>
      <x:c r="U652" s="2"/>
      <x:c r="V652" s="2"/>
      <x:c r="W652" s="2"/>
      <x:c r="X652" s="3"/>
      <x:c r="Y652" s="3"/>
      <x:c r="Z652" s="2"/>
      <x:c r="AA652" s="2"/>
      <x:c r="AB652" s="2" t="s">
        <x:v>394</x:v>
      </x:c>
      <x:c r="AC652" s="2"/>
      <x:c r="AD652" s="2"/>
      <x:c r="AE652" s="2"/>
      <x:c r="AF652" s="2"/>
      <x:c r="AG652" s="2" t="s">
        <x:v>428</x:v>
      </x:c>
      <x:c r="AH652" s="2"/>
      <x:c r="AI652" s="4"/>
      <x:c r="AJ652" s="2"/>
      <x:c r="AK652" s="2" t="s">
        <x:v>396</x:v>
      </x:c>
      <x:c r="AL652" s="2" t="s">
        <x:v>2857</x:v>
      </x:c>
      <x:c r="AM652" s="2">
        <x:v>32</x:v>
      </x:c>
      <x:c r="AN652" s="2">
        <x:v>32</x:v>
      </x:c>
    </x:row>
    <x:row r="653" ht="26">
      <x:c r="A653" s="2" t="s">
        <x:v>6</x:v>
      </x:c>
      <x:c r="B653" s="2" t="s">
        <x:v>17</x:v>
      </x:c>
      <x:c r="C653" s="3">
        <x:v>31</x:v>
      </x:c>
      <x:c r="D653" s="2" t="s">
        <x:v>2116</x:v>
      </x:c>
      <x:c r="E653" s="2" t="s">
        <x:v>2109</x:v>
      </x:c>
      <x:c r="F653" s="2" t="s">
        <x:v>423</x:v>
      </x:c>
      <x:c r="G653" s="2"/>
      <x:c r="H653" s="2" t="s">
        <x:v>634</x:v>
      </x:c>
      <x:c r="I653" s="2" t="s">
        <x:v>2111</x:v>
      </x:c>
      <x:c r="J653" s="2" t="s">
        <x:v>2098</x:v>
      </x:c>
      <x:c r="K653" s="2" t="n">
        <x:v>28</x:v>
      </x:c>
      <x:c r="L653" s="2" t="s">
        <x:v>2112</x:v>
      </x:c>
      <x:c r="M653" s="2" t="s">
        <x:v>2099</x:v>
      </x:c>
      <x:c r="N653" s="2">
        <x:v>2</x:v>
      </x:c>
      <x:c r="O653" s="2" t="s">
        <x:v>2094</x:v>
      </x:c>
      <x:c r="P653" s="2" t="s">
        <x:v>2100</x:v>
      </x:c>
      <x:c r="Q653" s="2"/>
      <x:c r="R653" s="3">
        <x:v>4</x:v>
      </x:c>
      <x:c r="S653" s="3">
        <x:v>1</x:v>
      </x:c>
      <x:c r="T653" s="2" t="s">
        <x:v>103</x:v>
      </x:c>
      <x:c r="U653" s="2"/>
      <x:c r="V653" s="2"/>
      <x:c r="W653" s="2"/>
      <x:c r="X653" s="3"/>
      <x:c r="Y653" s="3"/>
      <x:c r="Z653" s="2"/>
      <x:c r="AA653" s="2"/>
      <x:c r="AB653" s="2" t="s">
        <x:v>2101</x:v>
      </x:c>
      <x:c r="AC653" s="2"/>
      <x:c r="AD653" s="2"/>
      <x:c r="AE653" s="2"/>
      <x:c r="AF653" s="2"/>
      <x:c r="AG653" s="2" t="s">
        <x:v>428</x:v>
      </x:c>
      <x:c r="AH653" s="2"/>
      <x:c r="AI653" s="4"/>
      <x:c r="AJ653" s="2"/>
      <x:c r="AK653" s="2" t="s">
        <x:v>396</x:v>
      </x:c>
      <x:c r="AL653" s="2" t="s">
        <x:v>2857</x:v>
      </x:c>
      <x:c r="AM653" s="2">
        <x:v>33</x:v>
      </x:c>
      <x:c r="AN653" s="2">
        <x:v>33</x:v>
      </x:c>
    </x:row>
    <x:row r="654" ht="52">
      <x:c r="A654" s="2" t="s">
        <x:v>6</x:v>
      </x:c>
      <x:c r="B654" s="2" t="s">
        <x:v>17</x:v>
      </x:c>
      <x:c r="C654" s="3">
        <x:v>32</x:v>
      </x:c>
      <x:c r="D654" s="2" t="s">
        <x:v>2118</x:v>
      </x:c>
      <x:c r="E654" s="2" t="s">
        <x:v>2046</x:v>
      </x:c>
      <x:c r="F654" s="2" t="s">
        <x:v>237</x:v>
      </x:c>
      <x:c r="G654" s="2"/>
      <x:c r="H654" s="2" t="s">
        <x:v>618</x:v>
      </x:c>
      <x:c r="I654" s="2" t="s">
        <x:v>2119</x:v>
      </x:c>
      <x:c r="J654" s="2" t="s">
        <x:v>2120</x:v>
      </x:c>
      <x:c r="K654" s="2"/>
      <x:c r="L654" s="2" t="s">
        <x:v>2121</x:v>
      </x:c>
      <x:c r="M654" s="2" t="s">
        <x:v>2082</x:v>
      </x:c>
      <x:c r="N654" s="2">
        <x:v>2</x:v>
      </x:c>
      <x:c r="O654" s="2" t="s">
        <x:v>2083</x:v>
      </x:c>
      <x:c r="P654" s="2" t="s">
        <x:v>2084</x:v>
      </x:c>
      <x:c r="Q654" s="2"/>
      <x:c r="R654" s="3">
        <x:v>4</x:v>
      </x:c>
      <x:c r="S654" s="3">
        <x:v>1</x:v>
      </x:c>
      <x:c r="T654" s="2" t="s">
        <x:v>103</x:v>
      </x:c>
      <x:c r="U654" s="2"/>
      <x:c r="V654" s="2"/>
      <x:c r="W654" s="2"/>
      <x:c r="X654" s="3"/>
      <x:c r="Y654" s="3"/>
      <x:c r="Z654" s="2"/>
      <x:c r="AA654" s="2"/>
      <x:c r="AB654" s="2" t="s">
        <x:v>415</x:v>
      </x:c>
      <x:c r="AC654" s="2"/>
      <x:c r="AD654" s="2"/>
      <x:c r="AE654" s="2"/>
      <x:c r="AF654" s="2"/>
      <x:c r="AG654" s="2" t="s">
        <x:v>2036</x:v>
      </x:c>
      <x:c r="AH654" s="2"/>
      <x:c r="AI654" s="4"/>
      <x:c r="AJ654" s="2"/>
      <x:c r="AK654" s="2" t="s">
        <x:v>396</x:v>
      </x:c>
      <x:c r="AL654" s="2" t="s">
        <x:v>2857</x:v>
      </x:c>
      <x:c r="AM654" s="2">
        <x:v>34</x:v>
      </x:c>
      <x:c r="AN654" s="2">
        <x:v>34</x:v>
      </x:c>
    </x:row>
    <x:row r="655" ht="39">
      <x:c r="A655" s="2" t="s">
        <x:v>6</x:v>
      </x:c>
      <x:c r="B655" s="2" t="s">
        <x:v>17</x:v>
      </x:c>
      <x:c r="C655" s="3">
        <x:v>33</x:v>
      </x:c>
      <x:c r="D655" s="2" t="s">
        <x:v>1418</x:v>
      </x:c>
      <x:c r="E655" s="2" t="s">
        <x:v>2046</x:v>
      </x:c>
      <x:c r="F655" s="2" t="s">
        <x:v>237</x:v>
      </x:c>
      <x:c r="G655" s="2"/>
      <x:c r="H655" s="2" t="s">
        <x:v>627</x:v>
      </x:c>
      <x:c r="I655" s="2" t="s">
        <x:v>2119</x:v>
      </x:c>
      <x:c r="J655" s="2" t="s">
        <x:v>2086</x:v>
      </x:c>
      <x:c r="K655" s="2" t="n">
        <x:v>32</x:v>
      </x:c>
      <x:c r="L655" s="2" t="s">
        <x:v>2121</x:v>
      </x:c>
      <x:c r="M655" s="2" t="s">
        <x:v>2087</x:v>
      </x:c>
      <x:c r="N655" s="2">
        <x:v>2</x:v>
      </x:c>
      <x:c r="O655" s="2" t="s">
        <x:v>2088</x:v>
      </x:c>
      <x:c r="P655" s="2" t="s">
        <x:v>2089</x:v>
      </x:c>
      <x:c r="Q655" s="2"/>
      <x:c r="R655" s="3">
        <x:v>4</x:v>
      </x:c>
      <x:c r="S655" s="3">
        <x:v>1</x:v>
      </x:c>
      <x:c r="T655" s="2" t="s">
        <x:v>103</x:v>
      </x:c>
      <x:c r="U655" s="2"/>
      <x:c r="V655" s="2"/>
      <x:c r="W655" s="2"/>
      <x:c r="X655" s="3"/>
      <x:c r="Y655" s="3"/>
      <x:c r="Z655" s="2"/>
      <x:c r="AA655" s="2"/>
      <x:c r="AB655" s="2" t="s">
        <x:v>2090</x:v>
      </x:c>
      <x:c r="AC655" s="2"/>
      <x:c r="AD655" s="2"/>
      <x:c r="AE655" s="2"/>
      <x:c r="AF655" s="2"/>
      <x:c r="AG655" s="2" t="s">
        <x:v>2036</x:v>
      </x:c>
      <x:c r="AH655" s="2"/>
      <x:c r="AI655" s="4"/>
      <x:c r="AJ655" s="2"/>
      <x:c r="AK655" s="2" t="s">
        <x:v>396</x:v>
      </x:c>
      <x:c r="AL655" s="2" t="s">
        <x:v>2857</x:v>
      </x:c>
      <x:c r="AM655" s="2">
        <x:v>35</x:v>
      </x:c>
      <x:c r="AN655" s="2">
        <x:v>35</x:v>
      </x:c>
    </x:row>
    <x:row r="656" ht="39">
      <x:c r="A656" s="2" t="s">
        <x:v>6</x:v>
      </x:c>
      <x:c r="B656" s="2" t="s">
        <x:v>17</x:v>
      </x:c>
      <x:c r="C656" s="3">
        <x:v>34</x:v>
      </x:c>
      <x:c r="D656" s="2" t="s">
        <x:v>2122</x:v>
      </x:c>
      <x:c r="E656" s="2" t="s">
        <x:v>2046</x:v>
      </x:c>
      <x:c r="F656" s="2" t="s">
        <x:v>237</x:v>
      </x:c>
      <x:c r="G656" s="2"/>
      <x:c r="H656" s="2" t="s">
        <x:v>634</x:v>
      </x:c>
      <x:c r="I656" s="2" t="s">
        <x:v>2119</x:v>
      </x:c>
      <x:c r="J656" s="2" t="s">
        <x:v>635</x:v>
      </x:c>
      <x:c r="K656" s="2" t="n">
        <x:v>32</x:v>
      </x:c>
      <x:c r="L656" s="2" t="s">
        <x:v>2121</x:v>
      </x:c>
      <x:c r="M656" s="2" t="s">
        <x:v>2093</x:v>
      </x:c>
      <x:c r="N656" s="2">
        <x:v>2</x:v>
      </x:c>
      <x:c r="O656" s="2" t="s">
        <x:v>2094</x:v>
      </x:c>
      <x:c r="P656" s="2" t="s">
        <x:v>2095</x:v>
      </x:c>
      <x:c r="Q656" s="2"/>
      <x:c r="R656" s="3">
        <x:v>4</x:v>
      </x:c>
      <x:c r="S656" s="3">
        <x:v>1</x:v>
      </x:c>
      <x:c r="T656" s="2" t="s">
        <x:v>103</x:v>
      </x:c>
      <x:c r="U656" s="2"/>
      <x:c r="V656" s="2"/>
      <x:c r="W656" s="2"/>
      <x:c r="X656" s="3"/>
      <x:c r="Y656" s="3"/>
      <x:c r="Z656" s="2"/>
      <x:c r="AA656" s="2"/>
      <x:c r="AB656" s="2" t="s">
        <x:v>415</x:v>
      </x:c>
      <x:c r="AC656" s="2"/>
      <x:c r="AD656" s="2"/>
      <x:c r="AE656" s="2"/>
      <x:c r="AF656" s="2"/>
      <x:c r="AG656" s="2" t="s">
        <x:v>2036</x:v>
      </x:c>
      <x:c r="AH656" s="2"/>
      <x:c r="AI656" s="4"/>
      <x:c r="AJ656" s="2"/>
      <x:c r="AK656" s="2" t="s">
        <x:v>396</x:v>
      </x:c>
      <x:c r="AL656" s="2" t="s">
        <x:v>2857</x:v>
      </x:c>
      <x:c r="AM656" s="2">
        <x:v>36</x:v>
      </x:c>
      <x:c r="AN656" s="2">
        <x:v>36</x:v>
      </x:c>
    </x:row>
    <x:row r="657" ht="26">
      <x:c r="A657" s="2" t="s">
        <x:v>6</x:v>
      </x:c>
      <x:c r="B657" s="2" t="s">
        <x:v>17</x:v>
      </x:c>
      <x:c r="C657" s="3">
        <x:v>35</x:v>
      </x:c>
      <x:c r="D657" s="2" t="s">
        <x:v>2124</x:v>
      </x:c>
      <x:c r="E657" s="2" t="s">
        <x:v>2046</x:v>
      </x:c>
      <x:c r="F657" s="2" t="s">
        <x:v>237</x:v>
      </x:c>
      <x:c r="G657" s="2"/>
      <x:c r="H657" s="2" t="s">
        <x:v>634</x:v>
      </x:c>
      <x:c r="I657" s="2" t="s">
        <x:v>2119</x:v>
      </x:c>
      <x:c r="J657" s="2" t="s">
        <x:v>2098</x:v>
      </x:c>
      <x:c r="K657" s="2" t="n">
        <x:v>32</x:v>
      </x:c>
      <x:c r="L657" s="2" t="s">
        <x:v>2121</x:v>
      </x:c>
      <x:c r="M657" s="2" t="s">
        <x:v>2099</x:v>
      </x:c>
      <x:c r="N657" s="2">
        <x:v>2</x:v>
      </x:c>
      <x:c r="O657" s="2" t="s">
        <x:v>2094</x:v>
      </x:c>
      <x:c r="P657" s="2" t="s">
        <x:v>2100</x:v>
      </x:c>
      <x:c r="Q657" s="2"/>
      <x:c r="R657" s="3">
        <x:v>4</x:v>
      </x:c>
      <x:c r="S657" s="3">
        <x:v>1</x:v>
      </x:c>
      <x:c r="T657" s="2" t="s">
        <x:v>103</x:v>
      </x:c>
      <x:c r="U657" s="2"/>
      <x:c r="V657" s="2"/>
      <x:c r="W657" s="2"/>
      <x:c r="X657" s="3"/>
      <x:c r="Y657" s="3"/>
      <x:c r="Z657" s="2"/>
      <x:c r="AA657" s="2"/>
      <x:c r="AB657" s="2" t="s">
        <x:v>2101</x:v>
      </x:c>
      <x:c r="AC657" s="2"/>
      <x:c r="AD657" s="2"/>
      <x:c r="AE657" s="2"/>
      <x:c r="AF657" s="2"/>
      <x:c r="AG657" s="2" t="s">
        <x:v>2036</x:v>
      </x:c>
      <x:c r="AH657" s="2"/>
      <x:c r="AI657" s="4"/>
      <x:c r="AJ657" s="2"/>
      <x:c r="AK657" s="2" t="s">
        <x:v>396</x:v>
      </x:c>
      <x:c r="AL657" s="2" t="s">
        <x:v>2857</x:v>
      </x:c>
      <x:c r="AM657" s="2">
        <x:v>37</x:v>
      </x:c>
      <x:c r="AN657" s="2">
        <x:v>37</x:v>
      </x:c>
    </x:row>
    <x:row r="658" ht="52">
      <x:c r="A658" s="2" t="s">
        <x:v>6</x:v>
      </x:c>
      <x:c r="B658" s="2" t="s">
        <x:v>17</x:v>
      </x:c>
      <x:c r="C658" s="3">
        <x:v>36</x:v>
      </x:c>
      <x:c r="D658" s="2" t="s">
        <x:v>2126</x:v>
      </x:c>
      <x:c r="E658" s="2" t="s">
        <x:v>404</x:v>
      </x:c>
      <x:c r="F658" s="2" t="s">
        <x:v>386</x:v>
      </x:c>
      <x:c r="G658" s="2"/>
      <x:c r="H658" s="2" t="s">
        <x:v>618</x:v>
      </x:c>
      <x:c r="I658" s="2" t="s">
        <x:v>2127</x:v>
      </x:c>
      <x:c r="J658" s="2" t="s">
        <x:v>2120</x:v>
      </x:c>
      <x:c r="K658" s="2"/>
      <x:c r="L658" s="2" t="s">
        <x:v>2128</x:v>
      </x:c>
      <x:c r="M658" s="2" t="s">
        <x:v>2082</x:v>
      </x:c>
      <x:c r="N658" s="2">
        <x:v>2</x:v>
      </x:c>
      <x:c r="O658" s="2" t="s">
        <x:v>2083</x:v>
      </x:c>
      <x:c r="P658" s="2" t="s">
        <x:v>2084</x:v>
      </x:c>
      <x:c r="Q658" s="2"/>
      <x:c r="R658" s="3">
        <x:v>4</x:v>
      </x:c>
      <x:c r="S658" s="3">
        <x:v>1</x:v>
      </x:c>
      <x:c r="T658" s="2" t="s">
        <x:v>103</x:v>
      </x:c>
      <x:c r="U658" s="2"/>
      <x:c r="V658" s="2"/>
      <x:c r="W658" s="2"/>
      <x:c r="X658" s="3"/>
      <x:c r="Y658" s="3"/>
      <x:c r="Z658" s="2"/>
      <x:c r="AA658" s="2"/>
      <x:c r="AB658" s="2" t="s">
        <x:v>427</x:v>
      </x:c>
      <x:c r="AC658" s="2"/>
      <x:c r="AD658" s="2"/>
      <x:c r="AE658" s="2"/>
      <x:c r="AF658" s="2"/>
      <x:c r="AG658" s="2" t="s">
        <x:v>395</x:v>
      </x:c>
      <x:c r="AH658" s="2"/>
      <x:c r="AI658" s="4"/>
      <x:c r="AJ658" s="2"/>
      <x:c r="AK658" s="2" t="s">
        <x:v>396</x:v>
      </x:c>
      <x:c r="AL658" s="2" t="s">
        <x:v>2857</x:v>
      </x:c>
      <x:c r="AM658" s="2">
        <x:v>38</x:v>
      </x:c>
      <x:c r="AN658" s="2">
        <x:v>38</x:v>
      </x:c>
    </x:row>
    <x:row r="659" ht="39">
      <x:c r="A659" s="2" t="s">
        <x:v>6</x:v>
      </x:c>
      <x:c r="B659" s="2" t="s">
        <x:v>17</x:v>
      </x:c>
      <x:c r="C659" s="3">
        <x:v>37</x:v>
      </x:c>
      <x:c r="D659" s="2" t="s">
        <x:v>2129</x:v>
      </x:c>
      <x:c r="E659" s="2" t="s">
        <x:v>404</x:v>
      </x:c>
      <x:c r="F659" s="2" t="s">
        <x:v>386</x:v>
      </x:c>
      <x:c r="G659" s="2"/>
      <x:c r="H659" s="2" t="s">
        <x:v>627</x:v>
      </x:c>
      <x:c r="I659" s="2" t="s">
        <x:v>2127</x:v>
      </x:c>
      <x:c r="J659" s="2" t="s">
        <x:v>2086</x:v>
      </x:c>
      <x:c r="K659" s="2" t="n">
        <x:v>36</x:v>
      </x:c>
      <x:c r="L659" s="2" t="s">
        <x:v>2128</x:v>
      </x:c>
      <x:c r="M659" s="2" t="s">
        <x:v>2087</x:v>
      </x:c>
      <x:c r="N659" s="2">
        <x:v>2</x:v>
      </x:c>
      <x:c r="O659" s="2" t="s">
        <x:v>2088</x:v>
      </x:c>
      <x:c r="P659" s="2" t="s">
        <x:v>2089</x:v>
      </x:c>
      <x:c r="Q659" s="2"/>
      <x:c r="R659" s="3">
        <x:v>4</x:v>
      </x:c>
      <x:c r="S659" s="3">
        <x:v>1</x:v>
      </x:c>
      <x:c r="T659" s="2" t="s">
        <x:v>103</x:v>
      </x:c>
      <x:c r="U659" s="2"/>
      <x:c r="V659" s="2"/>
      <x:c r="W659" s="2"/>
      <x:c r="X659" s="3"/>
      <x:c r="Y659" s="3"/>
      <x:c r="Z659" s="2"/>
      <x:c r="AA659" s="2"/>
      <x:c r="AB659" s="2" t="s">
        <x:v>2090</x:v>
      </x:c>
      <x:c r="AC659" s="2"/>
      <x:c r="AD659" s="2"/>
      <x:c r="AE659" s="2"/>
      <x:c r="AF659" s="2"/>
      <x:c r="AG659" s="2" t="s">
        <x:v>395</x:v>
      </x:c>
      <x:c r="AH659" s="2"/>
      <x:c r="AI659" s="4"/>
      <x:c r="AJ659" s="2"/>
      <x:c r="AK659" s="2" t="s">
        <x:v>396</x:v>
      </x:c>
      <x:c r="AL659" s="2" t="s">
        <x:v>2857</x:v>
      </x:c>
      <x:c r="AM659" s="2">
        <x:v>39</x:v>
      </x:c>
      <x:c r="AN659" s="2">
        <x:v>39</x:v>
      </x:c>
    </x:row>
    <x:row r="660" ht="39">
      <x:c r="A660" s="2" t="s">
        <x:v>6</x:v>
      </x:c>
      <x:c r="B660" s="2" t="s">
        <x:v>17</x:v>
      </x:c>
      <x:c r="C660" s="3">
        <x:v>38</x:v>
      </x:c>
      <x:c r="D660" s="2" t="s">
        <x:v>2131</x:v>
      </x:c>
      <x:c r="E660" s="2" t="s">
        <x:v>404</x:v>
      </x:c>
      <x:c r="F660" s="2" t="s">
        <x:v>386</x:v>
      </x:c>
      <x:c r="G660" s="2"/>
      <x:c r="H660" s="2" t="s">
        <x:v>634</x:v>
      </x:c>
      <x:c r="I660" s="2" t="s">
        <x:v>2127</x:v>
      </x:c>
      <x:c r="J660" s="2" t="s">
        <x:v>635</x:v>
      </x:c>
      <x:c r="K660" s="2" t="n">
        <x:v>36</x:v>
      </x:c>
      <x:c r="L660" s="2" t="s">
        <x:v>2128</x:v>
      </x:c>
      <x:c r="M660" s="2" t="s">
        <x:v>2093</x:v>
      </x:c>
      <x:c r="N660" s="2">
        <x:v>2</x:v>
      </x:c>
      <x:c r="O660" s="2" t="s">
        <x:v>2094</x:v>
      </x:c>
      <x:c r="P660" s="2" t="s">
        <x:v>2095</x:v>
      </x:c>
      <x:c r="Q660" s="2"/>
      <x:c r="R660" s="3">
        <x:v>4</x:v>
      </x:c>
      <x:c r="S660" s="3">
        <x:v>1</x:v>
      </x:c>
      <x:c r="T660" s="2" t="s">
        <x:v>103</x:v>
      </x:c>
      <x:c r="U660" s="2"/>
      <x:c r="V660" s="2"/>
      <x:c r="W660" s="2"/>
      <x:c r="X660" s="3"/>
      <x:c r="Y660" s="3"/>
      <x:c r="Z660" s="2"/>
      <x:c r="AA660" s="2"/>
      <x:c r="AB660" s="2" t="s">
        <x:v>427</x:v>
      </x:c>
      <x:c r="AC660" s="2"/>
      <x:c r="AD660" s="2"/>
      <x:c r="AE660" s="2"/>
      <x:c r="AF660" s="2"/>
      <x:c r="AG660" s="2" t="s">
        <x:v>395</x:v>
      </x:c>
      <x:c r="AH660" s="2"/>
      <x:c r="AI660" s="4"/>
      <x:c r="AJ660" s="2"/>
      <x:c r="AK660" s="2" t="s">
        <x:v>396</x:v>
      </x:c>
      <x:c r="AL660" s="2" t="s">
        <x:v>2857</x:v>
      </x:c>
      <x:c r="AM660" s="2">
        <x:v>40</x:v>
      </x:c>
      <x:c r="AN660" s="2">
        <x:v>40</x:v>
      </x:c>
    </x:row>
    <x:row r="661" ht="26">
      <x:c r="A661" s="2" t="s">
        <x:v>6</x:v>
      </x:c>
      <x:c r="B661" s="2" t="s">
        <x:v>17</x:v>
      </x:c>
      <x:c r="C661" s="3">
        <x:v>39</x:v>
      </x:c>
      <x:c r="D661" s="2" t="s">
        <x:v>2133</x:v>
      </x:c>
      <x:c r="E661" s="2" t="s">
        <x:v>404</x:v>
      </x:c>
      <x:c r="F661" s="2" t="s">
        <x:v>386</x:v>
      </x:c>
      <x:c r="G661" s="2"/>
      <x:c r="H661" s="2" t="s">
        <x:v>634</x:v>
      </x:c>
      <x:c r="I661" s="2" t="s">
        <x:v>2127</x:v>
      </x:c>
      <x:c r="J661" s="2" t="s">
        <x:v>2098</x:v>
      </x:c>
      <x:c r="K661" s="2" t="n">
        <x:v>36</x:v>
      </x:c>
      <x:c r="L661" s="2" t="s">
        <x:v>2128</x:v>
      </x:c>
      <x:c r="M661" s="2" t="s">
        <x:v>2099</x:v>
      </x:c>
      <x:c r="N661" s="2">
        <x:v>2</x:v>
      </x:c>
      <x:c r="O661" s="2" t="s">
        <x:v>2094</x:v>
      </x:c>
      <x:c r="P661" s="2" t="s">
        <x:v>2100</x:v>
      </x:c>
      <x:c r="Q661" s="2"/>
      <x:c r="R661" s="3">
        <x:v>4</x:v>
      </x:c>
      <x:c r="S661" s="3">
        <x:v>1</x:v>
      </x:c>
      <x:c r="T661" s="2" t="s">
        <x:v>103</x:v>
      </x:c>
      <x:c r="U661" s="2"/>
      <x:c r="V661" s="2"/>
      <x:c r="W661" s="2"/>
      <x:c r="X661" s="3"/>
      <x:c r="Y661" s="3"/>
      <x:c r="Z661" s="2"/>
      <x:c r="AA661" s="2"/>
      <x:c r="AB661" s="2" t="s">
        <x:v>2101</x:v>
      </x:c>
      <x:c r="AC661" s="2"/>
      <x:c r="AD661" s="2"/>
      <x:c r="AE661" s="2"/>
      <x:c r="AF661" s="2"/>
      <x:c r="AG661" s="2" t="s">
        <x:v>395</x:v>
      </x:c>
      <x:c r="AH661" s="2"/>
      <x:c r="AI661" s="4"/>
      <x:c r="AJ661" s="2"/>
      <x:c r="AK661" s="2" t="s">
        <x:v>396</x:v>
      </x:c>
      <x:c r="AL661" s="2" t="s">
        <x:v>2857</x:v>
      </x:c>
      <x:c r="AM661" s="2">
        <x:v>41</x:v>
      </x:c>
      <x:c r="AN661" s="2">
        <x:v>41</x:v>
      </x:c>
    </x:row>
    <x:row r="662" ht="52">
      <x:c r="A662" s="2" t="s">
        <x:v>6</x:v>
      </x:c>
      <x:c r="B662" s="2" t="s">
        <x:v>17</x:v>
      </x:c>
      <x:c r="C662" s="3">
        <x:v>40</x:v>
      </x:c>
      <x:c r="D662" s="2" t="s">
        <x:v>2134</x:v>
      </x:c>
      <x:c r="E662" s="2" t="s">
        <x:v>2135</x:v>
      </x:c>
      <x:c r="F662" s="2" t="s">
        <x:v>423</x:v>
      </x:c>
      <x:c r="G662" s="2"/>
      <x:c r="H662" s="2" t="s">
        <x:v>618</x:v>
      </x:c>
      <x:c r="I662" s="2" t="s">
        <x:v>2136</x:v>
      </x:c>
      <x:c r="J662" s="2" t="s">
        <x:v>2120</x:v>
      </x:c>
      <x:c r="K662" s="2"/>
      <x:c r="L662" s="2" t="s">
        <x:v>2137</x:v>
      </x:c>
      <x:c r="M662" s="2" t="s">
        <x:v>2082</x:v>
      </x:c>
      <x:c r="N662" s="2">
        <x:v>2</x:v>
      </x:c>
      <x:c r="O662" s="2" t="s">
        <x:v>2083</x:v>
      </x:c>
      <x:c r="P662" s="2" t="s">
        <x:v>2084</x:v>
      </x:c>
      <x:c r="Q662" s="2"/>
      <x:c r="R662" s="3">
        <x:v>5</x:v>
      </x:c>
      <x:c r="S662" s="3">
        <x:v>1</x:v>
      </x:c>
      <x:c r="T662" s="2" t="s">
        <x:v>103</x:v>
      </x:c>
      <x:c r="U662" s="2"/>
      <x:c r="V662" s="2"/>
      <x:c r="W662" s="2"/>
      <x:c r="X662" s="3"/>
      <x:c r="Y662" s="3"/>
      <x:c r="Z662" s="2"/>
      <x:c r="AA662" s="2"/>
      <x:c r="AB662" s="2" t="s">
        <x:v>394</x:v>
      </x:c>
      <x:c r="AC662" s="2"/>
      <x:c r="AD662" s="2"/>
      <x:c r="AE662" s="2"/>
      <x:c r="AF662" s="2"/>
      <x:c r="AG662" s="2" t="s">
        <x:v>428</x:v>
      </x:c>
      <x:c r="AH662" s="2"/>
      <x:c r="AI662" s="4"/>
      <x:c r="AJ662" s="2"/>
      <x:c r="AK662" s="2" t="s">
        <x:v>396</x:v>
      </x:c>
      <x:c r="AL662" s="2" t="s">
        <x:v>2857</x:v>
      </x:c>
      <x:c r="AM662" s="2">
        <x:v>42</x:v>
      </x:c>
      <x:c r="AN662" s="2">
        <x:v>42</x:v>
      </x:c>
    </x:row>
    <x:row r="663" ht="39">
      <x:c r="A663" s="2" t="s">
        <x:v>6</x:v>
      </x:c>
      <x:c r="B663" s="2" t="s">
        <x:v>17</x:v>
      </x:c>
      <x:c r="C663" s="3">
        <x:v>41</x:v>
      </x:c>
      <x:c r="D663" s="2" t="s">
        <x:v>1026</x:v>
      </x:c>
      <x:c r="E663" s="2" t="s">
        <x:v>2135</x:v>
      </x:c>
      <x:c r="F663" s="2" t="s">
        <x:v>423</x:v>
      </x:c>
      <x:c r="G663" s="2"/>
      <x:c r="H663" s="2" t="s">
        <x:v>627</x:v>
      </x:c>
      <x:c r="I663" s="2" t="s">
        <x:v>2136</x:v>
      </x:c>
      <x:c r="J663" s="2" t="s">
        <x:v>2086</x:v>
      </x:c>
      <x:c r="K663" s="2" t="n">
        <x:v>40</x:v>
      </x:c>
      <x:c r="L663" s="2" t="s">
        <x:v>2137</x:v>
      </x:c>
      <x:c r="M663" s="2" t="s">
        <x:v>2087</x:v>
      </x:c>
      <x:c r="N663" s="2">
        <x:v>2</x:v>
      </x:c>
      <x:c r="O663" s="2" t="s">
        <x:v>2088</x:v>
      </x:c>
      <x:c r="P663" s="2" t="s">
        <x:v>2089</x:v>
      </x:c>
      <x:c r="Q663" s="2"/>
      <x:c r="R663" s="3">
        <x:v>5</x:v>
      </x:c>
      <x:c r="S663" s="3">
        <x:v>1</x:v>
      </x:c>
      <x:c r="T663" s="2" t="s">
        <x:v>103</x:v>
      </x:c>
      <x:c r="U663" s="2"/>
      <x:c r="V663" s="2"/>
      <x:c r="W663" s="2"/>
      <x:c r="X663" s="3"/>
      <x:c r="Y663" s="3"/>
      <x:c r="Z663" s="2"/>
      <x:c r="AA663" s="2"/>
      <x:c r="AB663" s="2" t="s">
        <x:v>2090</x:v>
      </x:c>
      <x:c r="AC663" s="2"/>
      <x:c r="AD663" s="2"/>
      <x:c r="AE663" s="2"/>
      <x:c r="AF663" s="2"/>
      <x:c r="AG663" s="2" t="s">
        <x:v>428</x:v>
      </x:c>
      <x:c r="AH663" s="2"/>
      <x:c r="AI663" s="4"/>
      <x:c r="AJ663" s="2"/>
      <x:c r="AK663" s="2" t="s">
        <x:v>396</x:v>
      </x:c>
      <x:c r="AL663" s="2" t="s">
        <x:v>2857</x:v>
      </x:c>
      <x:c r="AM663" s="2">
        <x:v>43</x:v>
      </x:c>
      <x:c r="AN663" s="2">
        <x:v>43</x:v>
      </x:c>
    </x:row>
    <x:row r="664" ht="39">
      <x:c r="A664" s="2" t="s">
        <x:v>91</x:v>
      </x:c>
      <x:c r="B664" s="2" t="s">
        <x:v>17</x:v>
      </x:c>
      <x:c r="C664" s="3">
        <x:v>42</x:v>
      </x:c>
      <x:c r="D664" s="2" t="s">
        <x:v>2138</x:v>
      </x:c>
      <x:c r="E664" s="2" t="s">
        <x:v>2135</x:v>
      </x:c>
      <x:c r="F664" s="2" t="s">
        <x:v>423</x:v>
      </x:c>
      <x:c r="G664" s="2" t="s">
        <x:v>3004</x:v>
      </x:c>
      <x:c r="H664" s="2" t="s">
        <x:v>634</x:v>
      </x:c>
      <x:c r="I664" s="2" t="s">
        <x:v>2136</x:v>
      </x:c>
      <x:c r="J664" s="2" t="s">
        <x:v>635</x:v>
      </x:c>
      <x:c r="K664" s="2" t="n">
        <x:v>40</x:v>
      </x:c>
      <x:c r="L664" s="2" t="s">
        <x:v>2137</x:v>
      </x:c>
      <x:c r="M664" s="2" t="s">
        <x:v>2093</x:v>
      </x:c>
      <x:c r="N664" s="2">
        <x:v>2</x:v>
      </x:c>
      <x:c r="O664" s="2" t="s">
        <x:v>2094</x:v>
      </x:c>
      <x:c r="P664" s="2" t="s">
        <x:v>2095</x:v>
      </x:c>
      <x:c r="Q664" s="2"/>
      <x:c r="R664" s="3">
        <x:v>5</x:v>
      </x:c>
      <x:c r="S664" s="3">
        <x:v>1</x:v>
      </x:c>
      <x:c r="T664" s="2" t="s">
        <x:v>103</x:v>
      </x:c>
      <x:c r="U664" s="2"/>
      <x:c r="V664" s="2"/>
      <x:c r="W664" s="2"/>
      <x:c r="X664" s="3"/>
      <x:c r="Y664" s="3"/>
      <x:c r="Z664" s="2"/>
      <x:c r="AA664" s="2"/>
      <x:c r="AB664" s="2" t="s">
        <x:v>394</x:v>
      </x:c>
      <x:c r="AC664" s="2"/>
      <x:c r="AD664" s="2"/>
      <x:c r="AE664" s="2"/>
      <x:c r="AF664" s="2"/>
      <x:c r="AG664" s="2" t="s">
        <x:v>428</x:v>
      </x:c>
      <x:c r="AH664" s="2"/>
      <x:c r="AI664" s="4"/>
      <x:c r="AJ664" s="2"/>
      <x:c r="AK664" s="2" t="s">
        <x:v>396</x:v>
      </x:c>
      <x:c r="AL664" s="2" t="s">
        <x:v>2857</x:v>
      </x:c>
      <x:c r="AM664" s="2">
        <x:v>44</x:v>
      </x:c>
      <x:c r="AN664" s="2">
        <x:v>44</x:v>
      </x:c>
    </x:row>
    <x:row r="665" ht="26">
      <x:c r="A665" s="2" t="s">
        <x:v>6</x:v>
      </x:c>
      <x:c r="B665" s="2" t="s">
        <x:v>17</x:v>
      </x:c>
      <x:c r="C665" s="3">
        <x:v>43</x:v>
      </x:c>
      <x:c r="D665" s="2" t="s">
        <x:v>2140</x:v>
      </x:c>
      <x:c r="E665" s="2" t="s">
        <x:v>2135</x:v>
      </x:c>
      <x:c r="F665" s="2" t="s">
        <x:v>423</x:v>
      </x:c>
      <x:c r="G665" s="2"/>
      <x:c r="H665" s="2" t="s">
        <x:v>634</x:v>
      </x:c>
      <x:c r="I665" s="2" t="s">
        <x:v>2136</x:v>
      </x:c>
      <x:c r="J665" s="2" t="s">
        <x:v>2098</x:v>
      </x:c>
      <x:c r="K665" s="2" t="n">
        <x:v>40</x:v>
      </x:c>
      <x:c r="L665" s="2" t="s">
        <x:v>2137</x:v>
      </x:c>
      <x:c r="M665" s="2" t="s">
        <x:v>2099</x:v>
      </x:c>
      <x:c r="N665" s="2">
        <x:v>2</x:v>
      </x:c>
      <x:c r="O665" s="2" t="s">
        <x:v>2094</x:v>
      </x:c>
      <x:c r="P665" s="2" t="s">
        <x:v>2100</x:v>
      </x:c>
      <x:c r="Q665" s="2"/>
      <x:c r="R665" s="3">
        <x:v>5</x:v>
      </x:c>
      <x:c r="S665" s="3">
        <x:v>1</x:v>
      </x:c>
      <x:c r="T665" s="2" t="s">
        <x:v>103</x:v>
      </x:c>
      <x:c r="U665" s="2"/>
      <x:c r="V665" s="2"/>
      <x:c r="W665" s="2"/>
      <x:c r="X665" s="3"/>
      <x:c r="Y665" s="3"/>
      <x:c r="Z665" s="2"/>
      <x:c r="AA665" s="2"/>
      <x:c r="AB665" s="2" t="s">
        <x:v>2101</x:v>
      </x:c>
      <x:c r="AC665" s="2"/>
      <x:c r="AD665" s="2"/>
      <x:c r="AE665" s="2"/>
      <x:c r="AF665" s="2"/>
      <x:c r="AG665" s="2" t="s">
        <x:v>428</x:v>
      </x:c>
      <x:c r="AH665" s="2"/>
      <x:c r="AI665" s="4"/>
      <x:c r="AJ665" s="2"/>
      <x:c r="AK665" s="2" t="s">
        <x:v>396</x:v>
      </x:c>
      <x:c r="AL665" s="2" t="s">
        <x:v>2857</x:v>
      </x:c>
      <x:c r="AM665" s="2">
        <x:v>45</x:v>
      </x:c>
      <x:c r="AN665" s="2">
        <x:v>45</x:v>
      </x:c>
    </x:row>
    <x:row r="666" ht="52">
      <x:c r="A666" s="2" t="s">
        <x:v>6</x:v>
      </x:c>
      <x:c r="B666" s="2" t="s">
        <x:v>17</x:v>
      </x:c>
      <x:c r="C666" s="3">
        <x:v>44</x:v>
      </x:c>
      <x:c r="D666" s="2" t="s">
        <x:v>2141</x:v>
      </x:c>
      <x:c r="E666" s="2" t="s">
        <x:v>2142</x:v>
      </x:c>
      <x:c r="F666" s="2" t="s">
        <x:v>2047</x:v>
      </x:c>
      <x:c r="G666" s="2"/>
      <x:c r="H666" s="2" t="s">
        <x:v>618</x:v>
      </x:c>
      <x:c r="I666" s="2" t="s">
        <x:v>2144</x:v>
      </x:c>
      <x:c r="J666" s="2" t="s">
        <x:v>2145</x:v>
      </x:c>
      <x:c r="K666" s="2"/>
      <x:c r="L666" s="2" t="s">
        <x:v>2146</x:v>
      </x:c>
      <x:c r="M666" s="2" t="s">
        <x:v>2082</x:v>
      </x:c>
      <x:c r="N666" s="2">
        <x:v>2</x:v>
      </x:c>
      <x:c r="O666" s="2" t="s">
        <x:v>2083</x:v>
      </x:c>
      <x:c r="P666" s="2" t="s">
        <x:v>2084</x:v>
      </x:c>
      <x:c r="Q666" s="2"/>
      <x:c r="R666" s="3">
        <x:v>3</x:v>
      </x:c>
      <x:c r="S666" s="3">
        <x:v>1</x:v>
      </x:c>
      <x:c r="T666" s="2" t="s">
        <x:v>103</x:v>
      </x:c>
      <x:c r="U666" s="2"/>
      <x:c r="V666" s="2"/>
      <x:c r="W666" s="2"/>
      <x:c r="X666" s="3"/>
      <x:c r="Y666" s="3"/>
      <x:c r="Z666" s="2"/>
      <x:c r="AA666" s="2"/>
      <x:c r="AB666" s="2" t="s">
        <x:v>415</x:v>
      </x:c>
      <x:c r="AC666" s="2"/>
      <x:c r="AD666" s="2"/>
      <x:c r="AE666" s="2"/>
      <x:c r="AF666" s="2"/>
      <x:c r="AG666" s="2" t="s">
        <x:v>2036</x:v>
      </x:c>
      <x:c r="AH666" s="2"/>
      <x:c r="AI666" s="4"/>
      <x:c r="AJ666" s="2"/>
      <x:c r="AK666" s="2" t="s">
        <x:v>396</x:v>
      </x:c>
      <x:c r="AL666" s="2" t="s">
        <x:v>2857</x:v>
      </x:c>
      <x:c r="AM666" s="2">
        <x:v>46</x:v>
      </x:c>
      <x:c r="AN666" s="2">
        <x:v>46</x:v>
      </x:c>
    </x:row>
    <x:row r="667" ht="39">
      <x:c r="A667" s="2" t="s">
        <x:v>6</x:v>
      </x:c>
      <x:c r="B667" s="2" t="s">
        <x:v>17</x:v>
      </x:c>
      <x:c r="C667" s="3">
        <x:v>45</x:v>
      </x:c>
      <x:c r="D667" s="2" t="s">
        <x:v>2147</x:v>
      </x:c>
      <x:c r="E667" s="2" t="s">
        <x:v>2142</x:v>
      </x:c>
      <x:c r="F667" s="2" t="s">
        <x:v>2047</x:v>
      </x:c>
      <x:c r="G667" s="2"/>
      <x:c r="H667" s="2" t="s">
        <x:v>627</x:v>
      </x:c>
      <x:c r="I667" s="2" t="s">
        <x:v>2144</x:v>
      </x:c>
      <x:c r="J667" s="2" t="s">
        <x:v>2086</x:v>
      </x:c>
      <x:c r="K667" s="2" t="n">
        <x:v>44</x:v>
      </x:c>
      <x:c r="L667" s="2" t="s">
        <x:v>2146</x:v>
      </x:c>
      <x:c r="M667" s="2" t="s">
        <x:v>2087</x:v>
      </x:c>
      <x:c r="N667" s="2">
        <x:v>2</x:v>
      </x:c>
      <x:c r="O667" s="2" t="s">
        <x:v>2088</x:v>
      </x:c>
      <x:c r="P667" s="2" t="s">
        <x:v>2089</x:v>
      </x:c>
      <x:c r="Q667" s="2"/>
      <x:c r="R667" s="3">
        <x:v>3</x:v>
      </x:c>
      <x:c r="S667" s="3">
        <x:v>1</x:v>
      </x:c>
      <x:c r="T667" s="2" t="s">
        <x:v>103</x:v>
      </x:c>
      <x:c r="U667" s="2"/>
      <x:c r="V667" s="2"/>
      <x:c r="W667" s="2"/>
      <x:c r="X667" s="3"/>
      <x:c r="Y667" s="3"/>
      <x:c r="Z667" s="2"/>
      <x:c r="AA667" s="2"/>
      <x:c r="AB667" s="2" t="s">
        <x:v>2090</x:v>
      </x:c>
      <x:c r="AC667" s="2"/>
      <x:c r="AD667" s="2"/>
      <x:c r="AE667" s="2"/>
      <x:c r="AF667" s="2"/>
      <x:c r="AG667" s="2" t="s">
        <x:v>2036</x:v>
      </x:c>
      <x:c r="AH667" s="2"/>
      <x:c r="AI667" s="4"/>
      <x:c r="AJ667" s="2"/>
      <x:c r="AK667" s="2" t="s">
        <x:v>396</x:v>
      </x:c>
      <x:c r="AL667" s="2" t="s">
        <x:v>2857</x:v>
      </x:c>
      <x:c r="AM667" s="2">
        <x:v>47</x:v>
      </x:c>
      <x:c r="AN667" s="2">
        <x:v>47</x:v>
      </x:c>
    </x:row>
    <x:row r="668" ht="39">
      <x:c r="A668" s="2" t="s">
        <x:v>6</x:v>
      </x:c>
      <x:c r="B668" s="2" t="s">
        <x:v>17</x:v>
      </x:c>
      <x:c r="C668" s="3">
        <x:v>46</x:v>
      </x:c>
      <x:c r="D668" s="2" t="s">
        <x:v>2149</x:v>
      </x:c>
      <x:c r="E668" s="2" t="s">
        <x:v>2142</x:v>
      </x:c>
      <x:c r="F668" s="2" t="s">
        <x:v>2047</x:v>
      </x:c>
      <x:c r="G668" s="2"/>
      <x:c r="H668" s="2" t="s">
        <x:v>634</x:v>
      </x:c>
      <x:c r="I668" s="2" t="s">
        <x:v>2144</x:v>
      </x:c>
      <x:c r="J668" s="2" t="s">
        <x:v>635</x:v>
      </x:c>
      <x:c r="K668" s="2" t="n">
        <x:v>44</x:v>
      </x:c>
      <x:c r="L668" s="2" t="s">
        <x:v>2146</x:v>
      </x:c>
      <x:c r="M668" s="2" t="s">
        <x:v>2093</x:v>
      </x:c>
      <x:c r="N668" s="2">
        <x:v>2</x:v>
      </x:c>
      <x:c r="O668" s="2" t="s">
        <x:v>2094</x:v>
      </x:c>
      <x:c r="P668" s="2" t="s">
        <x:v>2095</x:v>
      </x:c>
      <x:c r="Q668" s="2"/>
      <x:c r="R668" s="3">
        <x:v>3</x:v>
      </x:c>
      <x:c r="S668" s="3">
        <x:v>1</x:v>
      </x:c>
      <x:c r="T668" s="2" t="s">
        <x:v>103</x:v>
      </x:c>
      <x:c r="U668" s="2"/>
      <x:c r="V668" s="2"/>
      <x:c r="W668" s="2"/>
      <x:c r="X668" s="3"/>
      <x:c r="Y668" s="3"/>
      <x:c r="Z668" s="2"/>
      <x:c r="AA668" s="2"/>
      <x:c r="AB668" s="2" t="s">
        <x:v>415</x:v>
      </x:c>
      <x:c r="AC668" s="2"/>
      <x:c r="AD668" s="2"/>
      <x:c r="AE668" s="2"/>
      <x:c r="AF668" s="2"/>
      <x:c r="AG668" s="2" t="s">
        <x:v>2036</x:v>
      </x:c>
      <x:c r="AH668" s="2"/>
      <x:c r="AI668" s="4"/>
      <x:c r="AJ668" s="2"/>
      <x:c r="AK668" s="2" t="s">
        <x:v>396</x:v>
      </x:c>
      <x:c r="AL668" s="2" t="s">
        <x:v>2857</x:v>
      </x:c>
      <x:c r="AM668" s="2">
        <x:v>48</x:v>
      </x:c>
      <x:c r="AN668" s="2">
        <x:v>48</x:v>
      </x:c>
    </x:row>
    <x:row r="669" ht="26">
      <x:c r="A669" s="2" t="s">
        <x:v>6</x:v>
      </x:c>
      <x:c r="B669" s="2" t="s">
        <x:v>17</x:v>
      </x:c>
      <x:c r="C669" s="3">
        <x:v>47</x:v>
      </x:c>
      <x:c r="D669" s="2" t="s">
        <x:v>2151</x:v>
      </x:c>
      <x:c r="E669" s="2" t="s">
        <x:v>2142</x:v>
      </x:c>
      <x:c r="F669" s="2" t="s">
        <x:v>2047</x:v>
      </x:c>
      <x:c r="G669" s="2" t="s">
        <x:v>3005</x:v>
      </x:c>
      <x:c r="H669" s="2" t="s">
        <x:v>634</x:v>
      </x:c>
      <x:c r="I669" s="2" t="s">
        <x:v>2144</x:v>
      </x:c>
      <x:c r="J669" s="2" t="s">
        <x:v>2098</x:v>
      </x:c>
      <x:c r="K669" s="2" t="n">
        <x:v>44</x:v>
      </x:c>
      <x:c r="L669" s="2" t="s">
        <x:v>2146</x:v>
      </x:c>
      <x:c r="M669" s="2" t="s">
        <x:v>2099</x:v>
      </x:c>
      <x:c r="N669" s="2">
        <x:v>2</x:v>
      </x:c>
      <x:c r="O669" s="2" t="s">
        <x:v>2094</x:v>
      </x:c>
      <x:c r="P669" s="2" t="s">
        <x:v>2100</x:v>
      </x:c>
      <x:c r="Q669" s="2"/>
      <x:c r="R669" s="3">
        <x:v>3</x:v>
      </x:c>
      <x:c r="S669" s="3">
        <x:v>1</x:v>
      </x:c>
      <x:c r="T669" s="2" t="s">
        <x:v>103</x:v>
      </x:c>
      <x:c r="U669" s="2"/>
      <x:c r="V669" s="2"/>
      <x:c r="W669" s="2"/>
      <x:c r="X669" s="3"/>
      <x:c r="Y669" s="3"/>
      <x:c r="Z669" s="2"/>
      <x:c r="AA669" s="2"/>
      <x:c r="AB669" s="2" t="s">
        <x:v>2101</x:v>
      </x:c>
      <x:c r="AC669" s="2"/>
      <x:c r="AD669" s="2"/>
      <x:c r="AE669" s="2"/>
      <x:c r="AF669" s="2"/>
      <x:c r="AG669" s="2" t="s">
        <x:v>2036</x:v>
      </x:c>
      <x:c r="AH669" s="2"/>
      <x:c r="AI669" s="4"/>
      <x:c r="AJ669" s="2"/>
      <x:c r="AK669" s="2" t="s">
        <x:v>396</x:v>
      </x:c>
      <x:c r="AL669" s="2" t="s">
        <x:v>2857</x:v>
      </x:c>
      <x:c r="AM669" s="2">
        <x:v>49</x:v>
      </x:c>
      <x:c r="AN669" s="2">
        <x:v>49</x:v>
      </x:c>
    </x:row>
    <x:row r="670" ht="52">
      <x:c r="A670" s="2" t="s">
        <x:v>91</x:v>
      </x:c>
      <x:c r="B670" s="2" t="s">
        <x:v>17</x:v>
      </x:c>
      <x:c r="C670" s="3">
        <x:v>48</x:v>
      </x:c>
      <x:c r="D670" s="2" t="s">
        <x:v>2153</x:v>
      </x:c>
      <x:c r="E670" s="2" t="s">
        <x:v>2154</x:v>
      </x:c>
      <x:c r="F670" s="2" t="s">
        <x:v>410</x:v>
      </x:c>
      <x:c r="G670" s="2" t="s">
        <x:v>3006</x:v>
      </x:c>
      <x:c r="H670" s="2" t="s">
        <x:v>618</x:v>
      </x:c>
      <x:c r="I670" s="2" t="s">
        <x:v>2155</x:v>
      </x:c>
      <x:c r="J670" s="2" t="s">
        <x:v>2145</x:v>
      </x:c>
      <x:c r="K670" s="2"/>
      <x:c r="L670" s="2" t="s">
        <x:v>2156</x:v>
      </x:c>
      <x:c r="M670" s="2" t="s">
        <x:v>2082</x:v>
      </x:c>
      <x:c r="N670" s="2">
        <x:v>2</x:v>
      </x:c>
      <x:c r="O670" s="2" t="s">
        <x:v>2083</x:v>
      </x:c>
      <x:c r="P670" s="2" t="s">
        <x:v>2084</x:v>
      </x:c>
      <x:c r="Q670" s="2"/>
      <x:c r="R670" s="3">
        <x:v>3</x:v>
      </x:c>
      <x:c r="S670" s="3">
        <x:v>1</x:v>
      </x:c>
      <x:c r="T670" s="2" t="s">
        <x:v>103</x:v>
      </x:c>
      <x:c r="U670" s="2"/>
      <x:c r="V670" s="2"/>
      <x:c r="W670" s="2"/>
      <x:c r="X670" s="3"/>
      <x:c r="Y670" s="3"/>
      <x:c r="Z670" s="2"/>
      <x:c r="AA670" s="2"/>
      <x:c r="AB670" s="2" t="s">
        <x:v>427</x:v>
      </x:c>
      <x:c r="AC670" s="2"/>
      <x:c r="AD670" s="2"/>
      <x:c r="AE670" s="2"/>
      <x:c r="AF670" s="2"/>
      <x:c r="AG670" s="2" t="s">
        <x:v>395</x:v>
      </x:c>
      <x:c r="AH670" s="2"/>
      <x:c r="AI670" s="4"/>
      <x:c r="AJ670" s="2"/>
      <x:c r="AK670" s="2" t="s">
        <x:v>396</x:v>
      </x:c>
      <x:c r="AL670" s="2" t="s">
        <x:v>2857</x:v>
      </x:c>
      <x:c r="AM670" s="2">
        <x:v>50</x:v>
      </x:c>
      <x:c r="AN670" s="2">
        <x:v>50</x:v>
      </x:c>
    </x:row>
    <x:row r="671" ht="39">
      <x:c r="A671" s="2" t="s">
        <x:v>6</x:v>
      </x:c>
      <x:c r="B671" s="2" t="s">
        <x:v>17</x:v>
      </x:c>
      <x:c r="C671" s="3">
        <x:v>49</x:v>
      </x:c>
      <x:c r="D671" s="2" t="s">
        <x:v>2157</x:v>
      </x:c>
      <x:c r="E671" s="2" t="s">
        <x:v>2154</x:v>
      </x:c>
      <x:c r="F671" s="2" t="s">
        <x:v>410</x:v>
      </x:c>
      <x:c r="G671" s="2"/>
      <x:c r="H671" s="2" t="s">
        <x:v>627</x:v>
      </x:c>
      <x:c r="I671" s="2" t="s">
        <x:v>2155</x:v>
      </x:c>
      <x:c r="J671" s="2" t="s">
        <x:v>2086</x:v>
      </x:c>
      <x:c r="K671" s="2" t="n">
        <x:v>48</x:v>
      </x:c>
      <x:c r="L671" s="2" t="s">
        <x:v>2156</x:v>
      </x:c>
      <x:c r="M671" s="2" t="s">
        <x:v>2087</x:v>
      </x:c>
      <x:c r="N671" s="2">
        <x:v>2</x:v>
      </x:c>
      <x:c r="O671" s="2" t="s">
        <x:v>2088</x:v>
      </x:c>
      <x:c r="P671" s="2" t="s">
        <x:v>2089</x:v>
      </x:c>
      <x:c r="Q671" s="2"/>
      <x:c r="R671" s="3">
        <x:v>3</x:v>
      </x:c>
      <x:c r="S671" s="3">
        <x:v>1</x:v>
      </x:c>
      <x:c r="T671" s="2" t="s">
        <x:v>103</x:v>
      </x:c>
      <x:c r="U671" s="2"/>
      <x:c r="V671" s="2"/>
      <x:c r="W671" s="2"/>
      <x:c r="X671" s="3"/>
      <x:c r="Y671" s="3"/>
      <x:c r="Z671" s="2"/>
      <x:c r="AA671" s="2"/>
      <x:c r="AB671" s="2" t="s">
        <x:v>2090</x:v>
      </x:c>
      <x:c r="AC671" s="2"/>
      <x:c r="AD671" s="2"/>
      <x:c r="AE671" s="2"/>
      <x:c r="AF671" s="2"/>
      <x:c r="AG671" s="2" t="s">
        <x:v>395</x:v>
      </x:c>
      <x:c r="AH671" s="2"/>
      <x:c r="AI671" s="4"/>
      <x:c r="AJ671" s="2"/>
      <x:c r="AK671" s="2" t="s">
        <x:v>396</x:v>
      </x:c>
      <x:c r="AL671" s="2" t="s">
        <x:v>2857</x:v>
      </x:c>
      <x:c r="AM671" s="2">
        <x:v>51</x:v>
      </x:c>
      <x:c r="AN671" s="2">
        <x:v>51</x:v>
      </x:c>
    </x:row>
    <x:row r="672" ht="39">
      <x:c r="A672" s="2" t="s">
        <x:v>6</x:v>
      </x:c>
      <x:c r="B672" s="2" t="s">
        <x:v>17</x:v>
      </x:c>
      <x:c r="C672" s="3">
        <x:v>50</x:v>
      </x:c>
      <x:c r="D672" s="2" t="s">
        <x:v>2158</x:v>
      </x:c>
      <x:c r="E672" s="2" t="s">
        <x:v>2154</x:v>
      </x:c>
      <x:c r="F672" s="2" t="s">
        <x:v>410</x:v>
      </x:c>
      <x:c r="G672" s="2"/>
      <x:c r="H672" s="2" t="s">
        <x:v>634</x:v>
      </x:c>
      <x:c r="I672" s="2" t="s">
        <x:v>2155</x:v>
      </x:c>
      <x:c r="J672" s="2" t="s">
        <x:v>635</x:v>
      </x:c>
      <x:c r="K672" s="2" t="n">
        <x:v>48</x:v>
      </x:c>
      <x:c r="L672" s="2" t="s">
        <x:v>2156</x:v>
      </x:c>
      <x:c r="M672" s="2" t="s">
        <x:v>2093</x:v>
      </x:c>
      <x:c r="N672" s="2">
        <x:v>2</x:v>
      </x:c>
      <x:c r="O672" s="2" t="s">
        <x:v>2094</x:v>
      </x:c>
      <x:c r="P672" s="2" t="s">
        <x:v>2095</x:v>
      </x:c>
      <x:c r="Q672" s="2"/>
      <x:c r="R672" s="3">
        <x:v>3</x:v>
      </x:c>
      <x:c r="S672" s="3">
        <x:v>1</x:v>
      </x:c>
      <x:c r="T672" s="2" t="s">
        <x:v>103</x:v>
      </x:c>
      <x:c r="U672" s="2"/>
      <x:c r="V672" s="2"/>
      <x:c r="W672" s="2"/>
      <x:c r="X672" s="3"/>
      <x:c r="Y672" s="3"/>
      <x:c r="Z672" s="2"/>
      <x:c r="AA672" s="2"/>
      <x:c r="AB672" s="2" t="s">
        <x:v>427</x:v>
      </x:c>
      <x:c r="AC672" s="2"/>
      <x:c r="AD672" s="2"/>
      <x:c r="AE672" s="2"/>
      <x:c r="AF672" s="2"/>
      <x:c r="AG672" s="2" t="s">
        <x:v>395</x:v>
      </x:c>
      <x:c r="AH672" s="2"/>
      <x:c r="AI672" s="4"/>
      <x:c r="AJ672" s="2"/>
      <x:c r="AK672" s="2" t="s">
        <x:v>396</x:v>
      </x:c>
      <x:c r="AL672" s="2" t="s">
        <x:v>2857</x:v>
      </x:c>
      <x:c r="AM672" s="2">
        <x:v>52</x:v>
      </x:c>
      <x:c r="AN672" s="2">
        <x:v>52</x:v>
      </x:c>
    </x:row>
    <x:row r="673" ht="26">
      <x:c r="A673" s="2" t="s">
        <x:v>6</x:v>
      </x:c>
      <x:c r="B673" s="2" t="s">
        <x:v>17</x:v>
      </x:c>
      <x:c r="C673" s="3">
        <x:v>51</x:v>
      </x:c>
      <x:c r="D673" s="2" t="s">
        <x:v>2159</x:v>
      </x:c>
      <x:c r="E673" s="2" t="s">
        <x:v>2154</x:v>
      </x:c>
      <x:c r="F673" s="2" t="s">
        <x:v>410</x:v>
      </x:c>
      <x:c r="G673" s="2"/>
      <x:c r="H673" s="2" t="s">
        <x:v>634</x:v>
      </x:c>
      <x:c r="I673" s="2" t="s">
        <x:v>2155</x:v>
      </x:c>
      <x:c r="J673" s="2" t="s">
        <x:v>2098</x:v>
      </x:c>
      <x:c r="K673" s="2" t="n">
        <x:v>48</x:v>
      </x:c>
      <x:c r="L673" s="2" t="s">
        <x:v>2156</x:v>
      </x:c>
      <x:c r="M673" s="2" t="s">
        <x:v>2099</x:v>
      </x:c>
      <x:c r="N673" s="2">
        <x:v>2</x:v>
      </x:c>
      <x:c r="O673" s="2" t="s">
        <x:v>2094</x:v>
      </x:c>
      <x:c r="P673" s="2" t="s">
        <x:v>2100</x:v>
      </x:c>
      <x:c r="Q673" s="2"/>
      <x:c r="R673" s="3">
        <x:v>3</x:v>
      </x:c>
      <x:c r="S673" s="3">
        <x:v>1</x:v>
      </x:c>
      <x:c r="T673" s="2" t="s">
        <x:v>103</x:v>
      </x:c>
      <x:c r="U673" s="2"/>
      <x:c r="V673" s="2"/>
      <x:c r="W673" s="2"/>
      <x:c r="X673" s="3"/>
      <x:c r="Y673" s="3"/>
      <x:c r="Z673" s="2"/>
      <x:c r="AA673" s="2"/>
      <x:c r="AB673" s="2" t="s">
        <x:v>2101</x:v>
      </x:c>
      <x:c r="AC673" s="2"/>
      <x:c r="AD673" s="2"/>
      <x:c r="AE673" s="2"/>
      <x:c r="AF673" s="2"/>
      <x:c r="AG673" s="2" t="s">
        <x:v>395</x:v>
      </x:c>
      <x:c r="AH673" s="2"/>
      <x:c r="AI673" s="4"/>
      <x:c r="AJ673" s="2"/>
      <x:c r="AK673" s="2" t="s">
        <x:v>396</x:v>
      </x:c>
      <x:c r="AL673" s="2" t="s">
        <x:v>2857</x:v>
      </x:c>
      <x:c r="AM673" s="2">
        <x:v>53</x:v>
      </x:c>
      <x:c r="AN673" s="2">
        <x:v>53</x:v>
      </x:c>
    </x:row>
    <x:row r="674" ht="52">
      <x:c r="A674" s="2" t="s">
        <x:v>6</x:v>
      </x:c>
      <x:c r="B674" s="2" t="s">
        <x:v>17</x:v>
      </x:c>
      <x:c r="C674" s="3">
        <x:v>52</x:v>
      </x:c>
      <x:c r="D674" s="2" t="s">
        <x:v>2160</x:v>
      </x:c>
      <x:c r="E674" s="2" t="s">
        <x:v>2161</x:v>
      </x:c>
      <x:c r="F674" s="2" t="s">
        <x:v>431</x:v>
      </x:c>
      <x:c r="G674" s="2" t="s">
        <x:v>3007</x:v>
      </x:c>
      <x:c r="H674" s="2" t="s">
        <x:v>618</x:v>
      </x:c>
      <x:c r="I674" s="2" t="s">
        <x:v>2162</x:v>
      </x:c>
      <x:c r="J674" s="2" t="s">
        <x:v>2145</x:v>
      </x:c>
      <x:c r="K674" s="2"/>
      <x:c r="L674" s="2" t="s">
        <x:v>2163</x:v>
      </x:c>
      <x:c r="M674" s="2" t="s">
        <x:v>2082</x:v>
      </x:c>
      <x:c r="N674" s="2">
        <x:v>2</x:v>
      </x:c>
      <x:c r="O674" s="2" t="s">
        <x:v>2083</x:v>
      </x:c>
      <x:c r="P674" s="2" t="s">
        <x:v>2084</x:v>
      </x:c>
      <x:c r="Q674" s="2"/>
      <x:c r="R674" s="3">
        <x:v>4</x:v>
      </x:c>
      <x:c r="S674" s="3">
        <x:v>1</x:v>
      </x:c>
      <x:c r="T674" s="2" t="s">
        <x:v>103</x:v>
      </x:c>
      <x:c r="U674" s="2"/>
      <x:c r="V674" s="2"/>
      <x:c r="W674" s="2"/>
      <x:c r="X674" s="3"/>
      <x:c r="Y674" s="3"/>
      <x:c r="Z674" s="2"/>
      <x:c r="AA674" s="2"/>
      <x:c r="AB674" s="2" t="s">
        <x:v>394</x:v>
      </x:c>
      <x:c r="AC674" s="2"/>
      <x:c r="AD674" s="2"/>
      <x:c r="AE674" s="2"/>
      <x:c r="AF674" s="2"/>
      <x:c r="AG674" s="2" t="s">
        <x:v>428</x:v>
      </x:c>
      <x:c r="AH674" s="2"/>
      <x:c r="AI674" s="4"/>
      <x:c r="AJ674" s="2"/>
      <x:c r="AK674" s="2" t="s">
        <x:v>396</x:v>
      </x:c>
      <x:c r="AL674" s="2" t="s">
        <x:v>2857</x:v>
      </x:c>
      <x:c r="AM674" s="2">
        <x:v>54</x:v>
      </x:c>
      <x:c r="AN674" s="2">
        <x:v>54</x:v>
      </x:c>
    </x:row>
    <x:row r="675" ht="39">
      <x:c r="A675" s="2" t="s">
        <x:v>6</x:v>
      </x:c>
      <x:c r="B675" s="2" t="s">
        <x:v>17</x:v>
      </x:c>
      <x:c r="C675" s="3">
        <x:v>53</x:v>
      </x:c>
      <x:c r="D675" s="2" t="s">
        <x:v>2164</x:v>
      </x:c>
      <x:c r="E675" s="2" t="s">
        <x:v>2161</x:v>
      </x:c>
      <x:c r="F675" s="2" t="s">
        <x:v>431</x:v>
      </x:c>
      <x:c r="G675" s="2"/>
      <x:c r="H675" s="2" t="s">
        <x:v>627</x:v>
      </x:c>
      <x:c r="I675" s="2" t="s">
        <x:v>2162</x:v>
      </x:c>
      <x:c r="J675" s="2" t="s">
        <x:v>2086</x:v>
      </x:c>
      <x:c r="K675" s="2" t="n">
        <x:v>52</x:v>
      </x:c>
      <x:c r="L675" s="2" t="s">
        <x:v>2163</x:v>
      </x:c>
      <x:c r="M675" s="2" t="s">
        <x:v>2087</x:v>
      </x:c>
      <x:c r="N675" s="2">
        <x:v>2</x:v>
      </x:c>
      <x:c r="O675" s="2" t="s">
        <x:v>2088</x:v>
      </x:c>
      <x:c r="P675" s="2" t="s">
        <x:v>2089</x:v>
      </x:c>
      <x:c r="Q675" s="2"/>
      <x:c r="R675" s="3">
        <x:v>4</x:v>
      </x:c>
      <x:c r="S675" s="3">
        <x:v>1</x:v>
      </x:c>
      <x:c r="T675" s="2" t="s">
        <x:v>103</x:v>
      </x:c>
      <x:c r="U675" s="2"/>
      <x:c r="V675" s="2"/>
      <x:c r="W675" s="2"/>
      <x:c r="X675" s="3"/>
      <x:c r="Y675" s="3"/>
      <x:c r="Z675" s="2"/>
      <x:c r="AA675" s="2"/>
      <x:c r="AB675" s="2" t="s">
        <x:v>2090</x:v>
      </x:c>
      <x:c r="AC675" s="2"/>
      <x:c r="AD675" s="2"/>
      <x:c r="AE675" s="2"/>
      <x:c r="AF675" s="2"/>
      <x:c r="AG675" s="2" t="s">
        <x:v>428</x:v>
      </x:c>
      <x:c r="AH675" s="2"/>
      <x:c r="AI675" s="4"/>
      <x:c r="AJ675" s="2"/>
      <x:c r="AK675" s="2" t="s">
        <x:v>396</x:v>
      </x:c>
      <x:c r="AL675" s="2" t="s">
        <x:v>2857</x:v>
      </x:c>
      <x:c r="AM675" s="2">
        <x:v>55</x:v>
      </x:c>
      <x:c r="AN675" s="2">
        <x:v>55</x:v>
      </x:c>
    </x:row>
    <x:row r="676" ht="39">
      <x:c r="A676" s="2" t="s">
        <x:v>6</x:v>
      </x:c>
      <x:c r="B676" s="2" t="s">
        <x:v>17</x:v>
      </x:c>
      <x:c r="C676" s="3">
        <x:v>54</x:v>
      </x:c>
      <x:c r="D676" s="2" t="s">
        <x:v>2165</x:v>
      </x:c>
      <x:c r="E676" s="2" t="s">
        <x:v>2161</x:v>
      </x:c>
      <x:c r="F676" s="2" t="s">
        <x:v>431</x:v>
      </x:c>
      <x:c r="G676" s="2"/>
      <x:c r="H676" s="2" t="s">
        <x:v>634</x:v>
      </x:c>
      <x:c r="I676" s="2" t="s">
        <x:v>2162</x:v>
      </x:c>
      <x:c r="J676" s="2" t="s">
        <x:v>635</x:v>
      </x:c>
      <x:c r="K676" s="2" t="n">
        <x:v>52</x:v>
      </x:c>
      <x:c r="L676" s="2" t="s">
        <x:v>2163</x:v>
      </x:c>
      <x:c r="M676" s="2" t="s">
        <x:v>2093</x:v>
      </x:c>
      <x:c r="N676" s="2">
        <x:v>2</x:v>
      </x:c>
      <x:c r="O676" s="2" t="s">
        <x:v>2094</x:v>
      </x:c>
      <x:c r="P676" s="2" t="s">
        <x:v>2095</x:v>
      </x:c>
      <x:c r="Q676" s="2"/>
      <x:c r="R676" s="3">
        <x:v>4</x:v>
      </x:c>
      <x:c r="S676" s="3">
        <x:v>1</x:v>
      </x:c>
      <x:c r="T676" s="2" t="s">
        <x:v>103</x:v>
      </x:c>
      <x:c r="U676" s="2"/>
      <x:c r="V676" s="2"/>
      <x:c r="W676" s="2"/>
      <x:c r="X676" s="3"/>
      <x:c r="Y676" s="3"/>
      <x:c r="Z676" s="2"/>
      <x:c r="AA676" s="2"/>
      <x:c r="AB676" s="2" t="s">
        <x:v>394</x:v>
      </x:c>
      <x:c r="AC676" s="2"/>
      <x:c r="AD676" s="2"/>
      <x:c r="AE676" s="2"/>
      <x:c r="AF676" s="2"/>
      <x:c r="AG676" s="2" t="s">
        <x:v>428</x:v>
      </x:c>
      <x:c r="AH676" s="2"/>
      <x:c r="AI676" s="4"/>
      <x:c r="AJ676" s="2"/>
      <x:c r="AK676" s="2" t="s">
        <x:v>396</x:v>
      </x:c>
      <x:c r="AL676" s="2" t="s">
        <x:v>2857</x:v>
      </x:c>
      <x:c r="AM676" s="2">
        <x:v>56</x:v>
      </x:c>
      <x:c r="AN676" s="2">
        <x:v>56</x:v>
      </x:c>
    </x:row>
    <x:row r="677" ht="26">
      <x:c r="A677" s="2" t="s">
        <x:v>6</x:v>
      </x:c>
      <x:c r="B677" s="2" t="s">
        <x:v>17</x:v>
      </x:c>
      <x:c r="C677" s="3">
        <x:v>55</x:v>
      </x:c>
      <x:c r="D677" s="2" t="s">
        <x:v>2166</x:v>
      </x:c>
      <x:c r="E677" s="2" t="s">
        <x:v>2161</x:v>
      </x:c>
      <x:c r="F677" s="2" t="s">
        <x:v>431</x:v>
      </x:c>
      <x:c r="G677" s="2"/>
      <x:c r="H677" s="2" t="s">
        <x:v>634</x:v>
      </x:c>
      <x:c r="I677" s="2" t="s">
        <x:v>2162</x:v>
      </x:c>
      <x:c r="J677" s="2" t="s">
        <x:v>2098</x:v>
      </x:c>
      <x:c r="K677" s="2" t="n">
        <x:v>52</x:v>
      </x:c>
      <x:c r="L677" s="2" t="s">
        <x:v>2163</x:v>
      </x:c>
      <x:c r="M677" s="2" t="s">
        <x:v>2099</x:v>
      </x:c>
      <x:c r="N677" s="2">
        <x:v>2</x:v>
      </x:c>
      <x:c r="O677" s="2" t="s">
        <x:v>2094</x:v>
      </x:c>
      <x:c r="P677" s="2" t="s">
        <x:v>2100</x:v>
      </x:c>
      <x:c r="Q677" s="2"/>
      <x:c r="R677" s="3">
        <x:v>4</x:v>
      </x:c>
      <x:c r="S677" s="3">
        <x:v>1</x:v>
      </x:c>
      <x:c r="T677" s="2" t="s">
        <x:v>103</x:v>
      </x:c>
      <x:c r="U677" s="2"/>
      <x:c r="V677" s="2"/>
      <x:c r="W677" s="2"/>
      <x:c r="X677" s="3"/>
      <x:c r="Y677" s="3"/>
      <x:c r="Z677" s="2"/>
      <x:c r="AA677" s="2"/>
      <x:c r="AB677" s="2" t="s">
        <x:v>2101</x:v>
      </x:c>
      <x:c r="AC677" s="2"/>
      <x:c r="AD677" s="2"/>
      <x:c r="AE677" s="2"/>
      <x:c r="AF677" s="2"/>
      <x:c r="AG677" s="2" t="s">
        <x:v>428</x:v>
      </x:c>
      <x:c r="AH677" s="2"/>
      <x:c r="AI677" s="4"/>
      <x:c r="AJ677" s="2"/>
      <x:c r="AK677" s="2" t="s">
        <x:v>396</x:v>
      </x:c>
      <x:c r="AL677" s="2" t="s">
        <x:v>2857</x:v>
      </x:c>
      <x:c r="AM677" s="2">
        <x:v>57</x:v>
      </x:c>
      <x:c r="AN677" s="2">
        <x:v>57</x:v>
      </x:c>
    </x:row>
    <x:row r="678" ht="52">
      <x:c r="A678" s="2" t="s">
        <x:v>6</x:v>
      </x:c>
      <x:c r="B678" s="2" t="s">
        <x:v>17</x:v>
      </x:c>
      <x:c r="C678" s="3">
        <x:v>56</x:v>
      </x:c>
      <x:c r="D678" s="2" t="s">
        <x:v>2167</x:v>
      </x:c>
      <x:c r="E678" s="2" t="s">
        <x:v>2168</x:v>
      </x:c>
      <x:c r="F678" s="2" t="s">
        <x:v>2047</x:v>
      </x:c>
      <x:c r="G678" s="2"/>
      <x:c r="H678" s="2" t="s">
        <x:v>618</x:v>
      </x:c>
      <x:c r="I678" s="2" t="s">
        <x:v>2169</x:v>
      </x:c>
      <x:c r="J678" s="2" t="s">
        <x:v>2080</x:v>
      </x:c>
      <x:c r="K678" s="2"/>
      <x:c r="L678" s="2" t="s">
        <x:v>2170</x:v>
      </x:c>
      <x:c r="M678" s="2" t="s">
        <x:v>2082</x:v>
      </x:c>
      <x:c r="N678" s="2">
        <x:v>2</x:v>
      </x:c>
      <x:c r="O678" s="2" t="s">
        <x:v>2083</x:v>
      </x:c>
      <x:c r="P678" s="2" t="s">
        <x:v>2084</x:v>
      </x:c>
      <x:c r="Q678" s="2"/>
      <x:c r="R678" s="3">
        <x:v>4</x:v>
      </x:c>
      <x:c r="S678" s="3">
        <x:v>1</x:v>
      </x:c>
      <x:c r="T678" s="2" t="s">
        <x:v>103</x:v>
      </x:c>
      <x:c r="U678" s="2"/>
      <x:c r="V678" s="2"/>
      <x:c r="W678" s="2"/>
      <x:c r="X678" s="3"/>
      <x:c r="Y678" s="3"/>
      <x:c r="Z678" s="2"/>
      <x:c r="AA678" s="2"/>
      <x:c r="AB678" s="2" t="s">
        <x:v>415</x:v>
      </x:c>
      <x:c r="AC678" s="2"/>
      <x:c r="AD678" s="2"/>
      <x:c r="AE678" s="2"/>
      <x:c r="AF678" s="2"/>
      <x:c r="AG678" s="2" t="s">
        <x:v>2036</x:v>
      </x:c>
      <x:c r="AH678" s="2"/>
      <x:c r="AI678" s="4"/>
      <x:c r="AJ678" s="2"/>
      <x:c r="AK678" s="2" t="s">
        <x:v>396</x:v>
      </x:c>
      <x:c r="AL678" s="2" t="s">
        <x:v>2857</x:v>
      </x:c>
      <x:c r="AM678" s="2">
        <x:v>58</x:v>
      </x:c>
      <x:c r="AN678" s="2">
        <x:v>58</x:v>
      </x:c>
    </x:row>
    <x:row r="679" ht="39">
      <x:c r="A679" s="2" t="s">
        <x:v>6</x:v>
      </x:c>
      <x:c r="B679" s="2" t="s">
        <x:v>17</x:v>
      </x:c>
      <x:c r="C679" s="3">
        <x:v>57</x:v>
      </x:c>
      <x:c r="D679" s="2" t="s">
        <x:v>2171</x:v>
      </x:c>
      <x:c r="E679" s="2" t="s">
        <x:v>2168</x:v>
      </x:c>
      <x:c r="F679" s="2" t="s">
        <x:v>2047</x:v>
      </x:c>
      <x:c r="G679" s="2"/>
      <x:c r="H679" s="2" t="s">
        <x:v>627</x:v>
      </x:c>
      <x:c r="I679" s="2" t="s">
        <x:v>2169</x:v>
      </x:c>
      <x:c r="J679" s="2" t="s">
        <x:v>2086</x:v>
      </x:c>
      <x:c r="K679" s="2" t="n">
        <x:v>56</x:v>
      </x:c>
      <x:c r="L679" s="2" t="s">
        <x:v>2170</x:v>
      </x:c>
      <x:c r="M679" s="2" t="s">
        <x:v>2087</x:v>
      </x:c>
      <x:c r="N679" s="2">
        <x:v>2</x:v>
      </x:c>
      <x:c r="O679" s="2" t="s">
        <x:v>2088</x:v>
      </x:c>
      <x:c r="P679" s="2" t="s">
        <x:v>2089</x:v>
      </x:c>
      <x:c r="Q679" s="2"/>
      <x:c r="R679" s="3">
        <x:v>4</x:v>
      </x:c>
      <x:c r="S679" s="3">
        <x:v>1</x:v>
      </x:c>
      <x:c r="T679" s="2" t="s">
        <x:v>103</x:v>
      </x:c>
      <x:c r="U679" s="2"/>
      <x:c r="V679" s="2"/>
      <x:c r="W679" s="2"/>
      <x:c r="X679" s="3"/>
      <x:c r="Y679" s="3"/>
      <x:c r="Z679" s="2"/>
      <x:c r="AA679" s="2"/>
      <x:c r="AB679" s="2" t="s">
        <x:v>2090</x:v>
      </x:c>
      <x:c r="AC679" s="2"/>
      <x:c r="AD679" s="2"/>
      <x:c r="AE679" s="2"/>
      <x:c r="AF679" s="2"/>
      <x:c r="AG679" s="2" t="s">
        <x:v>2036</x:v>
      </x:c>
      <x:c r="AH679" s="2"/>
      <x:c r="AI679" s="4"/>
      <x:c r="AJ679" s="2"/>
      <x:c r="AK679" s="2" t="s">
        <x:v>396</x:v>
      </x:c>
      <x:c r="AL679" s="2" t="s">
        <x:v>2857</x:v>
      </x:c>
      <x:c r="AM679" s="2">
        <x:v>59</x:v>
      </x:c>
      <x:c r="AN679" s="2">
        <x:v>59</x:v>
      </x:c>
    </x:row>
    <x:row r="680" ht="39">
      <x:c r="A680" s="2" t="s">
        <x:v>6</x:v>
      </x:c>
      <x:c r="B680" s="2" t="s">
        <x:v>17</x:v>
      </x:c>
      <x:c r="C680" s="3">
        <x:v>58</x:v>
      </x:c>
      <x:c r="D680" s="2" t="s">
        <x:v>2173</x:v>
      </x:c>
      <x:c r="E680" s="2" t="s">
        <x:v>2168</x:v>
      </x:c>
      <x:c r="F680" s="2" t="s">
        <x:v>2047</x:v>
      </x:c>
      <x:c r="G680" s="2"/>
      <x:c r="H680" s="2" t="s">
        <x:v>634</x:v>
      </x:c>
      <x:c r="I680" s="2" t="s">
        <x:v>2169</x:v>
      </x:c>
      <x:c r="J680" s="2" t="s">
        <x:v>635</x:v>
      </x:c>
      <x:c r="K680" s="2" t="n">
        <x:v>56</x:v>
      </x:c>
      <x:c r="L680" s="2" t="s">
        <x:v>2170</x:v>
      </x:c>
      <x:c r="M680" s="2" t="s">
        <x:v>2093</x:v>
      </x:c>
      <x:c r="N680" s="2">
        <x:v>2</x:v>
      </x:c>
      <x:c r="O680" s="2" t="s">
        <x:v>2094</x:v>
      </x:c>
      <x:c r="P680" s="2" t="s">
        <x:v>2095</x:v>
      </x:c>
      <x:c r="Q680" s="2"/>
      <x:c r="R680" s="3">
        <x:v>4</x:v>
      </x:c>
      <x:c r="S680" s="3">
        <x:v>1</x:v>
      </x:c>
      <x:c r="T680" s="2" t="s">
        <x:v>103</x:v>
      </x:c>
      <x:c r="U680" s="2"/>
      <x:c r="V680" s="2"/>
      <x:c r="W680" s="2"/>
      <x:c r="X680" s="3"/>
      <x:c r="Y680" s="3"/>
      <x:c r="Z680" s="2"/>
      <x:c r="AA680" s="2"/>
      <x:c r="AB680" s="2" t="s">
        <x:v>415</x:v>
      </x:c>
      <x:c r="AC680" s="2"/>
      <x:c r="AD680" s="2"/>
      <x:c r="AE680" s="2"/>
      <x:c r="AF680" s="2"/>
      <x:c r="AG680" s="2" t="s">
        <x:v>2036</x:v>
      </x:c>
      <x:c r="AH680" s="2"/>
      <x:c r="AI680" s="4"/>
      <x:c r="AJ680" s="2"/>
      <x:c r="AK680" s="2" t="s">
        <x:v>396</x:v>
      </x:c>
      <x:c r="AL680" s="2" t="s">
        <x:v>2857</x:v>
      </x:c>
      <x:c r="AM680" s="2">
        <x:v>60</x:v>
      </x:c>
      <x:c r="AN680" s="2">
        <x:v>60</x:v>
      </x:c>
    </x:row>
    <x:row r="681" ht="26">
      <x:c r="A681" s="2" t="s">
        <x:v>6</x:v>
      </x:c>
      <x:c r="B681" s="2" t="s">
        <x:v>17</x:v>
      </x:c>
      <x:c r="C681" s="3">
        <x:v>59</x:v>
      </x:c>
      <x:c r="D681" s="2" t="s">
        <x:v>2175</x:v>
      </x:c>
      <x:c r="E681" s="2" t="s">
        <x:v>2168</x:v>
      </x:c>
      <x:c r="F681" s="2" t="s">
        <x:v>2047</x:v>
      </x:c>
      <x:c r="G681" s="2"/>
      <x:c r="H681" s="2" t="s">
        <x:v>634</x:v>
      </x:c>
      <x:c r="I681" s="2" t="s">
        <x:v>2169</x:v>
      </x:c>
      <x:c r="J681" s="2" t="s">
        <x:v>2098</x:v>
      </x:c>
      <x:c r="K681" s="2" t="n">
        <x:v>56</x:v>
      </x:c>
      <x:c r="L681" s="2" t="s">
        <x:v>2170</x:v>
      </x:c>
      <x:c r="M681" s="2" t="s">
        <x:v>2099</x:v>
      </x:c>
      <x:c r="N681" s="2">
        <x:v>2</x:v>
      </x:c>
      <x:c r="O681" s="2" t="s">
        <x:v>2094</x:v>
      </x:c>
      <x:c r="P681" s="2" t="s">
        <x:v>2100</x:v>
      </x:c>
      <x:c r="Q681" s="2"/>
      <x:c r="R681" s="3">
        <x:v>4</x:v>
      </x:c>
      <x:c r="S681" s="3">
        <x:v>1</x:v>
      </x:c>
      <x:c r="T681" s="2" t="s">
        <x:v>103</x:v>
      </x:c>
      <x:c r="U681" s="2"/>
      <x:c r="V681" s="2"/>
      <x:c r="W681" s="2"/>
      <x:c r="X681" s="3"/>
      <x:c r="Y681" s="3"/>
      <x:c r="Z681" s="2"/>
      <x:c r="AA681" s="2"/>
      <x:c r="AB681" s="2" t="s">
        <x:v>2101</x:v>
      </x:c>
      <x:c r="AC681" s="2"/>
      <x:c r="AD681" s="2"/>
      <x:c r="AE681" s="2"/>
      <x:c r="AF681" s="2"/>
      <x:c r="AG681" s="2" t="s">
        <x:v>2036</x:v>
      </x:c>
      <x:c r="AH681" s="2"/>
      <x:c r="AI681" s="4"/>
      <x:c r="AJ681" s="2"/>
      <x:c r="AK681" s="2" t="s">
        <x:v>396</x:v>
      </x:c>
      <x:c r="AL681" s="2" t="s">
        <x:v>2857</x:v>
      </x:c>
      <x:c r="AM681" s="2">
        <x:v>61</x:v>
      </x:c>
      <x:c r="AN681" s="2">
        <x:v>61</x:v>
      </x:c>
    </x:row>
    <x:row r="682" ht="52">
      <x:c r="A682" s="2" t="s">
        <x:v>6</x:v>
      </x:c>
      <x:c r="B682" s="2" t="s">
        <x:v>17</x:v>
      </x:c>
      <x:c r="C682" s="3">
        <x:v>60</x:v>
      </x:c>
      <x:c r="D682" s="2" t="s">
        <x:v>2176</x:v>
      </x:c>
      <x:c r="E682" s="2" t="s">
        <x:v>2177</x:v>
      </x:c>
      <x:c r="F682" s="2" t="s">
        <x:v>410</x:v>
      </x:c>
      <x:c r="G682" s="2"/>
      <x:c r="H682" s="2" t="s">
        <x:v>618</x:v>
      </x:c>
      <x:c r="I682" s="2" t="s">
        <x:v>2179</x:v>
      </x:c>
      <x:c r="J682" s="2" t="s">
        <x:v>2080</x:v>
      </x:c>
      <x:c r="K682" s="2"/>
      <x:c r="L682" s="2" t="s">
        <x:v>2180</x:v>
      </x:c>
      <x:c r="M682" s="2" t="s">
        <x:v>2082</x:v>
      </x:c>
      <x:c r="N682" s="2">
        <x:v>3</x:v>
      </x:c>
      <x:c r="O682" s="2" t="s">
        <x:v>2083</x:v>
      </x:c>
      <x:c r="P682" s="2" t="s">
        <x:v>2084</x:v>
      </x:c>
      <x:c r="Q682" s="2"/>
      <x:c r="R682" s="3">
        <x:v>4</x:v>
      </x:c>
      <x:c r="S682" s="3">
        <x:v>1</x:v>
      </x:c>
      <x:c r="T682" s="2" t="s">
        <x:v>103</x:v>
      </x:c>
      <x:c r="U682" s="2"/>
      <x:c r="V682" s="2"/>
      <x:c r="W682" s="2"/>
      <x:c r="X682" s="3"/>
      <x:c r="Y682" s="3"/>
      <x:c r="Z682" s="2"/>
      <x:c r="AA682" s="2"/>
      <x:c r="AB682" s="2" t="s">
        <x:v>427</x:v>
      </x:c>
      <x:c r="AC682" s="2"/>
      <x:c r="AD682" s="2"/>
      <x:c r="AE682" s="2"/>
      <x:c r="AF682" s="2"/>
      <x:c r="AG682" s="2" t="s">
        <x:v>395</x:v>
      </x:c>
      <x:c r="AH682" s="2"/>
      <x:c r="AI682" s="4"/>
      <x:c r="AJ682" s="2"/>
      <x:c r="AK682" s="2" t="s">
        <x:v>396</x:v>
      </x:c>
      <x:c r="AL682" s="2" t="s">
        <x:v>2857</x:v>
      </x:c>
      <x:c r="AM682" s="2">
        <x:v>62</x:v>
      </x:c>
      <x:c r="AN682" s="2">
        <x:v>62</x:v>
      </x:c>
    </x:row>
    <x:row r="683" ht="39">
      <x:c r="A683" s="2" t="s">
        <x:v>6</x:v>
      </x:c>
      <x:c r="B683" s="2" t="s">
        <x:v>17</x:v>
      </x:c>
      <x:c r="C683" s="3">
        <x:v>61</x:v>
      </x:c>
      <x:c r="D683" s="2" t="s">
        <x:v>2181</x:v>
      </x:c>
      <x:c r="E683" s="2" t="s">
        <x:v>2177</x:v>
      </x:c>
      <x:c r="F683" s="2" t="s">
        <x:v>410</x:v>
      </x:c>
      <x:c r="G683" s="2" t="s">
        <x:v>3008</x:v>
      </x:c>
      <x:c r="H683" s="2" t="s">
        <x:v>627</x:v>
      </x:c>
      <x:c r="I683" s="2" t="s">
        <x:v>2179</x:v>
      </x:c>
      <x:c r="J683" s="2" t="s">
        <x:v>2086</x:v>
      </x:c>
      <x:c r="K683" s="2" t="n">
        <x:v>60</x:v>
      </x:c>
      <x:c r="L683" s="2" t="s">
        <x:v>2180</x:v>
      </x:c>
      <x:c r="M683" s="2" t="s">
        <x:v>2087</x:v>
      </x:c>
      <x:c r="N683" s="2">
        <x:v>3</x:v>
      </x:c>
      <x:c r="O683" s="2" t="s">
        <x:v>2088</x:v>
      </x:c>
      <x:c r="P683" s="2" t="s">
        <x:v>2089</x:v>
      </x:c>
      <x:c r="Q683" s="2"/>
      <x:c r="R683" s="3">
        <x:v>4</x:v>
      </x:c>
      <x:c r="S683" s="3">
        <x:v>1</x:v>
      </x:c>
      <x:c r="T683" s="2" t="s">
        <x:v>103</x:v>
      </x:c>
      <x:c r="U683" s="2"/>
      <x:c r="V683" s="2"/>
      <x:c r="W683" s="2"/>
      <x:c r="X683" s="3"/>
      <x:c r="Y683" s="3"/>
      <x:c r="Z683" s="2"/>
      <x:c r="AA683" s="2"/>
      <x:c r="AB683" s="2" t="s">
        <x:v>2090</x:v>
      </x:c>
      <x:c r="AC683" s="2"/>
      <x:c r="AD683" s="2"/>
      <x:c r="AE683" s="2"/>
      <x:c r="AF683" s="2"/>
      <x:c r="AG683" s="2" t="s">
        <x:v>395</x:v>
      </x:c>
      <x:c r="AH683" s="2"/>
      <x:c r="AI683" s="4"/>
      <x:c r="AJ683" s="2"/>
      <x:c r="AK683" s="2" t="s">
        <x:v>396</x:v>
      </x:c>
      <x:c r="AL683" s="2" t="s">
        <x:v>2857</x:v>
      </x:c>
      <x:c r="AM683" s="2">
        <x:v>63</x:v>
      </x:c>
      <x:c r="AN683" s="2">
        <x:v>63</x:v>
      </x:c>
    </x:row>
    <x:row r="684" ht="52">
      <x:c r="A684" s="2" t="s">
        <x:v>6</x:v>
      </x:c>
      <x:c r="B684" s="2" t="s">
        <x:v>17</x:v>
      </x:c>
      <x:c r="C684" s="3">
        <x:v>62</x:v>
      </x:c>
      <x:c r="D684" s="2" t="s">
        <x:v>2108</x:v>
      </x:c>
      <x:c r="E684" s="2" t="s">
        <x:v>2183</x:v>
      </x:c>
      <x:c r="F684" s="2" t="s">
        <x:v>431</x:v>
      </x:c>
      <x:c r="G684" s="2"/>
      <x:c r="H684" s="2" t="s">
        <x:v>618</x:v>
      </x:c>
      <x:c r="I684" s="2" t="s">
        <x:v>2184</x:v>
      </x:c>
      <x:c r="J684" s="2" t="s">
        <x:v>2080</x:v>
      </x:c>
      <x:c r="K684" s="2"/>
      <x:c r="L684" s="2" t="s">
        <x:v>2185</x:v>
      </x:c>
      <x:c r="M684" s="2" t="s">
        <x:v>2082</x:v>
      </x:c>
      <x:c r="N684" s="2">
        <x:v>3</x:v>
      </x:c>
      <x:c r="O684" s="2" t="s">
        <x:v>2083</x:v>
      </x:c>
      <x:c r="P684" s="2" t="s">
        <x:v>2084</x:v>
      </x:c>
      <x:c r="Q684" s="2"/>
      <x:c r="R684" s="3">
        <x:v>5</x:v>
      </x:c>
      <x:c r="S684" s="3">
        <x:v>1</x:v>
      </x:c>
      <x:c r="T684" s="2" t="s">
        <x:v>103</x:v>
      </x:c>
      <x:c r="U684" s="2"/>
      <x:c r="V684" s="2"/>
      <x:c r="W684" s="2"/>
      <x:c r="X684" s="3"/>
      <x:c r="Y684" s="3"/>
      <x:c r="Z684" s="2"/>
      <x:c r="AA684" s="2"/>
      <x:c r="AB684" s="2" t="s">
        <x:v>394</x:v>
      </x:c>
      <x:c r="AC684" s="2"/>
      <x:c r="AD684" s="2"/>
      <x:c r="AE684" s="2"/>
      <x:c r="AF684" s="2"/>
      <x:c r="AG684" s="2" t="s">
        <x:v>428</x:v>
      </x:c>
      <x:c r="AH684" s="2"/>
      <x:c r="AI684" s="4"/>
      <x:c r="AJ684" s="2"/>
      <x:c r="AK684" s="2" t="s">
        <x:v>396</x:v>
      </x:c>
      <x:c r="AL684" s="2" t="s">
        <x:v>2857</x:v>
      </x:c>
      <x:c r="AM684" s="2">
        <x:v>64</x:v>
      </x:c>
      <x:c r="AN684" s="2">
        <x:v>64</x:v>
      </x:c>
    </x:row>
    <x:row r="685" ht="39">
      <x:c r="A685" s="2" t="s">
        <x:v>6</x:v>
      </x:c>
      <x:c r="B685" s="2" t="s">
        <x:v>17</x:v>
      </x:c>
      <x:c r="C685" s="3">
        <x:v>63</x:v>
      </x:c>
      <x:c r="D685" s="2" t="s">
        <x:v>2186</x:v>
      </x:c>
      <x:c r="E685" s="2" t="s">
        <x:v>2183</x:v>
      </x:c>
      <x:c r="F685" s="2" t="s">
        <x:v>431</x:v>
      </x:c>
      <x:c r="G685" s="2"/>
      <x:c r="H685" s="2" t="s">
        <x:v>627</x:v>
      </x:c>
      <x:c r="I685" s="2" t="s">
        <x:v>2184</x:v>
      </x:c>
      <x:c r="J685" s="2" t="s">
        <x:v>2086</x:v>
      </x:c>
      <x:c r="K685" s="2" t="n">
        <x:v>62</x:v>
      </x:c>
      <x:c r="L685" s="2" t="s">
        <x:v>2185</x:v>
      </x:c>
      <x:c r="M685" s="2" t="s">
        <x:v>2087</x:v>
      </x:c>
      <x:c r="N685" s="2">
        <x:v>3</x:v>
      </x:c>
      <x:c r="O685" s="2" t="s">
        <x:v>2088</x:v>
      </x:c>
      <x:c r="P685" s="2" t="s">
        <x:v>2089</x:v>
      </x:c>
      <x:c r="Q685" s="2"/>
      <x:c r="R685" s="3">
        <x:v>5</x:v>
      </x:c>
      <x:c r="S685" s="3">
        <x:v>1</x:v>
      </x:c>
      <x:c r="T685" s="2" t="s">
        <x:v>103</x:v>
      </x:c>
      <x:c r="U685" s="2"/>
      <x:c r="V685" s="2"/>
      <x:c r="W685" s="2"/>
      <x:c r="X685" s="3"/>
      <x:c r="Y685" s="3"/>
      <x:c r="Z685" s="2"/>
      <x:c r="AA685" s="2"/>
      <x:c r="AB685" s="2" t="s">
        <x:v>2090</x:v>
      </x:c>
      <x:c r="AC685" s="2"/>
      <x:c r="AD685" s="2"/>
      <x:c r="AE685" s="2"/>
      <x:c r="AF685" s="2"/>
      <x:c r="AG685" s="2" t="s">
        <x:v>428</x:v>
      </x:c>
      <x:c r="AH685" s="2"/>
      <x:c r="AI685" s="4"/>
      <x:c r="AJ685" s="2"/>
      <x:c r="AK685" s="2" t="s">
        <x:v>396</x:v>
      </x:c>
      <x:c r="AL685" s="2" t="s">
        <x:v>2857</x:v>
      </x:c>
      <x:c r="AM685" s="2">
        <x:v>65</x:v>
      </x:c>
      <x:c r="AN685" s="2">
        <x:v>65</x:v>
      </x:c>
    </x:row>
    <x:row r="686" ht="52">
      <x:c r="A686" s="2" t="s">
        <x:v>91</x:v>
      </x:c>
      <x:c r="B686" s="2" t="s">
        <x:v>17</x:v>
      </x:c>
      <x:c r="C686" s="3">
        <x:v>64</x:v>
      </x:c>
      <x:c r="D686" s="2" t="s">
        <x:v>2187</x:v>
      </x:c>
      <x:c r="E686" s="2" t="s">
        <x:v>2188</x:v>
      </x:c>
      <x:c r="F686" s="2" t="s">
        <x:v>237</x:v>
      </x:c>
      <x:c r="G686" s="2" t="s">
        <x:v>3009</x:v>
      </x:c>
      <x:c r="H686" s="2" t="s">
        <x:v>618</x:v>
      </x:c>
      <x:c r="I686" s="2" t="s">
        <x:v>2189</x:v>
      </x:c>
      <x:c r="J686" s="2" t="s">
        <x:v>2120</x:v>
      </x:c>
      <x:c r="K686" s="2"/>
      <x:c r="L686" s="2" t="s">
        <x:v>2190</x:v>
      </x:c>
      <x:c r="M686" s="2" t="s">
        <x:v>2082</x:v>
      </x:c>
      <x:c r="N686" s="2">
        <x:v>3</x:v>
      </x:c>
      <x:c r="O686" s="2" t="s">
        <x:v>2083</x:v>
      </x:c>
      <x:c r="P686" s="2" t="s">
        <x:v>2084</x:v>
      </x:c>
      <x:c r="Q686" s="2"/>
      <x:c r="R686" s="3">
        <x:v>3</x:v>
      </x:c>
      <x:c r="S686" s="3">
        <x:v>1</x:v>
      </x:c>
      <x:c r="T686" s="2" t="s">
        <x:v>103</x:v>
      </x:c>
      <x:c r="U686" s="2"/>
      <x:c r="V686" s="2"/>
      <x:c r="W686" s="2"/>
      <x:c r="X686" s="3"/>
      <x:c r="Y686" s="3"/>
      <x:c r="Z686" s="2"/>
      <x:c r="AA686" s="2"/>
      <x:c r="AB686" s="2" t="s">
        <x:v>415</x:v>
      </x:c>
      <x:c r="AC686" s="2"/>
      <x:c r="AD686" s="2"/>
      <x:c r="AE686" s="2"/>
      <x:c r="AF686" s="2"/>
      <x:c r="AG686" s="2" t="s">
        <x:v>2036</x:v>
      </x:c>
      <x:c r="AH686" s="2"/>
      <x:c r="AI686" s="4"/>
      <x:c r="AJ686" s="2"/>
      <x:c r="AK686" s="2" t="s">
        <x:v>396</x:v>
      </x:c>
      <x:c r="AL686" s="2" t="s">
        <x:v>2857</x:v>
      </x:c>
      <x:c r="AM686" s="2">
        <x:v>66</x:v>
      </x:c>
      <x:c r="AN686" s="2">
        <x:v>66</x:v>
      </x:c>
    </x:row>
    <x:row r="687" ht="39">
      <x:c r="A687" s="2" t="s">
        <x:v>91</x:v>
      </x:c>
      <x:c r="B687" s="2" t="s">
        <x:v>17</x:v>
      </x:c>
      <x:c r="C687" s="3">
        <x:v>65</x:v>
      </x:c>
      <x:c r="D687" s="2" t="s">
        <x:v>1376</x:v>
      </x:c>
      <x:c r="E687" s="2" t="s">
        <x:v>2188</x:v>
      </x:c>
      <x:c r="F687" s="2" t="s">
        <x:v>237</x:v>
      </x:c>
      <x:c r="G687" s="2" t="s">
        <x:v>3010</x:v>
      </x:c>
      <x:c r="H687" s="2" t="s">
        <x:v>627</x:v>
      </x:c>
      <x:c r="I687" s="2" t="s">
        <x:v>2189</x:v>
      </x:c>
      <x:c r="J687" s="2" t="s">
        <x:v>2086</x:v>
      </x:c>
      <x:c r="K687" s="2" t="n">
        <x:v>64</x:v>
      </x:c>
      <x:c r="L687" s="2" t="s">
        <x:v>2190</x:v>
      </x:c>
      <x:c r="M687" s="2" t="s">
        <x:v>2087</x:v>
      </x:c>
      <x:c r="N687" s="2">
        <x:v>3</x:v>
      </x:c>
      <x:c r="O687" s="2" t="s">
        <x:v>2088</x:v>
      </x:c>
      <x:c r="P687" s="2" t="s">
        <x:v>2089</x:v>
      </x:c>
      <x:c r="Q687" s="2"/>
      <x:c r="R687" s="3">
        <x:v>3</x:v>
      </x:c>
      <x:c r="S687" s="3">
        <x:v>1</x:v>
      </x:c>
      <x:c r="T687" s="2" t="s">
        <x:v>103</x:v>
      </x:c>
      <x:c r="U687" s="2"/>
      <x:c r="V687" s="2"/>
      <x:c r="W687" s="2"/>
      <x:c r="X687" s="3"/>
      <x:c r="Y687" s="3"/>
      <x:c r="Z687" s="2"/>
      <x:c r="AA687" s="2"/>
      <x:c r="AB687" s="2" t="s">
        <x:v>2090</x:v>
      </x:c>
      <x:c r="AC687" s="2"/>
      <x:c r="AD687" s="2"/>
      <x:c r="AE687" s="2"/>
      <x:c r="AF687" s="2"/>
      <x:c r="AG687" s="2" t="s">
        <x:v>2036</x:v>
      </x:c>
      <x:c r="AH687" s="2"/>
      <x:c r="AI687" s="4"/>
      <x:c r="AJ687" s="2"/>
      <x:c r="AK687" s="2" t="s">
        <x:v>396</x:v>
      </x:c>
      <x:c r="AL687" s="2" t="s">
        <x:v>2857</x:v>
      </x:c>
      <x:c r="AM687" s="2">
        <x:v>67</x:v>
      </x:c>
      <x:c r="AN687" s="2">
        <x:v>67</x:v>
      </x:c>
    </x:row>
    <x:row r="688" ht="52">
      <x:c r="A688" s="2" t="s">
        <x:v>6</x:v>
      </x:c>
      <x:c r="B688" s="2" t="s">
        <x:v>17</x:v>
      </x:c>
      <x:c r="C688" s="3">
        <x:v>66</x:v>
      </x:c>
      <x:c r="D688" s="2" t="s">
        <x:v>2192</x:v>
      </x:c>
      <x:c r="E688" s="2" t="s">
        <x:v>2193</x:v>
      </x:c>
      <x:c r="F688" s="2" t="s">
        <x:v>386</x:v>
      </x:c>
      <x:c r="G688" s="2"/>
      <x:c r="H688" s="2" t="s">
        <x:v>618</x:v>
      </x:c>
      <x:c r="I688" s="2" t="s">
        <x:v>2195</x:v>
      </x:c>
      <x:c r="J688" s="2" t="s">
        <x:v>2120</x:v>
      </x:c>
      <x:c r="K688" s="2"/>
      <x:c r="L688" s="2" t="s">
        <x:v>2196</x:v>
      </x:c>
      <x:c r="M688" s="2" t="s">
        <x:v>2082</x:v>
      </x:c>
      <x:c r="N688" s="2">
        <x:v>3</x:v>
      </x:c>
      <x:c r="O688" s="2" t="s">
        <x:v>2083</x:v>
      </x:c>
      <x:c r="P688" s="2" t="s">
        <x:v>2084</x:v>
      </x:c>
      <x:c r="Q688" s="2"/>
      <x:c r="R688" s="3">
        <x:v>3</x:v>
      </x:c>
      <x:c r="S688" s="3">
        <x:v>1</x:v>
      </x:c>
      <x:c r="T688" s="2" t="s">
        <x:v>103</x:v>
      </x:c>
      <x:c r="U688" s="2"/>
      <x:c r="V688" s="2"/>
      <x:c r="W688" s="2"/>
      <x:c r="X688" s="3"/>
      <x:c r="Y688" s="3"/>
      <x:c r="Z688" s="2"/>
      <x:c r="AA688" s="2"/>
      <x:c r="AB688" s="2" t="s">
        <x:v>427</x:v>
      </x:c>
      <x:c r="AC688" s="2"/>
      <x:c r="AD688" s="2"/>
      <x:c r="AE688" s="2"/>
      <x:c r="AF688" s="2"/>
      <x:c r="AG688" s="2" t="s">
        <x:v>395</x:v>
      </x:c>
      <x:c r="AH688" s="2"/>
      <x:c r="AI688" s="4"/>
      <x:c r="AJ688" s="2"/>
      <x:c r="AK688" s="2" t="s">
        <x:v>396</x:v>
      </x:c>
      <x:c r="AL688" s="2" t="s">
        <x:v>2857</x:v>
      </x:c>
      <x:c r="AM688" s="2">
        <x:v>68</x:v>
      </x:c>
      <x:c r="AN688" s="2">
        <x:v>68</x:v>
      </x:c>
    </x:row>
    <x:row r="689" ht="39">
      <x:c r="A689" s="2" t="s">
        <x:v>6</x:v>
      </x:c>
      <x:c r="B689" s="2" t="s">
        <x:v>17</x:v>
      </x:c>
      <x:c r="C689" s="3">
        <x:v>67</x:v>
      </x:c>
      <x:c r="D689" s="2" t="s">
        <x:v>2197</x:v>
      </x:c>
      <x:c r="E689" s="2" t="s">
        <x:v>2193</x:v>
      </x:c>
      <x:c r="F689" s="2" t="s">
        <x:v>386</x:v>
      </x:c>
      <x:c r="G689" s="2"/>
      <x:c r="H689" s="2" t="s">
        <x:v>627</x:v>
      </x:c>
      <x:c r="I689" s="2" t="s">
        <x:v>2195</x:v>
      </x:c>
      <x:c r="J689" s="2" t="s">
        <x:v>2086</x:v>
      </x:c>
      <x:c r="K689" s="2" t="n">
        <x:v>66</x:v>
      </x:c>
      <x:c r="L689" s="2" t="s">
        <x:v>2196</x:v>
      </x:c>
      <x:c r="M689" s="2" t="s">
        <x:v>2087</x:v>
      </x:c>
      <x:c r="N689" s="2">
        <x:v>3</x:v>
      </x:c>
      <x:c r="O689" s="2" t="s">
        <x:v>2088</x:v>
      </x:c>
      <x:c r="P689" s="2" t="s">
        <x:v>2089</x:v>
      </x:c>
      <x:c r="Q689" s="2"/>
      <x:c r="R689" s="3">
        <x:v>3</x:v>
      </x:c>
      <x:c r="S689" s="3">
        <x:v>1</x:v>
      </x:c>
      <x:c r="T689" s="2" t="s">
        <x:v>103</x:v>
      </x:c>
      <x:c r="U689" s="2"/>
      <x:c r="V689" s="2"/>
      <x:c r="W689" s="2"/>
      <x:c r="X689" s="3"/>
      <x:c r="Y689" s="3"/>
      <x:c r="Z689" s="2"/>
      <x:c r="AA689" s="2"/>
      <x:c r="AB689" s="2" t="s">
        <x:v>2090</x:v>
      </x:c>
      <x:c r="AC689" s="2"/>
      <x:c r="AD689" s="2"/>
      <x:c r="AE689" s="2"/>
      <x:c r="AF689" s="2"/>
      <x:c r="AG689" s="2" t="s">
        <x:v>395</x:v>
      </x:c>
      <x:c r="AH689" s="2"/>
      <x:c r="AI689" s="4"/>
      <x:c r="AJ689" s="2"/>
      <x:c r="AK689" s="2" t="s">
        <x:v>396</x:v>
      </x:c>
      <x:c r="AL689" s="2" t="s">
        <x:v>2857</x:v>
      </x:c>
      <x:c r="AM689" s="2">
        <x:v>69</x:v>
      </x:c>
      <x:c r="AN689" s="2">
        <x:v>69</x:v>
      </x:c>
    </x:row>
    <x:row r="690" ht="52">
      <x:c r="A690" s="2" t="s">
        <x:v>6</x:v>
      </x:c>
      <x:c r="B690" s="2" t="s">
        <x:v>17</x:v>
      </x:c>
      <x:c r="C690" s="3">
        <x:v>68</x:v>
      </x:c>
      <x:c r="D690" s="2" t="s">
        <x:v>2134</x:v>
      </x:c>
      <x:c r="E690" s="2" t="s">
        <x:v>2199</x:v>
      </x:c>
      <x:c r="F690" s="2" t="s">
        <x:v>423</x:v>
      </x:c>
      <x:c r="G690" s="2"/>
      <x:c r="H690" s="2" t="s">
        <x:v>618</x:v>
      </x:c>
      <x:c r="I690" s="2" t="s">
        <x:v>2200</x:v>
      </x:c>
      <x:c r="J690" s="2" t="s">
        <x:v>2120</x:v>
      </x:c>
      <x:c r="K690" s="2"/>
      <x:c r="L690" s="2" t="s">
        <x:v>2201</x:v>
      </x:c>
      <x:c r="M690" s="2" t="s">
        <x:v>2082</x:v>
      </x:c>
      <x:c r="N690" s="2">
        <x:v>3</x:v>
      </x:c>
      <x:c r="O690" s="2" t="s">
        <x:v>2083</x:v>
      </x:c>
      <x:c r="P690" s="2" t="s">
        <x:v>2084</x:v>
      </x:c>
      <x:c r="Q690" s="2"/>
      <x:c r="R690" s="3">
        <x:v>4</x:v>
      </x:c>
      <x:c r="S690" s="3">
        <x:v>1</x:v>
      </x:c>
      <x:c r="T690" s="2" t="s">
        <x:v>103</x:v>
      </x:c>
      <x:c r="U690" s="2"/>
      <x:c r="V690" s="2"/>
      <x:c r="W690" s="2"/>
      <x:c r="X690" s="3"/>
      <x:c r="Y690" s="3"/>
      <x:c r="Z690" s="2"/>
      <x:c r="AA690" s="2"/>
      <x:c r="AB690" s="2" t="s">
        <x:v>394</x:v>
      </x:c>
      <x:c r="AC690" s="2"/>
      <x:c r="AD690" s="2"/>
      <x:c r="AE690" s="2"/>
      <x:c r="AF690" s="2"/>
      <x:c r="AG690" s="2" t="s">
        <x:v>428</x:v>
      </x:c>
      <x:c r="AH690" s="2"/>
      <x:c r="AI690" s="4"/>
      <x:c r="AJ690" s="2"/>
      <x:c r="AK690" s="2" t="s">
        <x:v>396</x:v>
      </x:c>
      <x:c r="AL690" s="2" t="s">
        <x:v>2857</x:v>
      </x:c>
      <x:c r="AM690" s="2">
        <x:v>70</x:v>
      </x:c>
      <x:c r="AN690" s="2">
        <x:v>70</x:v>
      </x:c>
    </x:row>
    <x:row r="691" ht="39">
      <x:c r="A691" s="2" t="s">
        <x:v>91</x:v>
      </x:c>
      <x:c r="B691" s="2" t="s">
        <x:v>17</x:v>
      </x:c>
      <x:c r="C691" s="3">
        <x:v>69</x:v>
      </x:c>
      <x:c r="D691" s="2" t="s">
        <x:v>2113</x:v>
      </x:c>
      <x:c r="E691" s="2" t="s">
        <x:v>2199</x:v>
      </x:c>
      <x:c r="F691" s="2" t="s">
        <x:v>423</x:v>
      </x:c>
      <x:c r="G691" s="2" t="s">
        <x:v>3011</x:v>
      </x:c>
      <x:c r="H691" s="2" t="s">
        <x:v>627</x:v>
      </x:c>
      <x:c r="I691" s="2" t="s">
        <x:v>2200</x:v>
      </x:c>
      <x:c r="J691" s="2" t="s">
        <x:v>2086</x:v>
      </x:c>
      <x:c r="K691" s="2" t="n">
        <x:v>68</x:v>
      </x:c>
      <x:c r="L691" s="2" t="s">
        <x:v>2201</x:v>
      </x:c>
      <x:c r="M691" s="2" t="s">
        <x:v>2087</x:v>
      </x:c>
      <x:c r="N691" s="2">
        <x:v>3</x:v>
      </x:c>
      <x:c r="O691" s="2" t="s">
        <x:v>2088</x:v>
      </x:c>
      <x:c r="P691" s="2" t="s">
        <x:v>2089</x:v>
      </x:c>
      <x:c r="Q691" s="2"/>
      <x:c r="R691" s="3">
        <x:v>4</x:v>
      </x:c>
      <x:c r="S691" s="3">
        <x:v>1</x:v>
      </x:c>
      <x:c r="T691" s="2" t="s">
        <x:v>103</x:v>
      </x:c>
      <x:c r="U691" s="2"/>
      <x:c r="V691" s="2"/>
      <x:c r="W691" s="2"/>
      <x:c r="X691" s="3"/>
      <x:c r="Y691" s="3"/>
      <x:c r="Z691" s="2"/>
      <x:c r="AA691" s="2"/>
      <x:c r="AB691" s="2" t="s">
        <x:v>2090</x:v>
      </x:c>
      <x:c r="AC691" s="2"/>
      <x:c r="AD691" s="2"/>
      <x:c r="AE691" s="2"/>
      <x:c r="AF691" s="2"/>
      <x:c r="AG691" s="2" t="s">
        <x:v>428</x:v>
      </x:c>
      <x:c r="AH691" s="2"/>
      <x:c r="AI691" s="4"/>
      <x:c r="AJ691" s="2"/>
      <x:c r="AK691" s="2" t="s">
        <x:v>396</x:v>
      </x:c>
      <x:c r="AL691" s="2" t="s">
        <x:v>2857</x:v>
      </x:c>
      <x:c r="AM691" s="2">
        <x:v>71</x:v>
      </x:c>
      <x:c r="AN691" s="2">
        <x:v>71</x:v>
      </x:c>
    </x:row>
    <x:row r="692" ht="52">
      <x:c r="A692" s="2" t="s">
        <x:v>6</x:v>
      </x:c>
      <x:c r="B692" s="2" t="s">
        <x:v>17</x:v>
      </x:c>
      <x:c r="C692" s="3">
        <x:v>70</x:v>
      </x:c>
      <x:c r="D692" s="2" t="s">
        <x:v>2202</x:v>
      </x:c>
      <x:c r="E692" s="2" t="s">
        <x:v>2203</x:v>
      </x:c>
      <x:c r="F692" s="2" t="s">
        <x:v>237</x:v>
      </x:c>
      <x:c r="G692" s="2"/>
      <x:c r="H692" s="2" t="s">
        <x:v>618</x:v>
      </x:c>
      <x:c r="I692" s="2" t="s">
        <x:v>2205</x:v>
      </x:c>
      <x:c r="J692" s="2" t="s">
        <x:v>2145</x:v>
      </x:c>
      <x:c r="K692" s="2"/>
      <x:c r="L692" s="2" t="s">
        <x:v>2206</x:v>
      </x:c>
      <x:c r="M692" s="2" t="s">
        <x:v>2082</x:v>
      </x:c>
      <x:c r="N692" s="2">
        <x:v>3</x:v>
      </x:c>
      <x:c r="O692" s="2" t="s">
        <x:v>2083</x:v>
      </x:c>
      <x:c r="P692" s="2" t="s">
        <x:v>2084</x:v>
      </x:c>
      <x:c r="Q692" s="2"/>
      <x:c r="R692" s="3">
        <x:v>4</x:v>
      </x:c>
      <x:c r="S692" s="3">
        <x:v>1</x:v>
      </x:c>
      <x:c r="T692" s="2" t="s">
        <x:v>103</x:v>
      </x:c>
      <x:c r="U692" s="2"/>
      <x:c r="V692" s="2"/>
      <x:c r="W692" s="2"/>
      <x:c r="X692" s="3"/>
      <x:c r="Y692" s="3"/>
      <x:c r="Z692" s="2"/>
      <x:c r="AA692" s="2"/>
      <x:c r="AB692" s="2" t="s">
        <x:v>415</x:v>
      </x:c>
      <x:c r="AC692" s="2"/>
      <x:c r="AD692" s="2"/>
      <x:c r="AE692" s="2"/>
      <x:c r="AF692" s="2"/>
      <x:c r="AG692" s="2" t="s">
        <x:v>2036</x:v>
      </x:c>
      <x:c r="AH692" s="2"/>
      <x:c r="AI692" s="4"/>
      <x:c r="AJ692" s="2"/>
      <x:c r="AK692" s="2" t="s">
        <x:v>396</x:v>
      </x:c>
      <x:c r="AL692" s="2" t="s">
        <x:v>2857</x:v>
      </x:c>
      <x:c r="AM692" s="2">
        <x:v>72</x:v>
      </x:c>
      <x:c r="AN692" s="2">
        <x:v>72</x:v>
      </x:c>
    </x:row>
    <x:row r="693" ht="39">
      <x:c r="A693" s="2" t="s">
        <x:v>6</x:v>
      </x:c>
      <x:c r="B693" s="2" t="s">
        <x:v>17</x:v>
      </x:c>
      <x:c r="C693" s="3">
        <x:v>71</x:v>
      </x:c>
      <x:c r="D693" s="2" t="s">
        <x:v>1418</x:v>
      </x:c>
      <x:c r="E693" s="2" t="s">
        <x:v>2203</x:v>
      </x:c>
      <x:c r="F693" s="2" t="s">
        <x:v>237</x:v>
      </x:c>
      <x:c r="G693" s="2"/>
      <x:c r="H693" s="2" t="s">
        <x:v>627</x:v>
      </x:c>
      <x:c r="I693" s="2" t="s">
        <x:v>2205</x:v>
      </x:c>
      <x:c r="J693" s="2" t="s">
        <x:v>2086</x:v>
      </x:c>
      <x:c r="K693" s="2" t="n">
        <x:v>70</x:v>
      </x:c>
      <x:c r="L693" s="2" t="s">
        <x:v>2206</x:v>
      </x:c>
      <x:c r="M693" s="2" t="s">
        <x:v>2087</x:v>
      </x:c>
      <x:c r="N693" s="2">
        <x:v>3</x:v>
      </x:c>
      <x:c r="O693" s="2" t="s">
        <x:v>2088</x:v>
      </x:c>
      <x:c r="P693" s="2" t="s">
        <x:v>2089</x:v>
      </x:c>
      <x:c r="Q693" s="2"/>
      <x:c r="R693" s="3">
        <x:v>4</x:v>
      </x:c>
      <x:c r="S693" s="3">
        <x:v>1</x:v>
      </x:c>
      <x:c r="T693" s="2" t="s">
        <x:v>103</x:v>
      </x:c>
      <x:c r="U693" s="2"/>
      <x:c r="V693" s="2"/>
      <x:c r="W693" s="2"/>
      <x:c r="X693" s="3"/>
      <x:c r="Y693" s="3"/>
      <x:c r="Z693" s="2"/>
      <x:c r="AA693" s="2"/>
      <x:c r="AB693" s="2" t="s">
        <x:v>2090</x:v>
      </x:c>
      <x:c r="AC693" s="2"/>
      <x:c r="AD693" s="2"/>
      <x:c r="AE693" s="2"/>
      <x:c r="AF693" s="2"/>
      <x:c r="AG693" s="2" t="s">
        <x:v>2036</x:v>
      </x:c>
      <x:c r="AH693" s="2"/>
      <x:c r="AI693" s="4"/>
      <x:c r="AJ693" s="2"/>
      <x:c r="AK693" s="2" t="s">
        <x:v>396</x:v>
      </x:c>
      <x:c r="AL693" s="2" t="s">
        <x:v>2857</x:v>
      </x:c>
      <x:c r="AM693" s="2">
        <x:v>73</x:v>
      </x:c>
      <x:c r="AN693" s="2">
        <x:v>73</x:v>
      </x:c>
    </x:row>
    <x:row r="694" ht="52">
      <x:c r="A694" s="2" t="s">
        <x:v>6</x:v>
      </x:c>
      <x:c r="B694" s="2" t="s">
        <x:v>17</x:v>
      </x:c>
      <x:c r="C694" s="3">
        <x:v>72</x:v>
      </x:c>
      <x:c r="D694" s="2" t="s">
        <x:v>2207</x:v>
      </x:c>
      <x:c r="E694" s="2" t="s">
        <x:v>2208</x:v>
      </x:c>
      <x:c r="F694" s="2" t="s">
        <x:v>386</x:v>
      </x:c>
      <x:c r="G694" s="2"/>
      <x:c r="H694" s="2" t="s">
        <x:v>618</x:v>
      </x:c>
      <x:c r="I694" s="2" t="s">
        <x:v>2209</x:v>
      </x:c>
      <x:c r="J694" s="2" t="s">
        <x:v>2145</x:v>
      </x:c>
      <x:c r="K694" s="2"/>
      <x:c r="L694" s="2" t="s">
        <x:v>2210</x:v>
      </x:c>
      <x:c r="M694" s="2" t="s">
        <x:v>2082</x:v>
      </x:c>
      <x:c r="N694" s="2">
        <x:v>3</x:v>
      </x:c>
      <x:c r="O694" s="2" t="s">
        <x:v>2083</x:v>
      </x:c>
      <x:c r="P694" s="2" t="s">
        <x:v>2084</x:v>
      </x:c>
      <x:c r="Q694" s="2"/>
      <x:c r="R694" s="3">
        <x:v>4</x:v>
      </x:c>
      <x:c r="S694" s="3">
        <x:v>1</x:v>
      </x:c>
      <x:c r="T694" s="2" t="s">
        <x:v>103</x:v>
      </x:c>
      <x:c r="U694" s="2"/>
      <x:c r="V694" s="2"/>
      <x:c r="W694" s="2"/>
      <x:c r="X694" s="3"/>
      <x:c r="Y694" s="3"/>
      <x:c r="Z694" s="2"/>
      <x:c r="AA694" s="2"/>
      <x:c r="AB694" s="2" t="s">
        <x:v>427</x:v>
      </x:c>
      <x:c r="AC694" s="2"/>
      <x:c r="AD694" s="2"/>
      <x:c r="AE694" s="2"/>
      <x:c r="AF694" s="2"/>
      <x:c r="AG694" s="2" t="s">
        <x:v>395</x:v>
      </x:c>
      <x:c r="AH694" s="2"/>
      <x:c r="AI694" s="4"/>
      <x:c r="AJ694" s="2"/>
      <x:c r="AK694" s="2" t="s">
        <x:v>396</x:v>
      </x:c>
      <x:c r="AL694" s="2" t="s">
        <x:v>2857</x:v>
      </x:c>
      <x:c r="AM694" s="2">
        <x:v>74</x:v>
      </x:c>
      <x:c r="AN694" s="2">
        <x:v>74</x:v>
      </x:c>
    </x:row>
    <x:row r="695" ht="39">
      <x:c r="A695" s="2" t="s">
        <x:v>6</x:v>
      </x:c>
      <x:c r="B695" s="2" t="s">
        <x:v>17</x:v>
      </x:c>
      <x:c r="C695" s="3">
        <x:v>73</x:v>
      </x:c>
      <x:c r="D695" s="2" t="s">
        <x:v>2105</x:v>
      </x:c>
      <x:c r="E695" s="2" t="s">
        <x:v>2208</x:v>
      </x:c>
      <x:c r="F695" s="2" t="s">
        <x:v>386</x:v>
      </x:c>
      <x:c r="G695" s="2"/>
      <x:c r="H695" s="2" t="s">
        <x:v>627</x:v>
      </x:c>
      <x:c r="I695" s="2" t="s">
        <x:v>2209</x:v>
      </x:c>
      <x:c r="J695" s="2" t="s">
        <x:v>2086</x:v>
      </x:c>
      <x:c r="K695" s="2" t="n">
        <x:v>72</x:v>
      </x:c>
      <x:c r="L695" s="2" t="s">
        <x:v>2210</x:v>
      </x:c>
      <x:c r="M695" s="2" t="s">
        <x:v>2087</x:v>
      </x:c>
      <x:c r="N695" s="2">
        <x:v>3</x:v>
      </x:c>
      <x:c r="O695" s="2" t="s">
        <x:v>2088</x:v>
      </x:c>
      <x:c r="P695" s="2" t="s">
        <x:v>2089</x:v>
      </x:c>
      <x:c r="Q695" s="2"/>
      <x:c r="R695" s="3">
        <x:v>4</x:v>
      </x:c>
      <x:c r="S695" s="3">
        <x:v>1</x:v>
      </x:c>
      <x:c r="T695" s="2" t="s">
        <x:v>103</x:v>
      </x:c>
      <x:c r="U695" s="2"/>
      <x:c r="V695" s="2"/>
      <x:c r="W695" s="2"/>
      <x:c r="X695" s="3"/>
      <x:c r="Y695" s="3"/>
      <x:c r="Z695" s="2"/>
      <x:c r="AA695" s="2"/>
      <x:c r="AB695" s="2" t="s">
        <x:v>2090</x:v>
      </x:c>
      <x:c r="AC695" s="2"/>
      <x:c r="AD695" s="2"/>
      <x:c r="AE695" s="2"/>
      <x:c r="AF695" s="2"/>
      <x:c r="AG695" s="2" t="s">
        <x:v>395</x:v>
      </x:c>
      <x:c r="AH695" s="2"/>
      <x:c r="AI695" s="4"/>
      <x:c r="AJ695" s="2"/>
      <x:c r="AK695" s="2" t="s">
        <x:v>396</x:v>
      </x:c>
      <x:c r="AL695" s="2" t="s">
        <x:v>2857</x:v>
      </x:c>
      <x:c r="AM695" s="2">
        <x:v>75</x:v>
      </x:c>
      <x:c r="AN695" s="2">
        <x:v>75</x:v>
      </x:c>
    </x:row>
    <x:row r="696" ht="52">
      <x:c r="A696" s="2" t="s">
        <x:v>6</x:v>
      </x:c>
      <x:c r="B696" s="2" t="s">
        <x:v>17</x:v>
      </x:c>
      <x:c r="C696" s="3">
        <x:v>74</x:v>
      </x:c>
      <x:c r="D696" s="2" t="s">
        <x:v>2160</x:v>
      </x:c>
      <x:c r="E696" s="2" t="s">
        <x:v>2211</x:v>
      </x:c>
      <x:c r="F696" s="2" t="s">
        <x:v>423</x:v>
      </x:c>
      <x:c r="G696" s="2" t="s">
        <x:v>3012</x:v>
      </x:c>
      <x:c r="H696" s="2" t="s">
        <x:v>618</x:v>
      </x:c>
      <x:c r="I696" s="2" t="s">
        <x:v>2213</x:v>
      </x:c>
      <x:c r="J696" s="2" t="s">
        <x:v>2145</x:v>
      </x:c>
      <x:c r="K696" s="2"/>
      <x:c r="L696" s="2" t="s">
        <x:v>2214</x:v>
      </x:c>
      <x:c r="M696" s="2" t="s">
        <x:v>2082</x:v>
      </x:c>
      <x:c r="N696" s="2">
        <x:v>3</x:v>
      </x:c>
      <x:c r="O696" s="2" t="s">
        <x:v>2083</x:v>
      </x:c>
      <x:c r="P696" s="2" t="s">
        <x:v>2084</x:v>
      </x:c>
      <x:c r="Q696" s="2"/>
      <x:c r="R696" s="3">
        <x:v>5</x:v>
      </x:c>
      <x:c r="S696" s="3">
        <x:v>1</x:v>
      </x:c>
      <x:c r="T696" s="2" t="s">
        <x:v>103</x:v>
      </x:c>
      <x:c r="U696" s="2"/>
      <x:c r="V696" s="2"/>
      <x:c r="W696" s="2"/>
      <x:c r="X696" s="3"/>
      <x:c r="Y696" s="3"/>
      <x:c r="Z696" s="2"/>
      <x:c r="AA696" s="2"/>
      <x:c r="AB696" s="2" t="s">
        <x:v>394</x:v>
      </x:c>
      <x:c r="AC696" s="2"/>
      <x:c r="AD696" s="2"/>
      <x:c r="AE696" s="2"/>
      <x:c r="AF696" s="2"/>
      <x:c r="AG696" s="2" t="s">
        <x:v>428</x:v>
      </x:c>
      <x:c r="AH696" s="2"/>
      <x:c r="AI696" s="4"/>
      <x:c r="AJ696" s="2"/>
      <x:c r="AK696" s="2" t="s">
        <x:v>396</x:v>
      </x:c>
      <x:c r="AL696" s="2" t="s">
        <x:v>2857</x:v>
      </x:c>
      <x:c r="AM696" s="2">
        <x:v>76</x:v>
      </x:c>
      <x:c r="AN696" s="2">
        <x:v>76</x:v>
      </x:c>
    </x:row>
    <x:row r="697" ht="39">
      <x:c r="A697" s="2" t="s">
        <x:v>6</x:v>
      </x:c>
      <x:c r="B697" s="2" t="s">
        <x:v>17</x:v>
      </x:c>
      <x:c r="C697" s="3">
        <x:v>75</x:v>
      </x:c>
      <x:c r="D697" s="2" t="s">
        <x:v>2215</x:v>
      </x:c>
      <x:c r="E697" s="2" t="s">
        <x:v>2211</x:v>
      </x:c>
      <x:c r="F697" s="2" t="s">
        <x:v>423</x:v>
      </x:c>
      <x:c r="G697" s="2"/>
      <x:c r="H697" s="2" t="s">
        <x:v>627</x:v>
      </x:c>
      <x:c r="I697" s="2" t="s">
        <x:v>2213</x:v>
      </x:c>
      <x:c r="J697" s="2" t="s">
        <x:v>2086</x:v>
      </x:c>
      <x:c r="K697" s="2" t="n">
        <x:v>74</x:v>
      </x:c>
      <x:c r="L697" s="2" t="s">
        <x:v>2214</x:v>
      </x:c>
      <x:c r="M697" s="2" t="s">
        <x:v>2087</x:v>
      </x:c>
      <x:c r="N697" s="2">
        <x:v>3</x:v>
      </x:c>
      <x:c r="O697" s="2" t="s">
        <x:v>2088</x:v>
      </x:c>
      <x:c r="P697" s="2" t="s">
        <x:v>2089</x:v>
      </x:c>
      <x:c r="Q697" s="2"/>
      <x:c r="R697" s="3">
        <x:v>5</x:v>
      </x:c>
      <x:c r="S697" s="3">
        <x:v>1</x:v>
      </x:c>
      <x:c r="T697" s="2" t="s">
        <x:v>103</x:v>
      </x:c>
      <x:c r="U697" s="2"/>
      <x:c r="V697" s="2"/>
      <x:c r="W697" s="2"/>
      <x:c r="X697" s="3"/>
      <x:c r="Y697" s="3"/>
      <x:c r="Z697" s="2"/>
      <x:c r="AA697" s="2"/>
      <x:c r="AB697" s="2" t="s">
        <x:v>2090</x:v>
      </x:c>
      <x:c r="AC697" s="2"/>
      <x:c r="AD697" s="2"/>
      <x:c r="AE697" s="2"/>
      <x:c r="AF697" s="2"/>
      <x:c r="AG697" s="2" t="s">
        <x:v>428</x:v>
      </x:c>
      <x:c r="AH697" s="2"/>
      <x:c r="AI697" s="4"/>
      <x:c r="AJ697" s="2"/>
      <x:c r="AK697" s="2" t="s">
        <x:v>396</x:v>
      </x:c>
      <x:c r="AL697" s="2" t="s">
        <x:v>2857</x:v>
      </x:c>
      <x:c r="AM697" s="2">
        <x:v>77</x:v>
      </x:c>
      <x:c r="AN697" s="2">
        <x:v>77</x:v>
      </x:c>
    </x:row>
    <x:row r="698" ht="52">
      <x:c r="A698" s="2" t="s">
        <x:v>6</x:v>
      </x:c>
      <x:c r="B698" s="2" t="s">
        <x:v>17</x:v>
      </x:c>
      <x:c r="C698" s="3">
        <x:v>76</x:v>
      </x:c>
      <x:c r="D698" s="2" t="s">
        <x:v>2077</x:v>
      </x:c>
      <x:c r="E698" s="2" t="s">
        <x:v>2038</x:v>
      </x:c>
      <x:c r="F698" s="2" t="s">
        <x:v>2047</x:v>
      </x:c>
      <x:c r="G698" s="2"/>
      <x:c r="H698" s="2" t="s">
        <x:v>618</x:v>
      </x:c>
      <x:c r="I698" s="2" t="s">
        <x:v>2217</x:v>
      </x:c>
      <x:c r="J698" s="2" t="s">
        <x:v>2080</x:v>
      </x:c>
      <x:c r="K698" s="2"/>
      <x:c r="L698" s="2" t="s">
        <x:v>2218</x:v>
      </x:c>
      <x:c r="M698" s="2" t="s">
        <x:v>2082</x:v>
      </x:c>
      <x:c r="N698" s="2">
        <x:v>3</x:v>
      </x:c>
      <x:c r="O698" s="2" t="s">
        <x:v>2083</x:v>
      </x:c>
      <x:c r="P698" s="2" t="s">
        <x:v>2084</x:v>
      </x:c>
      <x:c r="Q698" s="2"/>
      <x:c r="R698" s="3">
        <x:v>3</x:v>
      </x:c>
      <x:c r="S698" s="3">
        <x:v>1</x:v>
      </x:c>
      <x:c r="T698" s="2" t="s">
        <x:v>103</x:v>
      </x:c>
      <x:c r="U698" s="2"/>
      <x:c r="V698" s="2"/>
      <x:c r="W698" s="2"/>
      <x:c r="X698" s="3"/>
      <x:c r="Y698" s="3"/>
      <x:c r="Z698" s="2"/>
      <x:c r="AA698" s="2"/>
      <x:c r="AB698" s="2" t="s">
        <x:v>415</x:v>
      </x:c>
      <x:c r="AC698" s="2"/>
      <x:c r="AD698" s="2"/>
      <x:c r="AE698" s="2"/>
      <x:c r="AF698" s="2"/>
      <x:c r="AG698" s="2" t="s">
        <x:v>2036</x:v>
      </x:c>
      <x:c r="AH698" s="2"/>
      <x:c r="AI698" s="4"/>
      <x:c r="AJ698" s="2"/>
      <x:c r="AK698" s="2" t="s">
        <x:v>396</x:v>
      </x:c>
      <x:c r="AL698" s="2" t="s">
        <x:v>2857</x:v>
      </x:c>
      <x:c r="AM698" s="2">
        <x:v>78</x:v>
      </x:c>
      <x:c r="AN698" s="2">
        <x:v>78</x:v>
      </x:c>
    </x:row>
    <x:row r="699" ht="39">
      <x:c r="A699" s="2" t="s">
        <x:v>6</x:v>
      </x:c>
      <x:c r="B699" s="2" t="s">
        <x:v>17</x:v>
      </x:c>
      <x:c r="C699" s="3">
        <x:v>77</x:v>
      </x:c>
      <x:c r="D699" s="2" t="s">
        <x:v>2171</x:v>
      </x:c>
      <x:c r="E699" s="2" t="s">
        <x:v>2038</x:v>
      </x:c>
      <x:c r="F699" s="2" t="s">
        <x:v>2047</x:v>
      </x:c>
      <x:c r="G699" s="2"/>
      <x:c r="H699" s="2" t="s">
        <x:v>627</x:v>
      </x:c>
      <x:c r="I699" s="2" t="s">
        <x:v>2217</x:v>
      </x:c>
      <x:c r="J699" s="2" t="s">
        <x:v>2086</x:v>
      </x:c>
      <x:c r="K699" s="2" t="n">
        <x:v>76</x:v>
      </x:c>
      <x:c r="L699" s="2" t="s">
        <x:v>2218</x:v>
      </x:c>
      <x:c r="M699" s="2" t="s">
        <x:v>2087</x:v>
      </x:c>
      <x:c r="N699" s="2">
        <x:v>3</x:v>
      </x:c>
      <x:c r="O699" s="2" t="s">
        <x:v>2088</x:v>
      </x:c>
      <x:c r="P699" s="2" t="s">
        <x:v>2089</x:v>
      </x:c>
      <x:c r="Q699" s="2"/>
      <x:c r="R699" s="3">
        <x:v>3</x:v>
      </x:c>
      <x:c r="S699" s="3">
        <x:v>1</x:v>
      </x:c>
      <x:c r="T699" s="2" t="s">
        <x:v>103</x:v>
      </x:c>
      <x:c r="U699" s="2"/>
      <x:c r="V699" s="2"/>
      <x:c r="W699" s="2"/>
      <x:c r="X699" s="3"/>
      <x:c r="Y699" s="3"/>
      <x:c r="Z699" s="2"/>
      <x:c r="AA699" s="2"/>
      <x:c r="AB699" s="2" t="s">
        <x:v>2090</x:v>
      </x:c>
      <x:c r="AC699" s="2"/>
      <x:c r="AD699" s="2"/>
      <x:c r="AE699" s="2"/>
      <x:c r="AF699" s="2"/>
      <x:c r="AG699" s="2" t="s">
        <x:v>2036</x:v>
      </x:c>
      <x:c r="AH699" s="2"/>
      <x:c r="AI699" s="4"/>
      <x:c r="AJ699" s="2"/>
      <x:c r="AK699" s="2" t="s">
        <x:v>396</x:v>
      </x:c>
      <x:c r="AL699" s="2" t="s">
        <x:v>2857</x:v>
      </x:c>
      <x:c r="AM699" s="2">
        <x:v>79</x:v>
      </x:c>
      <x:c r="AN699" s="2">
        <x:v>79</x:v>
      </x:c>
    </x:row>
    <x:row r="700" ht="52">
      <x:c r="A700" s="2" t="s">
        <x:v>6</x:v>
      </x:c>
      <x:c r="B700" s="2" t="s">
        <x:v>17</x:v>
      </x:c>
      <x:c r="C700" s="3">
        <x:v>78</x:v>
      </x:c>
      <x:c r="D700" s="2" t="s">
        <x:v>2102</x:v>
      </x:c>
      <x:c r="E700" s="2" t="s">
        <x:v>409</x:v>
      </x:c>
      <x:c r="F700" s="2" t="s">
        <x:v>410</x:v>
      </x:c>
      <x:c r="G700" s="2"/>
      <x:c r="H700" s="2" t="s">
        <x:v>618</x:v>
      </x:c>
      <x:c r="I700" s="2" t="s">
        <x:v>2219</x:v>
      </x:c>
      <x:c r="J700" s="2" t="s">
        <x:v>2080</x:v>
      </x:c>
      <x:c r="K700" s="2"/>
      <x:c r="L700" s="2" t="s">
        <x:v>2220</x:v>
      </x:c>
      <x:c r="M700" s="2" t="s">
        <x:v>2082</x:v>
      </x:c>
      <x:c r="N700" s="2">
        <x:v>3</x:v>
      </x:c>
      <x:c r="O700" s="2" t="s">
        <x:v>2083</x:v>
      </x:c>
      <x:c r="P700" s="2" t="s">
        <x:v>2084</x:v>
      </x:c>
      <x:c r="Q700" s="2"/>
      <x:c r="R700" s="3">
        <x:v>3</x:v>
      </x:c>
      <x:c r="S700" s="3">
        <x:v>1</x:v>
      </x:c>
      <x:c r="T700" s="2" t="s">
        <x:v>103</x:v>
      </x:c>
      <x:c r="U700" s="2"/>
      <x:c r="V700" s="2"/>
      <x:c r="W700" s="2"/>
      <x:c r="X700" s="3"/>
      <x:c r="Y700" s="3"/>
      <x:c r="Z700" s="2"/>
      <x:c r="AA700" s="2"/>
      <x:c r="AB700" s="2" t="s">
        <x:v>427</x:v>
      </x:c>
      <x:c r="AC700" s="2"/>
      <x:c r="AD700" s="2"/>
      <x:c r="AE700" s="2"/>
      <x:c r="AF700" s="2"/>
      <x:c r="AG700" s="2" t="s">
        <x:v>395</x:v>
      </x:c>
      <x:c r="AH700" s="2"/>
      <x:c r="AI700" s="4"/>
      <x:c r="AJ700" s="2"/>
      <x:c r="AK700" s="2" t="s">
        <x:v>396</x:v>
      </x:c>
      <x:c r="AL700" s="2" t="s">
        <x:v>2857</x:v>
      </x:c>
      <x:c r="AM700" s="2">
        <x:v>80</x:v>
      </x:c>
      <x:c r="AN700" s="2">
        <x:v>80</x:v>
      </x:c>
    </x:row>
    <x:row r="701" ht="39">
      <x:c r="A701" s="2" t="s">
        <x:v>6</x:v>
      </x:c>
      <x:c r="B701" s="2" t="s">
        <x:v>17</x:v>
      </x:c>
      <x:c r="C701" s="3">
        <x:v>79</x:v>
      </x:c>
      <x:c r="D701" s="2" t="s">
        <x:v>2221</x:v>
      </x:c>
      <x:c r="E701" s="2" t="s">
        <x:v>409</x:v>
      </x:c>
      <x:c r="F701" s="2" t="s">
        <x:v>410</x:v>
      </x:c>
      <x:c r="G701" s="2"/>
      <x:c r="H701" s="2" t="s">
        <x:v>627</x:v>
      </x:c>
      <x:c r="I701" s="2" t="s">
        <x:v>2219</x:v>
      </x:c>
      <x:c r="J701" s="2" t="s">
        <x:v>2086</x:v>
      </x:c>
      <x:c r="K701" s="2" t="n">
        <x:v>78</x:v>
      </x:c>
      <x:c r="L701" s="2" t="s">
        <x:v>2220</x:v>
      </x:c>
      <x:c r="M701" s="2" t="s">
        <x:v>2087</x:v>
      </x:c>
      <x:c r="N701" s="2">
        <x:v>3</x:v>
      </x:c>
      <x:c r="O701" s="2" t="s">
        <x:v>2088</x:v>
      </x:c>
      <x:c r="P701" s="2" t="s">
        <x:v>2089</x:v>
      </x:c>
      <x:c r="Q701" s="2"/>
      <x:c r="R701" s="3">
        <x:v>3</x:v>
      </x:c>
      <x:c r="S701" s="3">
        <x:v>1</x:v>
      </x:c>
      <x:c r="T701" s="2" t="s">
        <x:v>103</x:v>
      </x:c>
      <x:c r="U701" s="2"/>
      <x:c r="V701" s="2"/>
      <x:c r="W701" s="2"/>
      <x:c r="X701" s="3"/>
      <x:c r="Y701" s="3"/>
      <x:c r="Z701" s="2"/>
      <x:c r="AA701" s="2"/>
      <x:c r="AB701" s="2" t="s">
        <x:v>2090</x:v>
      </x:c>
      <x:c r="AC701" s="2"/>
      <x:c r="AD701" s="2"/>
      <x:c r="AE701" s="2"/>
      <x:c r="AF701" s="2"/>
      <x:c r="AG701" s="2" t="s">
        <x:v>395</x:v>
      </x:c>
      <x:c r="AH701" s="2"/>
      <x:c r="AI701" s="4"/>
      <x:c r="AJ701" s="2"/>
      <x:c r="AK701" s="2" t="s">
        <x:v>396</x:v>
      </x:c>
      <x:c r="AL701" s="2" t="s">
        <x:v>2857</x:v>
      </x:c>
      <x:c r="AM701" s="2">
        <x:v>81</x:v>
      </x:c>
      <x:c r="AN701" s="2">
        <x:v>81</x:v>
      </x:c>
    </x:row>
    <x:row r="702" ht="52">
      <x:c r="A702" s="2" t="s">
        <x:v>6</x:v>
      </x:c>
      <x:c r="B702" s="2" t="s">
        <x:v>17</x:v>
      </x:c>
      <x:c r="C702" s="3">
        <x:v>80</x:v>
      </x:c>
      <x:c r="D702" s="2" t="s">
        <x:v>2108</x:v>
      </x:c>
      <x:c r="E702" s="2" t="s">
        <x:v>2109</x:v>
      </x:c>
      <x:c r="F702" s="2" t="s">
        <x:v>431</x:v>
      </x:c>
      <x:c r="G702" s="2"/>
      <x:c r="H702" s="2" t="s">
        <x:v>618</x:v>
      </x:c>
      <x:c r="I702" s="2" t="s">
        <x:v>2224</x:v>
      </x:c>
      <x:c r="J702" s="2" t="s">
        <x:v>2080</x:v>
      </x:c>
      <x:c r="K702" s="2"/>
      <x:c r="L702" s="2" t="s">
        <x:v>2225</x:v>
      </x:c>
      <x:c r="M702" s="2" t="s">
        <x:v>2082</x:v>
      </x:c>
      <x:c r="N702" s="2">
        <x:v>4</x:v>
      </x:c>
      <x:c r="O702" s="2" t="s">
        <x:v>2083</x:v>
      </x:c>
      <x:c r="P702" s="2" t="s">
        <x:v>2084</x:v>
      </x:c>
      <x:c r="Q702" s="2"/>
      <x:c r="R702" s="3">
        <x:v>4</x:v>
      </x:c>
      <x:c r="S702" s="3">
        <x:v>1</x:v>
      </x:c>
      <x:c r="T702" s="2" t="s">
        <x:v>103</x:v>
      </x:c>
      <x:c r="U702" s="2"/>
      <x:c r="V702" s="2"/>
      <x:c r="W702" s="2"/>
      <x:c r="X702" s="3"/>
      <x:c r="Y702" s="3"/>
      <x:c r="Z702" s="2"/>
      <x:c r="AA702" s="2"/>
      <x:c r="AB702" s="2" t="s">
        <x:v>394</x:v>
      </x:c>
      <x:c r="AC702" s="2"/>
      <x:c r="AD702" s="2"/>
      <x:c r="AE702" s="2"/>
      <x:c r="AF702" s="2"/>
      <x:c r="AG702" s="2" t="s">
        <x:v>428</x:v>
      </x:c>
      <x:c r="AH702" s="2"/>
      <x:c r="AI702" s="4"/>
      <x:c r="AJ702" s="2"/>
      <x:c r="AK702" s="2" t="s">
        <x:v>396</x:v>
      </x:c>
      <x:c r="AL702" s="2" t="s">
        <x:v>2857</x:v>
      </x:c>
      <x:c r="AM702" s="2">
        <x:v>82</x:v>
      </x:c>
      <x:c r="AN702" s="2">
        <x:v>82</x:v>
      </x:c>
    </x:row>
    <x:row r="703" ht="52">
      <x:c r="A703" s="2" t="s">
        <x:v>6</x:v>
      </x:c>
      <x:c r="B703" s="2" t="s">
        <x:v>17</x:v>
      </x:c>
      <x:c r="C703" s="3">
        <x:v>81</x:v>
      </x:c>
      <x:c r="D703" s="2" t="s">
        <x:v>2118</x:v>
      </x:c>
      <x:c r="E703" s="2" t="s">
        <x:v>2226</x:v>
      </x:c>
      <x:c r="F703" s="2" t="s">
        <x:v>2047</x:v>
      </x:c>
      <x:c r="G703" s="2"/>
      <x:c r="H703" s="2" t="s">
        <x:v>618</x:v>
      </x:c>
      <x:c r="I703" s="2" t="s">
        <x:v>2227</x:v>
      </x:c>
      <x:c r="J703" s="2" t="s">
        <x:v>2120</x:v>
      </x:c>
      <x:c r="K703" s="2"/>
      <x:c r="L703" s="2" t="s">
        <x:v>2228</x:v>
      </x:c>
      <x:c r="M703" s="2" t="s">
        <x:v>2082</x:v>
      </x:c>
      <x:c r="N703" s="2">
        <x:v>4</x:v>
      </x:c>
      <x:c r="O703" s="2" t="s">
        <x:v>2083</x:v>
      </x:c>
      <x:c r="P703" s="2" t="s">
        <x:v>2084</x:v>
      </x:c>
      <x:c r="Q703" s="2"/>
      <x:c r="R703" s="3">
        <x:v>4</x:v>
      </x:c>
      <x:c r="S703" s="3">
        <x:v>1</x:v>
      </x:c>
      <x:c r="T703" s="2" t="s">
        <x:v>103</x:v>
      </x:c>
      <x:c r="U703" s="2"/>
      <x:c r="V703" s="2"/>
      <x:c r="W703" s="2"/>
      <x:c r="X703" s="3"/>
      <x:c r="Y703" s="3"/>
      <x:c r="Z703" s="2"/>
      <x:c r="AA703" s="2"/>
      <x:c r="AB703" s="2" t="s">
        <x:v>415</x:v>
      </x:c>
      <x:c r="AC703" s="2"/>
      <x:c r="AD703" s="2"/>
      <x:c r="AE703" s="2"/>
      <x:c r="AF703" s="2"/>
      <x:c r="AG703" s="2" t="s">
        <x:v>2036</x:v>
      </x:c>
      <x:c r="AH703" s="2"/>
      <x:c r="AI703" s="4"/>
      <x:c r="AJ703" s="2"/>
      <x:c r="AK703" s="2" t="s">
        <x:v>396</x:v>
      </x:c>
      <x:c r="AL703" s="2" t="s">
        <x:v>2857</x:v>
      </x:c>
      <x:c r="AM703" s="2">
        <x:v>83</x:v>
      </x:c>
      <x:c r="AN703" s="2">
        <x:v>83</x:v>
      </x:c>
    </x:row>
    <x:row r="704" ht="52">
      <x:c r="A704" s="2" t="s">
        <x:v>6</x:v>
      </x:c>
      <x:c r="B704" s="2" t="s">
        <x:v>17</x:v>
      </x:c>
      <x:c r="C704" s="3">
        <x:v>82</x:v>
      </x:c>
      <x:c r="D704" s="2" t="s">
        <x:v>2126</x:v>
      </x:c>
      <x:c r="E704" s="2" t="s">
        <x:v>2229</x:v>
      </x:c>
      <x:c r="F704" s="2" t="s">
        <x:v>410</x:v>
      </x:c>
      <x:c r="G704" s="2"/>
      <x:c r="H704" s="2" t="s">
        <x:v>618</x:v>
      </x:c>
      <x:c r="I704" s="2" t="s">
        <x:v>2230</x:v>
      </x:c>
      <x:c r="J704" s="2" t="s">
        <x:v>2120</x:v>
      </x:c>
      <x:c r="K704" s="2"/>
      <x:c r="L704" s="2" t="s">
        <x:v>2231</x:v>
      </x:c>
      <x:c r="M704" s="2" t="s">
        <x:v>2082</x:v>
      </x:c>
      <x:c r="N704" s="2">
        <x:v>4</x:v>
      </x:c>
      <x:c r="O704" s="2" t="s">
        <x:v>2083</x:v>
      </x:c>
      <x:c r="P704" s="2" t="s">
        <x:v>2084</x:v>
      </x:c>
      <x:c r="Q704" s="2"/>
      <x:c r="R704" s="3">
        <x:v>4</x:v>
      </x:c>
      <x:c r="S704" s="3">
        <x:v>1</x:v>
      </x:c>
      <x:c r="T704" s="2" t="s">
        <x:v>103</x:v>
      </x:c>
      <x:c r="U704" s="2"/>
      <x:c r="V704" s="2"/>
      <x:c r="W704" s="2"/>
      <x:c r="X704" s="3"/>
      <x:c r="Y704" s="3"/>
      <x:c r="Z704" s="2"/>
      <x:c r="AA704" s="2"/>
      <x:c r="AB704" s="2" t="s">
        <x:v>427</x:v>
      </x:c>
      <x:c r="AC704" s="2"/>
      <x:c r="AD704" s="2"/>
      <x:c r="AE704" s="2"/>
      <x:c r="AF704" s="2"/>
      <x:c r="AG704" s="2" t="s">
        <x:v>395</x:v>
      </x:c>
      <x:c r="AH704" s="2"/>
      <x:c r="AI704" s="4"/>
      <x:c r="AJ704" s="2"/>
      <x:c r="AK704" s="2" t="s">
        <x:v>396</x:v>
      </x:c>
      <x:c r="AL704" s="2" t="s">
        <x:v>2857</x:v>
      </x:c>
      <x:c r="AM704" s="2">
        <x:v>84</x:v>
      </x:c>
      <x:c r="AN704" s="2">
        <x:v>84</x:v>
      </x:c>
    </x:row>
    <x:row r="705" ht="52">
      <x:c r="A705" s="2" t="s">
        <x:v>91</x:v>
      </x:c>
      <x:c r="B705" s="2" t="s">
        <x:v>17</x:v>
      </x:c>
      <x:c r="C705" s="3">
        <x:v>83</x:v>
      </x:c>
      <x:c r="D705" s="2" t="s">
        <x:v>2134</x:v>
      </x:c>
      <x:c r="E705" s="2" t="s">
        <x:v>2232</x:v>
      </x:c>
      <x:c r="F705" s="2" t="s">
        <x:v>431</x:v>
      </x:c>
      <x:c r="G705" s="2" t="s">
        <x:v>3013</x:v>
      </x:c>
      <x:c r="H705" s="2" t="s">
        <x:v>618</x:v>
      </x:c>
      <x:c r="I705" s="2" t="s">
        <x:v>2233</x:v>
      </x:c>
      <x:c r="J705" s="2" t="s">
        <x:v>2120</x:v>
      </x:c>
      <x:c r="K705" s="2"/>
      <x:c r="L705" s="2" t="s">
        <x:v>2234</x:v>
      </x:c>
      <x:c r="M705" s="2" t="s">
        <x:v>2082</x:v>
      </x:c>
      <x:c r="N705" s="2">
        <x:v>4</x:v>
      </x:c>
      <x:c r="O705" s="2" t="s">
        <x:v>2083</x:v>
      </x:c>
      <x:c r="P705" s="2" t="s">
        <x:v>2084</x:v>
      </x:c>
      <x:c r="Q705" s="2"/>
      <x:c r="R705" s="3">
        <x:v>5</x:v>
      </x:c>
      <x:c r="S705" s="3">
        <x:v>1</x:v>
      </x:c>
      <x:c r="T705" s="2" t="s">
        <x:v>103</x:v>
      </x:c>
      <x:c r="U705" s="2"/>
      <x:c r="V705" s="2"/>
      <x:c r="W705" s="2"/>
      <x:c r="X705" s="3"/>
      <x:c r="Y705" s="3"/>
      <x:c r="Z705" s="2"/>
      <x:c r="AA705" s="2"/>
      <x:c r="AB705" s="2" t="s">
        <x:v>394</x:v>
      </x:c>
      <x:c r="AC705" s="2"/>
      <x:c r="AD705" s="2"/>
      <x:c r="AE705" s="2"/>
      <x:c r="AF705" s="2"/>
      <x:c r="AG705" s="2" t="s">
        <x:v>428</x:v>
      </x:c>
      <x:c r="AH705" s="2"/>
      <x:c r="AI705" s="4"/>
      <x:c r="AJ705" s="2"/>
      <x:c r="AK705" s="2" t="s">
        <x:v>396</x:v>
      </x:c>
      <x:c r="AL705" s="2" t="s">
        <x:v>2857</x:v>
      </x:c>
      <x:c r="AM705" s="2">
        <x:v>85</x:v>
      </x:c>
      <x:c r="AN705" s="2">
        <x:v>85</x:v>
      </x:c>
    </x:row>
    <x:row r="706" ht="52">
      <x:c r="A706" s="2" t="s">
        <x:v>91</x:v>
      </x:c>
      <x:c r="B706" s="2" t="s">
        <x:v>17</x:v>
      </x:c>
      <x:c r="C706" s="3">
        <x:v>84</x:v>
      </x:c>
      <x:c r="D706" s="2" t="s">
        <x:v>2141</x:v>
      </x:c>
      <x:c r="E706" s="2" t="s">
        <x:v>2142</x:v>
      </x:c>
      <x:c r="F706" s="2" t="s">
        <x:v>237</x:v>
      </x:c>
      <x:c r="G706" s="2" t="s">
        <x:v>3014</x:v>
      </x:c>
      <x:c r="H706" s="2" t="s">
        <x:v>618</x:v>
      </x:c>
      <x:c r="I706" s="2" t="s">
        <x:v>2236</x:v>
      </x:c>
      <x:c r="J706" s="2" t="s">
        <x:v>2145</x:v>
      </x:c>
      <x:c r="K706" s="2"/>
      <x:c r="L706" s="2" t="s">
        <x:v>2237</x:v>
      </x:c>
      <x:c r="M706" s="2" t="s">
        <x:v>2082</x:v>
      </x:c>
      <x:c r="N706" s="2">
        <x:v>4</x:v>
      </x:c>
      <x:c r="O706" s="2" t="s">
        <x:v>2083</x:v>
      </x:c>
      <x:c r="P706" s="2" t="s">
        <x:v>2084</x:v>
      </x:c>
      <x:c r="Q706" s="2"/>
      <x:c r="R706" s="3">
        <x:v>3</x:v>
      </x:c>
      <x:c r="S706" s="3">
        <x:v>1</x:v>
      </x:c>
      <x:c r="T706" s="2" t="s">
        <x:v>103</x:v>
      </x:c>
      <x:c r="U706" s="2"/>
      <x:c r="V706" s="2"/>
      <x:c r="W706" s="2"/>
      <x:c r="X706" s="3"/>
      <x:c r="Y706" s="3"/>
      <x:c r="Z706" s="2"/>
      <x:c r="AA706" s="2"/>
      <x:c r="AB706" s="2" t="s">
        <x:v>415</x:v>
      </x:c>
      <x:c r="AC706" s="2"/>
      <x:c r="AD706" s="2"/>
      <x:c r="AE706" s="2"/>
      <x:c r="AF706" s="2"/>
      <x:c r="AG706" s="2" t="s">
        <x:v>2036</x:v>
      </x:c>
      <x:c r="AH706" s="2"/>
      <x:c r="AI706" s="4"/>
      <x:c r="AJ706" s="2"/>
      <x:c r="AK706" s="2" t="s">
        <x:v>396</x:v>
      </x:c>
      <x:c r="AL706" s="2" t="s">
        <x:v>2857</x:v>
      </x:c>
      <x:c r="AM706" s="2">
        <x:v>86</x:v>
      </x:c>
      <x:c r="AN706" s="2">
        <x:v>86</x:v>
      </x:c>
    </x:row>
    <x:row r="707" ht="52">
      <x:c r="A707" s="2" t="s">
        <x:v>91</x:v>
      </x:c>
      <x:c r="B707" s="2" t="s">
        <x:v>17</x:v>
      </x:c>
      <x:c r="C707" s="3">
        <x:v>85</x:v>
      </x:c>
      <x:c r="D707" s="2" t="s">
        <x:v>2153</x:v>
      </x:c>
      <x:c r="E707" s="2" t="s">
        <x:v>2154</x:v>
      </x:c>
      <x:c r="F707" s="2" t="s">
        <x:v>386</x:v>
      </x:c>
      <x:c r="G707" s="2" t="s">
        <x:v>3015</x:v>
      </x:c>
      <x:c r="H707" s="2" t="s">
        <x:v>618</x:v>
      </x:c>
      <x:c r="I707" s="2" t="s">
        <x:v>2238</x:v>
      </x:c>
      <x:c r="J707" s="2" t="s">
        <x:v>2145</x:v>
      </x:c>
      <x:c r="K707" s="2"/>
      <x:c r="L707" s="2" t="s">
        <x:v>2239</x:v>
      </x:c>
      <x:c r="M707" s="2" t="s">
        <x:v>2082</x:v>
      </x:c>
      <x:c r="N707" s="2">
        <x:v>4</x:v>
      </x:c>
      <x:c r="O707" s="2" t="s">
        <x:v>2083</x:v>
      </x:c>
      <x:c r="P707" s="2" t="s">
        <x:v>2084</x:v>
      </x:c>
      <x:c r="Q707" s="2"/>
      <x:c r="R707" s="3">
        <x:v>3</x:v>
      </x:c>
      <x:c r="S707" s="3">
        <x:v>1</x:v>
      </x:c>
      <x:c r="T707" s="2" t="s">
        <x:v>103</x:v>
      </x:c>
      <x:c r="U707" s="2"/>
      <x:c r="V707" s="2"/>
      <x:c r="W707" s="2"/>
      <x:c r="X707" s="3"/>
      <x:c r="Y707" s="3"/>
      <x:c r="Z707" s="2"/>
      <x:c r="AA707" s="2"/>
      <x:c r="AB707" s="2" t="s">
        <x:v>427</x:v>
      </x:c>
      <x:c r="AC707" s="2"/>
      <x:c r="AD707" s="2"/>
      <x:c r="AE707" s="2"/>
      <x:c r="AF707" s="2"/>
      <x:c r="AG707" s="2" t="s">
        <x:v>395</x:v>
      </x:c>
      <x:c r="AH707" s="2"/>
      <x:c r="AI707" s="4"/>
      <x:c r="AJ707" s="2"/>
      <x:c r="AK707" s="2" t="s">
        <x:v>396</x:v>
      </x:c>
      <x:c r="AL707" s="2" t="s">
        <x:v>2857</x:v>
      </x:c>
      <x:c r="AM707" s="2">
        <x:v>87</x:v>
      </x:c>
      <x:c r="AN707" s="2">
        <x:v>87</x:v>
      </x:c>
    </x:row>
    <x:row r="708" ht="52">
      <x:c r="A708" s="2" t="s">
        <x:v>91</x:v>
      </x:c>
      <x:c r="B708" s="2" t="s">
        <x:v>17</x:v>
      </x:c>
      <x:c r="C708" s="3">
        <x:v>86</x:v>
      </x:c>
      <x:c r="D708" s="2" t="s">
        <x:v>2160</x:v>
      </x:c>
      <x:c r="E708" s="2" t="s">
        <x:v>2161</x:v>
      </x:c>
      <x:c r="F708" s="2" t="s">
        <x:v>423</x:v>
      </x:c>
      <x:c r="G708" s="2" t="s">
        <x:v>3016</x:v>
      </x:c>
      <x:c r="H708" s="2" t="s">
        <x:v>618</x:v>
      </x:c>
      <x:c r="I708" s="2" t="s">
        <x:v>2241</x:v>
      </x:c>
      <x:c r="J708" s="2" t="s">
        <x:v>2145</x:v>
      </x:c>
      <x:c r="K708" s="2"/>
      <x:c r="L708" s="2" t="s">
        <x:v>2242</x:v>
      </x:c>
      <x:c r="M708" s="2" t="s">
        <x:v>2082</x:v>
      </x:c>
      <x:c r="N708" s="2">
        <x:v>4</x:v>
      </x:c>
      <x:c r="O708" s="2" t="s">
        <x:v>2083</x:v>
      </x:c>
      <x:c r="P708" s="2" t="s">
        <x:v>2084</x:v>
      </x:c>
      <x:c r="Q708" s="2"/>
      <x:c r="R708" s="3">
        <x:v>4</x:v>
      </x:c>
      <x:c r="S708" s="3">
        <x:v>1</x:v>
      </x:c>
      <x:c r="T708" s="2" t="s">
        <x:v>103</x:v>
      </x:c>
      <x:c r="U708" s="2"/>
      <x:c r="V708" s="2"/>
      <x:c r="W708" s="2"/>
      <x:c r="X708" s="3"/>
      <x:c r="Y708" s="3"/>
      <x:c r="Z708" s="2"/>
      <x:c r="AA708" s="2"/>
      <x:c r="AB708" s="2" t="s">
        <x:v>394</x:v>
      </x:c>
      <x:c r="AC708" s="2"/>
      <x:c r="AD708" s="2"/>
      <x:c r="AE708" s="2"/>
      <x:c r="AF708" s="2"/>
      <x:c r="AG708" s="2" t="s">
        <x:v>428</x:v>
      </x:c>
      <x:c r="AH708" s="2"/>
      <x:c r="AI708" s="4"/>
      <x:c r="AJ708" s="2"/>
      <x:c r="AK708" s="2" t="s">
        <x:v>396</x:v>
      </x:c>
      <x:c r="AL708" s="2" t="s">
        <x:v>2857</x:v>
      </x:c>
      <x:c r="AM708" s="2">
        <x:v>88</x:v>
      </x:c>
      <x:c r="AN708" s="2">
        <x:v>88</x:v>
      </x:c>
    </x:row>
    <x:row r="709" ht="52">
      <x:c r="A709" s="2" t="s">
        <x:v>6</x:v>
      </x:c>
      <x:c r="B709" s="2" t="s">
        <x:v>17</x:v>
      </x:c>
      <x:c r="C709" s="3">
        <x:v>87</x:v>
      </x:c>
      <x:c r="D709" s="2" t="s">
        <x:v>2167</x:v>
      </x:c>
      <x:c r="E709" s="2" t="s">
        <x:v>2243</x:v>
      </x:c>
      <x:c r="F709" s="2" t="s">
        <x:v>237</x:v>
      </x:c>
      <x:c r="G709" s="2"/>
      <x:c r="H709" s="2" t="s">
        <x:v>618</x:v>
      </x:c>
      <x:c r="I709" s="2" t="s">
        <x:v>2244</x:v>
      </x:c>
      <x:c r="J709" s="2" t="s">
        <x:v>2080</x:v>
      </x:c>
      <x:c r="K709" s="2"/>
      <x:c r="L709" s="2" t="s">
        <x:v>2245</x:v>
      </x:c>
      <x:c r="M709" s="2" t="s">
        <x:v>2082</x:v>
      </x:c>
      <x:c r="N709" s="2">
        <x:v>4</x:v>
      </x:c>
      <x:c r="O709" s="2" t="s">
        <x:v>2083</x:v>
      </x:c>
      <x:c r="P709" s="2" t="s">
        <x:v>2084</x:v>
      </x:c>
      <x:c r="Q709" s="2"/>
      <x:c r="R709" s="3">
        <x:v>4</x:v>
      </x:c>
      <x:c r="S709" s="3">
        <x:v>1</x:v>
      </x:c>
      <x:c r="T709" s="2" t="s">
        <x:v>103</x:v>
      </x:c>
      <x:c r="U709" s="2"/>
      <x:c r="V709" s="2"/>
      <x:c r="W709" s="2"/>
      <x:c r="X709" s="3"/>
      <x:c r="Y709" s="3"/>
      <x:c r="Z709" s="2"/>
      <x:c r="AA709" s="2"/>
      <x:c r="AB709" s="2" t="s">
        <x:v>415</x:v>
      </x:c>
      <x:c r="AC709" s="2"/>
      <x:c r="AD709" s="2"/>
      <x:c r="AE709" s="2"/>
      <x:c r="AF709" s="2"/>
      <x:c r="AG709" s="2" t="s">
        <x:v>2036</x:v>
      </x:c>
      <x:c r="AH709" s="2"/>
      <x:c r="AI709" s="4"/>
      <x:c r="AJ709" s="2"/>
      <x:c r="AK709" s="2" t="s">
        <x:v>396</x:v>
      </x:c>
      <x:c r="AL709" s="2" t="s">
        <x:v>2857</x:v>
      </x:c>
      <x:c r="AM709" s="2">
        <x:v>89</x:v>
      </x:c>
      <x:c r="AN709" s="2">
        <x:v>89</x:v>
      </x:c>
    </x:row>
    <x:row r="710" ht="52">
      <x:c r="A710" s="2" t="s">
        <x:v>91</x:v>
      </x:c>
      <x:c r="B710" s="2" t="s">
        <x:v>17</x:v>
      </x:c>
      <x:c r="C710" s="3">
        <x:v>88</x:v>
      </x:c>
      <x:c r="D710" s="2" t="s">
        <x:v>2176</x:v>
      </x:c>
      <x:c r="E710" s="2" t="s">
        <x:v>2246</x:v>
      </x:c>
      <x:c r="F710" s="2" t="s">
        <x:v>386</x:v>
      </x:c>
      <x:c r="G710" s="2" t="s">
        <x:v>3017</x:v>
      </x:c>
      <x:c r="H710" s="2" t="s">
        <x:v>618</x:v>
      </x:c>
      <x:c r="I710" s="2" t="s">
        <x:v>2247</x:v>
      </x:c>
      <x:c r="J710" s="2" t="s">
        <x:v>2080</x:v>
      </x:c>
      <x:c r="K710" s="2"/>
      <x:c r="L710" s="2" t="s">
        <x:v>2248</x:v>
      </x:c>
      <x:c r="M710" s="2" t="s">
        <x:v>2082</x:v>
      </x:c>
      <x:c r="N710" s="2">
        <x:v>4</x:v>
      </x:c>
      <x:c r="O710" s="2" t="s">
        <x:v>2083</x:v>
      </x:c>
      <x:c r="P710" s="2" t="s">
        <x:v>2084</x:v>
      </x:c>
      <x:c r="Q710" s="2"/>
      <x:c r="R710" s="3">
        <x:v>4</x:v>
      </x:c>
      <x:c r="S710" s="3">
        <x:v>1</x:v>
      </x:c>
      <x:c r="T710" s="2" t="s">
        <x:v>103</x:v>
      </x:c>
      <x:c r="U710" s="2"/>
      <x:c r="V710" s="2"/>
      <x:c r="W710" s="2"/>
      <x:c r="X710" s="3"/>
      <x:c r="Y710" s="3"/>
      <x:c r="Z710" s="2"/>
      <x:c r="AA710" s="2"/>
      <x:c r="AB710" s="2" t="s">
        <x:v>427</x:v>
      </x:c>
      <x:c r="AC710" s="2"/>
      <x:c r="AD710" s="2"/>
      <x:c r="AE710" s="2"/>
      <x:c r="AF710" s="2"/>
      <x:c r="AG710" s="2" t="s">
        <x:v>395</x:v>
      </x:c>
      <x:c r="AH710" s="2"/>
      <x:c r="AI710" s="4"/>
      <x:c r="AJ710" s="2"/>
      <x:c r="AK710" s="2" t="s">
        <x:v>396</x:v>
      </x:c>
      <x:c r="AL710" s="2" t="s">
        <x:v>2857</x:v>
      </x:c>
      <x:c r="AM710" s="2">
        <x:v>90</x:v>
      </x:c>
      <x:c r="AN710" s="2">
        <x:v>90</x:v>
      </x:c>
    </x:row>
    <x:row r="711" ht="52">
      <x:c r="A711" s="2" t="s">
        <x:v>91</x:v>
      </x:c>
      <x:c r="B711" s="2" t="s">
        <x:v>17</x:v>
      </x:c>
      <x:c r="C711" s="3">
        <x:v>89</x:v>
      </x:c>
      <x:c r="D711" s="2" t="s">
        <x:v>2108</x:v>
      </x:c>
      <x:c r="E711" s="2" t="s">
        <x:v>2249</x:v>
      </x:c>
      <x:c r="F711" s="2" t="s">
        <x:v>423</x:v>
      </x:c>
      <x:c r="G711" s="2" t="s">
        <x:v>3018</x:v>
      </x:c>
      <x:c r="H711" s="2" t="s">
        <x:v>618</x:v>
      </x:c>
      <x:c r="I711" s="2" t="s">
        <x:v>2251</x:v>
      </x:c>
      <x:c r="J711" s="2" t="s">
        <x:v>2080</x:v>
      </x:c>
      <x:c r="K711" s="2"/>
      <x:c r="L711" s="2" t="s">
        <x:v>2252</x:v>
      </x:c>
      <x:c r="M711" s="2" t="s">
        <x:v>2082</x:v>
      </x:c>
      <x:c r="N711" s="2">
        <x:v>4</x:v>
      </x:c>
      <x:c r="O711" s="2" t="s">
        <x:v>2083</x:v>
      </x:c>
      <x:c r="P711" s="2" t="s">
        <x:v>2084</x:v>
      </x:c>
      <x:c r="Q711" s="2"/>
      <x:c r="R711" s="3">
        <x:v>5</x:v>
      </x:c>
      <x:c r="S711" s="3">
        <x:v>1</x:v>
      </x:c>
      <x:c r="T711" s="2" t="s">
        <x:v>103</x:v>
      </x:c>
      <x:c r="U711" s="2"/>
      <x:c r="V711" s="2"/>
      <x:c r="W711" s="2"/>
      <x:c r="X711" s="3"/>
      <x:c r="Y711" s="3"/>
      <x:c r="Z711" s="2"/>
      <x:c r="AA711" s="2"/>
      <x:c r="AB711" s="2" t="s">
        <x:v>394</x:v>
      </x:c>
      <x:c r="AC711" s="2"/>
      <x:c r="AD711" s="2"/>
      <x:c r="AE711" s="2"/>
      <x:c r="AF711" s="2"/>
      <x:c r="AG711" s="2" t="s">
        <x:v>428</x:v>
      </x:c>
      <x:c r="AH711" s="2"/>
      <x:c r="AI711" s="4"/>
      <x:c r="AJ711" s="2"/>
      <x:c r="AK711" s="2" t="s">
        <x:v>396</x:v>
      </x:c>
      <x:c r="AL711" s="2" t="s">
        <x:v>2857</x:v>
      </x:c>
      <x:c r="AM711" s="2">
        <x:v>91</x:v>
      </x:c>
      <x:c r="AN711" s="2">
        <x:v>91</x:v>
      </x:c>
    </x:row>
    <x:row r="712" ht="52">
      <x:c r="A712" s="2" t="s">
        <x:v>6</x:v>
      </x:c>
      <x:c r="B712" s="2" t="s">
        <x:v>17</x:v>
      </x:c>
      <x:c r="C712" s="3">
        <x:v>90</x:v>
      </x:c>
      <x:c r="D712" s="2" t="s">
        <x:v>2187</x:v>
      </x:c>
      <x:c r="E712" s="2" t="s">
        <x:v>2188</x:v>
      </x:c>
      <x:c r="F712" s="2" t="s">
        <x:v>2047</x:v>
      </x:c>
      <x:c r="G712" s="2"/>
      <x:c r="H712" s="2" t="s">
        <x:v>618</x:v>
      </x:c>
      <x:c r="I712" s="2" t="s">
        <x:v>2254</x:v>
      </x:c>
      <x:c r="J712" s="2" t="s">
        <x:v>2120</x:v>
      </x:c>
      <x:c r="K712" s="2"/>
      <x:c r="L712" s="2" t="s">
        <x:v>2255</x:v>
      </x:c>
      <x:c r="M712" s="2" t="s">
        <x:v>2082</x:v>
      </x:c>
      <x:c r="N712" s="2">
        <x:v>4</x:v>
      </x:c>
      <x:c r="O712" s="2" t="s">
        <x:v>2083</x:v>
      </x:c>
      <x:c r="P712" s="2" t="s">
        <x:v>2084</x:v>
      </x:c>
      <x:c r="Q712" s="2"/>
      <x:c r="R712" s="3">
        <x:v>3</x:v>
      </x:c>
      <x:c r="S712" s="3">
        <x:v>1</x:v>
      </x:c>
      <x:c r="T712" s="2" t="s">
        <x:v>103</x:v>
      </x:c>
      <x:c r="U712" s="2"/>
      <x:c r="V712" s="2"/>
      <x:c r="W712" s="2"/>
      <x:c r="X712" s="3"/>
      <x:c r="Y712" s="3"/>
      <x:c r="Z712" s="2"/>
      <x:c r="AA712" s="2"/>
      <x:c r="AB712" s="2" t="s">
        <x:v>415</x:v>
      </x:c>
      <x:c r="AC712" s="2"/>
      <x:c r="AD712" s="2"/>
      <x:c r="AE712" s="2"/>
      <x:c r="AF712" s="2"/>
      <x:c r="AG712" s="2" t="s">
        <x:v>2036</x:v>
      </x:c>
      <x:c r="AH712" s="2"/>
      <x:c r="AI712" s="4"/>
      <x:c r="AJ712" s="2"/>
      <x:c r="AK712" s="2" t="s">
        <x:v>396</x:v>
      </x:c>
      <x:c r="AL712" s="2" t="s">
        <x:v>2857</x:v>
      </x:c>
      <x:c r="AM712" s="2">
        <x:v>92</x:v>
      </x:c>
      <x:c r="AN712" s="2">
        <x:v>92</x:v>
      </x:c>
    </x:row>
    <x:row r="713" ht="52">
      <x:c r="A713" s="2" t="s">
        <x:v>6</x:v>
      </x:c>
      <x:c r="B713" s="2" t="s">
        <x:v>17</x:v>
      </x:c>
      <x:c r="C713" s="3">
        <x:v>91</x:v>
      </x:c>
      <x:c r="D713" s="2" t="s">
        <x:v>2192</x:v>
      </x:c>
      <x:c r="E713" s="2" t="s">
        <x:v>2193</x:v>
      </x:c>
      <x:c r="F713" s="2" t="s">
        <x:v>410</x:v>
      </x:c>
      <x:c r="G713" s="2"/>
      <x:c r="H713" s="2" t="s">
        <x:v>618</x:v>
      </x:c>
      <x:c r="I713" s="2" t="s">
        <x:v>2257</x:v>
      </x:c>
      <x:c r="J713" s="2" t="s">
        <x:v>2120</x:v>
      </x:c>
      <x:c r="K713" s="2"/>
      <x:c r="L713" s="2" t="s">
        <x:v>2258</x:v>
      </x:c>
      <x:c r="M713" s="2" t="s">
        <x:v>2082</x:v>
      </x:c>
      <x:c r="N713" s="2">
        <x:v>4</x:v>
      </x:c>
      <x:c r="O713" s="2" t="s">
        <x:v>2083</x:v>
      </x:c>
      <x:c r="P713" s="2" t="s">
        <x:v>2084</x:v>
      </x:c>
      <x:c r="Q713" s="2"/>
      <x:c r="R713" s="3">
        <x:v>3</x:v>
      </x:c>
      <x:c r="S713" s="3">
        <x:v>1</x:v>
      </x:c>
      <x:c r="T713" s="2" t="s">
        <x:v>103</x:v>
      </x:c>
      <x:c r="U713" s="2"/>
      <x:c r="V713" s="2"/>
      <x:c r="W713" s="2"/>
      <x:c r="X713" s="3"/>
      <x:c r="Y713" s="3"/>
      <x:c r="Z713" s="2"/>
      <x:c r="AA713" s="2"/>
      <x:c r="AB713" s="2" t="s">
        <x:v>427</x:v>
      </x:c>
      <x:c r="AC713" s="2"/>
      <x:c r="AD713" s="2"/>
      <x:c r="AE713" s="2"/>
      <x:c r="AF713" s="2"/>
      <x:c r="AG713" s="2" t="s">
        <x:v>395</x:v>
      </x:c>
      <x:c r="AH713" s="2"/>
      <x:c r="AI713" s="4"/>
      <x:c r="AJ713" s="2"/>
      <x:c r="AK713" s="2" t="s">
        <x:v>396</x:v>
      </x:c>
      <x:c r="AL713" s="2" t="s">
        <x:v>2857</x:v>
      </x:c>
      <x:c r="AM713" s="2">
        <x:v>93</x:v>
      </x:c>
      <x:c r="AN713" s="2">
        <x:v>93</x:v>
      </x:c>
    </x:row>
    <x:row r="714" ht="52">
      <x:c r="A714" s="2" t="s">
        <x:v>91</x:v>
      </x:c>
      <x:c r="B714" s="2" t="s">
        <x:v>17</x:v>
      </x:c>
      <x:c r="C714" s="3">
        <x:v>92</x:v>
      </x:c>
      <x:c r="D714" s="2" t="s">
        <x:v>2134</x:v>
      </x:c>
      <x:c r="E714" s="2" t="s">
        <x:v>2199</x:v>
      </x:c>
      <x:c r="F714" s="2" t="s">
        <x:v>431</x:v>
      </x:c>
      <x:c r="G714" s="2" t="s">
        <x:v>1276</x:v>
      </x:c>
      <x:c r="H714" s="2" t="s">
        <x:v>618</x:v>
      </x:c>
      <x:c r="I714" s="2" t="s">
        <x:v>2259</x:v>
      </x:c>
      <x:c r="J714" s="2" t="s">
        <x:v>2120</x:v>
      </x:c>
      <x:c r="K714" s="2"/>
      <x:c r="L714" s="2" t="s">
        <x:v>2260</x:v>
      </x:c>
      <x:c r="M714" s="2" t="s">
        <x:v>2082</x:v>
      </x:c>
      <x:c r="N714" s="2">
        <x:v>4</x:v>
      </x:c>
      <x:c r="O714" s="2" t="s">
        <x:v>2083</x:v>
      </x:c>
      <x:c r="P714" s="2" t="s">
        <x:v>2084</x:v>
      </x:c>
      <x:c r="Q714" s="2"/>
      <x:c r="R714" s="3">
        <x:v>4</x:v>
      </x:c>
      <x:c r="S714" s="3">
        <x:v>1</x:v>
      </x:c>
      <x:c r="T714" s="2" t="s">
        <x:v>103</x:v>
      </x:c>
      <x:c r="U714" s="2"/>
      <x:c r="V714" s="2"/>
      <x:c r="W714" s="2"/>
      <x:c r="X714" s="3"/>
      <x:c r="Y714" s="3"/>
      <x:c r="Z714" s="2"/>
      <x:c r="AA714" s="2"/>
      <x:c r="AB714" s="2" t="s">
        <x:v>394</x:v>
      </x:c>
      <x:c r="AC714" s="2"/>
      <x:c r="AD714" s="2"/>
      <x:c r="AE714" s="2"/>
      <x:c r="AF714" s="2"/>
      <x:c r="AG714" s="2" t="s">
        <x:v>428</x:v>
      </x:c>
      <x:c r="AH714" s="2"/>
      <x:c r="AI714" s="4"/>
      <x:c r="AJ714" s="2"/>
      <x:c r="AK714" s="2" t="s">
        <x:v>396</x:v>
      </x:c>
      <x:c r="AL714" s="2" t="s">
        <x:v>2857</x:v>
      </x:c>
      <x:c r="AM714" s="2">
        <x:v>94</x:v>
      </x:c>
      <x:c r="AN714" s="2">
        <x:v>94</x:v>
      </x:c>
    </x:row>
    <x:row r="715" ht="52">
      <x:c r="A715" s="2" t="s">
        <x:v>6</x:v>
      </x:c>
      <x:c r="B715" s="2" t="s">
        <x:v>17</x:v>
      </x:c>
      <x:c r="C715" s="3">
        <x:v>93</x:v>
      </x:c>
      <x:c r="D715" s="2" t="s">
        <x:v>2202</x:v>
      </x:c>
      <x:c r="E715" s="2" t="s">
        <x:v>2261</x:v>
      </x:c>
      <x:c r="F715" s="2" t="s">
        <x:v>2047</x:v>
      </x:c>
      <x:c r="G715" s="2"/>
      <x:c r="H715" s="2" t="s">
        <x:v>618</x:v>
      </x:c>
      <x:c r="I715" s="2" t="s">
        <x:v>2262</x:v>
      </x:c>
      <x:c r="J715" s="2" t="s">
        <x:v>2145</x:v>
      </x:c>
      <x:c r="K715" s="2"/>
      <x:c r="L715" s="2" t="s">
        <x:v>2263</x:v>
      </x:c>
      <x:c r="M715" s="2" t="s">
        <x:v>2082</x:v>
      </x:c>
      <x:c r="N715" s="2">
        <x:v>4</x:v>
      </x:c>
      <x:c r="O715" s="2" t="s">
        <x:v>2083</x:v>
      </x:c>
      <x:c r="P715" s="2" t="s">
        <x:v>2084</x:v>
      </x:c>
      <x:c r="Q715" s="2"/>
      <x:c r="R715" s="3">
        <x:v>4</x:v>
      </x:c>
      <x:c r="S715" s="3">
        <x:v>1</x:v>
      </x:c>
      <x:c r="T715" s="2" t="s">
        <x:v>103</x:v>
      </x:c>
      <x:c r="U715" s="2"/>
      <x:c r="V715" s="2"/>
      <x:c r="W715" s="2"/>
      <x:c r="X715" s="3"/>
      <x:c r="Y715" s="3"/>
      <x:c r="Z715" s="2"/>
      <x:c r="AA715" s="2"/>
      <x:c r="AB715" s="2" t="s">
        <x:v>415</x:v>
      </x:c>
      <x:c r="AC715" s="2"/>
      <x:c r="AD715" s="2"/>
      <x:c r="AE715" s="2"/>
      <x:c r="AF715" s="2"/>
      <x:c r="AG715" s="2" t="s">
        <x:v>2036</x:v>
      </x:c>
      <x:c r="AH715" s="2"/>
      <x:c r="AI715" s="4"/>
      <x:c r="AJ715" s="2"/>
      <x:c r="AK715" s="2" t="s">
        <x:v>396</x:v>
      </x:c>
      <x:c r="AL715" s="2" t="s">
        <x:v>2857</x:v>
      </x:c>
      <x:c r="AM715" s="2">
        <x:v>95</x:v>
      </x:c>
      <x:c r="AN715" s="2">
        <x:v>95</x:v>
      </x:c>
    </x:row>
    <x:row r="716" ht="52">
      <x:c r="A716" s="2" t="s">
        <x:v>91</x:v>
      </x:c>
      <x:c r="B716" s="2" t="s">
        <x:v>17</x:v>
      </x:c>
      <x:c r="C716" s="3">
        <x:v>94</x:v>
      </x:c>
      <x:c r="D716" s="2" t="s">
        <x:v>2207</x:v>
      </x:c>
      <x:c r="E716" s="2" t="s">
        <x:v>2264</x:v>
      </x:c>
      <x:c r="F716" s="2" t="s">
        <x:v>410</x:v>
      </x:c>
      <x:c r="G716" s="2" t="s">
        <x:v>2182</x:v>
      </x:c>
      <x:c r="H716" s="2" t="s">
        <x:v>618</x:v>
      </x:c>
      <x:c r="I716" s="2" t="s">
        <x:v>2265</x:v>
      </x:c>
      <x:c r="J716" s="2" t="s">
        <x:v>2145</x:v>
      </x:c>
      <x:c r="K716" s="2"/>
      <x:c r="L716" s="2" t="s">
        <x:v>2266</x:v>
      </x:c>
      <x:c r="M716" s="2" t="s">
        <x:v>2082</x:v>
      </x:c>
      <x:c r="N716" s="2">
        <x:v>4</x:v>
      </x:c>
      <x:c r="O716" s="2" t="s">
        <x:v>2083</x:v>
      </x:c>
      <x:c r="P716" s="2" t="s">
        <x:v>2084</x:v>
      </x:c>
      <x:c r="Q716" s="2"/>
      <x:c r="R716" s="3">
        <x:v>4</x:v>
      </x:c>
      <x:c r="S716" s="3">
        <x:v>1</x:v>
      </x:c>
      <x:c r="T716" s="2" t="s">
        <x:v>103</x:v>
      </x:c>
      <x:c r="U716" s="2"/>
      <x:c r="V716" s="2"/>
      <x:c r="W716" s="2"/>
      <x:c r="X716" s="3"/>
      <x:c r="Y716" s="3"/>
      <x:c r="Z716" s="2"/>
      <x:c r="AA716" s="2"/>
      <x:c r="AB716" s="2" t="s">
        <x:v>427</x:v>
      </x:c>
      <x:c r="AC716" s="2"/>
      <x:c r="AD716" s="2"/>
      <x:c r="AE716" s="2"/>
      <x:c r="AF716" s="2"/>
      <x:c r="AG716" s="2" t="s">
        <x:v>395</x:v>
      </x:c>
      <x:c r="AH716" s="2"/>
      <x:c r="AI716" s="4"/>
      <x:c r="AJ716" s="2"/>
      <x:c r="AK716" s="2" t="s">
        <x:v>396</x:v>
      </x:c>
      <x:c r="AL716" s="2" t="s">
        <x:v>2857</x:v>
      </x:c>
      <x:c r="AM716" s="2">
        <x:v>96</x:v>
      </x:c>
      <x:c r="AN716" s="2">
        <x:v>96</x:v>
      </x:c>
    </x:row>
    <x:row r="717" ht="52">
      <x:c r="A717" s="2" t="s">
        <x:v>91</x:v>
      </x:c>
      <x:c r="B717" s="2" t="s">
        <x:v>17</x:v>
      </x:c>
      <x:c r="C717" s="3">
        <x:v>95</x:v>
      </x:c>
      <x:c r="D717" s="2" t="s">
        <x:v>2160</x:v>
      </x:c>
      <x:c r="E717" s="2" t="s">
        <x:v>2267</x:v>
      </x:c>
      <x:c r="F717" s="2" t="s">
        <x:v>431</x:v>
      </x:c>
      <x:c r="G717" s="2" t="s">
        <x:v>3019</x:v>
      </x:c>
      <x:c r="H717" s="2" t="s">
        <x:v>618</x:v>
      </x:c>
      <x:c r="I717" s="2" t="s">
        <x:v>2269</x:v>
      </x:c>
      <x:c r="J717" s="2" t="s">
        <x:v>2145</x:v>
      </x:c>
      <x:c r="K717" s="2"/>
      <x:c r="L717" s="2" t="s">
        <x:v>2270</x:v>
      </x:c>
      <x:c r="M717" s="2" t="s">
        <x:v>2082</x:v>
      </x:c>
      <x:c r="N717" s="2">
        <x:v>4</x:v>
      </x:c>
      <x:c r="O717" s="2" t="s">
        <x:v>2083</x:v>
      </x:c>
      <x:c r="P717" s="2" t="s">
        <x:v>2084</x:v>
      </x:c>
      <x:c r="Q717" s="2"/>
      <x:c r="R717" s="3">
        <x:v>5</x:v>
      </x:c>
      <x:c r="S717" s="3">
        <x:v>1</x:v>
      </x:c>
      <x:c r="T717" s="2" t="s">
        <x:v>103</x:v>
      </x:c>
      <x:c r="U717" s="2"/>
      <x:c r="V717" s="2"/>
      <x:c r="W717" s="2"/>
      <x:c r="X717" s="3"/>
      <x:c r="Y717" s="3"/>
      <x:c r="Z717" s="2"/>
      <x:c r="AA717" s="2"/>
      <x:c r="AB717" s="2" t="s">
        <x:v>394</x:v>
      </x:c>
      <x:c r="AC717" s="2"/>
      <x:c r="AD717" s="2"/>
      <x:c r="AE717" s="2"/>
      <x:c r="AF717" s="2"/>
      <x:c r="AG717" s="2" t="s">
        <x:v>428</x:v>
      </x:c>
      <x:c r="AH717" s="2"/>
      <x:c r="AI717" s="4"/>
      <x:c r="AJ717" s="2"/>
      <x:c r="AK717" s="2" t="s">
        <x:v>396</x:v>
      </x:c>
      <x:c r="AL717" s="2" t="s">
        <x:v>2857</x:v>
      </x:c>
      <x:c r="AM717" s="2">
        <x:v>97</x:v>
      </x:c>
      <x:c r="AN717" s="2">
        <x:v>97</x:v>
      </x:c>
    </x:row>
    <x:row r="718" ht="52">
      <x:c r="A718" s="2" t="s">
        <x:v>6</x:v>
      </x:c>
      <x:c r="B718" s="2" t="s">
        <x:v>17</x:v>
      </x:c>
      <x:c r="C718" s="3">
        <x:v>96</x:v>
      </x:c>
      <x:c r="D718" s="2" t="s">
        <x:v>2077</x:v>
      </x:c>
      <x:c r="E718" s="2" t="s">
        <x:v>2038</x:v>
      </x:c>
      <x:c r="F718" s="2" t="s">
        <x:v>237</x:v>
      </x:c>
      <x:c r="G718" s="2"/>
      <x:c r="H718" s="2" t="s">
        <x:v>618</x:v>
      </x:c>
      <x:c r="I718" s="2" t="s">
        <x:v>2271</x:v>
      </x:c>
      <x:c r="J718" s="2" t="s">
        <x:v>2080</x:v>
      </x:c>
      <x:c r="K718" s="2"/>
      <x:c r="L718" s="2" t="s">
        <x:v>2272</x:v>
      </x:c>
      <x:c r="M718" s="2" t="s">
        <x:v>2082</x:v>
      </x:c>
      <x:c r="N718" s="2">
        <x:v>4</x:v>
      </x:c>
      <x:c r="O718" s="2" t="s">
        <x:v>2083</x:v>
      </x:c>
      <x:c r="P718" s="2" t="s">
        <x:v>2084</x:v>
      </x:c>
      <x:c r="Q718" s="2"/>
      <x:c r="R718" s="3">
        <x:v>3</x:v>
      </x:c>
      <x:c r="S718" s="3">
        <x:v>1</x:v>
      </x:c>
      <x:c r="T718" s="2" t="s">
        <x:v>103</x:v>
      </x:c>
      <x:c r="U718" s="2"/>
      <x:c r="V718" s="2"/>
      <x:c r="W718" s="2"/>
      <x:c r="X718" s="3"/>
      <x:c r="Y718" s="3"/>
      <x:c r="Z718" s="2"/>
      <x:c r="AA718" s="2"/>
      <x:c r="AB718" s="2" t="s">
        <x:v>415</x:v>
      </x:c>
      <x:c r="AC718" s="2"/>
      <x:c r="AD718" s="2"/>
      <x:c r="AE718" s="2"/>
      <x:c r="AF718" s="2"/>
      <x:c r="AG718" s="2" t="s">
        <x:v>2036</x:v>
      </x:c>
      <x:c r="AH718" s="2"/>
      <x:c r="AI718" s="4"/>
      <x:c r="AJ718" s="2"/>
      <x:c r="AK718" s="2" t="s">
        <x:v>396</x:v>
      </x:c>
      <x:c r="AL718" s="2" t="s">
        <x:v>2857</x:v>
      </x:c>
      <x:c r="AM718" s="2">
        <x:v>98</x:v>
      </x:c>
      <x:c r="AN718" s="2">
        <x:v>98</x:v>
      </x:c>
    </x:row>
    <x:row r="719" ht="52">
      <x:c r="A719" s="2" t="s">
        <x:v>6</x:v>
      </x:c>
      <x:c r="B719" s="2" t="s">
        <x:v>17</x:v>
      </x:c>
      <x:c r="C719" s="3">
        <x:v>97</x:v>
      </x:c>
      <x:c r="D719" s="2" t="s">
        <x:v>2102</x:v>
      </x:c>
      <x:c r="E719" s="2" t="s">
        <x:v>409</x:v>
      </x:c>
      <x:c r="F719" s="2" t="s">
        <x:v>386</x:v>
      </x:c>
      <x:c r="G719" s="2"/>
      <x:c r="H719" s="2" t="s">
        <x:v>618</x:v>
      </x:c>
      <x:c r="I719" s="2" t="s">
        <x:v>2273</x:v>
      </x:c>
      <x:c r="J719" s="2" t="s">
        <x:v>2080</x:v>
      </x:c>
      <x:c r="K719" s="2"/>
      <x:c r="L719" s="2" t="s">
        <x:v>2274</x:v>
      </x:c>
      <x:c r="M719" s="2" t="s">
        <x:v>2082</x:v>
      </x:c>
      <x:c r="N719" s="2">
        <x:v>4</x:v>
      </x:c>
      <x:c r="O719" s="2" t="s">
        <x:v>2083</x:v>
      </x:c>
      <x:c r="P719" s="2" t="s">
        <x:v>2084</x:v>
      </x:c>
      <x:c r="Q719" s="2"/>
      <x:c r="R719" s="3">
        <x:v>3</x:v>
      </x:c>
      <x:c r="S719" s="3">
        <x:v>1</x:v>
      </x:c>
      <x:c r="T719" s="2" t="s">
        <x:v>103</x:v>
      </x:c>
      <x:c r="U719" s="2"/>
      <x:c r="V719" s="2"/>
      <x:c r="W719" s="2"/>
      <x:c r="X719" s="3"/>
      <x:c r="Y719" s="3"/>
      <x:c r="Z719" s="2"/>
      <x:c r="AA719" s="2"/>
      <x:c r="AB719" s="2" t="s">
        <x:v>427</x:v>
      </x:c>
      <x:c r="AC719" s="2"/>
      <x:c r="AD719" s="2"/>
      <x:c r="AE719" s="2"/>
      <x:c r="AF719" s="2"/>
      <x:c r="AG719" s="2" t="s">
        <x:v>395</x:v>
      </x:c>
      <x:c r="AH719" s="2"/>
      <x:c r="AI719" s="4"/>
      <x:c r="AJ719" s="2"/>
      <x:c r="AK719" s="2" t="s">
        <x:v>396</x:v>
      </x:c>
      <x:c r="AL719" s="2" t="s">
        <x:v>2857</x:v>
      </x:c>
      <x:c r="AM719" s="2">
        <x:v>99</x:v>
      </x:c>
      <x:c r="AN719" s="2">
        <x:v>99</x:v>
      </x:c>
    </x:row>
    <x:row r="720" ht="52">
      <x:c r="A720" s="2" t="s">
        <x:v>91</x:v>
      </x:c>
      <x:c r="B720" s="2" t="s">
        <x:v>17</x:v>
      </x:c>
      <x:c r="C720" s="3">
        <x:v>98</x:v>
      </x:c>
      <x:c r="D720" s="2" t="s">
        <x:v>2108</x:v>
      </x:c>
      <x:c r="E720" s="2" t="s">
        <x:v>2109</x:v>
      </x:c>
      <x:c r="F720" s="2" t="s">
        <x:v>423</x:v>
      </x:c>
      <x:c r="G720" s="2" t="s">
        <x:v>2031</x:v>
      </x:c>
      <x:c r="H720" s="2" t="s">
        <x:v>618</x:v>
      </x:c>
      <x:c r="I720" s="2" t="s">
        <x:v>2275</x:v>
      </x:c>
      <x:c r="J720" s="2" t="s">
        <x:v>2080</x:v>
      </x:c>
      <x:c r="K720" s="2"/>
      <x:c r="L720" s="2" t="s">
        <x:v>2276</x:v>
      </x:c>
      <x:c r="M720" s="2" t="s">
        <x:v>2082</x:v>
      </x:c>
      <x:c r="N720" s="2">
        <x:v>4</x:v>
      </x:c>
      <x:c r="O720" s="2" t="s">
        <x:v>2083</x:v>
      </x:c>
      <x:c r="P720" s="2" t="s">
        <x:v>2084</x:v>
      </x:c>
      <x:c r="Q720" s="2"/>
      <x:c r="R720" s="3">
        <x:v>4</x:v>
      </x:c>
      <x:c r="S720" s="3">
        <x:v>1</x:v>
      </x:c>
      <x:c r="T720" s="2" t="s">
        <x:v>103</x:v>
      </x:c>
      <x:c r="U720" s="2"/>
      <x:c r="V720" s="2"/>
      <x:c r="W720" s="2"/>
      <x:c r="X720" s="3"/>
      <x:c r="Y720" s="3"/>
      <x:c r="Z720" s="2"/>
      <x:c r="AA720" s="2"/>
      <x:c r="AB720" s="2" t="s">
        <x:v>394</x:v>
      </x:c>
      <x:c r="AC720" s="2"/>
      <x:c r="AD720" s="2"/>
      <x:c r="AE720" s="2"/>
      <x:c r="AF720" s="2"/>
      <x:c r="AG720" s="2" t="s">
        <x:v>428</x:v>
      </x:c>
      <x:c r="AH720" s="2"/>
      <x:c r="AI720" s="4"/>
      <x:c r="AJ720" s="2"/>
      <x:c r="AK720" s="2" t="s">
        <x:v>396</x:v>
      </x:c>
      <x:c r="AL720" s="2" t="s">
        <x:v>2857</x:v>
      </x:c>
      <x:c r="AM720" s="2">
        <x:v>100</x:v>
      </x:c>
      <x:c r="AN720" s="2">
        <x:v>100</x:v>
      </x:c>
    </x:row>
    <x:row r="721" ht="52">
      <x:c r="A721" s="2" t="s">
        <x:v>6</x:v>
      </x:c>
      <x:c r="B721" s="2" t="s">
        <x:v>17</x:v>
      </x:c>
      <x:c r="C721" s="3">
        <x:v>99</x:v>
      </x:c>
      <x:c r="D721" s="2" t="s">
        <x:v>2118</x:v>
      </x:c>
      <x:c r="E721" s="2" t="s">
        <x:v>2277</x:v>
      </x:c>
      <x:c r="F721" s="2" t="s">
        <x:v>237</x:v>
      </x:c>
      <x:c r="G721" s="2" t="s">
        <x:v>3020</x:v>
      </x:c>
      <x:c r="H721" s="2" t="s">
        <x:v>618</x:v>
      </x:c>
      <x:c r="I721" s="2" t="s">
        <x:v>2278</x:v>
      </x:c>
      <x:c r="J721" s="2" t="s">
        <x:v>2120</x:v>
      </x:c>
      <x:c r="K721" s="2"/>
      <x:c r="L721" s="2" t="s">
        <x:v>2081</x:v>
      </x:c>
      <x:c r="M721" s="2" t="s">
        <x:v>2082</x:v>
      </x:c>
      <x:c r="N721" s="2">
        <x:v>4</x:v>
      </x:c>
      <x:c r="O721" s="2" t="s">
        <x:v>2083</x:v>
      </x:c>
      <x:c r="P721" s="2" t="s">
        <x:v>2084</x:v>
      </x:c>
      <x:c r="Q721" s="2"/>
      <x:c r="R721" s="3">
        <x:v>4</x:v>
      </x:c>
      <x:c r="S721" s="3">
        <x:v>1</x:v>
      </x:c>
      <x:c r="T721" s="2" t="s">
        <x:v>103</x:v>
      </x:c>
      <x:c r="U721" s="2"/>
      <x:c r="V721" s="2"/>
      <x:c r="W721" s="2"/>
      <x:c r="X721" s="3"/>
      <x:c r="Y721" s="3"/>
      <x:c r="Z721" s="2"/>
      <x:c r="AA721" s="2"/>
      <x:c r="AB721" s="2" t="s">
        <x:v>415</x:v>
      </x:c>
      <x:c r="AC721" s="2"/>
      <x:c r="AD721" s="2"/>
      <x:c r="AE721" s="2"/>
      <x:c r="AF721" s="2"/>
      <x:c r="AG721" s="2" t="s">
        <x:v>2036</x:v>
      </x:c>
      <x:c r="AH721" s="2"/>
      <x:c r="AI721" s="4"/>
      <x:c r="AJ721" s="2"/>
      <x:c r="AK721" s="2" t="s">
        <x:v>396</x:v>
      </x:c>
      <x:c r="AL721" s="2" t="s">
        <x:v>2857</x:v>
      </x:c>
      <x:c r="AM721" s="2">
        <x:v>101</x:v>
      </x:c>
      <x:c r="AN721" s="2">
        <x:v>101</x:v>
      </x:c>
    </x:row>
    <x:row r="722" ht="52">
      <x:c r="A722" s="2" t="s">
        <x:v>6</x:v>
      </x:c>
      <x:c r="B722" s="2" t="s">
        <x:v>17</x:v>
      </x:c>
      <x:c r="C722" s="3">
        <x:v>100</x:v>
      </x:c>
      <x:c r="D722" s="2" t="s">
        <x:v>2126</x:v>
      </x:c>
      <x:c r="E722" s="2" t="s">
        <x:v>2279</x:v>
      </x:c>
      <x:c r="F722" s="2" t="s">
        <x:v>386</x:v>
      </x:c>
      <x:c r="G722" s="2"/>
      <x:c r="H722" s="2" t="s">
        <x:v>618</x:v>
      </x:c>
      <x:c r="I722" s="2" t="s">
        <x:v>2281</x:v>
      </x:c>
      <x:c r="J722" s="2" t="s">
        <x:v>2120</x:v>
      </x:c>
      <x:c r="K722" s="2"/>
      <x:c r="L722" s="2" t="s">
        <x:v>2282</x:v>
      </x:c>
      <x:c r="M722" s="2" t="s">
        <x:v>2082</x:v>
      </x:c>
      <x:c r="N722" s="2">
        <x:v>4</x:v>
      </x:c>
      <x:c r="O722" s="2" t="s">
        <x:v>2083</x:v>
      </x:c>
      <x:c r="P722" s="2" t="s">
        <x:v>2084</x:v>
      </x:c>
      <x:c r="Q722" s="2"/>
      <x:c r="R722" s="3">
        <x:v>4</x:v>
      </x:c>
      <x:c r="S722" s="3">
        <x:v>1</x:v>
      </x:c>
      <x:c r="T722" s="2" t="s">
        <x:v>103</x:v>
      </x:c>
      <x:c r="U722" s="2"/>
      <x:c r="V722" s="2"/>
      <x:c r="W722" s="2"/>
      <x:c r="X722" s="3"/>
      <x:c r="Y722" s="3"/>
      <x:c r="Z722" s="2"/>
      <x:c r="AA722" s="2"/>
      <x:c r="AB722" s="2" t="s">
        <x:v>427</x:v>
      </x:c>
      <x:c r="AC722" s="2"/>
      <x:c r="AD722" s="2"/>
      <x:c r="AE722" s="2"/>
      <x:c r="AF722" s="2"/>
      <x:c r="AG722" s="2" t="s">
        <x:v>395</x:v>
      </x:c>
      <x:c r="AH722" s="2"/>
      <x:c r="AI722" s="4"/>
      <x:c r="AJ722" s="2"/>
      <x:c r="AK722" s="2" t="s">
        <x:v>396</x:v>
      </x:c>
      <x:c r="AL722" s="2" t="s">
        <x:v>2857</x:v>
      </x:c>
      <x:c r="AM722" s="2">
        <x:v>102</x:v>
      </x:c>
      <x:c r="AN722" s="2">
        <x:v>102</x:v>
      </x:c>
    </x:row>
    <x:row r="723" ht="52">
      <x:c r="A723" s="2" t="s">
        <x:v>91</x:v>
      </x:c>
      <x:c r="B723" s="2" t="s">
        <x:v>17</x:v>
      </x:c>
      <x:c r="C723" s="3">
        <x:v>101</x:v>
      </x:c>
      <x:c r="D723" s="2" t="s">
        <x:v>2134</x:v>
      </x:c>
      <x:c r="E723" s="2" t="s">
        <x:v>2135</x:v>
      </x:c>
      <x:c r="F723" s="2" t="s">
        <x:v>423</x:v>
      </x:c>
      <x:c r="G723" s="2" t="s">
        <x:v>3021</x:v>
      </x:c>
      <x:c r="H723" s="2" t="s">
        <x:v>618</x:v>
      </x:c>
      <x:c r="I723" s="2" t="s">
        <x:v>2284</x:v>
      </x:c>
      <x:c r="J723" s="2" t="s">
        <x:v>2120</x:v>
      </x:c>
      <x:c r="K723" s="2"/>
      <x:c r="L723" s="2" t="s">
        <x:v>2285</x:v>
      </x:c>
      <x:c r="M723" s="2" t="s">
        <x:v>2082</x:v>
      </x:c>
      <x:c r="N723" s="2">
        <x:v>4</x:v>
      </x:c>
      <x:c r="O723" s="2" t="s">
        <x:v>2083</x:v>
      </x:c>
      <x:c r="P723" s="2" t="s">
        <x:v>2084</x:v>
      </x:c>
      <x:c r="Q723" s="2"/>
      <x:c r="R723" s="3">
        <x:v>5</x:v>
      </x:c>
      <x:c r="S723" s="3">
        <x:v>1</x:v>
      </x:c>
      <x:c r="T723" s="2" t="s">
        <x:v>103</x:v>
      </x:c>
      <x:c r="U723" s="2"/>
      <x:c r="V723" s="2"/>
      <x:c r="W723" s="2"/>
      <x:c r="X723" s="3"/>
      <x:c r="Y723" s="3"/>
      <x:c r="Z723" s="2"/>
      <x:c r="AA723" s="2"/>
      <x:c r="AB723" s="2" t="s">
        <x:v>394</x:v>
      </x:c>
      <x:c r="AC723" s="2"/>
      <x:c r="AD723" s="2"/>
      <x:c r="AE723" s="2"/>
      <x:c r="AF723" s="2"/>
      <x:c r="AG723" s="2" t="s">
        <x:v>428</x:v>
      </x:c>
      <x:c r="AH723" s="2"/>
      <x:c r="AI723" s="4"/>
      <x:c r="AJ723" s="2"/>
      <x:c r="AK723" s="2" t="s">
        <x:v>396</x:v>
      </x:c>
      <x:c r="AL723" s="2" t="s">
        <x:v>2857</x:v>
      </x:c>
      <x:c r="AM723" s="2">
        <x:v>103</x:v>
      </x:c>
      <x:c r="AN723" s="2">
        <x:v>103</x:v>
      </x:c>
    </x:row>
    <x:row r="724" ht="52">
      <x:c r="A724" s="2" t="s">
        <x:v>6</x:v>
      </x:c>
      <x:c r="B724" s="2" t="s">
        <x:v>17</x:v>
      </x:c>
      <x:c r="C724" s="3">
        <x:v>102</x:v>
      </x:c>
      <x:c r="D724" s="2" t="s">
        <x:v>2141</x:v>
      </x:c>
      <x:c r="E724" s="2" t="s">
        <x:v>2142</x:v>
      </x:c>
      <x:c r="F724" s="2" t="s">
        <x:v>2047</x:v>
      </x:c>
      <x:c r="G724" s="2"/>
      <x:c r="H724" s="2" t="s">
        <x:v>618</x:v>
      </x:c>
      <x:c r="I724" s="2" t="s">
        <x:v>2286</x:v>
      </x:c>
      <x:c r="J724" s="2" t="s">
        <x:v>2145</x:v>
      </x:c>
      <x:c r="K724" s="2"/>
      <x:c r="L724" s="2" t="s">
        <x:v>2287</x:v>
      </x:c>
      <x:c r="M724" s="2" t="s">
        <x:v>2082</x:v>
      </x:c>
      <x:c r="N724" s="2">
        <x:v>4</x:v>
      </x:c>
      <x:c r="O724" s="2" t="s">
        <x:v>2083</x:v>
      </x:c>
      <x:c r="P724" s="2" t="s">
        <x:v>2084</x:v>
      </x:c>
      <x:c r="Q724" s="2"/>
      <x:c r="R724" s="3">
        <x:v>3</x:v>
      </x:c>
      <x:c r="S724" s="3">
        <x:v>1</x:v>
      </x:c>
      <x:c r="T724" s="2" t="s">
        <x:v>103</x:v>
      </x:c>
      <x:c r="U724" s="2"/>
      <x:c r="V724" s="2"/>
      <x:c r="W724" s="2"/>
      <x:c r="X724" s="3"/>
      <x:c r="Y724" s="3"/>
      <x:c r="Z724" s="2"/>
      <x:c r="AA724" s="2"/>
      <x:c r="AB724" s="2" t="s">
        <x:v>415</x:v>
      </x:c>
      <x:c r="AC724" s="2"/>
      <x:c r="AD724" s="2"/>
      <x:c r="AE724" s="2"/>
      <x:c r="AF724" s="2"/>
      <x:c r="AG724" s="2" t="s">
        <x:v>2036</x:v>
      </x:c>
      <x:c r="AH724" s="2"/>
      <x:c r="AI724" s="4"/>
      <x:c r="AJ724" s="2"/>
      <x:c r="AK724" s="2" t="s">
        <x:v>396</x:v>
      </x:c>
      <x:c r="AL724" s="2" t="s">
        <x:v>2857</x:v>
      </x:c>
      <x:c r="AM724" s="2">
        <x:v>104</x:v>
      </x:c>
      <x:c r="AN724" s="2">
        <x:v>104</x:v>
      </x:c>
    </x:row>
    <x:row r="725" ht="52">
      <x:c r="A725" s="2" t="s">
        <x:v>91</x:v>
      </x:c>
      <x:c r="B725" s="2" t="s">
        <x:v>17</x:v>
      </x:c>
      <x:c r="C725" s="3">
        <x:v>103</x:v>
      </x:c>
      <x:c r="D725" s="2" t="s">
        <x:v>2153</x:v>
      </x:c>
      <x:c r="E725" s="2" t="s">
        <x:v>2154</x:v>
      </x:c>
      <x:c r="F725" s="2" t="s">
        <x:v>410</x:v>
      </x:c>
      <x:c r="G725" s="2" t="s">
        <x:v>3022</x:v>
      </x:c>
      <x:c r="H725" s="2" t="s">
        <x:v>618</x:v>
      </x:c>
      <x:c r="I725" s="2" t="s">
        <x:v>2288</x:v>
      </x:c>
      <x:c r="J725" s="2" t="s">
        <x:v>2145</x:v>
      </x:c>
      <x:c r="K725" s="2"/>
      <x:c r="L725" s="2" t="s">
        <x:v>2289</x:v>
      </x:c>
      <x:c r="M725" s="2" t="s">
        <x:v>2082</x:v>
      </x:c>
      <x:c r="N725" s="2">
        <x:v>4</x:v>
      </x:c>
      <x:c r="O725" s="2" t="s">
        <x:v>2083</x:v>
      </x:c>
      <x:c r="P725" s="2" t="s">
        <x:v>2084</x:v>
      </x:c>
      <x:c r="Q725" s="2"/>
      <x:c r="R725" s="3">
        <x:v>3</x:v>
      </x:c>
      <x:c r="S725" s="3">
        <x:v>1</x:v>
      </x:c>
      <x:c r="T725" s="2" t="s">
        <x:v>103</x:v>
      </x:c>
      <x:c r="U725" s="2"/>
      <x:c r="V725" s="2"/>
      <x:c r="W725" s="2"/>
      <x:c r="X725" s="3"/>
      <x:c r="Y725" s="3"/>
      <x:c r="Z725" s="2"/>
      <x:c r="AA725" s="2"/>
      <x:c r="AB725" s="2" t="s">
        <x:v>427</x:v>
      </x:c>
      <x:c r="AC725" s="2"/>
      <x:c r="AD725" s="2"/>
      <x:c r="AE725" s="2"/>
      <x:c r="AF725" s="2"/>
      <x:c r="AG725" s="2" t="s">
        <x:v>395</x:v>
      </x:c>
      <x:c r="AH725" s="2"/>
      <x:c r="AI725" s="4"/>
      <x:c r="AJ725" s="2"/>
      <x:c r="AK725" s="2" t="s">
        <x:v>396</x:v>
      </x:c>
      <x:c r="AL725" s="2" t="s">
        <x:v>2857</x:v>
      </x:c>
      <x:c r="AM725" s="2">
        <x:v>105</x:v>
      </x:c>
      <x:c r="AN725" s="2">
        <x:v>105</x:v>
      </x:c>
    </x:row>
    <x:row r="726" ht="52">
      <x:c r="A726" s="2" t="s">
        <x:v>91</x:v>
      </x:c>
      <x:c r="B726" s="2" t="s">
        <x:v>17</x:v>
      </x:c>
      <x:c r="C726" s="3">
        <x:v>104</x:v>
      </x:c>
      <x:c r="D726" s="2" t="s">
        <x:v>2160</x:v>
      </x:c>
      <x:c r="E726" s="2" t="s">
        <x:v>2161</x:v>
      </x:c>
      <x:c r="F726" s="2" t="s">
        <x:v>431</x:v>
      </x:c>
      <x:c r="G726" s="2" t="s">
        <x:v>3023</x:v>
      </x:c>
      <x:c r="H726" s="2" t="s">
        <x:v>618</x:v>
      </x:c>
      <x:c r="I726" s="2" t="s">
        <x:v>2290</x:v>
      </x:c>
      <x:c r="J726" s="2" t="s">
        <x:v>2145</x:v>
      </x:c>
      <x:c r="K726" s="2"/>
      <x:c r="L726" s="2" t="s">
        <x:v>2291</x:v>
      </x:c>
      <x:c r="M726" s="2" t="s">
        <x:v>2082</x:v>
      </x:c>
      <x:c r="N726" s="2">
        <x:v>4</x:v>
      </x:c>
      <x:c r="O726" s="2" t="s">
        <x:v>2083</x:v>
      </x:c>
      <x:c r="P726" s="2" t="s">
        <x:v>2084</x:v>
      </x:c>
      <x:c r="Q726" s="2"/>
      <x:c r="R726" s="3">
        <x:v>4</x:v>
      </x:c>
      <x:c r="S726" s="3">
        <x:v>1</x:v>
      </x:c>
      <x:c r="T726" s="2" t="s">
        <x:v>103</x:v>
      </x:c>
      <x:c r="U726" s="2"/>
      <x:c r="V726" s="2"/>
      <x:c r="W726" s="2"/>
      <x:c r="X726" s="3"/>
      <x:c r="Y726" s="3"/>
      <x:c r="Z726" s="2"/>
      <x:c r="AA726" s="2"/>
      <x:c r="AB726" s="2" t="s">
        <x:v>394</x:v>
      </x:c>
      <x:c r="AC726" s="2"/>
      <x:c r="AD726" s="2"/>
      <x:c r="AE726" s="2"/>
      <x:c r="AF726" s="2"/>
      <x:c r="AG726" s="2" t="s">
        <x:v>428</x:v>
      </x:c>
      <x:c r="AH726" s="2"/>
      <x:c r="AI726" s="4"/>
      <x:c r="AJ726" s="2"/>
      <x:c r="AK726" s="2" t="s">
        <x:v>396</x:v>
      </x:c>
      <x:c r="AL726" s="2" t="s">
        <x:v>2857</x:v>
      </x:c>
      <x:c r="AM726" s="2">
        <x:v>106</x:v>
      </x:c>
      <x:c r="AN726" s="2">
        <x:v>106</x:v>
      </x:c>
    </x:row>
    <x:row r="727" ht="52">
      <x:c r="A727" s="2" t="s">
        <x:v>91</x:v>
      </x:c>
      <x:c r="B727" s="2" t="s">
        <x:v>17</x:v>
      </x:c>
      <x:c r="C727" s="3">
        <x:v>105</x:v>
      </x:c>
      <x:c r="D727" s="2" t="s">
        <x:v>2167</x:v>
      </x:c>
      <x:c r="E727" s="2" t="s">
        <x:v>2292</x:v>
      </x:c>
      <x:c r="F727" s="2" t="s">
        <x:v>2047</x:v>
      </x:c>
      <x:c r="G727" s="2" t="s">
        <x:v>3024</x:v>
      </x:c>
      <x:c r="H727" s="2" t="s">
        <x:v>618</x:v>
      </x:c>
      <x:c r="I727" s="2" t="s">
        <x:v>2294</x:v>
      </x:c>
      <x:c r="J727" s="2" t="s">
        <x:v>2080</x:v>
      </x:c>
      <x:c r="K727" s="2"/>
      <x:c r="L727" s="2" t="s">
        <x:v>2295</x:v>
      </x:c>
      <x:c r="M727" s="2" t="s">
        <x:v>2082</x:v>
      </x:c>
      <x:c r="N727" s="2">
        <x:v>4</x:v>
      </x:c>
      <x:c r="O727" s="2" t="s">
        <x:v>2083</x:v>
      </x:c>
      <x:c r="P727" s="2" t="s">
        <x:v>2084</x:v>
      </x:c>
      <x:c r="Q727" s="2"/>
      <x:c r="R727" s="3">
        <x:v>4</x:v>
      </x:c>
      <x:c r="S727" s="3">
        <x:v>1</x:v>
      </x:c>
      <x:c r="T727" s="2" t="s">
        <x:v>103</x:v>
      </x:c>
      <x:c r="U727" s="2"/>
      <x:c r="V727" s="2"/>
      <x:c r="W727" s="2"/>
      <x:c r="X727" s="3"/>
      <x:c r="Y727" s="3"/>
      <x:c r="Z727" s="2"/>
      <x:c r="AA727" s="2"/>
      <x:c r="AB727" s="2" t="s">
        <x:v>415</x:v>
      </x:c>
      <x:c r="AC727" s="2"/>
      <x:c r="AD727" s="2"/>
      <x:c r="AE727" s="2"/>
      <x:c r="AF727" s="2"/>
      <x:c r="AG727" s="2" t="s">
        <x:v>2036</x:v>
      </x:c>
      <x:c r="AH727" s="2"/>
      <x:c r="AI727" s="4"/>
      <x:c r="AJ727" s="2"/>
      <x:c r="AK727" s="2" t="s">
        <x:v>396</x:v>
      </x:c>
      <x:c r="AL727" s="2" t="s">
        <x:v>2857</x:v>
      </x:c>
      <x:c r="AM727" s="2">
        <x:v>107</x:v>
      </x:c>
      <x:c r="AN727" s="2">
        <x:v>107</x:v>
      </x:c>
    </x:row>
    <x:row r="728" ht="52">
      <x:c r="A728" s="2" t="s">
        <x:v>6</x:v>
      </x:c>
      <x:c r="B728" s="2" t="s">
        <x:v>17</x:v>
      </x:c>
      <x:c r="C728" s="3">
        <x:v>106</x:v>
      </x:c>
      <x:c r="D728" s="2" t="s">
        <x:v>2176</x:v>
      </x:c>
      <x:c r="E728" s="2" t="s">
        <x:v>2296</x:v>
      </x:c>
      <x:c r="F728" s="2" t="s">
        <x:v>410</x:v>
      </x:c>
      <x:c r="G728" s="2"/>
      <x:c r="H728" s="2" t="s">
        <x:v>618</x:v>
      </x:c>
      <x:c r="I728" s="2" t="s">
        <x:v>2298</x:v>
      </x:c>
      <x:c r="J728" s="2" t="s">
        <x:v>2080</x:v>
      </x:c>
      <x:c r="K728" s="2"/>
      <x:c r="L728" s="2" t="s">
        <x:v>2156</x:v>
      </x:c>
      <x:c r="M728" s="2" t="s">
        <x:v>2082</x:v>
      </x:c>
      <x:c r="N728" s="2">
        <x:v>4</x:v>
      </x:c>
      <x:c r="O728" s="2" t="s">
        <x:v>2083</x:v>
      </x:c>
      <x:c r="P728" s="2" t="s">
        <x:v>2084</x:v>
      </x:c>
      <x:c r="Q728" s="2"/>
      <x:c r="R728" s="3">
        <x:v>4</x:v>
      </x:c>
      <x:c r="S728" s="3">
        <x:v>1</x:v>
      </x:c>
      <x:c r="T728" s="2" t="s">
        <x:v>103</x:v>
      </x:c>
      <x:c r="U728" s="2"/>
      <x:c r="V728" s="2"/>
      <x:c r="W728" s="2"/>
      <x:c r="X728" s="3"/>
      <x:c r="Y728" s="3"/>
      <x:c r="Z728" s="2"/>
      <x:c r="AA728" s="2"/>
      <x:c r="AB728" s="2" t="s">
        <x:v>427</x:v>
      </x:c>
      <x:c r="AC728" s="2"/>
      <x:c r="AD728" s="2"/>
      <x:c r="AE728" s="2"/>
      <x:c r="AF728" s="2"/>
      <x:c r="AG728" s="2" t="s">
        <x:v>395</x:v>
      </x:c>
      <x:c r="AH728" s="2"/>
      <x:c r="AI728" s="4"/>
      <x:c r="AJ728" s="2"/>
      <x:c r="AK728" s="2" t="s">
        <x:v>396</x:v>
      </x:c>
      <x:c r="AL728" s="2" t="s">
        <x:v>2857</x:v>
      </x:c>
      <x:c r="AM728" s="2">
        <x:v>108</x:v>
      </x:c>
      <x:c r="AN728" s="2">
        <x:v>108</x:v>
      </x:c>
    </x:row>
    <x:row r="729" ht="52">
      <x:c r="A729" s="2" t="s">
        <x:v>6</x:v>
      </x:c>
      <x:c r="B729" s="2" t="s">
        <x:v>17</x:v>
      </x:c>
      <x:c r="C729" s="3">
        <x:v>107</x:v>
      </x:c>
      <x:c r="D729" s="2" t="s">
        <x:v>2108</x:v>
      </x:c>
      <x:c r="E729" s="2" t="s">
        <x:v>2183</x:v>
      </x:c>
      <x:c r="F729" s="2" t="s">
        <x:v>431</x:v>
      </x:c>
      <x:c r="G729" s="2"/>
      <x:c r="H729" s="2" t="s">
        <x:v>618</x:v>
      </x:c>
      <x:c r="I729" s="2" t="s">
        <x:v>2299</x:v>
      </x:c>
      <x:c r="J729" s="2" t="s">
        <x:v>2080</x:v>
      </x:c>
      <x:c r="K729" s="2"/>
      <x:c r="L729" s="2" t="s">
        <x:v>2300</x:v>
      </x:c>
      <x:c r="M729" s="2" t="s">
        <x:v>2082</x:v>
      </x:c>
      <x:c r="N729" s="2">
        <x:v>4</x:v>
      </x:c>
      <x:c r="O729" s="2" t="s">
        <x:v>2083</x:v>
      </x:c>
      <x:c r="P729" s="2" t="s">
        <x:v>2084</x:v>
      </x:c>
      <x:c r="Q729" s="2"/>
      <x:c r="R729" s="3">
        <x:v>5</x:v>
      </x:c>
      <x:c r="S729" s="3">
        <x:v>1</x:v>
      </x:c>
      <x:c r="T729" s="2" t="s">
        <x:v>103</x:v>
      </x:c>
      <x:c r="U729" s="2"/>
      <x:c r="V729" s="2"/>
      <x:c r="W729" s="2"/>
      <x:c r="X729" s="3"/>
      <x:c r="Y729" s="3"/>
      <x:c r="Z729" s="2"/>
      <x:c r="AA729" s="2"/>
      <x:c r="AB729" s="2" t="s">
        <x:v>394</x:v>
      </x:c>
      <x:c r="AC729" s="2"/>
      <x:c r="AD729" s="2"/>
      <x:c r="AE729" s="2"/>
      <x:c r="AF729" s="2"/>
      <x:c r="AG729" s="2" t="s">
        <x:v>428</x:v>
      </x:c>
      <x:c r="AH729" s="2"/>
      <x:c r="AI729" s="4"/>
      <x:c r="AJ729" s="2"/>
      <x:c r="AK729" s="2" t="s">
        <x:v>396</x:v>
      </x:c>
      <x:c r="AL729" s="2" t="s">
        <x:v>2857</x:v>
      </x:c>
      <x:c r="AM729" s="2">
        <x:v>109</x:v>
      </x:c>
      <x:c r="AN729" s="2">
        <x:v>109</x:v>
      </x:c>
    </x:row>
    <x:row r="730" ht="52">
      <x:c r="A730" s="2" t="s">
        <x:v>6</x:v>
      </x:c>
      <x:c r="B730" s="2" t="s">
        <x:v>17</x:v>
      </x:c>
      <x:c r="C730" s="3">
        <x:v>108</x:v>
      </x:c>
      <x:c r="D730" s="2" t="s">
        <x:v>2187</x:v>
      </x:c>
      <x:c r="E730" s="2" t="s">
        <x:v>2301</x:v>
      </x:c>
      <x:c r="F730" s="2" t="s">
        <x:v>237</x:v>
      </x:c>
      <x:c r="G730" s="2"/>
      <x:c r="H730" s="2" t="s">
        <x:v>618</x:v>
      </x:c>
      <x:c r="I730" s="2" t="s">
        <x:v>2302</x:v>
      </x:c>
      <x:c r="J730" s="2" t="s">
        <x:v>2120</x:v>
      </x:c>
      <x:c r="K730" s="2"/>
      <x:c r="L730" s="2" t="s">
        <x:v>2121</x:v>
      </x:c>
      <x:c r="M730" s="2" t="s">
        <x:v>2082</x:v>
      </x:c>
      <x:c r="N730" s="2">
        <x:v>4</x:v>
      </x:c>
      <x:c r="O730" s="2" t="s">
        <x:v>2083</x:v>
      </x:c>
      <x:c r="P730" s="2" t="s">
        <x:v>2084</x:v>
      </x:c>
      <x:c r="Q730" s="2"/>
      <x:c r="R730" s="3">
        <x:v>4</x:v>
      </x:c>
      <x:c r="S730" s="3">
        <x:v>1</x:v>
      </x:c>
      <x:c r="T730" s="2" t="s">
        <x:v>103</x:v>
      </x:c>
      <x:c r="U730" s="2"/>
      <x:c r="V730" s="2"/>
      <x:c r="W730" s="2"/>
      <x:c r="X730" s="3"/>
      <x:c r="Y730" s="3"/>
      <x:c r="Z730" s="2"/>
      <x:c r="AA730" s="2"/>
      <x:c r="AB730" s="2" t="s">
        <x:v>415</x:v>
      </x:c>
      <x:c r="AC730" s="2"/>
      <x:c r="AD730" s="2"/>
      <x:c r="AE730" s="2"/>
      <x:c r="AF730" s="2"/>
      <x:c r="AG730" s="2" t="s">
        <x:v>2036</x:v>
      </x:c>
      <x:c r="AH730" s="2"/>
      <x:c r="AI730" s="4"/>
      <x:c r="AJ730" s="2"/>
      <x:c r="AK730" s="2" t="s">
        <x:v>396</x:v>
      </x:c>
      <x:c r="AL730" s="2" t="s">
        <x:v>2857</x:v>
      </x:c>
      <x:c r="AM730" s="2">
        <x:v>110</x:v>
      </x:c>
      <x:c r="AN730" s="2">
        <x:v>110</x:v>
      </x:c>
    </x:row>
    <x:row r="731" ht="52">
      <x:c r="A731" s="2" t="s">
        <x:v>6</x:v>
      </x:c>
      <x:c r="B731" s="2" t="s">
        <x:v>17</x:v>
      </x:c>
      <x:c r="C731" s="3">
        <x:v>109</x:v>
      </x:c>
      <x:c r="D731" s="2" t="s">
        <x:v>2192</x:v>
      </x:c>
      <x:c r="E731" s="2" t="s">
        <x:v>2303</x:v>
      </x:c>
      <x:c r="F731" s="2" t="s">
        <x:v>386</x:v>
      </x:c>
      <x:c r="G731" s="2"/>
      <x:c r="H731" s="2" t="s">
        <x:v>618</x:v>
      </x:c>
      <x:c r="I731" s="2" t="s">
        <x:v>2304</x:v>
      </x:c>
      <x:c r="J731" s="2" t="s">
        <x:v>2120</x:v>
      </x:c>
      <x:c r="K731" s="2"/>
      <x:c r="L731" s="2" t="s">
        <x:v>2104</x:v>
      </x:c>
      <x:c r="M731" s="2" t="s">
        <x:v>2082</x:v>
      </x:c>
      <x:c r="N731" s="2">
        <x:v>4</x:v>
      </x:c>
      <x:c r="O731" s="2" t="s">
        <x:v>2083</x:v>
      </x:c>
      <x:c r="P731" s="2" t="s">
        <x:v>2084</x:v>
      </x:c>
      <x:c r="Q731" s="2"/>
      <x:c r="R731" s="3">
        <x:v>4</x:v>
      </x:c>
      <x:c r="S731" s="3">
        <x:v>1</x:v>
      </x:c>
      <x:c r="T731" s="2" t="s">
        <x:v>103</x:v>
      </x:c>
      <x:c r="U731" s="2"/>
      <x:c r="V731" s="2"/>
      <x:c r="W731" s="2"/>
      <x:c r="X731" s="3"/>
      <x:c r="Y731" s="3"/>
      <x:c r="Z731" s="2"/>
      <x:c r="AA731" s="2"/>
      <x:c r="AB731" s="2" t="s">
        <x:v>427</x:v>
      </x:c>
      <x:c r="AC731" s="2"/>
      <x:c r="AD731" s="2"/>
      <x:c r="AE731" s="2"/>
      <x:c r="AF731" s="2"/>
      <x:c r="AG731" s="2" t="s">
        <x:v>395</x:v>
      </x:c>
      <x:c r="AH731" s="2"/>
      <x:c r="AI731" s="4"/>
      <x:c r="AJ731" s="2"/>
      <x:c r="AK731" s="2" t="s">
        <x:v>396</x:v>
      </x:c>
      <x:c r="AL731" s="2" t="s">
        <x:v>2857</x:v>
      </x:c>
      <x:c r="AM731" s="2">
        <x:v>111</x:v>
      </x:c>
      <x:c r="AN731" s="2">
        <x:v>111</x:v>
      </x:c>
    </x:row>
    <x:row r="732" ht="39">
      <x:c r="A732" s="2" t="s">
        <x:v>91</x:v>
      </x:c>
      <x:c r="B732" s="2" t="s">
        <x:v>17</x:v>
      </x:c>
      <x:c r="C732" s="3">
        <x:v>110</x:v>
      </x:c>
      <x:c r="D732" s="2" t="s">
        <x:v>2305</x:v>
      </x:c>
      <x:c r="E732" s="2" t="s">
        <x:v>2306</x:v>
      </x:c>
      <x:c r="F732" s="2" t="s">
        <x:v>469</x:v>
      </x:c>
      <x:c r="G732" s="2" t="s">
        <x:v>3025</x:v>
      </x:c>
      <x:c r="H732" s="2" t="s">
        <x:v>2307</x:v>
      </x:c>
      <x:c r="I732" s="2" t="s">
        <x:v>2308</x:v>
      </x:c>
      <x:c r="J732" s="2" t="s">
        <x:v>2309</x:v>
      </x:c>
      <x:c r="K732" s="2"/>
      <x:c r="L732" s="2" t="s">
        <x:v>2310</x:v>
      </x:c>
      <x:c r="M732" s="2" t="s">
        <x:v>2311</x:v>
      </x:c>
      <x:c r="N732" s="2">
        <x:v>5</x:v>
      </x:c>
      <x:c r="O732" s="2" t="s">
        <x:v>2312</x:v>
      </x:c>
      <x:c r="P732" s="2" t="s">
        <x:v>2313</x:v>
      </x:c>
      <x:c r="Q732" s="2"/>
      <x:c r="R732" s="3">
        <x:v>3</x:v>
      </x:c>
      <x:c r="S732" s="3">
        <x:v>1</x:v>
      </x:c>
      <x:c r="T732" s="2" t="s">
        <x:v>103</x:v>
      </x:c>
      <x:c r="U732" s="2"/>
      <x:c r="V732" s="2"/>
      <x:c r="W732" s="2"/>
      <x:c r="X732" s="3"/>
      <x:c r="Y732" s="3"/>
      <x:c r="Z732" s="2"/>
      <x:c r="AA732" s="2"/>
      <x:c r="AB732" s="2" t="s">
        <x:v>427</x:v>
      </x:c>
      <x:c r="AC732" s="2"/>
      <x:c r="AD732" s="2"/>
      <x:c r="AE732" s="2"/>
      <x:c r="AF732" s="2"/>
      <x:c r="AG732" s="2" t="s">
        <x:v>2314</x:v>
      </x:c>
      <x:c r="AH732" s="2"/>
      <x:c r="AI732" s="4"/>
      <x:c r="AJ732" s="2"/>
      <x:c r="AK732" s="2" t="s">
        <x:v>396</x:v>
      </x:c>
      <x:c r="AL732" s="2" t="s">
        <x:v>2857</x:v>
      </x:c>
      <x:c r="AM732" s="2">
        <x:v>112</x:v>
      </x:c>
      <x:c r="AN732" s="2">
        <x:v>112</x:v>
      </x:c>
    </x:row>
    <x:row r="733" ht="39">
      <x:c r="A733" s="2" t="s">
        <x:v>6</x:v>
      </x:c>
      <x:c r="B733" s="2" t="s">
        <x:v>17</x:v>
      </x:c>
      <x:c r="C733" s="3">
        <x:v>111</x:v>
      </x:c>
      <x:c r="D733" s="2" t="s">
        <x:v>2315</x:v>
      </x:c>
      <x:c r="E733" s="2" t="s">
        <x:v>2306</x:v>
      </x:c>
      <x:c r="F733" s="2" t="s">
        <x:v>344</x:v>
      </x:c>
      <x:c r="G733" s="2"/>
      <x:c r="H733" s="2" t="s">
        <x:v>2307</x:v>
      </x:c>
      <x:c r="I733" s="2" t="s">
        <x:v>2308</x:v>
      </x:c>
      <x:c r="J733" s="2" t="s">
        <x:v>2317</x:v>
      </x:c>
      <x:c r="K733" s="2" t="n">
        <x:v>110</x:v>
      </x:c>
      <x:c r="L733" s="2" t="s">
        <x:v>2318</x:v>
      </x:c>
      <x:c r="M733" s="2" t="s">
        <x:v>2311</x:v>
      </x:c>
      <x:c r="N733" s="2">
        <x:v>5</x:v>
      </x:c>
      <x:c r="O733" s="2" t="s">
        <x:v>2319</x:v>
      </x:c>
      <x:c r="P733" s="2" t="s">
        <x:v>2320</x:v>
      </x:c>
      <x:c r="Q733" s="2"/>
      <x:c r="R733" s="3">
        <x:v>3</x:v>
      </x:c>
      <x:c r="S733" s="3">
        <x:v>1</x:v>
      </x:c>
      <x:c r="T733" s="2" t="s">
        <x:v>103</x:v>
      </x:c>
      <x:c r="U733" s="2"/>
      <x:c r="V733" s="2"/>
      <x:c r="W733" s="2"/>
      <x:c r="X733" s="3"/>
      <x:c r="Y733" s="3"/>
      <x:c r="Z733" s="2"/>
      <x:c r="AA733" s="2"/>
      <x:c r="AB733" s="2" t="s">
        <x:v>415</x:v>
      </x:c>
      <x:c r="AC733" s="2"/>
      <x:c r="AD733" s="2"/>
      <x:c r="AE733" s="2"/>
      <x:c r="AF733" s="2"/>
      <x:c r="AG733" s="2" t="s">
        <x:v>2314</x:v>
      </x:c>
      <x:c r="AH733" s="2"/>
      <x:c r="AI733" s="4"/>
      <x:c r="AJ733" s="2"/>
      <x:c r="AK733" s="2" t="s">
        <x:v>396</x:v>
      </x:c>
      <x:c r="AL733" s="2" t="s">
        <x:v>2857</x:v>
      </x:c>
      <x:c r="AM733" s="2">
        <x:v>113</x:v>
      </x:c>
      <x:c r="AN733" s="2">
        <x:v>113</x:v>
      </x:c>
    </x:row>
    <x:row r="734" ht="39">
      <x:c r="A734" s="2" t="s">
        <x:v>6</x:v>
      </x:c>
      <x:c r="B734" s="2" t="s">
        <x:v>17</x:v>
      </x:c>
      <x:c r="C734" s="3">
        <x:v>112</x:v>
      </x:c>
      <x:c r="D734" s="2" t="s">
        <x:v>2321</x:v>
      </x:c>
      <x:c r="E734" s="2" t="s">
        <x:v>2322</x:v>
      </x:c>
      <x:c r="F734" s="2" t="s">
        <x:v>344</x:v>
      </x:c>
      <x:c r="G734" s="2"/>
      <x:c r="H734" s="2" t="s">
        <x:v>2307</x:v>
      </x:c>
      <x:c r="I734" s="2" t="s">
        <x:v>2324</x:v>
      </x:c>
      <x:c r="J734" s="2" t="s">
        <x:v>2309</x:v>
      </x:c>
      <x:c r="K734" s="2"/>
      <x:c r="L734" s="2" t="s">
        <x:v>2310</x:v>
      </x:c>
      <x:c r="M734" s="2" t="s">
        <x:v>2311</x:v>
      </x:c>
      <x:c r="N734" s="2">
        <x:v>5</x:v>
      </x:c>
      <x:c r="O734" s="2" t="s">
        <x:v>2312</x:v>
      </x:c>
      <x:c r="P734" s="2" t="s">
        <x:v>2313</x:v>
      </x:c>
      <x:c r="Q734" s="2"/>
      <x:c r="R734" s="3">
        <x:v>4</x:v>
      </x:c>
      <x:c r="S734" s="3">
        <x:v>1</x:v>
      </x:c>
      <x:c r="T734" s="2" t="s">
        <x:v>103</x:v>
      </x:c>
      <x:c r="U734" s="2"/>
      <x:c r="V734" s="2"/>
      <x:c r="W734" s="2"/>
      <x:c r="X734" s="3"/>
      <x:c r="Y734" s="3"/>
      <x:c r="Z734" s="2"/>
      <x:c r="AA734" s="2"/>
      <x:c r="AB734" s="2" t="s">
        <x:v>427</x:v>
      </x:c>
      <x:c r="AC734" s="2"/>
      <x:c r="AD734" s="2"/>
      <x:c r="AE734" s="2"/>
      <x:c r="AF734" s="2"/>
      <x:c r="AG734" s="2" t="s">
        <x:v>2314</x:v>
      </x:c>
      <x:c r="AH734" s="2"/>
      <x:c r="AI734" s="4"/>
      <x:c r="AJ734" s="2"/>
      <x:c r="AK734" s="2" t="s">
        <x:v>396</x:v>
      </x:c>
      <x:c r="AL734" s="2" t="s">
        <x:v>2857</x:v>
      </x:c>
      <x:c r="AM734" s="2">
        <x:v>114</x:v>
      </x:c>
      <x:c r="AN734" s="2">
        <x:v>114</x:v>
      </x:c>
    </x:row>
    <x:row r="735" ht="39">
      <x:c r="A735" s="2" t="s">
        <x:v>91</x:v>
      </x:c>
      <x:c r="B735" s="2" t="s">
        <x:v>17</x:v>
      </x:c>
      <x:c r="C735" s="3">
        <x:v>113</x:v>
      </x:c>
      <x:c r="D735" s="2" t="s">
        <x:v>2325</x:v>
      </x:c>
      <x:c r="E735" s="2" t="s">
        <x:v>2322</x:v>
      </x:c>
      <x:c r="F735" s="2" t="s">
        <x:v>469</x:v>
      </x:c>
      <x:c r="G735" s="2" t="s">
        <x:v>3025</x:v>
      </x:c>
      <x:c r="H735" s="2" t="s">
        <x:v>2307</x:v>
      </x:c>
      <x:c r="I735" s="2" t="s">
        <x:v>2324</x:v>
      </x:c>
      <x:c r="J735" s="2" t="s">
        <x:v>2317</x:v>
      </x:c>
      <x:c r="K735" s="2" t="n">
        <x:v>112</x:v>
      </x:c>
      <x:c r="L735" s="2" t="s">
        <x:v>2318</x:v>
      </x:c>
      <x:c r="M735" s="2" t="s">
        <x:v>2311</x:v>
      </x:c>
      <x:c r="N735" s="2">
        <x:v>5</x:v>
      </x:c>
      <x:c r="O735" s="2" t="s">
        <x:v>2319</x:v>
      </x:c>
      <x:c r="P735" s="2" t="s">
        <x:v>2320</x:v>
      </x:c>
      <x:c r="Q735" s="2"/>
      <x:c r="R735" s="3">
        <x:v>4</x:v>
      </x:c>
      <x:c r="S735" s="3">
        <x:v>1</x:v>
      </x:c>
      <x:c r="T735" s="2" t="s">
        <x:v>103</x:v>
      </x:c>
      <x:c r="U735" s="2"/>
      <x:c r="V735" s="2"/>
      <x:c r="W735" s="2"/>
      <x:c r="X735" s="3"/>
      <x:c r="Y735" s="3"/>
      <x:c r="Z735" s="2"/>
      <x:c r="AA735" s="2"/>
      <x:c r="AB735" s="2" t="s">
        <x:v>415</x:v>
      </x:c>
      <x:c r="AC735" s="2"/>
      <x:c r="AD735" s="2"/>
      <x:c r="AE735" s="2"/>
      <x:c r="AF735" s="2"/>
      <x:c r="AG735" s="2" t="s">
        <x:v>2314</x:v>
      </x:c>
      <x:c r="AH735" s="2"/>
      <x:c r="AI735" s="4"/>
      <x:c r="AJ735" s="2"/>
      <x:c r="AK735" s="2" t="s">
        <x:v>396</x:v>
      </x:c>
      <x:c r="AL735" s="2" t="s">
        <x:v>2857</x:v>
      </x:c>
      <x:c r="AM735" s="2">
        <x:v>115</x:v>
      </x:c>
      <x:c r="AN735" s="2">
        <x:v>115</x:v>
      </x:c>
    </x:row>
    <x:row r="736" ht="39">
      <x:c r="A736" s="2" t="s">
        <x:v>6</x:v>
      </x:c>
      <x:c r="B736" s="2" t="s">
        <x:v>17</x:v>
      </x:c>
      <x:c r="C736" s="3">
        <x:v>114</x:v>
      </x:c>
      <x:c r="D736" s="2" t="s">
        <x:v>2327</x:v>
      </x:c>
      <x:c r="E736" s="2" t="s">
        <x:v>2328</x:v>
      </x:c>
      <x:c r="F736" s="2" t="s">
        <x:v>469</x:v>
      </x:c>
      <x:c r="G736" s="2"/>
      <x:c r="H736" s="2" t="s">
        <x:v>2307</x:v>
      </x:c>
      <x:c r="I736" s="2" t="s">
        <x:v>2329</x:v>
      </x:c>
      <x:c r="J736" s="2" t="s">
        <x:v>2309</x:v>
      </x:c>
      <x:c r="K736" s="2"/>
      <x:c r="L736" s="2" t="s">
        <x:v>2310</x:v>
      </x:c>
      <x:c r="M736" s="2" t="s">
        <x:v>2311</x:v>
      </x:c>
      <x:c r="N736" s="2">
        <x:v>5</x:v>
      </x:c>
      <x:c r="O736" s="2" t="s">
        <x:v>2312</x:v>
      </x:c>
      <x:c r="P736" s="2" t="s">
        <x:v>2313</x:v>
      </x:c>
      <x:c r="Q736" s="2"/>
      <x:c r="R736" s="3">
        <x:v>3</x:v>
      </x:c>
      <x:c r="S736" s="3">
        <x:v>1</x:v>
      </x:c>
      <x:c r="T736" s="2" t="s">
        <x:v>103</x:v>
      </x:c>
      <x:c r="U736" s="2"/>
      <x:c r="V736" s="2"/>
      <x:c r="W736" s="2"/>
      <x:c r="X736" s="3"/>
      <x:c r="Y736" s="3"/>
      <x:c r="Z736" s="2"/>
      <x:c r="AA736" s="2"/>
      <x:c r="AB736" s="2" t="s">
        <x:v>427</x:v>
      </x:c>
      <x:c r="AC736" s="2"/>
      <x:c r="AD736" s="2"/>
      <x:c r="AE736" s="2"/>
      <x:c r="AF736" s="2"/>
      <x:c r="AG736" s="2" t="s">
        <x:v>2314</x:v>
      </x:c>
      <x:c r="AH736" s="2"/>
      <x:c r="AI736" s="4"/>
      <x:c r="AJ736" s="2"/>
      <x:c r="AK736" s="2" t="s">
        <x:v>396</x:v>
      </x:c>
      <x:c r="AL736" s="2" t="s">
        <x:v>2857</x:v>
      </x:c>
      <x:c r="AM736" s="2">
        <x:v>116</x:v>
      </x:c>
      <x:c r="AN736" s="2">
        <x:v>116</x:v>
      </x:c>
    </x:row>
    <x:row r="737" ht="39">
      <x:c r="A737" s="2" t="s">
        <x:v>6</x:v>
      </x:c>
      <x:c r="B737" s="2" t="s">
        <x:v>17</x:v>
      </x:c>
      <x:c r="C737" s="3">
        <x:v>115</x:v>
      </x:c>
      <x:c r="D737" s="2" t="s">
        <x:v>2330</x:v>
      </x:c>
      <x:c r="E737" s="2" t="s">
        <x:v>2328</x:v>
      </x:c>
      <x:c r="F737" s="2" t="s">
        <x:v>344</x:v>
      </x:c>
      <x:c r="G737" s="2"/>
      <x:c r="H737" s="2" t="s">
        <x:v>2307</x:v>
      </x:c>
      <x:c r="I737" s="2" t="s">
        <x:v>2329</x:v>
      </x:c>
      <x:c r="J737" s="2" t="s">
        <x:v>2317</x:v>
      </x:c>
      <x:c r="K737" s="2" t="n">
        <x:v>114</x:v>
      </x:c>
      <x:c r="L737" s="2" t="s">
        <x:v>2318</x:v>
      </x:c>
      <x:c r="M737" s="2" t="s">
        <x:v>2311</x:v>
      </x:c>
      <x:c r="N737" s="2">
        <x:v>5</x:v>
      </x:c>
      <x:c r="O737" s="2" t="s">
        <x:v>2319</x:v>
      </x:c>
      <x:c r="P737" s="2" t="s">
        <x:v>2320</x:v>
      </x:c>
      <x:c r="Q737" s="2"/>
      <x:c r="R737" s="3">
        <x:v>3</x:v>
      </x:c>
      <x:c r="S737" s="3">
        <x:v>1</x:v>
      </x:c>
      <x:c r="T737" s="2" t="s">
        <x:v>103</x:v>
      </x:c>
      <x:c r="U737" s="2"/>
      <x:c r="V737" s="2"/>
      <x:c r="W737" s="2"/>
      <x:c r="X737" s="3"/>
      <x:c r="Y737" s="3"/>
      <x:c r="Z737" s="2"/>
      <x:c r="AA737" s="2"/>
      <x:c r="AB737" s="2" t="s">
        <x:v>415</x:v>
      </x:c>
      <x:c r="AC737" s="2"/>
      <x:c r="AD737" s="2"/>
      <x:c r="AE737" s="2"/>
      <x:c r="AF737" s="2"/>
      <x:c r="AG737" s="2" t="s">
        <x:v>2314</x:v>
      </x:c>
      <x:c r="AH737" s="2"/>
      <x:c r="AI737" s="4"/>
      <x:c r="AJ737" s="2"/>
      <x:c r="AK737" s="2" t="s">
        <x:v>396</x:v>
      </x:c>
      <x:c r="AL737" s="2" t="s">
        <x:v>2857</x:v>
      </x:c>
      <x:c r="AM737" s="2">
        <x:v>117</x:v>
      </x:c>
      <x:c r="AN737" s="2">
        <x:v>117</x:v>
      </x:c>
    </x:row>
    <x:row r="738" ht="39">
      <x:c r="A738" s="2" t="s">
        <x:v>6</x:v>
      </x:c>
      <x:c r="B738" s="2" t="s">
        <x:v>17</x:v>
      </x:c>
      <x:c r="C738" s="3">
        <x:v>116</x:v>
      </x:c>
      <x:c r="D738" s="2" t="s">
        <x:v>2331</x:v>
      </x:c>
      <x:c r="E738" s="2" t="s">
        <x:v>2332</x:v>
      </x:c>
      <x:c r="F738" s="2" t="s">
        <x:v>344</x:v>
      </x:c>
      <x:c r="G738" s="2"/>
      <x:c r="H738" s="2" t="s">
        <x:v>2307</x:v>
      </x:c>
      <x:c r="I738" s="2" t="s">
        <x:v>2333</x:v>
      </x:c>
      <x:c r="J738" s="2" t="s">
        <x:v>2309</x:v>
      </x:c>
      <x:c r="K738" s="2"/>
      <x:c r="L738" s="2" t="s">
        <x:v>2310</x:v>
      </x:c>
      <x:c r="M738" s="2" t="s">
        <x:v>2311</x:v>
      </x:c>
      <x:c r="N738" s="2">
        <x:v>5</x:v>
      </x:c>
      <x:c r="O738" s="2" t="s">
        <x:v>2312</x:v>
      </x:c>
      <x:c r="P738" s="2" t="s">
        <x:v>2313</x:v>
      </x:c>
      <x:c r="Q738" s="2"/>
      <x:c r="R738" s="3">
        <x:v>4</x:v>
      </x:c>
      <x:c r="S738" s="3">
        <x:v>1</x:v>
      </x:c>
      <x:c r="T738" s="2" t="s">
        <x:v>103</x:v>
      </x:c>
      <x:c r="U738" s="2"/>
      <x:c r="V738" s="2"/>
      <x:c r="W738" s="2"/>
      <x:c r="X738" s="3"/>
      <x:c r="Y738" s="3"/>
      <x:c r="Z738" s="2"/>
      <x:c r="AA738" s="2"/>
      <x:c r="AB738" s="2" t="s">
        <x:v>427</x:v>
      </x:c>
      <x:c r="AC738" s="2"/>
      <x:c r="AD738" s="2"/>
      <x:c r="AE738" s="2"/>
      <x:c r="AF738" s="2"/>
      <x:c r="AG738" s="2" t="s">
        <x:v>2314</x:v>
      </x:c>
      <x:c r="AH738" s="2"/>
      <x:c r="AI738" s="4"/>
      <x:c r="AJ738" s="2"/>
      <x:c r="AK738" s="2" t="s">
        <x:v>396</x:v>
      </x:c>
      <x:c r="AL738" s="2" t="s">
        <x:v>2857</x:v>
      </x:c>
      <x:c r="AM738" s="2">
        <x:v>118</x:v>
      </x:c>
      <x:c r="AN738" s="2">
        <x:v>118</x:v>
      </x:c>
    </x:row>
    <x:row r="739" ht="39">
      <x:c r="A739" s="2" t="s">
        <x:v>91</x:v>
      </x:c>
      <x:c r="B739" s="2" t="s">
        <x:v>17</x:v>
      </x:c>
      <x:c r="C739" s="3">
        <x:v>117</x:v>
      </x:c>
      <x:c r="D739" s="2" t="s">
        <x:v>2334</x:v>
      </x:c>
      <x:c r="E739" s="2" t="s">
        <x:v>2332</x:v>
      </x:c>
      <x:c r="F739" s="2" t="s">
        <x:v>469</x:v>
      </x:c>
      <x:c r="G739" s="2" t="s">
        <x:v>3026</x:v>
      </x:c>
      <x:c r="H739" s="2" t="s">
        <x:v>2307</x:v>
      </x:c>
      <x:c r="I739" s="2" t="s">
        <x:v>2333</x:v>
      </x:c>
      <x:c r="J739" s="2" t="s">
        <x:v>2317</x:v>
      </x:c>
      <x:c r="K739" s="2" t="n">
        <x:v>116</x:v>
      </x:c>
      <x:c r="L739" s="2" t="s">
        <x:v>2318</x:v>
      </x:c>
      <x:c r="M739" s="2" t="s">
        <x:v>2311</x:v>
      </x:c>
      <x:c r="N739" s="2">
        <x:v>5</x:v>
      </x:c>
      <x:c r="O739" s="2" t="s">
        <x:v>2319</x:v>
      </x:c>
      <x:c r="P739" s="2" t="s">
        <x:v>2320</x:v>
      </x:c>
      <x:c r="Q739" s="2"/>
      <x:c r="R739" s="3">
        <x:v>4</x:v>
      </x:c>
      <x:c r="S739" s="3">
        <x:v>1</x:v>
      </x:c>
      <x:c r="T739" s="2" t="s">
        <x:v>103</x:v>
      </x:c>
      <x:c r="U739" s="2"/>
      <x:c r="V739" s="2"/>
      <x:c r="W739" s="2"/>
      <x:c r="X739" s="3"/>
      <x:c r="Y739" s="3"/>
      <x:c r="Z739" s="2"/>
      <x:c r="AA739" s="2"/>
      <x:c r="AB739" s="2" t="s">
        <x:v>415</x:v>
      </x:c>
      <x:c r="AC739" s="2"/>
      <x:c r="AD739" s="2"/>
      <x:c r="AE739" s="2"/>
      <x:c r="AF739" s="2"/>
      <x:c r="AG739" s="2" t="s">
        <x:v>2314</x:v>
      </x:c>
      <x:c r="AH739" s="2"/>
      <x:c r="AI739" s="4"/>
      <x:c r="AJ739" s="2"/>
      <x:c r="AK739" s="2" t="s">
        <x:v>396</x:v>
      </x:c>
      <x:c r="AL739" s="2" t="s">
        <x:v>2857</x:v>
      </x:c>
      <x:c r="AM739" s="2">
        <x:v>119</x:v>
      </x:c>
      <x:c r="AN739" s="2">
        <x:v>119</x:v>
      </x:c>
    </x:row>
    <x:row r="740" ht="39">
      <x:c r="A740" s="2" t="s">
        <x:v>6</x:v>
      </x:c>
      <x:c r="B740" s="2" t="s">
        <x:v>17</x:v>
      </x:c>
      <x:c r="C740" s="3">
        <x:v>118</x:v>
      </x:c>
      <x:c r="D740" s="2" t="s">
        <x:v>2335</x:v>
      </x:c>
      <x:c r="E740" s="2" t="s">
        <x:v>2306</x:v>
      </x:c>
      <x:c r="F740" s="2" t="s">
        <x:v>469</x:v>
      </x:c>
      <x:c r="G740" s="2"/>
      <x:c r="H740" s="2" t="s">
        <x:v>2307</x:v>
      </x:c>
      <x:c r="I740" s="2" t="s">
        <x:v>2336</x:v>
      </x:c>
      <x:c r="J740" s="2" t="s">
        <x:v>2309</x:v>
      </x:c>
      <x:c r="K740" s="2"/>
      <x:c r="L740" s="2" t="s">
        <x:v>2310</x:v>
      </x:c>
      <x:c r="M740" s="2" t="s">
        <x:v>2311</x:v>
      </x:c>
      <x:c r="N740" s="2">
        <x:v>5</x:v>
      </x:c>
      <x:c r="O740" s="2" t="s">
        <x:v>2312</x:v>
      </x:c>
      <x:c r="P740" s="2" t="s">
        <x:v>2313</x:v>
      </x:c>
      <x:c r="Q740" s="2"/>
      <x:c r="R740" s="3">
        <x:v>3</x:v>
      </x:c>
      <x:c r="S740" s="3">
        <x:v>1</x:v>
      </x:c>
      <x:c r="T740" s="2" t="s">
        <x:v>103</x:v>
      </x:c>
      <x:c r="U740" s="2"/>
      <x:c r="V740" s="2"/>
      <x:c r="W740" s="2"/>
      <x:c r="X740" s="3"/>
      <x:c r="Y740" s="3"/>
      <x:c r="Z740" s="2"/>
      <x:c r="AA740" s="2"/>
      <x:c r="AB740" s="2" t="s">
        <x:v>427</x:v>
      </x:c>
      <x:c r="AC740" s="2"/>
      <x:c r="AD740" s="2"/>
      <x:c r="AE740" s="2"/>
      <x:c r="AF740" s="2"/>
      <x:c r="AG740" s="2" t="s">
        <x:v>2314</x:v>
      </x:c>
      <x:c r="AH740" s="2"/>
      <x:c r="AI740" s="4"/>
      <x:c r="AJ740" s="2"/>
      <x:c r="AK740" s="2" t="s">
        <x:v>396</x:v>
      </x:c>
      <x:c r="AL740" s="2" t="s">
        <x:v>2857</x:v>
      </x:c>
      <x:c r="AM740" s="2">
        <x:v>120</x:v>
      </x:c>
      <x:c r="AN740" s="2">
        <x:v>120</x:v>
      </x:c>
    </x:row>
    <x:row r="741" ht="39">
      <x:c r="A741" s="2" t="s">
        <x:v>6</x:v>
      </x:c>
      <x:c r="B741" s="2" t="s">
        <x:v>17</x:v>
      </x:c>
      <x:c r="C741" s="3">
        <x:v>119</x:v>
      </x:c>
      <x:c r="D741" s="2" t="s">
        <x:v>2337</x:v>
      </x:c>
      <x:c r="E741" s="2" t="s">
        <x:v>2306</x:v>
      </x:c>
      <x:c r="F741" s="2" t="s">
        <x:v>344</x:v>
      </x:c>
      <x:c r="G741" s="2"/>
      <x:c r="H741" s="2" t="s">
        <x:v>2307</x:v>
      </x:c>
      <x:c r="I741" s="2" t="s">
        <x:v>2336</x:v>
      </x:c>
      <x:c r="J741" s="2" t="s">
        <x:v>2317</x:v>
      </x:c>
      <x:c r="K741" s="2" t="n">
        <x:v>118</x:v>
      </x:c>
      <x:c r="L741" s="2" t="s">
        <x:v>2318</x:v>
      </x:c>
      <x:c r="M741" s="2" t="s">
        <x:v>2311</x:v>
      </x:c>
      <x:c r="N741" s="2">
        <x:v>5</x:v>
      </x:c>
      <x:c r="O741" s="2" t="s">
        <x:v>2319</x:v>
      </x:c>
      <x:c r="P741" s="2" t="s">
        <x:v>2320</x:v>
      </x:c>
      <x:c r="Q741" s="2"/>
      <x:c r="R741" s="3">
        <x:v>3</x:v>
      </x:c>
      <x:c r="S741" s="3">
        <x:v>1</x:v>
      </x:c>
      <x:c r="T741" s="2" t="s">
        <x:v>103</x:v>
      </x:c>
      <x:c r="U741" s="2"/>
      <x:c r="V741" s="2"/>
      <x:c r="W741" s="2"/>
      <x:c r="X741" s="3"/>
      <x:c r="Y741" s="3"/>
      <x:c r="Z741" s="2"/>
      <x:c r="AA741" s="2"/>
      <x:c r="AB741" s="2" t="s">
        <x:v>415</x:v>
      </x:c>
      <x:c r="AC741" s="2"/>
      <x:c r="AD741" s="2"/>
      <x:c r="AE741" s="2"/>
      <x:c r="AF741" s="2"/>
      <x:c r="AG741" s="2" t="s">
        <x:v>2314</x:v>
      </x:c>
      <x:c r="AH741" s="2"/>
      <x:c r="AI741" s="4"/>
      <x:c r="AJ741" s="2"/>
      <x:c r="AK741" s="2" t="s">
        <x:v>396</x:v>
      </x:c>
      <x:c r="AL741" s="2" t="s">
        <x:v>2857</x:v>
      </x:c>
      <x:c r="AM741" s="2">
        <x:v>121</x:v>
      </x:c>
      <x:c r="AN741" s="2">
        <x:v>121</x:v>
      </x:c>
    </x:row>
    <x:row r="742" ht="39">
      <x:c r="A742" s="2" t="s">
        <x:v>91</x:v>
      </x:c>
      <x:c r="B742" s="2" t="s">
        <x:v>17</x:v>
      </x:c>
      <x:c r="C742" s="3">
        <x:v>120</x:v>
      </x:c>
      <x:c r="D742" s="2" t="s">
        <x:v>2338</x:v>
      </x:c>
      <x:c r="E742" s="2" t="s">
        <x:v>2339</x:v>
      </x:c>
      <x:c r="F742" s="2" t="s">
        <x:v>344</x:v>
      </x:c>
      <x:c r="G742" s="2" t="s">
        <x:v>2855</x:v>
      </x:c>
      <x:c r="H742" s="2" t="s">
        <x:v>2307</x:v>
      </x:c>
      <x:c r="I742" s="2" t="s">
        <x:v>2340</x:v>
      </x:c>
      <x:c r="J742" s="2" t="s">
        <x:v>2309</x:v>
      </x:c>
      <x:c r="K742" s="2"/>
      <x:c r="L742" s="2" t="s">
        <x:v>2310</x:v>
      </x:c>
      <x:c r="M742" s="2" t="s">
        <x:v>2311</x:v>
      </x:c>
      <x:c r="N742" s="2">
        <x:v>5</x:v>
      </x:c>
      <x:c r="O742" s="2" t="s">
        <x:v>2312</x:v>
      </x:c>
      <x:c r="P742" s="2" t="s">
        <x:v>2313</x:v>
      </x:c>
      <x:c r="Q742" s="2"/>
      <x:c r="R742" s="3">
        <x:v>4</x:v>
      </x:c>
      <x:c r="S742" s="3">
        <x:v>1</x:v>
      </x:c>
      <x:c r="T742" s="2" t="s">
        <x:v>103</x:v>
      </x:c>
      <x:c r="U742" s="2"/>
      <x:c r="V742" s="2"/>
      <x:c r="W742" s="2"/>
      <x:c r="X742" s="3"/>
      <x:c r="Y742" s="3"/>
      <x:c r="Z742" s="2"/>
      <x:c r="AA742" s="2"/>
      <x:c r="AB742" s="2" t="s">
        <x:v>427</x:v>
      </x:c>
      <x:c r="AC742" s="2"/>
      <x:c r="AD742" s="2"/>
      <x:c r="AE742" s="2"/>
      <x:c r="AF742" s="2"/>
      <x:c r="AG742" s="2" t="s">
        <x:v>2314</x:v>
      </x:c>
      <x:c r="AH742" s="2"/>
      <x:c r="AI742" s="4"/>
      <x:c r="AJ742" s="2"/>
      <x:c r="AK742" s="2" t="s">
        <x:v>396</x:v>
      </x:c>
      <x:c r="AL742" s="2" t="s">
        <x:v>2857</x:v>
      </x:c>
      <x:c r="AM742" s="2">
        <x:v>122</x:v>
      </x:c>
      <x:c r="AN742" s="2">
        <x:v>122</x:v>
      </x:c>
    </x:row>
    <x:row r="743" ht="39">
      <x:c r="A743" s="2" t="s">
        <x:v>91</x:v>
      </x:c>
      <x:c r="B743" s="2" t="s">
        <x:v>17</x:v>
      </x:c>
      <x:c r="C743" s="3">
        <x:v>121</x:v>
      </x:c>
      <x:c r="D743" s="2" t="s">
        <x:v>2341</x:v>
      </x:c>
      <x:c r="E743" s="2" t="s">
        <x:v>2339</x:v>
      </x:c>
      <x:c r="F743" s="2" t="s">
        <x:v>469</x:v>
      </x:c>
      <x:c r="G743" s="2" t="s">
        <x:v>3027</x:v>
      </x:c>
      <x:c r="H743" s="2" t="s">
        <x:v>2307</x:v>
      </x:c>
      <x:c r="I743" s="2" t="s">
        <x:v>2340</x:v>
      </x:c>
      <x:c r="J743" s="2" t="s">
        <x:v>2317</x:v>
      </x:c>
      <x:c r="K743" s="2" t="n">
        <x:v>120</x:v>
      </x:c>
      <x:c r="L743" s="2" t="s">
        <x:v>2318</x:v>
      </x:c>
      <x:c r="M743" s="2" t="s">
        <x:v>2311</x:v>
      </x:c>
      <x:c r="N743" s="2">
        <x:v>5</x:v>
      </x:c>
      <x:c r="O743" s="2" t="s">
        <x:v>2319</x:v>
      </x:c>
      <x:c r="P743" s="2" t="s">
        <x:v>2320</x:v>
      </x:c>
      <x:c r="Q743" s="2"/>
      <x:c r="R743" s="3">
        <x:v>4</x:v>
      </x:c>
      <x:c r="S743" s="3">
        <x:v>1</x:v>
      </x:c>
      <x:c r="T743" s="2" t="s">
        <x:v>103</x:v>
      </x:c>
      <x:c r="U743" s="2"/>
      <x:c r="V743" s="2"/>
      <x:c r="W743" s="2"/>
      <x:c r="X743" s="3"/>
      <x:c r="Y743" s="3"/>
      <x:c r="Z743" s="2"/>
      <x:c r="AA743" s="2"/>
      <x:c r="AB743" s="2" t="s">
        <x:v>415</x:v>
      </x:c>
      <x:c r="AC743" s="2"/>
      <x:c r="AD743" s="2"/>
      <x:c r="AE743" s="2"/>
      <x:c r="AF743" s="2"/>
      <x:c r="AG743" s="2" t="s">
        <x:v>2314</x:v>
      </x:c>
      <x:c r="AH743" s="2"/>
      <x:c r="AI743" s="4"/>
      <x:c r="AJ743" s="2"/>
      <x:c r="AK743" s="2" t="s">
        <x:v>396</x:v>
      </x:c>
      <x:c r="AL743" s="2" t="s">
        <x:v>2857</x:v>
      </x:c>
      <x:c r="AM743" s="2">
        <x:v>123</x:v>
      </x:c>
      <x:c r="AN743" s="2">
        <x:v>123</x:v>
      </x:c>
    </x:row>
    <x:row r="744" ht="39">
      <x:c r="A744" s="2" t="s">
        <x:v>6</x:v>
      </x:c>
      <x:c r="B744" s="2" t="s">
        <x:v>17</x:v>
      </x:c>
      <x:c r="C744" s="3">
        <x:v>122</x:v>
      </x:c>
      <x:c r="D744" s="2" t="s">
        <x:v>2343</x:v>
      </x:c>
      <x:c r="E744" s="2" t="s">
        <x:v>2344</x:v>
      </x:c>
      <x:c r="F744" s="2" t="s">
        <x:v>469</x:v>
      </x:c>
      <x:c r="G744" s="2"/>
      <x:c r="H744" s="2" t="s">
        <x:v>2307</x:v>
      </x:c>
      <x:c r="I744" s="2" t="s">
        <x:v>2346</x:v>
      </x:c>
      <x:c r="J744" s="2" t="s">
        <x:v>2309</x:v>
      </x:c>
      <x:c r="K744" s="2"/>
      <x:c r="L744" s="2" t="s">
        <x:v>2310</x:v>
      </x:c>
      <x:c r="M744" s="2" t="s">
        <x:v>2311</x:v>
      </x:c>
      <x:c r="N744" s="2">
        <x:v>5</x:v>
      </x:c>
      <x:c r="O744" s="2" t="s">
        <x:v>2312</x:v>
      </x:c>
      <x:c r="P744" s="2" t="s">
        <x:v>2313</x:v>
      </x:c>
      <x:c r="Q744" s="2"/>
      <x:c r="R744" s="3">
        <x:v>4</x:v>
      </x:c>
      <x:c r="S744" s="3">
        <x:v>1</x:v>
      </x:c>
      <x:c r="T744" s="2" t="s">
        <x:v>103</x:v>
      </x:c>
      <x:c r="U744" s="2"/>
      <x:c r="V744" s="2"/>
      <x:c r="W744" s="2"/>
      <x:c r="X744" s="3"/>
      <x:c r="Y744" s="3"/>
      <x:c r="Z744" s="2"/>
      <x:c r="AA744" s="2"/>
      <x:c r="AB744" s="2" t="s">
        <x:v>427</x:v>
      </x:c>
      <x:c r="AC744" s="2"/>
      <x:c r="AD744" s="2"/>
      <x:c r="AE744" s="2"/>
      <x:c r="AF744" s="2"/>
      <x:c r="AG744" s="2" t="s">
        <x:v>2314</x:v>
      </x:c>
      <x:c r="AH744" s="2"/>
      <x:c r="AI744" s="4"/>
      <x:c r="AJ744" s="2"/>
      <x:c r="AK744" s="2" t="s">
        <x:v>396</x:v>
      </x:c>
      <x:c r="AL744" s="2" t="s">
        <x:v>2857</x:v>
      </x:c>
      <x:c r="AM744" s="2">
        <x:v>124</x:v>
      </x:c>
      <x:c r="AN744" s="2">
        <x:v>124</x:v>
      </x:c>
    </x:row>
    <x:row r="745" ht="39">
      <x:c r="A745" s="2" t="s">
        <x:v>6</x:v>
      </x:c>
      <x:c r="B745" s="2" t="s">
        <x:v>17</x:v>
      </x:c>
      <x:c r="C745" s="3">
        <x:v>123</x:v>
      </x:c>
      <x:c r="D745" s="2" t="s">
        <x:v>2347</x:v>
      </x:c>
      <x:c r="E745" s="2" t="s">
        <x:v>2344</x:v>
      </x:c>
      <x:c r="F745" s="2" t="s">
        <x:v>344</x:v>
      </x:c>
      <x:c r="G745" s="2"/>
      <x:c r="H745" s="2" t="s">
        <x:v>2307</x:v>
      </x:c>
      <x:c r="I745" s="2" t="s">
        <x:v>2346</x:v>
      </x:c>
      <x:c r="J745" s="2" t="s">
        <x:v>2317</x:v>
      </x:c>
      <x:c r="K745" s="2" t="n">
        <x:v>122</x:v>
      </x:c>
      <x:c r="L745" s="2" t="s">
        <x:v>2318</x:v>
      </x:c>
      <x:c r="M745" s="2" t="s">
        <x:v>2311</x:v>
      </x:c>
      <x:c r="N745" s="2">
        <x:v>5</x:v>
      </x:c>
      <x:c r="O745" s="2" t="s">
        <x:v>2319</x:v>
      </x:c>
      <x:c r="P745" s="2" t="s">
        <x:v>2320</x:v>
      </x:c>
      <x:c r="Q745" s="2"/>
      <x:c r="R745" s="3">
        <x:v>4</x:v>
      </x:c>
      <x:c r="S745" s="3">
        <x:v>1</x:v>
      </x:c>
      <x:c r="T745" s="2" t="s">
        <x:v>103</x:v>
      </x:c>
      <x:c r="U745" s="2"/>
      <x:c r="V745" s="2"/>
      <x:c r="W745" s="2"/>
      <x:c r="X745" s="3"/>
      <x:c r="Y745" s="3"/>
      <x:c r="Z745" s="2"/>
      <x:c r="AA745" s="2"/>
      <x:c r="AB745" s="2" t="s">
        <x:v>415</x:v>
      </x:c>
      <x:c r="AC745" s="2"/>
      <x:c r="AD745" s="2"/>
      <x:c r="AE745" s="2"/>
      <x:c r="AF745" s="2"/>
      <x:c r="AG745" s="2" t="s">
        <x:v>2314</x:v>
      </x:c>
      <x:c r="AH745" s="2"/>
      <x:c r="AI745" s="4"/>
      <x:c r="AJ745" s="2"/>
      <x:c r="AK745" s="2" t="s">
        <x:v>396</x:v>
      </x:c>
      <x:c r="AL745" s="2" t="s">
        <x:v>2857</x:v>
      </x:c>
      <x:c r="AM745" s="2">
        <x:v>125</x:v>
      </x:c>
      <x:c r="AN745" s="2">
        <x:v>125</x:v>
      </x:c>
    </x:row>
    <x:row r="746" ht="39">
      <x:c r="A746" s="2" t="s">
        <x:v>6</x:v>
      </x:c>
      <x:c r="B746" s="2" t="s">
        <x:v>17</x:v>
      </x:c>
      <x:c r="C746" s="3">
        <x:v>124</x:v>
      </x:c>
      <x:c r="D746" s="2" t="s">
        <x:v>2348</x:v>
      </x:c>
      <x:c r="E746" s="2" t="s">
        <x:v>2349</x:v>
      </x:c>
      <x:c r="F746" s="2" t="s">
        <x:v>469</x:v>
      </x:c>
      <x:c r="G746" s="2"/>
      <x:c r="H746" s="2" t="s">
        <x:v>2307</x:v>
      </x:c>
      <x:c r="I746" s="2" t="s">
        <x:v>2351</x:v>
      </x:c>
      <x:c r="J746" s="2" t="s">
        <x:v>2352</x:v>
      </x:c>
      <x:c r="K746" s="2"/>
      <x:c r="L746" s="2" t="s">
        <x:v>2353</x:v>
      </x:c>
      <x:c r="M746" s="2" t="s">
        <x:v>2354</x:v>
      </x:c>
      <x:c r="N746" s="2">
        <x:v>5</x:v>
      </x:c>
      <x:c r="O746" s="2" t="s">
        <x:v>2355</x:v>
      </x:c>
      <x:c r="P746" s="2" t="s">
        <x:v>2356</x:v>
      </x:c>
      <x:c r="Q746" s="2"/>
      <x:c r="R746" s="3">
        <x:v>4</x:v>
      </x:c>
      <x:c r="S746" s="3">
        <x:v>1</x:v>
      </x:c>
      <x:c r="T746" s="2" t="s">
        <x:v>103</x:v>
      </x:c>
      <x:c r="U746" s="2"/>
      <x:c r="V746" s="2"/>
      <x:c r="W746" s="2"/>
      <x:c r="X746" s="3"/>
      <x:c r="Y746" s="3"/>
      <x:c r="Z746" s="2"/>
      <x:c r="AA746" s="2"/>
      <x:c r="AB746" s="2" t="s">
        <x:v>394</x:v>
      </x:c>
      <x:c r="AC746" s="2"/>
      <x:c r="AD746" s="2"/>
      <x:c r="AE746" s="2"/>
      <x:c r="AF746" s="2"/>
      <x:c r="AG746" s="2" t="s">
        <x:v>2314</x:v>
      </x:c>
      <x:c r="AH746" s="2"/>
      <x:c r="AI746" s="4"/>
      <x:c r="AJ746" s="2"/>
      <x:c r="AK746" s="2" t="s">
        <x:v>396</x:v>
      </x:c>
      <x:c r="AL746" s="2" t="s">
        <x:v>2857</x:v>
      </x:c>
      <x:c r="AM746" s="2">
        <x:v>126</x:v>
      </x:c>
      <x:c r="AN746" s="2">
        <x:v>126</x:v>
      </x:c>
    </x:row>
    <x:row r="747" ht="39">
      <x:c r="A747" s="2" t="s">
        <x:v>6</x:v>
      </x:c>
      <x:c r="B747" s="2" t="s">
        <x:v>17</x:v>
      </x:c>
      <x:c r="C747" s="3">
        <x:v>125</x:v>
      </x:c>
      <x:c r="D747" s="2" t="s">
        <x:v>2357</x:v>
      </x:c>
      <x:c r="E747" s="2" t="s">
        <x:v>2358</x:v>
      </x:c>
      <x:c r="F747" s="2" t="s">
        <x:v>344</x:v>
      </x:c>
      <x:c r="G747" s="2"/>
      <x:c r="H747" s="2" t="s">
        <x:v>2307</x:v>
      </x:c>
      <x:c r="I747" s="2" t="s">
        <x:v>2359</x:v>
      </x:c>
      <x:c r="J747" s="2" t="s">
        <x:v>2352</x:v>
      </x:c>
      <x:c r="K747" s="2"/>
      <x:c r="L747" s="2" t="s">
        <x:v>2353</x:v>
      </x:c>
      <x:c r="M747" s="2" t="s">
        <x:v>2354</x:v>
      </x:c>
      <x:c r="N747" s="2">
        <x:v>5</x:v>
      </x:c>
      <x:c r="O747" s="2" t="s">
        <x:v>2355</x:v>
      </x:c>
      <x:c r="P747" s="2" t="s">
        <x:v>2356</x:v>
      </x:c>
      <x:c r="Q747" s="2"/>
      <x:c r="R747" s="3">
        <x:v>5</x:v>
      </x:c>
      <x:c r="S747" s="3">
        <x:v>1</x:v>
      </x:c>
      <x:c r="T747" s="2" t="s">
        <x:v>103</x:v>
      </x:c>
      <x:c r="U747" s="2"/>
      <x:c r="V747" s="2"/>
      <x:c r="W747" s="2"/>
      <x:c r="X747" s="3"/>
      <x:c r="Y747" s="3"/>
      <x:c r="Z747" s="2"/>
      <x:c r="AA747" s="2"/>
      <x:c r="AB747" s="2" t="s">
        <x:v>394</x:v>
      </x:c>
      <x:c r="AC747" s="2"/>
      <x:c r="AD747" s="2"/>
      <x:c r="AE747" s="2"/>
      <x:c r="AF747" s="2"/>
      <x:c r="AG747" s="2" t="s">
        <x:v>2314</x:v>
      </x:c>
      <x:c r="AH747" s="2"/>
      <x:c r="AI747" s="4"/>
      <x:c r="AJ747" s="2"/>
      <x:c r="AK747" s="2" t="s">
        <x:v>396</x:v>
      </x:c>
      <x:c r="AL747" s="2" t="s">
        <x:v>2857</x:v>
      </x:c>
      <x:c r="AM747" s="2">
        <x:v>127</x:v>
      </x:c>
      <x:c r="AN747" s="2">
        <x:v>127</x:v>
      </x:c>
    </x:row>
    <x:row r="748" ht="39">
      <x:c r="A748" s="2" t="s">
        <x:v>6</x:v>
      </x:c>
      <x:c r="B748" s="2" t="s">
        <x:v>17</x:v>
      </x:c>
      <x:c r="C748" s="3">
        <x:v>126</x:v>
      </x:c>
      <x:c r="D748" s="2" t="s">
        <x:v>2360</x:v>
      </x:c>
      <x:c r="E748" s="2" t="s">
        <x:v>2361</x:v>
      </x:c>
      <x:c r="F748" s="2" t="s">
        <x:v>469</x:v>
      </x:c>
      <x:c r="G748" s="2"/>
      <x:c r="H748" s="2" t="s">
        <x:v>2307</x:v>
      </x:c>
      <x:c r="I748" s="2" t="s">
        <x:v>2362</x:v>
      </x:c>
      <x:c r="J748" s="2" t="s">
        <x:v>2352</x:v>
      </x:c>
      <x:c r="K748" s="2"/>
      <x:c r="L748" s="2" t="s">
        <x:v>2353</x:v>
      </x:c>
      <x:c r="M748" s="2" t="s">
        <x:v>2354</x:v>
      </x:c>
      <x:c r="N748" s="2">
        <x:v>5</x:v>
      </x:c>
      <x:c r="O748" s="2" t="s">
        <x:v>2355</x:v>
      </x:c>
      <x:c r="P748" s="2" t="s">
        <x:v>2356</x:v>
      </x:c>
      <x:c r="Q748" s="2"/>
      <x:c r="R748" s="3">
        <x:v>5</x:v>
      </x:c>
      <x:c r="S748" s="3">
        <x:v>1</x:v>
      </x:c>
      <x:c r="T748" s="2" t="s">
        <x:v>103</x:v>
      </x:c>
      <x:c r="U748" s="2"/>
      <x:c r="V748" s="2"/>
      <x:c r="W748" s="2"/>
      <x:c r="X748" s="3"/>
      <x:c r="Y748" s="3"/>
      <x:c r="Z748" s="2"/>
      <x:c r="AA748" s="2"/>
      <x:c r="AB748" s="2" t="s">
        <x:v>394</x:v>
      </x:c>
      <x:c r="AC748" s="2"/>
      <x:c r="AD748" s="2"/>
      <x:c r="AE748" s="2"/>
      <x:c r="AF748" s="2"/>
      <x:c r="AG748" s="2" t="s">
        <x:v>2314</x:v>
      </x:c>
      <x:c r="AH748" s="2"/>
      <x:c r="AI748" s="4"/>
      <x:c r="AJ748" s="2"/>
      <x:c r="AK748" s="2" t="s">
        <x:v>396</x:v>
      </x:c>
      <x:c r="AL748" s="2" t="s">
        <x:v>2857</x:v>
      </x:c>
      <x:c r="AM748" s="2">
        <x:v>128</x:v>
      </x:c>
      <x:c r="AN748" s="2">
        <x:v>128</x:v>
      </x:c>
    </x:row>
    <x:row r="749" ht="39">
      <x:c r="A749" s="2" t="s">
        <x:v>6</x:v>
      </x:c>
      <x:c r="B749" s="2" t="s">
        <x:v>17</x:v>
      </x:c>
      <x:c r="C749" s="3">
        <x:v>127</x:v>
      </x:c>
      <x:c r="D749" s="2" t="s">
        <x:v>2363</x:v>
      </x:c>
      <x:c r="E749" s="2" t="s">
        <x:v>2364</x:v>
      </x:c>
      <x:c r="F749" s="2" t="s">
        <x:v>344</x:v>
      </x:c>
      <x:c r="G749" s="2"/>
      <x:c r="H749" s="2" t="s">
        <x:v>2307</x:v>
      </x:c>
      <x:c r="I749" s="2" t="s">
        <x:v>2366</x:v>
      </x:c>
      <x:c r="J749" s="2" t="s">
        <x:v>2352</x:v>
      </x:c>
      <x:c r="K749" s="2"/>
      <x:c r="L749" s="2" t="s">
        <x:v>2353</x:v>
      </x:c>
      <x:c r="M749" s="2" t="s">
        <x:v>2354</x:v>
      </x:c>
      <x:c r="N749" s="2">
        <x:v>5</x:v>
      </x:c>
      <x:c r="O749" s="2" t="s">
        <x:v>2355</x:v>
      </x:c>
      <x:c r="P749" s="2" t="s">
        <x:v>2356</x:v>
      </x:c>
      <x:c r="Q749" s="2"/>
      <x:c r="R749" s="3">
        <x:v>4</x:v>
      </x:c>
      <x:c r="S749" s="3">
        <x:v>1</x:v>
      </x:c>
      <x:c r="T749" s="2" t="s">
        <x:v>103</x:v>
      </x:c>
      <x:c r="U749" s="2"/>
      <x:c r="V749" s="2"/>
      <x:c r="W749" s="2"/>
      <x:c r="X749" s="3"/>
      <x:c r="Y749" s="3"/>
      <x:c r="Z749" s="2"/>
      <x:c r="AA749" s="2"/>
      <x:c r="AB749" s="2" t="s">
        <x:v>394</x:v>
      </x:c>
      <x:c r="AC749" s="2"/>
      <x:c r="AD749" s="2"/>
      <x:c r="AE749" s="2"/>
      <x:c r="AF749" s="2"/>
      <x:c r="AG749" s="2" t="s">
        <x:v>2314</x:v>
      </x:c>
      <x:c r="AH749" s="2"/>
      <x:c r="AI749" s="4"/>
      <x:c r="AJ749" s="2"/>
      <x:c r="AK749" s="2" t="s">
        <x:v>396</x:v>
      </x:c>
      <x:c r="AL749" s="2" t="s">
        <x:v>2857</x:v>
      </x:c>
      <x:c r="AM749" s="2">
        <x:v>129</x:v>
      </x:c>
      <x:c r="AN749" s="2">
        <x:v>129</x:v>
      </x:c>
    </x:row>
    <x:row r="750" ht="39">
      <x:c r="A750" s="2" t="s">
        <x:v>91</x:v>
      </x:c>
      <x:c r="B750" s="2" t="s">
        <x:v>17</x:v>
      </x:c>
      <x:c r="C750" s="3">
        <x:v>128</x:v>
      </x:c>
      <x:c r="D750" s="2" t="s">
        <x:v>2367</x:v>
      </x:c>
      <x:c r="E750" s="2" t="s">
        <x:v>2368</x:v>
      </x:c>
      <x:c r="F750" s="2" t="s">
        <x:v>469</x:v>
      </x:c>
      <x:c r="G750" s="2" t="s">
        <x:v>3028</x:v>
      </x:c>
      <x:c r="H750" s="2" t="s">
        <x:v>2307</x:v>
      </x:c>
      <x:c r="I750" s="2" t="s">
        <x:v>2369</x:v>
      </x:c>
      <x:c r="J750" s="2" t="s">
        <x:v>2352</x:v>
      </x:c>
      <x:c r="K750" s="2"/>
      <x:c r="L750" s="2" t="s">
        <x:v>2353</x:v>
      </x:c>
      <x:c r="M750" s="2" t="s">
        <x:v>2354</x:v>
      </x:c>
      <x:c r="N750" s="2">
        <x:v>5</x:v>
      </x:c>
      <x:c r="O750" s="2" t="s">
        <x:v>2355</x:v>
      </x:c>
      <x:c r="P750" s="2" t="s">
        <x:v>2356</x:v>
      </x:c>
      <x:c r="Q750" s="2"/>
      <x:c r="R750" s="3">
        <x:v>4</x:v>
      </x:c>
      <x:c r="S750" s="3">
        <x:v>1</x:v>
      </x:c>
      <x:c r="T750" s="2" t="s">
        <x:v>103</x:v>
      </x:c>
      <x:c r="U750" s="2"/>
      <x:c r="V750" s="2"/>
      <x:c r="W750" s="2"/>
      <x:c r="X750" s="3"/>
      <x:c r="Y750" s="3"/>
      <x:c r="Z750" s="2"/>
      <x:c r="AA750" s="2"/>
      <x:c r="AB750" s="2" t="s">
        <x:v>394</x:v>
      </x:c>
      <x:c r="AC750" s="2"/>
      <x:c r="AD750" s="2"/>
      <x:c r="AE750" s="2"/>
      <x:c r="AF750" s="2"/>
      <x:c r="AG750" s="2" t="s">
        <x:v>2314</x:v>
      </x:c>
      <x:c r="AH750" s="2"/>
      <x:c r="AI750" s="4"/>
      <x:c r="AJ750" s="2"/>
      <x:c r="AK750" s="2" t="s">
        <x:v>396</x:v>
      </x:c>
      <x:c r="AL750" s="2" t="s">
        <x:v>2857</x:v>
      </x:c>
      <x:c r="AM750" s="2">
        <x:v>130</x:v>
      </x:c>
      <x:c r="AN750" s="2">
        <x:v>130</x:v>
      </x:c>
    </x:row>
    <x:row r="751" ht="52">
      <x:c r="A751" s="2" t="s">
        <x:v>6</x:v>
      </x:c>
      <x:c r="B751" s="2" t="s">
        <x:v>17</x:v>
      </x:c>
      <x:c r="C751" s="3">
        <x:v>129</x:v>
      </x:c>
      <x:c r="D751" s="2" t="s">
        <x:v>2370</x:v>
      </x:c>
      <x:c r="E751" s="2" t="s">
        <x:v>2371</x:v>
      </x:c>
      <x:c r="F751" s="2" t="s">
        <x:v>344</x:v>
      </x:c>
      <x:c r="G751" s="2" t="s">
        <x:v>3029</x:v>
      </x:c>
      <x:c r="H751" s="2" t="s">
        <x:v>2307</x:v>
      </x:c>
      <x:c r="I751" s="2" t="s">
        <x:v>2372</x:v>
      </x:c>
      <x:c r="J751" s="2" t="s">
        <x:v>2352</x:v>
      </x:c>
      <x:c r="K751" s="2"/>
      <x:c r="L751" s="2" t="s">
        <x:v>2353</x:v>
      </x:c>
      <x:c r="M751" s="2" t="s">
        <x:v>2354</x:v>
      </x:c>
      <x:c r="N751" s="2">
        <x:v>5</x:v>
      </x:c>
      <x:c r="O751" s="2" t="s">
        <x:v>2355</x:v>
      </x:c>
      <x:c r="P751" s="2" t="s">
        <x:v>2356</x:v>
      </x:c>
      <x:c r="Q751" s="2"/>
      <x:c r="R751" s="3">
        <x:v>5</x:v>
      </x:c>
      <x:c r="S751" s="3">
        <x:v>1</x:v>
      </x:c>
      <x:c r="T751" s="2" t="s">
        <x:v>103</x:v>
      </x:c>
      <x:c r="U751" s="2"/>
      <x:c r="V751" s="2"/>
      <x:c r="W751" s="2"/>
      <x:c r="X751" s="3"/>
      <x:c r="Y751" s="3"/>
      <x:c r="Z751" s="2"/>
      <x:c r="AA751" s="2"/>
      <x:c r="AB751" s="2" t="s">
        <x:v>394</x:v>
      </x:c>
      <x:c r="AC751" s="2"/>
      <x:c r="AD751" s="2"/>
      <x:c r="AE751" s="2"/>
      <x:c r="AF751" s="2"/>
      <x:c r="AG751" s="2" t="s">
        <x:v>2314</x:v>
      </x:c>
      <x:c r="AH751" s="2"/>
      <x:c r="AI751" s="4"/>
      <x:c r="AJ751" s="2"/>
      <x:c r="AK751" s="2" t="s">
        <x:v>396</x:v>
      </x:c>
      <x:c r="AL751" s="2" t="s">
        <x:v>2857</x:v>
      </x:c>
      <x:c r="AM751" s="2">
        <x:v>131</x:v>
      </x:c>
      <x:c r="AN751" s="2">
        <x:v>131</x:v>
      </x:c>
    </x:row>
    <x:row r="752" ht="52">
      <x:c r="A752" s="2" t="s">
        <x:v>91</x:v>
      </x:c>
      <x:c r="B752" s="2" t="s">
        <x:v>17</x:v>
      </x:c>
      <x:c r="C752" s="3">
        <x:v>130</x:v>
      </x:c>
      <x:c r="D752" s="2" t="s">
        <x:v>2373</x:v>
      </x:c>
      <x:c r="E752" s="2" t="s">
        <x:v>2374</x:v>
      </x:c>
      <x:c r="F752" s="2" t="s">
        <x:v>2375</x:v>
      </x:c>
      <x:c r="G752" s="2" t="s">
        <x:v>3030</x:v>
      </x:c>
      <x:c r="H752" s="2" t="s">
        <x:v>2377</x:v>
      </x:c>
      <x:c r="I752" s="2" t="s">
        <x:v>2378</x:v>
      </x:c>
      <x:c r="J752" s="2" t="s">
        <x:v>2379</x:v>
      </x:c>
      <x:c r="K752" s="2"/>
      <x:c r="L752" s="2" t="s">
        <x:v>390</x:v>
      </x:c>
      <x:c r="M752" s="2" t="s">
        <x:v>2380</x:v>
      </x:c>
      <x:c r="N752" s="2">
        <x:v>6</x:v>
      </x:c>
      <x:c r="O752" s="2" t="s">
        <x:v>2381</x:v>
      </x:c>
      <x:c r="P752" s="2" t="s">
        <x:v>2382</x:v>
      </x:c>
      <x:c r="Q752" s="2"/>
      <x:c r="R752" s="3">
        <x:v>4</x:v>
      </x:c>
      <x:c r="S752" s="3">
        <x:v>0</x:v>
      </x:c>
      <x:c r="T752" s="2" t="s">
        <x:v>103</x:v>
      </x:c>
      <x:c r="U752" s="2"/>
      <x:c r="V752" s="2"/>
      <x:c r="W752" s="2"/>
      <x:c r="X752" s="3"/>
      <x:c r="Y752" s="3"/>
      <x:c r="Z752" s="2"/>
      <x:c r="AA752" s="2"/>
      <x:c r="AB752" s="2" t="s">
        <x:v>394</x:v>
      </x:c>
      <x:c r="AC752" s="2"/>
      <x:c r="AD752" s="2"/>
      <x:c r="AE752" s="2"/>
      <x:c r="AF752" s="2"/>
      <x:c r="AG752" s="2" t="s">
        <x:v>395</x:v>
      </x:c>
      <x:c r="AH752" s="2"/>
      <x:c r="AI752" s="4"/>
      <x:c r="AJ752" s="2"/>
      <x:c r="AK752" s="2" t="s">
        <x:v>396</x:v>
      </x:c>
      <x:c r="AL752" s="2" t="s">
        <x:v>2857</x:v>
      </x:c>
      <x:c r="AM752" s="2">
        <x:v>132</x:v>
      </x:c>
      <x:c r="AN752" s="2">
        <x:v>132</x:v>
      </x:c>
    </x:row>
    <x:row r="753" ht="52">
      <x:c r="A753" s="2" t="s">
        <x:v>6</x:v>
      </x:c>
      <x:c r="B753" s="2" t="s">
        <x:v>17</x:v>
      </x:c>
      <x:c r="C753" s="3">
        <x:v>131</x:v>
      </x:c>
      <x:c r="D753" s="2" t="s">
        <x:v>2383</x:v>
      </x:c>
      <x:c r="E753" s="2" t="s">
        <x:v>2384</x:v>
      </x:c>
      <x:c r="F753" s="2" t="s">
        <x:v>2385</x:v>
      </x:c>
      <x:c r="G753" s="2"/>
      <x:c r="H753" s="2" t="s">
        <x:v>2377</x:v>
      </x:c>
      <x:c r="I753" s="2" t="s">
        <x:v>2387</x:v>
      </x:c>
      <x:c r="J753" s="2" t="s">
        <x:v>2379</x:v>
      </x:c>
      <x:c r="K753" s="2"/>
      <x:c r="L753" s="2" t="s">
        <x:v>426</x:v>
      </x:c>
      <x:c r="M753" s="2" t="s">
        <x:v>2380</x:v>
      </x:c>
      <x:c r="N753" s="2">
        <x:v>6</x:v>
      </x:c>
      <x:c r="O753" s="2" t="s">
        <x:v>2381</x:v>
      </x:c>
      <x:c r="P753" s="2" t="s">
        <x:v>2382</x:v>
      </x:c>
      <x:c r="Q753" s="2"/>
      <x:c r="R753" s="3">
        <x:v>3</x:v>
      </x:c>
      <x:c r="S753" s="3">
        <x:v>0</x:v>
      </x:c>
      <x:c r="T753" s="2" t="s">
        <x:v>103</x:v>
      </x:c>
      <x:c r="U753" s="2"/>
      <x:c r="V753" s="2"/>
      <x:c r="W753" s="2"/>
      <x:c r="X753" s="3"/>
      <x:c r="Y753" s="3"/>
      <x:c r="Z753" s="2"/>
      <x:c r="AA753" s="2"/>
      <x:c r="AB753" s="2" t="s">
        <x:v>427</x:v>
      </x:c>
      <x:c r="AC753" s="2"/>
      <x:c r="AD753" s="2"/>
      <x:c r="AE753" s="2"/>
      <x:c r="AF753" s="2"/>
      <x:c r="AG753" s="2" t="s">
        <x:v>428</x:v>
      </x:c>
      <x:c r="AH753" s="2"/>
      <x:c r="AI753" s="4"/>
      <x:c r="AJ753" s="2"/>
      <x:c r="AK753" s="2" t="s">
        <x:v>396</x:v>
      </x:c>
      <x:c r="AL753" s="2" t="s">
        <x:v>2857</x:v>
      </x:c>
      <x:c r="AM753" s="2">
        <x:v>133</x:v>
      </x:c>
      <x:c r="AN753" s="2">
        <x:v>133</x:v>
      </x:c>
    </x:row>
    <x:row r="754" ht="52">
      <x:c r="A754" s="2" t="s">
        <x:v>91</x:v>
      </x:c>
      <x:c r="B754" s="2" t="s">
        <x:v>17</x:v>
      </x:c>
      <x:c r="C754" s="3">
        <x:v>132</x:v>
      </x:c>
      <x:c r="D754" s="2" t="s">
        <x:v>2032</x:v>
      </x:c>
      <x:c r="E754" s="2" t="s">
        <x:v>2388</x:v>
      </x:c>
      <x:c r="F754" s="2" t="s">
        <x:v>2389</x:v>
      </x:c>
      <x:c r="G754" s="2" t="s">
        <x:v>2435</x:v>
      </x:c>
      <x:c r="H754" s="2" t="s">
        <x:v>2377</x:v>
      </x:c>
      <x:c r="I754" s="2" t="s">
        <x:v>2391</x:v>
      </x:c>
      <x:c r="J754" s="2" t="s">
        <x:v>2379</x:v>
      </x:c>
      <x:c r="K754" s="2"/>
      <x:c r="L754" s="2" t="s">
        <x:v>2040</x:v>
      </x:c>
      <x:c r="M754" s="2" t="s">
        <x:v>2380</x:v>
      </x:c>
      <x:c r="N754" s="2">
        <x:v>6</x:v>
      </x:c>
      <x:c r="O754" s="2" t="s">
        <x:v>2381</x:v>
      </x:c>
      <x:c r="P754" s="2" t="s">
        <x:v>2382</x:v>
      </x:c>
      <x:c r="Q754" s="2"/>
      <x:c r="R754" s="3">
        <x:v>4</x:v>
      </x:c>
      <x:c r="S754" s="3">
        <x:v>0</x:v>
      </x:c>
      <x:c r="T754" s="2" t="s">
        <x:v>103</x:v>
      </x:c>
      <x:c r="U754" s="2"/>
      <x:c r="V754" s="2"/>
      <x:c r="W754" s="2"/>
      <x:c r="X754" s="3"/>
      <x:c r="Y754" s="3"/>
      <x:c r="Z754" s="2"/>
      <x:c r="AA754" s="2"/>
      <x:c r="AB754" s="2" t="s">
        <x:v>427</x:v>
      </x:c>
      <x:c r="AC754" s="2"/>
      <x:c r="AD754" s="2"/>
      <x:c r="AE754" s="2"/>
      <x:c r="AF754" s="2"/>
      <x:c r="AG754" s="2" t="s">
        <x:v>2036</x:v>
      </x:c>
      <x:c r="AH754" s="2"/>
      <x:c r="AI754" s="4"/>
      <x:c r="AJ754" s="2"/>
      <x:c r="AK754" s="2" t="s">
        <x:v>396</x:v>
      </x:c>
      <x:c r="AL754" s="2" t="s">
        <x:v>2857</x:v>
      </x:c>
      <x:c r="AM754" s="2">
        <x:v>134</x:v>
      </x:c>
      <x:c r="AN754" s="2">
        <x:v>134</x:v>
      </x:c>
    </x:row>
    <x:row r="755" ht="52">
      <x:c r="A755" s="2" t="s">
        <x:v>91</x:v>
      </x:c>
      <x:c r="B755" s="2" t="s">
        <x:v>17</x:v>
      </x:c>
      <x:c r="C755" s="3">
        <x:v>133</x:v>
      </x:c>
      <x:c r="D755" s="2" t="s">
        <x:v>2069</x:v>
      </x:c>
      <x:c r="E755" s="2" t="s">
        <x:v>2392</x:v>
      </x:c>
      <x:c r="F755" s="2" t="s">
        <x:v>2393</x:v>
      </x:c>
      <x:c r="G755" s="2" t="s">
        <x:v>3031</x:v>
      </x:c>
      <x:c r="H755" s="2" t="s">
        <x:v>2377</x:v>
      </x:c>
      <x:c r="I755" s="2" t="s">
        <x:v>2395</x:v>
      </x:c>
      <x:c r="J755" s="2" t="s">
        <x:v>2379</x:v>
      </x:c>
      <x:c r="K755" s="2"/>
      <x:c r="L755" s="2" t="s">
        <x:v>2068</x:v>
      </x:c>
      <x:c r="M755" s="2" t="s">
        <x:v>2380</x:v>
      </x:c>
      <x:c r="N755" s="2">
        <x:v>6</x:v>
      </x:c>
      <x:c r="O755" s="2" t="s">
        <x:v>2381</x:v>
      </x:c>
      <x:c r="P755" s="2" t="s">
        <x:v>2382</x:v>
      </x:c>
      <x:c r="Q755" s="2"/>
      <x:c r="R755" s="3">
        <x:v>3</x:v>
      </x:c>
      <x:c r="S755" s="3">
        <x:v>0</x:v>
      </x:c>
      <x:c r="T755" s="2" t="s">
        <x:v>103</x:v>
      </x:c>
      <x:c r="U755" s="2"/>
      <x:c r="V755" s="2"/>
      <x:c r="W755" s="2"/>
      <x:c r="X755" s="3"/>
      <x:c r="Y755" s="3"/>
      <x:c r="Z755" s="2"/>
      <x:c r="AA755" s="2"/>
      <x:c r="AB755" s="2" t="s">
        <x:v>415</x:v>
      </x:c>
      <x:c r="AC755" s="2"/>
      <x:c r="AD755" s="2"/>
      <x:c r="AE755" s="2"/>
      <x:c r="AF755" s="2"/>
      <x:c r="AG755" s="2" t="s">
        <x:v>2060</x:v>
      </x:c>
      <x:c r="AH755" s="2"/>
      <x:c r="AI755" s="4"/>
      <x:c r="AJ755" s="2"/>
      <x:c r="AK755" s="2" t="s">
        <x:v>396</x:v>
      </x:c>
      <x:c r="AL755" s="2" t="s">
        <x:v>2857</x:v>
      </x:c>
      <x:c r="AM755" s="2">
        <x:v>135</x:v>
      </x:c>
      <x:c r="AN755" s="2">
        <x:v>135</x:v>
      </x:c>
    </x:row>
    <x:row r="756" ht="52">
      <x:c r="A756" s="2" t="s">
        <x:v>91</x:v>
      </x:c>
      <x:c r="B756" s="2" t="s">
        <x:v>17</x:v>
      </x:c>
      <x:c r="C756" s="3">
        <x:v>134</x:v>
      </x:c>
      <x:c r="D756" s="2" t="s">
        <x:v>2396</x:v>
      </x:c>
      <x:c r="E756" s="2" t="s">
        <x:v>2397</x:v>
      </x:c>
      <x:c r="F756" s="2" t="s">
        <x:v>2375</x:v>
      </x:c>
      <x:c r="G756" s="2" t="s">
        <x:v>3032</x:v>
      </x:c>
      <x:c r="H756" s="2" t="s">
        <x:v>2377</x:v>
      </x:c>
      <x:c r="I756" s="2" t="s">
        <x:v>2399</x:v>
      </x:c>
      <x:c r="J756" s="2" t="s">
        <x:v>2379</x:v>
      </x:c>
      <x:c r="K756" s="2"/>
      <x:c r="L756" s="2" t="s">
        <x:v>413</x:v>
      </x:c>
      <x:c r="M756" s="2" t="s">
        <x:v>2380</x:v>
      </x:c>
      <x:c r="N756" s="2">
        <x:v>6</x:v>
      </x:c>
      <x:c r="O756" s="2" t="s">
        <x:v>2381</x:v>
      </x:c>
      <x:c r="P756" s="2" t="s">
        <x:v>2382</x:v>
      </x:c>
      <x:c r="Q756" s="2"/>
      <x:c r="R756" s="3">
        <x:v>4</x:v>
      </x:c>
      <x:c r="S756" s="3">
        <x:v>0</x:v>
      </x:c>
      <x:c r="T756" s="2" t="s">
        <x:v>103</x:v>
      </x:c>
      <x:c r="U756" s="2"/>
      <x:c r="V756" s="2"/>
      <x:c r="W756" s="2"/>
      <x:c r="X756" s="3"/>
      <x:c r="Y756" s="3"/>
      <x:c r="Z756" s="2"/>
      <x:c r="AA756" s="2"/>
      <x:c r="AB756" s="2" t="s">
        <x:v>415</x:v>
      </x:c>
      <x:c r="AC756" s="2"/>
      <x:c r="AD756" s="2"/>
      <x:c r="AE756" s="2"/>
      <x:c r="AF756" s="2"/>
      <x:c r="AG756" s="2" t="s">
        <x:v>395</x:v>
      </x:c>
      <x:c r="AH756" s="2"/>
      <x:c r="AI756" s="4"/>
      <x:c r="AJ756" s="2"/>
      <x:c r="AK756" s="2" t="s">
        <x:v>396</x:v>
      </x:c>
      <x:c r="AL756" s="2" t="s">
        <x:v>2857</x:v>
      </x:c>
      <x:c r="AM756" s="2">
        <x:v>136</x:v>
      </x:c>
      <x:c r="AN756" s="2">
        <x:v>136</x:v>
      </x:c>
    </x:row>
    <x:row r="757" ht="52">
      <x:c r="A757" s="2" t="s">
        <x:v>91</x:v>
      </x:c>
      <x:c r="B757" s="2" t="s">
        <x:v>17</x:v>
      </x:c>
      <x:c r="C757" s="3">
        <x:v>135</x:v>
      </x:c>
      <x:c r="D757" s="2" t="s">
        <x:v>2400</x:v>
      </x:c>
      <x:c r="E757" s="2" t="s">
        <x:v>2401</x:v>
      </x:c>
      <x:c r="F757" s="2" t="s">
        <x:v>2385</x:v>
      </x:c>
      <x:c r="G757" s="2" t="s">
        <x:v>2268</x:v>
      </x:c>
      <x:c r="H757" s="2" t="s">
        <x:v>2377</x:v>
      </x:c>
      <x:c r="I757" s="2" t="s">
        <x:v>2403</x:v>
      </x:c>
      <x:c r="J757" s="2" t="s">
        <x:v>2379</x:v>
      </x:c>
      <x:c r="K757" s="2"/>
      <x:c r="L757" s="2" t="s">
        <x:v>448</x:v>
      </x:c>
      <x:c r="M757" s="2" t="s">
        <x:v>2380</x:v>
      </x:c>
      <x:c r="N757" s="2">
        <x:v>6</x:v>
      </x:c>
      <x:c r="O757" s="2" t="s">
        <x:v>2381</x:v>
      </x:c>
      <x:c r="P757" s="2" t="s">
        <x:v>2382</x:v>
      </x:c>
      <x:c r="Q757" s="2"/>
      <x:c r="R757" s="3">
        <x:v>3</x:v>
      </x:c>
      <x:c r="S757" s="3">
        <x:v>0</x:v>
      </x:c>
      <x:c r="T757" s="2" t="s">
        <x:v>103</x:v>
      </x:c>
      <x:c r="U757" s="2"/>
      <x:c r="V757" s="2"/>
      <x:c r="W757" s="2"/>
      <x:c r="X757" s="3"/>
      <x:c r="Y757" s="3"/>
      <x:c r="Z757" s="2"/>
      <x:c r="AA757" s="2"/>
      <x:c r="AB757" s="2" t="s">
        <x:v>415</x:v>
      </x:c>
      <x:c r="AC757" s="2"/>
      <x:c r="AD757" s="2"/>
      <x:c r="AE757" s="2"/>
      <x:c r="AF757" s="2"/>
      <x:c r="AG757" s="2" t="s">
        <x:v>428</x:v>
      </x:c>
      <x:c r="AH757" s="2"/>
      <x:c r="AI757" s="4"/>
      <x:c r="AJ757" s="2"/>
      <x:c r="AK757" s="2" t="s">
        <x:v>396</x:v>
      </x:c>
      <x:c r="AL757" s="2" t="s">
        <x:v>2857</x:v>
      </x:c>
      <x:c r="AM757" s="2">
        <x:v>137</x:v>
      </x:c>
      <x:c r="AN757" s="2">
        <x:v>137</x:v>
      </x:c>
    </x:row>
    <x:row r="758" ht="52">
      <x:c r="A758" s="2" t="s">
        <x:v>91</x:v>
      </x:c>
      <x:c r="B758" s="2" t="s">
        <x:v>17</x:v>
      </x:c>
      <x:c r="C758" s="3">
        <x:v>136</x:v>
      </x:c>
      <x:c r="D758" s="2" t="s">
        <x:v>2404</x:v>
      </x:c>
      <x:c r="E758" s="2" t="s">
        <x:v>2405</x:v>
      </x:c>
      <x:c r="F758" s="2" t="s">
        <x:v>2389</x:v>
      </x:c>
      <x:c r="G758" s="2" t="s">
        <x:v>3033</x:v>
      </x:c>
      <x:c r="H758" s="2" t="s">
        <x:v>2377</x:v>
      </x:c>
      <x:c r="I758" s="2" t="s">
        <x:v>2406</x:v>
      </x:c>
      <x:c r="J758" s="2" t="s">
        <x:v>2379</x:v>
      </x:c>
      <x:c r="K758" s="2"/>
      <x:c r="L758" s="2" t="s">
        <x:v>2407</x:v>
      </x:c>
      <x:c r="M758" s="2" t="s">
        <x:v>2380</x:v>
      </x:c>
      <x:c r="N758" s="2">
        <x:v>6</x:v>
      </x:c>
      <x:c r="O758" s="2" t="s">
        <x:v>2381</x:v>
      </x:c>
      <x:c r="P758" s="2" t="s">
        <x:v>2382</x:v>
      </x:c>
      <x:c r="Q758" s="2"/>
      <x:c r="R758" s="3">
        <x:v>5</x:v>
      </x:c>
      <x:c r="S758" s="3">
        <x:v>0</x:v>
      </x:c>
      <x:c r="T758" s="2" t="s">
        <x:v>103</x:v>
      </x:c>
      <x:c r="U758" s="2"/>
      <x:c r="V758" s="2"/>
      <x:c r="W758" s="2"/>
      <x:c r="X758" s="3"/>
      <x:c r="Y758" s="3"/>
      <x:c r="Z758" s="2"/>
      <x:c r="AA758" s="2"/>
      <x:c r="AB758" s="2" t="s">
        <x:v>394</x:v>
      </x:c>
      <x:c r="AC758" s="2"/>
      <x:c r="AD758" s="2"/>
      <x:c r="AE758" s="2"/>
      <x:c r="AF758" s="2"/>
      <x:c r="AG758" s="2" t="s">
        <x:v>2036</x:v>
      </x:c>
      <x:c r="AH758" s="2"/>
      <x:c r="AI758" s="4"/>
      <x:c r="AJ758" s="2"/>
      <x:c r="AK758" s="2" t="s">
        <x:v>396</x:v>
      </x:c>
      <x:c r="AL758" s="2" t="s">
        <x:v>2857</x:v>
      </x:c>
      <x:c r="AM758" s="2">
        <x:v>138</x:v>
      </x:c>
      <x:c r="AN758" s="2">
        <x:v>138</x:v>
      </x:c>
    </x:row>
    <x:row r="759" ht="52">
      <x:c r="A759" s="2" t="s">
        <x:v>91</x:v>
      </x:c>
      <x:c r="B759" s="2" t="s">
        <x:v>17</x:v>
      </x:c>
      <x:c r="C759" s="3">
        <x:v>137</x:v>
      </x:c>
      <x:c r="D759" s="2" t="s">
        <x:v>2408</x:v>
      </x:c>
      <x:c r="E759" s="2" t="s">
        <x:v>2409</x:v>
      </x:c>
      <x:c r="F759" s="2" t="s">
        <x:v>2393</x:v>
      </x:c>
      <x:c r="G759" s="2" t="s">
        <x:v>3034</x:v>
      </x:c>
      <x:c r="H759" s="2" t="s">
        <x:v>2377</x:v>
      </x:c>
      <x:c r="I759" s="2" t="s">
        <x:v>2410</x:v>
      </x:c>
      <x:c r="J759" s="2" t="s">
        <x:v>2379</x:v>
      </x:c>
      <x:c r="K759" s="2"/>
      <x:c r="L759" s="2" t="s">
        <x:v>2411</x:v>
      </x:c>
      <x:c r="M759" s="2" t="s">
        <x:v>2380</x:v>
      </x:c>
      <x:c r="N759" s="2">
        <x:v>6</x:v>
      </x:c>
      <x:c r="O759" s="2" t="s">
        <x:v>2381</x:v>
      </x:c>
      <x:c r="P759" s="2" t="s">
        <x:v>2382</x:v>
      </x:c>
      <x:c r="Q759" s="2"/>
      <x:c r="R759" s="3">
        <x:v>3</x:v>
      </x:c>
      <x:c r="S759" s="3">
        <x:v>0</x:v>
      </x:c>
      <x:c r="T759" s="2" t="s">
        <x:v>103</x:v>
      </x:c>
      <x:c r="U759" s="2"/>
      <x:c r="V759" s="2"/>
      <x:c r="W759" s="2"/>
      <x:c r="X759" s="3"/>
      <x:c r="Y759" s="3"/>
      <x:c r="Z759" s="2"/>
      <x:c r="AA759" s="2"/>
      <x:c r="AB759" s="2" t="s">
        <x:v>427</x:v>
      </x:c>
      <x:c r="AC759" s="2"/>
      <x:c r="AD759" s="2"/>
      <x:c r="AE759" s="2"/>
      <x:c r="AF759" s="2"/>
      <x:c r="AG759" s="2" t="s">
        <x:v>2060</x:v>
      </x:c>
      <x:c r="AH759" s="2"/>
      <x:c r="AI759" s="4"/>
      <x:c r="AJ759" s="2"/>
      <x:c r="AK759" s="2" t="s">
        <x:v>396</x:v>
      </x:c>
      <x:c r="AL759" s="2" t="s">
        <x:v>2857</x:v>
      </x:c>
      <x:c r="AM759" s="2">
        <x:v>139</x:v>
      </x:c>
      <x:c r="AN759" s="2">
        <x:v>139</x:v>
      </x:c>
    </x:row>
    <x:row r="760" ht="52">
      <x:c r="A760" s="2" t="s">
        <x:v>91</x:v>
      </x:c>
      <x:c r="B760" s="2" t="s">
        <x:v>17</x:v>
      </x:c>
      <x:c r="C760" s="3">
        <x:v>138</x:v>
      </x:c>
      <x:c r="D760" s="2" t="s">
        <x:v>2412</x:v>
      </x:c>
      <x:c r="E760" s="2" t="s">
        <x:v>2413</x:v>
      </x:c>
      <x:c r="F760" s="2" t="s">
        <x:v>2375</x:v>
      </x:c>
      <x:c r="G760" s="2" t="s">
        <x:v>3035</x:v>
      </x:c>
      <x:c r="H760" s="2" t="s">
        <x:v>2377</x:v>
      </x:c>
      <x:c r="I760" s="2" t="s">
        <x:v>2414</x:v>
      </x:c>
      <x:c r="J760" s="2" t="s">
        <x:v>2379</x:v>
      </x:c>
      <x:c r="K760" s="2"/>
      <x:c r="L760" s="2" t="s">
        <x:v>407</x:v>
      </x:c>
      <x:c r="M760" s="2" t="s">
        <x:v>2380</x:v>
      </x:c>
      <x:c r="N760" s="2">
        <x:v>6</x:v>
      </x:c>
      <x:c r="O760" s="2" t="s">
        <x:v>2381</x:v>
      </x:c>
      <x:c r="P760" s="2" t="s">
        <x:v>2382</x:v>
      </x:c>
      <x:c r="Q760" s="2"/>
      <x:c r="R760" s="3">
        <x:v>4</x:v>
      </x:c>
      <x:c r="S760" s="3">
        <x:v>0</x:v>
      </x:c>
      <x:c r="T760" s="2" t="s">
        <x:v>103</x:v>
      </x:c>
      <x:c r="U760" s="2"/>
      <x:c r="V760" s="2"/>
      <x:c r="W760" s="2"/>
      <x:c r="X760" s="3"/>
      <x:c r="Y760" s="3"/>
      <x:c r="Z760" s="2"/>
      <x:c r="AA760" s="2"/>
      <x:c r="AB760" s="2" t="s">
        <x:v>394</x:v>
      </x:c>
      <x:c r="AC760" s="2"/>
      <x:c r="AD760" s="2"/>
      <x:c r="AE760" s="2"/>
      <x:c r="AF760" s="2"/>
      <x:c r="AG760" s="2" t="s">
        <x:v>395</x:v>
      </x:c>
      <x:c r="AH760" s="2"/>
      <x:c r="AI760" s="4"/>
      <x:c r="AJ760" s="2"/>
      <x:c r="AK760" s="2" t="s">
        <x:v>396</x:v>
      </x:c>
      <x:c r="AL760" s="2" t="s">
        <x:v>2857</x:v>
      </x:c>
      <x:c r="AM760" s="2">
        <x:v>140</x:v>
      </x:c>
      <x:c r="AN760" s="2">
        <x:v>140</x:v>
      </x:c>
    </x:row>
    <x:row r="761" ht="52">
      <x:c r="A761" s="2" t="s">
        <x:v>91</x:v>
      </x:c>
      <x:c r="B761" s="2" t="s">
        <x:v>17</x:v>
      </x:c>
      <x:c r="C761" s="3">
        <x:v>139</x:v>
      </x:c>
      <x:c r="D761" s="2" t="s">
        <x:v>2415</x:v>
      </x:c>
      <x:c r="E761" s="2" t="s">
        <x:v>2416</x:v>
      </x:c>
      <x:c r="F761" s="2" t="s">
        <x:v>2385</x:v>
      </x:c>
      <x:c r="G761" s="2" t="s">
        <x:v>3036</x:v>
      </x:c>
      <x:c r="H761" s="2" t="s">
        <x:v>2377</x:v>
      </x:c>
      <x:c r="I761" s="2" t="s">
        <x:v>2417</x:v>
      </x:c>
      <x:c r="J761" s="2" t="s">
        <x:v>2379</x:v>
      </x:c>
      <x:c r="K761" s="2"/>
      <x:c r="L761" s="2" t="s">
        <x:v>434</x:v>
      </x:c>
      <x:c r="M761" s="2" t="s">
        <x:v>2380</x:v>
      </x:c>
      <x:c r="N761" s="2">
        <x:v>6</x:v>
      </x:c>
      <x:c r="O761" s="2" t="s">
        <x:v>2381</x:v>
      </x:c>
      <x:c r="P761" s="2" t="s">
        <x:v>2382</x:v>
      </x:c>
      <x:c r="Q761" s="2"/>
      <x:c r="R761" s="3">
        <x:v>4</x:v>
      </x:c>
      <x:c r="S761" s="3">
        <x:v>0</x:v>
      </x:c>
      <x:c r="T761" s="2" t="s">
        <x:v>103</x:v>
      </x:c>
      <x:c r="U761" s="2"/>
      <x:c r="V761" s="2"/>
      <x:c r="W761" s="2"/>
      <x:c r="X761" s="3"/>
      <x:c r="Y761" s="3"/>
      <x:c r="Z761" s="2"/>
      <x:c r="AA761" s="2"/>
      <x:c r="AB761" s="2" t="s">
        <x:v>427</x:v>
      </x:c>
      <x:c r="AC761" s="2"/>
      <x:c r="AD761" s="2"/>
      <x:c r="AE761" s="2"/>
      <x:c r="AF761" s="2"/>
      <x:c r="AG761" s="2" t="s">
        <x:v>428</x:v>
      </x:c>
      <x:c r="AH761" s="2"/>
      <x:c r="AI761" s="4"/>
      <x:c r="AJ761" s="2"/>
      <x:c r="AK761" s="2" t="s">
        <x:v>396</x:v>
      </x:c>
      <x:c r="AL761" s="2" t="s">
        <x:v>2857</x:v>
      </x:c>
      <x:c r="AM761" s="2">
        <x:v>141</x:v>
      </x:c>
      <x:c r="AN761" s="2">
        <x:v>141</x:v>
      </x:c>
    </x:row>
    <x:row r="762" ht="52">
      <x:c r="A762" s="2" t="s">
        <x:v>91</x:v>
      </x:c>
      <x:c r="B762" s="2" t="s">
        <x:v>17</x:v>
      </x:c>
      <x:c r="C762" s="3">
        <x:v>140</x:v>
      </x:c>
      <x:c r="D762" s="2" t="s">
        <x:v>2418</x:v>
      </x:c>
      <x:c r="E762" s="2" t="s">
        <x:v>2419</x:v>
      </x:c>
      <x:c r="F762" s="2" t="s">
        <x:v>2389</x:v>
      </x:c>
      <x:c r="G762" s="2" t="s">
        <x:v>3037</x:v>
      </x:c>
      <x:c r="H762" s="2" t="s">
        <x:v>2377</x:v>
      </x:c>
      <x:c r="I762" s="2" t="s">
        <x:v>2420</x:v>
      </x:c>
      <x:c r="J762" s="2" t="s">
        <x:v>2379</x:v>
      </x:c>
      <x:c r="K762" s="2"/>
      <x:c r="L762" s="2" t="s">
        <x:v>2421</x:v>
      </x:c>
      <x:c r="M762" s="2" t="s">
        <x:v>2380</x:v>
      </x:c>
      <x:c r="N762" s="2">
        <x:v>6</x:v>
      </x:c>
      <x:c r="O762" s="2" t="s">
        <x:v>2381</x:v>
      </x:c>
      <x:c r="P762" s="2" t="s">
        <x:v>2382</x:v>
      </x:c>
      <x:c r="Q762" s="2"/>
      <x:c r="R762" s="3">
        <x:v>5</x:v>
      </x:c>
      <x:c r="S762" s="3">
        <x:v>0</x:v>
      </x:c>
      <x:c r="T762" s="2" t="s">
        <x:v>103</x:v>
      </x:c>
      <x:c r="U762" s="2"/>
      <x:c r="V762" s="2"/>
      <x:c r="W762" s="2"/>
      <x:c r="X762" s="3"/>
      <x:c r="Y762" s="3"/>
      <x:c r="Z762" s="2"/>
      <x:c r="AA762" s="2"/>
      <x:c r="AB762" s="2" t="s">
        <x:v>394</x:v>
      </x:c>
      <x:c r="AC762" s="2"/>
      <x:c r="AD762" s="2"/>
      <x:c r="AE762" s="2"/>
      <x:c r="AF762" s="2"/>
      <x:c r="AG762" s="2" t="s">
        <x:v>2036</x:v>
      </x:c>
      <x:c r="AH762" s="2"/>
      <x:c r="AI762" s="4"/>
      <x:c r="AJ762" s="2"/>
      <x:c r="AK762" s="2" t="s">
        <x:v>396</x:v>
      </x:c>
      <x:c r="AL762" s="2" t="s">
        <x:v>2857</x:v>
      </x:c>
      <x:c r="AM762" s="2">
        <x:v>142</x:v>
      </x:c>
      <x:c r="AN762" s="2">
        <x:v>142</x:v>
      </x:c>
    </x:row>
    <x:row r="763" ht="52">
      <x:c r="A763" s="2" t="s">
        <x:v>91</x:v>
      </x:c>
      <x:c r="B763" s="2" t="s">
        <x:v>17</x:v>
      </x:c>
      <x:c r="C763" s="3">
        <x:v>141</x:v>
      </x:c>
      <x:c r="D763" s="2" t="s">
        <x:v>2422</x:v>
      </x:c>
      <x:c r="E763" s="2" t="s">
        <x:v>2423</x:v>
      </x:c>
      <x:c r="F763" s="2" t="s">
        <x:v>2393</x:v>
      </x:c>
      <x:c r="G763" s="2" t="s">
        <x:v>3038</x:v>
      </x:c>
      <x:c r="H763" s="2" t="s">
        <x:v>2377</x:v>
      </x:c>
      <x:c r="I763" s="2" t="s">
        <x:v>2425</x:v>
      </x:c>
      <x:c r="J763" s="2" t="s">
        <x:v>2379</x:v>
      </x:c>
      <x:c r="K763" s="2"/>
      <x:c r="L763" s="2" t="s">
        <x:v>2072</x:v>
      </x:c>
      <x:c r="M763" s="2" t="s">
        <x:v>2380</x:v>
      </x:c>
      <x:c r="N763" s="2">
        <x:v>6</x:v>
      </x:c>
      <x:c r="O763" s="2" t="s">
        <x:v>2381</x:v>
      </x:c>
      <x:c r="P763" s="2" t="s">
        <x:v>2382</x:v>
      </x:c>
      <x:c r="Q763" s="2"/>
      <x:c r="R763" s="3">
        <x:v>4</x:v>
      </x:c>
      <x:c r="S763" s="3">
        <x:v>0</x:v>
      </x:c>
      <x:c r="T763" s="2" t="s">
        <x:v>103</x:v>
      </x:c>
      <x:c r="U763" s="2"/>
      <x:c r="V763" s="2"/>
      <x:c r="W763" s="2"/>
      <x:c r="X763" s="3"/>
      <x:c r="Y763" s="3"/>
      <x:c r="Z763" s="2"/>
      <x:c r="AA763" s="2"/>
      <x:c r="AB763" s="2" t="s">
        <x:v>415</x:v>
      </x:c>
      <x:c r="AC763" s="2"/>
      <x:c r="AD763" s="2"/>
      <x:c r="AE763" s="2"/>
      <x:c r="AF763" s="2"/>
      <x:c r="AG763" s="2" t="s">
        <x:v>2060</x:v>
      </x:c>
      <x:c r="AH763" s="2"/>
      <x:c r="AI763" s="4"/>
      <x:c r="AJ763" s="2"/>
      <x:c r="AK763" s="2" t="s">
        <x:v>396</x:v>
      </x:c>
      <x:c r="AL763" s="2" t="s">
        <x:v>2857</x:v>
      </x:c>
      <x:c r="AM763" s="2">
        <x:v>143</x:v>
      </x:c>
      <x:c r="AN763" s="2">
        <x:v>143</x:v>
      </x:c>
    </x:row>
    <x:row r="764" ht="52">
      <x:c r="A764" s="2" t="s">
        <x:v>6</x:v>
      </x:c>
      <x:c r="B764" s="2" t="s">
        <x:v>17</x:v>
      </x:c>
      <x:c r="C764" s="3">
        <x:v>142</x:v>
      </x:c>
      <x:c r="D764" s="2" t="s">
        <x:v>2426</x:v>
      </x:c>
      <x:c r="E764" s="2" t="s">
        <x:v>2074</x:v>
      </x:c>
      <x:c r="F764" s="2" t="s">
        <x:v>2375</x:v>
      </x:c>
      <x:c r="G764" s="2"/>
      <x:c r="H764" s="2" t="s">
        <x:v>2377</x:v>
      </x:c>
      <x:c r="I764" s="2" t="s">
        <x:v>2428</x:v>
      </x:c>
      <x:c r="J764" s="2" t="s">
        <x:v>2379</x:v>
      </x:c>
      <x:c r="K764" s="2"/>
      <x:c r="L764" s="2" t="s">
        <x:v>420</x:v>
      </x:c>
      <x:c r="M764" s="2" t="s">
        <x:v>2380</x:v>
      </x:c>
      <x:c r="N764" s="2">
        <x:v>6</x:v>
      </x:c>
      <x:c r="O764" s="2" t="s">
        <x:v>2381</x:v>
      </x:c>
      <x:c r="P764" s="2" t="s">
        <x:v>2382</x:v>
      </x:c>
      <x:c r="Q764" s="2"/>
      <x:c r="R764" s="3">
        <x:v>3</x:v>
      </x:c>
      <x:c r="S764" s="3">
        <x:v>0</x:v>
      </x:c>
      <x:c r="T764" s="2" t="s">
        <x:v>103</x:v>
      </x:c>
      <x:c r="U764" s="2"/>
      <x:c r="V764" s="2"/>
      <x:c r="W764" s="2"/>
      <x:c r="X764" s="3"/>
      <x:c r="Y764" s="3"/>
      <x:c r="Z764" s="2"/>
      <x:c r="AA764" s="2"/>
      <x:c r="AB764" s="2" t="s">
        <x:v>415</x:v>
      </x:c>
      <x:c r="AC764" s="2"/>
      <x:c r="AD764" s="2"/>
      <x:c r="AE764" s="2"/>
      <x:c r="AF764" s="2"/>
      <x:c r="AG764" s="2" t="s">
        <x:v>395</x:v>
      </x:c>
      <x:c r="AH764" s="2"/>
      <x:c r="AI764" s="4"/>
      <x:c r="AJ764" s="2"/>
      <x:c r="AK764" s="2" t="s">
        <x:v>396</x:v>
      </x:c>
      <x:c r="AL764" s="2" t="s">
        <x:v>2857</x:v>
      </x:c>
      <x:c r="AM764" s="2">
        <x:v>144</x:v>
      </x:c>
      <x:c r="AN764" s="2">
        <x:v>144</x:v>
      </x:c>
    </x:row>
    <x:row r="765" ht="52">
      <x:c r="A765" s="2" t="s">
        <x:v>91</x:v>
      </x:c>
      <x:c r="B765" s="2" t="s">
        <x:v>17</x:v>
      </x:c>
      <x:c r="C765" s="3">
        <x:v>143</x:v>
      </x:c>
      <x:c r="D765" s="2" t="s">
        <x:v>2429</x:v>
      </x:c>
      <x:c r="E765" s="2" t="s">
        <x:v>2430</x:v>
      </x:c>
      <x:c r="F765" s="2" t="s">
        <x:v>2385</x:v>
      </x:c>
      <x:c r="G765" s="2" t="s">
        <x:v>2431</x:v>
      </x:c>
      <x:c r="H765" s="2" t="s">
        <x:v>2377</x:v>
      </x:c>
      <x:c r="I765" s="2" t="s">
        <x:v>2432</x:v>
      </x:c>
      <x:c r="J765" s="2" t="s">
        <x:v>2379</x:v>
      </x:c>
      <x:c r="K765" s="2"/>
      <x:c r="L765" s="2" t="s">
        <x:v>439</x:v>
      </x:c>
      <x:c r="M765" s="2" t="s">
        <x:v>2380</x:v>
      </x:c>
      <x:c r="N765" s="2">
        <x:v>6</x:v>
      </x:c>
      <x:c r="O765" s="2" t="s">
        <x:v>2381</x:v>
      </x:c>
      <x:c r="P765" s="2" t="s">
        <x:v>2382</x:v>
      </x:c>
      <x:c r="Q765" s="2"/>
      <x:c r="R765" s="3">
        <x:v>3</x:v>
      </x:c>
      <x:c r="S765" s="3">
        <x:v>0</x:v>
      </x:c>
      <x:c r="T765" s="2" t="s">
        <x:v>103</x:v>
      </x:c>
      <x:c r="U765" s="2"/>
      <x:c r="V765" s="2"/>
      <x:c r="W765" s="2"/>
      <x:c r="X765" s="3"/>
      <x:c r="Y765" s="3"/>
      <x:c r="Z765" s="2"/>
      <x:c r="AA765" s="2"/>
      <x:c r="AB765" s="2" t="s">
        <x:v>427</x:v>
      </x:c>
      <x:c r="AC765" s="2"/>
      <x:c r="AD765" s="2"/>
      <x:c r="AE765" s="2"/>
      <x:c r="AF765" s="2"/>
      <x:c r="AG765" s="2" t="s">
        <x:v>428</x:v>
      </x:c>
      <x:c r="AH765" s="2"/>
      <x:c r="AI765" s="4"/>
      <x:c r="AJ765" s="2"/>
      <x:c r="AK765" s="2" t="s">
        <x:v>396</x:v>
      </x:c>
      <x:c r="AL765" s="2" t="s">
        <x:v>2857</x:v>
      </x:c>
      <x:c r="AM765" s="2">
        <x:v>145</x:v>
      </x:c>
      <x:c r="AN765" s="2">
        <x:v>145</x:v>
      </x:c>
    </x:row>
    <x:row r="766" ht="52">
      <x:c r="A766" s="2" t="s">
        <x:v>91</x:v>
      </x:c>
      <x:c r="B766" s="2" t="s">
        <x:v>17</x:v>
      </x:c>
      <x:c r="C766" s="3">
        <x:v>144</x:v>
      </x:c>
      <x:c r="D766" s="2" t="s">
        <x:v>2433</x:v>
      </x:c>
      <x:c r="E766" s="2" t="s">
        <x:v>2434</x:v>
      </x:c>
      <x:c r="F766" s="2" t="s">
        <x:v>2389</x:v>
      </x:c>
      <x:c r="G766" s="2" t="s">
        <x:v>3039</x:v>
      </x:c>
      <x:c r="H766" s="2" t="s">
        <x:v>2377</x:v>
      </x:c>
      <x:c r="I766" s="2" t="s">
        <x:v>2436</x:v>
      </x:c>
      <x:c r="J766" s="2" t="s">
        <x:v>2379</x:v>
      </x:c>
      <x:c r="K766" s="2"/>
      <x:c r="L766" s="2" t="s">
        <x:v>2437</x:v>
      </x:c>
      <x:c r="M766" s="2" t="s">
        <x:v>2380</x:v>
      </x:c>
      <x:c r="N766" s="2">
        <x:v>6</x:v>
      </x:c>
      <x:c r="O766" s="2" t="s">
        <x:v>2381</x:v>
      </x:c>
      <x:c r="P766" s="2" t="s">
        <x:v>2382</x:v>
      </x:c>
      <x:c r="Q766" s="2"/>
      <x:c r="R766" s="3">
        <x:v>4</x:v>
      </x:c>
      <x:c r="S766" s="3">
        <x:v>0</x:v>
      </x:c>
      <x:c r="T766" s="2" t="s">
        <x:v>103</x:v>
      </x:c>
      <x:c r="U766" s="2"/>
      <x:c r="V766" s="2"/>
      <x:c r="W766" s="2"/>
      <x:c r="X766" s="3"/>
      <x:c r="Y766" s="3"/>
      <x:c r="Z766" s="2"/>
      <x:c r="AA766" s="2"/>
      <x:c r="AB766" s="2" t="s">
        <x:v>427</x:v>
      </x:c>
      <x:c r="AC766" s="2"/>
      <x:c r="AD766" s="2"/>
      <x:c r="AE766" s="2"/>
      <x:c r="AF766" s="2"/>
      <x:c r="AG766" s="2" t="s">
        <x:v>2036</x:v>
      </x:c>
      <x:c r="AH766" s="2"/>
      <x:c r="AI766" s="4"/>
      <x:c r="AJ766" s="2"/>
      <x:c r="AK766" s="2" t="s">
        <x:v>396</x:v>
      </x:c>
      <x:c r="AL766" s="2" t="s">
        <x:v>2857</x:v>
      </x:c>
      <x:c r="AM766" s="2">
        <x:v>146</x:v>
      </x:c>
      <x:c r="AN766" s="2">
        <x:v>146</x:v>
      </x:c>
    </x:row>
    <x:row r="767" ht="52">
      <x:c r="A767" s="2" t="s">
        <x:v>91</x:v>
      </x:c>
      <x:c r="B767" s="2" t="s">
        <x:v>17</x:v>
      </x:c>
      <x:c r="C767" s="3">
        <x:v>145</x:v>
      </x:c>
      <x:c r="D767" s="2" t="s">
        <x:v>2438</x:v>
      </x:c>
      <x:c r="E767" s="2" t="s">
        <x:v>2439</x:v>
      </x:c>
      <x:c r="F767" s="2" t="s">
        <x:v>2393</x:v>
      </x:c>
      <x:c r="G767" s="2" t="s">
        <x:v>3040</x:v>
      </x:c>
      <x:c r="H767" s="2" t="s">
        <x:v>2377</x:v>
      </x:c>
      <x:c r="I767" s="2" t="s">
        <x:v>2441</x:v>
      </x:c>
      <x:c r="J767" s="2" t="s">
        <x:v>2379</x:v>
      </x:c>
      <x:c r="K767" s="2"/>
      <x:c r="L767" s="2" t="s">
        <x:v>2076</x:v>
      </x:c>
      <x:c r="M767" s="2" t="s">
        <x:v>2380</x:v>
      </x:c>
      <x:c r="N767" s="2">
        <x:v>6</x:v>
      </x:c>
      <x:c r="O767" s="2" t="s">
        <x:v>2381</x:v>
      </x:c>
      <x:c r="P767" s="2" t="s">
        <x:v>2382</x:v>
      </x:c>
      <x:c r="Q767" s="2"/>
      <x:c r="R767" s="3">
        <x:v>4</x:v>
      </x:c>
      <x:c r="S767" s="3">
        <x:v>0</x:v>
      </x:c>
      <x:c r="T767" s="2" t="s">
        <x:v>103</x:v>
      </x:c>
      <x:c r="U767" s="2"/>
      <x:c r="V767" s="2"/>
      <x:c r="W767" s="2"/>
      <x:c r="X767" s="3"/>
      <x:c r="Y767" s="3"/>
      <x:c r="Z767" s="2"/>
      <x:c r="AA767" s="2"/>
      <x:c r="AB767" s="2" t="s">
        <x:v>415</x:v>
      </x:c>
      <x:c r="AC767" s="2"/>
      <x:c r="AD767" s="2"/>
      <x:c r="AE767" s="2"/>
      <x:c r="AF767" s="2"/>
      <x:c r="AG767" s="2" t="s">
        <x:v>2060</x:v>
      </x:c>
      <x:c r="AH767" s="2"/>
      <x:c r="AI767" s="4"/>
      <x:c r="AJ767" s="2"/>
      <x:c r="AK767" s="2" t="s">
        <x:v>396</x:v>
      </x:c>
      <x:c r="AL767" s="2" t="s">
        <x:v>2857</x:v>
      </x:c>
      <x:c r="AM767" s="2">
        <x:v>147</x:v>
      </x:c>
      <x:c r="AN767" s="2">
        <x:v>147</x:v>
      </x:c>
    </x:row>
    <x:row r="768" ht="52">
      <x:c r="A768" s="2" t="s">
        <x:v>6</x:v>
      </x:c>
      <x:c r="B768" s="2" t="s">
        <x:v>17</x:v>
      </x:c>
      <x:c r="C768" s="3">
        <x:v>146</x:v>
      </x:c>
      <x:c r="D768" s="2" t="s">
        <x:v>2442</x:v>
      </x:c>
      <x:c r="E768" s="2" t="s">
        <x:v>2443</x:v>
      </x:c>
      <x:c r="F768" s="2" t="s">
        <x:v>2375</x:v>
      </x:c>
      <x:c r="G768" s="2" t="s">
        <x:v>3041</x:v>
      </x:c>
      <x:c r="H768" s="2" t="s">
        <x:v>2377</x:v>
      </x:c>
      <x:c r="I768" s="2" t="s">
        <x:v>2444</x:v>
      </x:c>
      <x:c r="J768" s="2" t="s">
        <x:v>2379</x:v>
      </x:c>
      <x:c r="K768" s="2"/>
      <x:c r="L768" s="2" t="s">
        <x:v>401</x:v>
      </x:c>
      <x:c r="M768" s="2" t="s">
        <x:v>2380</x:v>
      </x:c>
      <x:c r="N768" s="2">
        <x:v>6</x:v>
      </x:c>
      <x:c r="O768" s="2" t="s">
        <x:v>2381</x:v>
      </x:c>
      <x:c r="P768" s="2" t="s">
        <x:v>2382</x:v>
      </x:c>
      <x:c r="Q768" s="2"/>
      <x:c r="R768" s="3">
        <x:v>4</x:v>
      </x:c>
      <x:c r="S768" s="3">
        <x:v>0</x:v>
      </x:c>
      <x:c r="T768" s="2" t="s">
        <x:v>103</x:v>
      </x:c>
      <x:c r="U768" s="2"/>
      <x:c r="V768" s="2"/>
      <x:c r="W768" s="2"/>
      <x:c r="X768" s="3"/>
      <x:c r="Y768" s="3"/>
      <x:c r="Z768" s="2"/>
      <x:c r="AA768" s="2"/>
      <x:c r="AB768" s="2" t="s">
        <x:v>394</x:v>
      </x:c>
      <x:c r="AC768" s="2"/>
      <x:c r="AD768" s="2"/>
      <x:c r="AE768" s="2"/>
      <x:c r="AF768" s="2"/>
      <x:c r="AG768" s="2" t="s">
        <x:v>395</x:v>
      </x:c>
      <x:c r="AH768" s="2"/>
      <x:c r="AI768" s="4"/>
      <x:c r="AJ768" s="2"/>
      <x:c r="AK768" s="2" t="s">
        <x:v>396</x:v>
      </x:c>
      <x:c r="AL768" s="2" t="s">
        <x:v>2857</x:v>
      </x:c>
      <x:c r="AM768" s="2">
        <x:v>148</x:v>
      </x:c>
      <x:c r="AN768" s="2">
        <x:v>148</x:v>
      </x:c>
    </x:row>
    <x:row r="769" ht="52">
      <x:c r="A769" s="2" t="s">
        <x:v>91</x:v>
      </x:c>
      <x:c r="B769" s="2" t="s">
        <x:v>17</x:v>
      </x:c>
      <x:c r="C769" s="3">
        <x:v>147</x:v>
      </x:c>
      <x:c r="D769" s="2" t="s">
        <x:v>2445</x:v>
      </x:c>
      <x:c r="E769" s="2" t="s">
        <x:v>2446</x:v>
      </x:c>
      <x:c r="F769" s="2" t="s">
        <x:v>2385</x:v>
      </x:c>
      <x:c r="G769" s="2" t="s">
        <x:v>3042</x:v>
      </x:c>
      <x:c r="H769" s="2" t="s">
        <x:v>2377</x:v>
      </x:c>
      <x:c r="I769" s="2" t="s">
        <x:v>2448</x:v>
      </x:c>
      <x:c r="J769" s="2" t="s">
        <x:v>2379</x:v>
      </x:c>
      <x:c r="K769" s="2"/>
      <x:c r="L769" s="2" t="s">
        <x:v>444</x:v>
      </x:c>
      <x:c r="M769" s="2" t="s">
        <x:v>2380</x:v>
      </x:c>
      <x:c r="N769" s="2">
        <x:v>6</x:v>
      </x:c>
      <x:c r="O769" s="2" t="s">
        <x:v>2381</x:v>
      </x:c>
      <x:c r="P769" s="2" t="s">
        <x:v>2382</x:v>
      </x:c>
      <x:c r="Q769" s="2"/>
      <x:c r="R769" s="3">
        <x:v>4</x:v>
      </x:c>
      <x:c r="S769" s="3">
        <x:v>0</x:v>
      </x:c>
      <x:c r="T769" s="2" t="s">
        <x:v>103</x:v>
      </x:c>
      <x:c r="U769" s="2"/>
      <x:c r="V769" s="2"/>
      <x:c r="W769" s="2"/>
      <x:c r="X769" s="3"/>
      <x:c r="Y769" s="3"/>
      <x:c r="Z769" s="2"/>
      <x:c r="AA769" s="2"/>
      <x:c r="AB769" s="2" t="s">
        <x:v>415</x:v>
      </x:c>
      <x:c r="AC769" s="2"/>
      <x:c r="AD769" s="2"/>
      <x:c r="AE769" s="2"/>
      <x:c r="AF769" s="2"/>
      <x:c r="AG769" s="2" t="s">
        <x:v>428</x:v>
      </x:c>
      <x:c r="AH769" s="2"/>
      <x:c r="AI769" s="4"/>
      <x:c r="AJ769" s="2"/>
      <x:c r="AK769" s="2" t="s">
        <x:v>396</x:v>
      </x:c>
      <x:c r="AL769" s="2" t="s">
        <x:v>2857</x:v>
      </x:c>
      <x:c r="AM769" s="2">
        <x:v>149</x:v>
      </x:c>
      <x:c r="AN769" s="2">
        <x:v>149</x:v>
      </x:c>
    </x:row>
    <x:row r="770" ht="65">
      <x:c r="A770" s="2" t="s">
        <x:v>91</x:v>
      </x:c>
      <x:c r="B770" s="2" t="s">
        <x:v>17</x:v>
      </x:c>
      <x:c r="C770" s="3">
        <x:v>148</x:v>
      </x:c>
      <x:c r="D770" s="2" t="s">
        <x:v>2449</x:v>
      </x:c>
      <x:c r="E770" s="2" t="s">
        <x:v>2405</x:v>
      </x:c>
      <x:c r="F770" s="2" t="s">
        <x:v>2389</x:v>
      </x:c>
      <x:c r="G770" s="2" t="s">
        <x:v>3043</x:v>
      </x:c>
      <x:c r="H770" s="2" t="s">
        <x:v>2377</x:v>
      </x:c>
      <x:c r="I770" s="2" t="s">
        <x:v>2451</x:v>
      </x:c>
      <x:c r="J770" s="2" t="s">
        <x:v>2379</x:v>
      </x:c>
      <x:c r="K770" s="2"/>
      <x:c r="L770" s="2" t="s">
        <x:v>2452</x:v>
      </x:c>
      <x:c r="M770" s="2" t="s">
        <x:v>2380</x:v>
      </x:c>
      <x:c r="N770" s="2">
        <x:v>6</x:v>
      </x:c>
      <x:c r="O770" s="2" t="s">
        <x:v>2381</x:v>
      </x:c>
      <x:c r="P770" s="2" t="s">
        <x:v>2382</x:v>
      </x:c>
      <x:c r="Q770" s="2"/>
      <x:c r="R770" s="3">
        <x:v>5</x:v>
      </x:c>
      <x:c r="S770" s="3">
        <x:v>0</x:v>
      </x:c>
      <x:c r="T770" s="2" t="s">
        <x:v>103</x:v>
      </x:c>
      <x:c r="U770" s="2"/>
      <x:c r="V770" s="2"/>
      <x:c r="W770" s="2"/>
      <x:c r="X770" s="3"/>
      <x:c r="Y770" s="3"/>
      <x:c r="Z770" s="2"/>
      <x:c r="AA770" s="2"/>
      <x:c r="AB770" s="2" t="s">
        <x:v>394</x:v>
      </x:c>
      <x:c r="AC770" s="2"/>
      <x:c r="AD770" s="2"/>
      <x:c r="AE770" s="2"/>
      <x:c r="AF770" s="2"/>
      <x:c r="AG770" s="2" t="s">
        <x:v>2036</x:v>
      </x:c>
      <x:c r="AH770" s="2"/>
      <x:c r="AI770" s="4"/>
      <x:c r="AJ770" s="2"/>
      <x:c r="AK770" s="2" t="s">
        <x:v>396</x:v>
      </x:c>
      <x:c r="AL770" s="2" t="s">
        <x:v>2857</x:v>
      </x:c>
      <x:c r="AM770" s="2">
        <x:v>150</x:v>
      </x:c>
      <x:c r="AN770" s="2">
        <x:v>150</x:v>
      </x:c>
    </x:row>
    <x:row r="771" ht="52">
      <x:c r="A771" s="2" t="s">
        <x:v>91</x:v>
      </x:c>
      <x:c r="B771" s="2" t="s">
        <x:v>17</x:v>
      </x:c>
      <x:c r="C771" s="3">
        <x:v>149</x:v>
      </x:c>
      <x:c r="D771" s="2" t="s">
        <x:v>2453</x:v>
      </x:c>
      <x:c r="E771" s="2" t="s">
        <x:v>2454</x:v>
      </x:c>
      <x:c r="F771" s="2" t="s">
        <x:v>2393</x:v>
      </x:c>
      <x:c r="G771" s="2"/>
      <x:c r="H771" s="2" t="s">
        <x:v>2377</x:v>
      </x:c>
      <x:c r="I771" s="2" t="s">
        <x:v>2456</x:v>
      </x:c>
      <x:c r="J771" s="2" t="s">
        <x:v>2379</x:v>
      </x:c>
      <x:c r="K771" s="2"/>
      <x:c r="L771" s="2" t="s">
        <x:v>2064</x:v>
      </x:c>
      <x:c r="M771" s="2" t="s">
        <x:v>2380</x:v>
      </x:c>
      <x:c r="N771" s="2">
        <x:v>6</x:v>
      </x:c>
      <x:c r="O771" s="2" t="s">
        <x:v>2381</x:v>
      </x:c>
      <x:c r="P771" s="2" t="s">
        <x:v>2382</x:v>
      </x:c>
      <x:c r="Q771" s="2"/>
      <x:c r="R771" s="3">
        <x:v>4</x:v>
      </x:c>
      <x:c r="S771" s="3">
        <x:v>0</x:v>
      </x:c>
      <x:c r="T771" s="2" t="s">
        <x:v>103</x:v>
      </x:c>
      <x:c r="U771" s="2"/>
      <x:c r="V771" s="2"/>
      <x:c r="W771" s="2"/>
      <x:c r="X771" s="3"/>
      <x:c r="Y771" s="3"/>
      <x:c r="Z771" s="2"/>
      <x:c r="AA771" s="2"/>
      <x:c r="AB771" s="2" t="s">
        <x:v>427</x:v>
      </x:c>
      <x:c r="AC771" s="2"/>
      <x:c r="AD771" s="2"/>
      <x:c r="AE771" s="2"/>
      <x:c r="AF771" s="2"/>
      <x:c r="AG771" s="2" t="s">
        <x:v>2060</x:v>
      </x:c>
      <x:c r="AH771" s="2"/>
      <x:c r="AI771" s="4"/>
      <x:c r="AJ771" s="2"/>
      <x:c r="AK771" s="2" t="s">
        <x:v>396</x:v>
      </x:c>
      <x:c r="AL771" s="2" t="s">
        <x:v>2857</x:v>
      </x:c>
      <x:c r="AM771" s="2">
        <x:v>151</x:v>
      </x:c>
      <x:c r="AN771" s="2">
        <x:v>151</x:v>
      </x:c>
    </x:row>
    <x:row r="772" ht="39">
      <x:c r="A772" s="2" t="s">
        <x:v>91</x:v>
      </x:c>
      <x:c r="B772" s="2" t="s">
        <x:v>18</x:v>
      </x:c>
      <x:c r="C772" s="3">
        <x:v>0</x:v>
      </x:c>
      <x:c r="D772" s="2" t="s">
        <x:v>449</x:v>
      </x:c>
      <x:c r="E772" s="2" t="s">
        <x:v>450</x:v>
      </x:c>
      <x:c r="F772" s="2" t="s">
        <x:v>451</x:v>
      </x:c>
      <x:c r="G772" s="2" t="s">
        <x:v>2754</x:v>
      </x:c>
      <x:c r="H772" s="2" t="s">
        <x:v>96</x:v>
      </x:c>
      <x:c r="I772" s="2" t="s">
        <x:v>453</x:v>
      </x:c>
      <x:c r="J772" s="2" t="s">
        <x:v>454</x:v>
      </x:c>
      <x:c r="K772" s="2"/>
      <x:c r="L772" s="2" t="s">
        <x:v>455</x:v>
      </x:c>
      <x:c r="M772" s="2"/>
      <x:c r="N772" s="2"/>
      <x:c r="O772" s="2" t="s">
        <x:v>456</x:v>
      </x:c>
      <x:c r="P772" s="2" t="s">
        <x:v>457</x:v>
      </x:c>
      <x:c r="Q772" s="2"/>
      <x:c r="R772" s="3">
        <x:v>4</x:v>
      </x:c>
      <x:c r="S772" s="3"/>
      <x:c r="T772" s="2"/>
      <x:c r="U772" s="2"/>
      <x:c r="V772" s="2"/>
      <x:c r="W772" s="2"/>
      <x:c r="X772" s="3"/>
      <x:c r="Y772" s="3"/>
      <x:c r="Z772" s="2"/>
      <x:c r="AA772" s="2"/>
      <x:c r="AB772" s="2"/>
      <x:c r="AC772" s="2"/>
      <x:c r="AD772" s="2" t="s">
        <x:v>431</x:v>
      </x:c>
      <x:c r="AE772" s="2"/>
      <x:c r="AF772" s="2"/>
      <x:c r="AG772" s="2"/>
      <x:c r="AH772" s="2" t="s">
        <x:v>458</x:v>
      </x:c>
      <x:c r="AI772" s="4">
        <x:v>8</x:v>
      </x:c>
      <x:c r="AJ772" s="2" t="s">
        <x:v>459</x:v>
      </x:c>
      <x:c r="AK772" s="2" t="s">
        <x:v>460</x:v>
      </x:c>
      <x:c r="AL772" s="2" t="s">
        <x:v>2857</x:v>
      </x:c>
      <x:c r="AM772" s="2">
        <x:v>2</x:v>
      </x:c>
      <x:c r="AN772" s="2">
        <x:v>2</x:v>
      </x:c>
    </x:row>
    <x:row r="773" ht="39">
      <x:c r="A773" s="2" t="s">
        <x:v>6</x:v>
      </x:c>
      <x:c r="B773" s="2" t="s">
        <x:v>18</x:v>
      </x:c>
      <x:c r="C773" s="3">
        <x:v>1</x:v>
      </x:c>
      <x:c r="D773" s="2" t="s">
        <x:v>462</x:v>
      </x:c>
      <x:c r="E773" s="2" t="s">
        <x:v>463</x:v>
      </x:c>
      <x:c r="F773" s="2" t="s">
        <x:v>464</x:v>
      </x:c>
      <x:c r="G773" s="2"/>
      <x:c r="H773" s="2" t="s">
        <x:v>96</x:v>
      </x:c>
      <x:c r="I773" s="2" t="s">
        <x:v>466</x:v>
      </x:c>
      <x:c r="J773" s="2" t="s">
        <x:v>454</x:v>
      </x:c>
      <x:c r="K773" s="2"/>
      <x:c r="L773" s="2" t="s">
        <x:v>467</x:v>
      </x:c>
      <x:c r="M773" s="2"/>
      <x:c r="N773" s="2"/>
      <x:c r="O773" s="2" t="s">
        <x:v>456</x:v>
      </x:c>
      <x:c r="P773" s="2" t="s">
        <x:v>468</x:v>
      </x:c>
      <x:c r="Q773" s="2"/>
      <x:c r="R773" s="3">
        <x:v>3</x:v>
      </x:c>
      <x:c r="S773" s="3"/>
      <x:c r="T773" s="2"/>
      <x:c r="U773" s="2"/>
      <x:c r="V773" s="2"/>
      <x:c r="W773" s="2"/>
      <x:c r="X773" s="3"/>
      <x:c r="Y773" s="3"/>
      <x:c r="Z773" s="2"/>
      <x:c r="AA773" s="2"/>
      <x:c r="AB773" s="2"/>
      <x:c r="AC773" s="2"/>
      <x:c r="AD773" s="2" t="s">
        <x:v>469</x:v>
      </x:c>
      <x:c r="AE773" s="2"/>
      <x:c r="AF773" s="2"/>
      <x:c r="AG773" s="2"/>
      <x:c r="AH773" s="2" t="s">
        <x:v>470</x:v>
      </x:c>
      <x:c r="AI773" s="4">
        <x:v>12</x:v>
      </x:c>
      <x:c r="AJ773" s="2" t="s">
        <x:v>471</x:v>
      </x:c>
      <x:c r="AK773" s="2" t="s">
        <x:v>460</x:v>
      </x:c>
      <x:c r="AL773" s="2" t="s">
        <x:v>2857</x:v>
      </x:c>
      <x:c r="AM773" s="2">
        <x:v>3</x:v>
      </x:c>
      <x:c r="AN773" s="2">
        <x:v>3</x:v>
      </x:c>
    </x:row>
    <x:row r="774" ht="39">
      <x:c r="A774" s="2" t="s">
        <x:v>6</x:v>
      </x:c>
      <x:c r="B774" s="2" t="s">
        <x:v>18</x:v>
      </x:c>
      <x:c r="C774" s="3">
        <x:v>2</x:v>
      </x:c>
      <x:c r="D774" s="2" t="s">
        <x:v>472</x:v>
      </x:c>
      <x:c r="E774" s="2" t="s">
        <x:v>473</x:v>
      </x:c>
      <x:c r="F774" s="2" t="s">
        <x:v>474</x:v>
      </x:c>
      <x:c r="G774" s="2"/>
      <x:c r="H774" s="2" t="s">
        <x:v>96</x:v>
      </x:c>
      <x:c r="I774" s="2" t="s">
        <x:v>476</x:v>
      </x:c>
      <x:c r="J774" s="2" t="s">
        <x:v>477</x:v>
      </x:c>
      <x:c r="K774" s="2"/>
      <x:c r="L774" s="2" t="s">
        <x:v>478</x:v>
      </x:c>
      <x:c r="M774" s="2"/>
      <x:c r="N774" s="2"/>
      <x:c r="O774" s="2" t="s">
        <x:v>456</x:v>
      </x:c>
      <x:c r="P774" s="2" t="s">
        <x:v>479</x:v>
      </x:c>
      <x:c r="Q774" s="2"/>
      <x:c r="R774" s="3">
        <x:v>3</x:v>
      </x:c>
      <x:c r="S774" s="3"/>
      <x:c r="T774" s="2"/>
      <x:c r="U774" s="2"/>
      <x:c r="V774" s="2"/>
      <x:c r="W774" s="2"/>
      <x:c r="X774" s="3"/>
      <x:c r="Y774" s="3"/>
      <x:c r="Z774" s="2"/>
      <x:c r="AA774" s="2"/>
      <x:c r="AB774" s="2"/>
      <x:c r="AC774" s="2"/>
      <x:c r="AD774" s="2" t="s">
        <x:v>480</x:v>
      </x:c>
      <x:c r="AE774" s="2"/>
      <x:c r="AF774" s="2"/>
      <x:c r="AG774" s="2"/>
      <x:c r="AH774" s="2" t="s">
        <x:v>458</x:v>
      </x:c>
      <x:c r="AI774" s="4">
        <x:v>16</x:v>
      </x:c>
      <x:c r="AJ774" s="2" t="s">
        <x:v>481</x:v>
      </x:c>
      <x:c r="AK774" s="2" t="s">
        <x:v>460</x:v>
      </x:c>
      <x:c r="AL774" s="2" t="s">
        <x:v>2857</x:v>
      </x:c>
      <x:c r="AM774" s="2">
        <x:v>4</x:v>
      </x:c>
      <x:c r="AN774" s="2">
        <x:v>4</x:v>
      </x:c>
    </x:row>
    <x:row r="775" ht="39">
      <x:c r="A775" s="2" t="s">
        <x:v>6</x:v>
      </x:c>
      <x:c r="B775" s="2" t="s">
        <x:v>18</x:v>
      </x:c>
      <x:c r="C775" s="3">
        <x:v>3</x:v>
      </x:c>
      <x:c r="D775" s="2" t="s">
        <x:v>482</x:v>
      </x:c>
      <x:c r="E775" s="2" t="s">
        <x:v>483</x:v>
      </x:c>
      <x:c r="F775" s="2" t="s">
        <x:v>484</x:v>
      </x:c>
      <x:c r="G775" s="2"/>
      <x:c r="H775" s="2" t="s">
        <x:v>96</x:v>
      </x:c>
      <x:c r="I775" s="2" t="s">
        <x:v>486</x:v>
      </x:c>
      <x:c r="J775" s="2" t="s">
        <x:v>477</x:v>
      </x:c>
      <x:c r="K775" s="2"/>
      <x:c r="L775" s="2" t="s">
        <x:v>487</x:v>
      </x:c>
      <x:c r="M775" s="2"/>
      <x:c r="N775" s="2"/>
      <x:c r="O775" s="2" t="s">
        <x:v>456</x:v>
      </x:c>
      <x:c r="P775" s="2" t="s">
        <x:v>488</x:v>
      </x:c>
      <x:c r="Q775" s="2"/>
      <x:c r="R775" s="3">
        <x:v>4</x:v>
      </x:c>
      <x:c r="S775" s="3"/>
      <x:c r="T775" s="2"/>
      <x:c r="U775" s="2"/>
      <x:c r="V775" s="2"/>
      <x:c r="W775" s="2"/>
      <x:c r="X775" s="3"/>
      <x:c r="Y775" s="3"/>
      <x:c r="Z775" s="2"/>
      <x:c r="AA775" s="2"/>
      <x:c r="AB775" s="2"/>
      <x:c r="AC775" s="2"/>
      <x:c r="AD775" s="2" t="s">
        <x:v>410</x:v>
      </x:c>
      <x:c r="AE775" s="2"/>
      <x:c r="AF775" s="2"/>
      <x:c r="AG775" s="2"/>
      <x:c r="AH775" s="2" t="s">
        <x:v>470</x:v>
      </x:c>
      <x:c r="AI775" s="4">
        <x:v>8</x:v>
      </x:c>
      <x:c r="AJ775" s="2" t="s">
        <x:v>489</x:v>
      </x:c>
      <x:c r="AK775" s="2" t="s">
        <x:v>460</x:v>
      </x:c>
      <x:c r="AL775" s="2" t="s">
        <x:v>2857</x:v>
      </x:c>
      <x:c r="AM775" s="2">
        <x:v>5</x:v>
      </x:c>
      <x:c r="AN775" s="2">
        <x:v>5</x:v>
      </x:c>
    </x:row>
    <x:row r="776" ht="39">
      <x:c r="A776" s="2" t="s">
        <x:v>6</x:v>
      </x:c>
      <x:c r="B776" s="2" t="s">
        <x:v>18</x:v>
      </x:c>
      <x:c r="C776" s="3">
        <x:v>4</x:v>
      </x:c>
      <x:c r="D776" s="2" t="s">
        <x:v>462</x:v>
      </x:c>
      <x:c r="E776" s="2" t="s">
        <x:v>490</x:v>
      </x:c>
      <x:c r="F776" s="2" t="s">
        <x:v>451</x:v>
      </x:c>
      <x:c r="G776" s="2"/>
      <x:c r="H776" s="2" t="s">
        <x:v>96</x:v>
      </x:c>
      <x:c r="I776" s="2" t="s">
        <x:v>492</x:v>
      </x:c>
      <x:c r="J776" s="2" t="s">
        <x:v>454</x:v>
      </x:c>
      <x:c r="K776" s="2"/>
      <x:c r="L776" s="2" t="s">
        <x:v>493</x:v>
      </x:c>
      <x:c r="M776" s="2"/>
      <x:c r="N776" s="2"/>
      <x:c r="O776" s="2" t="s">
        <x:v>456</x:v>
      </x:c>
      <x:c r="P776" s="2" t="s">
        <x:v>494</x:v>
      </x:c>
      <x:c r="Q776" s="2"/>
      <x:c r="R776" s="3">
        <x:v>4</x:v>
      </x:c>
      <x:c r="S776" s="3"/>
      <x:c r="T776" s="2"/>
      <x:c r="U776" s="2"/>
      <x:c r="V776" s="2"/>
      <x:c r="W776" s="2"/>
      <x:c r="X776" s="3"/>
      <x:c r="Y776" s="3"/>
      <x:c r="Z776" s="2"/>
      <x:c r="AA776" s="2"/>
      <x:c r="AB776" s="2"/>
      <x:c r="AC776" s="2"/>
      <x:c r="AD776" s="2" t="s">
        <x:v>431</x:v>
      </x:c>
      <x:c r="AE776" s="2"/>
      <x:c r="AF776" s="2"/>
      <x:c r="AG776" s="2"/>
      <x:c r="AH776" s="2" t="s">
        <x:v>470</x:v>
      </x:c>
      <x:c r="AI776" s="4">
        <x:v>12</x:v>
      </x:c>
      <x:c r="AJ776" s="2" t="s">
        <x:v>459</x:v>
      </x:c>
      <x:c r="AK776" s="2" t="s">
        <x:v>460</x:v>
      </x:c>
      <x:c r="AL776" s="2" t="s">
        <x:v>2857</x:v>
      </x:c>
      <x:c r="AM776" s="2">
        <x:v>6</x:v>
      </x:c>
      <x:c r="AN776" s="2">
        <x:v>6</x:v>
      </x:c>
    </x:row>
    <x:row r="777" ht="39">
      <x:c r="A777" s="2" t="s">
        <x:v>6</x:v>
      </x:c>
      <x:c r="B777" s="2" t="s">
        <x:v>18</x:v>
      </x:c>
      <x:c r="C777" s="3">
        <x:v>5</x:v>
      </x:c>
      <x:c r="D777" s="2" t="s">
        <x:v>462</x:v>
      </x:c>
      <x:c r="E777" s="2" t="s">
        <x:v>495</x:v>
      </x:c>
      <x:c r="F777" s="2" t="s">
        <x:v>464</x:v>
      </x:c>
      <x:c r="G777" s="2"/>
      <x:c r="H777" s="2" t="s">
        <x:v>96</x:v>
      </x:c>
      <x:c r="I777" s="2" t="s">
        <x:v>497</x:v>
      </x:c>
      <x:c r="J777" s="2" t="s">
        <x:v>454</x:v>
      </x:c>
      <x:c r="K777" s="2"/>
      <x:c r="L777" s="2" t="s">
        <x:v>498</x:v>
      </x:c>
      <x:c r="M777" s="2"/>
      <x:c r="N777" s="2"/>
      <x:c r="O777" s="2" t="s">
        <x:v>456</x:v>
      </x:c>
      <x:c r="P777" s="2" t="s">
        <x:v>499</x:v>
      </x:c>
      <x:c r="Q777" s="2"/>
      <x:c r="R777" s="3">
        <x:v>3</x:v>
      </x:c>
      <x:c r="S777" s="3"/>
      <x:c r="T777" s="2"/>
      <x:c r="U777" s="2"/>
      <x:c r="V777" s="2"/>
      <x:c r="W777" s="2"/>
      <x:c r="X777" s="3"/>
      <x:c r="Y777" s="3"/>
      <x:c r="Z777" s="2"/>
      <x:c r="AA777" s="2"/>
      <x:c r="AB777" s="2"/>
      <x:c r="AC777" s="2"/>
      <x:c r="AD777" s="2" t="s">
        <x:v>469</x:v>
      </x:c>
      <x:c r="AE777" s="2"/>
      <x:c r="AF777" s="2"/>
      <x:c r="AG777" s="2"/>
      <x:c r="AH777" s="2" t="s">
        <x:v>458</x:v>
      </x:c>
      <x:c r="AI777" s="4">
        <x:v>16</x:v>
      </x:c>
      <x:c r="AJ777" s="2" t="s">
        <x:v>471</x:v>
      </x:c>
      <x:c r="AK777" s="2" t="s">
        <x:v>460</x:v>
      </x:c>
      <x:c r="AL777" s="2" t="s">
        <x:v>2857</x:v>
      </x:c>
      <x:c r="AM777" s="2">
        <x:v>7</x:v>
      </x:c>
      <x:c r="AN777" s="2">
        <x:v>7</x:v>
      </x:c>
    </x:row>
    <x:row r="778" ht="39">
      <x:c r="A778" s="2" t="s">
        <x:v>6</x:v>
      </x:c>
      <x:c r="B778" s="2" t="s">
        <x:v>18</x:v>
      </x:c>
      <x:c r="C778" s="3">
        <x:v>6</x:v>
      </x:c>
      <x:c r="D778" s="2" t="s">
        <x:v>482</x:v>
      </x:c>
      <x:c r="E778" s="2" t="s">
        <x:v>500</x:v>
      </x:c>
      <x:c r="F778" s="2" t="s">
        <x:v>474</x:v>
      </x:c>
      <x:c r="G778" s="2"/>
      <x:c r="H778" s="2" t="s">
        <x:v>96</x:v>
      </x:c>
      <x:c r="I778" s="2" t="s">
        <x:v>502</x:v>
      </x:c>
      <x:c r="J778" s="2" t="s">
        <x:v>477</x:v>
      </x:c>
      <x:c r="K778" s="2"/>
      <x:c r="L778" s="2" t="s">
        <x:v>503</x:v>
      </x:c>
      <x:c r="M778" s="2"/>
      <x:c r="N778" s="2"/>
      <x:c r="O778" s="2" t="s">
        <x:v>456</x:v>
      </x:c>
      <x:c r="P778" s="2" t="s">
        <x:v>504</x:v>
      </x:c>
      <x:c r="Q778" s="2"/>
      <x:c r="R778" s="3">
        <x:v>3</x:v>
      </x:c>
      <x:c r="S778" s="3"/>
      <x:c r="T778" s="2"/>
      <x:c r="U778" s="2"/>
      <x:c r="V778" s="2"/>
      <x:c r="W778" s="2"/>
      <x:c r="X778" s="3"/>
      <x:c r="Y778" s="3"/>
      <x:c r="Z778" s="2"/>
      <x:c r="AA778" s="2"/>
      <x:c r="AB778" s="2"/>
      <x:c r="AC778" s="2"/>
      <x:c r="AD778" s="2" t="s">
        <x:v>480</x:v>
      </x:c>
      <x:c r="AE778" s="2"/>
      <x:c r="AF778" s="2"/>
      <x:c r="AG778" s="2"/>
      <x:c r="AH778" s="2" t="s">
        <x:v>470</x:v>
      </x:c>
      <x:c r="AI778" s="4">
        <x:v>8</x:v>
      </x:c>
      <x:c r="AJ778" s="2" t="s">
        <x:v>481</x:v>
      </x:c>
      <x:c r="AK778" s="2" t="s">
        <x:v>460</x:v>
      </x:c>
      <x:c r="AL778" s="2" t="s">
        <x:v>2857</x:v>
      </x:c>
      <x:c r="AM778" s="2">
        <x:v>8</x:v>
      </x:c>
      <x:c r="AN778" s="2">
        <x:v>8</x:v>
      </x:c>
    </x:row>
    <x:row r="779" ht="52">
      <x:c r="A779" s="2" t="s">
        <x:v>91</x:v>
      </x:c>
      <x:c r="B779" s="2" t="s">
        <x:v>18</x:v>
      </x:c>
      <x:c r="C779" s="3">
        <x:v>7</x:v>
      </x:c>
      <x:c r="D779" s="2" t="s">
        <x:v>505</x:v>
      </x:c>
      <x:c r="E779" s="2" t="s">
        <x:v>506</x:v>
      </x:c>
      <x:c r="F779" s="2" t="s">
        <x:v>484</x:v>
      </x:c>
      <x:c r="G779" s="2" t="s">
        <x:v>2848</x:v>
      </x:c>
      <x:c r="H779" s="2" t="s">
        <x:v>96</x:v>
      </x:c>
      <x:c r="I779" s="2" t="s">
        <x:v>508</x:v>
      </x:c>
      <x:c r="J779" s="2" t="s">
        <x:v>477</x:v>
      </x:c>
      <x:c r="K779" s="2"/>
      <x:c r="L779" s="2" t="s">
        <x:v>509</x:v>
      </x:c>
      <x:c r="M779" s="2"/>
      <x:c r="N779" s="2"/>
      <x:c r="O779" s="2" t="s">
        <x:v>456</x:v>
      </x:c>
      <x:c r="P779" s="2" t="s">
        <x:v>510</x:v>
      </x:c>
      <x:c r="Q779" s="2"/>
      <x:c r="R779" s="3">
        <x:v>4</x:v>
      </x:c>
      <x:c r="S779" s="3"/>
      <x:c r="T779" s="2"/>
      <x:c r="U779" s="2"/>
      <x:c r="V779" s="2"/>
      <x:c r="W779" s="2"/>
      <x:c r="X779" s="3"/>
      <x:c r="Y779" s="3"/>
      <x:c r="Z779" s="2"/>
      <x:c r="AA779" s="2"/>
      <x:c r="AB779" s="2"/>
      <x:c r="AC779" s="2"/>
      <x:c r="AD779" s="2" t="s">
        <x:v>410</x:v>
      </x:c>
      <x:c r="AE779" s="2"/>
      <x:c r="AF779" s="2"/>
      <x:c r="AG779" s="2"/>
      <x:c r="AH779" s="2" t="s">
        <x:v>458</x:v>
      </x:c>
      <x:c r="AI779" s="4">
        <x:v>12</x:v>
      </x:c>
      <x:c r="AJ779" s="2" t="s">
        <x:v>489</x:v>
      </x:c>
      <x:c r="AK779" s="2" t="s">
        <x:v>460</x:v>
      </x:c>
      <x:c r="AL779" s="2" t="s">
        <x:v>2857</x:v>
      </x:c>
      <x:c r="AM779" s="2">
        <x:v>9</x:v>
      </x:c>
      <x:c r="AN779" s="2">
        <x:v>9</x:v>
      </x:c>
    </x:row>
    <x:row r="780" ht="39">
      <x:c r="A780" s="2" t="s">
        <x:v>6</x:v>
      </x:c>
      <x:c r="B780" s="2" t="s">
        <x:v>18</x:v>
      </x:c>
      <x:c r="C780" s="3">
        <x:v>8</x:v>
      </x:c>
      <x:c r="D780" s="2" t="s">
        <x:v>449</x:v>
      </x:c>
      <x:c r="E780" s="2" t="s">
        <x:v>511</x:v>
      </x:c>
      <x:c r="F780" s="2" t="s">
        <x:v>451</x:v>
      </x:c>
      <x:c r="G780" s="2"/>
      <x:c r="H780" s="2" t="s">
        <x:v>96</x:v>
      </x:c>
      <x:c r="I780" s="2" t="s">
        <x:v>513</x:v>
      </x:c>
      <x:c r="J780" s="2" t="s">
        <x:v>454</x:v>
      </x:c>
      <x:c r="K780" s="2"/>
      <x:c r="L780" s="2" t="s">
        <x:v>514</x:v>
      </x:c>
      <x:c r="M780" s="2"/>
      <x:c r="N780" s="2"/>
      <x:c r="O780" s="2" t="s">
        <x:v>456</x:v>
      </x:c>
      <x:c r="P780" s="2" t="s">
        <x:v>515</x:v>
      </x:c>
      <x:c r="Q780" s="2"/>
      <x:c r="R780" s="3">
        <x:v>4</x:v>
      </x:c>
      <x:c r="S780" s="3"/>
      <x:c r="T780" s="2"/>
      <x:c r="U780" s="2"/>
      <x:c r="V780" s="2"/>
      <x:c r="W780" s="2"/>
      <x:c r="X780" s="3"/>
      <x:c r="Y780" s="3"/>
      <x:c r="Z780" s="2"/>
      <x:c r="AA780" s="2"/>
      <x:c r="AB780" s="2"/>
      <x:c r="AC780" s="2"/>
      <x:c r="AD780" s="2" t="s">
        <x:v>431</x:v>
      </x:c>
      <x:c r="AE780" s="2"/>
      <x:c r="AF780" s="2"/>
      <x:c r="AG780" s="2"/>
      <x:c r="AH780" s="2" t="s">
        <x:v>458</x:v>
      </x:c>
      <x:c r="AI780" s="4">
        <x:v>16</x:v>
      </x:c>
      <x:c r="AJ780" s="2" t="s">
        <x:v>459</x:v>
      </x:c>
      <x:c r="AK780" s="2" t="s">
        <x:v>460</x:v>
      </x:c>
      <x:c r="AL780" s="2" t="s">
        <x:v>2857</x:v>
      </x:c>
      <x:c r="AM780" s="2">
        <x:v>10</x:v>
      </x:c>
      <x:c r="AN780" s="2">
        <x:v>10</x:v>
      </x:c>
    </x:row>
    <x:row r="781" ht="39">
      <x:c r="A781" s="2" t="s">
        <x:v>6</x:v>
      </x:c>
      <x:c r="B781" s="2" t="s">
        <x:v>18</x:v>
      </x:c>
      <x:c r="C781" s="3">
        <x:v>9</x:v>
      </x:c>
      <x:c r="D781" s="2" t="s">
        <x:v>516</x:v>
      </x:c>
      <x:c r="E781" s="2" t="s">
        <x:v>517</x:v>
      </x:c>
      <x:c r="F781" s="2" t="s">
        <x:v>464</x:v>
      </x:c>
      <x:c r="G781" s="2"/>
      <x:c r="H781" s="2" t="s">
        <x:v>96</x:v>
      </x:c>
      <x:c r="I781" s="2" t="s">
        <x:v>519</x:v>
      </x:c>
      <x:c r="J781" s="2" t="s">
        <x:v>454</x:v>
      </x:c>
      <x:c r="K781" s="2"/>
      <x:c r="L781" s="2" t="s">
        <x:v>520</x:v>
      </x:c>
      <x:c r="M781" s="2"/>
      <x:c r="N781" s="2"/>
      <x:c r="O781" s="2" t="s">
        <x:v>456</x:v>
      </x:c>
      <x:c r="P781" s="2" t="s">
        <x:v>521</x:v>
      </x:c>
      <x:c r="Q781" s="2"/>
      <x:c r="R781" s="3">
        <x:v>3</x:v>
      </x:c>
      <x:c r="S781" s="3"/>
      <x:c r="T781" s="2"/>
      <x:c r="U781" s="2"/>
      <x:c r="V781" s="2"/>
      <x:c r="W781" s="2"/>
      <x:c r="X781" s="3"/>
      <x:c r="Y781" s="3"/>
      <x:c r="Z781" s="2"/>
      <x:c r="AA781" s="2"/>
      <x:c r="AB781" s="2"/>
      <x:c r="AC781" s="2"/>
      <x:c r="AD781" s="2" t="s">
        <x:v>469</x:v>
      </x:c>
      <x:c r="AE781" s="2"/>
      <x:c r="AF781" s="2"/>
      <x:c r="AG781" s="2"/>
      <x:c r="AH781" s="2" t="s">
        <x:v>470</x:v>
      </x:c>
      <x:c r="AI781" s="4">
        <x:v>8</x:v>
      </x:c>
      <x:c r="AJ781" s="2" t="s">
        <x:v>471</x:v>
      </x:c>
      <x:c r="AK781" s="2" t="s">
        <x:v>460</x:v>
      </x:c>
      <x:c r="AL781" s="2" t="s">
        <x:v>2857</x:v>
      </x:c>
      <x:c r="AM781" s="2">
        <x:v>11</x:v>
      </x:c>
      <x:c r="AN781" s="2">
        <x:v>11</x:v>
      </x:c>
    </x:row>
    <x:row r="782" ht="39">
      <x:c r="A782" s="2" t="s">
        <x:v>6</x:v>
      </x:c>
      <x:c r="B782" s="2" t="s">
        <x:v>18</x:v>
      </x:c>
      <x:c r="C782" s="3">
        <x:v>10</x:v>
      </x:c>
      <x:c r="D782" s="2" t="s">
        <x:v>482</x:v>
      </x:c>
      <x:c r="E782" s="2" t="s">
        <x:v>522</x:v>
      </x:c>
      <x:c r="F782" s="2" t="s">
        <x:v>474</x:v>
      </x:c>
      <x:c r="G782" s="2"/>
      <x:c r="H782" s="2" t="s">
        <x:v>96</x:v>
      </x:c>
      <x:c r="I782" s="2" t="s">
        <x:v>524</x:v>
      </x:c>
      <x:c r="J782" s="2" t="s">
        <x:v>477</x:v>
      </x:c>
      <x:c r="K782" s="2"/>
      <x:c r="L782" s="2" t="s">
        <x:v>525</x:v>
      </x:c>
      <x:c r="M782" s="2"/>
      <x:c r="N782" s="2"/>
      <x:c r="O782" s="2" t="s">
        <x:v>456</x:v>
      </x:c>
      <x:c r="P782" s="2" t="s">
        <x:v>526</x:v>
      </x:c>
      <x:c r="Q782" s="2"/>
      <x:c r="R782" s="3">
        <x:v>3</x:v>
      </x:c>
      <x:c r="S782" s="3"/>
      <x:c r="T782" s="2"/>
      <x:c r="U782" s="2"/>
      <x:c r="V782" s="2"/>
      <x:c r="W782" s="2"/>
      <x:c r="X782" s="3"/>
      <x:c r="Y782" s="3"/>
      <x:c r="Z782" s="2"/>
      <x:c r="AA782" s="2"/>
      <x:c r="AB782" s="2"/>
      <x:c r="AC782" s="2"/>
      <x:c r="AD782" s="2" t="s">
        <x:v>480</x:v>
      </x:c>
      <x:c r="AE782" s="2"/>
      <x:c r="AF782" s="2"/>
      <x:c r="AG782" s="2"/>
      <x:c r="AH782" s="2" t="s">
        <x:v>458</x:v>
      </x:c>
      <x:c r="AI782" s="4">
        <x:v>12</x:v>
      </x:c>
      <x:c r="AJ782" s="2" t="s">
        <x:v>481</x:v>
      </x:c>
      <x:c r="AK782" s="2" t="s">
        <x:v>460</x:v>
      </x:c>
      <x:c r="AL782" s="2" t="s">
        <x:v>2857</x:v>
      </x:c>
      <x:c r="AM782" s="2">
        <x:v>12</x:v>
      </x:c>
      <x:c r="AN782" s="2">
        <x:v>12</x:v>
      </x:c>
    </x:row>
    <x:row r="783" ht="39">
      <x:c r="A783" s="2" t="s">
        <x:v>6</x:v>
      </x:c>
      <x:c r="B783" s="2" t="s">
        <x:v>18</x:v>
      </x:c>
      <x:c r="C783" s="3">
        <x:v>11</x:v>
      </x:c>
      <x:c r="D783" s="2" t="s">
        <x:v>472</x:v>
      </x:c>
      <x:c r="E783" s="2" t="s">
        <x:v>527</x:v>
      </x:c>
      <x:c r="F783" s="2" t="s">
        <x:v>484</x:v>
      </x:c>
      <x:c r="G783" s="2"/>
      <x:c r="H783" s="2" t="s">
        <x:v>96</x:v>
      </x:c>
      <x:c r="I783" s="2" t="s">
        <x:v>529</x:v>
      </x:c>
      <x:c r="J783" s="2" t="s">
        <x:v>477</x:v>
      </x:c>
      <x:c r="K783" s="2"/>
      <x:c r="L783" s="2" t="s">
        <x:v>530</x:v>
      </x:c>
      <x:c r="M783" s="2"/>
      <x:c r="N783" s="2"/>
      <x:c r="O783" s="2" t="s">
        <x:v>456</x:v>
      </x:c>
      <x:c r="P783" s="2" t="s">
        <x:v>531</x:v>
      </x:c>
      <x:c r="Q783" s="2"/>
      <x:c r="R783" s="3">
        <x:v>4</x:v>
      </x:c>
      <x:c r="S783" s="3"/>
      <x:c r="T783" s="2"/>
      <x:c r="U783" s="2"/>
      <x:c r="V783" s="2"/>
      <x:c r="W783" s="2"/>
      <x:c r="X783" s="3"/>
      <x:c r="Y783" s="3"/>
      <x:c r="Z783" s="2"/>
      <x:c r="AA783" s="2"/>
      <x:c r="AB783" s="2"/>
      <x:c r="AC783" s="2"/>
      <x:c r="AD783" s="2" t="s">
        <x:v>410</x:v>
      </x:c>
      <x:c r="AE783" s="2"/>
      <x:c r="AF783" s="2"/>
      <x:c r="AG783" s="2"/>
      <x:c r="AH783" s="2" t="s">
        <x:v>470</x:v>
      </x:c>
      <x:c r="AI783" s="4">
        <x:v>16</x:v>
      </x:c>
      <x:c r="AJ783" s="2" t="s">
        <x:v>489</x:v>
      </x:c>
      <x:c r="AK783" s="2" t="s">
        <x:v>460</x:v>
      </x:c>
      <x:c r="AL783" s="2" t="s">
        <x:v>2857</x:v>
      </x:c>
      <x:c r="AM783" s="2">
        <x:v>13</x:v>
      </x:c>
      <x:c r="AN783" s="2">
        <x:v>13</x:v>
      </x:c>
    </x:row>
    <x:row r="784" ht="39">
      <x:c r="A784" s="2" t="s">
        <x:v>6</x:v>
      </x:c>
      <x:c r="B784" s="2" t="s">
        <x:v>18</x:v>
      </x:c>
      <x:c r="C784" s="3">
        <x:v>12</x:v>
      </x:c>
      <x:c r="D784" s="2" t="s">
        <x:v>516</x:v>
      </x:c>
      <x:c r="E784" s="2" t="s">
        <x:v>532</x:v>
      </x:c>
      <x:c r="F784" s="2" t="s">
        <x:v>451</x:v>
      </x:c>
      <x:c r="G784" s="2"/>
      <x:c r="H784" s="2" t="s">
        <x:v>96</x:v>
      </x:c>
      <x:c r="I784" s="2" t="s">
        <x:v>533</x:v>
      </x:c>
      <x:c r="J784" s="2" t="s">
        <x:v>454</x:v>
      </x:c>
      <x:c r="K784" s="2"/>
      <x:c r="L784" s="2" t="s">
        <x:v>534</x:v>
      </x:c>
      <x:c r="M784" s="2"/>
      <x:c r="N784" s="2"/>
      <x:c r="O784" s="2" t="s">
        <x:v>456</x:v>
      </x:c>
      <x:c r="P784" s="2" t="s">
        <x:v>535</x:v>
      </x:c>
      <x:c r="Q784" s="2"/>
      <x:c r="R784" s="3">
        <x:v>4</x:v>
      </x:c>
      <x:c r="S784" s="3"/>
      <x:c r="T784" s="2"/>
      <x:c r="U784" s="2"/>
      <x:c r="V784" s="2"/>
      <x:c r="W784" s="2"/>
      <x:c r="X784" s="3"/>
      <x:c r="Y784" s="3"/>
      <x:c r="Z784" s="2"/>
      <x:c r="AA784" s="2"/>
      <x:c r="AB784" s="2"/>
      <x:c r="AC784" s="2"/>
      <x:c r="AD784" s="2" t="s">
        <x:v>431</x:v>
      </x:c>
      <x:c r="AE784" s="2"/>
      <x:c r="AF784" s="2"/>
      <x:c r="AG784" s="2"/>
      <x:c r="AH784" s="2" t="s">
        <x:v>470</x:v>
      </x:c>
      <x:c r="AI784" s="4">
        <x:v>8</x:v>
      </x:c>
      <x:c r="AJ784" s="2" t="s">
        <x:v>459</x:v>
      </x:c>
      <x:c r="AK784" s="2" t="s">
        <x:v>460</x:v>
      </x:c>
      <x:c r="AL784" s="2" t="s">
        <x:v>2857</x:v>
      </x:c>
      <x:c r="AM784" s="2">
        <x:v>14</x:v>
      </x:c>
      <x:c r="AN784" s="2">
        <x:v>14</x:v>
      </x:c>
    </x:row>
    <x:row r="785" ht="39">
      <x:c r="A785" s="2" t="s">
        <x:v>6</x:v>
      </x:c>
      <x:c r="B785" s="2" t="s">
        <x:v>18</x:v>
      </x:c>
      <x:c r="C785" s="3">
        <x:v>13</x:v>
      </x:c>
      <x:c r="D785" s="2" t="s">
        <x:v>516</x:v>
      </x:c>
      <x:c r="E785" s="2" t="s">
        <x:v>536</x:v>
      </x:c>
      <x:c r="F785" s="2" t="s">
        <x:v>464</x:v>
      </x:c>
      <x:c r="G785" s="2"/>
      <x:c r="H785" s="2" t="s">
        <x:v>96</x:v>
      </x:c>
      <x:c r="I785" s="2" t="s">
        <x:v>538</x:v>
      </x:c>
      <x:c r="J785" s="2" t="s">
        <x:v>454</x:v>
      </x:c>
      <x:c r="K785" s="2"/>
      <x:c r="L785" s="2" t="s">
        <x:v>539</x:v>
      </x:c>
      <x:c r="M785" s="2"/>
      <x:c r="N785" s="2"/>
      <x:c r="O785" s="2" t="s">
        <x:v>456</x:v>
      </x:c>
      <x:c r="P785" s="2" t="s">
        <x:v>540</x:v>
      </x:c>
      <x:c r="Q785" s="2"/>
      <x:c r="R785" s="3">
        <x:v>3</x:v>
      </x:c>
      <x:c r="S785" s="3"/>
      <x:c r="T785" s="2"/>
      <x:c r="U785" s="2"/>
      <x:c r="V785" s="2"/>
      <x:c r="W785" s="2"/>
      <x:c r="X785" s="3"/>
      <x:c r="Y785" s="3"/>
      <x:c r="Z785" s="2"/>
      <x:c r="AA785" s="2"/>
      <x:c r="AB785" s="2"/>
      <x:c r="AC785" s="2"/>
      <x:c r="AD785" s="2" t="s">
        <x:v>469</x:v>
      </x:c>
      <x:c r="AE785" s="2"/>
      <x:c r="AF785" s="2"/>
      <x:c r="AG785" s="2"/>
      <x:c r="AH785" s="2" t="s">
        <x:v>458</x:v>
      </x:c>
      <x:c r="AI785" s="4">
        <x:v>12</x:v>
      </x:c>
      <x:c r="AJ785" s="2" t="s">
        <x:v>471</x:v>
      </x:c>
      <x:c r="AK785" s="2" t="s">
        <x:v>460</x:v>
      </x:c>
      <x:c r="AL785" s="2" t="s">
        <x:v>2857</x:v>
      </x:c>
      <x:c r="AM785" s="2">
        <x:v>15</x:v>
      </x:c>
      <x:c r="AN785" s="2">
        <x:v>15</x:v>
      </x:c>
    </x:row>
    <x:row r="786" ht="39">
      <x:c r="A786" s="2" t="s">
        <x:v>6</x:v>
      </x:c>
      <x:c r="B786" s="2" t="s">
        <x:v>18</x:v>
      </x:c>
      <x:c r="C786" s="3">
        <x:v>14</x:v>
      </x:c>
      <x:c r="D786" s="2" t="s">
        <x:v>482</x:v>
      </x:c>
      <x:c r="E786" s="2" t="s">
        <x:v>541</x:v>
      </x:c>
      <x:c r="F786" s="2" t="s">
        <x:v>474</x:v>
      </x:c>
      <x:c r="G786" s="2"/>
      <x:c r="H786" s="2" t="s">
        <x:v>96</x:v>
      </x:c>
      <x:c r="I786" s="2" t="s">
        <x:v>543</x:v>
      </x:c>
      <x:c r="J786" s="2" t="s">
        <x:v>477</x:v>
      </x:c>
      <x:c r="K786" s="2"/>
      <x:c r="L786" s="2" t="s">
        <x:v>544</x:v>
      </x:c>
      <x:c r="M786" s="2"/>
      <x:c r="N786" s="2"/>
      <x:c r="O786" s="2" t="s">
        <x:v>456</x:v>
      </x:c>
      <x:c r="P786" s="2" t="s">
        <x:v>545</x:v>
      </x:c>
      <x:c r="Q786" s="2"/>
      <x:c r="R786" s="3">
        <x:v>3</x:v>
      </x:c>
      <x:c r="S786" s="3"/>
      <x:c r="T786" s="2"/>
      <x:c r="U786" s="2"/>
      <x:c r="V786" s="2"/>
      <x:c r="W786" s="2"/>
      <x:c r="X786" s="3"/>
      <x:c r="Y786" s="3"/>
      <x:c r="Z786" s="2"/>
      <x:c r="AA786" s="2"/>
      <x:c r="AB786" s="2"/>
      <x:c r="AC786" s="2"/>
      <x:c r="AD786" s="2" t="s">
        <x:v>480</x:v>
      </x:c>
      <x:c r="AE786" s="2"/>
      <x:c r="AF786" s="2"/>
      <x:c r="AG786" s="2"/>
      <x:c r="AH786" s="2" t="s">
        <x:v>470</x:v>
      </x:c>
      <x:c r="AI786" s="4">
        <x:v>16</x:v>
      </x:c>
      <x:c r="AJ786" s="2" t="s">
        <x:v>481</x:v>
      </x:c>
      <x:c r="AK786" s="2" t="s">
        <x:v>460</x:v>
      </x:c>
      <x:c r="AL786" s="2" t="s">
        <x:v>2857</x:v>
      </x:c>
      <x:c r="AM786" s="2">
        <x:v>16</x:v>
      </x:c>
      <x:c r="AN786" s="2">
        <x:v>16</x:v>
      </x:c>
    </x:row>
    <x:row r="787" ht="39">
      <x:c r="A787" s="2" t="s">
        <x:v>6</x:v>
      </x:c>
      <x:c r="B787" s="2" t="s">
        <x:v>18</x:v>
      </x:c>
      <x:c r="C787" s="3">
        <x:v>15</x:v>
      </x:c>
      <x:c r="D787" s="2" t="s">
        <x:v>472</x:v>
      </x:c>
      <x:c r="E787" s="2" t="s">
        <x:v>546</x:v>
      </x:c>
      <x:c r="F787" s="2" t="s">
        <x:v>484</x:v>
      </x:c>
      <x:c r="G787" s="2"/>
      <x:c r="H787" s="2" t="s">
        <x:v>96</x:v>
      </x:c>
      <x:c r="I787" s="2" t="s">
        <x:v>548</x:v>
      </x:c>
      <x:c r="J787" s="2" t="s">
        <x:v>477</x:v>
      </x:c>
      <x:c r="K787" s="2"/>
      <x:c r="L787" s="2" t="s">
        <x:v>549</x:v>
      </x:c>
      <x:c r="M787" s="2"/>
      <x:c r="N787" s="2"/>
      <x:c r="O787" s="2" t="s">
        <x:v>456</x:v>
      </x:c>
      <x:c r="P787" s="2" t="s">
        <x:v>550</x:v>
      </x:c>
      <x:c r="Q787" s="2"/>
      <x:c r="R787" s="3">
        <x:v>4</x:v>
      </x:c>
      <x:c r="S787" s="3"/>
      <x:c r="T787" s="2"/>
      <x:c r="U787" s="2"/>
      <x:c r="V787" s="2"/>
      <x:c r="W787" s="2"/>
      <x:c r="X787" s="3"/>
      <x:c r="Y787" s="3"/>
      <x:c r="Z787" s="2"/>
      <x:c r="AA787" s="2"/>
      <x:c r="AB787" s="2"/>
      <x:c r="AC787" s="2"/>
      <x:c r="AD787" s="2" t="s">
        <x:v>410</x:v>
      </x:c>
      <x:c r="AE787" s="2"/>
      <x:c r="AF787" s="2"/>
      <x:c r="AG787" s="2"/>
      <x:c r="AH787" s="2" t="s">
        <x:v>458</x:v>
      </x:c>
      <x:c r="AI787" s="4">
        <x:v>8</x:v>
      </x:c>
      <x:c r="AJ787" s="2" t="s">
        <x:v>489</x:v>
      </x:c>
      <x:c r="AK787" s="2" t="s">
        <x:v>460</x:v>
      </x:c>
      <x:c r="AL787" s="2" t="s">
        <x:v>2857</x:v>
      </x:c>
      <x:c r="AM787" s="2">
        <x:v>17</x:v>
      </x:c>
      <x:c r="AN787" s="2">
        <x:v>17</x:v>
      </x:c>
    </x:row>
    <x:row r="788" ht="52">
      <x:c r="A788" s="2" t="s">
        <x:v>6</x:v>
      </x:c>
      <x:c r="B788" s="2" t="s">
        <x:v>18</x:v>
      </x:c>
      <x:c r="C788" s="3">
        <x:v>16</x:v>
      </x:c>
      <x:c r="D788" s="2" t="s">
        <x:v>449</x:v>
      </x:c>
      <x:c r="E788" s="2" t="s">
        <x:v>551</x:v>
      </x:c>
      <x:c r="F788" s="2" t="s">
        <x:v>451</x:v>
      </x:c>
      <x:c r="G788" s="2"/>
      <x:c r="H788" s="2" t="s">
        <x:v>96</x:v>
      </x:c>
      <x:c r="I788" s="2" t="s">
        <x:v>553</x:v>
      </x:c>
      <x:c r="J788" s="2" t="s">
        <x:v>454</x:v>
      </x:c>
      <x:c r="K788" s="2"/>
      <x:c r="L788" s="2" t="s">
        <x:v>554</x:v>
      </x:c>
      <x:c r="M788" s="2"/>
      <x:c r="N788" s="2"/>
      <x:c r="O788" s="2" t="s">
        <x:v>456</x:v>
      </x:c>
      <x:c r="P788" s="2" t="s">
        <x:v>555</x:v>
      </x:c>
      <x:c r="Q788" s="2"/>
      <x:c r="R788" s="3">
        <x:v>4</x:v>
      </x:c>
      <x:c r="S788" s="3"/>
      <x:c r="T788" s="2"/>
      <x:c r="U788" s="2"/>
      <x:c r="V788" s="2"/>
      <x:c r="W788" s="2"/>
      <x:c r="X788" s="3"/>
      <x:c r="Y788" s="3"/>
      <x:c r="Z788" s="2"/>
      <x:c r="AA788" s="2"/>
      <x:c r="AB788" s="2"/>
      <x:c r="AC788" s="2"/>
      <x:c r="AD788" s="2" t="s">
        <x:v>431</x:v>
      </x:c>
      <x:c r="AE788" s="2"/>
      <x:c r="AF788" s="2"/>
      <x:c r="AG788" s="2"/>
      <x:c r="AH788" s="2" t="s">
        <x:v>458</x:v>
      </x:c>
      <x:c r="AI788" s="4">
        <x:v>12</x:v>
      </x:c>
      <x:c r="AJ788" s="2" t="s">
        <x:v>459</x:v>
      </x:c>
      <x:c r="AK788" s="2" t="s">
        <x:v>460</x:v>
      </x:c>
      <x:c r="AL788" s="2" t="s">
        <x:v>2857</x:v>
      </x:c>
      <x:c r="AM788" s="2">
        <x:v>18</x:v>
      </x:c>
      <x:c r="AN788" s="2">
        <x:v>18</x:v>
      </x:c>
    </x:row>
    <x:row r="789" ht="39">
      <x:c r="A789" s="2" t="s">
        <x:v>91</x:v>
      </x:c>
      <x:c r="B789" s="2" t="s">
        <x:v>18</x:v>
      </x:c>
      <x:c r="C789" s="3">
        <x:v>17</x:v>
      </x:c>
      <x:c r="D789" s="2" t="s">
        <x:v>516</x:v>
      </x:c>
      <x:c r="E789" s="2" t="s">
        <x:v>556</x:v>
      </x:c>
      <x:c r="F789" s="2" t="s">
        <x:v>464</x:v>
      </x:c>
      <x:c r="G789" s="2"/>
      <x:c r="H789" s="2" t="s">
        <x:v>96</x:v>
      </x:c>
      <x:c r="I789" s="2" t="s">
        <x:v>558</x:v>
      </x:c>
      <x:c r="J789" s="2" t="s">
        <x:v>454</x:v>
      </x:c>
      <x:c r="K789" s="2"/>
      <x:c r="L789" s="2" t="s">
        <x:v>559</x:v>
      </x:c>
      <x:c r="M789" s="2"/>
      <x:c r="N789" s="2"/>
      <x:c r="O789" s="2" t="s">
        <x:v>456</x:v>
      </x:c>
      <x:c r="P789" s="2" t="s">
        <x:v>560</x:v>
      </x:c>
      <x:c r="Q789" s="2"/>
      <x:c r="R789" s="3">
        <x:v>3</x:v>
      </x:c>
      <x:c r="S789" s="3"/>
      <x:c r="T789" s="2"/>
      <x:c r="U789" s="2"/>
      <x:c r="V789" s="2"/>
      <x:c r="W789" s="2"/>
      <x:c r="X789" s="3"/>
      <x:c r="Y789" s="3"/>
      <x:c r="Z789" s="2"/>
      <x:c r="AA789" s="2"/>
      <x:c r="AB789" s="2"/>
      <x:c r="AC789" s="2"/>
      <x:c r="AD789" s="2" t="s">
        <x:v>469</x:v>
      </x:c>
      <x:c r="AE789" s="2"/>
      <x:c r="AF789" s="2"/>
      <x:c r="AG789" s="2"/>
      <x:c r="AH789" s="2" t="s">
        <x:v>470</x:v>
      </x:c>
      <x:c r="AI789" s="4">
        <x:v>16</x:v>
      </x:c>
      <x:c r="AJ789" s="2" t="s">
        <x:v>471</x:v>
      </x:c>
      <x:c r="AK789" s="2" t="s">
        <x:v>460</x:v>
      </x:c>
      <x:c r="AL789" s="2" t="s">
        <x:v>2857</x:v>
      </x:c>
      <x:c r="AM789" s="2">
        <x:v>19</x:v>
      </x:c>
      <x:c r="AN789" s="2">
        <x:v>19</x:v>
      </x:c>
    </x:row>
    <x:row r="790" ht="39">
      <x:c r="A790" s="2" t="s">
        <x:v>6</x:v>
      </x:c>
      <x:c r="B790" s="2" t="s">
        <x:v>18</x:v>
      </x:c>
      <x:c r="C790" s="3">
        <x:v>18</x:v>
      </x:c>
      <x:c r="D790" s="2" t="s">
        <x:v>472</x:v>
      </x:c>
      <x:c r="E790" s="2" t="s">
        <x:v>561</x:v>
      </x:c>
      <x:c r="F790" s="2" t="s">
        <x:v>474</x:v>
      </x:c>
      <x:c r="G790" s="2"/>
      <x:c r="H790" s="2" t="s">
        <x:v>96</x:v>
      </x:c>
      <x:c r="I790" s="2" t="s">
        <x:v>563</x:v>
      </x:c>
      <x:c r="J790" s="2" t="s">
        <x:v>477</x:v>
      </x:c>
      <x:c r="K790" s="2"/>
      <x:c r="L790" s="2" t="s">
        <x:v>564</x:v>
      </x:c>
      <x:c r="M790" s="2"/>
      <x:c r="N790" s="2"/>
      <x:c r="O790" s="2" t="s">
        <x:v>456</x:v>
      </x:c>
      <x:c r="P790" s="2" t="s">
        <x:v>565</x:v>
      </x:c>
      <x:c r="Q790" s="2"/>
      <x:c r="R790" s="3">
        <x:v>3</x:v>
      </x:c>
      <x:c r="S790" s="3"/>
      <x:c r="T790" s="2"/>
      <x:c r="U790" s="2"/>
      <x:c r="V790" s="2"/>
      <x:c r="W790" s="2"/>
      <x:c r="X790" s="3"/>
      <x:c r="Y790" s="3"/>
      <x:c r="Z790" s="2"/>
      <x:c r="AA790" s="2"/>
      <x:c r="AB790" s="2"/>
      <x:c r="AC790" s="2"/>
      <x:c r="AD790" s="2" t="s">
        <x:v>480</x:v>
      </x:c>
      <x:c r="AE790" s="2"/>
      <x:c r="AF790" s="2"/>
      <x:c r="AG790" s="2"/>
      <x:c r="AH790" s="2" t="s">
        <x:v>458</x:v>
      </x:c>
      <x:c r="AI790" s="4">
        <x:v>8</x:v>
      </x:c>
      <x:c r="AJ790" s="2" t="s">
        <x:v>481</x:v>
      </x:c>
      <x:c r="AK790" s="2" t="s">
        <x:v>460</x:v>
      </x:c>
      <x:c r="AL790" s="2" t="s">
        <x:v>2857</x:v>
      </x:c>
      <x:c r="AM790" s="2">
        <x:v>20</x:v>
      </x:c>
      <x:c r="AN790" s="2">
        <x:v>20</x:v>
      </x:c>
    </x:row>
    <x:row r="791" ht="39">
      <x:c r="A791" s="2" t="s">
        <x:v>91</x:v>
      </x:c>
      <x:c r="B791" s="2" t="s">
        <x:v>18</x:v>
      </x:c>
      <x:c r="C791" s="3">
        <x:v>19</x:v>
      </x:c>
      <x:c r="D791" s="2" t="s">
        <x:v>505</x:v>
      </x:c>
      <x:c r="E791" s="2" t="s">
        <x:v>566</x:v>
      </x:c>
      <x:c r="F791" s="2" t="s">
        <x:v>484</x:v>
      </x:c>
      <x:c r="G791" s="2" t="s">
        <x:v>3044</x:v>
      </x:c>
      <x:c r="H791" s="2" t="s">
        <x:v>96</x:v>
      </x:c>
      <x:c r="I791" s="2" t="s">
        <x:v>568</x:v>
      </x:c>
      <x:c r="J791" s="2" t="s">
        <x:v>477</x:v>
      </x:c>
      <x:c r="K791" s="2"/>
      <x:c r="L791" s="2" t="s">
        <x:v>569</x:v>
      </x:c>
      <x:c r="M791" s="2"/>
      <x:c r="N791" s="2"/>
      <x:c r="O791" s="2" t="s">
        <x:v>456</x:v>
      </x:c>
      <x:c r="P791" s="2" t="s">
        <x:v>570</x:v>
      </x:c>
      <x:c r="Q791" s="2"/>
      <x:c r="R791" s="3">
        <x:v>4</x:v>
      </x:c>
      <x:c r="S791" s="3"/>
      <x:c r="T791" s="2"/>
      <x:c r="U791" s="2"/>
      <x:c r="V791" s="2"/>
      <x:c r="W791" s="2"/>
      <x:c r="X791" s="3"/>
      <x:c r="Y791" s="3"/>
      <x:c r="Z791" s="2"/>
      <x:c r="AA791" s="2"/>
      <x:c r="AB791" s="2"/>
      <x:c r="AC791" s="2"/>
      <x:c r="AD791" s="2" t="s">
        <x:v>410</x:v>
      </x:c>
      <x:c r="AE791" s="2"/>
      <x:c r="AF791" s="2"/>
      <x:c r="AG791" s="2"/>
      <x:c r="AH791" s="2" t="s">
        <x:v>470</x:v>
      </x:c>
      <x:c r="AI791" s="4">
        <x:v>12</x:v>
      </x:c>
      <x:c r="AJ791" s="2" t="s">
        <x:v>489</x:v>
      </x:c>
      <x:c r="AK791" s="2" t="s">
        <x:v>460</x:v>
      </x:c>
      <x:c r="AL791" s="2" t="s">
        <x:v>2857</x:v>
      </x:c>
      <x:c r="AM791" s="2">
        <x:v>21</x:v>
      </x:c>
      <x:c r="AN791" s="2">
        <x:v>21</x:v>
      </x:c>
    </x:row>
    <x:row r="792" ht="39">
      <x:c r="A792" s="2" t="s">
        <x:v>91</x:v>
      </x:c>
      <x:c r="B792" s="2" t="s">
        <x:v>18</x:v>
      </x:c>
      <x:c r="C792" s="3">
        <x:v>20</x:v>
      </x:c>
      <x:c r="D792" s="2" t="s">
        <x:v>505</x:v>
      </x:c>
      <x:c r="E792" s="2" t="s">
        <x:v>2461</x:v>
      </x:c>
      <x:c r="F792" s="2" t="s">
        <x:v>464</x:v>
      </x:c>
      <x:c r="G792" s="2" t="s">
        <x:v>2876</x:v>
      </x:c>
      <x:c r="H792" s="2" t="s">
        <x:v>618</x:v>
      </x:c>
      <x:c r="I792" s="2" t="s">
        <x:v>2462</x:v>
      </x:c>
      <x:c r="J792" s="2" t="s">
        <x:v>477</x:v>
      </x:c>
      <x:c r="K792" s="2"/>
      <x:c r="L792" s="2" t="s">
        <x:v>2463</x:v>
      </x:c>
      <x:c r="M792" s="2"/>
      <x:c r="N792" s="2"/>
      <x:c r="O792" s="2" t="s">
        <x:v>2464</x:v>
      </x:c>
      <x:c r="P792" s="2" t="s">
        <x:v>2465</x:v>
      </x:c>
      <x:c r="Q792" s="2"/>
      <x:c r="R792" s="3">
        <x:v>2</x:v>
      </x:c>
      <x:c r="S792" s="3"/>
      <x:c r="T792" s="2"/>
      <x:c r="U792" s="2"/>
      <x:c r="V792" s="2"/>
      <x:c r="W792" s="2"/>
      <x:c r="X792" s="3"/>
      <x:c r="Y792" s="3"/>
      <x:c r="Z792" s="2"/>
      <x:c r="AA792" s="2"/>
      <x:c r="AB792" s="2"/>
      <x:c r="AC792" s="2"/>
      <x:c r="AD792" s="2" t="s">
        <x:v>469</x:v>
      </x:c>
      <x:c r="AE792" s="2"/>
      <x:c r="AF792" s="2"/>
      <x:c r="AG792" s="2"/>
      <x:c r="AH792" s="2" t="s">
        <x:v>458</x:v>
      </x:c>
      <x:c r="AI792" s="4">
        <x:v>8</x:v>
      </x:c>
      <x:c r="AJ792" s="2" t="s">
        <x:v>2466</x:v>
      </x:c>
      <x:c r="AK792" s="2" t="s">
        <x:v>460</x:v>
      </x:c>
      <x:c r="AL792" s="2" t="s">
        <x:v>2857</x:v>
      </x:c>
      <x:c r="AM792" s="2">
        <x:v>22</x:v>
      </x:c>
      <x:c r="AN792" s="2">
        <x:v>22</x:v>
      </x:c>
    </x:row>
    <x:row r="793" ht="39">
      <x:c r="A793" s="2" t="s">
        <x:v>6</x:v>
      </x:c>
      <x:c r="B793" s="2" t="s">
        <x:v>18</x:v>
      </x:c>
      <x:c r="C793" s="3">
        <x:v>21</x:v>
      </x:c>
      <x:c r="D793" s="2" t="s">
        <x:v>2467</x:v>
      </x:c>
      <x:c r="E793" s="2" t="s">
        <x:v>2461</x:v>
      </x:c>
      <x:c r="F793" s="2" t="s">
        <x:v>464</x:v>
      </x:c>
      <x:c r="G793" s="2"/>
      <x:c r="H793" s="2" t="s">
        <x:v>627</x:v>
      </x:c>
      <x:c r="I793" s="2" t="s">
        <x:v>2462</x:v>
      </x:c>
      <x:c r="J793" s="2" t="s">
        <x:v>2468</x:v>
      </x:c>
      <x:c r="K793" s="2" t="n">
        <x:v>20</x:v>
      </x:c>
      <x:c r="L793" s="2" t="s">
        <x:v>2469</x:v>
      </x:c>
      <x:c r="M793" s="2"/>
      <x:c r="N793" s="2"/>
      <x:c r="O793" s="2" t="s">
        <x:v>2470</x:v>
      </x:c>
      <x:c r="P793" s="2" t="s">
        <x:v>2471</x:v>
      </x:c>
      <x:c r="Q793" s="2"/>
      <x:c r="R793" s="3">
        <x:v>2</x:v>
      </x:c>
      <x:c r="S793" s="3"/>
      <x:c r="T793" s="2"/>
      <x:c r="U793" s="2"/>
      <x:c r="V793" s="2"/>
      <x:c r="W793" s="2"/>
      <x:c r="X793" s="3"/>
      <x:c r="Y793" s="3"/>
      <x:c r="Z793" s="2"/>
      <x:c r="AA793" s="2"/>
      <x:c r="AB793" s="2"/>
      <x:c r="AC793" s="2"/>
      <x:c r="AD793" s="2" t="s">
        <x:v>469</x:v>
      </x:c>
      <x:c r="AE793" s="2"/>
      <x:c r="AF793" s="2"/>
      <x:c r="AG793" s="2"/>
      <x:c r="AH793" s="2" t="s">
        <x:v>458</x:v>
      </x:c>
      <x:c r="AI793" s="4">
        <x:v>8</x:v>
      </x:c>
      <x:c r="AJ793" s="2" t="s">
        <x:v>2472</x:v>
      </x:c>
      <x:c r="AK793" s="2" t="s">
        <x:v>460</x:v>
      </x:c>
      <x:c r="AL793" s="2" t="s">
        <x:v>2857</x:v>
      </x:c>
      <x:c r="AM793" s="2">
        <x:v>23</x:v>
      </x:c>
      <x:c r="AN793" s="2">
        <x:v>23</x:v>
      </x:c>
    </x:row>
    <x:row r="794" ht="39">
      <x:c r="A794" s="2" t="s">
        <x:v>91</x:v>
      </x:c>
      <x:c r="B794" s="2" t="s">
        <x:v>18</x:v>
      </x:c>
      <x:c r="C794" s="3">
        <x:v>22</x:v>
      </x:c>
      <x:c r="D794" s="2" t="s">
        <x:v>2473</x:v>
      </x:c>
      <x:c r="E794" s="2" t="s">
        <x:v>2461</x:v>
      </x:c>
      <x:c r="F794" s="2" t="s">
        <x:v>464</x:v>
      </x:c>
      <x:c r="G794" s="2" t="s">
        <x:v>2876</x:v>
      </x:c>
      <x:c r="H794" s="2" t="s">
        <x:v>634</x:v>
      </x:c>
      <x:c r="I794" s="2" t="s">
        <x:v>2462</x:v>
      </x:c>
      <x:c r="J794" s="2" t="s">
        <x:v>477</x:v>
      </x:c>
      <x:c r="K794" s="2" t="n">
        <x:v>20</x:v>
      </x:c>
      <x:c r="L794" s="2" t="s">
        <x:v>2463</x:v>
      </x:c>
      <x:c r="M794" s="2"/>
      <x:c r="N794" s="2"/>
      <x:c r="O794" s="2" t="s">
        <x:v>2474</x:v>
      </x:c>
      <x:c r="P794" s="2" t="s">
        <x:v>2475</x:v>
      </x:c>
      <x:c r="Q794" s="2"/>
      <x:c r="R794" s="3">
        <x:v>2</x:v>
      </x:c>
      <x:c r="S794" s="3"/>
      <x:c r="T794" s="2"/>
      <x:c r="U794" s="2"/>
      <x:c r="V794" s="2"/>
      <x:c r="W794" s="2"/>
      <x:c r="X794" s="3"/>
      <x:c r="Y794" s="3"/>
      <x:c r="Z794" s="2"/>
      <x:c r="AA794" s="2"/>
      <x:c r="AB794" s="2"/>
      <x:c r="AC794" s="2"/>
      <x:c r="AD794" s="2" t="s">
        <x:v>469</x:v>
      </x:c>
      <x:c r="AE794" s="2"/>
      <x:c r="AF794" s="2"/>
      <x:c r="AG794" s="2"/>
      <x:c r="AH794" s="2" t="s">
        <x:v>458</x:v>
      </x:c>
      <x:c r="AI794" s="4">
        <x:v>8</x:v>
      </x:c>
      <x:c r="AJ794" s="2" t="s">
        <x:v>635</x:v>
      </x:c>
      <x:c r="AK794" s="2" t="s">
        <x:v>460</x:v>
      </x:c>
      <x:c r="AL794" s="2" t="s">
        <x:v>2857</x:v>
      </x:c>
      <x:c r="AM794" s="2">
        <x:v>24</x:v>
      </x:c>
      <x:c r="AN794" s="2">
        <x:v>24</x:v>
      </x:c>
    </x:row>
    <x:row r="795" ht="39">
      <x:c r="A795" s="2" t="s">
        <x:v>6</x:v>
      </x:c>
      <x:c r="B795" s="2" t="s">
        <x:v>18</x:v>
      </x:c>
      <x:c r="C795" s="3">
        <x:v>23</x:v>
      </x:c>
      <x:c r="D795" s="2" t="s">
        <x:v>2476</x:v>
      </x:c>
      <x:c r="E795" s="2" t="s">
        <x:v>2461</x:v>
      </x:c>
      <x:c r="F795" s="2" t="s">
        <x:v>464</x:v>
      </x:c>
      <x:c r="G795" s="2"/>
      <x:c r="H795" s="2" t="s">
        <x:v>634</x:v>
      </x:c>
      <x:c r="I795" s="2" t="s">
        <x:v>2462</x:v>
      </x:c>
      <x:c r="J795" s="2" t="s">
        <x:v>2468</x:v>
      </x:c>
      <x:c r="K795" s="2" t="n">
        <x:v>20</x:v>
      </x:c>
      <x:c r="L795" s="2" t="s">
        <x:v>2469</x:v>
      </x:c>
      <x:c r="M795" s="2"/>
      <x:c r="N795" s="2"/>
      <x:c r="O795" s="2" t="s">
        <x:v>2477</x:v>
      </x:c>
      <x:c r="P795" s="2" t="s">
        <x:v>1057</x:v>
      </x:c>
      <x:c r="Q795" s="2"/>
      <x:c r="R795" s="3">
        <x:v>2</x:v>
      </x:c>
      <x:c r="S795" s="3"/>
      <x:c r="T795" s="2"/>
      <x:c r="U795" s="2"/>
      <x:c r="V795" s="2"/>
      <x:c r="W795" s="2"/>
      <x:c r="X795" s="3"/>
      <x:c r="Y795" s="3"/>
      <x:c r="Z795" s="2"/>
      <x:c r="AA795" s="2"/>
      <x:c r="AB795" s="2"/>
      <x:c r="AC795" s="2"/>
      <x:c r="AD795" s="2" t="s">
        <x:v>469</x:v>
      </x:c>
      <x:c r="AE795" s="2"/>
      <x:c r="AF795" s="2"/>
      <x:c r="AG795" s="2"/>
      <x:c r="AH795" s="2" t="s">
        <x:v>458</x:v>
      </x:c>
      <x:c r="AI795" s="4">
        <x:v>8</x:v>
      </x:c>
      <x:c r="AJ795" s="2" t="s">
        <x:v>2478</x:v>
      </x:c>
      <x:c r="AK795" s="2" t="s">
        <x:v>460</x:v>
      </x:c>
      <x:c r="AL795" s="2" t="s">
        <x:v>2857</x:v>
      </x:c>
      <x:c r="AM795" s="2">
        <x:v>25</x:v>
      </x:c>
      <x:c r="AN795" s="2">
        <x:v>25</x:v>
      </x:c>
    </x:row>
    <x:row r="796" ht="39">
      <x:c r="A796" s="2" t="s">
        <x:v>6</x:v>
      </x:c>
      <x:c r="B796" s="2" t="s">
        <x:v>18</x:v>
      </x:c>
      <x:c r="C796" s="3">
        <x:v>24</x:v>
      </x:c>
      <x:c r="D796" s="2" t="s">
        <x:v>462</x:v>
      </x:c>
      <x:c r="E796" s="2" t="s">
        <x:v>2479</x:v>
      </x:c>
      <x:c r="F796" s="2" t="s">
        <x:v>474</x:v>
      </x:c>
      <x:c r="G796" s="2"/>
      <x:c r="H796" s="2" t="s">
        <x:v>618</x:v>
      </x:c>
      <x:c r="I796" s="2" t="s">
        <x:v>2481</x:v>
      </x:c>
      <x:c r="J796" s="2" t="s">
        <x:v>454</x:v>
      </x:c>
      <x:c r="K796" s="2"/>
      <x:c r="L796" s="2" t="s">
        <x:v>2482</x:v>
      </x:c>
      <x:c r="M796" s="2"/>
      <x:c r="N796" s="2"/>
      <x:c r="O796" s="2" t="s">
        <x:v>2464</x:v>
      </x:c>
      <x:c r="P796" s="2" t="s">
        <x:v>2483</x:v>
      </x:c>
      <x:c r="Q796" s="2"/>
      <x:c r="R796" s="3">
        <x:v>2</x:v>
      </x:c>
      <x:c r="S796" s="3"/>
      <x:c r="T796" s="2"/>
      <x:c r="U796" s="2"/>
      <x:c r="V796" s="2"/>
      <x:c r="W796" s="2"/>
      <x:c r="X796" s="3"/>
      <x:c r="Y796" s="3"/>
      <x:c r="Z796" s="2"/>
      <x:c r="AA796" s="2"/>
      <x:c r="AB796" s="2"/>
      <x:c r="AC796" s="2"/>
      <x:c r="AD796" s="2" t="s">
        <x:v>480</x:v>
      </x:c>
      <x:c r="AE796" s="2"/>
      <x:c r="AF796" s="2"/>
      <x:c r="AG796" s="2"/>
      <x:c r="AH796" s="2" t="s">
        <x:v>470</x:v>
      </x:c>
      <x:c r="AI796" s="4">
        <x:v>12</x:v>
      </x:c>
      <x:c r="AJ796" s="2" t="s">
        <x:v>2484</x:v>
      </x:c>
      <x:c r="AK796" s="2" t="s">
        <x:v>460</x:v>
      </x:c>
      <x:c r="AL796" s="2" t="s">
        <x:v>2857</x:v>
      </x:c>
      <x:c r="AM796" s="2">
        <x:v>26</x:v>
      </x:c>
      <x:c r="AN796" s="2">
        <x:v>26</x:v>
      </x:c>
    </x:row>
    <x:row r="797" ht="39">
      <x:c r="A797" s="2" t="s">
        <x:v>6</x:v>
      </x:c>
      <x:c r="B797" s="2" t="s">
        <x:v>18</x:v>
      </x:c>
      <x:c r="C797" s="3">
        <x:v>25</x:v>
      </x:c>
      <x:c r="D797" s="2" t="s">
        <x:v>2485</x:v>
      </x:c>
      <x:c r="E797" s="2" t="s">
        <x:v>2479</x:v>
      </x:c>
      <x:c r="F797" s="2" t="s">
        <x:v>474</x:v>
      </x:c>
      <x:c r="G797" s="2"/>
      <x:c r="H797" s="2" t="s">
        <x:v>627</x:v>
      </x:c>
      <x:c r="I797" s="2" t="s">
        <x:v>2481</x:v>
      </x:c>
      <x:c r="J797" s="2" t="s">
        <x:v>2468</x:v>
      </x:c>
      <x:c r="K797" s="2" t="n">
        <x:v>24</x:v>
      </x:c>
      <x:c r="L797" s="2" t="s">
        <x:v>2486</x:v>
      </x:c>
      <x:c r="M797" s="2"/>
      <x:c r="N797" s="2"/>
      <x:c r="O797" s="2" t="s">
        <x:v>2470</x:v>
      </x:c>
      <x:c r="P797" s="2" t="s">
        <x:v>2487</x:v>
      </x:c>
      <x:c r="Q797" s="2"/>
      <x:c r="R797" s="3">
        <x:v>2</x:v>
      </x:c>
      <x:c r="S797" s="3"/>
      <x:c r="T797" s="2"/>
      <x:c r="U797" s="2"/>
      <x:c r="V797" s="2"/>
      <x:c r="W797" s="2"/>
      <x:c r="X797" s="3"/>
      <x:c r="Y797" s="3"/>
      <x:c r="Z797" s="2"/>
      <x:c r="AA797" s="2"/>
      <x:c r="AB797" s="2"/>
      <x:c r="AC797" s="2"/>
      <x:c r="AD797" s="2" t="s">
        <x:v>480</x:v>
      </x:c>
      <x:c r="AE797" s="2"/>
      <x:c r="AF797" s="2"/>
      <x:c r="AG797" s="2"/>
      <x:c r="AH797" s="2" t="s">
        <x:v>470</x:v>
      </x:c>
      <x:c r="AI797" s="4">
        <x:v>12</x:v>
      </x:c>
      <x:c r="AJ797" s="2" t="s">
        <x:v>2472</x:v>
      </x:c>
      <x:c r="AK797" s="2" t="s">
        <x:v>460</x:v>
      </x:c>
      <x:c r="AL797" s="2" t="s">
        <x:v>2857</x:v>
      </x:c>
      <x:c r="AM797" s="2">
        <x:v>27</x:v>
      </x:c>
      <x:c r="AN797" s="2">
        <x:v>27</x:v>
      </x:c>
    </x:row>
    <x:row r="798" ht="39">
      <x:c r="A798" s="2" t="s">
        <x:v>6</x:v>
      </x:c>
      <x:c r="B798" s="2" t="s">
        <x:v>18</x:v>
      </x:c>
      <x:c r="C798" s="3">
        <x:v>26</x:v>
      </x:c>
      <x:c r="D798" s="2" t="s">
        <x:v>2488</x:v>
      </x:c>
      <x:c r="E798" s="2" t="s">
        <x:v>2479</x:v>
      </x:c>
      <x:c r="F798" s="2" t="s">
        <x:v>474</x:v>
      </x:c>
      <x:c r="G798" s="2"/>
      <x:c r="H798" s="2" t="s">
        <x:v>634</x:v>
      </x:c>
      <x:c r="I798" s="2" t="s">
        <x:v>2481</x:v>
      </x:c>
      <x:c r="J798" s="2" t="s">
        <x:v>454</x:v>
      </x:c>
      <x:c r="K798" s="2" t="n">
        <x:v>24</x:v>
      </x:c>
      <x:c r="L798" s="2" t="s">
        <x:v>2482</x:v>
      </x:c>
      <x:c r="M798" s="2"/>
      <x:c r="N798" s="2"/>
      <x:c r="O798" s="2" t="s">
        <x:v>2474</x:v>
      </x:c>
      <x:c r="P798" s="2" t="s">
        <x:v>2475</x:v>
      </x:c>
      <x:c r="Q798" s="2"/>
      <x:c r="R798" s="3">
        <x:v>2</x:v>
      </x:c>
      <x:c r="S798" s="3"/>
      <x:c r="T798" s="2"/>
      <x:c r="U798" s="2"/>
      <x:c r="V798" s="2"/>
      <x:c r="W798" s="2"/>
      <x:c r="X798" s="3"/>
      <x:c r="Y798" s="3"/>
      <x:c r="Z798" s="2"/>
      <x:c r="AA798" s="2"/>
      <x:c r="AB798" s="2"/>
      <x:c r="AC798" s="2"/>
      <x:c r="AD798" s="2" t="s">
        <x:v>480</x:v>
      </x:c>
      <x:c r="AE798" s="2"/>
      <x:c r="AF798" s="2"/>
      <x:c r="AG798" s="2"/>
      <x:c r="AH798" s="2" t="s">
        <x:v>470</x:v>
      </x:c>
      <x:c r="AI798" s="4">
        <x:v>12</x:v>
      </x:c>
      <x:c r="AJ798" s="2" t="s">
        <x:v>635</x:v>
      </x:c>
      <x:c r="AK798" s="2" t="s">
        <x:v>460</x:v>
      </x:c>
      <x:c r="AL798" s="2" t="s">
        <x:v>2857</x:v>
      </x:c>
      <x:c r="AM798" s="2">
        <x:v>28</x:v>
      </x:c>
      <x:c r="AN798" s="2">
        <x:v>28</x:v>
      </x:c>
    </x:row>
    <x:row r="799" ht="39">
      <x:c r="A799" s="2" t="s">
        <x:v>6</x:v>
      </x:c>
      <x:c r="B799" s="2" t="s">
        <x:v>18</x:v>
      </x:c>
      <x:c r="C799" s="3">
        <x:v>27</x:v>
      </x:c>
      <x:c r="D799" s="2" t="s">
        <x:v>2489</x:v>
      </x:c>
      <x:c r="E799" s="2" t="s">
        <x:v>2479</x:v>
      </x:c>
      <x:c r="F799" s="2" t="s">
        <x:v>474</x:v>
      </x:c>
      <x:c r="G799" s="2"/>
      <x:c r="H799" s="2" t="s">
        <x:v>634</x:v>
      </x:c>
      <x:c r="I799" s="2" t="s">
        <x:v>2481</x:v>
      </x:c>
      <x:c r="J799" s="2" t="s">
        <x:v>2468</x:v>
      </x:c>
      <x:c r="K799" s="2" t="n">
        <x:v>24</x:v>
      </x:c>
      <x:c r="L799" s="2" t="s">
        <x:v>2486</x:v>
      </x:c>
      <x:c r="M799" s="2"/>
      <x:c r="N799" s="2"/>
      <x:c r="O799" s="2" t="s">
        <x:v>2477</x:v>
      </x:c>
      <x:c r="P799" s="2" t="s">
        <x:v>1057</x:v>
      </x:c>
      <x:c r="Q799" s="2"/>
      <x:c r="R799" s="3">
        <x:v>2</x:v>
      </x:c>
      <x:c r="S799" s="3"/>
      <x:c r="T799" s="2"/>
      <x:c r="U799" s="2"/>
      <x:c r="V799" s="2"/>
      <x:c r="W799" s="2"/>
      <x:c r="X799" s="3"/>
      <x:c r="Y799" s="3"/>
      <x:c r="Z799" s="2"/>
      <x:c r="AA799" s="2"/>
      <x:c r="AB799" s="2"/>
      <x:c r="AC799" s="2"/>
      <x:c r="AD799" s="2" t="s">
        <x:v>480</x:v>
      </x:c>
      <x:c r="AE799" s="2"/>
      <x:c r="AF799" s="2"/>
      <x:c r="AG799" s="2"/>
      <x:c r="AH799" s="2" t="s">
        <x:v>470</x:v>
      </x:c>
      <x:c r="AI799" s="4">
        <x:v>12</x:v>
      </x:c>
      <x:c r="AJ799" s="2" t="s">
        <x:v>2478</x:v>
      </x:c>
      <x:c r="AK799" s="2" t="s">
        <x:v>460</x:v>
      </x:c>
      <x:c r="AL799" s="2" t="s">
        <x:v>2857</x:v>
      </x:c>
      <x:c r="AM799" s="2">
        <x:v>29</x:v>
      </x:c>
      <x:c r="AN799" s="2">
        <x:v>29</x:v>
      </x:c>
    </x:row>
    <x:row r="800" ht="39">
      <x:c r="A800" s="2" t="s">
        <x:v>6</x:v>
      </x:c>
      <x:c r="B800" s="2" t="s">
        <x:v>18</x:v>
      </x:c>
      <x:c r="C800" s="3">
        <x:v>28</x:v>
      </x:c>
      <x:c r="D800" s="2" t="s">
        <x:v>482</x:v>
      </x:c>
      <x:c r="E800" s="2" t="s">
        <x:v>2490</x:v>
      </x:c>
      <x:c r="F800" s="2" t="s">
        <x:v>464</x:v>
      </x:c>
      <x:c r="G800" s="2" t="s">
        <x:v>3045</x:v>
      </x:c>
      <x:c r="H800" s="2" t="s">
        <x:v>618</x:v>
      </x:c>
      <x:c r="I800" s="2" t="s">
        <x:v>2491</x:v>
      </x:c>
      <x:c r="J800" s="2" t="s">
        <x:v>477</x:v>
      </x:c>
      <x:c r="K800" s="2"/>
      <x:c r="L800" s="2" t="s">
        <x:v>2492</x:v>
      </x:c>
      <x:c r="M800" s="2"/>
      <x:c r="N800" s="2"/>
      <x:c r="O800" s="2" t="s">
        <x:v>2464</x:v>
      </x:c>
      <x:c r="P800" s="2" t="s">
        <x:v>2493</x:v>
      </x:c>
      <x:c r="Q800" s="2"/>
      <x:c r="R800" s="3">
        <x:v>2</x:v>
      </x:c>
      <x:c r="S800" s="3"/>
      <x:c r="T800" s="2"/>
      <x:c r="U800" s="2"/>
      <x:c r="V800" s="2"/>
      <x:c r="W800" s="2"/>
      <x:c r="X800" s="3"/>
      <x:c r="Y800" s="3"/>
      <x:c r="Z800" s="2"/>
      <x:c r="AA800" s="2"/>
      <x:c r="AB800" s="2"/>
      <x:c r="AC800" s="2"/>
      <x:c r="AD800" s="2" t="s">
        <x:v>469</x:v>
      </x:c>
      <x:c r="AE800" s="2"/>
      <x:c r="AF800" s="2"/>
      <x:c r="AG800" s="2"/>
      <x:c r="AH800" s="2" t="s">
        <x:v>470</x:v>
      </x:c>
      <x:c r="AI800" s="4">
        <x:v>12</x:v>
      </x:c>
      <x:c r="AJ800" s="2" t="s">
        <x:v>2494</x:v>
      </x:c>
      <x:c r="AK800" s="2" t="s">
        <x:v>460</x:v>
      </x:c>
      <x:c r="AL800" s="2" t="s">
        <x:v>2857</x:v>
      </x:c>
      <x:c r="AM800" s="2">
        <x:v>30</x:v>
      </x:c>
      <x:c r="AN800" s="2">
        <x:v>30</x:v>
      </x:c>
    </x:row>
    <x:row r="801" ht="39">
      <x:c r="A801" s="2" t="s">
        <x:v>6</x:v>
      </x:c>
      <x:c r="B801" s="2" t="s">
        <x:v>18</x:v>
      </x:c>
      <x:c r="C801" s="3">
        <x:v>29</x:v>
      </x:c>
      <x:c r="D801" s="2" t="s">
        <x:v>2495</x:v>
      </x:c>
      <x:c r="E801" s="2" t="s">
        <x:v>2490</x:v>
      </x:c>
      <x:c r="F801" s="2" t="s">
        <x:v>464</x:v>
      </x:c>
      <x:c r="G801" s="2"/>
      <x:c r="H801" s="2" t="s">
        <x:v>627</x:v>
      </x:c>
      <x:c r="I801" s="2" t="s">
        <x:v>2491</x:v>
      </x:c>
      <x:c r="J801" s="2" t="s">
        <x:v>2468</x:v>
      </x:c>
      <x:c r="K801" s="2" t="n">
        <x:v>28</x:v>
      </x:c>
      <x:c r="L801" s="2" t="s">
        <x:v>2496</x:v>
      </x:c>
      <x:c r="M801" s="2"/>
      <x:c r="N801" s="2"/>
      <x:c r="O801" s="2" t="s">
        <x:v>2470</x:v>
      </x:c>
      <x:c r="P801" s="2" t="s">
        <x:v>2497</x:v>
      </x:c>
      <x:c r="Q801" s="2"/>
      <x:c r="R801" s="3">
        <x:v>2</x:v>
      </x:c>
      <x:c r="S801" s="3"/>
      <x:c r="T801" s="2"/>
      <x:c r="U801" s="2"/>
      <x:c r="V801" s="2"/>
      <x:c r="W801" s="2"/>
      <x:c r="X801" s="3"/>
      <x:c r="Y801" s="3"/>
      <x:c r="Z801" s="2"/>
      <x:c r="AA801" s="2"/>
      <x:c r="AB801" s="2"/>
      <x:c r="AC801" s="2"/>
      <x:c r="AD801" s="2" t="s">
        <x:v>469</x:v>
      </x:c>
      <x:c r="AE801" s="2"/>
      <x:c r="AF801" s="2"/>
      <x:c r="AG801" s="2"/>
      <x:c r="AH801" s="2" t="s">
        <x:v>470</x:v>
      </x:c>
      <x:c r="AI801" s="4">
        <x:v>12</x:v>
      </x:c>
      <x:c r="AJ801" s="2" t="s">
        <x:v>2472</x:v>
      </x:c>
      <x:c r="AK801" s="2" t="s">
        <x:v>460</x:v>
      </x:c>
      <x:c r="AL801" s="2" t="s">
        <x:v>2857</x:v>
      </x:c>
      <x:c r="AM801" s="2">
        <x:v>31</x:v>
      </x:c>
      <x:c r="AN801" s="2">
        <x:v>31</x:v>
      </x:c>
    </x:row>
    <x:row r="802" ht="39">
      <x:c r="A802" s="2" t="s">
        <x:v>6</x:v>
      </x:c>
      <x:c r="B802" s="2" t="s">
        <x:v>18</x:v>
      </x:c>
      <x:c r="C802" s="3">
        <x:v>30</x:v>
      </x:c>
      <x:c r="D802" s="2" t="s">
        <x:v>2498</x:v>
      </x:c>
      <x:c r="E802" s="2" t="s">
        <x:v>2490</x:v>
      </x:c>
      <x:c r="F802" s="2" t="s">
        <x:v>464</x:v>
      </x:c>
      <x:c r="G802" s="2"/>
      <x:c r="H802" s="2" t="s">
        <x:v>634</x:v>
      </x:c>
      <x:c r="I802" s="2" t="s">
        <x:v>2491</x:v>
      </x:c>
      <x:c r="J802" s="2" t="s">
        <x:v>477</x:v>
      </x:c>
      <x:c r="K802" s="2" t="n">
        <x:v>28</x:v>
      </x:c>
      <x:c r="L802" s="2" t="s">
        <x:v>2492</x:v>
      </x:c>
      <x:c r="M802" s="2"/>
      <x:c r="N802" s="2"/>
      <x:c r="O802" s="2" t="s">
        <x:v>2474</x:v>
      </x:c>
      <x:c r="P802" s="2" t="s">
        <x:v>2475</x:v>
      </x:c>
      <x:c r="Q802" s="2"/>
      <x:c r="R802" s="3">
        <x:v>2</x:v>
      </x:c>
      <x:c r="S802" s="3"/>
      <x:c r="T802" s="2"/>
      <x:c r="U802" s="2"/>
      <x:c r="V802" s="2"/>
      <x:c r="W802" s="2"/>
      <x:c r="X802" s="3"/>
      <x:c r="Y802" s="3"/>
      <x:c r="Z802" s="2"/>
      <x:c r="AA802" s="2"/>
      <x:c r="AB802" s="2"/>
      <x:c r="AC802" s="2"/>
      <x:c r="AD802" s="2" t="s">
        <x:v>469</x:v>
      </x:c>
      <x:c r="AE802" s="2"/>
      <x:c r="AF802" s="2"/>
      <x:c r="AG802" s="2"/>
      <x:c r="AH802" s="2" t="s">
        <x:v>470</x:v>
      </x:c>
      <x:c r="AI802" s="4">
        <x:v>12</x:v>
      </x:c>
      <x:c r="AJ802" s="2" t="s">
        <x:v>635</x:v>
      </x:c>
      <x:c r="AK802" s="2" t="s">
        <x:v>460</x:v>
      </x:c>
      <x:c r="AL802" s="2" t="s">
        <x:v>2857</x:v>
      </x:c>
      <x:c r="AM802" s="2">
        <x:v>32</x:v>
      </x:c>
      <x:c r="AN802" s="2">
        <x:v>32</x:v>
      </x:c>
    </x:row>
    <x:row r="803" ht="39">
      <x:c r="A803" s="2" t="s">
        <x:v>6</x:v>
      </x:c>
      <x:c r="B803" s="2" t="s">
        <x:v>18</x:v>
      </x:c>
      <x:c r="C803" s="3">
        <x:v>31</x:v>
      </x:c>
      <x:c r="D803" s="2" t="s">
        <x:v>2499</x:v>
      </x:c>
      <x:c r="E803" s="2" t="s">
        <x:v>2490</x:v>
      </x:c>
      <x:c r="F803" s="2" t="s">
        <x:v>464</x:v>
      </x:c>
      <x:c r="G803" s="2"/>
      <x:c r="H803" s="2" t="s">
        <x:v>634</x:v>
      </x:c>
      <x:c r="I803" s="2" t="s">
        <x:v>2491</x:v>
      </x:c>
      <x:c r="J803" s="2" t="s">
        <x:v>2468</x:v>
      </x:c>
      <x:c r="K803" s="2" t="n">
        <x:v>28</x:v>
      </x:c>
      <x:c r="L803" s="2" t="s">
        <x:v>2496</x:v>
      </x:c>
      <x:c r="M803" s="2"/>
      <x:c r="N803" s="2"/>
      <x:c r="O803" s="2" t="s">
        <x:v>2477</x:v>
      </x:c>
      <x:c r="P803" s="2" t="s">
        <x:v>1057</x:v>
      </x:c>
      <x:c r="Q803" s="2"/>
      <x:c r="R803" s="3">
        <x:v>2</x:v>
      </x:c>
      <x:c r="S803" s="3"/>
      <x:c r="T803" s="2"/>
      <x:c r="U803" s="2"/>
      <x:c r="V803" s="2"/>
      <x:c r="W803" s="2"/>
      <x:c r="X803" s="3"/>
      <x:c r="Y803" s="3"/>
      <x:c r="Z803" s="2"/>
      <x:c r="AA803" s="2"/>
      <x:c r="AB803" s="2"/>
      <x:c r="AC803" s="2"/>
      <x:c r="AD803" s="2" t="s">
        <x:v>469</x:v>
      </x:c>
      <x:c r="AE803" s="2"/>
      <x:c r="AF803" s="2"/>
      <x:c r="AG803" s="2"/>
      <x:c r="AH803" s="2" t="s">
        <x:v>470</x:v>
      </x:c>
      <x:c r="AI803" s="4">
        <x:v>12</x:v>
      </x:c>
      <x:c r="AJ803" s="2" t="s">
        <x:v>2478</x:v>
      </x:c>
      <x:c r="AK803" s="2" t="s">
        <x:v>460</x:v>
      </x:c>
      <x:c r="AL803" s="2" t="s">
        <x:v>2857</x:v>
      </x:c>
      <x:c r="AM803" s="2">
        <x:v>33</x:v>
      </x:c>
      <x:c r="AN803" s="2">
        <x:v>33</x:v>
      </x:c>
    </x:row>
    <x:row r="804" ht="39">
      <x:c r="A804" s="2" t="s">
        <x:v>6</x:v>
      </x:c>
      <x:c r="B804" s="2" t="s">
        <x:v>18</x:v>
      </x:c>
      <x:c r="C804" s="3">
        <x:v>32</x:v>
      </x:c>
      <x:c r="D804" s="2" t="s">
        <x:v>516</x:v>
      </x:c>
      <x:c r="E804" s="2" t="s">
        <x:v>2500</x:v>
      </x:c>
      <x:c r="F804" s="2" t="s">
        <x:v>474</x:v>
      </x:c>
      <x:c r="G804" s="2"/>
      <x:c r="H804" s="2" t="s">
        <x:v>618</x:v>
      </x:c>
      <x:c r="I804" s="2" t="s">
        <x:v>2501</x:v>
      </x:c>
      <x:c r="J804" s="2" t="s">
        <x:v>454</x:v>
      </x:c>
      <x:c r="K804" s="2"/>
      <x:c r="L804" s="2" t="s">
        <x:v>2502</x:v>
      </x:c>
      <x:c r="M804" s="2"/>
      <x:c r="N804" s="2"/>
      <x:c r="O804" s="2" t="s">
        <x:v>2464</x:v>
      </x:c>
      <x:c r="P804" s="2" t="s">
        <x:v>2503</x:v>
      </x:c>
      <x:c r="Q804" s="2"/>
      <x:c r="R804" s="3">
        <x:v>2</x:v>
      </x:c>
      <x:c r="S804" s="3"/>
      <x:c r="T804" s="2"/>
      <x:c r="U804" s="2"/>
      <x:c r="V804" s="2"/>
      <x:c r="W804" s="2"/>
      <x:c r="X804" s="3"/>
      <x:c r="Y804" s="3"/>
      <x:c r="Z804" s="2"/>
      <x:c r="AA804" s="2"/>
      <x:c r="AB804" s="2"/>
      <x:c r="AC804" s="2"/>
      <x:c r="AD804" s="2" t="s">
        <x:v>480</x:v>
      </x:c>
      <x:c r="AE804" s="2"/>
      <x:c r="AF804" s="2"/>
      <x:c r="AG804" s="2"/>
      <x:c r="AH804" s="2" t="s">
        <x:v>458</x:v>
      </x:c>
      <x:c r="AI804" s="4">
        <x:v>16</x:v>
      </x:c>
      <x:c r="AJ804" s="2" t="s">
        <x:v>2504</x:v>
      </x:c>
      <x:c r="AK804" s="2" t="s">
        <x:v>460</x:v>
      </x:c>
      <x:c r="AL804" s="2" t="s">
        <x:v>2857</x:v>
      </x:c>
      <x:c r="AM804" s="2">
        <x:v>34</x:v>
      </x:c>
      <x:c r="AN804" s="2">
        <x:v>34</x:v>
      </x:c>
    </x:row>
    <x:row r="805" ht="39">
      <x:c r="A805" s="2" t="s">
        <x:v>6</x:v>
      </x:c>
      <x:c r="B805" s="2" t="s">
        <x:v>18</x:v>
      </x:c>
      <x:c r="C805" s="3">
        <x:v>33</x:v>
      </x:c>
      <x:c r="D805" s="2" t="s">
        <x:v>2505</x:v>
      </x:c>
      <x:c r="E805" s="2" t="s">
        <x:v>2500</x:v>
      </x:c>
      <x:c r="F805" s="2" t="s">
        <x:v>474</x:v>
      </x:c>
      <x:c r="G805" s="2"/>
      <x:c r="H805" s="2" t="s">
        <x:v>627</x:v>
      </x:c>
      <x:c r="I805" s="2" t="s">
        <x:v>2501</x:v>
      </x:c>
      <x:c r="J805" s="2" t="s">
        <x:v>2468</x:v>
      </x:c>
      <x:c r="K805" s="2" t="n">
        <x:v>32</x:v>
      </x:c>
      <x:c r="L805" s="2" t="s">
        <x:v>2506</x:v>
      </x:c>
      <x:c r="M805" s="2"/>
      <x:c r="N805" s="2"/>
      <x:c r="O805" s="2" t="s">
        <x:v>2470</x:v>
      </x:c>
      <x:c r="P805" s="2" t="s">
        <x:v>2507</x:v>
      </x:c>
      <x:c r="Q805" s="2"/>
      <x:c r="R805" s="3">
        <x:v>2</x:v>
      </x:c>
      <x:c r="S805" s="3"/>
      <x:c r="T805" s="2"/>
      <x:c r="U805" s="2"/>
      <x:c r="V805" s="2"/>
      <x:c r="W805" s="2"/>
      <x:c r="X805" s="3"/>
      <x:c r="Y805" s="3"/>
      <x:c r="Z805" s="2"/>
      <x:c r="AA805" s="2"/>
      <x:c r="AB805" s="2"/>
      <x:c r="AC805" s="2"/>
      <x:c r="AD805" s="2" t="s">
        <x:v>480</x:v>
      </x:c>
      <x:c r="AE805" s="2"/>
      <x:c r="AF805" s="2"/>
      <x:c r="AG805" s="2"/>
      <x:c r="AH805" s="2" t="s">
        <x:v>458</x:v>
      </x:c>
      <x:c r="AI805" s="4">
        <x:v>16</x:v>
      </x:c>
      <x:c r="AJ805" s="2" t="s">
        <x:v>2472</x:v>
      </x:c>
      <x:c r="AK805" s="2" t="s">
        <x:v>460</x:v>
      </x:c>
      <x:c r="AL805" s="2" t="s">
        <x:v>2857</x:v>
      </x:c>
      <x:c r="AM805" s="2">
        <x:v>35</x:v>
      </x:c>
      <x:c r="AN805" s="2">
        <x:v>35</x:v>
      </x:c>
    </x:row>
    <x:row r="806" ht="39">
      <x:c r="A806" s="2" t="s">
        <x:v>6</x:v>
      </x:c>
      <x:c r="B806" s="2" t="s">
        <x:v>18</x:v>
      </x:c>
      <x:c r="C806" s="3">
        <x:v>34</x:v>
      </x:c>
      <x:c r="D806" s="2" t="s">
        <x:v>2508</x:v>
      </x:c>
      <x:c r="E806" s="2" t="s">
        <x:v>2500</x:v>
      </x:c>
      <x:c r="F806" s="2" t="s">
        <x:v>474</x:v>
      </x:c>
      <x:c r="G806" s="2"/>
      <x:c r="H806" s="2" t="s">
        <x:v>634</x:v>
      </x:c>
      <x:c r="I806" s="2" t="s">
        <x:v>2501</x:v>
      </x:c>
      <x:c r="J806" s="2" t="s">
        <x:v>454</x:v>
      </x:c>
      <x:c r="K806" s="2" t="n">
        <x:v>32</x:v>
      </x:c>
      <x:c r="L806" s="2" t="s">
        <x:v>2502</x:v>
      </x:c>
      <x:c r="M806" s="2"/>
      <x:c r="N806" s="2"/>
      <x:c r="O806" s="2" t="s">
        <x:v>2474</x:v>
      </x:c>
      <x:c r="P806" s="2" t="s">
        <x:v>2475</x:v>
      </x:c>
      <x:c r="Q806" s="2"/>
      <x:c r="R806" s="3">
        <x:v>2</x:v>
      </x:c>
      <x:c r="S806" s="3"/>
      <x:c r="T806" s="2"/>
      <x:c r="U806" s="2"/>
      <x:c r="V806" s="2"/>
      <x:c r="W806" s="2"/>
      <x:c r="X806" s="3"/>
      <x:c r="Y806" s="3"/>
      <x:c r="Z806" s="2"/>
      <x:c r="AA806" s="2"/>
      <x:c r="AB806" s="2"/>
      <x:c r="AC806" s="2"/>
      <x:c r="AD806" s="2" t="s">
        <x:v>480</x:v>
      </x:c>
      <x:c r="AE806" s="2"/>
      <x:c r="AF806" s="2"/>
      <x:c r="AG806" s="2"/>
      <x:c r="AH806" s="2" t="s">
        <x:v>458</x:v>
      </x:c>
      <x:c r="AI806" s="4">
        <x:v>16</x:v>
      </x:c>
      <x:c r="AJ806" s="2" t="s">
        <x:v>635</x:v>
      </x:c>
      <x:c r="AK806" s="2" t="s">
        <x:v>460</x:v>
      </x:c>
      <x:c r="AL806" s="2" t="s">
        <x:v>2857</x:v>
      </x:c>
      <x:c r="AM806" s="2">
        <x:v>36</x:v>
      </x:c>
      <x:c r="AN806" s="2">
        <x:v>36</x:v>
      </x:c>
    </x:row>
    <x:row r="807" ht="39">
      <x:c r="A807" s="2" t="s">
        <x:v>6</x:v>
      </x:c>
      <x:c r="B807" s="2" t="s">
        <x:v>18</x:v>
      </x:c>
      <x:c r="C807" s="3">
        <x:v>35</x:v>
      </x:c>
      <x:c r="D807" s="2" t="s">
        <x:v>2509</x:v>
      </x:c>
      <x:c r="E807" s="2" t="s">
        <x:v>2500</x:v>
      </x:c>
      <x:c r="F807" s="2" t="s">
        <x:v>474</x:v>
      </x:c>
      <x:c r="G807" s="2"/>
      <x:c r="H807" s="2" t="s">
        <x:v>634</x:v>
      </x:c>
      <x:c r="I807" s="2" t="s">
        <x:v>2501</x:v>
      </x:c>
      <x:c r="J807" s="2" t="s">
        <x:v>2468</x:v>
      </x:c>
      <x:c r="K807" s="2" t="n">
        <x:v>32</x:v>
      </x:c>
      <x:c r="L807" s="2" t="s">
        <x:v>2506</x:v>
      </x:c>
      <x:c r="M807" s="2"/>
      <x:c r="N807" s="2"/>
      <x:c r="O807" s="2" t="s">
        <x:v>2477</x:v>
      </x:c>
      <x:c r="P807" s="2" t="s">
        <x:v>1057</x:v>
      </x:c>
      <x:c r="Q807" s="2"/>
      <x:c r="R807" s="3">
        <x:v>2</x:v>
      </x:c>
      <x:c r="S807" s="3"/>
      <x:c r="T807" s="2"/>
      <x:c r="U807" s="2"/>
      <x:c r="V807" s="2"/>
      <x:c r="W807" s="2"/>
      <x:c r="X807" s="3"/>
      <x:c r="Y807" s="3"/>
      <x:c r="Z807" s="2"/>
      <x:c r="AA807" s="2"/>
      <x:c r="AB807" s="2"/>
      <x:c r="AC807" s="2"/>
      <x:c r="AD807" s="2" t="s">
        <x:v>480</x:v>
      </x:c>
      <x:c r="AE807" s="2"/>
      <x:c r="AF807" s="2"/>
      <x:c r="AG807" s="2"/>
      <x:c r="AH807" s="2" t="s">
        <x:v>458</x:v>
      </x:c>
      <x:c r="AI807" s="4">
        <x:v>16</x:v>
      </x:c>
      <x:c r="AJ807" s="2" t="s">
        <x:v>2478</x:v>
      </x:c>
      <x:c r="AK807" s="2" t="s">
        <x:v>460</x:v>
      </x:c>
      <x:c r="AL807" s="2" t="s">
        <x:v>2857</x:v>
      </x:c>
      <x:c r="AM807" s="2">
        <x:v>37</x:v>
      </x:c>
      <x:c r="AN807" s="2">
        <x:v>37</x:v>
      </x:c>
    </x:row>
    <x:row r="808" ht="39">
      <x:c r="A808" s="2" t="s">
        <x:v>6</x:v>
      </x:c>
      <x:c r="B808" s="2" t="s">
        <x:v>18</x:v>
      </x:c>
      <x:c r="C808" s="3">
        <x:v>36</x:v>
      </x:c>
      <x:c r="D808" s="2" t="s">
        <x:v>472</x:v>
      </x:c>
      <x:c r="E808" s="2" t="s">
        <x:v>2510</x:v>
      </x:c>
      <x:c r="F808" s="2" t="s">
        <x:v>464</x:v>
      </x:c>
      <x:c r="G808" s="2"/>
      <x:c r="H808" s="2" t="s">
        <x:v>618</x:v>
      </x:c>
      <x:c r="I808" s="2" t="s">
        <x:v>2511</x:v>
      </x:c>
      <x:c r="J808" s="2" t="s">
        <x:v>477</x:v>
      </x:c>
      <x:c r="K808" s="2"/>
      <x:c r="L808" s="2" t="s">
        <x:v>2512</x:v>
      </x:c>
      <x:c r="M808" s="2"/>
      <x:c r="N808" s="2"/>
      <x:c r="O808" s="2" t="s">
        <x:v>2464</x:v>
      </x:c>
      <x:c r="P808" s="2" t="s">
        <x:v>2513</x:v>
      </x:c>
      <x:c r="Q808" s="2"/>
      <x:c r="R808" s="3">
        <x:v>2</x:v>
      </x:c>
      <x:c r="S808" s="3"/>
      <x:c r="T808" s="2"/>
      <x:c r="U808" s="2"/>
      <x:c r="V808" s="2"/>
      <x:c r="W808" s="2"/>
      <x:c r="X808" s="3"/>
      <x:c r="Y808" s="3"/>
      <x:c r="Z808" s="2"/>
      <x:c r="AA808" s="2"/>
      <x:c r="AB808" s="2"/>
      <x:c r="AC808" s="2"/>
      <x:c r="AD808" s="2" t="s">
        <x:v>469</x:v>
      </x:c>
      <x:c r="AE808" s="2"/>
      <x:c r="AF808" s="2"/>
      <x:c r="AG808" s="2"/>
      <x:c r="AH808" s="2" t="s">
        <x:v>458</x:v>
      </x:c>
      <x:c r="AI808" s="4">
        <x:v>16</x:v>
      </x:c>
      <x:c r="AJ808" s="2" t="s">
        <x:v>2514</x:v>
      </x:c>
      <x:c r="AK808" s="2" t="s">
        <x:v>460</x:v>
      </x:c>
      <x:c r="AL808" s="2" t="s">
        <x:v>2857</x:v>
      </x:c>
      <x:c r="AM808" s="2">
        <x:v>38</x:v>
      </x:c>
      <x:c r="AN808" s="2">
        <x:v>38</x:v>
      </x:c>
    </x:row>
    <x:row r="809" ht="39">
      <x:c r="A809" s="2" t="s">
        <x:v>6</x:v>
      </x:c>
      <x:c r="B809" s="2" t="s">
        <x:v>18</x:v>
      </x:c>
      <x:c r="C809" s="3">
        <x:v>37</x:v>
      </x:c>
      <x:c r="D809" s="2" t="s">
        <x:v>2515</x:v>
      </x:c>
      <x:c r="E809" s="2" t="s">
        <x:v>2510</x:v>
      </x:c>
      <x:c r="F809" s="2" t="s">
        <x:v>464</x:v>
      </x:c>
      <x:c r="G809" s="2"/>
      <x:c r="H809" s="2" t="s">
        <x:v>627</x:v>
      </x:c>
      <x:c r="I809" s="2" t="s">
        <x:v>2511</x:v>
      </x:c>
      <x:c r="J809" s="2" t="s">
        <x:v>2468</x:v>
      </x:c>
      <x:c r="K809" s="2" t="n">
        <x:v>36</x:v>
      </x:c>
      <x:c r="L809" s="2" t="s">
        <x:v>2516</x:v>
      </x:c>
      <x:c r="M809" s="2"/>
      <x:c r="N809" s="2"/>
      <x:c r="O809" s="2" t="s">
        <x:v>2470</x:v>
      </x:c>
      <x:c r="P809" s="2" t="s">
        <x:v>2517</x:v>
      </x:c>
      <x:c r="Q809" s="2"/>
      <x:c r="R809" s="3">
        <x:v>2</x:v>
      </x:c>
      <x:c r="S809" s="3"/>
      <x:c r="T809" s="2"/>
      <x:c r="U809" s="2"/>
      <x:c r="V809" s="2"/>
      <x:c r="W809" s="2"/>
      <x:c r="X809" s="3"/>
      <x:c r="Y809" s="3"/>
      <x:c r="Z809" s="2"/>
      <x:c r="AA809" s="2"/>
      <x:c r="AB809" s="2"/>
      <x:c r="AC809" s="2"/>
      <x:c r="AD809" s="2" t="s">
        <x:v>469</x:v>
      </x:c>
      <x:c r="AE809" s="2"/>
      <x:c r="AF809" s="2"/>
      <x:c r="AG809" s="2"/>
      <x:c r="AH809" s="2" t="s">
        <x:v>458</x:v>
      </x:c>
      <x:c r="AI809" s="4">
        <x:v>16</x:v>
      </x:c>
      <x:c r="AJ809" s="2" t="s">
        <x:v>2472</x:v>
      </x:c>
      <x:c r="AK809" s="2" t="s">
        <x:v>460</x:v>
      </x:c>
      <x:c r="AL809" s="2" t="s">
        <x:v>2857</x:v>
      </x:c>
      <x:c r="AM809" s="2">
        <x:v>39</x:v>
      </x:c>
      <x:c r="AN809" s="2">
        <x:v>39</x:v>
      </x:c>
    </x:row>
    <x:row r="810" ht="39">
      <x:c r="A810" s="2" t="s">
        <x:v>6</x:v>
      </x:c>
      <x:c r="B810" s="2" t="s">
        <x:v>18</x:v>
      </x:c>
      <x:c r="C810" s="3">
        <x:v>38</x:v>
      </x:c>
      <x:c r="D810" s="2" t="s">
        <x:v>2518</x:v>
      </x:c>
      <x:c r="E810" s="2" t="s">
        <x:v>2510</x:v>
      </x:c>
      <x:c r="F810" s="2" t="s">
        <x:v>464</x:v>
      </x:c>
      <x:c r="G810" s="2"/>
      <x:c r="H810" s="2" t="s">
        <x:v>634</x:v>
      </x:c>
      <x:c r="I810" s="2" t="s">
        <x:v>2511</x:v>
      </x:c>
      <x:c r="J810" s="2" t="s">
        <x:v>477</x:v>
      </x:c>
      <x:c r="K810" s="2" t="n">
        <x:v>36</x:v>
      </x:c>
      <x:c r="L810" s="2" t="s">
        <x:v>2512</x:v>
      </x:c>
      <x:c r="M810" s="2"/>
      <x:c r="N810" s="2"/>
      <x:c r="O810" s="2" t="s">
        <x:v>2474</x:v>
      </x:c>
      <x:c r="P810" s="2" t="s">
        <x:v>2475</x:v>
      </x:c>
      <x:c r="Q810" s="2"/>
      <x:c r="R810" s="3">
        <x:v>2</x:v>
      </x:c>
      <x:c r="S810" s="3"/>
      <x:c r="T810" s="2"/>
      <x:c r="U810" s="2"/>
      <x:c r="V810" s="2"/>
      <x:c r="W810" s="2"/>
      <x:c r="X810" s="3"/>
      <x:c r="Y810" s="3"/>
      <x:c r="Z810" s="2"/>
      <x:c r="AA810" s="2"/>
      <x:c r="AB810" s="2"/>
      <x:c r="AC810" s="2"/>
      <x:c r="AD810" s="2" t="s">
        <x:v>469</x:v>
      </x:c>
      <x:c r="AE810" s="2"/>
      <x:c r="AF810" s="2"/>
      <x:c r="AG810" s="2"/>
      <x:c r="AH810" s="2" t="s">
        <x:v>458</x:v>
      </x:c>
      <x:c r="AI810" s="4">
        <x:v>16</x:v>
      </x:c>
      <x:c r="AJ810" s="2" t="s">
        <x:v>635</x:v>
      </x:c>
      <x:c r="AK810" s="2" t="s">
        <x:v>460</x:v>
      </x:c>
      <x:c r="AL810" s="2" t="s">
        <x:v>2857</x:v>
      </x:c>
      <x:c r="AM810" s="2">
        <x:v>40</x:v>
      </x:c>
      <x:c r="AN810" s="2">
        <x:v>40</x:v>
      </x:c>
    </x:row>
    <x:row r="811" ht="39">
      <x:c r="A811" s="2" t="s">
        <x:v>6</x:v>
      </x:c>
      <x:c r="B811" s="2" t="s">
        <x:v>18</x:v>
      </x:c>
      <x:c r="C811" s="3">
        <x:v>39</x:v>
      </x:c>
      <x:c r="D811" s="2" t="s">
        <x:v>2519</x:v>
      </x:c>
      <x:c r="E811" s="2" t="s">
        <x:v>2510</x:v>
      </x:c>
      <x:c r="F811" s="2" t="s">
        <x:v>464</x:v>
      </x:c>
      <x:c r="G811" s="2"/>
      <x:c r="H811" s="2" t="s">
        <x:v>634</x:v>
      </x:c>
      <x:c r="I811" s="2" t="s">
        <x:v>2511</x:v>
      </x:c>
      <x:c r="J811" s="2" t="s">
        <x:v>2468</x:v>
      </x:c>
      <x:c r="K811" s="2" t="n">
        <x:v>36</x:v>
      </x:c>
      <x:c r="L811" s="2" t="s">
        <x:v>2516</x:v>
      </x:c>
      <x:c r="M811" s="2"/>
      <x:c r="N811" s="2"/>
      <x:c r="O811" s="2" t="s">
        <x:v>2477</x:v>
      </x:c>
      <x:c r="P811" s="2" t="s">
        <x:v>1057</x:v>
      </x:c>
      <x:c r="Q811" s="2"/>
      <x:c r="R811" s="3">
        <x:v>2</x:v>
      </x:c>
      <x:c r="S811" s="3"/>
      <x:c r="T811" s="2"/>
      <x:c r="U811" s="2"/>
      <x:c r="V811" s="2"/>
      <x:c r="W811" s="2"/>
      <x:c r="X811" s="3"/>
      <x:c r="Y811" s="3"/>
      <x:c r="Z811" s="2"/>
      <x:c r="AA811" s="2"/>
      <x:c r="AB811" s="2"/>
      <x:c r="AC811" s="2"/>
      <x:c r="AD811" s="2" t="s">
        <x:v>469</x:v>
      </x:c>
      <x:c r="AE811" s="2"/>
      <x:c r="AF811" s="2"/>
      <x:c r="AG811" s="2"/>
      <x:c r="AH811" s="2" t="s">
        <x:v>458</x:v>
      </x:c>
      <x:c r="AI811" s="4">
        <x:v>16</x:v>
      </x:c>
      <x:c r="AJ811" s="2" t="s">
        <x:v>2478</x:v>
      </x:c>
      <x:c r="AK811" s="2" t="s">
        <x:v>460</x:v>
      </x:c>
      <x:c r="AL811" s="2" t="s">
        <x:v>2857</x:v>
      </x:c>
      <x:c r="AM811" s="2">
        <x:v>41</x:v>
      </x:c>
      <x:c r="AN811" s="2">
        <x:v>41</x:v>
      </x:c>
    </x:row>
    <x:row r="812" ht="39">
      <x:c r="A812" s="2" t="s">
        <x:v>6</x:v>
      </x:c>
      <x:c r="B812" s="2" t="s">
        <x:v>18</x:v>
      </x:c>
      <x:c r="C812" s="3">
        <x:v>40</x:v>
      </x:c>
      <x:c r="D812" s="2" t="s">
        <x:v>449</x:v>
      </x:c>
      <x:c r="E812" s="2" t="s">
        <x:v>2521</x:v>
      </x:c>
      <x:c r="F812" s="2" t="s">
        <x:v>474</x:v>
      </x:c>
      <x:c r="G812" s="2"/>
      <x:c r="H812" s="2" t="s">
        <x:v>618</x:v>
      </x:c>
      <x:c r="I812" s="2" t="s">
        <x:v>2522</x:v>
      </x:c>
      <x:c r="J812" s="2" t="s">
        <x:v>454</x:v>
      </x:c>
      <x:c r="K812" s="2"/>
      <x:c r="L812" s="2" t="s">
        <x:v>2523</x:v>
      </x:c>
      <x:c r="M812" s="2"/>
      <x:c r="N812" s="2"/>
      <x:c r="O812" s="2" t="s">
        <x:v>2464</x:v>
      </x:c>
      <x:c r="P812" s="2" t="s">
        <x:v>2524</x:v>
      </x:c>
      <x:c r="Q812" s="2"/>
      <x:c r="R812" s="3">
        <x:v>2</x:v>
      </x:c>
      <x:c r="S812" s="3"/>
      <x:c r="T812" s="2"/>
      <x:c r="U812" s="2"/>
      <x:c r="V812" s="2"/>
      <x:c r="W812" s="2"/>
      <x:c r="X812" s="3"/>
      <x:c r="Y812" s="3"/>
      <x:c r="Z812" s="2"/>
      <x:c r="AA812" s="2"/>
      <x:c r="AB812" s="2"/>
      <x:c r="AC812" s="2"/>
      <x:c r="AD812" s="2" t="s">
        <x:v>480</x:v>
      </x:c>
      <x:c r="AE812" s="2"/>
      <x:c r="AF812" s="2"/>
      <x:c r="AG812" s="2"/>
      <x:c r="AH812" s="2" t="s">
        <x:v>470</x:v>
      </x:c>
      <x:c r="AI812" s="4">
        <x:v>8</x:v>
      </x:c>
      <x:c r="AJ812" s="2" t="s">
        <x:v>2525</x:v>
      </x:c>
      <x:c r="AK812" s="2" t="s">
        <x:v>460</x:v>
      </x:c>
      <x:c r="AL812" s="2" t="s">
        <x:v>2857</x:v>
      </x:c>
      <x:c r="AM812" s="2">
        <x:v>42</x:v>
      </x:c>
      <x:c r="AN812" s="2">
        <x:v>42</x:v>
      </x:c>
    </x:row>
    <x:row r="813" ht="39">
      <x:c r="A813" s="2" t="s">
        <x:v>6</x:v>
      </x:c>
      <x:c r="B813" s="2" t="s">
        <x:v>18</x:v>
      </x:c>
      <x:c r="C813" s="3">
        <x:v>41</x:v>
      </x:c>
      <x:c r="D813" s="2" t="s">
        <x:v>2526</x:v>
      </x:c>
      <x:c r="E813" s="2" t="s">
        <x:v>2521</x:v>
      </x:c>
      <x:c r="F813" s="2" t="s">
        <x:v>474</x:v>
      </x:c>
      <x:c r="G813" s="2"/>
      <x:c r="H813" s="2" t="s">
        <x:v>627</x:v>
      </x:c>
      <x:c r="I813" s="2" t="s">
        <x:v>2522</x:v>
      </x:c>
      <x:c r="J813" s="2" t="s">
        <x:v>2468</x:v>
      </x:c>
      <x:c r="K813" s="2" t="n">
        <x:v>40</x:v>
      </x:c>
      <x:c r="L813" s="2" t="s">
        <x:v>2527</x:v>
      </x:c>
      <x:c r="M813" s="2"/>
      <x:c r="N813" s="2"/>
      <x:c r="O813" s="2" t="s">
        <x:v>2470</x:v>
      </x:c>
      <x:c r="P813" s="2" t="s">
        <x:v>2528</x:v>
      </x:c>
      <x:c r="Q813" s="2"/>
      <x:c r="R813" s="3">
        <x:v>2</x:v>
      </x:c>
      <x:c r="S813" s="3"/>
      <x:c r="T813" s="2"/>
      <x:c r="U813" s="2"/>
      <x:c r="V813" s="2"/>
      <x:c r="W813" s="2"/>
      <x:c r="X813" s="3"/>
      <x:c r="Y813" s="3"/>
      <x:c r="Z813" s="2"/>
      <x:c r="AA813" s="2"/>
      <x:c r="AB813" s="2"/>
      <x:c r="AC813" s="2"/>
      <x:c r="AD813" s="2" t="s">
        <x:v>480</x:v>
      </x:c>
      <x:c r="AE813" s="2"/>
      <x:c r="AF813" s="2"/>
      <x:c r="AG813" s="2"/>
      <x:c r="AH813" s="2" t="s">
        <x:v>470</x:v>
      </x:c>
      <x:c r="AI813" s="4">
        <x:v>8</x:v>
      </x:c>
      <x:c r="AJ813" s="2" t="s">
        <x:v>2472</x:v>
      </x:c>
      <x:c r="AK813" s="2" t="s">
        <x:v>460</x:v>
      </x:c>
      <x:c r="AL813" s="2" t="s">
        <x:v>2857</x:v>
      </x:c>
      <x:c r="AM813" s="2">
        <x:v>43</x:v>
      </x:c>
      <x:c r="AN813" s="2">
        <x:v>43</x:v>
      </x:c>
    </x:row>
    <x:row r="814" ht="39">
      <x:c r="A814" s="2" t="s">
        <x:v>6</x:v>
      </x:c>
      <x:c r="B814" s="2" t="s">
        <x:v>18</x:v>
      </x:c>
      <x:c r="C814" s="3">
        <x:v>42</x:v>
      </x:c>
      <x:c r="D814" s="2" t="s">
        <x:v>2529</x:v>
      </x:c>
      <x:c r="E814" s="2" t="s">
        <x:v>2521</x:v>
      </x:c>
      <x:c r="F814" s="2" t="s">
        <x:v>474</x:v>
      </x:c>
      <x:c r="G814" s="2"/>
      <x:c r="H814" s="2" t="s">
        <x:v>634</x:v>
      </x:c>
      <x:c r="I814" s="2" t="s">
        <x:v>2522</x:v>
      </x:c>
      <x:c r="J814" s="2" t="s">
        <x:v>454</x:v>
      </x:c>
      <x:c r="K814" s="2" t="n">
        <x:v>40</x:v>
      </x:c>
      <x:c r="L814" s="2" t="s">
        <x:v>2523</x:v>
      </x:c>
      <x:c r="M814" s="2"/>
      <x:c r="N814" s="2"/>
      <x:c r="O814" s="2" t="s">
        <x:v>2474</x:v>
      </x:c>
      <x:c r="P814" s="2" t="s">
        <x:v>2475</x:v>
      </x:c>
      <x:c r="Q814" s="2"/>
      <x:c r="R814" s="3">
        <x:v>2</x:v>
      </x:c>
      <x:c r="S814" s="3"/>
      <x:c r="T814" s="2"/>
      <x:c r="U814" s="2"/>
      <x:c r="V814" s="2"/>
      <x:c r="W814" s="2"/>
      <x:c r="X814" s="3"/>
      <x:c r="Y814" s="3"/>
      <x:c r="Z814" s="2"/>
      <x:c r="AA814" s="2"/>
      <x:c r="AB814" s="2"/>
      <x:c r="AC814" s="2"/>
      <x:c r="AD814" s="2" t="s">
        <x:v>480</x:v>
      </x:c>
      <x:c r="AE814" s="2"/>
      <x:c r="AF814" s="2"/>
      <x:c r="AG814" s="2"/>
      <x:c r="AH814" s="2" t="s">
        <x:v>470</x:v>
      </x:c>
      <x:c r="AI814" s="4">
        <x:v>8</x:v>
      </x:c>
      <x:c r="AJ814" s="2" t="s">
        <x:v>635</x:v>
      </x:c>
      <x:c r="AK814" s="2" t="s">
        <x:v>460</x:v>
      </x:c>
      <x:c r="AL814" s="2" t="s">
        <x:v>2857</x:v>
      </x:c>
      <x:c r="AM814" s="2">
        <x:v>44</x:v>
      </x:c>
      <x:c r="AN814" s="2">
        <x:v>44</x:v>
      </x:c>
    </x:row>
    <x:row r="815" ht="39">
      <x:c r="A815" s="2" t="s">
        <x:v>6</x:v>
      </x:c>
      <x:c r="B815" s="2" t="s">
        <x:v>18</x:v>
      </x:c>
      <x:c r="C815" s="3">
        <x:v>43</x:v>
      </x:c>
      <x:c r="D815" s="2" t="s">
        <x:v>2531</x:v>
      </x:c>
      <x:c r="E815" s="2" t="s">
        <x:v>2521</x:v>
      </x:c>
      <x:c r="F815" s="2" t="s">
        <x:v>474</x:v>
      </x:c>
      <x:c r="G815" s="2"/>
      <x:c r="H815" s="2" t="s">
        <x:v>634</x:v>
      </x:c>
      <x:c r="I815" s="2" t="s">
        <x:v>2522</x:v>
      </x:c>
      <x:c r="J815" s="2" t="s">
        <x:v>2468</x:v>
      </x:c>
      <x:c r="K815" s="2" t="n">
        <x:v>40</x:v>
      </x:c>
      <x:c r="L815" s="2" t="s">
        <x:v>2527</x:v>
      </x:c>
      <x:c r="M815" s="2"/>
      <x:c r="N815" s="2"/>
      <x:c r="O815" s="2" t="s">
        <x:v>2477</x:v>
      </x:c>
      <x:c r="P815" s="2" t="s">
        <x:v>1057</x:v>
      </x:c>
      <x:c r="Q815" s="2"/>
      <x:c r="R815" s="3">
        <x:v>2</x:v>
      </x:c>
      <x:c r="S815" s="3"/>
      <x:c r="T815" s="2"/>
      <x:c r="U815" s="2"/>
      <x:c r="V815" s="2"/>
      <x:c r="W815" s="2"/>
      <x:c r="X815" s="3"/>
      <x:c r="Y815" s="3"/>
      <x:c r="Z815" s="2"/>
      <x:c r="AA815" s="2"/>
      <x:c r="AB815" s="2"/>
      <x:c r="AC815" s="2"/>
      <x:c r="AD815" s="2" t="s">
        <x:v>480</x:v>
      </x:c>
      <x:c r="AE815" s="2"/>
      <x:c r="AF815" s="2"/>
      <x:c r="AG815" s="2"/>
      <x:c r="AH815" s="2" t="s">
        <x:v>470</x:v>
      </x:c>
      <x:c r="AI815" s="4">
        <x:v>8</x:v>
      </x:c>
      <x:c r="AJ815" s="2" t="s">
        <x:v>2478</x:v>
      </x:c>
      <x:c r="AK815" s="2" t="s">
        <x:v>460</x:v>
      </x:c>
      <x:c r="AL815" s="2" t="s">
        <x:v>2857</x:v>
      </x:c>
      <x:c r="AM815" s="2">
        <x:v>45</x:v>
      </x:c>
      <x:c r="AN815" s="2">
        <x:v>45</x:v>
      </x:c>
    </x:row>
    <x:row r="816" ht="39">
      <x:c r="A816" s="2" t="s">
        <x:v>91</x:v>
      </x:c>
      <x:c r="B816" s="2" t="s">
        <x:v>18</x:v>
      </x:c>
      <x:c r="C816" s="3">
        <x:v>44</x:v>
      </x:c>
      <x:c r="D816" s="2" t="s">
        <x:v>505</x:v>
      </x:c>
      <x:c r="E816" s="2" t="s">
        <x:v>2532</x:v>
      </x:c>
      <x:c r="F816" s="2" t="s">
        <x:v>464</x:v>
      </x:c>
      <x:c r="G816" s="2" t="s">
        <x:v>2658</x:v>
      </x:c>
      <x:c r="H816" s="2" t="s">
        <x:v>618</x:v>
      </x:c>
      <x:c r="I816" s="2" t="s">
        <x:v>2533</x:v>
      </x:c>
      <x:c r="J816" s="2" t="s">
        <x:v>477</x:v>
      </x:c>
      <x:c r="K816" s="2"/>
      <x:c r="L816" s="2" t="s">
        <x:v>2534</x:v>
      </x:c>
      <x:c r="M816" s="2"/>
      <x:c r="N816" s="2"/>
      <x:c r="O816" s="2" t="s">
        <x:v>2464</x:v>
      </x:c>
      <x:c r="P816" s="2" t="s">
        <x:v>2535</x:v>
      </x:c>
      <x:c r="Q816" s="2"/>
      <x:c r="R816" s="3">
        <x:v>2</x:v>
      </x:c>
      <x:c r="S816" s="3"/>
      <x:c r="T816" s="2"/>
      <x:c r="U816" s="2"/>
      <x:c r="V816" s="2"/>
      <x:c r="W816" s="2"/>
      <x:c r="X816" s="3"/>
      <x:c r="Y816" s="3"/>
      <x:c r="Z816" s="2"/>
      <x:c r="AA816" s="2"/>
      <x:c r="AB816" s="2"/>
      <x:c r="AC816" s="2"/>
      <x:c r="AD816" s="2" t="s">
        <x:v>469</x:v>
      </x:c>
      <x:c r="AE816" s="2"/>
      <x:c r="AF816" s="2"/>
      <x:c r="AG816" s="2"/>
      <x:c r="AH816" s="2" t="s">
        <x:v>470</x:v>
      </x:c>
      <x:c r="AI816" s="4">
        <x:v>8</x:v>
      </x:c>
      <x:c r="AJ816" s="2" t="s">
        <x:v>2466</x:v>
      </x:c>
      <x:c r="AK816" s="2" t="s">
        <x:v>460</x:v>
      </x:c>
      <x:c r="AL816" s="2" t="s">
        <x:v>2857</x:v>
      </x:c>
      <x:c r="AM816" s="2">
        <x:v>46</x:v>
      </x:c>
      <x:c r="AN816" s="2">
        <x:v>46</x:v>
      </x:c>
    </x:row>
    <x:row r="817" ht="39">
      <x:c r="A817" s="2" t="s">
        <x:v>6</x:v>
      </x:c>
      <x:c r="B817" s="2" t="s">
        <x:v>18</x:v>
      </x:c>
      <x:c r="C817" s="3">
        <x:v>45</x:v>
      </x:c>
      <x:c r="D817" s="2" t="s">
        <x:v>2467</x:v>
      </x:c>
      <x:c r="E817" s="2" t="s">
        <x:v>2532</x:v>
      </x:c>
      <x:c r="F817" s="2" t="s">
        <x:v>464</x:v>
      </x:c>
      <x:c r="G817" s="2"/>
      <x:c r="H817" s="2" t="s">
        <x:v>627</x:v>
      </x:c>
      <x:c r="I817" s="2" t="s">
        <x:v>2533</x:v>
      </x:c>
      <x:c r="J817" s="2" t="s">
        <x:v>2468</x:v>
      </x:c>
      <x:c r="K817" s="2" t="n">
        <x:v>44</x:v>
      </x:c>
      <x:c r="L817" s="2" t="s">
        <x:v>2536</x:v>
      </x:c>
      <x:c r="M817" s="2"/>
      <x:c r="N817" s="2"/>
      <x:c r="O817" s="2" t="s">
        <x:v>2470</x:v>
      </x:c>
      <x:c r="P817" s="2" t="s">
        <x:v>2537</x:v>
      </x:c>
      <x:c r="Q817" s="2"/>
      <x:c r="R817" s="3">
        <x:v>2</x:v>
      </x:c>
      <x:c r="S817" s="3"/>
      <x:c r="T817" s="2"/>
      <x:c r="U817" s="2"/>
      <x:c r="V817" s="2"/>
      <x:c r="W817" s="2"/>
      <x:c r="X817" s="3"/>
      <x:c r="Y817" s="3"/>
      <x:c r="Z817" s="2"/>
      <x:c r="AA817" s="2"/>
      <x:c r="AB817" s="2"/>
      <x:c r="AC817" s="2"/>
      <x:c r="AD817" s="2" t="s">
        <x:v>469</x:v>
      </x:c>
      <x:c r="AE817" s="2"/>
      <x:c r="AF817" s="2"/>
      <x:c r="AG817" s="2"/>
      <x:c r="AH817" s="2" t="s">
        <x:v>470</x:v>
      </x:c>
      <x:c r="AI817" s="4">
        <x:v>8</x:v>
      </x:c>
      <x:c r="AJ817" s="2" t="s">
        <x:v>2472</x:v>
      </x:c>
      <x:c r="AK817" s="2" t="s">
        <x:v>460</x:v>
      </x:c>
      <x:c r="AL817" s="2" t="s">
        <x:v>2857</x:v>
      </x:c>
      <x:c r="AM817" s="2">
        <x:v>47</x:v>
      </x:c>
      <x:c r="AN817" s="2">
        <x:v>47</x:v>
      </x:c>
    </x:row>
    <x:row r="818" ht="39">
      <x:c r="A818" s="2" t="s">
        <x:v>91</x:v>
      </x:c>
      <x:c r="B818" s="2" t="s">
        <x:v>18</x:v>
      </x:c>
      <x:c r="C818" s="3">
        <x:v>46</x:v>
      </x:c>
      <x:c r="D818" s="2" t="s">
        <x:v>2538</x:v>
      </x:c>
      <x:c r="E818" s="2" t="s">
        <x:v>2532</x:v>
      </x:c>
      <x:c r="F818" s="2" t="s">
        <x:v>464</x:v>
      </x:c>
      <x:c r="G818" s="2" t="s">
        <x:v>3046</x:v>
      </x:c>
      <x:c r="H818" s="2" t="s">
        <x:v>634</x:v>
      </x:c>
      <x:c r="I818" s="2" t="s">
        <x:v>2533</x:v>
      </x:c>
      <x:c r="J818" s="2" t="s">
        <x:v>477</x:v>
      </x:c>
      <x:c r="K818" s="2" t="n">
        <x:v>44</x:v>
      </x:c>
      <x:c r="L818" s="2" t="s">
        <x:v>2534</x:v>
      </x:c>
      <x:c r="M818" s="2"/>
      <x:c r="N818" s="2"/>
      <x:c r="O818" s="2" t="s">
        <x:v>2474</x:v>
      </x:c>
      <x:c r="P818" s="2" t="s">
        <x:v>2475</x:v>
      </x:c>
      <x:c r="Q818" s="2"/>
      <x:c r="R818" s="3">
        <x:v>2</x:v>
      </x:c>
      <x:c r="S818" s="3"/>
      <x:c r="T818" s="2"/>
      <x:c r="U818" s="2"/>
      <x:c r="V818" s="2"/>
      <x:c r="W818" s="2"/>
      <x:c r="X818" s="3"/>
      <x:c r="Y818" s="3"/>
      <x:c r="Z818" s="2"/>
      <x:c r="AA818" s="2"/>
      <x:c r="AB818" s="2"/>
      <x:c r="AC818" s="2"/>
      <x:c r="AD818" s="2" t="s">
        <x:v>469</x:v>
      </x:c>
      <x:c r="AE818" s="2"/>
      <x:c r="AF818" s="2"/>
      <x:c r="AG818" s="2"/>
      <x:c r="AH818" s="2" t="s">
        <x:v>470</x:v>
      </x:c>
      <x:c r="AI818" s="4">
        <x:v>8</x:v>
      </x:c>
      <x:c r="AJ818" s="2" t="s">
        <x:v>635</x:v>
      </x:c>
      <x:c r="AK818" s="2" t="s">
        <x:v>460</x:v>
      </x:c>
      <x:c r="AL818" s="2" t="s">
        <x:v>2857</x:v>
      </x:c>
      <x:c r="AM818" s="2">
        <x:v>48</x:v>
      </x:c>
      <x:c r="AN818" s="2">
        <x:v>48</x:v>
      </x:c>
    </x:row>
    <x:row r="819" ht="39">
      <x:c r="A819" s="2" t="s">
        <x:v>6</x:v>
      </x:c>
      <x:c r="B819" s="2" t="s">
        <x:v>18</x:v>
      </x:c>
      <x:c r="C819" s="3">
        <x:v>47</x:v>
      </x:c>
      <x:c r="D819" s="2" t="s">
        <x:v>2539</x:v>
      </x:c>
      <x:c r="E819" s="2" t="s">
        <x:v>2532</x:v>
      </x:c>
      <x:c r="F819" s="2" t="s">
        <x:v>464</x:v>
      </x:c>
      <x:c r="G819" s="2"/>
      <x:c r="H819" s="2" t="s">
        <x:v>634</x:v>
      </x:c>
      <x:c r="I819" s="2" t="s">
        <x:v>2533</x:v>
      </x:c>
      <x:c r="J819" s="2" t="s">
        <x:v>2468</x:v>
      </x:c>
      <x:c r="K819" s="2" t="n">
        <x:v>44</x:v>
      </x:c>
      <x:c r="L819" s="2" t="s">
        <x:v>2536</x:v>
      </x:c>
      <x:c r="M819" s="2"/>
      <x:c r="N819" s="2"/>
      <x:c r="O819" s="2" t="s">
        <x:v>2477</x:v>
      </x:c>
      <x:c r="P819" s="2" t="s">
        <x:v>1057</x:v>
      </x:c>
      <x:c r="Q819" s="2"/>
      <x:c r="R819" s="3">
        <x:v>2</x:v>
      </x:c>
      <x:c r="S819" s="3"/>
      <x:c r="T819" s="2"/>
      <x:c r="U819" s="2"/>
      <x:c r="V819" s="2"/>
      <x:c r="W819" s="2"/>
      <x:c r="X819" s="3"/>
      <x:c r="Y819" s="3"/>
      <x:c r="Z819" s="2"/>
      <x:c r="AA819" s="2"/>
      <x:c r="AB819" s="2"/>
      <x:c r="AC819" s="2"/>
      <x:c r="AD819" s="2" t="s">
        <x:v>469</x:v>
      </x:c>
      <x:c r="AE819" s="2"/>
      <x:c r="AF819" s="2"/>
      <x:c r="AG819" s="2"/>
      <x:c r="AH819" s="2" t="s">
        <x:v>470</x:v>
      </x:c>
      <x:c r="AI819" s="4">
        <x:v>8</x:v>
      </x:c>
      <x:c r="AJ819" s="2" t="s">
        <x:v>2478</x:v>
      </x:c>
      <x:c r="AK819" s="2" t="s">
        <x:v>460</x:v>
      </x:c>
      <x:c r="AL819" s="2" t="s">
        <x:v>2857</x:v>
      </x:c>
      <x:c r="AM819" s="2">
        <x:v>49</x:v>
      </x:c>
      <x:c r="AN819" s="2">
        <x:v>49</x:v>
      </x:c>
    </x:row>
    <x:row r="820" ht="39">
      <x:c r="A820" s="2" t="s">
        <x:v>6</x:v>
      </x:c>
      <x:c r="B820" s="2" t="s">
        <x:v>18</x:v>
      </x:c>
      <x:c r="C820" s="3">
        <x:v>48</x:v>
      </x:c>
      <x:c r="D820" s="2" t="s">
        <x:v>462</x:v>
      </x:c>
      <x:c r="E820" s="2" t="s">
        <x:v>2540</x:v>
      </x:c>
      <x:c r="F820" s="2" t="s">
        <x:v>474</x:v>
      </x:c>
      <x:c r="G820" s="2"/>
      <x:c r="H820" s="2" t="s">
        <x:v>618</x:v>
      </x:c>
      <x:c r="I820" s="2" t="s">
        <x:v>2541</x:v>
      </x:c>
      <x:c r="J820" s="2" t="s">
        <x:v>454</x:v>
      </x:c>
      <x:c r="K820" s="2"/>
      <x:c r="L820" s="2" t="s">
        <x:v>2542</x:v>
      </x:c>
      <x:c r="M820" s="2"/>
      <x:c r="N820" s="2"/>
      <x:c r="O820" s="2" t="s">
        <x:v>2464</x:v>
      </x:c>
      <x:c r="P820" s="2" t="s">
        <x:v>2543</x:v>
      </x:c>
      <x:c r="Q820" s="2"/>
      <x:c r="R820" s="3">
        <x:v>2</x:v>
      </x:c>
      <x:c r="S820" s="3"/>
      <x:c r="T820" s="2"/>
      <x:c r="U820" s="2"/>
      <x:c r="V820" s="2"/>
      <x:c r="W820" s="2"/>
      <x:c r="X820" s="3"/>
      <x:c r="Y820" s="3"/>
      <x:c r="Z820" s="2"/>
      <x:c r="AA820" s="2"/>
      <x:c r="AB820" s="2"/>
      <x:c r="AC820" s="2"/>
      <x:c r="AD820" s="2" t="s">
        <x:v>480</x:v>
      </x:c>
      <x:c r="AE820" s="2"/>
      <x:c r="AF820" s="2"/>
      <x:c r="AG820" s="2"/>
      <x:c r="AH820" s="2" t="s">
        <x:v>458</x:v>
      </x:c>
      <x:c r="AI820" s="4">
        <x:v>12</x:v>
      </x:c>
      <x:c r="AJ820" s="2" t="s">
        <x:v>2484</x:v>
      </x:c>
      <x:c r="AK820" s="2" t="s">
        <x:v>460</x:v>
      </x:c>
      <x:c r="AL820" s="2" t="s">
        <x:v>2857</x:v>
      </x:c>
      <x:c r="AM820" s="2">
        <x:v>50</x:v>
      </x:c>
      <x:c r="AN820" s="2">
        <x:v>50</x:v>
      </x:c>
    </x:row>
    <x:row r="821" ht="39">
      <x:c r="A821" s="2" t="s">
        <x:v>6</x:v>
      </x:c>
      <x:c r="B821" s="2" t="s">
        <x:v>18</x:v>
      </x:c>
      <x:c r="C821" s="3">
        <x:v>49</x:v>
      </x:c>
      <x:c r="D821" s="2" t="s">
        <x:v>2485</x:v>
      </x:c>
      <x:c r="E821" s="2" t="s">
        <x:v>2540</x:v>
      </x:c>
      <x:c r="F821" s="2" t="s">
        <x:v>474</x:v>
      </x:c>
      <x:c r="G821" s="2"/>
      <x:c r="H821" s="2" t="s">
        <x:v>627</x:v>
      </x:c>
      <x:c r="I821" s="2" t="s">
        <x:v>2541</x:v>
      </x:c>
      <x:c r="J821" s="2" t="s">
        <x:v>2468</x:v>
      </x:c>
      <x:c r="K821" s="2" t="n">
        <x:v>48</x:v>
      </x:c>
      <x:c r="L821" s="2" t="s">
        <x:v>2544</x:v>
      </x:c>
      <x:c r="M821" s="2"/>
      <x:c r="N821" s="2"/>
      <x:c r="O821" s="2" t="s">
        <x:v>2470</x:v>
      </x:c>
      <x:c r="P821" s="2" t="s">
        <x:v>2545</x:v>
      </x:c>
      <x:c r="Q821" s="2"/>
      <x:c r="R821" s="3">
        <x:v>2</x:v>
      </x:c>
      <x:c r="S821" s="3"/>
      <x:c r="T821" s="2"/>
      <x:c r="U821" s="2"/>
      <x:c r="V821" s="2"/>
      <x:c r="W821" s="2"/>
      <x:c r="X821" s="3"/>
      <x:c r="Y821" s="3"/>
      <x:c r="Z821" s="2"/>
      <x:c r="AA821" s="2"/>
      <x:c r="AB821" s="2"/>
      <x:c r="AC821" s="2"/>
      <x:c r="AD821" s="2" t="s">
        <x:v>480</x:v>
      </x:c>
      <x:c r="AE821" s="2"/>
      <x:c r="AF821" s="2"/>
      <x:c r="AG821" s="2"/>
      <x:c r="AH821" s="2" t="s">
        <x:v>458</x:v>
      </x:c>
      <x:c r="AI821" s="4">
        <x:v>12</x:v>
      </x:c>
      <x:c r="AJ821" s="2" t="s">
        <x:v>2472</x:v>
      </x:c>
      <x:c r="AK821" s="2" t="s">
        <x:v>460</x:v>
      </x:c>
      <x:c r="AL821" s="2" t="s">
        <x:v>2857</x:v>
      </x:c>
      <x:c r="AM821" s="2">
        <x:v>51</x:v>
      </x:c>
      <x:c r="AN821" s="2">
        <x:v>51</x:v>
      </x:c>
    </x:row>
    <x:row r="822" ht="39">
      <x:c r="A822" s="2" t="s">
        <x:v>6</x:v>
      </x:c>
      <x:c r="B822" s="2" t="s">
        <x:v>18</x:v>
      </x:c>
      <x:c r="C822" s="3">
        <x:v>50</x:v>
      </x:c>
      <x:c r="D822" s="2" t="s">
        <x:v>2546</x:v>
      </x:c>
      <x:c r="E822" s="2" t="s">
        <x:v>2540</x:v>
      </x:c>
      <x:c r="F822" s="2" t="s">
        <x:v>474</x:v>
      </x:c>
      <x:c r="G822" s="2"/>
      <x:c r="H822" s="2" t="s">
        <x:v>634</x:v>
      </x:c>
      <x:c r="I822" s="2" t="s">
        <x:v>2541</x:v>
      </x:c>
      <x:c r="J822" s="2" t="s">
        <x:v>454</x:v>
      </x:c>
      <x:c r="K822" s="2" t="n">
        <x:v>48</x:v>
      </x:c>
      <x:c r="L822" s="2" t="s">
        <x:v>2542</x:v>
      </x:c>
      <x:c r="M822" s="2"/>
      <x:c r="N822" s="2"/>
      <x:c r="O822" s="2" t="s">
        <x:v>2474</x:v>
      </x:c>
      <x:c r="P822" s="2" t="s">
        <x:v>2475</x:v>
      </x:c>
      <x:c r="Q822" s="2"/>
      <x:c r="R822" s="3">
        <x:v>2</x:v>
      </x:c>
      <x:c r="S822" s="3"/>
      <x:c r="T822" s="2"/>
      <x:c r="U822" s="2"/>
      <x:c r="V822" s="2"/>
      <x:c r="W822" s="2"/>
      <x:c r="X822" s="3"/>
      <x:c r="Y822" s="3"/>
      <x:c r="Z822" s="2"/>
      <x:c r="AA822" s="2"/>
      <x:c r="AB822" s="2"/>
      <x:c r="AC822" s="2"/>
      <x:c r="AD822" s="2" t="s">
        <x:v>480</x:v>
      </x:c>
      <x:c r="AE822" s="2"/>
      <x:c r="AF822" s="2"/>
      <x:c r="AG822" s="2"/>
      <x:c r="AH822" s="2" t="s">
        <x:v>458</x:v>
      </x:c>
      <x:c r="AI822" s="4">
        <x:v>12</x:v>
      </x:c>
      <x:c r="AJ822" s="2" t="s">
        <x:v>635</x:v>
      </x:c>
      <x:c r="AK822" s="2" t="s">
        <x:v>460</x:v>
      </x:c>
      <x:c r="AL822" s="2" t="s">
        <x:v>2857</x:v>
      </x:c>
      <x:c r="AM822" s="2">
        <x:v>52</x:v>
      </x:c>
      <x:c r="AN822" s="2">
        <x:v>52</x:v>
      </x:c>
    </x:row>
    <x:row r="823" ht="39">
      <x:c r="A823" s="2" t="s">
        <x:v>6</x:v>
      </x:c>
      <x:c r="B823" s="2" t="s">
        <x:v>18</x:v>
      </x:c>
      <x:c r="C823" s="3">
        <x:v>51</x:v>
      </x:c>
      <x:c r="D823" s="2" t="s">
        <x:v>2548</x:v>
      </x:c>
      <x:c r="E823" s="2" t="s">
        <x:v>2540</x:v>
      </x:c>
      <x:c r="F823" s="2" t="s">
        <x:v>474</x:v>
      </x:c>
      <x:c r="G823" s="2"/>
      <x:c r="H823" s="2" t="s">
        <x:v>634</x:v>
      </x:c>
      <x:c r="I823" s="2" t="s">
        <x:v>2541</x:v>
      </x:c>
      <x:c r="J823" s="2" t="s">
        <x:v>2468</x:v>
      </x:c>
      <x:c r="K823" s="2" t="n">
        <x:v>48</x:v>
      </x:c>
      <x:c r="L823" s="2" t="s">
        <x:v>2544</x:v>
      </x:c>
      <x:c r="M823" s="2"/>
      <x:c r="N823" s="2"/>
      <x:c r="O823" s="2" t="s">
        <x:v>2477</x:v>
      </x:c>
      <x:c r="P823" s="2" t="s">
        <x:v>1057</x:v>
      </x:c>
      <x:c r="Q823" s="2"/>
      <x:c r="R823" s="3">
        <x:v>2</x:v>
      </x:c>
      <x:c r="S823" s="3"/>
      <x:c r="T823" s="2"/>
      <x:c r="U823" s="2"/>
      <x:c r="V823" s="2"/>
      <x:c r="W823" s="2"/>
      <x:c r="X823" s="3"/>
      <x:c r="Y823" s="3"/>
      <x:c r="Z823" s="2"/>
      <x:c r="AA823" s="2"/>
      <x:c r="AB823" s="2"/>
      <x:c r="AC823" s="2"/>
      <x:c r="AD823" s="2" t="s">
        <x:v>480</x:v>
      </x:c>
      <x:c r="AE823" s="2"/>
      <x:c r="AF823" s="2"/>
      <x:c r="AG823" s="2"/>
      <x:c r="AH823" s="2" t="s">
        <x:v>458</x:v>
      </x:c>
      <x:c r="AI823" s="4">
        <x:v>12</x:v>
      </x:c>
      <x:c r="AJ823" s="2" t="s">
        <x:v>2478</x:v>
      </x:c>
      <x:c r="AK823" s="2" t="s">
        <x:v>460</x:v>
      </x:c>
      <x:c r="AL823" s="2" t="s">
        <x:v>2857</x:v>
      </x:c>
      <x:c r="AM823" s="2">
        <x:v>53</x:v>
      </x:c>
      <x:c r="AN823" s="2">
        <x:v>53</x:v>
      </x:c>
    </x:row>
    <x:row r="824" ht="39">
      <x:c r="A824" s="2" t="s">
        <x:v>6</x:v>
      </x:c>
      <x:c r="B824" s="2" t="s">
        <x:v>18</x:v>
      </x:c>
      <x:c r="C824" s="3">
        <x:v>52</x:v>
      </x:c>
      <x:c r="D824" s="2" t="s">
        <x:v>482</x:v>
      </x:c>
      <x:c r="E824" s="2" t="s">
        <x:v>2549</x:v>
      </x:c>
      <x:c r="F824" s="2" t="s">
        <x:v>464</x:v>
      </x:c>
      <x:c r="G824" s="2"/>
      <x:c r="H824" s="2" t="s">
        <x:v>618</x:v>
      </x:c>
      <x:c r="I824" s="2" t="s">
        <x:v>2551</x:v>
      </x:c>
      <x:c r="J824" s="2" t="s">
        <x:v>477</x:v>
      </x:c>
      <x:c r="K824" s="2"/>
      <x:c r="L824" s="2" t="s">
        <x:v>2552</x:v>
      </x:c>
      <x:c r="M824" s="2"/>
      <x:c r="N824" s="2"/>
      <x:c r="O824" s="2" t="s">
        <x:v>2464</x:v>
      </x:c>
      <x:c r="P824" s="2" t="s">
        <x:v>2553</x:v>
      </x:c>
      <x:c r="Q824" s="2"/>
      <x:c r="R824" s="3">
        <x:v>2</x:v>
      </x:c>
      <x:c r="S824" s="3"/>
      <x:c r="T824" s="2"/>
      <x:c r="U824" s="2"/>
      <x:c r="V824" s="2"/>
      <x:c r="W824" s="2"/>
      <x:c r="X824" s="3"/>
      <x:c r="Y824" s="3"/>
      <x:c r="Z824" s="2"/>
      <x:c r="AA824" s="2"/>
      <x:c r="AB824" s="2"/>
      <x:c r="AC824" s="2"/>
      <x:c r="AD824" s="2" t="s">
        <x:v>469</x:v>
      </x:c>
      <x:c r="AE824" s="2"/>
      <x:c r="AF824" s="2"/>
      <x:c r="AG824" s="2"/>
      <x:c r="AH824" s="2" t="s">
        <x:v>458</x:v>
      </x:c>
      <x:c r="AI824" s="4">
        <x:v>12</x:v>
      </x:c>
      <x:c r="AJ824" s="2" t="s">
        <x:v>2494</x:v>
      </x:c>
      <x:c r="AK824" s="2" t="s">
        <x:v>460</x:v>
      </x:c>
      <x:c r="AL824" s="2" t="s">
        <x:v>2857</x:v>
      </x:c>
      <x:c r="AM824" s="2">
        <x:v>54</x:v>
      </x:c>
      <x:c r="AN824" s="2">
        <x:v>54</x:v>
      </x:c>
    </x:row>
    <x:row r="825" ht="39">
      <x:c r="A825" s="2" t="s">
        <x:v>6</x:v>
      </x:c>
      <x:c r="B825" s="2" t="s">
        <x:v>18</x:v>
      </x:c>
      <x:c r="C825" s="3">
        <x:v>53</x:v>
      </x:c>
      <x:c r="D825" s="2" t="s">
        <x:v>2495</x:v>
      </x:c>
      <x:c r="E825" s="2" t="s">
        <x:v>2549</x:v>
      </x:c>
      <x:c r="F825" s="2" t="s">
        <x:v>464</x:v>
      </x:c>
      <x:c r="G825" s="2"/>
      <x:c r="H825" s="2" t="s">
        <x:v>627</x:v>
      </x:c>
      <x:c r="I825" s="2" t="s">
        <x:v>2551</x:v>
      </x:c>
      <x:c r="J825" s="2" t="s">
        <x:v>2468</x:v>
      </x:c>
      <x:c r="K825" s="2" t="n">
        <x:v>52</x:v>
      </x:c>
      <x:c r="L825" s="2" t="s">
        <x:v>2554</x:v>
      </x:c>
      <x:c r="M825" s="2"/>
      <x:c r="N825" s="2"/>
      <x:c r="O825" s="2" t="s">
        <x:v>2470</x:v>
      </x:c>
      <x:c r="P825" s="2" t="s">
        <x:v>2555</x:v>
      </x:c>
      <x:c r="Q825" s="2"/>
      <x:c r="R825" s="3">
        <x:v>2</x:v>
      </x:c>
      <x:c r="S825" s="3"/>
      <x:c r="T825" s="2"/>
      <x:c r="U825" s="2"/>
      <x:c r="V825" s="2"/>
      <x:c r="W825" s="2"/>
      <x:c r="X825" s="3"/>
      <x:c r="Y825" s="3"/>
      <x:c r="Z825" s="2"/>
      <x:c r="AA825" s="2"/>
      <x:c r="AB825" s="2"/>
      <x:c r="AC825" s="2"/>
      <x:c r="AD825" s="2" t="s">
        <x:v>469</x:v>
      </x:c>
      <x:c r="AE825" s="2"/>
      <x:c r="AF825" s="2"/>
      <x:c r="AG825" s="2"/>
      <x:c r="AH825" s="2" t="s">
        <x:v>458</x:v>
      </x:c>
      <x:c r="AI825" s="4">
        <x:v>12</x:v>
      </x:c>
      <x:c r="AJ825" s="2" t="s">
        <x:v>2472</x:v>
      </x:c>
      <x:c r="AK825" s="2" t="s">
        <x:v>460</x:v>
      </x:c>
      <x:c r="AL825" s="2" t="s">
        <x:v>2857</x:v>
      </x:c>
      <x:c r="AM825" s="2">
        <x:v>55</x:v>
      </x:c>
      <x:c r="AN825" s="2">
        <x:v>55</x:v>
      </x:c>
    </x:row>
    <x:row r="826" ht="39">
      <x:c r="A826" s="2" t="s">
        <x:v>6</x:v>
      </x:c>
      <x:c r="B826" s="2" t="s">
        <x:v>18</x:v>
      </x:c>
      <x:c r="C826" s="3">
        <x:v>54</x:v>
      </x:c>
      <x:c r="D826" s="2" t="s">
        <x:v>2556</x:v>
      </x:c>
      <x:c r="E826" s="2" t="s">
        <x:v>2549</x:v>
      </x:c>
      <x:c r="F826" s="2" t="s">
        <x:v>464</x:v>
      </x:c>
      <x:c r="G826" s="2"/>
      <x:c r="H826" s="2" t="s">
        <x:v>634</x:v>
      </x:c>
      <x:c r="I826" s="2" t="s">
        <x:v>2551</x:v>
      </x:c>
      <x:c r="J826" s="2" t="s">
        <x:v>477</x:v>
      </x:c>
      <x:c r="K826" s="2" t="n">
        <x:v>52</x:v>
      </x:c>
      <x:c r="L826" s="2" t="s">
        <x:v>2552</x:v>
      </x:c>
      <x:c r="M826" s="2"/>
      <x:c r="N826" s="2"/>
      <x:c r="O826" s="2" t="s">
        <x:v>2474</x:v>
      </x:c>
      <x:c r="P826" s="2" t="s">
        <x:v>2475</x:v>
      </x:c>
      <x:c r="Q826" s="2"/>
      <x:c r="R826" s="3">
        <x:v>2</x:v>
      </x:c>
      <x:c r="S826" s="3"/>
      <x:c r="T826" s="2"/>
      <x:c r="U826" s="2"/>
      <x:c r="V826" s="2"/>
      <x:c r="W826" s="2"/>
      <x:c r="X826" s="3"/>
      <x:c r="Y826" s="3"/>
      <x:c r="Z826" s="2"/>
      <x:c r="AA826" s="2"/>
      <x:c r="AB826" s="2"/>
      <x:c r="AC826" s="2"/>
      <x:c r="AD826" s="2" t="s">
        <x:v>469</x:v>
      </x:c>
      <x:c r="AE826" s="2"/>
      <x:c r="AF826" s="2"/>
      <x:c r="AG826" s="2"/>
      <x:c r="AH826" s="2" t="s">
        <x:v>458</x:v>
      </x:c>
      <x:c r="AI826" s="4">
        <x:v>12</x:v>
      </x:c>
      <x:c r="AJ826" s="2" t="s">
        <x:v>635</x:v>
      </x:c>
      <x:c r="AK826" s="2" t="s">
        <x:v>460</x:v>
      </x:c>
      <x:c r="AL826" s="2" t="s">
        <x:v>2857</x:v>
      </x:c>
      <x:c r="AM826" s="2">
        <x:v>56</x:v>
      </x:c>
      <x:c r="AN826" s="2">
        <x:v>56</x:v>
      </x:c>
    </x:row>
    <x:row r="827" ht="39">
      <x:c r="A827" s="2" t="s">
        <x:v>6</x:v>
      </x:c>
      <x:c r="B827" s="2" t="s">
        <x:v>18</x:v>
      </x:c>
      <x:c r="C827" s="3">
        <x:v>55</x:v>
      </x:c>
      <x:c r="D827" s="2" t="s">
        <x:v>2557</x:v>
      </x:c>
      <x:c r="E827" s="2" t="s">
        <x:v>2549</x:v>
      </x:c>
      <x:c r="F827" s="2" t="s">
        <x:v>464</x:v>
      </x:c>
      <x:c r="G827" s="2"/>
      <x:c r="H827" s="2" t="s">
        <x:v>634</x:v>
      </x:c>
      <x:c r="I827" s="2" t="s">
        <x:v>2551</x:v>
      </x:c>
      <x:c r="J827" s="2" t="s">
        <x:v>2468</x:v>
      </x:c>
      <x:c r="K827" s="2" t="n">
        <x:v>52</x:v>
      </x:c>
      <x:c r="L827" s="2" t="s">
        <x:v>2554</x:v>
      </x:c>
      <x:c r="M827" s="2"/>
      <x:c r="N827" s="2"/>
      <x:c r="O827" s="2" t="s">
        <x:v>2477</x:v>
      </x:c>
      <x:c r="P827" s="2" t="s">
        <x:v>1057</x:v>
      </x:c>
      <x:c r="Q827" s="2"/>
      <x:c r="R827" s="3">
        <x:v>2</x:v>
      </x:c>
      <x:c r="S827" s="3"/>
      <x:c r="T827" s="2"/>
      <x:c r="U827" s="2"/>
      <x:c r="V827" s="2"/>
      <x:c r="W827" s="2"/>
      <x:c r="X827" s="3"/>
      <x:c r="Y827" s="3"/>
      <x:c r="Z827" s="2"/>
      <x:c r="AA827" s="2"/>
      <x:c r="AB827" s="2"/>
      <x:c r="AC827" s="2"/>
      <x:c r="AD827" s="2" t="s">
        <x:v>469</x:v>
      </x:c>
      <x:c r="AE827" s="2"/>
      <x:c r="AF827" s="2"/>
      <x:c r="AG827" s="2"/>
      <x:c r="AH827" s="2" t="s">
        <x:v>458</x:v>
      </x:c>
      <x:c r="AI827" s="4">
        <x:v>12</x:v>
      </x:c>
      <x:c r="AJ827" s="2" t="s">
        <x:v>2478</x:v>
      </x:c>
      <x:c r="AK827" s="2" t="s">
        <x:v>460</x:v>
      </x:c>
      <x:c r="AL827" s="2" t="s">
        <x:v>2857</x:v>
      </x:c>
      <x:c r="AM827" s="2">
        <x:v>57</x:v>
      </x:c>
      <x:c r="AN827" s="2">
        <x:v>57</x:v>
      </x:c>
    </x:row>
    <x:row r="828" ht="39">
      <x:c r="A828" s="2" t="s">
        <x:v>6</x:v>
      </x:c>
      <x:c r="B828" s="2" t="s">
        <x:v>18</x:v>
      </x:c>
      <x:c r="C828" s="3">
        <x:v>56</x:v>
      </x:c>
      <x:c r="D828" s="2" t="s">
        <x:v>516</x:v>
      </x:c>
      <x:c r="E828" s="2" t="s">
        <x:v>2558</x:v>
      </x:c>
      <x:c r="F828" s="2" t="s">
        <x:v>474</x:v>
      </x:c>
      <x:c r="G828" s="2"/>
      <x:c r="H828" s="2" t="s">
        <x:v>618</x:v>
      </x:c>
      <x:c r="I828" s="2" t="s">
        <x:v>2559</x:v>
      </x:c>
      <x:c r="J828" s="2" t="s">
        <x:v>454</x:v>
      </x:c>
      <x:c r="K828" s="2"/>
      <x:c r="L828" s="2" t="s">
        <x:v>2560</x:v>
      </x:c>
      <x:c r="M828" s="2"/>
      <x:c r="N828" s="2"/>
      <x:c r="O828" s="2" t="s">
        <x:v>2464</x:v>
      </x:c>
      <x:c r="P828" s="2" t="s">
        <x:v>2561</x:v>
      </x:c>
      <x:c r="Q828" s="2"/>
      <x:c r="R828" s="3">
        <x:v>2</x:v>
      </x:c>
      <x:c r="S828" s="3"/>
      <x:c r="T828" s="2"/>
      <x:c r="U828" s="2"/>
      <x:c r="V828" s="2"/>
      <x:c r="W828" s="2"/>
      <x:c r="X828" s="3"/>
      <x:c r="Y828" s="3"/>
      <x:c r="Z828" s="2"/>
      <x:c r="AA828" s="2"/>
      <x:c r="AB828" s="2"/>
      <x:c r="AC828" s="2"/>
      <x:c r="AD828" s="2" t="s">
        <x:v>480</x:v>
      </x:c>
      <x:c r="AE828" s="2"/>
      <x:c r="AF828" s="2"/>
      <x:c r="AG828" s="2"/>
      <x:c r="AH828" s="2" t="s">
        <x:v>470</x:v>
      </x:c>
      <x:c r="AI828" s="4">
        <x:v>16</x:v>
      </x:c>
      <x:c r="AJ828" s="2" t="s">
        <x:v>2504</x:v>
      </x:c>
      <x:c r="AK828" s="2" t="s">
        <x:v>460</x:v>
      </x:c>
      <x:c r="AL828" s="2" t="s">
        <x:v>2857</x:v>
      </x:c>
      <x:c r="AM828" s="2">
        <x:v>58</x:v>
      </x:c>
      <x:c r="AN828" s="2">
        <x:v>58</x:v>
      </x:c>
    </x:row>
    <x:row r="829" ht="39">
      <x:c r="A829" s="2" t="s">
        <x:v>6</x:v>
      </x:c>
      <x:c r="B829" s="2" t="s">
        <x:v>18</x:v>
      </x:c>
      <x:c r="C829" s="3">
        <x:v>57</x:v>
      </x:c>
      <x:c r="D829" s="2" t="s">
        <x:v>2505</x:v>
      </x:c>
      <x:c r="E829" s="2" t="s">
        <x:v>2558</x:v>
      </x:c>
      <x:c r="F829" s="2" t="s">
        <x:v>474</x:v>
      </x:c>
      <x:c r="G829" s="2"/>
      <x:c r="H829" s="2" t="s">
        <x:v>627</x:v>
      </x:c>
      <x:c r="I829" s="2" t="s">
        <x:v>2559</x:v>
      </x:c>
      <x:c r="J829" s="2" t="s">
        <x:v>2468</x:v>
      </x:c>
      <x:c r="K829" s="2" t="n">
        <x:v>56</x:v>
      </x:c>
      <x:c r="L829" s="2" t="s">
        <x:v>2562</x:v>
      </x:c>
      <x:c r="M829" s="2"/>
      <x:c r="N829" s="2"/>
      <x:c r="O829" s="2" t="s">
        <x:v>2470</x:v>
      </x:c>
      <x:c r="P829" s="2" t="s">
        <x:v>2563</x:v>
      </x:c>
      <x:c r="Q829" s="2"/>
      <x:c r="R829" s="3">
        <x:v>2</x:v>
      </x:c>
      <x:c r="S829" s="3"/>
      <x:c r="T829" s="2"/>
      <x:c r="U829" s="2"/>
      <x:c r="V829" s="2"/>
      <x:c r="W829" s="2"/>
      <x:c r="X829" s="3"/>
      <x:c r="Y829" s="3"/>
      <x:c r="Z829" s="2"/>
      <x:c r="AA829" s="2"/>
      <x:c r="AB829" s="2"/>
      <x:c r="AC829" s="2"/>
      <x:c r="AD829" s="2" t="s">
        <x:v>480</x:v>
      </x:c>
      <x:c r="AE829" s="2"/>
      <x:c r="AF829" s="2"/>
      <x:c r="AG829" s="2"/>
      <x:c r="AH829" s="2" t="s">
        <x:v>470</x:v>
      </x:c>
      <x:c r="AI829" s="4">
        <x:v>16</x:v>
      </x:c>
      <x:c r="AJ829" s="2" t="s">
        <x:v>2472</x:v>
      </x:c>
      <x:c r="AK829" s="2" t="s">
        <x:v>460</x:v>
      </x:c>
      <x:c r="AL829" s="2" t="s">
        <x:v>2857</x:v>
      </x:c>
      <x:c r="AM829" s="2">
        <x:v>59</x:v>
      </x:c>
      <x:c r="AN829" s="2">
        <x:v>59</x:v>
      </x:c>
    </x:row>
    <x:row r="830" ht="39">
      <x:c r="A830" s="2" t="s">
        <x:v>6</x:v>
      </x:c>
      <x:c r="B830" s="2" t="s">
        <x:v>18</x:v>
      </x:c>
      <x:c r="C830" s="3">
        <x:v>58</x:v>
      </x:c>
      <x:c r="D830" s="2" t="s">
        <x:v>2564</x:v>
      </x:c>
      <x:c r="E830" s="2" t="s">
        <x:v>2558</x:v>
      </x:c>
      <x:c r="F830" s="2" t="s">
        <x:v>474</x:v>
      </x:c>
      <x:c r="G830" s="2"/>
      <x:c r="H830" s="2" t="s">
        <x:v>634</x:v>
      </x:c>
      <x:c r="I830" s="2" t="s">
        <x:v>2559</x:v>
      </x:c>
      <x:c r="J830" s="2" t="s">
        <x:v>454</x:v>
      </x:c>
      <x:c r="K830" s="2" t="n">
        <x:v>56</x:v>
      </x:c>
      <x:c r="L830" s="2" t="s">
        <x:v>2560</x:v>
      </x:c>
      <x:c r="M830" s="2"/>
      <x:c r="N830" s="2"/>
      <x:c r="O830" s="2" t="s">
        <x:v>2474</x:v>
      </x:c>
      <x:c r="P830" s="2" t="s">
        <x:v>2475</x:v>
      </x:c>
      <x:c r="Q830" s="2"/>
      <x:c r="R830" s="3">
        <x:v>2</x:v>
      </x:c>
      <x:c r="S830" s="3"/>
      <x:c r="T830" s="2"/>
      <x:c r="U830" s="2"/>
      <x:c r="V830" s="2"/>
      <x:c r="W830" s="2"/>
      <x:c r="X830" s="3"/>
      <x:c r="Y830" s="3"/>
      <x:c r="Z830" s="2"/>
      <x:c r="AA830" s="2"/>
      <x:c r="AB830" s="2"/>
      <x:c r="AC830" s="2"/>
      <x:c r="AD830" s="2" t="s">
        <x:v>480</x:v>
      </x:c>
      <x:c r="AE830" s="2"/>
      <x:c r="AF830" s="2"/>
      <x:c r="AG830" s="2"/>
      <x:c r="AH830" s="2" t="s">
        <x:v>470</x:v>
      </x:c>
      <x:c r="AI830" s="4">
        <x:v>16</x:v>
      </x:c>
      <x:c r="AJ830" s="2" t="s">
        <x:v>635</x:v>
      </x:c>
      <x:c r="AK830" s="2" t="s">
        <x:v>460</x:v>
      </x:c>
      <x:c r="AL830" s="2" t="s">
        <x:v>2857</x:v>
      </x:c>
      <x:c r="AM830" s="2">
        <x:v>60</x:v>
      </x:c>
      <x:c r="AN830" s="2">
        <x:v>60</x:v>
      </x:c>
    </x:row>
    <x:row r="831" ht="39">
      <x:c r="A831" s="2" t="s">
        <x:v>6</x:v>
      </x:c>
      <x:c r="B831" s="2" t="s">
        <x:v>18</x:v>
      </x:c>
      <x:c r="C831" s="3">
        <x:v>59</x:v>
      </x:c>
      <x:c r="D831" s="2" t="s">
        <x:v>2565</x:v>
      </x:c>
      <x:c r="E831" s="2" t="s">
        <x:v>2558</x:v>
      </x:c>
      <x:c r="F831" s="2" t="s">
        <x:v>474</x:v>
      </x:c>
      <x:c r="G831" s="2"/>
      <x:c r="H831" s="2" t="s">
        <x:v>634</x:v>
      </x:c>
      <x:c r="I831" s="2" t="s">
        <x:v>2559</x:v>
      </x:c>
      <x:c r="J831" s="2" t="s">
        <x:v>2468</x:v>
      </x:c>
      <x:c r="K831" s="2" t="n">
        <x:v>56</x:v>
      </x:c>
      <x:c r="L831" s="2" t="s">
        <x:v>2562</x:v>
      </x:c>
      <x:c r="M831" s="2"/>
      <x:c r="N831" s="2"/>
      <x:c r="O831" s="2" t="s">
        <x:v>2477</x:v>
      </x:c>
      <x:c r="P831" s="2" t="s">
        <x:v>1057</x:v>
      </x:c>
      <x:c r="Q831" s="2"/>
      <x:c r="R831" s="3">
        <x:v>2</x:v>
      </x:c>
      <x:c r="S831" s="3"/>
      <x:c r="T831" s="2"/>
      <x:c r="U831" s="2"/>
      <x:c r="V831" s="2"/>
      <x:c r="W831" s="2"/>
      <x:c r="X831" s="3"/>
      <x:c r="Y831" s="3"/>
      <x:c r="Z831" s="2"/>
      <x:c r="AA831" s="2"/>
      <x:c r="AB831" s="2"/>
      <x:c r="AC831" s="2"/>
      <x:c r="AD831" s="2" t="s">
        <x:v>480</x:v>
      </x:c>
      <x:c r="AE831" s="2"/>
      <x:c r="AF831" s="2"/>
      <x:c r="AG831" s="2"/>
      <x:c r="AH831" s="2" t="s">
        <x:v>470</x:v>
      </x:c>
      <x:c r="AI831" s="4">
        <x:v>16</x:v>
      </x:c>
      <x:c r="AJ831" s="2" t="s">
        <x:v>2478</x:v>
      </x:c>
      <x:c r="AK831" s="2" t="s">
        <x:v>460</x:v>
      </x:c>
      <x:c r="AL831" s="2" t="s">
        <x:v>2857</x:v>
      </x:c>
      <x:c r="AM831" s="2">
        <x:v>61</x:v>
      </x:c>
      <x:c r="AN831" s="2">
        <x:v>61</x:v>
      </x:c>
    </x:row>
    <x:row r="832" ht="39">
      <x:c r="A832" s="2" t="s">
        <x:v>91</x:v>
      </x:c>
      <x:c r="B832" s="2" t="s">
        <x:v>18</x:v>
      </x:c>
      <x:c r="C832" s="3">
        <x:v>60</x:v>
      </x:c>
      <x:c r="D832" s="2" t="s">
        <x:v>472</x:v>
      </x:c>
      <x:c r="E832" s="2" t="s">
        <x:v>2566</x:v>
      </x:c>
      <x:c r="F832" s="2" t="s">
        <x:v>464</x:v>
      </x:c>
      <x:c r="G832" s="2" t="s">
        <x:v>158</x:v>
      </x:c>
      <x:c r="H832" s="2" t="s">
        <x:v>618</x:v>
      </x:c>
      <x:c r="I832" s="2" t="s">
        <x:v>2568</x:v>
      </x:c>
      <x:c r="J832" s="2" t="s">
        <x:v>477</x:v>
      </x:c>
      <x:c r="K832" s="2"/>
      <x:c r="L832" s="2" t="s">
        <x:v>2569</x:v>
      </x:c>
      <x:c r="M832" s="2"/>
      <x:c r="N832" s="2"/>
      <x:c r="O832" s="2" t="s">
        <x:v>2464</x:v>
      </x:c>
      <x:c r="P832" s="2" t="s">
        <x:v>2570</x:v>
      </x:c>
      <x:c r="Q832" s="2"/>
      <x:c r="R832" s="3">
        <x:v>2</x:v>
      </x:c>
      <x:c r="S832" s="3"/>
      <x:c r="T832" s="2"/>
      <x:c r="U832" s="2"/>
      <x:c r="V832" s="2"/>
      <x:c r="W832" s="2"/>
      <x:c r="X832" s="3"/>
      <x:c r="Y832" s="3"/>
      <x:c r="Z832" s="2"/>
      <x:c r="AA832" s="2"/>
      <x:c r="AB832" s="2"/>
      <x:c r="AC832" s="2"/>
      <x:c r="AD832" s="2" t="s">
        <x:v>469</x:v>
      </x:c>
      <x:c r="AE832" s="2"/>
      <x:c r="AF832" s="2"/>
      <x:c r="AG832" s="2"/>
      <x:c r="AH832" s="2" t="s">
        <x:v>470</x:v>
      </x:c>
      <x:c r="AI832" s="4">
        <x:v>16</x:v>
      </x:c>
      <x:c r="AJ832" s="2" t="s">
        <x:v>2514</x:v>
      </x:c>
      <x:c r="AK832" s="2" t="s">
        <x:v>460</x:v>
      </x:c>
      <x:c r="AL832" s="2" t="s">
        <x:v>2857</x:v>
      </x:c>
      <x:c r="AM832" s="2">
        <x:v>62</x:v>
      </x:c>
      <x:c r="AN832" s="2">
        <x:v>62</x:v>
      </x:c>
    </x:row>
    <x:row r="833" ht="39">
      <x:c r="A833" s="2" t="s">
        <x:v>6</x:v>
      </x:c>
      <x:c r="B833" s="2" t="s">
        <x:v>18</x:v>
      </x:c>
      <x:c r="C833" s="3">
        <x:v>61</x:v>
      </x:c>
      <x:c r="D833" s="2" t="s">
        <x:v>2515</x:v>
      </x:c>
      <x:c r="E833" s="2" t="s">
        <x:v>2566</x:v>
      </x:c>
      <x:c r="F833" s="2" t="s">
        <x:v>464</x:v>
      </x:c>
      <x:c r="G833" s="2"/>
      <x:c r="H833" s="2" t="s">
        <x:v>627</x:v>
      </x:c>
      <x:c r="I833" s="2" t="s">
        <x:v>2568</x:v>
      </x:c>
      <x:c r="J833" s="2" t="s">
        <x:v>2468</x:v>
      </x:c>
      <x:c r="K833" s="2" t="n">
        <x:v>60</x:v>
      </x:c>
      <x:c r="L833" s="2" t="s">
        <x:v>2469</x:v>
      </x:c>
      <x:c r="M833" s="2"/>
      <x:c r="N833" s="2"/>
      <x:c r="O833" s="2" t="s">
        <x:v>2470</x:v>
      </x:c>
      <x:c r="P833" s="2" t="s">
        <x:v>2471</x:v>
      </x:c>
      <x:c r="Q833" s="2"/>
      <x:c r="R833" s="3">
        <x:v>2</x:v>
      </x:c>
      <x:c r="S833" s="3"/>
      <x:c r="T833" s="2"/>
      <x:c r="U833" s="2"/>
      <x:c r="V833" s="2"/>
      <x:c r="W833" s="2"/>
      <x:c r="X833" s="3"/>
      <x:c r="Y833" s="3"/>
      <x:c r="Z833" s="2"/>
      <x:c r="AA833" s="2"/>
      <x:c r="AB833" s="2"/>
      <x:c r="AC833" s="2"/>
      <x:c r="AD833" s="2" t="s">
        <x:v>469</x:v>
      </x:c>
      <x:c r="AE833" s="2"/>
      <x:c r="AF833" s="2"/>
      <x:c r="AG833" s="2"/>
      <x:c r="AH833" s="2" t="s">
        <x:v>470</x:v>
      </x:c>
      <x:c r="AI833" s="4">
        <x:v>16</x:v>
      </x:c>
      <x:c r="AJ833" s="2" t="s">
        <x:v>2472</x:v>
      </x:c>
      <x:c r="AK833" s="2" t="s">
        <x:v>460</x:v>
      </x:c>
      <x:c r="AL833" s="2" t="s">
        <x:v>2857</x:v>
      </x:c>
      <x:c r="AM833" s="2">
        <x:v>63</x:v>
      </x:c>
      <x:c r="AN833" s="2">
        <x:v>63</x:v>
      </x:c>
    </x:row>
    <x:row r="834" ht="39">
      <x:c r="A834" s="2" t="s">
        <x:v>6</x:v>
      </x:c>
      <x:c r="B834" s="2" t="s">
        <x:v>18</x:v>
      </x:c>
      <x:c r="C834" s="3">
        <x:v>62</x:v>
      </x:c>
      <x:c r="D834" s="2" t="s">
        <x:v>449</x:v>
      </x:c>
      <x:c r="E834" s="2" t="s">
        <x:v>2571</x:v>
      </x:c>
      <x:c r="F834" s="2" t="s">
        <x:v>474</x:v>
      </x:c>
      <x:c r="G834" s="2"/>
      <x:c r="H834" s="2" t="s">
        <x:v>618</x:v>
      </x:c>
      <x:c r="I834" s="2" t="s">
        <x:v>2572</x:v>
      </x:c>
      <x:c r="J834" s="2" t="s">
        <x:v>454</x:v>
      </x:c>
      <x:c r="K834" s="2"/>
      <x:c r="L834" s="2" t="s">
        <x:v>2573</x:v>
      </x:c>
      <x:c r="M834" s="2"/>
      <x:c r="N834" s="2"/>
      <x:c r="O834" s="2" t="s">
        <x:v>2464</x:v>
      </x:c>
      <x:c r="P834" s="2" t="s">
        <x:v>2574</x:v>
      </x:c>
      <x:c r="Q834" s="2"/>
      <x:c r="R834" s="3">
        <x:v>2</x:v>
      </x:c>
      <x:c r="S834" s="3"/>
      <x:c r="T834" s="2"/>
      <x:c r="U834" s="2"/>
      <x:c r="V834" s="2"/>
      <x:c r="W834" s="2"/>
      <x:c r="X834" s="3"/>
      <x:c r="Y834" s="3"/>
      <x:c r="Z834" s="2"/>
      <x:c r="AA834" s="2"/>
      <x:c r="AB834" s="2"/>
      <x:c r="AC834" s="2"/>
      <x:c r="AD834" s="2" t="s">
        <x:v>480</x:v>
      </x:c>
      <x:c r="AE834" s="2"/>
      <x:c r="AF834" s="2"/>
      <x:c r="AG834" s="2"/>
      <x:c r="AH834" s="2" t="s">
        <x:v>458</x:v>
      </x:c>
      <x:c r="AI834" s="4">
        <x:v>8</x:v>
      </x:c>
      <x:c r="AJ834" s="2" t="s">
        <x:v>2525</x:v>
      </x:c>
      <x:c r="AK834" s="2" t="s">
        <x:v>460</x:v>
      </x:c>
      <x:c r="AL834" s="2" t="s">
        <x:v>2857</x:v>
      </x:c>
      <x:c r="AM834" s="2">
        <x:v>64</x:v>
      </x:c>
      <x:c r="AN834" s="2">
        <x:v>64</x:v>
      </x:c>
    </x:row>
    <x:row r="835" ht="39">
      <x:c r="A835" s="2" t="s">
        <x:v>6</x:v>
      </x:c>
      <x:c r="B835" s="2" t="s">
        <x:v>18</x:v>
      </x:c>
      <x:c r="C835" s="3">
        <x:v>63</x:v>
      </x:c>
      <x:c r="D835" s="2" t="s">
        <x:v>2526</x:v>
      </x:c>
      <x:c r="E835" s="2" t="s">
        <x:v>2571</x:v>
      </x:c>
      <x:c r="F835" s="2" t="s">
        <x:v>474</x:v>
      </x:c>
      <x:c r="G835" s="2"/>
      <x:c r="H835" s="2" t="s">
        <x:v>627</x:v>
      </x:c>
      <x:c r="I835" s="2" t="s">
        <x:v>2572</x:v>
      </x:c>
      <x:c r="J835" s="2" t="s">
        <x:v>2468</x:v>
      </x:c>
      <x:c r="K835" s="2" t="n">
        <x:v>62</x:v>
      </x:c>
      <x:c r="L835" s="2" t="s">
        <x:v>2486</x:v>
      </x:c>
      <x:c r="M835" s="2"/>
      <x:c r="N835" s="2"/>
      <x:c r="O835" s="2" t="s">
        <x:v>2470</x:v>
      </x:c>
      <x:c r="P835" s="2" t="s">
        <x:v>2487</x:v>
      </x:c>
      <x:c r="Q835" s="2"/>
      <x:c r="R835" s="3">
        <x:v>2</x:v>
      </x:c>
      <x:c r="S835" s="3"/>
      <x:c r="T835" s="2"/>
      <x:c r="U835" s="2"/>
      <x:c r="V835" s="2"/>
      <x:c r="W835" s="2"/>
      <x:c r="X835" s="3"/>
      <x:c r="Y835" s="3"/>
      <x:c r="Z835" s="2"/>
      <x:c r="AA835" s="2"/>
      <x:c r="AB835" s="2"/>
      <x:c r="AC835" s="2"/>
      <x:c r="AD835" s="2" t="s">
        <x:v>480</x:v>
      </x:c>
      <x:c r="AE835" s="2"/>
      <x:c r="AF835" s="2"/>
      <x:c r="AG835" s="2"/>
      <x:c r="AH835" s="2" t="s">
        <x:v>458</x:v>
      </x:c>
      <x:c r="AI835" s="4">
        <x:v>8</x:v>
      </x:c>
      <x:c r="AJ835" s="2" t="s">
        <x:v>2472</x:v>
      </x:c>
      <x:c r="AK835" s="2" t="s">
        <x:v>460</x:v>
      </x:c>
      <x:c r="AL835" s="2" t="s">
        <x:v>2857</x:v>
      </x:c>
      <x:c r="AM835" s="2">
        <x:v>65</x:v>
      </x:c>
      <x:c r="AN835" s="2">
        <x:v>65</x:v>
      </x:c>
    </x:row>
    <x:row r="836" ht="39">
      <x:c r="A836" s="2" t="s">
        <x:v>91</x:v>
      </x:c>
      <x:c r="B836" s="2" t="s">
        <x:v>18</x:v>
      </x:c>
      <x:c r="C836" s="3">
        <x:v>64</x:v>
      </x:c>
      <x:c r="D836" s="2" t="s">
        <x:v>505</x:v>
      </x:c>
      <x:c r="E836" s="2" t="s">
        <x:v>2575</x:v>
      </x:c>
      <x:c r="F836" s="2" t="s">
        <x:v>464</x:v>
      </x:c>
      <x:c r="G836" s="2" t="s">
        <x:v>2876</x:v>
      </x:c>
      <x:c r="H836" s="2" t="s">
        <x:v>618</x:v>
      </x:c>
      <x:c r="I836" s="2" t="s">
        <x:v>2577</x:v>
      </x:c>
      <x:c r="J836" s="2" t="s">
        <x:v>477</x:v>
      </x:c>
      <x:c r="K836" s="2"/>
      <x:c r="L836" s="2" t="s">
        <x:v>2578</x:v>
      </x:c>
      <x:c r="M836" s="2"/>
      <x:c r="N836" s="2"/>
      <x:c r="O836" s="2" t="s">
        <x:v>2464</x:v>
      </x:c>
      <x:c r="P836" s="2" t="s">
        <x:v>2579</x:v>
      </x:c>
      <x:c r="Q836" s="2"/>
      <x:c r="R836" s="3">
        <x:v>2</x:v>
      </x:c>
      <x:c r="S836" s="3"/>
      <x:c r="T836" s="2"/>
      <x:c r="U836" s="2"/>
      <x:c r="V836" s="2"/>
      <x:c r="W836" s="2"/>
      <x:c r="X836" s="3"/>
      <x:c r="Y836" s="3"/>
      <x:c r="Z836" s="2"/>
      <x:c r="AA836" s="2"/>
      <x:c r="AB836" s="2"/>
      <x:c r="AC836" s="2"/>
      <x:c r="AD836" s="2" t="s">
        <x:v>469</x:v>
      </x:c>
      <x:c r="AE836" s="2"/>
      <x:c r="AF836" s="2"/>
      <x:c r="AG836" s="2"/>
      <x:c r="AH836" s="2" t="s">
        <x:v>458</x:v>
      </x:c>
      <x:c r="AI836" s="4">
        <x:v>8</x:v>
      </x:c>
      <x:c r="AJ836" s="2" t="s">
        <x:v>2466</x:v>
      </x:c>
      <x:c r="AK836" s="2" t="s">
        <x:v>460</x:v>
      </x:c>
      <x:c r="AL836" s="2" t="s">
        <x:v>2857</x:v>
      </x:c>
      <x:c r="AM836" s="2">
        <x:v>66</x:v>
      </x:c>
      <x:c r="AN836" s="2">
        <x:v>66</x:v>
      </x:c>
    </x:row>
    <x:row r="837" ht="39">
      <x:c r="A837" s="2" t="s">
        <x:v>6</x:v>
      </x:c>
      <x:c r="B837" s="2" t="s">
        <x:v>18</x:v>
      </x:c>
      <x:c r="C837" s="3">
        <x:v>65</x:v>
      </x:c>
      <x:c r="D837" s="2" t="s">
        <x:v>2467</x:v>
      </x:c>
      <x:c r="E837" s="2" t="s">
        <x:v>2575</x:v>
      </x:c>
      <x:c r="F837" s="2" t="s">
        <x:v>464</x:v>
      </x:c>
      <x:c r="G837" s="2"/>
      <x:c r="H837" s="2" t="s">
        <x:v>627</x:v>
      </x:c>
      <x:c r="I837" s="2" t="s">
        <x:v>2577</x:v>
      </x:c>
      <x:c r="J837" s="2" t="s">
        <x:v>2468</x:v>
      </x:c>
      <x:c r="K837" s="2" t="n">
        <x:v>64</x:v>
      </x:c>
      <x:c r="L837" s="2" t="s">
        <x:v>2496</x:v>
      </x:c>
      <x:c r="M837" s="2"/>
      <x:c r="N837" s="2"/>
      <x:c r="O837" s="2" t="s">
        <x:v>2470</x:v>
      </x:c>
      <x:c r="P837" s="2" t="s">
        <x:v>2497</x:v>
      </x:c>
      <x:c r="Q837" s="2"/>
      <x:c r="R837" s="3">
        <x:v>2</x:v>
      </x:c>
      <x:c r="S837" s="3"/>
      <x:c r="T837" s="2"/>
      <x:c r="U837" s="2"/>
      <x:c r="V837" s="2"/>
      <x:c r="W837" s="2"/>
      <x:c r="X837" s="3"/>
      <x:c r="Y837" s="3"/>
      <x:c r="Z837" s="2"/>
      <x:c r="AA837" s="2"/>
      <x:c r="AB837" s="2"/>
      <x:c r="AC837" s="2"/>
      <x:c r="AD837" s="2" t="s">
        <x:v>469</x:v>
      </x:c>
      <x:c r="AE837" s="2"/>
      <x:c r="AF837" s="2"/>
      <x:c r="AG837" s="2"/>
      <x:c r="AH837" s="2" t="s">
        <x:v>458</x:v>
      </x:c>
      <x:c r="AI837" s="4">
        <x:v>8</x:v>
      </x:c>
      <x:c r="AJ837" s="2" t="s">
        <x:v>2472</x:v>
      </x:c>
      <x:c r="AK837" s="2" t="s">
        <x:v>460</x:v>
      </x:c>
      <x:c r="AL837" s="2" t="s">
        <x:v>2857</x:v>
      </x:c>
      <x:c r="AM837" s="2">
        <x:v>67</x:v>
      </x:c>
      <x:c r="AN837" s="2">
        <x:v>67</x:v>
      </x:c>
    </x:row>
    <x:row r="838" ht="39">
      <x:c r="A838" s="2" t="s">
        <x:v>6</x:v>
      </x:c>
      <x:c r="B838" s="2" t="s">
        <x:v>18</x:v>
      </x:c>
      <x:c r="C838" s="3">
        <x:v>66</x:v>
      </x:c>
      <x:c r="D838" s="2" t="s">
        <x:v>462</x:v>
      </x:c>
      <x:c r="E838" s="2" t="s">
        <x:v>2580</x:v>
      </x:c>
      <x:c r="F838" s="2" t="s">
        <x:v>474</x:v>
      </x:c>
      <x:c r="G838" s="2"/>
      <x:c r="H838" s="2" t="s">
        <x:v>618</x:v>
      </x:c>
      <x:c r="I838" s="2" t="s">
        <x:v>2581</x:v>
      </x:c>
      <x:c r="J838" s="2" t="s">
        <x:v>454</x:v>
      </x:c>
      <x:c r="K838" s="2"/>
      <x:c r="L838" s="2" t="s">
        <x:v>2582</x:v>
      </x:c>
      <x:c r="M838" s="2"/>
      <x:c r="N838" s="2"/>
      <x:c r="O838" s="2" t="s">
        <x:v>2464</x:v>
      </x:c>
      <x:c r="P838" s="2" t="s">
        <x:v>2583</x:v>
      </x:c>
      <x:c r="Q838" s="2"/>
      <x:c r="R838" s="3">
        <x:v>2</x:v>
      </x:c>
      <x:c r="S838" s="3"/>
      <x:c r="T838" s="2"/>
      <x:c r="U838" s="2"/>
      <x:c r="V838" s="2"/>
      <x:c r="W838" s="2"/>
      <x:c r="X838" s="3"/>
      <x:c r="Y838" s="3"/>
      <x:c r="Z838" s="2"/>
      <x:c r="AA838" s="2"/>
      <x:c r="AB838" s="2"/>
      <x:c r="AC838" s="2"/>
      <x:c r="AD838" s="2" t="s">
        <x:v>480</x:v>
      </x:c>
      <x:c r="AE838" s="2"/>
      <x:c r="AF838" s="2"/>
      <x:c r="AG838" s="2"/>
      <x:c r="AH838" s="2" t="s">
        <x:v>470</x:v>
      </x:c>
      <x:c r="AI838" s="4">
        <x:v>12</x:v>
      </x:c>
      <x:c r="AJ838" s="2" t="s">
        <x:v>2484</x:v>
      </x:c>
      <x:c r="AK838" s="2" t="s">
        <x:v>460</x:v>
      </x:c>
      <x:c r="AL838" s="2" t="s">
        <x:v>2857</x:v>
      </x:c>
      <x:c r="AM838" s="2">
        <x:v>68</x:v>
      </x:c>
      <x:c r="AN838" s="2">
        <x:v>68</x:v>
      </x:c>
    </x:row>
    <x:row r="839" ht="39">
      <x:c r="A839" s="2" t="s">
        <x:v>6</x:v>
      </x:c>
      <x:c r="B839" s="2" t="s">
        <x:v>18</x:v>
      </x:c>
      <x:c r="C839" s="3">
        <x:v>67</x:v>
      </x:c>
      <x:c r="D839" s="2" t="s">
        <x:v>2485</x:v>
      </x:c>
      <x:c r="E839" s="2" t="s">
        <x:v>2580</x:v>
      </x:c>
      <x:c r="F839" s="2" t="s">
        <x:v>474</x:v>
      </x:c>
      <x:c r="G839" s="2"/>
      <x:c r="H839" s="2" t="s">
        <x:v>627</x:v>
      </x:c>
      <x:c r="I839" s="2" t="s">
        <x:v>2581</x:v>
      </x:c>
      <x:c r="J839" s="2" t="s">
        <x:v>2468</x:v>
      </x:c>
      <x:c r="K839" s="2" t="n">
        <x:v>66</x:v>
      </x:c>
      <x:c r="L839" s="2" t="s">
        <x:v>2506</x:v>
      </x:c>
      <x:c r="M839" s="2"/>
      <x:c r="N839" s="2"/>
      <x:c r="O839" s="2" t="s">
        <x:v>2470</x:v>
      </x:c>
      <x:c r="P839" s="2" t="s">
        <x:v>2507</x:v>
      </x:c>
      <x:c r="Q839" s="2"/>
      <x:c r="R839" s="3">
        <x:v>2</x:v>
      </x:c>
      <x:c r="S839" s="3"/>
      <x:c r="T839" s="2"/>
      <x:c r="U839" s="2"/>
      <x:c r="V839" s="2"/>
      <x:c r="W839" s="2"/>
      <x:c r="X839" s="3"/>
      <x:c r="Y839" s="3"/>
      <x:c r="Z839" s="2"/>
      <x:c r="AA839" s="2"/>
      <x:c r="AB839" s="2"/>
      <x:c r="AC839" s="2"/>
      <x:c r="AD839" s="2" t="s">
        <x:v>480</x:v>
      </x:c>
      <x:c r="AE839" s="2"/>
      <x:c r="AF839" s="2"/>
      <x:c r="AG839" s="2"/>
      <x:c r="AH839" s="2" t="s">
        <x:v>470</x:v>
      </x:c>
      <x:c r="AI839" s="4">
        <x:v>12</x:v>
      </x:c>
      <x:c r="AJ839" s="2" t="s">
        <x:v>2472</x:v>
      </x:c>
      <x:c r="AK839" s="2" t="s">
        <x:v>460</x:v>
      </x:c>
      <x:c r="AL839" s="2" t="s">
        <x:v>2857</x:v>
      </x:c>
      <x:c r="AM839" s="2">
        <x:v>69</x:v>
      </x:c>
      <x:c r="AN839" s="2">
        <x:v>69</x:v>
      </x:c>
    </x:row>
    <x:row r="840" ht="39">
      <x:c r="A840" s="2" t="s">
        <x:v>6</x:v>
      </x:c>
      <x:c r="B840" s="2" t="s">
        <x:v>18</x:v>
      </x:c>
      <x:c r="C840" s="3">
        <x:v>68</x:v>
      </x:c>
      <x:c r="D840" s="2" t="s">
        <x:v>482</x:v>
      </x:c>
      <x:c r="E840" s="2" t="s">
        <x:v>2584</x:v>
      </x:c>
      <x:c r="F840" s="2" t="s">
        <x:v>464</x:v>
      </x:c>
      <x:c r="G840" s="2" t="s">
        <x:v>3047</x:v>
      </x:c>
      <x:c r="H840" s="2" t="s">
        <x:v>618</x:v>
      </x:c>
      <x:c r="I840" s="2" t="s">
        <x:v>2586</x:v>
      </x:c>
      <x:c r="J840" s="2" t="s">
        <x:v>477</x:v>
      </x:c>
      <x:c r="K840" s="2"/>
      <x:c r="L840" s="2" t="s">
        <x:v>2587</x:v>
      </x:c>
      <x:c r="M840" s="2"/>
      <x:c r="N840" s="2"/>
      <x:c r="O840" s="2" t="s">
        <x:v>2464</x:v>
      </x:c>
      <x:c r="P840" s="2" t="s">
        <x:v>2588</x:v>
      </x:c>
      <x:c r="Q840" s="2"/>
      <x:c r="R840" s="3">
        <x:v>2</x:v>
      </x:c>
      <x:c r="S840" s="3"/>
      <x:c r="T840" s="2"/>
      <x:c r="U840" s="2"/>
      <x:c r="V840" s="2"/>
      <x:c r="W840" s="2"/>
      <x:c r="X840" s="3"/>
      <x:c r="Y840" s="3"/>
      <x:c r="Z840" s="2"/>
      <x:c r="AA840" s="2"/>
      <x:c r="AB840" s="2"/>
      <x:c r="AC840" s="2"/>
      <x:c r="AD840" s="2" t="s">
        <x:v>469</x:v>
      </x:c>
      <x:c r="AE840" s="2"/>
      <x:c r="AF840" s="2"/>
      <x:c r="AG840" s="2"/>
      <x:c r="AH840" s="2" t="s">
        <x:v>470</x:v>
      </x:c>
      <x:c r="AI840" s="4">
        <x:v>12</x:v>
      </x:c>
      <x:c r="AJ840" s="2" t="s">
        <x:v>2494</x:v>
      </x:c>
      <x:c r="AK840" s="2" t="s">
        <x:v>460</x:v>
      </x:c>
      <x:c r="AL840" s="2" t="s">
        <x:v>2857</x:v>
      </x:c>
      <x:c r="AM840" s="2">
        <x:v>70</x:v>
      </x:c>
      <x:c r="AN840" s="2">
        <x:v>70</x:v>
      </x:c>
    </x:row>
    <x:row r="841" ht="39">
      <x:c r="A841" s="2" t="s">
        <x:v>6</x:v>
      </x:c>
      <x:c r="B841" s="2" t="s">
        <x:v>18</x:v>
      </x:c>
      <x:c r="C841" s="3">
        <x:v>69</x:v>
      </x:c>
      <x:c r="D841" s="2" t="s">
        <x:v>2495</x:v>
      </x:c>
      <x:c r="E841" s="2" t="s">
        <x:v>2584</x:v>
      </x:c>
      <x:c r="F841" s="2" t="s">
        <x:v>464</x:v>
      </x:c>
      <x:c r="G841" s="2"/>
      <x:c r="H841" s="2" t="s">
        <x:v>627</x:v>
      </x:c>
      <x:c r="I841" s="2" t="s">
        <x:v>2586</x:v>
      </x:c>
      <x:c r="J841" s="2" t="s">
        <x:v>2468</x:v>
      </x:c>
      <x:c r="K841" s="2" t="n">
        <x:v>68</x:v>
      </x:c>
      <x:c r="L841" s="2" t="s">
        <x:v>2516</x:v>
      </x:c>
      <x:c r="M841" s="2"/>
      <x:c r="N841" s="2"/>
      <x:c r="O841" s="2" t="s">
        <x:v>2470</x:v>
      </x:c>
      <x:c r="P841" s="2" t="s">
        <x:v>2517</x:v>
      </x:c>
      <x:c r="Q841" s="2"/>
      <x:c r="R841" s="3">
        <x:v>2</x:v>
      </x:c>
      <x:c r="S841" s="3"/>
      <x:c r="T841" s="2"/>
      <x:c r="U841" s="2"/>
      <x:c r="V841" s="2"/>
      <x:c r="W841" s="2"/>
      <x:c r="X841" s="3"/>
      <x:c r="Y841" s="3"/>
      <x:c r="Z841" s="2"/>
      <x:c r="AA841" s="2"/>
      <x:c r="AB841" s="2"/>
      <x:c r="AC841" s="2"/>
      <x:c r="AD841" s="2" t="s">
        <x:v>469</x:v>
      </x:c>
      <x:c r="AE841" s="2"/>
      <x:c r="AF841" s="2"/>
      <x:c r="AG841" s="2"/>
      <x:c r="AH841" s="2" t="s">
        <x:v>470</x:v>
      </x:c>
      <x:c r="AI841" s="4">
        <x:v>12</x:v>
      </x:c>
      <x:c r="AJ841" s="2" t="s">
        <x:v>2472</x:v>
      </x:c>
      <x:c r="AK841" s="2" t="s">
        <x:v>460</x:v>
      </x:c>
      <x:c r="AL841" s="2" t="s">
        <x:v>2857</x:v>
      </x:c>
      <x:c r="AM841" s="2">
        <x:v>71</x:v>
      </x:c>
      <x:c r="AN841" s="2">
        <x:v>71</x:v>
      </x:c>
    </x:row>
    <x:row r="842" ht="39">
      <x:c r="A842" s="2" t="s">
        <x:v>6</x:v>
      </x:c>
      <x:c r="B842" s="2" t="s">
        <x:v>18</x:v>
      </x:c>
      <x:c r="C842" s="3">
        <x:v>70</x:v>
      </x:c>
      <x:c r="D842" s="2" t="s">
        <x:v>516</x:v>
      </x:c>
      <x:c r="E842" s="2" t="s">
        <x:v>2589</x:v>
      </x:c>
      <x:c r="F842" s="2" t="s">
        <x:v>474</x:v>
      </x:c>
      <x:c r="G842" s="2"/>
      <x:c r="H842" s="2" t="s">
        <x:v>618</x:v>
      </x:c>
      <x:c r="I842" s="2" t="s">
        <x:v>2591</x:v>
      </x:c>
      <x:c r="J842" s="2" t="s">
        <x:v>454</x:v>
      </x:c>
      <x:c r="K842" s="2"/>
      <x:c r="L842" s="2" t="s">
        <x:v>2592</x:v>
      </x:c>
      <x:c r="M842" s="2"/>
      <x:c r="N842" s="2"/>
      <x:c r="O842" s="2" t="s">
        <x:v>2464</x:v>
      </x:c>
      <x:c r="P842" s="2" t="s">
        <x:v>2593</x:v>
      </x:c>
      <x:c r="Q842" s="2"/>
      <x:c r="R842" s="3">
        <x:v>2</x:v>
      </x:c>
      <x:c r="S842" s="3"/>
      <x:c r="T842" s="2"/>
      <x:c r="U842" s="2"/>
      <x:c r="V842" s="2"/>
      <x:c r="W842" s="2"/>
      <x:c r="X842" s="3"/>
      <x:c r="Y842" s="3"/>
      <x:c r="Z842" s="2"/>
      <x:c r="AA842" s="2"/>
      <x:c r="AB842" s="2"/>
      <x:c r="AC842" s="2"/>
      <x:c r="AD842" s="2" t="s">
        <x:v>480</x:v>
      </x:c>
      <x:c r="AE842" s="2"/>
      <x:c r="AF842" s="2"/>
      <x:c r="AG842" s="2"/>
      <x:c r="AH842" s="2" t="s">
        <x:v>458</x:v>
      </x:c>
      <x:c r="AI842" s="4">
        <x:v>16</x:v>
      </x:c>
      <x:c r="AJ842" s="2" t="s">
        <x:v>2504</x:v>
      </x:c>
      <x:c r="AK842" s="2" t="s">
        <x:v>460</x:v>
      </x:c>
      <x:c r="AL842" s="2" t="s">
        <x:v>2857</x:v>
      </x:c>
      <x:c r="AM842" s="2">
        <x:v>72</x:v>
      </x:c>
      <x:c r="AN842" s="2">
        <x:v>72</x:v>
      </x:c>
    </x:row>
    <x:row r="843" ht="39">
      <x:c r="A843" s="2" t="s">
        <x:v>6</x:v>
      </x:c>
      <x:c r="B843" s="2" t="s">
        <x:v>18</x:v>
      </x:c>
      <x:c r="C843" s="3">
        <x:v>71</x:v>
      </x:c>
      <x:c r="D843" s="2" t="s">
        <x:v>2505</x:v>
      </x:c>
      <x:c r="E843" s="2" t="s">
        <x:v>2589</x:v>
      </x:c>
      <x:c r="F843" s="2" t="s">
        <x:v>474</x:v>
      </x:c>
      <x:c r="G843" s="2"/>
      <x:c r="H843" s="2" t="s">
        <x:v>627</x:v>
      </x:c>
      <x:c r="I843" s="2" t="s">
        <x:v>2591</x:v>
      </x:c>
      <x:c r="J843" s="2" t="s">
        <x:v>2468</x:v>
      </x:c>
      <x:c r="K843" s="2" t="n">
        <x:v>70</x:v>
      </x:c>
      <x:c r="L843" s="2" t="s">
        <x:v>2527</x:v>
      </x:c>
      <x:c r="M843" s="2"/>
      <x:c r="N843" s="2"/>
      <x:c r="O843" s="2" t="s">
        <x:v>2470</x:v>
      </x:c>
      <x:c r="P843" s="2" t="s">
        <x:v>2528</x:v>
      </x:c>
      <x:c r="Q843" s="2"/>
      <x:c r="R843" s="3">
        <x:v>2</x:v>
      </x:c>
      <x:c r="S843" s="3"/>
      <x:c r="T843" s="2"/>
      <x:c r="U843" s="2"/>
      <x:c r="V843" s="2"/>
      <x:c r="W843" s="2"/>
      <x:c r="X843" s="3"/>
      <x:c r="Y843" s="3"/>
      <x:c r="Z843" s="2"/>
      <x:c r="AA843" s="2"/>
      <x:c r="AB843" s="2"/>
      <x:c r="AC843" s="2"/>
      <x:c r="AD843" s="2" t="s">
        <x:v>480</x:v>
      </x:c>
      <x:c r="AE843" s="2"/>
      <x:c r="AF843" s="2"/>
      <x:c r="AG843" s="2"/>
      <x:c r="AH843" s="2" t="s">
        <x:v>458</x:v>
      </x:c>
      <x:c r="AI843" s="4">
        <x:v>16</x:v>
      </x:c>
      <x:c r="AJ843" s="2" t="s">
        <x:v>2472</x:v>
      </x:c>
      <x:c r="AK843" s="2" t="s">
        <x:v>460</x:v>
      </x:c>
      <x:c r="AL843" s="2" t="s">
        <x:v>2857</x:v>
      </x:c>
      <x:c r="AM843" s="2">
        <x:v>73</x:v>
      </x:c>
      <x:c r="AN843" s="2">
        <x:v>73</x:v>
      </x:c>
    </x:row>
    <x:row r="844" ht="39">
      <x:c r="A844" s="2" t="s">
        <x:v>6</x:v>
      </x:c>
      <x:c r="B844" s="2" t="s">
        <x:v>18</x:v>
      </x:c>
      <x:c r="C844" s="3">
        <x:v>72</x:v>
      </x:c>
      <x:c r="D844" s="2" t="s">
        <x:v>472</x:v>
      </x:c>
      <x:c r="E844" s="2" t="s">
        <x:v>2594</x:v>
      </x:c>
      <x:c r="F844" s="2" t="s">
        <x:v>464</x:v>
      </x:c>
      <x:c r="G844" s="2"/>
      <x:c r="H844" s="2" t="s">
        <x:v>618</x:v>
      </x:c>
      <x:c r="I844" s="2" t="s">
        <x:v>2595</x:v>
      </x:c>
      <x:c r="J844" s="2" t="s">
        <x:v>477</x:v>
      </x:c>
      <x:c r="K844" s="2"/>
      <x:c r="L844" s="2" t="s">
        <x:v>2596</x:v>
      </x:c>
      <x:c r="M844" s="2"/>
      <x:c r="N844" s="2"/>
      <x:c r="O844" s="2" t="s">
        <x:v>2464</x:v>
      </x:c>
      <x:c r="P844" s="2" t="s">
        <x:v>2597</x:v>
      </x:c>
      <x:c r="Q844" s="2"/>
      <x:c r="R844" s="3">
        <x:v>2</x:v>
      </x:c>
      <x:c r="S844" s="3"/>
      <x:c r="T844" s="2"/>
      <x:c r="U844" s="2"/>
      <x:c r="V844" s="2"/>
      <x:c r="W844" s="2"/>
      <x:c r="X844" s="3"/>
      <x:c r="Y844" s="3"/>
      <x:c r="Z844" s="2"/>
      <x:c r="AA844" s="2"/>
      <x:c r="AB844" s="2"/>
      <x:c r="AC844" s="2"/>
      <x:c r="AD844" s="2" t="s">
        <x:v>469</x:v>
      </x:c>
      <x:c r="AE844" s="2"/>
      <x:c r="AF844" s="2"/>
      <x:c r="AG844" s="2"/>
      <x:c r="AH844" s="2" t="s">
        <x:v>458</x:v>
      </x:c>
      <x:c r="AI844" s="4">
        <x:v>16</x:v>
      </x:c>
      <x:c r="AJ844" s="2" t="s">
        <x:v>2514</x:v>
      </x:c>
      <x:c r="AK844" s="2" t="s">
        <x:v>460</x:v>
      </x:c>
      <x:c r="AL844" s="2" t="s">
        <x:v>2857</x:v>
      </x:c>
      <x:c r="AM844" s="2">
        <x:v>74</x:v>
      </x:c>
      <x:c r="AN844" s="2">
        <x:v>74</x:v>
      </x:c>
    </x:row>
    <x:row r="845" ht="39">
      <x:c r="A845" s="2" t="s">
        <x:v>6</x:v>
      </x:c>
      <x:c r="B845" s="2" t="s">
        <x:v>18</x:v>
      </x:c>
      <x:c r="C845" s="3">
        <x:v>73</x:v>
      </x:c>
      <x:c r="D845" s="2" t="s">
        <x:v>2515</x:v>
      </x:c>
      <x:c r="E845" s="2" t="s">
        <x:v>2594</x:v>
      </x:c>
      <x:c r="F845" s="2" t="s">
        <x:v>464</x:v>
      </x:c>
      <x:c r="G845" s="2"/>
      <x:c r="H845" s="2" t="s">
        <x:v>627</x:v>
      </x:c>
      <x:c r="I845" s="2" t="s">
        <x:v>2595</x:v>
      </x:c>
      <x:c r="J845" s="2" t="s">
        <x:v>2468</x:v>
      </x:c>
      <x:c r="K845" s="2" t="n">
        <x:v>72</x:v>
      </x:c>
      <x:c r="L845" s="2" t="s">
        <x:v>2536</x:v>
      </x:c>
      <x:c r="M845" s="2"/>
      <x:c r="N845" s="2"/>
      <x:c r="O845" s="2" t="s">
        <x:v>2470</x:v>
      </x:c>
      <x:c r="P845" s="2" t="s">
        <x:v>2537</x:v>
      </x:c>
      <x:c r="Q845" s="2"/>
      <x:c r="R845" s="3">
        <x:v>2</x:v>
      </x:c>
      <x:c r="S845" s="3"/>
      <x:c r="T845" s="2"/>
      <x:c r="U845" s="2"/>
      <x:c r="V845" s="2"/>
      <x:c r="W845" s="2"/>
      <x:c r="X845" s="3"/>
      <x:c r="Y845" s="3"/>
      <x:c r="Z845" s="2"/>
      <x:c r="AA845" s="2"/>
      <x:c r="AB845" s="2"/>
      <x:c r="AC845" s="2"/>
      <x:c r="AD845" s="2" t="s">
        <x:v>469</x:v>
      </x:c>
      <x:c r="AE845" s="2"/>
      <x:c r="AF845" s="2"/>
      <x:c r="AG845" s="2"/>
      <x:c r="AH845" s="2" t="s">
        <x:v>458</x:v>
      </x:c>
      <x:c r="AI845" s="4">
        <x:v>16</x:v>
      </x:c>
      <x:c r="AJ845" s="2" t="s">
        <x:v>2472</x:v>
      </x:c>
      <x:c r="AK845" s="2" t="s">
        <x:v>460</x:v>
      </x:c>
      <x:c r="AL845" s="2" t="s">
        <x:v>2857</x:v>
      </x:c>
      <x:c r="AM845" s="2">
        <x:v>75</x:v>
      </x:c>
      <x:c r="AN845" s="2">
        <x:v>75</x:v>
      </x:c>
    </x:row>
    <x:row r="846" ht="39">
      <x:c r="A846" s="2" t="s">
        <x:v>6</x:v>
      </x:c>
      <x:c r="B846" s="2" t="s">
        <x:v>18</x:v>
      </x:c>
      <x:c r="C846" s="3">
        <x:v>74</x:v>
      </x:c>
      <x:c r="D846" s="2" t="s">
        <x:v>449</x:v>
      </x:c>
      <x:c r="E846" s="2" t="s">
        <x:v>2598</x:v>
      </x:c>
      <x:c r="F846" s="2" t="s">
        <x:v>474</x:v>
      </x:c>
      <x:c r="G846" s="2"/>
      <x:c r="H846" s="2" t="s">
        <x:v>618</x:v>
      </x:c>
      <x:c r="I846" s="2" t="s">
        <x:v>2599</x:v>
      </x:c>
      <x:c r="J846" s="2" t="s">
        <x:v>454</x:v>
      </x:c>
      <x:c r="K846" s="2"/>
      <x:c r="L846" s="2" t="s">
        <x:v>2600</x:v>
      </x:c>
      <x:c r="M846" s="2"/>
      <x:c r="N846" s="2"/>
      <x:c r="O846" s="2" t="s">
        <x:v>2464</x:v>
      </x:c>
      <x:c r="P846" s="2" t="s">
        <x:v>2601</x:v>
      </x:c>
      <x:c r="Q846" s="2"/>
      <x:c r="R846" s="3">
        <x:v>2</x:v>
      </x:c>
      <x:c r="S846" s="3"/>
      <x:c r="T846" s="2"/>
      <x:c r="U846" s="2"/>
      <x:c r="V846" s="2"/>
      <x:c r="W846" s="2"/>
      <x:c r="X846" s="3"/>
      <x:c r="Y846" s="3"/>
      <x:c r="Z846" s="2"/>
      <x:c r="AA846" s="2"/>
      <x:c r="AB846" s="2"/>
      <x:c r="AC846" s="2"/>
      <x:c r="AD846" s="2" t="s">
        <x:v>480</x:v>
      </x:c>
      <x:c r="AE846" s="2"/>
      <x:c r="AF846" s="2"/>
      <x:c r="AG846" s="2"/>
      <x:c r="AH846" s="2" t="s">
        <x:v>470</x:v>
      </x:c>
      <x:c r="AI846" s="4">
        <x:v>8</x:v>
      </x:c>
      <x:c r="AJ846" s="2" t="s">
        <x:v>2525</x:v>
      </x:c>
      <x:c r="AK846" s="2" t="s">
        <x:v>460</x:v>
      </x:c>
      <x:c r="AL846" s="2" t="s">
        <x:v>2857</x:v>
      </x:c>
      <x:c r="AM846" s="2">
        <x:v>76</x:v>
      </x:c>
      <x:c r="AN846" s="2">
        <x:v>76</x:v>
      </x:c>
    </x:row>
    <x:row r="847" ht="39">
      <x:c r="A847" s="2" t="s">
        <x:v>6</x:v>
      </x:c>
      <x:c r="B847" s="2" t="s">
        <x:v>18</x:v>
      </x:c>
      <x:c r="C847" s="3">
        <x:v>75</x:v>
      </x:c>
      <x:c r="D847" s="2" t="s">
        <x:v>2526</x:v>
      </x:c>
      <x:c r="E847" s="2" t="s">
        <x:v>2598</x:v>
      </x:c>
      <x:c r="F847" s="2" t="s">
        <x:v>474</x:v>
      </x:c>
      <x:c r="G847" s="2"/>
      <x:c r="H847" s="2" t="s">
        <x:v>627</x:v>
      </x:c>
      <x:c r="I847" s="2" t="s">
        <x:v>2599</x:v>
      </x:c>
      <x:c r="J847" s="2" t="s">
        <x:v>2468</x:v>
      </x:c>
      <x:c r="K847" s="2" t="n">
        <x:v>74</x:v>
      </x:c>
      <x:c r="L847" s="2" t="s">
        <x:v>2544</x:v>
      </x:c>
      <x:c r="M847" s="2"/>
      <x:c r="N847" s="2"/>
      <x:c r="O847" s="2" t="s">
        <x:v>2470</x:v>
      </x:c>
      <x:c r="P847" s="2" t="s">
        <x:v>2545</x:v>
      </x:c>
      <x:c r="Q847" s="2"/>
      <x:c r="R847" s="3">
        <x:v>2</x:v>
      </x:c>
      <x:c r="S847" s="3"/>
      <x:c r="T847" s="2"/>
      <x:c r="U847" s="2"/>
      <x:c r="V847" s="2"/>
      <x:c r="W847" s="2"/>
      <x:c r="X847" s="3"/>
      <x:c r="Y847" s="3"/>
      <x:c r="Z847" s="2"/>
      <x:c r="AA847" s="2"/>
      <x:c r="AB847" s="2"/>
      <x:c r="AC847" s="2"/>
      <x:c r="AD847" s="2" t="s">
        <x:v>480</x:v>
      </x:c>
      <x:c r="AE847" s="2"/>
      <x:c r="AF847" s="2"/>
      <x:c r="AG847" s="2"/>
      <x:c r="AH847" s="2" t="s">
        <x:v>470</x:v>
      </x:c>
      <x:c r="AI847" s="4">
        <x:v>8</x:v>
      </x:c>
      <x:c r="AJ847" s="2" t="s">
        <x:v>2472</x:v>
      </x:c>
      <x:c r="AK847" s="2" t="s">
        <x:v>460</x:v>
      </x:c>
      <x:c r="AL847" s="2" t="s">
        <x:v>2857</x:v>
      </x:c>
      <x:c r="AM847" s="2">
        <x:v>77</x:v>
      </x:c>
      <x:c r="AN847" s="2">
        <x:v>77</x:v>
      </x:c>
    </x:row>
    <x:row r="848" ht="39">
      <x:c r="A848" s="2" t="s">
        <x:v>6</x:v>
      </x:c>
      <x:c r="B848" s="2" t="s">
        <x:v>18</x:v>
      </x:c>
      <x:c r="C848" s="3">
        <x:v>76</x:v>
      </x:c>
      <x:c r="D848" s="2" t="s">
        <x:v>505</x:v>
      </x:c>
      <x:c r="E848" s="2" t="s">
        <x:v>2602</x:v>
      </x:c>
      <x:c r="F848" s="2" t="s">
        <x:v>464</x:v>
      </x:c>
      <x:c r="G848" s="2"/>
      <x:c r="H848" s="2" t="s">
        <x:v>618</x:v>
      </x:c>
      <x:c r="I848" s="2" t="s">
        <x:v>2604</x:v>
      </x:c>
      <x:c r="J848" s="2" t="s">
        <x:v>477</x:v>
      </x:c>
      <x:c r="K848" s="2"/>
      <x:c r="L848" s="2" t="s">
        <x:v>2605</x:v>
      </x:c>
      <x:c r="M848" s="2"/>
      <x:c r="N848" s="2"/>
      <x:c r="O848" s="2" t="s">
        <x:v>2464</x:v>
      </x:c>
      <x:c r="P848" s="2" t="s">
        <x:v>2606</x:v>
      </x:c>
      <x:c r="Q848" s="2"/>
      <x:c r="R848" s="3">
        <x:v>2</x:v>
      </x:c>
      <x:c r="S848" s="3"/>
      <x:c r="T848" s="2"/>
      <x:c r="U848" s="2"/>
      <x:c r="V848" s="2"/>
      <x:c r="W848" s="2"/>
      <x:c r="X848" s="3"/>
      <x:c r="Y848" s="3"/>
      <x:c r="Z848" s="2"/>
      <x:c r="AA848" s="2"/>
      <x:c r="AB848" s="2"/>
      <x:c r="AC848" s="2"/>
      <x:c r="AD848" s="2" t="s">
        <x:v>469</x:v>
      </x:c>
      <x:c r="AE848" s="2"/>
      <x:c r="AF848" s="2"/>
      <x:c r="AG848" s="2"/>
      <x:c r="AH848" s="2" t="s">
        <x:v>470</x:v>
      </x:c>
      <x:c r="AI848" s="4">
        <x:v>8</x:v>
      </x:c>
      <x:c r="AJ848" s="2" t="s">
        <x:v>2466</x:v>
      </x:c>
      <x:c r="AK848" s="2" t="s">
        <x:v>460</x:v>
      </x:c>
      <x:c r="AL848" s="2" t="s">
        <x:v>2857</x:v>
      </x:c>
      <x:c r="AM848" s="2">
        <x:v>78</x:v>
      </x:c>
      <x:c r="AN848" s="2">
        <x:v>78</x:v>
      </x:c>
    </x:row>
    <x:row r="849" ht="39">
      <x:c r="A849" s="2" t="s">
        <x:v>6</x:v>
      </x:c>
      <x:c r="B849" s="2" t="s">
        <x:v>18</x:v>
      </x:c>
      <x:c r="C849" s="3">
        <x:v>77</x:v>
      </x:c>
      <x:c r="D849" s="2" t="s">
        <x:v>2467</x:v>
      </x:c>
      <x:c r="E849" s="2" t="s">
        <x:v>2602</x:v>
      </x:c>
      <x:c r="F849" s="2" t="s">
        <x:v>464</x:v>
      </x:c>
      <x:c r="G849" s="2"/>
      <x:c r="H849" s="2" t="s">
        <x:v>627</x:v>
      </x:c>
      <x:c r="I849" s="2" t="s">
        <x:v>2604</x:v>
      </x:c>
      <x:c r="J849" s="2" t="s">
        <x:v>2468</x:v>
      </x:c>
      <x:c r="K849" s="2" t="n">
        <x:v>76</x:v>
      </x:c>
      <x:c r="L849" s="2" t="s">
        <x:v>2554</x:v>
      </x:c>
      <x:c r="M849" s="2"/>
      <x:c r="N849" s="2"/>
      <x:c r="O849" s="2" t="s">
        <x:v>2470</x:v>
      </x:c>
      <x:c r="P849" s="2" t="s">
        <x:v>2555</x:v>
      </x:c>
      <x:c r="Q849" s="2"/>
      <x:c r="R849" s="3">
        <x:v>2</x:v>
      </x:c>
      <x:c r="S849" s="3"/>
      <x:c r="T849" s="2"/>
      <x:c r="U849" s="2"/>
      <x:c r="V849" s="2"/>
      <x:c r="W849" s="2"/>
      <x:c r="X849" s="3"/>
      <x:c r="Y849" s="3"/>
      <x:c r="Z849" s="2"/>
      <x:c r="AA849" s="2"/>
      <x:c r="AB849" s="2"/>
      <x:c r="AC849" s="2"/>
      <x:c r="AD849" s="2" t="s">
        <x:v>469</x:v>
      </x:c>
      <x:c r="AE849" s="2"/>
      <x:c r="AF849" s="2"/>
      <x:c r="AG849" s="2"/>
      <x:c r="AH849" s="2" t="s">
        <x:v>470</x:v>
      </x:c>
      <x:c r="AI849" s="4">
        <x:v>8</x:v>
      </x:c>
      <x:c r="AJ849" s="2" t="s">
        <x:v>2472</x:v>
      </x:c>
      <x:c r="AK849" s="2" t="s">
        <x:v>460</x:v>
      </x:c>
      <x:c r="AL849" s="2" t="s">
        <x:v>2857</x:v>
      </x:c>
      <x:c r="AM849" s="2">
        <x:v>79</x:v>
      </x:c>
      <x:c r="AN849" s="2">
        <x:v>79</x:v>
      </x:c>
    </x:row>
    <x:row r="850" ht="39">
      <x:c r="A850" s="2" t="s">
        <x:v>91</x:v>
      </x:c>
      <x:c r="B850" s="2" t="s">
        <x:v>18</x:v>
      </x:c>
      <x:c r="C850" s="3">
        <x:v>78</x:v>
      </x:c>
      <x:c r="D850" s="2" t="s">
        <x:v>462</x:v>
      </x:c>
      <x:c r="E850" s="2" t="s">
        <x:v>2608</x:v>
      </x:c>
      <x:c r="F850" s="2" t="s">
        <x:v>474</x:v>
      </x:c>
      <x:c r="G850" s="2" t="s">
        <x:v>3048</x:v>
      </x:c>
      <x:c r="H850" s="2" t="s">
        <x:v>618</x:v>
      </x:c>
      <x:c r="I850" s="2" t="s">
        <x:v>2610</x:v>
      </x:c>
      <x:c r="J850" s="2" t="s">
        <x:v>454</x:v>
      </x:c>
      <x:c r="K850" s="2"/>
      <x:c r="L850" s="2" t="s">
        <x:v>2611</x:v>
      </x:c>
      <x:c r="M850" s="2"/>
      <x:c r="N850" s="2"/>
      <x:c r="O850" s="2" t="s">
        <x:v>2464</x:v>
      </x:c>
      <x:c r="P850" s="2" t="s">
        <x:v>2612</x:v>
      </x:c>
      <x:c r="Q850" s="2"/>
      <x:c r="R850" s="3">
        <x:v>2</x:v>
      </x:c>
      <x:c r="S850" s="3"/>
      <x:c r="T850" s="2"/>
      <x:c r="U850" s="2"/>
      <x:c r="V850" s="2"/>
      <x:c r="W850" s="2"/>
      <x:c r="X850" s="3"/>
      <x:c r="Y850" s="3"/>
      <x:c r="Z850" s="2"/>
      <x:c r="AA850" s="2"/>
      <x:c r="AB850" s="2"/>
      <x:c r="AC850" s="2"/>
      <x:c r="AD850" s="2" t="s">
        <x:v>480</x:v>
      </x:c>
      <x:c r="AE850" s="2"/>
      <x:c r="AF850" s="2"/>
      <x:c r="AG850" s="2"/>
      <x:c r="AH850" s="2" t="s">
        <x:v>458</x:v>
      </x:c>
      <x:c r="AI850" s="4">
        <x:v>12</x:v>
      </x:c>
      <x:c r="AJ850" s="2" t="s">
        <x:v>2484</x:v>
      </x:c>
      <x:c r="AK850" s="2" t="s">
        <x:v>460</x:v>
      </x:c>
      <x:c r="AL850" s="2" t="s">
        <x:v>2857</x:v>
      </x:c>
      <x:c r="AM850" s="2">
        <x:v>80</x:v>
      </x:c>
      <x:c r="AN850" s="2">
        <x:v>80</x:v>
      </x:c>
    </x:row>
    <x:row r="851" ht="39">
      <x:c r="A851" s="2" t="s">
        <x:v>6</x:v>
      </x:c>
      <x:c r="B851" s="2" t="s">
        <x:v>18</x:v>
      </x:c>
      <x:c r="C851" s="3">
        <x:v>79</x:v>
      </x:c>
      <x:c r="D851" s="2" t="s">
        <x:v>2485</x:v>
      </x:c>
      <x:c r="E851" s="2" t="s">
        <x:v>2608</x:v>
      </x:c>
      <x:c r="F851" s="2" t="s">
        <x:v>474</x:v>
      </x:c>
      <x:c r="G851" s="2"/>
      <x:c r="H851" s="2" t="s">
        <x:v>627</x:v>
      </x:c>
      <x:c r="I851" s="2" t="s">
        <x:v>2610</x:v>
      </x:c>
      <x:c r="J851" s="2" t="s">
        <x:v>2468</x:v>
      </x:c>
      <x:c r="K851" s="2" t="n">
        <x:v>78</x:v>
      </x:c>
      <x:c r="L851" s="2" t="s">
        <x:v>2562</x:v>
      </x:c>
      <x:c r="M851" s="2"/>
      <x:c r="N851" s="2"/>
      <x:c r="O851" s="2" t="s">
        <x:v>2470</x:v>
      </x:c>
      <x:c r="P851" s="2" t="s">
        <x:v>2563</x:v>
      </x:c>
      <x:c r="Q851" s="2"/>
      <x:c r="R851" s="3">
        <x:v>2</x:v>
      </x:c>
      <x:c r="S851" s="3"/>
      <x:c r="T851" s="2"/>
      <x:c r="U851" s="2"/>
      <x:c r="V851" s="2"/>
      <x:c r="W851" s="2"/>
      <x:c r="X851" s="3"/>
      <x:c r="Y851" s="3"/>
      <x:c r="Z851" s="2"/>
      <x:c r="AA851" s="2"/>
      <x:c r="AB851" s="2"/>
      <x:c r="AC851" s="2"/>
      <x:c r="AD851" s="2" t="s">
        <x:v>480</x:v>
      </x:c>
      <x:c r="AE851" s="2"/>
      <x:c r="AF851" s="2"/>
      <x:c r="AG851" s="2"/>
      <x:c r="AH851" s="2" t="s">
        <x:v>458</x:v>
      </x:c>
      <x:c r="AI851" s="4">
        <x:v>12</x:v>
      </x:c>
      <x:c r="AJ851" s="2" t="s">
        <x:v>2472</x:v>
      </x:c>
      <x:c r="AK851" s="2" t="s">
        <x:v>460</x:v>
      </x:c>
      <x:c r="AL851" s="2" t="s">
        <x:v>2857</x:v>
      </x:c>
      <x:c r="AM851" s="2">
        <x:v>81</x:v>
      </x:c>
      <x:c r="AN851" s="2">
        <x:v>81</x:v>
      </x:c>
    </x:row>
    <x:row r="852" ht="39">
      <x:c r="A852" s="2" t="s">
        <x:v>6</x:v>
      </x:c>
      <x:c r="B852" s="2" t="s">
        <x:v>18</x:v>
      </x:c>
      <x:c r="C852" s="3">
        <x:v>80</x:v>
      </x:c>
      <x:c r="D852" s="2" t="s">
        <x:v>482</x:v>
      </x:c>
      <x:c r="E852" s="2" t="s">
        <x:v>2613</x:v>
      </x:c>
      <x:c r="F852" s="2" t="s">
        <x:v>464</x:v>
      </x:c>
      <x:c r="G852" s="2"/>
      <x:c r="H852" s="2" t="s">
        <x:v>618</x:v>
      </x:c>
      <x:c r="I852" s="2" t="s">
        <x:v>2614</x:v>
      </x:c>
      <x:c r="J852" s="2" t="s">
        <x:v>477</x:v>
      </x:c>
      <x:c r="K852" s="2"/>
      <x:c r="L852" s="2" t="s">
        <x:v>2615</x:v>
      </x:c>
      <x:c r="M852" s="2"/>
      <x:c r="N852" s="2"/>
      <x:c r="O852" s="2" t="s">
        <x:v>2464</x:v>
      </x:c>
      <x:c r="P852" s="2" t="s">
        <x:v>2616</x:v>
      </x:c>
      <x:c r="Q852" s="2"/>
      <x:c r="R852" s="3">
        <x:v>2</x:v>
      </x:c>
      <x:c r="S852" s="3"/>
      <x:c r="T852" s="2"/>
      <x:c r="U852" s="2"/>
      <x:c r="V852" s="2"/>
      <x:c r="W852" s="2"/>
      <x:c r="X852" s="3"/>
      <x:c r="Y852" s="3"/>
      <x:c r="Z852" s="2"/>
      <x:c r="AA852" s="2"/>
      <x:c r="AB852" s="2"/>
      <x:c r="AC852" s="2"/>
      <x:c r="AD852" s="2" t="s">
        <x:v>469</x:v>
      </x:c>
      <x:c r="AE852" s="2"/>
      <x:c r="AF852" s="2"/>
      <x:c r="AG852" s="2"/>
      <x:c r="AH852" s="2" t="s">
        <x:v>458</x:v>
      </x:c>
      <x:c r="AI852" s="4">
        <x:v>12</x:v>
      </x:c>
      <x:c r="AJ852" s="2" t="s">
        <x:v>2494</x:v>
      </x:c>
      <x:c r="AK852" s="2" t="s">
        <x:v>460</x:v>
      </x:c>
      <x:c r="AL852" s="2" t="s">
        <x:v>2857</x:v>
      </x:c>
      <x:c r="AM852" s="2">
        <x:v>82</x:v>
      </x:c>
      <x:c r="AN852" s="2">
        <x:v>82</x:v>
      </x:c>
    </x:row>
    <x:row r="853" ht="39">
      <x:c r="A853" s="2" t="s">
        <x:v>6</x:v>
      </x:c>
      <x:c r="B853" s="2" t="s">
        <x:v>18</x:v>
      </x:c>
      <x:c r="C853" s="3">
        <x:v>81</x:v>
      </x:c>
      <x:c r="D853" s="2" t="s">
        <x:v>516</x:v>
      </x:c>
      <x:c r="E853" s="2" t="s">
        <x:v>2617</x:v>
      </x:c>
      <x:c r="F853" s="2" t="s">
        <x:v>474</x:v>
      </x:c>
      <x:c r="G853" s="2" t="s">
        <x:v>3049</x:v>
      </x:c>
      <x:c r="H853" s="2" t="s">
        <x:v>618</x:v>
      </x:c>
      <x:c r="I853" s="2" t="s">
        <x:v>2618</x:v>
      </x:c>
      <x:c r="J853" s="2" t="s">
        <x:v>454</x:v>
      </x:c>
      <x:c r="K853" s="2"/>
      <x:c r="L853" s="2" t="s">
        <x:v>2619</x:v>
      </x:c>
      <x:c r="M853" s="2"/>
      <x:c r="N853" s="2"/>
      <x:c r="O853" s="2" t="s">
        <x:v>2464</x:v>
      </x:c>
      <x:c r="P853" s="2" t="s">
        <x:v>2620</x:v>
      </x:c>
      <x:c r="Q853" s="2"/>
      <x:c r="R853" s="3">
        <x:v>2</x:v>
      </x:c>
      <x:c r="S853" s="3"/>
      <x:c r="T853" s="2"/>
      <x:c r="U853" s="2"/>
      <x:c r="V853" s="2"/>
      <x:c r="W853" s="2"/>
      <x:c r="X853" s="3"/>
      <x:c r="Y853" s="3"/>
      <x:c r="Z853" s="2"/>
      <x:c r="AA853" s="2"/>
      <x:c r="AB853" s="2"/>
      <x:c r="AC853" s="2"/>
      <x:c r="AD853" s="2" t="s">
        <x:v>480</x:v>
      </x:c>
      <x:c r="AE853" s="2"/>
      <x:c r="AF853" s="2"/>
      <x:c r="AG853" s="2"/>
      <x:c r="AH853" s="2" t="s">
        <x:v>470</x:v>
      </x:c>
      <x:c r="AI853" s="4">
        <x:v>16</x:v>
      </x:c>
      <x:c r="AJ853" s="2" t="s">
        <x:v>2504</x:v>
      </x:c>
      <x:c r="AK853" s="2" t="s">
        <x:v>460</x:v>
      </x:c>
      <x:c r="AL853" s="2" t="s">
        <x:v>2857</x:v>
      </x:c>
      <x:c r="AM853" s="2">
        <x:v>83</x:v>
      </x:c>
      <x:c r="AN853" s="2">
        <x:v>83</x:v>
      </x:c>
    </x:row>
    <x:row r="854" ht="39">
      <x:c r="A854" s="2" t="s">
        <x:v>6</x:v>
      </x:c>
      <x:c r="B854" s="2" t="s">
        <x:v>18</x:v>
      </x:c>
      <x:c r="C854" s="3">
        <x:v>82</x:v>
      </x:c>
      <x:c r="D854" s="2" t="s">
        <x:v>472</x:v>
      </x:c>
      <x:c r="E854" s="2" t="s">
        <x:v>2621</x:v>
      </x:c>
      <x:c r="F854" s="2" t="s">
        <x:v>464</x:v>
      </x:c>
      <x:c r="G854" s="2"/>
      <x:c r="H854" s="2" t="s">
        <x:v>618</x:v>
      </x:c>
      <x:c r="I854" s="2" t="s">
        <x:v>2623</x:v>
      </x:c>
      <x:c r="J854" s="2" t="s">
        <x:v>477</x:v>
      </x:c>
      <x:c r="K854" s="2"/>
      <x:c r="L854" s="2" t="s">
        <x:v>2624</x:v>
      </x:c>
      <x:c r="M854" s="2"/>
      <x:c r="N854" s="2"/>
      <x:c r="O854" s="2" t="s">
        <x:v>2464</x:v>
      </x:c>
      <x:c r="P854" s="2" t="s">
        <x:v>2625</x:v>
      </x:c>
      <x:c r="Q854" s="2"/>
      <x:c r="R854" s="3">
        <x:v>2</x:v>
      </x:c>
      <x:c r="S854" s="3"/>
      <x:c r="T854" s="2"/>
      <x:c r="U854" s="2"/>
      <x:c r="V854" s="2"/>
      <x:c r="W854" s="2"/>
      <x:c r="X854" s="3"/>
      <x:c r="Y854" s="3"/>
      <x:c r="Z854" s="2"/>
      <x:c r="AA854" s="2"/>
      <x:c r="AB854" s="2"/>
      <x:c r="AC854" s="2"/>
      <x:c r="AD854" s="2" t="s">
        <x:v>469</x:v>
      </x:c>
      <x:c r="AE854" s="2"/>
      <x:c r="AF854" s="2"/>
      <x:c r="AG854" s="2"/>
      <x:c r="AH854" s="2" t="s">
        <x:v>470</x:v>
      </x:c>
      <x:c r="AI854" s="4">
        <x:v>16</x:v>
      </x:c>
      <x:c r="AJ854" s="2" t="s">
        <x:v>2514</x:v>
      </x:c>
      <x:c r="AK854" s="2" t="s">
        <x:v>460</x:v>
      </x:c>
      <x:c r="AL854" s="2" t="s">
        <x:v>2857</x:v>
      </x:c>
      <x:c r="AM854" s="2">
        <x:v>84</x:v>
      </x:c>
      <x:c r="AN854" s="2">
        <x:v>84</x:v>
      </x:c>
    </x:row>
    <x:row r="855" ht="39">
      <x:c r="A855" s="2" t="s">
        <x:v>91</x:v>
      </x:c>
      <x:c r="B855" s="2" t="s">
        <x:v>18</x:v>
      </x:c>
      <x:c r="C855" s="3">
        <x:v>83</x:v>
      </x:c>
      <x:c r="D855" s="2" t="s">
        <x:v>449</x:v>
      </x:c>
      <x:c r="E855" s="2" t="s">
        <x:v>2626</x:v>
      </x:c>
      <x:c r="F855" s="2" t="s">
        <x:v>474</x:v>
      </x:c>
      <x:c r="G855" s="2" t="s">
        <x:v>3050</x:v>
      </x:c>
      <x:c r="H855" s="2" t="s">
        <x:v>618</x:v>
      </x:c>
      <x:c r="I855" s="2" t="s">
        <x:v>2627</x:v>
      </x:c>
      <x:c r="J855" s="2" t="s">
        <x:v>454</x:v>
      </x:c>
      <x:c r="K855" s="2"/>
      <x:c r="L855" s="2" t="s">
        <x:v>2628</x:v>
      </x:c>
      <x:c r="M855" s="2"/>
      <x:c r="N855" s="2"/>
      <x:c r="O855" s="2" t="s">
        <x:v>2464</x:v>
      </x:c>
      <x:c r="P855" s="2" t="s">
        <x:v>2629</x:v>
      </x:c>
      <x:c r="Q855" s="2"/>
      <x:c r="R855" s="3">
        <x:v>2</x:v>
      </x:c>
      <x:c r="S855" s="3"/>
      <x:c r="T855" s="2"/>
      <x:c r="U855" s="2"/>
      <x:c r="V855" s="2"/>
      <x:c r="W855" s="2"/>
      <x:c r="X855" s="3"/>
      <x:c r="Y855" s="3"/>
      <x:c r="Z855" s="2"/>
      <x:c r="AA855" s="2"/>
      <x:c r="AB855" s="2"/>
      <x:c r="AC855" s="2"/>
      <x:c r="AD855" s="2" t="s">
        <x:v>480</x:v>
      </x:c>
      <x:c r="AE855" s="2"/>
      <x:c r="AF855" s="2"/>
      <x:c r="AG855" s="2"/>
      <x:c r="AH855" s="2" t="s">
        <x:v>458</x:v>
      </x:c>
      <x:c r="AI855" s="4">
        <x:v>8</x:v>
      </x:c>
      <x:c r="AJ855" s="2" t="s">
        <x:v>2525</x:v>
      </x:c>
      <x:c r="AK855" s="2" t="s">
        <x:v>460</x:v>
      </x:c>
      <x:c r="AL855" s="2" t="s">
        <x:v>2857</x:v>
      </x:c>
      <x:c r="AM855" s="2">
        <x:v>85</x:v>
      </x:c>
      <x:c r="AN855" s="2">
        <x:v>85</x:v>
      </x:c>
    </x:row>
    <x:row r="856" ht="39">
      <x:c r="A856" s="2" t="s">
        <x:v>91</x:v>
      </x:c>
      <x:c r="B856" s="2" t="s">
        <x:v>18</x:v>
      </x:c>
      <x:c r="C856" s="3">
        <x:v>84</x:v>
      </x:c>
      <x:c r="D856" s="2" t="s">
        <x:v>505</x:v>
      </x:c>
      <x:c r="E856" s="2" t="s">
        <x:v>2630</x:v>
      </x:c>
      <x:c r="F856" s="2" t="s">
        <x:v>464</x:v>
      </x:c>
      <x:c r="G856" s="2" t="s">
        <x:v>2810</x:v>
      </x:c>
      <x:c r="H856" s="2" t="s">
        <x:v>618</x:v>
      </x:c>
      <x:c r="I856" s="2" t="s">
        <x:v>2631</x:v>
      </x:c>
      <x:c r="J856" s="2" t="s">
        <x:v>477</x:v>
      </x:c>
      <x:c r="K856" s="2"/>
      <x:c r="L856" s="2" t="s">
        <x:v>2632</x:v>
      </x:c>
      <x:c r="M856" s="2"/>
      <x:c r="N856" s="2"/>
      <x:c r="O856" s="2" t="s">
        <x:v>2464</x:v>
      </x:c>
      <x:c r="P856" s="2" t="s">
        <x:v>2633</x:v>
      </x:c>
      <x:c r="Q856" s="2"/>
      <x:c r="R856" s="3">
        <x:v>2</x:v>
      </x:c>
      <x:c r="S856" s="3"/>
      <x:c r="T856" s="2"/>
      <x:c r="U856" s="2"/>
      <x:c r="V856" s="2"/>
      <x:c r="W856" s="2"/>
      <x:c r="X856" s="3"/>
      <x:c r="Y856" s="3"/>
      <x:c r="Z856" s="2"/>
      <x:c r="AA856" s="2"/>
      <x:c r="AB856" s="2"/>
      <x:c r="AC856" s="2"/>
      <x:c r="AD856" s="2" t="s">
        <x:v>469</x:v>
      </x:c>
      <x:c r="AE856" s="2"/>
      <x:c r="AF856" s="2"/>
      <x:c r="AG856" s="2"/>
      <x:c r="AH856" s="2" t="s">
        <x:v>458</x:v>
      </x:c>
      <x:c r="AI856" s="4">
        <x:v>8</x:v>
      </x:c>
      <x:c r="AJ856" s="2" t="s">
        <x:v>2466</x:v>
      </x:c>
      <x:c r="AK856" s="2" t="s">
        <x:v>460</x:v>
      </x:c>
      <x:c r="AL856" s="2" t="s">
        <x:v>2857</x:v>
      </x:c>
      <x:c r="AM856" s="2">
        <x:v>86</x:v>
      </x:c>
      <x:c r="AN856" s="2">
        <x:v>86</x:v>
      </x:c>
    </x:row>
    <x:row r="857" ht="39">
      <x:c r="A857" s="2" t="s">
        <x:v>6</x:v>
      </x:c>
      <x:c r="B857" s="2" t="s">
        <x:v>18</x:v>
      </x:c>
      <x:c r="C857" s="3">
        <x:v>85</x:v>
      </x:c>
      <x:c r="D857" s="2" t="s">
        <x:v>462</x:v>
      </x:c>
      <x:c r="E857" s="2" t="s">
        <x:v>2634</x:v>
      </x:c>
      <x:c r="F857" s="2" t="s">
        <x:v>474</x:v>
      </x:c>
      <x:c r="G857" s="2" t="s">
        <x:v>3051</x:v>
      </x:c>
      <x:c r="H857" s="2" t="s">
        <x:v>618</x:v>
      </x:c>
      <x:c r="I857" s="2" t="s">
        <x:v>2636</x:v>
      </x:c>
      <x:c r="J857" s="2" t="s">
        <x:v>454</x:v>
      </x:c>
      <x:c r="K857" s="2"/>
      <x:c r="L857" s="2" t="s">
        <x:v>2637</x:v>
      </x:c>
      <x:c r="M857" s="2"/>
      <x:c r="N857" s="2"/>
      <x:c r="O857" s="2" t="s">
        <x:v>2464</x:v>
      </x:c>
      <x:c r="P857" s="2" t="s">
        <x:v>2638</x:v>
      </x:c>
      <x:c r="Q857" s="2"/>
      <x:c r="R857" s="3">
        <x:v>2</x:v>
      </x:c>
      <x:c r="S857" s="3"/>
      <x:c r="T857" s="2"/>
      <x:c r="U857" s="2"/>
      <x:c r="V857" s="2"/>
      <x:c r="W857" s="2"/>
      <x:c r="X857" s="3"/>
      <x:c r="Y857" s="3"/>
      <x:c r="Z857" s="2"/>
      <x:c r="AA857" s="2"/>
      <x:c r="AB857" s="2"/>
      <x:c r="AC857" s="2"/>
      <x:c r="AD857" s="2" t="s">
        <x:v>480</x:v>
      </x:c>
      <x:c r="AE857" s="2"/>
      <x:c r="AF857" s="2"/>
      <x:c r="AG857" s="2"/>
      <x:c r="AH857" s="2" t="s">
        <x:v>470</x:v>
      </x:c>
      <x:c r="AI857" s="4">
        <x:v>12</x:v>
      </x:c>
      <x:c r="AJ857" s="2" t="s">
        <x:v>2484</x:v>
      </x:c>
      <x:c r="AK857" s="2" t="s">
        <x:v>460</x:v>
      </x:c>
      <x:c r="AL857" s="2" t="s">
        <x:v>2857</x:v>
      </x:c>
      <x:c r="AM857" s="2">
        <x:v>87</x:v>
      </x:c>
      <x:c r="AN857" s="2">
        <x:v>87</x:v>
      </x:c>
    </x:row>
    <x:row r="858" ht="39">
      <x:c r="A858" s="2" t="s">
        <x:v>6</x:v>
      </x:c>
      <x:c r="B858" s="2" t="s">
        <x:v>18</x:v>
      </x:c>
      <x:c r="C858" s="3">
        <x:v>86</x:v>
      </x:c>
      <x:c r="D858" s="2" t="s">
        <x:v>482</x:v>
      </x:c>
      <x:c r="E858" s="2" t="s">
        <x:v>2639</x:v>
      </x:c>
      <x:c r="F858" s="2" t="s">
        <x:v>464</x:v>
      </x:c>
      <x:c r="G858" s="2"/>
      <x:c r="H858" s="2" t="s">
        <x:v>618</x:v>
      </x:c>
      <x:c r="I858" s="2" t="s">
        <x:v>2641</x:v>
      </x:c>
      <x:c r="J858" s="2" t="s">
        <x:v>477</x:v>
      </x:c>
      <x:c r="K858" s="2"/>
      <x:c r="L858" s="2" t="s">
        <x:v>2642</x:v>
      </x:c>
      <x:c r="M858" s="2"/>
      <x:c r="N858" s="2"/>
      <x:c r="O858" s="2" t="s">
        <x:v>2464</x:v>
      </x:c>
      <x:c r="P858" s="2" t="s">
        <x:v>2643</x:v>
      </x:c>
      <x:c r="Q858" s="2"/>
      <x:c r="R858" s="3">
        <x:v>2</x:v>
      </x:c>
      <x:c r="S858" s="3"/>
      <x:c r="T858" s="2"/>
      <x:c r="U858" s="2"/>
      <x:c r="V858" s="2"/>
      <x:c r="W858" s="2"/>
      <x:c r="X858" s="3"/>
      <x:c r="Y858" s="3"/>
      <x:c r="Z858" s="2"/>
      <x:c r="AA858" s="2"/>
      <x:c r="AB858" s="2"/>
      <x:c r="AC858" s="2"/>
      <x:c r="AD858" s="2" t="s">
        <x:v>469</x:v>
      </x:c>
      <x:c r="AE858" s="2"/>
      <x:c r="AF858" s="2"/>
      <x:c r="AG858" s="2"/>
      <x:c r="AH858" s="2" t="s">
        <x:v>470</x:v>
      </x:c>
      <x:c r="AI858" s="4">
        <x:v>12</x:v>
      </x:c>
      <x:c r="AJ858" s="2" t="s">
        <x:v>2494</x:v>
      </x:c>
      <x:c r="AK858" s="2" t="s">
        <x:v>460</x:v>
      </x:c>
      <x:c r="AL858" s="2" t="s">
        <x:v>2857</x:v>
      </x:c>
      <x:c r="AM858" s="2">
        <x:v>88</x:v>
      </x:c>
      <x:c r="AN858" s="2">
        <x:v>88</x:v>
      </x:c>
    </x:row>
    <x:row r="859" ht="39">
      <x:c r="A859" s="2" t="s">
        <x:v>6</x:v>
      </x:c>
      <x:c r="B859" s="2" t="s">
        <x:v>18</x:v>
      </x:c>
      <x:c r="C859" s="3">
        <x:v>87</x:v>
      </x:c>
      <x:c r="D859" s="2" t="s">
        <x:v>516</x:v>
      </x:c>
      <x:c r="E859" s="2" t="s">
        <x:v>2644</x:v>
      </x:c>
      <x:c r="F859" s="2" t="s">
        <x:v>474</x:v>
      </x:c>
      <x:c r="G859" s="2"/>
      <x:c r="H859" s="2" t="s">
        <x:v>618</x:v>
      </x:c>
      <x:c r="I859" s="2" t="s">
        <x:v>2646</x:v>
      </x:c>
      <x:c r="J859" s="2" t="s">
        <x:v>454</x:v>
      </x:c>
      <x:c r="K859" s="2"/>
      <x:c r="L859" s="2" t="s">
        <x:v>2647</x:v>
      </x:c>
      <x:c r="M859" s="2"/>
      <x:c r="N859" s="2"/>
      <x:c r="O859" s="2" t="s">
        <x:v>2464</x:v>
      </x:c>
      <x:c r="P859" s="2" t="s">
        <x:v>2648</x:v>
      </x:c>
      <x:c r="Q859" s="2"/>
      <x:c r="R859" s="3">
        <x:v>2</x:v>
      </x:c>
      <x:c r="S859" s="3"/>
      <x:c r="T859" s="2"/>
      <x:c r="U859" s="2"/>
      <x:c r="V859" s="2"/>
      <x:c r="W859" s="2"/>
      <x:c r="X859" s="3"/>
      <x:c r="Y859" s="3"/>
      <x:c r="Z859" s="2"/>
      <x:c r="AA859" s="2"/>
      <x:c r="AB859" s="2"/>
      <x:c r="AC859" s="2"/>
      <x:c r="AD859" s="2" t="s">
        <x:v>480</x:v>
      </x:c>
      <x:c r="AE859" s="2"/>
      <x:c r="AF859" s="2"/>
      <x:c r="AG859" s="2"/>
      <x:c r="AH859" s="2" t="s">
        <x:v>458</x:v>
      </x:c>
      <x:c r="AI859" s="4">
        <x:v>16</x:v>
      </x:c>
      <x:c r="AJ859" s="2" t="s">
        <x:v>2504</x:v>
      </x:c>
      <x:c r="AK859" s="2" t="s">
        <x:v>460</x:v>
      </x:c>
      <x:c r="AL859" s="2" t="s">
        <x:v>2857</x:v>
      </x:c>
      <x:c r="AM859" s="2">
        <x:v>89</x:v>
      </x:c>
      <x:c r="AN859" s="2">
        <x:v>89</x:v>
      </x:c>
    </x:row>
    <x:row r="860" ht="39">
      <x:c r="A860" s="2" t="s">
        <x:v>91</x:v>
      </x:c>
      <x:c r="B860" s="2" t="s">
        <x:v>18</x:v>
      </x:c>
      <x:c r="C860" s="3">
        <x:v>88</x:v>
      </x:c>
      <x:c r="D860" s="2" t="s">
        <x:v>472</x:v>
      </x:c>
      <x:c r="E860" s="2" t="s">
        <x:v>2649</x:v>
      </x:c>
      <x:c r="F860" s="2" t="s">
        <x:v>464</x:v>
      </x:c>
      <x:c r="G860" s="2" t="s">
        <x:v>2854</x:v>
      </x:c>
      <x:c r="H860" s="2" t="s">
        <x:v>618</x:v>
      </x:c>
      <x:c r="I860" s="2" t="s">
        <x:v>2650</x:v>
      </x:c>
      <x:c r="J860" s="2" t="s">
        <x:v>477</x:v>
      </x:c>
      <x:c r="K860" s="2"/>
      <x:c r="L860" s="2" t="s">
        <x:v>2651</x:v>
      </x:c>
      <x:c r="M860" s="2"/>
      <x:c r="N860" s="2"/>
      <x:c r="O860" s="2" t="s">
        <x:v>2464</x:v>
      </x:c>
      <x:c r="P860" s="2" t="s">
        <x:v>2652</x:v>
      </x:c>
      <x:c r="Q860" s="2"/>
      <x:c r="R860" s="3">
        <x:v>2</x:v>
      </x:c>
      <x:c r="S860" s="3"/>
      <x:c r="T860" s="2"/>
      <x:c r="U860" s="2"/>
      <x:c r="V860" s="2"/>
      <x:c r="W860" s="2"/>
      <x:c r="X860" s="3"/>
      <x:c r="Y860" s="3"/>
      <x:c r="Z860" s="2"/>
      <x:c r="AA860" s="2"/>
      <x:c r="AB860" s="2"/>
      <x:c r="AC860" s="2"/>
      <x:c r="AD860" s="2" t="s">
        <x:v>469</x:v>
      </x:c>
      <x:c r="AE860" s="2"/>
      <x:c r="AF860" s="2"/>
      <x:c r="AG860" s="2"/>
      <x:c r="AH860" s="2" t="s">
        <x:v>458</x:v>
      </x:c>
      <x:c r="AI860" s="4">
        <x:v>16</x:v>
      </x:c>
      <x:c r="AJ860" s="2" t="s">
        <x:v>2514</x:v>
      </x:c>
      <x:c r="AK860" s="2" t="s">
        <x:v>460</x:v>
      </x:c>
      <x:c r="AL860" s="2" t="s">
        <x:v>2857</x:v>
      </x:c>
      <x:c r="AM860" s="2">
        <x:v>90</x:v>
      </x:c>
      <x:c r="AN860" s="2">
        <x:v>90</x:v>
      </x:c>
    </x:row>
    <x:row r="861" ht="39">
      <x:c r="A861" s="2" t="s">
        <x:v>6</x:v>
      </x:c>
      <x:c r="B861" s="2" t="s">
        <x:v>18</x:v>
      </x:c>
      <x:c r="C861" s="3">
        <x:v>89</x:v>
      </x:c>
      <x:c r="D861" s="2" t="s">
        <x:v>449</x:v>
      </x:c>
      <x:c r="E861" s="2" t="s">
        <x:v>2653</x:v>
      </x:c>
      <x:c r="F861" s="2" t="s">
        <x:v>474</x:v>
      </x:c>
      <x:c r="G861" s="2"/>
      <x:c r="H861" s="2" t="s">
        <x:v>618</x:v>
      </x:c>
      <x:c r="I861" s="2" t="s">
        <x:v>2654</x:v>
      </x:c>
      <x:c r="J861" s="2" t="s">
        <x:v>454</x:v>
      </x:c>
      <x:c r="K861" s="2"/>
      <x:c r="L861" s="2" t="s">
        <x:v>2655</x:v>
      </x:c>
      <x:c r="M861" s="2"/>
      <x:c r="N861" s="2"/>
      <x:c r="O861" s="2" t="s">
        <x:v>2464</x:v>
      </x:c>
      <x:c r="P861" s="2" t="s">
        <x:v>2656</x:v>
      </x:c>
      <x:c r="Q861" s="2"/>
      <x:c r="R861" s="3">
        <x:v>2</x:v>
      </x:c>
      <x:c r="S861" s="3"/>
      <x:c r="T861" s="2"/>
      <x:c r="U861" s="2"/>
      <x:c r="V861" s="2"/>
      <x:c r="W861" s="2"/>
      <x:c r="X861" s="3"/>
      <x:c r="Y861" s="3"/>
      <x:c r="Z861" s="2"/>
      <x:c r="AA861" s="2"/>
      <x:c r="AB861" s="2"/>
      <x:c r="AC861" s="2"/>
      <x:c r="AD861" s="2" t="s">
        <x:v>480</x:v>
      </x:c>
      <x:c r="AE861" s="2"/>
      <x:c r="AF861" s="2"/>
      <x:c r="AG861" s="2"/>
      <x:c r="AH861" s="2" t="s">
        <x:v>470</x:v>
      </x:c>
      <x:c r="AI861" s="4">
        <x:v>8</x:v>
      </x:c>
      <x:c r="AJ861" s="2" t="s">
        <x:v>2525</x:v>
      </x:c>
      <x:c r="AK861" s="2" t="s">
        <x:v>460</x:v>
      </x:c>
      <x:c r="AL861" s="2" t="s">
        <x:v>2857</x:v>
      </x:c>
      <x:c r="AM861" s="2">
        <x:v>91</x:v>
      </x:c>
      <x:c r="AN861" s="2">
        <x:v>91</x:v>
      </x:c>
    </x:row>
    <x:row r="862" ht="39">
      <x:c r="A862" s="2" t="s">
        <x:v>91</x:v>
      </x:c>
      <x:c r="B862" s="2" t="s">
        <x:v>18</x:v>
      </x:c>
      <x:c r="C862" s="3">
        <x:v>90</x:v>
      </x:c>
      <x:c r="D862" s="2" t="s">
        <x:v>505</x:v>
      </x:c>
      <x:c r="E862" s="2" t="s">
        <x:v>2657</x:v>
      </x:c>
      <x:c r="F862" s="2" t="s">
        <x:v>464</x:v>
      </x:c>
      <x:c r="G862" s="2" t="s">
        <x:v>3052</x:v>
      </x:c>
      <x:c r="H862" s="2" t="s">
        <x:v>618</x:v>
      </x:c>
      <x:c r="I862" s="2" t="s">
        <x:v>2659</x:v>
      </x:c>
      <x:c r="J862" s="2" t="s">
        <x:v>477</x:v>
      </x:c>
      <x:c r="K862" s="2"/>
      <x:c r="L862" s="2" t="s">
        <x:v>2660</x:v>
      </x:c>
      <x:c r="M862" s="2"/>
      <x:c r="N862" s="2"/>
      <x:c r="O862" s="2" t="s">
        <x:v>2464</x:v>
      </x:c>
      <x:c r="P862" s="2" t="s">
        <x:v>2661</x:v>
      </x:c>
      <x:c r="Q862" s="2"/>
      <x:c r="R862" s="3">
        <x:v>2</x:v>
      </x:c>
      <x:c r="S862" s="3"/>
      <x:c r="T862" s="2"/>
      <x:c r="U862" s="2"/>
      <x:c r="V862" s="2"/>
      <x:c r="W862" s="2"/>
      <x:c r="X862" s="3"/>
      <x:c r="Y862" s="3"/>
      <x:c r="Z862" s="2"/>
      <x:c r="AA862" s="2"/>
      <x:c r="AB862" s="2"/>
      <x:c r="AC862" s="2"/>
      <x:c r="AD862" s="2" t="s">
        <x:v>469</x:v>
      </x:c>
      <x:c r="AE862" s="2"/>
      <x:c r="AF862" s="2"/>
      <x:c r="AG862" s="2"/>
      <x:c r="AH862" s="2" t="s">
        <x:v>470</x:v>
      </x:c>
      <x:c r="AI862" s="4">
        <x:v>8</x:v>
      </x:c>
      <x:c r="AJ862" s="2" t="s">
        <x:v>2466</x:v>
      </x:c>
      <x:c r="AK862" s="2" t="s">
        <x:v>460</x:v>
      </x:c>
      <x:c r="AL862" s="2" t="s">
        <x:v>2857</x:v>
      </x:c>
      <x:c r="AM862" s="2">
        <x:v>92</x:v>
      </x:c>
      <x:c r="AN862" s="2">
        <x:v>92</x:v>
      </x:c>
    </x:row>
    <x:row r="863" ht="39">
      <x:c r="A863" s="2" t="s">
        <x:v>6</x:v>
      </x:c>
      <x:c r="B863" s="2" t="s">
        <x:v>18</x:v>
      </x:c>
      <x:c r="C863" s="3">
        <x:v>91</x:v>
      </x:c>
      <x:c r="D863" s="2" t="s">
        <x:v>462</x:v>
      </x:c>
      <x:c r="E863" s="2" t="s">
        <x:v>2662</x:v>
      </x:c>
      <x:c r="F863" s="2" t="s">
        <x:v>474</x:v>
      </x:c>
      <x:c r="G863" s="2"/>
      <x:c r="H863" s="2" t="s">
        <x:v>618</x:v>
      </x:c>
      <x:c r="I863" s="2" t="s">
        <x:v>2663</x:v>
      </x:c>
      <x:c r="J863" s="2" t="s">
        <x:v>454</x:v>
      </x:c>
      <x:c r="K863" s="2"/>
      <x:c r="L863" s="2" t="s">
        <x:v>2664</x:v>
      </x:c>
      <x:c r="M863" s="2"/>
      <x:c r="N863" s="2"/>
      <x:c r="O863" s="2" t="s">
        <x:v>2464</x:v>
      </x:c>
      <x:c r="P863" s="2" t="s">
        <x:v>2665</x:v>
      </x:c>
      <x:c r="Q863" s="2"/>
      <x:c r="R863" s="3">
        <x:v>2</x:v>
      </x:c>
      <x:c r="S863" s="3"/>
      <x:c r="T863" s="2"/>
      <x:c r="U863" s="2"/>
      <x:c r="V863" s="2"/>
      <x:c r="W863" s="2"/>
      <x:c r="X863" s="3"/>
      <x:c r="Y863" s="3"/>
      <x:c r="Z863" s="2"/>
      <x:c r="AA863" s="2"/>
      <x:c r="AB863" s="2"/>
      <x:c r="AC863" s="2"/>
      <x:c r="AD863" s="2" t="s">
        <x:v>480</x:v>
      </x:c>
      <x:c r="AE863" s="2"/>
      <x:c r="AF863" s="2"/>
      <x:c r="AG863" s="2"/>
      <x:c r="AH863" s="2" t="s">
        <x:v>458</x:v>
      </x:c>
      <x:c r="AI863" s="4">
        <x:v>12</x:v>
      </x:c>
      <x:c r="AJ863" s="2" t="s">
        <x:v>2484</x:v>
      </x:c>
      <x:c r="AK863" s="2" t="s">
        <x:v>460</x:v>
      </x:c>
      <x:c r="AL863" s="2" t="s">
        <x:v>2857</x:v>
      </x:c>
      <x:c r="AM863" s="2">
        <x:v>93</x:v>
      </x:c>
      <x:c r="AN863" s="2">
        <x:v>93</x:v>
      </x:c>
    </x:row>
    <x:row r="864" ht="39">
      <x:c r="A864" s="2" t="s">
        <x:v>91</x:v>
      </x:c>
      <x:c r="B864" s="2" t="s">
        <x:v>18</x:v>
      </x:c>
      <x:c r="C864" s="3">
        <x:v>92</x:v>
      </x:c>
      <x:c r="D864" s="2" t="s">
        <x:v>482</x:v>
      </x:c>
      <x:c r="E864" s="2" t="s">
        <x:v>2666</x:v>
      </x:c>
      <x:c r="F864" s="2" t="s">
        <x:v>464</x:v>
      </x:c>
      <x:c r="G864" s="2" t="s">
        <x:v>2876</x:v>
      </x:c>
      <x:c r="H864" s="2" t="s">
        <x:v>618</x:v>
      </x:c>
      <x:c r="I864" s="2" t="s">
        <x:v>2668</x:v>
      </x:c>
      <x:c r="J864" s="2" t="s">
        <x:v>477</x:v>
      </x:c>
      <x:c r="K864" s="2"/>
      <x:c r="L864" s="2" t="s">
        <x:v>2669</x:v>
      </x:c>
      <x:c r="M864" s="2"/>
      <x:c r="N864" s="2"/>
      <x:c r="O864" s="2" t="s">
        <x:v>2464</x:v>
      </x:c>
      <x:c r="P864" s="2" t="s">
        <x:v>2670</x:v>
      </x:c>
      <x:c r="Q864" s="2"/>
      <x:c r="R864" s="3">
        <x:v>2</x:v>
      </x:c>
      <x:c r="S864" s="3"/>
      <x:c r="T864" s="2"/>
      <x:c r="U864" s="2"/>
      <x:c r="V864" s="2"/>
      <x:c r="W864" s="2"/>
      <x:c r="X864" s="3"/>
      <x:c r="Y864" s="3"/>
      <x:c r="Z864" s="2"/>
      <x:c r="AA864" s="2"/>
      <x:c r="AB864" s="2"/>
      <x:c r="AC864" s="2"/>
      <x:c r="AD864" s="2" t="s">
        <x:v>469</x:v>
      </x:c>
      <x:c r="AE864" s="2"/>
      <x:c r="AF864" s="2"/>
      <x:c r="AG864" s="2"/>
      <x:c r="AH864" s="2" t="s">
        <x:v>458</x:v>
      </x:c>
      <x:c r="AI864" s="4">
        <x:v>12</x:v>
      </x:c>
      <x:c r="AJ864" s="2" t="s">
        <x:v>2494</x:v>
      </x:c>
      <x:c r="AK864" s="2" t="s">
        <x:v>460</x:v>
      </x:c>
      <x:c r="AL864" s="2" t="s">
        <x:v>2857</x:v>
      </x:c>
      <x:c r="AM864" s="2">
        <x:v>94</x:v>
      </x:c>
      <x:c r="AN864" s="2">
        <x:v>94</x:v>
      </x:c>
    </x:row>
    <x:row r="865" ht="39">
      <x:c r="A865" s="2" t="s">
        <x:v>6</x:v>
      </x:c>
      <x:c r="B865" s="2" t="s">
        <x:v>18</x:v>
      </x:c>
      <x:c r="C865" s="3">
        <x:v>93</x:v>
      </x:c>
      <x:c r="D865" s="2" t="s">
        <x:v>516</x:v>
      </x:c>
      <x:c r="E865" s="2" t="s">
        <x:v>2671</x:v>
      </x:c>
      <x:c r="F865" s="2" t="s">
        <x:v>474</x:v>
      </x:c>
      <x:c r="G865" s="2"/>
      <x:c r="H865" s="2" t="s">
        <x:v>618</x:v>
      </x:c>
      <x:c r="I865" s="2" t="s">
        <x:v>2672</x:v>
      </x:c>
      <x:c r="J865" s="2" t="s">
        <x:v>454</x:v>
      </x:c>
      <x:c r="K865" s="2"/>
      <x:c r="L865" s="2" t="s">
        <x:v>2673</x:v>
      </x:c>
      <x:c r="M865" s="2"/>
      <x:c r="N865" s="2"/>
      <x:c r="O865" s="2" t="s">
        <x:v>2464</x:v>
      </x:c>
      <x:c r="P865" s="2" t="s">
        <x:v>2674</x:v>
      </x:c>
      <x:c r="Q865" s="2"/>
      <x:c r="R865" s="3">
        <x:v>2</x:v>
      </x:c>
      <x:c r="S865" s="3"/>
      <x:c r="T865" s="2"/>
      <x:c r="U865" s="2"/>
      <x:c r="V865" s="2"/>
      <x:c r="W865" s="2"/>
      <x:c r="X865" s="3"/>
      <x:c r="Y865" s="3"/>
      <x:c r="Z865" s="2"/>
      <x:c r="AA865" s="2"/>
      <x:c r="AB865" s="2"/>
      <x:c r="AC865" s="2"/>
      <x:c r="AD865" s="2" t="s">
        <x:v>480</x:v>
      </x:c>
      <x:c r="AE865" s="2"/>
      <x:c r="AF865" s="2"/>
      <x:c r="AG865" s="2"/>
      <x:c r="AH865" s="2" t="s">
        <x:v>470</x:v>
      </x:c>
      <x:c r="AI865" s="4">
        <x:v>16</x:v>
      </x:c>
      <x:c r="AJ865" s="2" t="s">
        <x:v>2504</x:v>
      </x:c>
      <x:c r="AK865" s="2" t="s">
        <x:v>460</x:v>
      </x:c>
      <x:c r="AL865" s="2" t="s">
        <x:v>2857</x:v>
      </x:c>
      <x:c r="AM865" s="2">
        <x:v>95</x:v>
      </x:c>
      <x:c r="AN865" s="2">
        <x:v>95</x:v>
      </x:c>
    </x:row>
    <x:row r="866" ht="39">
      <x:c r="A866" s="2" t="s">
        <x:v>6</x:v>
      </x:c>
      <x:c r="B866" s="2" t="s">
        <x:v>18</x:v>
      </x:c>
      <x:c r="C866" s="3">
        <x:v>94</x:v>
      </x:c>
      <x:c r="D866" s="2" t="s">
        <x:v>472</x:v>
      </x:c>
      <x:c r="E866" s="2" t="s">
        <x:v>2675</x:v>
      </x:c>
      <x:c r="F866" s="2" t="s">
        <x:v>464</x:v>
      </x:c>
      <x:c r="G866" s="2" t="s">
        <x:v>3053</x:v>
      </x:c>
      <x:c r="H866" s="2" t="s">
        <x:v>618</x:v>
      </x:c>
      <x:c r="I866" s="2" t="s">
        <x:v>2676</x:v>
      </x:c>
      <x:c r="J866" s="2" t="s">
        <x:v>477</x:v>
      </x:c>
      <x:c r="K866" s="2"/>
      <x:c r="L866" s="2" t="s">
        <x:v>2677</x:v>
      </x:c>
      <x:c r="M866" s="2"/>
      <x:c r="N866" s="2"/>
      <x:c r="O866" s="2" t="s">
        <x:v>2464</x:v>
      </x:c>
      <x:c r="P866" s="2" t="s">
        <x:v>2678</x:v>
      </x:c>
      <x:c r="Q866" s="2"/>
      <x:c r="R866" s="3">
        <x:v>2</x:v>
      </x:c>
      <x:c r="S866" s="3"/>
      <x:c r="T866" s="2"/>
      <x:c r="U866" s="2"/>
      <x:c r="V866" s="2"/>
      <x:c r="W866" s="2"/>
      <x:c r="X866" s="3"/>
      <x:c r="Y866" s="3"/>
      <x:c r="Z866" s="2"/>
      <x:c r="AA866" s="2"/>
      <x:c r="AB866" s="2"/>
      <x:c r="AC866" s="2"/>
      <x:c r="AD866" s="2" t="s">
        <x:v>469</x:v>
      </x:c>
      <x:c r="AE866" s="2"/>
      <x:c r="AF866" s="2"/>
      <x:c r="AG866" s="2"/>
      <x:c r="AH866" s="2" t="s">
        <x:v>470</x:v>
      </x:c>
      <x:c r="AI866" s="4">
        <x:v>16</x:v>
      </x:c>
      <x:c r="AJ866" s="2" t="s">
        <x:v>2514</x:v>
      </x:c>
      <x:c r="AK866" s="2" t="s">
        <x:v>460</x:v>
      </x:c>
      <x:c r="AL866" s="2" t="s">
        <x:v>2857</x:v>
      </x:c>
      <x:c r="AM866" s="2">
        <x:v>96</x:v>
      </x:c>
      <x:c r="AN866" s="2">
        <x:v>96</x:v>
      </x:c>
    </x:row>
    <x:row r="867" ht="39">
      <x:c r="A867" s="2" t="s">
        <x:v>6</x:v>
      </x:c>
      <x:c r="B867" s="2" t="s">
        <x:v>18</x:v>
      </x:c>
      <x:c r="C867" s="3">
        <x:v>95</x:v>
      </x:c>
      <x:c r="D867" s="2" t="s">
        <x:v>449</x:v>
      </x:c>
      <x:c r="E867" s="2" t="s">
        <x:v>2679</x:v>
      </x:c>
      <x:c r="F867" s="2" t="s">
        <x:v>474</x:v>
      </x:c>
      <x:c r="G867" s="2"/>
      <x:c r="H867" s="2" t="s">
        <x:v>618</x:v>
      </x:c>
      <x:c r="I867" s="2" t="s">
        <x:v>2681</x:v>
      </x:c>
      <x:c r="J867" s="2" t="s">
        <x:v>454</x:v>
      </x:c>
      <x:c r="K867" s="2"/>
      <x:c r="L867" s="2" t="s">
        <x:v>2682</x:v>
      </x:c>
      <x:c r="M867" s="2"/>
      <x:c r="N867" s="2"/>
      <x:c r="O867" s="2" t="s">
        <x:v>2464</x:v>
      </x:c>
      <x:c r="P867" s="2" t="s">
        <x:v>2683</x:v>
      </x:c>
      <x:c r="Q867" s="2"/>
      <x:c r="R867" s="3">
        <x:v>2</x:v>
      </x:c>
      <x:c r="S867" s="3"/>
      <x:c r="T867" s="2"/>
      <x:c r="U867" s="2"/>
      <x:c r="V867" s="2"/>
      <x:c r="W867" s="2"/>
      <x:c r="X867" s="3"/>
      <x:c r="Y867" s="3"/>
      <x:c r="Z867" s="2"/>
      <x:c r="AA867" s="2"/>
      <x:c r="AB867" s="2"/>
      <x:c r="AC867" s="2"/>
      <x:c r="AD867" s="2" t="s">
        <x:v>480</x:v>
      </x:c>
      <x:c r="AE867" s="2"/>
      <x:c r="AF867" s="2"/>
      <x:c r="AG867" s="2"/>
      <x:c r="AH867" s="2" t="s">
        <x:v>458</x:v>
      </x:c>
      <x:c r="AI867" s="4">
        <x:v>8</x:v>
      </x:c>
      <x:c r="AJ867" s="2" t="s">
        <x:v>2525</x:v>
      </x:c>
      <x:c r="AK867" s="2" t="s">
        <x:v>460</x:v>
      </x:c>
      <x:c r="AL867" s="2" t="s">
        <x:v>2857</x:v>
      </x:c>
      <x:c r="AM867" s="2">
        <x:v>97</x:v>
      </x:c>
      <x:c r="AN867" s="2">
        <x:v>97</x:v>
      </x:c>
    </x:row>
    <x:row r="868" ht="39">
      <x:c r="A868" s="2" t="s">
        <x:v>91</x:v>
      </x:c>
      <x:c r="B868" s="2" t="s">
        <x:v>18</x:v>
      </x:c>
      <x:c r="C868" s="3">
        <x:v>96</x:v>
      </x:c>
      <x:c r="D868" s="2" t="s">
        <x:v>505</x:v>
      </x:c>
      <x:c r="E868" s="2" t="s">
        <x:v>2684</x:v>
      </x:c>
      <x:c r="F868" s="2" t="s">
        <x:v>464</x:v>
      </x:c>
      <x:c r="G868" s="2" t="s">
        <x:v>2854</x:v>
      </x:c>
      <x:c r="H868" s="2" t="s">
        <x:v>618</x:v>
      </x:c>
      <x:c r="I868" s="2" t="s">
        <x:v>2686</x:v>
      </x:c>
      <x:c r="J868" s="2" t="s">
        <x:v>477</x:v>
      </x:c>
      <x:c r="K868" s="2"/>
      <x:c r="L868" s="2" t="s">
        <x:v>2687</x:v>
      </x:c>
      <x:c r="M868" s="2"/>
      <x:c r="N868" s="2"/>
      <x:c r="O868" s="2" t="s">
        <x:v>2464</x:v>
      </x:c>
      <x:c r="P868" s="2" t="s">
        <x:v>2688</x:v>
      </x:c>
      <x:c r="Q868" s="2"/>
      <x:c r="R868" s="3">
        <x:v>2</x:v>
      </x:c>
      <x:c r="S868" s="3"/>
      <x:c r="T868" s="2"/>
      <x:c r="U868" s="2"/>
      <x:c r="V868" s="2"/>
      <x:c r="W868" s="2"/>
      <x:c r="X868" s="3"/>
      <x:c r="Y868" s="3"/>
      <x:c r="Z868" s="2"/>
      <x:c r="AA868" s="2"/>
      <x:c r="AB868" s="2"/>
      <x:c r="AC868" s="2"/>
      <x:c r="AD868" s="2" t="s">
        <x:v>469</x:v>
      </x:c>
      <x:c r="AE868" s="2"/>
      <x:c r="AF868" s="2"/>
      <x:c r="AG868" s="2"/>
      <x:c r="AH868" s="2" t="s">
        <x:v>458</x:v>
      </x:c>
      <x:c r="AI868" s="4">
        <x:v>8</x:v>
      </x:c>
      <x:c r="AJ868" s="2" t="s">
        <x:v>2466</x:v>
      </x:c>
      <x:c r="AK868" s="2" t="s">
        <x:v>460</x:v>
      </x:c>
      <x:c r="AL868" s="2" t="s">
        <x:v>2857</x:v>
      </x:c>
      <x:c r="AM868" s="2">
        <x:v>98</x:v>
      </x:c>
      <x:c r="AN868" s="2">
        <x:v>98</x:v>
      </x:c>
    </x:row>
    <x:row r="869" ht="39">
      <x:c r="A869" s="2" t="s">
        <x:v>6</x:v>
      </x:c>
      <x:c r="B869" s="2" t="s">
        <x:v>18</x:v>
      </x:c>
      <x:c r="C869" s="3">
        <x:v>97</x:v>
      </x:c>
      <x:c r="D869" s="2" t="s">
        <x:v>462</x:v>
      </x:c>
      <x:c r="E869" s="2" t="s">
        <x:v>2689</x:v>
      </x:c>
      <x:c r="F869" s="2" t="s">
        <x:v>474</x:v>
      </x:c>
      <x:c r="G869" s="2"/>
      <x:c r="H869" s="2" t="s">
        <x:v>618</x:v>
      </x:c>
      <x:c r="I869" s="2" t="s">
        <x:v>2691</x:v>
      </x:c>
      <x:c r="J869" s="2" t="s">
        <x:v>454</x:v>
      </x:c>
      <x:c r="K869" s="2"/>
      <x:c r="L869" s="2" t="s">
        <x:v>2692</x:v>
      </x:c>
      <x:c r="M869" s="2"/>
      <x:c r="N869" s="2"/>
      <x:c r="O869" s="2" t="s">
        <x:v>2464</x:v>
      </x:c>
      <x:c r="P869" s="2" t="s">
        <x:v>2693</x:v>
      </x:c>
      <x:c r="Q869" s="2"/>
      <x:c r="R869" s="3">
        <x:v>2</x:v>
      </x:c>
      <x:c r="S869" s="3"/>
      <x:c r="T869" s="2"/>
      <x:c r="U869" s="2"/>
      <x:c r="V869" s="2"/>
      <x:c r="W869" s="2"/>
      <x:c r="X869" s="3"/>
      <x:c r="Y869" s="3"/>
      <x:c r="Z869" s="2"/>
      <x:c r="AA869" s="2"/>
      <x:c r="AB869" s="2"/>
      <x:c r="AC869" s="2"/>
      <x:c r="AD869" s="2" t="s">
        <x:v>480</x:v>
      </x:c>
      <x:c r="AE869" s="2"/>
      <x:c r="AF869" s="2"/>
      <x:c r="AG869" s="2"/>
      <x:c r="AH869" s="2" t="s">
        <x:v>470</x:v>
      </x:c>
      <x:c r="AI869" s="4">
        <x:v>12</x:v>
      </x:c>
      <x:c r="AJ869" s="2" t="s">
        <x:v>2484</x:v>
      </x:c>
      <x:c r="AK869" s="2" t="s">
        <x:v>460</x:v>
      </x:c>
      <x:c r="AL869" s="2" t="s">
        <x:v>2857</x:v>
      </x:c>
      <x:c r="AM869" s="2">
        <x:v>99</x:v>
      </x:c>
      <x:c r="AN869" s="2">
        <x:v>99</x:v>
      </x:c>
    </x:row>
    <x:row r="870" ht="39">
      <x:c r="A870" s="2" t="s">
        <x:v>91</x:v>
      </x:c>
      <x:c r="B870" s="2" t="s">
        <x:v>18</x:v>
      </x:c>
      <x:c r="C870" s="3">
        <x:v>98</x:v>
      </x:c>
      <x:c r="D870" s="2" t="s">
        <x:v>482</x:v>
      </x:c>
      <x:c r="E870" s="2" t="s">
        <x:v>2694</x:v>
      </x:c>
      <x:c r="F870" s="2" t="s">
        <x:v>464</x:v>
      </x:c>
      <x:c r="G870" s="2" t="s">
        <x:v>2876</x:v>
      </x:c>
      <x:c r="H870" s="2" t="s">
        <x:v>618</x:v>
      </x:c>
      <x:c r="I870" s="2" t="s">
        <x:v>2696</x:v>
      </x:c>
      <x:c r="J870" s="2" t="s">
        <x:v>477</x:v>
      </x:c>
      <x:c r="K870" s="2"/>
      <x:c r="L870" s="2" t="s">
        <x:v>2697</x:v>
      </x:c>
      <x:c r="M870" s="2"/>
      <x:c r="N870" s="2"/>
      <x:c r="O870" s="2" t="s">
        <x:v>2464</x:v>
      </x:c>
      <x:c r="P870" s="2" t="s">
        <x:v>2698</x:v>
      </x:c>
      <x:c r="Q870" s="2"/>
      <x:c r="R870" s="3">
        <x:v>2</x:v>
      </x:c>
      <x:c r="S870" s="3"/>
      <x:c r="T870" s="2"/>
      <x:c r="U870" s="2"/>
      <x:c r="V870" s="2"/>
      <x:c r="W870" s="2"/>
      <x:c r="X870" s="3"/>
      <x:c r="Y870" s="3"/>
      <x:c r="Z870" s="2"/>
      <x:c r="AA870" s="2"/>
      <x:c r="AB870" s="2"/>
      <x:c r="AC870" s="2"/>
      <x:c r="AD870" s="2" t="s">
        <x:v>469</x:v>
      </x:c>
      <x:c r="AE870" s="2"/>
      <x:c r="AF870" s="2"/>
      <x:c r="AG870" s="2"/>
      <x:c r="AH870" s="2" t="s">
        <x:v>470</x:v>
      </x:c>
      <x:c r="AI870" s="4">
        <x:v>12</x:v>
      </x:c>
      <x:c r="AJ870" s="2" t="s">
        <x:v>2494</x:v>
      </x:c>
      <x:c r="AK870" s="2" t="s">
        <x:v>460</x:v>
      </x:c>
      <x:c r="AL870" s="2" t="s">
        <x:v>2857</x:v>
      </x:c>
      <x:c r="AM870" s="2">
        <x:v>100</x:v>
      </x:c>
      <x:c r="AN870" s="2">
        <x:v>100</x:v>
      </x:c>
    </x:row>
    <x:row r="871" ht="39">
      <x:c r="A871" s="2" t="s">
        <x:v>6</x:v>
      </x:c>
      <x:c r="B871" s="2" t="s">
        <x:v>18</x:v>
      </x:c>
      <x:c r="C871" s="3">
        <x:v>99</x:v>
      </x:c>
      <x:c r="D871" s="2" t="s">
        <x:v>516</x:v>
      </x:c>
      <x:c r="E871" s="2" t="s">
        <x:v>2699</x:v>
      </x:c>
      <x:c r="F871" s="2" t="s">
        <x:v>474</x:v>
      </x:c>
      <x:c r="G871" s="2"/>
      <x:c r="H871" s="2" t="s">
        <x:v>618</x:v>
      </x:c>
      <x:c r="I871" s="2" t="s">
        <x:v>2700</x:v>
      </x:c>
      <x:c r="J871" s="2" t="s">
        <x:v>454</x:v>
      </x:c>
      <x:c r="K871" s="2"/>
      <x:c r="L871" s="2" t="s">
        <x:v>2701</x:v>
      </x:c>
      <x:c r="M871" s="2"/>
      <x:c r="N871" s="2"/>
      <x:c r="O871" s="2" t="s">
        <x:v>2464</x:v>
      </x:c>
      <x:c r="P871" s="2" t="s">
        <x:v>2702</x:v>
      </x:c>
      <x:c r="Q871" s="2"/>
      <x:c r="R871" s="3">
        <x:v>2</x:v>
      </x:c>
      <x:c r="S871" s="3"/>
      <x:c r="T871" s="2"/>
      <x:c r="U871" s="2"/>
      <x:c r="V871" s="2"/>
      <x:c r="W871" s="2"/>
      <x:c r="X871" s="3"/>
      <x:c r="Y871" s="3"/>
      <x:c r="Z871" s="2"/>
      <x:c r="AA871" s="2"/>
      <x:c r="AB871" s="2"/>
      <x:c r="AC871" s="2"/>
      <x:c r="AD871" s="2" t="s">
        <x:v>480</x:v>
      </x:c>
      <x:c r="AE871" s="2"/>
      <x:c r="AF871" s="2"/>
      <x:c r="AG871" s="2"/>
      <x:c r="AH871" s="2" t="s">
        <x:v>458</x:v>
      </x:c>
      <x:c r="AI871" s="4">
        <x:v>16</x:v>
      </x:c>
      <x:c r="AJ871" s="2" t="s">
        <x:v>2504</x:v>
      </x:c>
      <x:c r="AK871" s="2" t="s">
        <x:v>460</x:v>
      </x:c>
      <x:c r="AL871" s="2" t="s">
        <x:v>2857</x:v>
      </x:c>
      <x:c r="AM871" s="2">
        <x:v>101</x:v>
      </x:c>
      <x:c r="AN871" s="2">
        <x:v>101</x:v>
      </x:c>
    </x:row>
    <x:row r="872" ht="39">
      <x:c r="A872" s="2" t="s">
        <x:v>91</x:v>
      </x:c>
      <x:c r="B872" s="2" t="s">
        <x:v>18</x:v>
      </x:c>
      <x:c r="C872" s="3">
        <x:v>100</x:v>
      </x:c>
      <x:c r="D872" s="2" t="s">
        <x:v>472</x:v>
      </x:c>
      <x:c r="E872" s="2" t="s">
        <x:v>2703</x:v>
      </x:c>
      <x:c r="F872" s="2" t="s">
        <x:v>464</x:v>
      </x:c>
      <x:c r="G872" s="2" t="s">
        <x:v>2876</x:v>
      </x:c>
      <x:c r="H872" s="2" t="s">
        <x:v>618</x:v>
      </x:c>
      <x:c r="I872" s="2" t="s">
        <x:v>2704</x:v>
      </x:c>
      <x:c r="J872" s="2" t="s">
        <x:v>477</x:v>
      </x:c>
      <x:c r="K872" s="2"/>
      <x:c r="L872" s="2" t="s">
        <x:v>2463</x:v>
      </x:c>
      <x:c r="M872" s="2"/>
      <x:c r="N872" s="2"/>
      <x:c r="O872" s="2" t="s">
        <x:v>2464</x:v>
      </x:c>
      <x:c r="P872" s="2" t="s">
        <x:v>2465</x:v>
      </x:c>
      <x:c r="Q872" s="2"/>
      <x:c r="R872" s="3">
        <x:v>2</x:v>
      </x:c>
      <x:c r="S872" s="3"/>
      <x:c r="T872" s="2"/>
      <x:c r="U872" s="2"/>
      <x:c r="V872" s="2"/>
      <x:c r="W872" s="2"/>
      <x:c r="X872" s="3"/>
      <x:c r="Y872" s="3"/>
      <x:c r="Z872" s="2"/>
      <x:c r="AA872" s="2"/>
      <x:c r="AB872" s="2"/>
      <x:c r="AC872" s="2"/>
      <x:c r="AD872" s="2" t="s">
        <x:v>469</x:v>
      </x:c>
      <x:c r="AE872" s="2"/>
      <x:c r="AF872" s="2"/>
      <x:c r="AG872" s="2"/>
      <x:c r="AH872" s="2" t="s">
        <x:v>458</x:v>
      </x:c>
      <x:c r="AI872" s="4">
        <x:v>16</x:v>
      </x:c>
      <x:c r="AJ872" s="2" t="s">
        <x:v>2514</x:v>
      </x:c>
      <x:c r="AK872" s="2" t="s">
        <x:v>460</x:v>
      </x:c>
      <x:c r="AL872" s="2" t="s">
        <x:v>2857</x:v>
      </x:c>
      <x:c r="AM872" s="2">
        <x:v>102</x:v>
      </x:c>
      <x:c r="AN872" s="2">
        <x:v>102</x:v>
      </x:c>
    </x:row>
    <x:row r="873" ht="39">
      <x:c r="A873" s="2" t="s">
        <x:v>91</x:v>
      </x:c>
      <x:c r="B873" s="2" t="s">
        <x:v>18</x:v>
      </x:c>
      <x:c r="C873" s="3">
        <x:v>101</x:v>
      </x:c>
      <x:c r="D873" s="2" t="s">
        <x:v>449</x:v>
      </x:c>
      <x:c r="E873" s="2" t="s">
        <x:v>2705</x:v>
      </x:c>
      <x:c r="F873" s="2" t="s">
        <x:v>474</x:v>
      </x:c>
      <x:c r="G873" s="2" t="s">
        <x:v>3054</x:v>
      </x:c>
      <x:c r="H873" s="2" t="s">
        <x:v>618</x:v>
      </x:c>
      <x:c r="I873" s="2" t="s">
        <x:v>2707</x:v>
      </x:c>
      <x:c r="J873" s="2" t="s">
        <x:v>454</x:v>
      </x:c>
      <x:c r="K873" s="2"/>
      <x:c r="L873" s="2" t="s">
        <x:v>2482</x:v>
      </x:c>
      <x:c r="M873" s="2"/>
      <x:c r="N873" s="2"/>
      <x:c r="O873" s="2" t="s">
        <x:v>2464</x:v>
      </x:c>
      <x:c r="P873" s="2" t="s">
        <x:v>2483</x:v>
      </x:c>
      <x:c r="Q873" s="2"/>
      <x:c r="R873" s="3">
        <x:v>2</x:v>
      </x:c>
      <x:c r="S873" s="3"/>
      <x:c r="T873" s="2"/>
      <x:c r="U873" s="2"/>
      <x:c r="V873" s="2"/>
      <x:c r="W873" s="2"/>
      <x:c r="X873" s="3"/>
      <x:c r="Y873" s="3"/>
      <x:c r="Z873" s="2"/>
      <x:c r="AA873" s="2"/>
      <x:c r="AB873" s="2"/>
      <x:c r="AC873" s="2"/>
      <x:c r="AD873" s="2" t="s">
        <x:v>480</x:v>
      </x:c>
      <x:c r="AE873" s="2"/>
      <x:c r="AF873" s="2"/>
      <x:c r="AG873" s="2"/>
      <x:c r="AH873" s="2" t="s">
        <x:v>470</x:v>
      </x:c>
      <x:c r="AI873" s="4">
        <x:v>8</x:v>
      </x:c>
      <x:c r="AJ873" s="2" t="s">
        <x:v>2525</x:v>
      </x:c>
      <x:c r="AK873" s="2" t="s">
        <x:v>460</x:v>
      </x:c>
      <x:c r="AL873" s="2" t="s">
        <x:v>2857</x:v>
      </x:c>
      <x:c r="AM873" s="2">
        <x:v>103</x:v>
      </x:c>
      <x:c r="AN873" s="2">
        <x:v>103</x:v>
      </x:c>
    </x:row>
    <x:row r="874" ht="39">
      <x:c r="A874" s="2" t="s">
        <x:v>91</x:v>
      </x:c>
      <x:c r="B874" s="2" t="s">
        <x:v>18</x:v>
      </x:c>
      <x:c r="C874" s="3">
        <x:v>102</x:v>
      </x:c>
      <x:c r="D874" s="2" t="s">
        <x:v>505</x:v>
      </x:c>
      <x:c r="E874" s="2" t="s">
        <x:v>2708</x:v>
      </x:c>
      <x:c r="F874" s="2" t="s">
        <x:v>464</x:v>
      </x:c>
      <x:c r="G874" s="2" t="s">
        <x:v>3055</x:v>
      </x:c>
      <x:c r="H874" s="2" t="s">
        <x:v>618</x:v>
      </x:c>
      <x:c r="I874" s="2" t="s">
        <x:v>2709</x:v>
      </x:c>
      <x:c r="J874" s="2" t="s">
        <x:v>477</x:v>
      </x:c>
      <x:c r="K874" s="2"/>
      <x:c r="L874" s="2" t="s">
        <x:v>2492</x:v>
      </x:c>
      <x:c r="M874" s="2"/>
      <x:c r="N874" s="2"/>
      <x:c r="O874" s="2" t="s">
        <x:v>2464</x:v>
      </x:c>
      <x:c r="P874" s="2" t="s">
        <x:v>2493</x:v>
      </x:c>
      <x:c r="Q874" s="2"/>
      <x:c r="R874" s="3">
        <x:v>2</x:v>
      </x:c>
      <x:c r="S874" s="3"/>
      <x:c r="T874" s="2"/>
      <x:c r="U874" s="2"/>
      <x:c r="V874" s="2"/>
      <x:c r="W874" s="2"/>
      <x:c r="X874" s="3"/>
      <x:c r="Y874" s="3"/>
      <x:c r="Z874" s="2"/>
      <x:c r="AA874" s="2"/>
      <x:c r="AB874" s="2"/>
      <x:c r="AC874" s="2"/>
      <x:c r="AD874" s="2" t="s">
        <x:v>469</x:v>
      </x:c>
      <x:c r="AE874" s="2"/>
      <x:c r="AF874" s="2"/>
      <x:c r="AG874" s="2"/>
      <x:c r="AH874" s="2" t="s">
        <x:v>470</x:v>
      </x:c>
      <x:c r="AI874" s="4">
        <x:v>8</x:v>
      </x:c>
      <x:c r="AJ874" s="2" t="s">
        <x:v>2466</x:v>
      </x:c>
      <x:c r="AK874" s="2" t="s">
        <x:v>460</x:v>
      </x:c>
      <x:c r="AL874" s="2" t="s">
        <x:v>2857</x:v>
      </x:c>
      <x:c r="AM874" s="2">
        <x:v>104</x:v>
      </x:c>
      <x:c r="AN874" s="2">
        <x:v>104</x:v>
      </x:c>
    </x:row>
    <x:row r="875" ht="39">
      <x:c r="A875" s="2" t="s">
        <x:v>6</x:v>
      </x:c>
      <x:c r="B875" s="2" t="s">
        <x:v>18</x:v>
      </x:c>
      <x:c r="C875" s="3">
        <x:v>103</x:v>
      </x:c>
      <x:c r="D875" s="2" t="s">
        <x:v>462</x:v>
      </x:c>
      <x:c r="E875" s="2" t="s">
        <x:v>2710</x:v>
      </x:c>
      <x:c r="F875" s="2" t="s">
        <x:v>474</x:v>
      </x:c>
      <x:c r="G875" s="2"/>
      <x:c r="H875" s="2" t="s">
        <x:v>618</x:v>
      </x:c>
      <x:c r="I875" s="2" t="s">
        <x:v>2712</x:v>
      </x:c>
      <x:c r="J875" s="2" t="s">
        <x:v>454</x:v>
      </x:c>
      <x:c r="K875" s="2"/>
      <x:c r="L875" s="2" t="s">
        <x:v>2502</x:v>
      </x:c>
      <x:c r="M875" s="2"/>
      <x:c r="N875" s="2"/>
      <x:c r="O875" s="2" t="s">
        <x:v>2464</x:v>
      </x:c>
      <x:c r="P875" s="2" t="s">
        <x:v>2503</x:v>
      </x:c>
      <x:c r="Q875" s="2"/>
      <x:c r="R875" s="3">
        <x:v>2</x:v>
      </x:c>
      <x:c r="S875" s="3"/>
      <x:c r="T875" s="2"/>
      <x:c r="U875" s="2"/>
      <x:c r="V875" s="2"/>
      <x:c r="W875" s="2"/>
      <x:c r="X875" s="3"/>
      <x:c r="Y875" s="3"/>
      <x:c r="Z875" s="2"/>
      <x:c r="AA875" s="2"/>
      <x:c r="AB875" s="2"/>
      <x:c r="AC875" s="2"/>
      <x:c r="AD875" s="2" t="s">
        <x:v>480</x:v>
      </x:c>
      <x:c r="AE875" s="2"/>
      <x:c r="AF875" s="2"/>
      <x:c r="AG875" s="2"/>
      <x:c r="AH875" s="2" t="s">
        <x:v>458</x:v>
      </x:c>
      <x:c r="AI875" s="4">
        <x:v>12</x:v>
      </x:c>
      <x:c r="AJ875" s="2" t="s">
        <x:v>2484</x:v>
      </x:c>
      <x:c r="AK875" s="2" t="s">
        <x:v>460</x:v>
      </x:c>
      <x:c r="AL875" s="2" t="s">
        <x:v>2857</x:v>
      </x:c>
      <x:c r="AM875" s="2">
        <x:v>105</x:v>
      </x:c>
      <x:c r="AN875" s="2">
        <x:v>105</x:v>
      </x:c>
    </x:row>
    <x:row r="876" ht="39">
      <x:c r="A876" s="2" t="s">
        <x:v>91</x:v>
      </x:c>
      <x:c r="B876" s="2" t="s">
        <x:v>18</x:v>
      </x:c>
      <x:c r="C876" s="3">
        <x:v>104</x:v>
      </x:c>
      <x:c r="D876" s="2" t="s">
        <x:v>482</x:v>
      </x:c>
      <x:c r="E876" s="2" t="s">
        <x:v>2713</x:v>
      </x:c>
      <x:c r="F876" s="2" t="s">
        <x:v>464</x:v>
      </x:c>
      <x:c r="G876" s="2" t="s">
        <x:v>2658</x:v>
      </x:c>
      <x:c r="H876" s="2" t="s">
        <x:v>618</x:v>
      </x:c>
      <x:c r="I876" s="2" t="s">
        <x:v>2714</x:v>
      </x:c>
      <x:c r="J876" s="2" t="s">
        <x:v>477</x:v>
      </x:c>
      <x:c r="K876" s="2"/>
      <x:c r="L876" s="2" t="s">
        <x:v>2512</x:v>
      </x:c>
      <x:c r="M876" s="2"/>
      <x:c r="N876" s="2"/>
      <x:c r="O876" s="2" t="s">
        <x:v>2464</x:v>
      </x:c>
      <x:c r="P876" s="2" t="s">
        <x:v>2513</x:v>
      </x:c>
      <x:c r="Q876" s="2"/>
      <x:c r="R876" s="3">
        <x:v>2</x:v>
      </x:c>
      <x:c r="S876" s="3"/>
      <x:c r="T876" s="2"/>
      <x:c r="U876" s="2"/>
      <x:c r="V876" s="2"/>
      <x:c r="W876" s="2"/>
      <x:c r="X876" s="3"/>
      <x:c r="Y876" s="3"/>
      <x:c r="Z876" s="2"/>
      <x:c r="AA876" s="2"/>
      <x:c r="AB876" s="2"/>
      <x:c r="AC876" s="2"/>
      <x:c r="AD876" s="2" t="s">
        <x:v>469</x:v>
      </x:c>
      <x:c r="AE876" s="2"/>
      <x:c r="AF876" s="2"/>
      <x:c r="AG876" s="2"/>
      <x:c r="AH876" s="2" t="s">
        <x:v>458</x:v>
      </x:c>
      <x:c r="AI876" s="4">
        <x:v>12</x:v>
      </x:c>
      <x:c r="AJ876" s="2" t="s">
        <x:v>2494</x:v>
      </x:c>
      <x:c r="AK876" s="2" t="s">
        <x:v>460</x:v>
      </x:c>
      <x:c r="AL876" s="2" t="s">
        <x:v>2857</x:v>
      </x:c>
      <x:c r="AM876" s="2">
        <x:v>106</x:v>
      </x:c>
      <x:c r="AN876" s="2">
        <x:v>106</x:v>
      </x:c>
    </x:row>
    <x:row r="877" ht="39">
      <x:c r="A877" s="2" t="s">
        <x:v>6</x:v>
      </x:c>
      <x:c r="B877" s="2" t="s">
        <x:v>18</x:v>
      </x:c>
      <x:c r="C877" s="3">
        <x:v>105</x:v>
      </x:c>
      <x:c r="D877" s="2" t="s">
        <x:v>516</x:v>
      </x:c>
      <x:c r="E877" s="2" t="s">
        <x:v>2715</x:v>
      </x:c>
      <x:c r="F877" s="2" t="s">
        <x:v>474</x:v>
      </x:c>
      <x:c r="G877" s="2"/>
      <x:c r="H877" s="2" t="s">
        <x:v>618</x:v>
      </x:c>
      <x:c r="I877" s="2" t="s">
        <x:v>2716</x:v>
      </x:c>
      <x:c r="J877" s="2" t="s">
        <x:v>454</x:v>
      </x:c>
      <x:c r="K877" s="2"/>
      <x:c r="L877" s="2" t="s">
        <x:v>2523</x:v>
      </x:c>
      <x:c r="M877" s="2"/>
      <x:c r="N877" s="2"/>
      <x:c r="O877" s="2" t="s">
        <x:v>2464</x:v>
      </x:c>
      <x:c r="P877" s="2" t="s">
        <x:v>2524</x:v>
      </x:c>
      <x:c r="Q877" s="2"/>
      <x:c r="R877" s="3">
        <x:v>2</x:v>
      </x:c>
      <x:c r="S877" s="3"/>
      <x:c r="T877" s="2"/>
      <x:c r="U877" s="2"/>
      <x:c r="V877" s="2"/>
      <x:c r="W877" s="2"/>
      <x:c r="X877" s="3"/>
      <x:c r="Y877" s="3"/>
      <x:c r="Z877" s="2"/>
      <x:c r="AA877" s="2"/>
      <x:c r="AB877" s="2"/>
      <x:c r="AC877" s="2"/>
      <x:c r="AD877" s="2" t="s">
        <x:v>480</x:v>
      </x:c>
      <x:c r="AE877" s="2"/>
      <x:c r="AF877" s="2"/>
      <x:c r="AG877" s="2"/>
      <x:c r="AH877" s="2" t="s">
        <x:v>470</x:v>
      </x:c>
      <x:c r="AI877" s="4">
        <x:v>16</x:v>
      </x:c>
      <x:c r="AJ877" s="2" t="s">
        <x:v>2504</x:v>
      </x:c>
      <x:c r="AK877" s="2" t="s">
        <x:v>460</x:v>
      </x:c>
      <x:c r="AL877" s="2" t="s">
        <x:v>2857</x:v>
      </x:c>
      <x:c r="AM877" s="2">
        <x:v>107</x:v>
      </x:c>
      <x:c r="AN877" s="2">
        <x:v>107</x:v>
      </x:c>
    </x:row>
    <x:row r="878" ht="39">
      <x:c r="A878" s="2" t="s">
        <x:v>91</x:v>
      </x:c>
      <x:c r="B878" s="2" t="s">
        <x:v>18</x:v>
      </x:c>
      <x:c r="C878" s="3">
        <x:v>106</x:v>
      </x:c>
      <x:c r="D878" s="2" t="s">
        <x:v>472</x:v>
      </x:c>
      <x:c r="E878" s="2" t="s">
        <x:v>2717</x:v>
      </x:c>
      <x:c r="F878" s="2" t="s">
        <x:v>464</x:v>
      </x:c>
      <x:c r="G878" s="2" t="s">
        <x:v>2658</x:v>
      </x:c>
      <x:c r="H878" s="2" t="s">
        <x:v>618</x:v>
      </x:c>
      <x:c r="I878" s="2" t="s">
        <x:v>2718</x:v>
      </x:c>
      <x:c r="J878" s="2" t="s">
        <x:v>477</x:v>
      </x:c>
      <x:c r="K878" s="2"/>
      <x:c r="L878" s="2" t="s">
        <x:v>2534</x:v>
      </x:c>
      <x:c r="M878" s="2"/>
      <x:c r="N878" s="2"/>
      <x:c r="O878" s="2" t="s">
        <x:v>2464</x:v>
      </x:c>
      <x:c r="P878" s="2" t="s">
        <x:v>2535</x:v>
      </x:c>
      <x:c r="Q878" s="2"/>
      <x:c r="R878" s="3">
        <x:v>2</x:v>
      </x:c>
      <x:c r="S878" s="3"/>
      <x:c r="T878" s="2"/>
      <x:c r="U878" s="2"/>
      <x:c r="V878" s="2"/>
      <x:c r="W878" s="2"/>
      <x:c r="X878" s="3"/>
      <x:c r="Y878" s="3"/>
      <x:c r="Z878" s="2"/>
      <x:c r="AA878" s="2"/>
      <x:c r="AB878" s="2"/>
      <x:c r="AC878" s="2"/>
      <x:c r="AD878" s="2" t="s">
        <x:v>469</x:v>
      </x:c>
      <x:c r="AE878" s="2"/>
      <x:c r="AF878" s="2"/>
      <x:c r="AG878" s="2"/>
      <x:c r="AH878" s="2" t="s">
        <x:v>470</x:v>
      </x:c>
      <x:c r="AI878" s="4">
        <x:v>16</x:v>
      </x:c>
      <x:c r="AJ878" s="2" t="s">
        <x:v>2514</x:v>
      </x:c>
      <x:c r="AK878" s="2" t="s">
        <x:v>460</x:v>
      </x:c>
      <x:c r="AL878" s="2" t="s">
        <x:v>2857</x:v>
      </x:c>
      <x:c r="AM878" s="2">
        <x:v>108</x:v>
      </x:c>
      <x:c r="AN878" s="2">
        <x:v>108</x:v>
      </x:c>
    </x:row>
    <x:row r="879" ht="39">
      <x:c r="A879" s="2" t="s">
        <x:v>6</x:v>
      </x:c>
      <x:c r="B879" s="2" t="s">
        <x:v>18</x:v>
      </x:c>
      <x:c r="C879" s="3">
        <x:v>107</x:v>
      </x:c>
      <x:c r="D879" s="2" t="s">
        <x:v>449</x:v>
      </x:c>
      <x:c r="E879" s="2" t="s">
        <x:v>2719</x:v>
      </x:c>
      <x:c r="F879" s="2" t="s">
        <x:v>474</x:v>
      </x:c>
      <x:c r="G879" s="2"/>
      <x:c r="H879" s="2" t="s">
        <x:v>618</x:v>
      </x:c>
      <x:c r="I879" s="2" t="s">
        <x:v>2720</x:v>
      </x:c>
      <x:c r="J879" s="2" t="s">
        <x:v>454</x:v>
      </x:c>
      <x:c r="K879" s="2"/>
      <x:c r="L879" s="2" t="s">
        <x:v>2542</x:v>
      </x:c>
      <x:c r="M879" s="2"/>
      <x:c r="N879" s="2"/>
      <x:c r="O879" s="2" t="s">
        <x:v>2464</x:v>
      </x:c>
      <x:c r="P879" s="2" t="s">
        <x:v>2543</x:v>
      </x:c>
      <x:c r="Q879" s="2"/>
      <x:c r="R879" s="3">
        <x:v>2</x:v>
      </x:c>
      <x:c r="S879" s="3"/>
      <x:c r="T879" s="2"/>
      <x:c r="U879" s="2"/>
      <x:c r="V879" s="2"/>
      <x:c r="W879" s="2"/>
      <x:c r="X879" s="3"/>
      <x:c r="Y879" s="3"/>
      <x:c r="Z879" s="2"/>
      <x:c r="AA879" s="2"/>
      <x:c r="AB879" s="2"/>
      <x:c r="AC879" s="2"/>
      <x:c r="AD879" s="2" t="s">
        <x:v>480</x:v>
      </x:c>
      <x:c r="AE879" s="2"/>
      <x:c r="AF879" s="2"/>
      <x:c r="AG879" s="2"/>
      <x:c r="AH879" s="2" t="s">
        <x:v>458</x:v>
      </x:c>
      <x:c r="AI879" s="4">
        <x:v>8</x:v>
      </x:c>
      <x:c r="AJ879" s="2" t="s">
        <x:v>2525</x:v>
      </x:c>
      <x:c r="AK879" s="2" t="s">
        <x:v>460</x:v>
      </x:c>
      <x:c r="AL879" s="2" t="s">
        <x:v>2857</x:v>
      </x:c>
      <x:c r="AM879" s="2">
        <x:v>109</x:v>
      </x:c>
      <x:c r="AN879" s="2">
        <x:v>109</x:v>
      </x:c>
    </x:row>
    <x:row r="880" ht="39">
      <x:c r="A880" s="2" t="s">
        <x:v>91</x:v>
      </x:c>
      <x:c r="B880" s="2" t="s">
        <x:v>18</x:v>
      </x:c>
      <x:c r="C880" s="3">
        <x:v>108</x:v>
      </x:c>
      <x:c r="D880" s="2" t="s">
        <x:v>505</x:v>
      </x:c>
      <x:c r="E880" s="2" t="s">
        <x:v>2721</x:v>
      </x:c>
      <x:c r="F880" s="2" t="s">
        <x:v>464</x:v>
      </x:c>
      <x:c r="G880" s="2" t="s">
        <x:v>2658</x:v>
      </x:c>
      <x:c r="H880" s="2" t="s">
        <x:v>618</x:v>
      </x:c>
      <x:c r="I880" s="2" t="s">
        <x:v>2722</x:v>
      </x:c>
      <x:c r="J880" s="2" t="s">
        <x:v>477</x:v>
      </x:c>
      <x:c r="K880" s="2"/>
      <x:c r="L880" s="2" t="s">
        <x:v>2552</x:v>
      </x:c>
      <x:c r="M880" s="2"/>
      <x:c r="N880" s="2"/>
      <x:c r="O880" s="2" t="s">
        <x:v>2464</x:v>
      </x:c>
      <x:c r="P880" s="2" t="s">
        <x:v>2553</x:v>
      </x:c>
      <x:c r="Q880" s="2"/>
      <x:c r="R880" s="3">
        <x:v>2</x:v>
      </x:c>
      <x:c r="S880" s="3"/>
      <x:c r="T880" s="2"/>
      <x:c r="U880" s="2"/>
      <x:c r="V880" s="2"/>
      <x:c r="W880" s="2"/>
      <x:c r="X880" s="3"/>
      <x:c r="Y880" s="3"/>
      <x:c r="Z880" s="2"/>
      <x:c r="AA880" s="2"/>
      <x:c r="AB880" s="2"/>
      <x:c r="AC880" s="2"/>
      <x:c r="AD880" s="2" t="s">
        <x:v>469</x:v>
      </x:c>
      <x:c r="AE880" s="2"/>
      <x:c r="AF880" s="2"/>
      <x:c r="AG880" s="2"/>
      <x:c r="AH880" s="2" t="s">
        <x:v>458</x:v>
      </x:c>
      <x:c r="AI880" s="4">
        <x:v>8</x:v>
      </x:c>
      <x:c r="AJ880" s="2" t="s">
        <x:v>2466</x:v>
      </x:c>
      <x:c r="AK880" s="2" t="s">
        <x:v>460</x:v>
      </x:c>
      <x:c r="AL880" s="2" t="s">
        <x:v>2857</x:v>
      </x:c>
      <x:c r="AM880" s="2">
        <x:v>110</x:v>
      </x:c>
      <x:c r="AN880" s="2">
        <x:v>110</x:v>
      </x:c>
    </x:row>
    <x:row r="881" ht="39">
      <x:c r="A881" s="2" t="s">
        <x:v>6</x:v>
      </x:c>
      <x:c r="B881" s="2" t="s">
        <x:v>18</x:v>
      </x:c>
      <x:c r="C881" s="3">
        <x:v>109</x:v>
      </x:c>
      <x:c r="D881" s="2" t="s">
        <x:v>462</x:v>
      </x:c>
      <x:c r="E881" s="2" t="s">
        <x:v>2723</x:v>
      </x:c>
      <x:c r="F881" s="2" t="s">
        <x:v>474</x:v>
      </x:c>
      <x:c r="G881" s="2"/>
      <x:c r="H881" s="2" t="s">
        <x:v>618</x:v>
      </x:c>
      <x:c r="I881" s="2" t="s">
        <x:v>2725</x:v>
      </x:c>
      <x:c r="J881" s="2" t="s">
        <x:v>454</x:v>
      </x:c>
      <x:c r="K881" s="2"/>
      <x:c r="L881" s="2" t="s">
        <x:v>2560</x:v>
      </x:c>
      <x:c r="M881" s="2"/>
      <x:c r="N881" s="2"/>
      <x:c r="O881" s="2" t="s">
        <x:v>2464</x:v>
      </x:c>
      <x:c r="P881" s="2" t="s">
        <x:v>2561</x:v>
      </x:c>
      <x:c r="Q881" s="2"/>
      <x:c r="R881" s="3">
        <x:v>2</x:v>
      </x:c>
      <x:c r="S881" s="3"/>
      <x:c r="T881" s="2"/>
      <x:c r="U881" s="2"/>
      <x:c r="V881" s="2"/>
      <x:c r="W881" s="2"/>
      <x:c r="X881" s="3"/>
      <x:c r="Y881" s="3"/>
      <x:c r="Z881" s="2"/>
      <x:c r="AA881" s="2"/>
      <x:c r="AB881" s="2"/>
      <x:c r="AC881" s="2"/>
      <x:c r="AD881" s="2" t="s">
        <x:v>480</x:v>
      </x:c>
      <x:c r="AE881" s="2"/>
      <x:c r="AF881" s="2"/>
      <x:c r="AG881" s="2"/>
      <x:c r="AH881" s="2" t="s">
        <x:v>470</x:v>
      </x:c>
      <x:c r="AI881" s="4">
        <x:v>12</x:v>
      </x:c>
      <x:c r="AJ881" s="2" t="s">
        <x:v>2484</x:v>
      </x:c>
      <x:c r="AK881" s="2" t="s">
        <x:v>460</x:v>
      </x:c>
      <x:c r="AL881" s="2" t="s">
        <x:v>2857</x:v>
      </x:c>
      <x:c r="AM881" s="2">
        <x:v>111</x:v>
      </x:c>
      <x:c r="AN881" s="2">
        <x:v>111</x:v>
      </x:c>
    </x:row>
    <x:row r="882" ht="39">
      <x:c r="A882" s="2" t="s">
        <x:v>6</x:v>
      </x:c>
      <x:c r="B882" s="2" t="s">
        <x:v>18</x:v>
      </x:c>
      <x:c r="C882" s="3">
        <x:v>110</x:v>
      </x:c>
      <x:c r="D882" s="2" t="s">
        <x:v>505</x:v>
      </x:c>
      <x:c r="E882" s="2" t="s">
        <x:v>2726</x:v>
      </x:c>
      <x:c r="F882" s="2" t="s">
        <x:v>2727</x:v>
      </x:c>
      <x:c r="G882" s="2"/>
      <x:c r="H882" s="2" t="s">
        <x:v>2729</x:v>
      </x:c>
      <x:c r="I882" s="2" t="s">
        <x:v>2730</x:v>
      </x:c>
      <x:c r="J882" s="2" t="s">
        <x:v>477</x:v>
      </x:c>
      <x:c r="K882" s="2"/>
      <x:c r="L882" s="2" t="s">
        <x:v>2731</x:v>
      </x:c>
      <x:c r="M882" s="2"/>
      <x:c r="N882" s="2"/>
      <x:c r="O882" s="2" t="s">
        <x:v>2732</x:v>
      </x:c>
      <x:c r="P882" s="2" t="s">
        <x:v>2733</x:v>
      </x:c>
      <x:c r="Q882" s="2"/>
      <x:c r="R882" s="3">
        <x:v>2</x:v>
      </x:c>
      <x:c r="S882" s="3"/>
      <x:c r="T882" s="2"/>
      <x:c r="U882" s="2"/>
      <x:c r="V882" s="2"/>
      <x:c r="W882" s="2"/>
      <x:c r="X882" s="3"/>
      <x:c r="Y882" s="3"/>
      <x:c r="Z882" s="2"/>
      <x:c r="AA882" s="2"/>
      <x:c r="AB882" s="2"/>
      <x:c r="AC882" s="2"/>
      <x:c r="AD882" s="2" t="s">
        <x:v>237</x:v>
      </x:c>
      <x:c r="AE882" s="2"/>
      <x:c r="AF882" s="2"/>
      <x:c r="AG882" s="2"/>
      <x:c r="AH882" s="2" t="s">
        <x:v>458</x:v>
      </x:c>
      <x:c r="AI882" s="4">
        <x:v>8</x:v>
      </x:c>
      <x:c r="AJ882" s="2" t="s">
        <x:v>2734</x:v>
      </x:c>
      <x:c r="AK882" s="2" t="s">
        <x:v>460</x:v>
      </x:c>
      <x:c r="AL882" s="2" t="s">
        <x:v>2857</x:v>
      </x:c>
      <x:c r="AM882" s="2">
        <x:v>112</x:v>
      </x:c>
      <x:c r="AN882" s="2">
        <x:v>112</x:v>
      </x:c>
    </x:row>
    <x:row r="883" ht="39">
      <x:c r="A883" s="2" t="s">
        <x:v>6</x:v>
      </x:c>
      <x:c r="B883" s="2" t="s">
        <x:v>18</x:v>
      </x:c>
      <x:c r="C883" s="3">
        <x:v>111</x:v>
      </x:c>
      <x:c r="D883" s="2" t="s">
        <x:v>516</x:v>
      </x:c>
      <x:c r="E883" s="2" t="s">
        <x:v>2726</x:v>
      </x:c>
      <x:c r="F883" s="2" t="s">
        <x:v>451</x:v>
      </x:c>
      <x:c r="G883" s="2"/>
      <x:c r="H883" s="2" t="s">
        <x:v>2735</x:v>
      </x:c>
      <x:c r="I883" s="2" t="s">
        <x:v>2730</x:v>
      </x:c>
      <x:c r="J883" s="2" t="s">
        <x:v>454</x:v>
      </x:c>
      <x:c r="K883" s="2" t="n">
        <x:v>110</x:v>
      </x:c>
      <x:c r="L883" s="2" t="s">
        <x:v>2736</x:v>
      </x:c>
      <x:c r="M883" s="2"/>
      <x:c r="N883" s="2"/>
      <x:c r="O883" s="2" t="s">
        <x:v>2737</x:v>
      </x:c>
      <x:c r="P883" s="2" t="s">
        <x:v>2738</x:v>
      </x:c>
      <x:c r="Q883" s="2"/>
      <x:c r="R883" s="3">
        <x:v>2</x:v>
      </x:c>
      <x:c r="S883" s="3"/>
      <x:c r="T883" s="2"/>
      <x:c r="U883" s="2"/>
      <x:c r="V883" s="2"/>
      <x:c r="W883" s="2"/>
      <x:c r="X883" s="3"/>
      <x:c r="Y883" s="3"/>
      <x:c r="Z883" s="2"/>
      <x:c r="AA883" s="2"/>
      <x:c r="AB883" s="2"/>
      <x:c r="AC883" s="2"/>
      <x:c r="AD883" s="2" t="s">
        <x:v>431</x:v>
      </x:c>
      <x:c r="AE883" s="2"/>
      <x:c r="AF883" s="2"/>
      <x:c r="AG883" s="2"/>
      <x:c r="AH883" s="2" t="s">
        <x:v>470</x:v>
      </x:c>
      <x:c r="AI883" s="4">
        <x:v>8</x:v>
      </x:c>
      <x:c r="AJ883" s="2" t="s">
        <x:v>2739</x:v>
      </x:c>
      <x:c r="AK883" s="2" t="s">
        <x:v>460</x:v>
      </x:c>
      <x:c r="AL883" s="2" t="s">
        <x:v>2857</x:v>
      </x:c>
      <x:c r="AM883" s="2">
        <x:v>113</x:v>
      </x:c>
      <x:c r="AN883" s="2">
        <x:v>113</x:v>
      </x:c>
    </x:row>
    <x:row r="884" ht="39">
      <x:c r="A884" s="2" t="s">
        <x:v>6</x:v>
      </x:c>
      <x:c r="B884" s="2" t="s">
        <x:v>18</x:v>
      </x:c>
      <x:c r="C884" s="3">
        <x:v>112</x:v>
      </x:c>
      <x:c r="D884" s="2" t="s">
        <x:v>462</x:v>
      </x:c>
      <x:c r="E884" s="2" t="s">
        <x:v>2740</x:v>
      </x:c>
      <x:c r="F884" s="2" t="s">
        <x:v>2727</x:v>
      </x:c>
      <x:c r="G884" s="2"/>
      <x:c r="H884" s="2" t="s">
        <x:v>2729</x:v>
      </x:c>
      <x:c r="I884" s="2" t="s">
        <x:v>2741</x:v>
      </x:c>
      <x:c r="J884" s="2" t="s">
        <x:v>454</x:v>
      </x:c>
      <x:c r="K884" s="2"/>
      <x:c r="L884" s="2" t="s">
        <x:v>2742</x:v>
      </x:c>
      <x:c r="M884" s="2"/>
      <x:c r="N884" s="2"/>
      <x:c r="O884" s="2" t="s">
        <x:v>2732</x:v>
      </x:c>
      <x:c r="P884" s="2" t="s">
        <x:v>2743</x:v>
      </x:c>
      <x:c r="Q884" s="2"/>
      <x:c r="R884" s="3">
        <x:v>3</x:v>
      </x:c>
      <x:c r="S884" s="3"/>
      <x:c r="T884" s="2"/>
      <x:c r="U884" s="2"/>
      <x:c r="V884" s="2"/>
      <x:c r="W884" s="2"/>
      <x:c r="X884" s="3"/>
      <x:c r="Y884" s="3"/>
      <x:c r="Z884" s="2"/>
      <x:c r="AA884" s="2"/>
      <x:c r="AB884" s="2"/>
      <x:c r="AC884" s="2"/>
      <x:c r="AD884" s="2" t="s">
        <x:v>237</x:v>
      </x:c>
      <x:c r="AE884" s="2"/>
      <x:c r="AF884" s="2"/>
      <x:c r="AG884" s="2"/>
      <x:c r="AH884" s="2" t="s">
        <x:v>458</x:v>
      </x:c>
      <x:c r="AI884" s="4">
        <x:v>12</x:v>
      </x:c>
      <x:c r="AJ884" s="2" t="s">
        <x:v>2744</x:v>
      </x:c>
      <x:c r="AK884" s="2" t="s">
        <x:v>460</x:v>
      </x:c>
      <x:c r="AL884" s="2" t="s">
        <x:v>2857</x:v>
      </x:c>
      <x:c r="AM884" s="2">
        <x:v>114</x:v>
      </x:c>
      <x:c r="AN884" s="2">
        <x:v>114</x:v>
      </x:c>
    </x:row>
    <x:row r="885" ht="65">
      <x:c r="A885" s="2" t="s">
        <x:v>91</x:v>
      </x:c>
      <x:c r="B885" s="2" t="s">
        <x:v>18</x:v>
      </x:c>
      <x:c r="C885" s="3">
        <x:v>113</x:v>
      </x:c>
      <x:c r="D885" s="2" t="s">
        <x:v>472</x:v>
      </x:c>
      <x:c r="E885" s="2" t="s">
        <x:v>2740</x:v>
      </x:c>
      <x:c r="F885" s="2" t="s">
        <x:v>484</x:v>
      </x:c>
      <x:c r="G885" s="2" t="s">
        <x:v>3056</x:v>
      </x:c>
      <x:c r="H885" s="2" t="s">
        <x:v>2735</x:v>
      </x:c>
      <x:c r="I885" s="2" t="s">
        <x:v>2741</x:v>
      </x:c>
      <x:c r="J885" s="2" t="s">
        <x:v>477</x:v>
      </x:c>
      <x:c r="K885" s="2" t="n">
        <x:v>112</x:v>
      </x:c>
      <x:c r="L885" s="2" t="s">
        <x:v>2746</x:v>
      </x:c>
      <x:c r="M885" s="2"/>
      <x:c r="N885" s="2"/>
      <x:c r="O885" s="2" t="s">
        <x:v>2737</x:v>
      </x:c>
      <x:c r="P885" s="2" t="s">
        <x:v>2747</x:v>
      </x:c>
      <x:c r="Q885" s="2"/>
      <x:c r="R885" s="3">
        <x:v>3</x:v>
      </x:c>
      <x:c r="S885" s="3"/>
      <x:c r="T885" s="2"/>
      <x:c r="U885" s="2"/>
      <x:c r="V885" s="2"/>
      <x:c r="W885" s="2"/>
      <x:c r="X885" s="3"/>
      <x:c r="Y885" s="3"/>
      <x:c r="Z885" s="2"/>
      <x:c r="AA885" s="2"/>
      <x:c r="AB885" s="2"/>
      <x:c r="AC885" s="2"/>
      <x:c r="AD885" s="2" t="s">
        <x:v>410</x:v>
      </x:c>
      <x:c r="AE885" s="2"/>
      <x:c r="AF885" s="2"/>
      <x:c r="AG885" s="2"/>
      <x:c r="AH885" s="2" t="s">
        <x:v>470</x:v>
      </x:c>
      <x:c r="AI885" s="4">
        <x:v>12</x:v>
      </x:c>
      <x:c r="AJ885" s="2" t="s">
        <x:v>2739</x:v>
      </x:c>
      <x:c r="AK885" s="2" t="s">
        <x:v>460</x:v>
      </x:c>
      <x:c r="AL885" s="2" t="s">
        <x:v>2857</x:v>
      </x:c>
      <x:c r="AM885" s="2">
        <x:v>115</x:v>
      </x:c>
      <x:c r="AN885" s="2">
        <x:v>115</x:v>
      </x:c>
    </x:row>
    <x:row r="886" ht="39">
      <x:c r="A886" s="2" t="s">
        <x:v>6</x:v>
      </x:c>
      <x:c r="B886" s="2" t="s">
        <x:v>18</x:v>
      </x:c>
      <x:c r="C886" s="3">
        <x:v>114</x:v>
      </x:c>
      <x:c r="D886" s="2" t="s">
        <x:v>482</x:v>
      </x:c>
      <x:c r="E886" s="2" t="s">
        <x:v>2748</x:v>
      </x:c>
      <x:c r="F886" s="2" t="s">
        <x:v>2727</x:v>
      </x:c>
      <x:c r="G886" s="2"/>
      <x:c r="H886" s="2" t="s">
        <x:v>2729</x:v>
      </x:c>
      <x:c r="I886" s="2" t="s">
        <x:v>2749</x:v>
      </x:c>
      <x:c r="J886" s="2" t="s">
        <x:v>477</x:v>
      </x:c>
      <x:c r="K886" s="2"/>
      <x:c r="L886" s="2" t="s">
        <x:v>2750</x:v>
      </x:c>
      <x:c r="M886" s="2"/>
      <x:c r="N886" s="2"/>
      <x:c r="O886" s="2" t="s">
        <x:v>2732</x:v>
      </x:c>
      <x:c r="P886" s="2" t="s">
        <x:v>2733</x:v>
      </x:c>
      <x:c r="Q886" s="2"/>
      <x:c r="R886" s="3">
        <x:v>2</x:v>
      </x:c>
      <x:c r="S886" s="3"/>
      <x:c r="T886" s="2"/>
      <x:c r="U886" s="2"/>
      <x:c r="V886" s="2"/>
      <x:c r="W886" s="2"/>
      <x:c r="X886" s="3"/>
      <x:c r="Y886" s="3"/>
      <x:c r="Z886" s="2"/>
      <x:c r="AA886" s="2"/>
      <x:c r="AB886" s="2"/>
      <x:c r="AC886" s="2"/>
      <x:c r="AD886" s="2" t="s">
        <x:v>237</x:v>
      </x:c>
      <x:c r="AE886" s="2"/>
      <x:c r="AF886" s="2"/>
      <x:c r="AG886" s="2"/>
      <x:c r="AH886" s="2" t="s">
        <x:v>470</x:v>
      </x:c>
      <x:c r="AI886" s="4">
        <x:v>12</x:v>
      </x:c>
      <x:c r="AJ886" s="2" t="s">
        <x:v>2734</x:v>
      </x:c>
      <x:c r="AK886" s="2" t="s">
        <x:v>460</x:v>
      </x:c>
      <x:c r="AL886" s="2" t="s">
        <x:v>2857</x:v>
      </x:c>
      <x:c r="AM886" s="2">
        <x:v>116</x:v>
      </x:c>
      <x:c r="AN886" s="2">
        <x:v>116</x:v>
      </x:c>
    </x:row>
    <x:row r="887" ht="39">
      <x:c r="A887" s="2" t="s">
        <x:v>6</x:v>
      </x:c>
      <x:c r="B887" s="2" t="s">
        <x:v>18</x:v>
      </x:c>
      <x:c r="C887" s="3">
        <x:v>115</x:v>
      </x:c>
      <x:c r="D887" s="2" t="s">
        <x:v>449</x:v>
      </x:c>
      <x:c r="E887" s="2" t="s">
        <x:v>2748</x:v>
      </x:c>
      <x:c r="F887" s="2" t="s">
        <x:v>451</x:v>
      </x:c>
      <x:c r="G887" s="2"/>
      <x:c r="H887" s="2" t="s">
        <x:v>2735</x:v>
      </x:c>
      <x:c r="I887" s="2" t="s">
        <x:v>2749</x:v>
      </x:c>
      <x:c r="J887" s="2" t="s">
        <x:v>454</x:v>
      </x:c>
      <x:c r="K887" s="2" t="n">
        <x:v>114</x:v>
      </x:c>
      <x:c r="L887" s="2" t="s">
        <x:v>2752</x:v>
      </x:c>
      <x:c r="M887" s="2"/>
      <x:c r="N887" s="2"/>
      <x:c r="O887" s="2" t="s">
        <x:v>2737</x:v>
      </x:c>
      <x:c r="P887" s="2" t="s">
        <x:v>2738</x:v>
      </x:c>
      <x:c r="Q887" s="2"/>
      <x:c r="R887" s="3">
        <x:v>2</x:v>
      </x:c>
      <x:c r="S887" s="3"/>
      <x:c r="T887" s="2"/>
      <x:c r="U887" s="2"/>
      <x:c r="V887" s="2"/>
      <x:c r="W887" s="2"/>
      <x:c r="X887" s="3"/>
      <x:c r="Y887" s="3"/>
      <x:c r="Z887" s="2"/>
      <x:c r="AA887" s="2"/>
      <x:c r="AB887" s="2"/>
      <x:c r="AC887" s="2"/>
      <x:c r="AD887" s="2" t="s">
        <x:v>431</x:v>
      </x:c>
      <x:c r="AE887" s="2"/>
      <x:c r="AF887" s="2"/>
      <x:c r="AG887" s="2"/>
      <x:c r="AH887" s="2" t="s">
        <x:v>458</x:v>
      </x:c>
      <x:c r="AI887" s="4">
        <x:v>12</x:v>
      </x:c>
      <x:c r="AJ887" s="2" t="s">
        <x:v>2739</x:v>
      </x:c>
      <x:c r="AK887" s="2" t="s">
        <x:v>460</x:v>
      </x:c>
      <x:c r="AL887" s="2" t="s">
        <x:v>2857</x:v>
      </x:c>
      <x:c r="AM887" s="2">
        <x:v>117</x:v>
      </x:c>
      <x:c r="AN887" s="2">
        <x:v>117</x:v>
      </x:c>
    </x:row>
    <x:row r="888" ht="39">
      <x:c r="A888" s="2" t="s">
        <x:v>6</x:v>
      </x:c>
      <x:c r="B888" s="2" t="s">
        <x:v>18</x:v>
      </x:c>
      <x:c r="C888" s="3">
        <x:v>116</x:v>
      </x:c>
      <x:c r="D888" s="2" t="s">
        <x:v>516</x:v>
      </x:c>
      <x:c r="E888" s="2" t="s">
        <x:v>2753</x:v>
      </x:c>
      <x:c r="F888" s="2" t="s">
        <x:v>2727</x:v>
      </x:c>
      <x:c r="G888" s="2"/>
      <x:c r="H888" s="2" t="s">
        <x:v>2729</x:v>
      </x:c>
      <x:c r="I888" s="2" t="s">
        <x:v>2755</x:v>
      </x:c>
      <x:c r="J888" s="2" t="s">
        <x:v>454</x:v>
      </x:c>
      <x:c r="K888" s="2"/>
      <x:c r="L888" s="2" t="s">
        <x:v>2756</x:v>
      </x:c>
      <x:c r="M888" s="2"/>
      <x:c r="N888" s="2"/>
      <x:c r="O888" s="2" t="s">
        <x:v>2732</x:v>
      </x:c>
      <x:c r="P888" s="2" t="s">
        <x:v>2743</x:v>
      </x:c>
      <x:c r="Q888" s="2"/>
      <x:c r="R888" s="3">
        <x:v>3</x:v>
      </x:c>
      <x:c r="S888" s="3"/>
      <x:c r="T888" s="2"/>
      <x:c r="U888" s="2"/>
      <x:c r="V888" s="2"/>
      <x:c r="W888" s="2"/>
      <x:c r="X888" s="3"/>
      <x:c r="Y888" s="3"/>
      <x:c r="Z888" s="2"/>
      <x:c r="AA888" s="2"/>
      <x:c r="AB888" s="2"/>
      <x:c r="AC888" s="2"/>
      <x:c r="AD888" s="2" t="s">
        <x:v>237</x:v>
      </x:c>
      <x:c r="AE888" s="2"/>
      <x:c r="AF888" s="2"/>
      <x:c r="AG888" s="2"/>
      <x:c r="AH888" s="2" t="s">
        <x:v>470</x:v>
      </x:c>
      <x:c r="AI888" s="4">
        <x:v>16</x:v>
      </x:c>
      <x:c r="AJ888" s="2" t="s">
        <x:v>2744</x:v>
      </x:c>
      <x:c r="AK888" s="2" t="s">
        <x:v>460</x:v>
      </x:c>
      <x:c r="AL888" s="2" t="s">
        <x:v>2857</x:v>
      </x:c>
      <x:c r="AM888" s="2">
        <x:v>118</x:v>
      </x:c>
      <x:c r="AN888" s="2">
        <x:v>118</x:v>
      </x:c>
    </x:row>
    <x:row r="889" ht="39">
      <x:c r="A889" s="2" t="s">
        <x:v>6</x:v>
      </x:c>
      <x:c r="B889" s="2" t="s">
        <x:v>18</x:v>
      </x:c>
      <x:c r="C889" s="3">
        <x:v>117</x:v>
      </x:c>
      <x:c r="D889" s="2" t="s">
        <x:v>505</x:v>
      </x:c>
      <x:c r="E889" s="2" t="s">
        <x:v>2753</x:v>
      </x:c>
      <x:c r="F889" s="2" t="s">
        <x:v>474</x:v>
      </x:c>
      <x:c r="G889" s="2"/>
      <x:c r="H889" s="2" t="s">
        <x:v>2735</x:v>
      </x:c>
      <x:c r="I889" s="2" t="s">
        <x:v>2755</x:v>
      </x:c>
      <x:c r="J889" s="2" t="s">
        <x:v>477</x:v>
      </x:c>
      <x:c r="K889" s="2" t="n">
        <x:v>116</x:v>
      </x:c>
      <x:c r="L889" s="2" t="s">
        <x:v>2757</x:v>
      </x:c>
      <x:c r="M889" s="2"/>
      <x:c r="N889" s="2"/>
      <x:c r="O889" s="2" t="s">
        <x:v>2737</x:v>
      </x:c>
      <x:c r="P889" s="2" t="s">
        <x:v>2758</x:v>
      </x:c>
      <x:c r="Q889" s="2"/>
      <x:c r="R889" s="3">
        <x:v>3</x:v>
      </x:c>
      <x:c r="S889" s="3"/>
      <x:c r="T889" s="2"/>
      <x:c r="U889" s="2"/>
      <x:c r="V889" s="2"/>
      <x:c r="W889" s="2"/>
      <x:c r="X889" s="3"/>
      <x:c r="Y889" s="3"/>
      <x:c r="Z889" s="2"/>
      <x:c r="AA889" s="2"/>
      <x:c r="AB889" s="2"/>
      <x:c r="AC889" s="2"/>
      <x:c r="AD889" s="2" t="s">
        <x:v>480</x:v>
      </x:c>
      <x:c r="AE889" s="2"/>
      <x:c r="AF889" s="2"/>
      <x:c r="AG889" s="2"/>
      <x:c r="AH889" s="2" t="s">
        <x:v>458</x:v>
      </x:c>
      <x:c r="AI889" s="4">
        <x:v>16</x:v>
      </x:c>
      <x:c r="AJ889" s="2" t="s">
        <x:v>2739</x:v>
      </x:c>
      <x:c r="AK889" s="2" t="s">
        <x:v>460</x:v>
      </x:c>
      <x:c r="AL889" s="2" t="s">
        <x:v>2857</x:v>
      </x:c>
      <x:c r="AM889" s="2">
        <x:v>119</x:v>
      </x:c>
      <x:c r="AN889" s="2">
        <x:v>119</x:v>
      </x:c>
    </x:row>
    <x:row r="890" ht="39">
      <x:c r="A890" s="2" t="s">
        <x:v>6</x:v>
      </x:c>
      <x:c r="B890" s="2" t="s">
        <x:v>18</x:v>
      </x:c>
      <x:c r="C890" s="3">
        <x:v>118</x:v>
      </x:c>
      <x:c r="D890" s="2" t="s">
        <x:v>472</x:v>
      </x:c>
      <x:c r="E890" s="2" t="s">
        <x:v>2759</x:v>
      </x:c>
      <x:c r="F890" s="2" t="s">
        <x:v>2727</x:v>
      </x:c>
      <x:c r="G890" s="2" t="s">
        <x:v>3057</x:v>
      </x:c>
      <x:c r="H890" s="2" t="s">
        <x:v>2729</x:v>
      </x:c>
      <x:c r="I890" s="2" t="s">
        <x:v>2761</x:v>
      </x:c>
      <x:c r="J890" s="2" t="s">
        <x:v>477</x:v>
      </x:c>
      <x:c r="K890" s="2"/>
      <x:c r="L890" s="2" t="s">
        <x:v>2762</x:v>
      </x:c>
      <x:c r="M890" s="2"/>
      <x:c r="N890" s="2"/>
      <x:c r="O890" s="2" t="s">
        <x:v>2732</x:v>
      </x:c>
      <x:c r="P890" s="2" t="s">
        <x:v>2733</x:v>
      </x:c>
      <x:c r="Q890" s="2"/>
      <x:c r="R890" s="3">
        <x:v>2</x:v>
      </x:c>
      <x:c r="S890" s="3"/>
      <x:c r="T890" s="2"/>
      <x:c r="U890" s="2"/>
      <x:c r="V890" s="2"/>
      <x:c r="W890" s="2"/>
      <x:c r="X890" s="3"/>
      <x:c r="Y890" s="3"/>
      <x:c r="Z890" s="2"/>
      <x:c r="AA890" s="2"/>
      <x:c r="AB890" s="2"/>
      <x:c r="AC890" s="2"/>
      <x:c r="AD890" s="2" t="s">
        <x:v>237</x:v>
      </x:c>
      <x:c r="AE890" s="2"/>
      <x:c r="AF890" s="2"/>
      <x:c r="AG890" s="2"/>
      <x:c r="AH890" s="2" t="s">
        <x:v>458</x:v>
      </x:c>
      <x:c r="AI890" s="4">
        <x:v>16</x:v>
      </x:c>
      <x:c r="AJ890" s="2" t="s">
        <x:v>2734</x:v>
      </x:c>
      <x:c r="AK890" s="2" t="s">
        <x:v>460</x:v>
      </x:c>
      <x:c r="AL890" s="2" t="s">
        <x:v>2857</x:v>
      </x:c>
      <x:c r="AM890" s="2">
        <x:v>120</x:v>
      </x:c>
      <x:c r="AN890" s="2">
        <x:v>120</x:v>
      </x:c>
    </x:row>
    <x:row r="891" ht="39">
      <x:c r="A891" s="2" t="s">
        <x:v>6</x:v>
      </x:c>
      <x:c r="B891" s="2" t="s">
        <x:v>18</x:v>
      </x:c>
      <x:c r="C891" s="3">
        <x:v>119</x:v>
      </x:c>
      <x:c r="D891" s="2" t="s">
        <x:v>462</x:v>
      </x:c>
      <x:c r="E891" s="2" t="s">
        <x:v>2759</x:v>
      </x:c>
      <x:c r="F891" s="2" t="s">
        <x:v>451</x:v>
      </x:c>
      <x:c r="G891" s="2"/>
      <x:c r="H891" s="2" t="s">
        <x:v>2735</x:v>
      </x:c>
      <x:c r="I891" s="2" t="s">
        <x:v>2761</x:v>
      </x:c>
      <x:c r="J891" s="2" t="s">
        <x:v>454</x:v>
      </x:c>
      <x:c r="K891" s="2" t="n">
        <x:v>118</x:v>
      </x:c>
      <x:c r="L891" s="2" t="s">
        <x:v>2763</x:v>
      </x:c>
      <x:c r="M891" s="2"/>
      <x:c r="N891" s="2"/>
      <x:c r="O891" s="2" t="s">
        <x:v>2737</x:v>
      </x:c>
      <x:c r="P891" s="2" t="s">
        <x:v>2738</x:v>
      </x:c>
      <x:c r="Q891" s="2"/>
      <x:c r="R891" s="3">
        <x:v>2</x:v>
      </x:c>
      <x:c r="S891" s="3"/>
      <x:c r="T891" s="2"/>
      <x:c r="U891" s="2"/>
      <x:c r="V891" s="2"/>
      <x:c r="W891" s="2"/>
      <x:c r="X891" s="3"/>
      <x:c r="Y891" s="3"/>
      <x:c r="Z891" s="2"/>
      <x:c r="AA891" s="2"/>
      <x:c r="AB891" s="2"/>
      <x:c r="AC891" s="2"/>
      <x:c r="AD891" s="2" t="s">
        <x:v>431</x:v>
      </x:c>
      <x:c r="AE891" s="2"/>
      <x:c r="AF891" s="2"/>
      <x:c r="AG891" s="2"/>
      <x:c r="AH891" s="2" t="s">
        <x:v>470</x:v>
      </x:c>
      <x:c r="AI891" s="4">
        <x:v>16</x:v>
      </x:c>
      <x:c r="AJ891" s="2" t="s">
        <x:v>2739</x:v>
      </x:c>
      <x:c r="AK891" s="2" t="s">
        <x:v>460</x:v>
      </x:c>
      <x:c r="AL891" s="2" t="s">
        <x:v>2857</x:v>
      </x:c>
      <x:c r="AM891" s="2">
        <x:v>121</x:v>
      </x:c>
      <x:c r="AN891" s="2">
        <x:v>121</x:v>
      </x:c>
    </x:row>
    <x:row r="892" ht="39">
      <x:c r="A892" s="2" t="s">
        <x:v>6</x:v>
      </x:c>
      <x:c r="B892" s="2" t="s">
        <x:v>18</x:v>
      </x:c>
      <x:c r="C892" s="3">
        <x:v>120</x:v>
      </x:c>
      <x:c r="D892" s="2" t="s">
        <x:v>449</x:v>
      </x:c>
      <x:c r="E892" s="2" t="s">
        <x:v>2764</x:v>
      </x:c>
      <x:c r="F892" s="2" t="s">
        <x:v>2727</x:v>
      </x:c>
      <x:c r="G892" s="2"/>
      <x:c r="H892" s="2" t="s">
        <x:v>2729</x:v>
      </x:c>
      <x:c r="I892" s="2" t="s">
        <x:v>2766</x:v>
      </x:c>
      <x:c r="J892" s="2" t="s">
        <x:v>454</x:v>
      </x:c>
      <x:c r="K892" s="2"/>
      <x:c r="L892" s="2" t="s">
        <x:v>2767</x:v>
      </x:c>
      <x:c r="M892" s="2"/>
      <x:c r="N892" s="2"/>
      <x:c r="O892" s="2" t="s">
        <x:v>2732</x:v>
      </x:c>
      <x:c r="P892" s="2" t="s">
        <x:v>2743</x:v>
      </x:c>
      <x:c r="Q892" s="2"/>
      <x:c r="R892" s="3">
        <x:v>3</x:v>
      </x:c>
      <x:c r="S892" s="3"/>
      <x:c r="T892" s="2"/>
      <x:c r="U892" s="2"/>
      <x:c r="V892" s="2"/>
      <x:c r="W892" s="2"/>
      <x:c r="X892" s="3"/>
      <x:c r="Y892" s="3"/>
      <x:c r="Z892" s="2"/>
      <x:c r="AA892" s="2"/>
      <x:c r="AB892" s="2"/>
      <x:c r="AC892" s="2"/>
      <x:c r="AD892" s="2" t="s">
        <x:v>237</x:v>
      </x:c>
      <x:c r="AE892" s="2"/>
      <x:c r="AF892" s="2"/>
      <x:c r="AG892" s="2"/>
      <x:c r="AH892" s="2" t="s">
        <x:v>470</x:v>
      </x:c>
      <x:c r="AI892" s="4">
        <x:v>8</x:v>
      </x:c>
      <x:c r="AJ892" s="2" t="s">
        <x:v>2744</x:v>
      </x:c>
      <x:c r="AK892" s="2" t="s">
        <x:v>460</x:v>
      </x:c>
      <x:c r="AL892" s="2" t="s">
        <x:v>2857</x:v>
      </x:c>
      <x:c r="AM892" s="2">
        <x:v>122</x:v>
      </x:c>
      <x:c r="AN892" s="2">
        <x:v>122</x:v>
      </x:c>
    </x:row>
    <x:row r="893" ht="39">
      <x:c r="A893" s="2" t="s">
        <x:v>91</x:v>
      </x:c>
      <x:c r="B893" s="2" t="s">
        <x:v>18</x:v>
      </x:c>
      <x:c r="C893" s="3">
        <x:v>121</x:v>
      </x:c>
      <x:c r="D893" s="2" t="s">
        <x:v>482</x:v>
      </x:c>
      <x:c r="E893" s="2" t="s">
        <x:v>2764</x:v>
      </x:c>
      <x:c r="F893" s="2" t="s">
        <x:v>484</x:v>
      </x:c>
      <x:c r="G893" s="2" t="s">
        <x:v>1290</x:v>
      </x:c>
      <x:c r="H893" s="2" t="s">
        <x:v>2735</x:v>
      </x:c>
      <x:c r="I893" s="2" t="s">
        <x:v>2766</x:v>
      </x:c>
      <x:c r="J893" s="2" t="s">
        <x:v>477</x:v>
      </x:c>
      <x:c r="K893" s="2" t="n">
        <x:v>120</x:v>
      </x:c>
      <x:c r="L893" s="2" t="s">
        <x:v>2768</x:v>
      </x:c>
      <x:c r="M893" s="2"/>
      <x:c r="N893" s="2"/>
      <x:c r="O893" s="2" t="s">
        <x:v>2737</x:v>
      </x:c>
      <x:c r="P893" s="2" t="s">
        <x:v>2747</x:v>
      </x:c>
      <x:c r="Q893" s="2"/>
      <x:c r="R893" s="3">
        <x:v>3</x:v>
      </x:c>
      <x:c r="S893" s="3"/>
      <x:c r="T893" s="2"/>
      <x:c r="U893" s="2"/>
      <x:c r="V893" s="2"/>
      <x:c r="W893" s="2"/>
      <x:c r="X893" s="3"/>
      <x:c r="Y893" s="3"/>
      <x:c r="Z893" s="2"/>
      <x:c r="AA893" s="2"/>
      <x:c r="AB893" s="2"/>
      <x:c r="AC893" s="2"/>
      <x:c r="AD893" s="2" t="s">
        <x:v>410</x:v>
      </x:c>
      <x:c r="AE893" s="2"/>
      <x:c r="AF893" s="2"/>
      <x:c r="AG893" s="2"/>
      <x:c r="AH893" s="2" t="s">
        <x:v>2769</x:v>
      </x:c>
      <x:c r="AI893" s="4">
        <x:v>8</x:v>
      </x:c>
      <x:c r="AJ893" s="2" t="s">
        <x:v>2739</x:v>
      </x:c>
      <x:c r="AK893" s="2" t="s">
        <x:v>460</x:v>
      </x:c>
      <x:c r="AL893" s="2" t="s">
        <x:v>2857</x:v>
      </x:c>
      <x:c r="AM893" s="2">
        <x:v>123</x:v>
      </x:c>
      <x:c r="AN893" s="2">
        <x:v>123</x:v>
      </x:c>
    </x:row>
    <x:row r="894" ht="52">
      <x:c r="A894" s="2" t="s">
        <x:v>91</x:v>
      </x:c>
      <x:c r="B894" s="2" t="s">
        <x:v>18</x:v>
      </x:c>
      <x:c r="C894" s="3">
        <x:v>122</x:v>
      </x:c>
      <x:c r="D894" s="2" t="s">
        <x:v>505</x:v>
      </x:c>
      <x:c r="E894" s="2" t="s">
        <x:v>2770</x:v>
      </x:c>
      <x:c r="F894" s="2" t="s">
        <x:v>2727</x:v>
      </x:c>
      <x:c r="G894" s="2" t="s">
        <x:v>3058</x:v>
      </x:c>
      <x:c r="H894" s="2" t="s">
        <x:v>2729</x:v>
      </x:c>
      <x:c r="I894" s="2" t="s">
        <x:v>2771</x:v>
      </x:c>
      <x:c r="J894" s="2" t="s">
        <x:v>477</x:v>
      </x:c>
      <x:c r="K894" s="2"/>
      <x:c r="L894" s="2" t="s">
        <x:v>2772</x:v>
      </x:c>
      <x:c r="M894" s="2"/>
      <x:c r="N894" s="2"/>
      <x:c r="O894" s="2" t="s">
        <x:v>2732</x:v>
      </x:c>
      <x:c r="P894" s="2" t="s">
        <x:v>2733</x:v>
      </x:c>
      <x:c r="Q894" s="2"/>
      <x:c r="R894" s="3">
        <x:v>2</x:v>
      </x:c>
      <x:c r="S894" s="3"/>
      <x:c r="T894" s="2"/>
      <x:c r="U894" s="2"/>
      <x:c r="V894" s="2"/>
      <x:c r="W894" s="2"/>
      <x:c r="X894" s="3"/>
      <x:c r="Y894" s="3"/>
      <x:c r="Z894" s="2"/>
      <x:c r="AA894" s="2"/>
      <x:c r="AB894" s="2"/>
      <x:c r="AC894" s="2"/>
      <x:c r="AD894" s="2" t="s">
        <x:v>237</x:v>
      </x:c>
      <x:c r="AE894" s="2"/>
      <x:c r="AF894" s="2"/>
      <x:c r="AG894" s="2"/>
      <x:c r="AH894" s="2" t="s">
        <x:v>470</x:v>
      </x:c>
      <x:c r="AI894" s="4">
        <x:v>8</x:v>
      </x:c>
      <x:c r="AJ894" s="2" t="s">
        <x:v>2734</x:v>
      </x:c>
      <x:c r="AK894" s="2" t="s">
        <x:v>460</x:v>
      </x:c>
      <x:c r="AL894" s="2" t="s">
        <x:v>2857</x:v>
      </x:c>
      <x:c r="AM894" s="2">
        <x:v>124</x:v>
      </x:c>
      <x:c r="AN894" s="2">
        <x:v>124</x:v>
      </x:c>
    </x:row>
    <x:row r="895" ht="39">
      <x:c r="A895" s="2" t="s">
        <x:v>91</x:v>
      </x:c>
      <x:c r="B895" s="2" t="s">
        <x:v>18</x:v>
      </x:c>
      <x:c r="C895" s="3">
        <x:v>123</x:v>
      </x:c>
      <x:c r="D895" s="2" t="s">
        <x:v>516</x:v>
      </x:c>
      <x:c r="E895" s="2" t="s">
        <x:v>2770</x:v>
      </x:c>
      <x:c r="F895" s="2" t="s">
        <x:v>451</x:v>
      </x:c>
      <x:c r="G895" s="2" t="s">
        <x:v>3059</x:v>
      </x:c>
      <x:c r="H895" s="2" t="s">
        <x:v>2735</x:v>
      </x:c>
      <x:c r="I895" s="2" t="s">
        <x:v>2771</x:v>
      </x:c>
      <x:c r="J895" s="2" t="s">
        <x:v>454</x:v>
      </x:c>
      <x:c r="K895" s="2" t="n">
        <x:v>122</x:v>
      </x:c>
      <x:c r="L895" s="2" t="s">
        <x:v>2774</x:v>
      </x:c>
      <x:c r="M895" s="2"/>
      <x:c r="N895" s="2"/>
      <x:c r="O895" s="2" t="s">
        <x:v>2737</x:v>
      </x:c>
      <x:c r="P895" s="2" t="s">
        <x:v>2738</x:v>
      </x:c>
      <x:c r="Q895" s="2"/>
      <x:c r="R895" s="3">
        <x:v>2</x:v>
      </x:c>
      <x:c r="S895" s="3"/>
      <x:c r="T895" s="2"/>
      <x:c r="U895" s="2"/>
      <x:c r="V895" s="2"/>
      <x:c r="W895" s="2"/>
      <x:c r="X895" s="3"/>
      <x:c r="Y895" s="3"/>
      <x:c r="Z895" s="2"/>
      <x:c r="AA895" s="2"/>
      <x:c r="AB895" s="2"/>
      <x:c r="AC895" s="2"/>
      <x:c r="AD895" s="2" t="s">
        <x:v>431</x:v>
      </x:c>
      <x:c r="AE895" s="2"/>
      <x:c r="AF895" s="2"/>
      <x:c r="AG895" s="2"/>
      <x:c r="AH895" s="2" t="s">
        <x:v>458</x:v>
      </x:c>
      <x:c r="AI895" s="4">
        <x:v>8</x:v>
      </x:c>
      <x:c r="AJ895" s="2" t="s">
        <x:v>2739</x:v>
      </x:c>
      <x:c r="AK895" s="2" t="s">
        <x:v>460</x:v>
      </x:c>
      <x:c r="AL895" s="2" t="s">
        <x:v>2857</x:v>
      </x:c>
      <x:c r="AM895" s="2">
        <x:v>125</x:v>
      </x:c>
      <x:c r="AN895" s="2">
        <x:v>125</x:v>
      </x:c>
    </x:row>
    <x:row r="896" ht="39">
      <x:c r="A896" s="2" t="s">
        <x:v>6</x:v>
      </x:c>
      <x:c r="B896" s="2" t="s">
        <x:v>18</x:v>
      </x:c>
      <x:c r="C896" s="3">
        <x:v>124</x:v>
      </x:c>
      <x:c r="D896" s="2" t="s">
        <x:v>462</x:v>
      </x:c>
      <x:c r="E896" s="2" t="s">
        <x:v>2775</x:v>
      </x:c>
      <x:c r="F896" s="2" t="s">
        <x:v>2727</x:v>
      </x:c>
      <x:c r="G896" s="2"/>
      <x:c r="H896" s="2" t="s">
        <x:v>2729</x:v>
      </x:c>
      <x:c r="I896" s="2" t="s">
        <x:v>2776</x:v>
      </x:c>
      <x:c r="J896" s="2" t="s">
        <x:v>454</x:v>
      </x:c>
      <x:c r="K896" s="2"/>
      <x:c r="L896" s="2" t="s">
        <x:v>2777</x:v>
      </x:c>
      <x:c r="M896" s="2"/>
      <x:c r="N896" s="2"/>
      <x:c r="O896" s="2" t="s">
        <x:v>2732</x:v>
      </x:c>
      <x:c r="P896" s="2" t="s">
        <x:v>2743</x:v>
      </x:c>
      <x:c r="Q896" s="2"/>
      <x:c r="R896" s="3">
        <x:v>3</x:v>
      </x:c>
      <x:c r="S896" s="3"/>
      <x:c r="T896" s="2"/>
      <x:c r="U896" s="2"/>
      <x:c r="V896" s="2"/>
      <x:c r="W896" s="2"/>
      <x:c r="X896" s="3"/>
      <x:c r="Y896" s="3"/>
      <x:c r="Z896" s="2"/>
      <x:c r="AA896" s="2"/>
      <x:c r="AB896" s="2"/>
      <x:c r="AC896" s="2"/>
      <x:c r="AD896" s="2" t="s">
        <x:v>237</x:v>
      </x:c>
      <x:c r="AE896" s="2"/>
      <x:c r="AF896" s="2"/>
      <x:c r="AG896" s="2"/>
      <x:c r="AH896" s="2" t="s">
        <x:v>458</x:v>
      </x:c>
      <x:c r="AI896" s="4">
        <x:v>12</x:v>
      </x:c>
      <x:c r="AJ896" s="2" t="s">
        <x:v>2744</x:v>
      </x:c>
      <x:c r="AK896" s="2" t="s">
        <x:v>460</x:v>
      </x:c>
      <x:c r="AL896" s="2" t="s">
        <x:v>2857</x:v>
      </x:c>
      <x:c r="AM896" s="2">
        <x:v>126</x:v>
      </x:c>
      <x:c r="AN896" s="2">
        <x:v>126</x:v>
      </x:c>
    </x:row>
    <x:row r="897" ht="39">
      <x:c r="A897" s="2" t="s">
        <x:v>6</x:v>
      </x:c>
      <x:c r="B897" s="2" t="s">
        <x:v>18</x:v>
      </x:c>
      <x:c r="C897" s="3">
        <x:v>125</x:v>
      </x:c>
      <x:c r="D897" s="2" t="s">
        <x:v>472</x:v>
      </x:c>
      <x:c r="E897" s="2" t="s">
        <x:v>2775</x:v>
      </x:c>
      <x:c r="F897" s="2" t="s">
        <x:v>474</x:v>
      </x:c>
      <x:c r="G897" s="2"/>
      <x:c r="H897" s="2" t="s">
        <x:v>2735</x:v>
      </x:c>
      <x:c r="I897" s="2" t="s">
        <x:v>2776</x:v>
      </x:c>
      <x:c r="J897" s="2" t="s">
        <x:v>477</x:v>
      </x:c>
      <x:c r="K897" s="2" t="n">
        <x:v>124</x:v>
      </x:c>
      <x:c r="L897" s="2" t="s">
        <x:v>2778</x:v>
      </x:c>
      <x:c r="M897" s="2"/>
      <x:c r="N897" s="2"/>
      <x:c r="O897" s="2" t="s">
        <x:v>2737</x:v>
      </x:c>
      <x:c r="P897" s="2" t="s">
        <x:v>2758</x:v>
      </x:c>
      <x:c r="Q897" s="2"/>
      <x:c r="R897" s="3">
        <x:v>3</x:v>
      </x:c>
      <x:c r="S897" s="3"/>
      <x:c r="T897" s="2"/>
      <x:c r="U897" s="2"/>
      <x:c r="V897" s="2"/>
      <x:c r="W897" s="2"/>
      <x:c r="X897" s="3"/>
      <x:c r="Y897" s="3"/>
      <x:c r="Z897" s="2"/>
      <x:c r="AA897" s="2"/>
      <x:c r="AB897" s="2"/>
      <x:c r="AC897" s="2"/>
      <x:c r="AD897" s="2" t="s">
        <x:v>480</x:v>
      </x:c>
      <x:c r="AE897" s="2"/>
      <x:c r="AF897" s="2"/>
      <x:c r="AG897" s="2"/>
      <x:c r="AH897" s="2" t="s">
        <x:v>470</x:v>
      </x:c>
      <x:c r="AI897" s="4">
        <x:v>12</x:v>
      </x:c>
      <x:c r="AJ897" s="2" t="s">
        <x:v>2739</x:v>
      </x:c>
      <x:c r="AK897" s="2" t="s">
        <x:v>460</x:v>
      </x:c>
      <x:c r="AL897" s="2" t="s">
        <x:v>2857</x:v>
      </x:c>
      <x:c r="AM897" s="2">
        <x:v>127</x:v>
      </x:c>
      <x:c r="AN897" s="2">
        <x:v>127</x:v>
      </x:c>
    </x:row>
    <x:row r="898" ht="39">
      <x:c r="A898" s="2" t="s">
        <x:v>6</x:v>
      </x:c>
      <x:c r="B898" s="2" t="s">
        <x:v>18</x:v>
      </x:c>
      <x:c r="C898" s="3">
        <x:v>126</x:v>
      </x:c>
      <x:c r="D898" s="2" t="s">
        <x:v>482</x:v>
      </x:c>
      <x:c r="E898" s="2" t="s">
        <x:v>2779</x:v>
      </x:c>
      <x:c r="F898" s="2" t="s">
        <x:v>2727</x:v>
      </x:c>
      <x:c r="G898" s="2"/>
      <x:c r="H898" s="2" t="s">
        <x:v>2729</x:v>
      </x:c>
      <x:c r="I898" s="2" t="s">
        <x:v>2780</x:v>
      </x:c>
      <x:c r="J898" s="2" t="s">
        <x:v>477</x:v>
      </x:c>
      <x:c r="K898" s="2"/>
      <x:c r="L898" s="2" t="s">
        <x:v>2781</x:v>
      </x:c>
      <x:c r="M898" s="2"/>
      <x:c r="N898" s="2"/>
      <x:c r="O898" s="2" t="s">
        <x:v>2732</x:v>
      </x:c>
      <x:c r="P898" s="2" t="s">
        <x:v>2733</x:v>
      </x:c>
      <x:c r="Q898" s="2"/>
      <x:c r="R898" s="3">
        <x:v>2</x:v>
      </x:c>
      <x:c r="S898" s="3"/>
      <x:c r="T898" s="2"/>
      <x:c r="U898" s="2"/>
      <x:c r="V898" s="2"/>
      <x:c r="W898" s="2"/>
      <x:c r="X898" s="3"/>
      <x:c r="Y898" s="3"/>
      <x:c r="Z898" s="2"/>
      <x:c r="AA898" s="2"/>
      <x:c r="AB898" s="2"/>
      <x:c r="AC898" s="2"/>
      <x:c r="AD898" s="2" t="s">
        <x:v>237</x:v>
      </x:c>
      <x:c r="AE898" s="2"/>
      <x:c r="AF898" s="2"/>
      <x:c r="AG898" s="2"/>
      <x:c r="AH898" s="2" t="s">
        <x:v>458</x:v>
      </x:c>
      <x:c r="AI898" s="4">
        <x:v>12</x:v>
      </x:c>
      <x:c r="AJ898" s="2" t="s">
        <x:v>2734</x:v>
      </x:c>
      <x:c r="AK898" s="2" t="s">
        <x:v>460</x:v>
      </x:c>
      <x:c r="AL898" s="2" t="s">
        <x:v>2857</x:v>
      </x:c>
      <x:c r="AM898" s="2">
        <x:v>128</x:v>
      </x:c>
      <x:c r="AN898" s="2">
        <x:v>128</x:v>
      </x:c>
    </x:row>
    <x:row r="899" ht="39">
      <x:c r="A899" s="2" t="s">
        <x:v>91</x:v>
      </x:c>
      <x:c r="B899" s="2" t="s">
        <x:v>18</x:v>
      </x:c>
      <x:c r="C899" s="3">
        <x:v>127</x:v>
      </x:c>
      <x:c r="D899" s="2" t="s">
        <x:v>449</x:v>
      </x:c>
      <x:c r="E899" s="2" t="s">
        <x:v>2779</x:v>
      </x:c>
      <x:c r="F899" s="2" t="s">
        <x:v>451</x:v>
      </x:c>
      <x:c r="G899" s="2" t="s">
        <x:v>3060</x:v>
      </x:c>
      <x:c r="H899" s="2" t="s">
        <x:v>2735</x:v>
      </x:c>
      <x:c r="I899" s="2" t="s">
        <x:v>2780</x:v>
      </x:c>
      <x:c r="J899" s="2" t="s">
        <x:v>454</x:v>
      </x:c>
      <x:c r="K899" s="2" t="n">
        <x:v>126</x:v>
      </x:c>
      <x:c r="L899" s="2" t="s">
        <x:v>2782</x:v>
      </x:c>
      <x:c r="M899" s="2"/>
      <x:c r="N899" s="2"/>
      <x:c r="O899" s="2" t="s">
        <x:v>2737</x:v>
      </x:c>
      <x:c r="P899" s="2" t="s">
        <x:v>2738</x:v>
      </x:c>
      <x:c r="Q899" s="2"/>
      <x:c r="R899" s="3">
        <x:v>2</x:v>
      </x:c>
      <x:c r="S899" s="3"/>
      <x:c r="T899" s="2"/>
      <x:c r="U899" s="2"/>
      <x:c r="V899" s="2"/>
      <x:c r="W899" s="2"/>
      <x:c r="X899" s="3"/>
      <x:c r="Y899" s="3"/>
      <x:c r="Z899" s="2"/>
      <x:c r="AA899" s="2"/>
      <x:c r="AB899" s="2"/>
      <x:c r="AC899" s="2"/>
      <x:c r="AD899" s="2" t="s">
        <x:v>431</x:v>
      </x:c>
      <x:c r="AE899" s="2"/>
      <x:c r="AF899" s="2"/>
      <x:c r="AG899" s="2"/>
      <x:c r="AH899" s="2" t="s">
        <x:v>470</x:v>
      </x:c>
      <x:c r="AI899" s="4">
        <x:v>12</x:v>
      </x:c>
      <x:c r="AJ899" s="2" t="s">
        <x:v>2739</x:v>
      </x:c>
      <x:c r="AK899" s="2" t="s">
        <x:v>460</x:v>
      </x:c>
      <x:c r="AL899" s="2" t="s">
        <x:v>2857</x:v>
      </x:c>
      <x:c r="AM899" s="2">
        <x:v>129</x:v>
      </x:c>
      <x:c r="AN899" s="2">
        <x:v>129</x:v>
      </x:c>
    </x:row>
    <x:row r="900" ht="39">
      <x:c r="A900" s="2" t="s">
        <x:v>6</x:v>
      </x:c>
      <x:c r="B900" s="2" t="s">
        <x:v>18</x:v>
      </x:c>
      <x:c r="C900" s="3">
        <x:v>128</x:v>
      </x:c>
      <x:c r="D900" s="2" t="s">
        <x:v>516</x:v>
      </x:c>
      <x:c r="E900" s="2" t="s">
        <x:v>2783</x:v>
      </x:c>
      <x:c r="F900" s="2" t="s">
        <x:v>2727</x:v>
      </x:c>
      <x:c r="G900" s="2"/>
      <x:c r="H900" s="2" t="s">
        <x:v>2729</x:v>
      </x:c>
      <x:c r="I900" s="2" t="s">
        <x:v>2784</x:v>
      </x:c>
      <x:c r="J900" s="2" t="s">
        <x:v>454</x:v>
      </x:c>
      <x:c r="K900" s="2"/>
      <x:c r="L900" s="2" t="s">
        <x:v>2785</x:v>
      </x:c>
      <x:c r="M900" s="2"/>
      <x:c r="N900" s="2"/>
      <x:c r="O900" s="2" t="s">
        <x:v>2732</x:v>
      </x:c>
      <x:c r="P900" s="2" t="s">
        <x:v>2743</x:v>
      </x:c>
      <x:c r="Q900" s="2"/>
      <x:c r="R900" s="3">
        <x:v>3</x:v>
      </x:c>
      <x:c r="S900" s="3"/>
      <x:c r="T900" s="2"/>
      <x:c r="U900" s="2"/>
      <x:c r="V900" s="2"/>
      <x:c r="W900" s="2"/>
      <x:c r="X900" s="3"/>
      <x:c r="Y900" s="3"/>
      <x:c r="Z900" s="2"/>
      <x:c r="AA900" s="2"/>
      <x:c r="AB900" s="2"/>
      <x:c r="AC900" s="2"/>
      <x:c r="AD900" s="2" t="s">
        <x:v>237</x:v>
      </x:c>
      <x:c r="AE900" s="2"/>
      <x:c r="AF900" s="2"/>
      <x:c r="AG900" s="2"/>
      <x:c r="AH900" s="2" t="s">
        <x:v>470</x:v>
      </x:c>
      <x:c r="AI900" s="4">
        <x:v>16</x:v>
      </x:c>
      <x:c r="AJ900" s="2" t="s">
        <x:v>2744</x:v>
      </x:c>
      <x:c r="AK900" s="2" t="s">
        <x:v>460</x:v>
      </x:c>
      <x:c r="AL900" s="2" t="s">
        <x:v>2857</x:v>
      </x:c>
      <x:c r="AM900" s="2">
        <x:v>130</x:v>
      </x:c>
      <x:c r="AN900" s="2">
        <x:v>130</x:v>
      </x:c>
    </x:row>
    <x:row r="901" ht="39">
      <x:c r="A901" s="2" t="s">
        <x:v>6</x:v>
      </x:c>
      <x:c r="B901" s="2" t="s">
        <x:v>18</x:v>
      </x:c>
      <x:c r="C901" s="3">
        <x:v>129</x:v>
      </x:c>
      <x:c r="D901" s="2" t="s">
        <x:v>505</x:v>
      </x:c>
      <x:c r="E901" s="2" t="s">
        <x:v>2783</x:v>
      </x:c>
      <x:c r="F901" s="2" t="s">
        <x:v>484</x:v>
      </x:c>
      <x:c r="G901" s="2"/>
      <x:c r="H901" s="2" t="s">
        <x:v>2735</x:v>
      </x:c>
      <x:c r="I901" s="2" t="s">
        <x:v>2784</x:v>
      </x:c>
      <x:c r="J901" s="2" t="s">
        <x:v>477</x:v>
      </x:c>
      <x:c r="K901" s="2" t="n">
        <x:v>128</x:v>
      </x:c>
      <x:c r="L901" s="2" t="s">
        <x:v>2786</x:v>
      </x:c>
      <x:c r="M901" s="2"/>
      <x:c r="N901" s="2"/>
      <x:c r="O901" s="2" t="s">
        <x:v>2737</x:v>
      </x:c>
      <x:c r="P901" s="2" t="s">
        <x:v>2747</x:v>
      </x:c>
      <x:c r="Q901" s="2"/>
      <x:c r="R901" s="3">
        <x:v>3</x:v>
      </x:c>
      <x:c r="S901" s="3"/>
      <x:c r="T901" s="2"/>
      <x:c r="U901" s="2"/>
      <x:c r="V901" s="2"/>
      <x:c r="W901" s="2"/>
      <x:c r="X901" s="3"/>
      <x:c r="Y901" s="3"/>
      <x:c r="Z901" s="2"/>
      <x:c r="AA901" s="2"/>
      <x:c r="AB901" s="2"/>
      <x:c r="AC901" s="2"/>
      <x:c r="AD901" s="2" t="s">
        <x:v>410</x:v>
      </x:c>
      <x:c r="AE901" s="2"/>
      <x:c r="AF901" s="2"/>
      <x:c r="AG901" s="2"/>
      <x:c r="AH901" s="2" t="s">
        <x:v>458</x:v>
      </x:c>
      <x:c r="AI901" s="4">
        <x:v>16</x:v>
      </x:c>
      <x:c r="AJ901" s="2" t="s">
        <x:v>2739</x:v>
      </x:c>
      <x:c r="AK901" s="2" t="s">
        <x:v>460</x:v>
      </x:c>
      <x:c r="AL901" s="2" t="s">
        <x:v>2857</x:v>
      </x:c>
      <x:c r="AM901" s="2">
        <x:v>131</x:v>
      </x:c>
      <x:c r="AN901" s="2">
        <x:v>131</x:v>
      </x:c>
    </x:row>
  </x:sheetData>
  <x:conditionalFormatting sqref="A2:A901">
    <x:cfRule type="containsText" dxfId="5" priority="1" operator="containsText" text="Success"/>
    <x:cfRule type="containsText" dxfId="4" priority="2" operator="containsText" text="Failure"/>
  </x:conditionalFormatting>
  <x:dataValidations count="1">
    <x:dataValidation type="list" sqref="A2:A901">
      <x:formula1>"Success,Failure"</x:formula1>
    </x:dataValidation>
  </x:dataValidations>
  <x:pageMargins left="0.7" right="0.7" top="0.75" bottom="0.75" header="0.3" footer="0.3"/>
  <x:tableParts count="1">
    <x:tablePart xmlns:r="http://schemas.openxmlformats.org/officeDocument/2006/relationships" r:id="R6f94d97ec0644621"/>
  </x:tableParts>
</x:worksheet>
</file>

<file path=xl/worksheets/sheet7.xml><?xml version="1.0" encoding="utf-8"?>
<x:worksheet xmlns:x="http://schemas.openxmlformats.org/spreadsheetml/2006/main">
  <x:sheetViews>
    <x:sheetView showGridLines="0" workbookViewId="0"/>
  </x:sheetViews>
  <x:sheetFormatPr baseColWidth="10" defaultColWidth="8.83203125" defaultRowHeight="14"/>
  <x:cols>
    <x:col min="1" max="1" width="12" customWidth="1"/>
    <x:col min="2" max="2" width="27" customWidth="1"/>
    <x:col min="3" max="3" width="9" customWidth="1"/>
    <x:col min="4" max="4" width="44" customWidth="1"/>
    <x:col min="5" max="5" width="54" customWidth="1"/>
    <x:col min="6" max="7" width="34" customWidth="1"/>
    <x:col min="8" max="8" width="38" customWidth="1"/>
    <x:col min="9" max="9" width="20" customWidth="1"/>
    <x:col min="10" max="10" width="34" customWidth="1"/>
    <x:col min="11" max="11" width="16" customWidth="1"/>
    <x:col min="12" max="12" width="20" customWidth="1"/>
    <x:col min="13" max="13" width="42" customWidth="1"/>
    <x:col min="14" max="14" width="16" customWidth="1"/>
    <x:col min="15" max="15" width="38" customWidth="1"/>
    <x:col min="16" max="16" width="44" customWidth="1"/>
    <x:col min="17" max="17" width="24" customWidth="1"/>
    <x:col min="18" max="18" width="13" customWidth="1"/>
    <x:col min="19" max="19" width="15" customWidth="1"/>
    <x:col min="20" max="21" width="14" customWidth="1"/>
    <x:col min="22" max="22" width="18" customWidth="1"/>
    <x:col min="23" max="23" width="20" customWidth="1"/>
    <x:col min="24" max="24" width="15" customWidth="1"/>
    <x:col min="25" max="25" width="12" customWidth="1"/>
    <x:col min="26" max="26" width="18" customWidth="1"/>
    <x:col min="27" max="27" width="14" customWidth="1"/>
    <x:col min="28" max="28" width="18" customWidth="1"/>
    <x:col min="29" max="29" width="16" customWidth="1"/>
    <x:col min="30" max="31" width="20" customWidth="1"/>
    <x:col min="32" max="32" width="18" customWidth="1"/>
    <x:col min="33" max="33" width="20" customWidth="1"/>
    <x:col min="34" max="34" width="14" customWidth="1"/>
    <x:col min="35" max="35" width="15" customWidth="1"/>
    <x:col min="36" max="36" width="28" customWidth="1"/>
    <x:col min="37" max="37" width="32" customWidth="1"/>
    <x:col min="38" max="38" width="28" customWidth="1"/>
    <x:col min="39" max="39" width="16" customWidth="1"/>
    <x:col min="40" max="40" width="15" customWidth="1"/>
    <x:col min="41" max="41" width="25.83203125" hidden="1" customWidth="1"/>
    <x:col min="42" max="42" width="9.33203125" customWidth="1"/>
    <x:col min="43" max="43" width="8.5" customWidth="1"/>
    <x:col min="44" max="44" width="11.6640625" customWidth="1"/>
  </x:cols>
  <x:sheetData>
    <x:row r="1" ht="36" customHeight="1">
      <x:c r="A1" s="1" t="s">
        <x:v>53</x:v>
      </x:c>
      <x:c r="B1" s="1" t="s">
        <x:v>12</x:v>
      </x:c>
      <x:c r="C1" s="1" t="s">
        <x:v>54</x:v>
      </x:c>
      <x:c r="D1" s="1" t="s">
        <x:v>55</x:v>
      </x:c>
      <x:c r="E1" s="1" t="s">
        <x:v>27</x:v>
      </x:c>
      <x:c r="F1" s="1" t="s">
        <x:v>56</x:v>
      </x:c>
      <x:c r="G1" s="1" t="s">
        <x:v>57</x:v>
      </x:c>
      <x:c r="H1" s="1" t="s">
        <x:v>58</x:v>
      </x:c>
      <x:c r="I1" s="1" t="s">
        <x:v>59</x:v>
      </x:c>
      <x:c r="J1" s="1" t="s">
        <x:v>60</x:v>
      </x:c>
      <x:c r="K1" s="1" t="s">
        <x:v>61</x:v>
      </x:c>
      <x:c r="L1" s="1" t="s">
        <x:v>62</x:v>
      </x:c>
      <x:c r="M1" s="1" t="s">
        <x:v>63</x:v>
      </x:c>
      <x:c r="N1" s="1" t="s">
        <x:v>64</x:v>
      </x:c>
      <x:c r="O1" s="1" t="s">
        <x:v>65</x:v>
      </x:c>
      <x:c r="P1" s="1" t="s">
        <x:v>66</x:v>
      </x:c>
      <x:c r="Q1" s="1" t="s">
        <x:v>67</x:v>
      </x:c>
      <x:c r="R1" s="1" t="s">
        <x:v>68</x:v>
      </x:c>
      <x:c r="S1" s="1" t="s">
        <x:v>69</x:v>
      </x:c>
      <x:c r="T1" s="1" t="s">
        <x:v>70</x:v>
      </x:c>
      <x:c r="U1" s="1" t="s">
        <x:v>71</x:v>
      </x:c>
      <x:c r="V1" s="1" t="s">
        <x:v>72</x:v>
      </x:c>
      <x:c r="W1" s="1" t="s">
        <x:v>73</x:v>
      </x:c>
      <x:c r="X1" s="1" t="s">
        <x:v>74</x:v>
      </x:c>
      <x:c r="Y1" s="1" t="s">
        <x:v>75</x:v>
      </x:c>
      <x:c r="Z1" s="1" t="s">
        <x:v>76</x:v>
      </x:c>
      <x:c r="AA1" s="1" t="s">
        <x:v>77</x:v>
      </x:c>
      <x:c r="AB1" s="1" t="s">
        <x:v>78</x:v>
      </x:c>
      <x:c r="AC1" s="1" t="s">
        <x:v>79</x:v>
      </x:c>
      <x:c r="AD1" s="1" t="s">
        <x:v>80</x:v>
      </x:c>
      <x:c r="AE1" s="1" t="s">
        <x:v>81</x:v>
      </x:c>
      <x:c r="AF1" s="1" t="s">
        <x:v>82</x:v>
      </x:c>
      <x:c r="AG1" s="1" t="s">
        <x:v>83</x:v>
      </x:c>
      <x:c r="AH1" s="1" t="s">
        <x:v>84</x:v>
      </x:c>
      <x:c r="AI1" s="1" t="s">
        <x:v>85</x:v>
      </x:c>
      <x:c r="AJ1" s="1" t="s">
        <x:v>86</x:v>
      </x:c>
      <x:c r="AK1" s="1" t="s">
        <x:v>87</x:v>
      </x:c>
      <x:c r="AL1" s="1" t="s">
        <x:v>88</x:v>
      </x:c>
      <x:c r="AM1" s="1" t="s">
        <x:v>89</x:v>
      </x:c>
      <x:c r="AN1" s="1" t="s">
        <x:v>90</x:v>
      </x:c>
      <x:c r="AO1" s="54"/>
      <x:c r="AP1" s="54" t="str">
        <x:v>Success</x:v>
      </x:c>
      <x:c r="AQ1" t="str">
        <x:v>Failure</x:v>
      </x:c>
    </x:row>
    <x:row r="2" ht="65">
      <x:c r="A2" s="2" t="s">
        <x:v>6</x:v>
      </x:c>
      <x:c r="B2" s="2" t="s">
        <x:v>13</x:v>
      </x:c>
      <x:c r="C2" s="3">
        <x:v>0</x:v>
      </x:c>
      <x:c r="D2" s="2" t="s">
        <x:v>92</x:v>
      </x:c>
      <x:c r="E2" s="2" t="s">
        <x:v>93</x:v>
      </x:c>
      <x:c r="F2" s="2" t="s">
        <x:v>94</x:v>
      </x:c>
      <x:c r="G2" s="2"/>
      <x:c r="H2" s="2" t="s">
        <x:v>96</x:v>
      </x:c>
      <x:c r="I2" s="2" t="s">
        <x:v>97</x:v>
      </x:c>
      <x:c r="J2" s="2" t="s">
        <x:v>98</x:v>
      </x:c>
      <x:c r="K2" s="2"/>
      <x:c r="L2" s="2" t="s">
        <x:v>99</x:v>
      </x:c>
      <x:c r="M2" s="2" t="s">
        <x:v>100</x:v>
      </x:c>
      <x:c r="N2" s="2">
        <x:v>1</x:v>
      </x:c>
      <x:c r="O2" s="2" t="s">
        <x:v>101</x:v>
      </x:c>
      <x:c r="P2" s="2" t="s">
        <x:v>102</x:v>
      </x:c>
      <x:c r="Q2" s="2"/>
      <x:c r="R2" s="3">
        <x:v>4</x:v>
      </x:c>
      <x:c r="S2" s="3">
        <x:v>1</x:v>
      </x:c>
      <x:c r="T2" s="2" t="s">
        <x:v>103</x:v>
      </x:c>
      <x:c r="U2" s="2" t="s">
        <x:v>104</x:v>
      </x:c>
      <x:c r="V2" s="2" t="s">
        <x:v>105</x:v>
      </x:c>
      <x:c r="W2" s="2"/>
      <x:c r="X2" s="3"/>
      <x:c r="Y2" s="3"/>
      <x:c r="Z2" s="2"/>
      <x:c r="AA2" s="2"/>
      <x:c r="AB2" s="2"/>
      <x:c r="AC2" s="2"/>
      <x:c r="AD2" s="2"/>
      <x:c r="AE2" s="2"/>
      <x:c r="AF2" s="2"/>
      <x:c r="AG2" s="2"/>
      <x:c r="AH2" s="2"/>
      <x:c r="AI2" s="4"/>
      <x:c r="AJ2" s="2"/>
      <x:c r="AK2" s="2" t="s">
        <x:v>106</x:v>
      </x:c>
      <x:c r="AL2" s="2" t="s">
        <x:v>3061</x:v>
      </x:c>
      <x:c r="AM2" s="2">
        <x:v>2</x:v>
      </x:c>
      <x:c r="AN2" s="2">
        <x:v>2</x:v>
      </x:c>
      <x:c r="AO2" s="54" t="str">
        <x:v>Row Labels</x:v>
      </x:c>
      <x:c r="AP2" t="str"/>
      <x:c r="AQ2" t="str"/>
    </x:row>
    <x:row r="3" ht="39">
      <x:c r="A3" s="2" t="s">
        <x:v>6</x:v>
      </x:c>
      <x:c r="B3" s="2" t="s">
        <x:v>13</x:v>
      </x:c>
      <x:c r="C3" s="3">
        <x:v>1</x:v>
      </x:c>
      <x:c r="D3" s="2" t="s">
        <x:v>108</x:v>
      </x:c>
      <x:c r="E3" s="2" t="s">
        <x:v>109</x:v>
      </x:c>
      <x:c r="F3" s="2" t="s">
        <x:v>94</x:v>
      </x:c>
      <x:c r="G3" s="2"/>
      <x:c r="H3" s="2" t="s">
        <x:v>96</x:v>
      </x:c>
      <x:c r="I3" s="2" t="s">
        <x:v>111</x:v>
      </x:c>
      <x:c r="J3" s="2" t="s">
        <x:v>98</x:v>
      </x:c>
      <x:c r="K3" s="2"/>
      <x:c r="L3" s="2" t="s">
        <x:v>112</x:v>
      </x:c>
      <x:c r="M3" s="2" t="s">
        <x:v>113</x:v>
      </x:c>
      <x:c r="N3" s="2">
        <x:v>1</x:v>
      </x:c>
      <x:c r="O3" s="2" t="s">
        <x:v>101</x:v>
      </x:c>
      <x:c r="P3" s="2" t="s">
        <x:v>114</x:v>
      </x:c>
      <x:c r="Q3" s="2"/>
      <x:c r="R3" s="3">
        <x:v>2</x:v>
      </x:c>
      <x:c r="S3" s="3">
        <x:v>1</x:v>
      </x:c>
      <x:c r="T3" s="2" t="s">
        <x:v>103</x:v>
      </x:c>
      <x:c r="U3" s="2" t="s">
        <x:v>115</x:v>
      </x:c>
      <x:c r="V3" s="2" t="s">
        <x:v>105</x:v>
      </x:c>
      <x:c r="W3" s="2"/>
      <x:c r="X3" s="3"/>
      <x:c r="Y3" s="3"/>
      <x:c r="Z3" s="2"/>
      <x:c r="AA3" s="2"/>
      <x:c r="AB3" s="2"/>
      <x:c r="AC3" s="2"/>
      <x:c r="AD3" s="2"/>
      <x:c r="AE3" s="2"/>
      <x:c r="AF3" s="2"/>
      <x:c r="AG3" s="2"/>
      <x:c r="AH3" s="2"/>
      <x:c r="AI3" s="4"/>
      <x:c r="AJ3" s="2"/>
      <x:c r="AK3" s="2" t="s">
        <x:v>106</x:v>
      </x:c>
      <x:c r="AL3" s="2" t="s">
        <x:v>3061</x:v>
      </x:c>
      <x:c r="AM3" s="2">
        <x:v>3</x:v>
      </x:c>
      <x:c r="AN3" s="2">
        <x:v>3</x:v>
      </x:c>
      <x:c r="AO3" t="str">
        <x:v>Concept/compositional transfer</x:v>
      </x:c>
      <x:c r="AP3" s="57" t="n">
        <x:v>0.4066666666666667</x:v>
      </x:c>
      <x:c r="AQ3" s="57" t="n">
        <x:v>0.5933333333333334</x:v>
      </x:c>
    </x:row>
    <x:row r="4" ht="65">
      <x:c r="A4" s="2" t="s">
        <x:v>6</x:v>
      </x:c>
      <x:c r="B4" s="2" t="s">
        <x:v>13</x:v>
      </x:c>
      <x:c r="C4" s="3">
        <x:v>2</x:v>
      </x:c>
      <x:c r="D4" s="2" t="s">
        <x:v>116</x:v>
      </x:c>
      <x:c r="E4" s="2" t="s">
        <x:v>117</x:v>
      </x:c>
      <x:c r="F4" s="2" t="s">
        <x:v>118</x:v>
      </x:c>
      <x:c r="G4" s="2"/>
      <x:c r="H4" s="2" t="s">
        <x:v>96</x:v>
      </x:c>
      <x:c r="I4" s="2" t="s">
        <x:v>120</x:v>
      </x:c>
      <x:c r="J4" s="2" t="s">
        <x:v>98</x:v>
      </x:c>
      <x:c r="K4" s="2"/>
      <x:c r="L4" s="2" t="s">
        <x:v>121</x:v>
      </x:c>
      <x:c r="M4" s="2" t="s">
        <x:v>100</x:v>
      </x:c>
      <x:c r="N4" s="2">
        <x:v>1</x:v>
      </x:c>
      <x:c r="O4" s="2" t="s">
        <x:v>101</x:v>
      </x:c>
      <x:c r="P4" s="2" t="s">
        <x:v>102</x:v>
      </x:c>
      <x:c r="Q4" s="2"/>
      <x:c r="R4" s="3">
        <x:v>3</x:v>
      </x:c>
      <x:c r="S4" s="3">
        <x:v>1</x:v>
      </x:c>
      <x:c r="T4" s="2" t="s">
        <x:v>103</x:v>
      </x:c>
      <x:c r="U4" s="2" t="s">
        <x:v>122</x:v>
      </x:c>
      <x:c r="V4" s="2" t="s">
        <x:v>123</x:v>
      </x:c>
      <x:c r="W4" s="2"/>
      <x:c r="X4" s="3"/>
      <x:c r="Y4" s="3"/>
      <x:c r="Z4" s="2"/>
      <x:c r="AA4" s="2"/>
      <x:c r="AB4" s="2"/>
      <x:c r="AC4" s="2"/>
      <x:c r="AD4" s="2"/>
      <x:c r="AE4" s="2"/>
      <x:c r="AF4" s="2"/>
      <x:c r="AG4" s="2"/>
      <x:c r="AH4" s="2"/>
      <x:c r="AI4" s="4"/>
      <x:c r="AJ4" s="2"/>
      <x:c r="AK4" s="2" t="s">
        <x:v>106</x:v>
      </x:c>
      <x:c r="AL4" s="2" t="s">
        <x:v>3061</x:v>
      </x:c>
      <x:c r="AM4" s="2">
        <x:v>4</x:v>
      </x:c>
      <x:c r="AN4" s="2">
        <x:v>4</x:v>
      </x:c>
      <x:c r="AO4" t="str">
        <x:v>In-distribution concept baseline</x:v>
      </x:c>
      <x:c r="AP4" s="57" t="n">
        <x:v>0.6833333333333333</x:v>
      </x:c>
      <x:c r="AQ4" s="57" t="n">
        <x:v>0.31666666666666665</x:v>
      </x:c>
    </x:row>
    <x:row r="5" ht="39">
      <x:c r="A5" s="2" t="s">
        <x:v>6</x:v>
      </x:c>
      <x:c r="B5" s="2" t="s">
        <x:v>13</x:v>
      </x:c>
      <x:c r="C5" s="3">
        <x:v>3</x:v>
      </x:c>
      <x:c r="D5" s="2" t="s">
        <x:v>124</x:v>
      </x:c>
      <x:c r="E5" s="2" t="s">
        <x:v>125</x:v>
      </x:c>
      <x:c r="F5" s="2" t="s">
        <x:v>118</x:v>
      </x:c>
      <x:c r="G5" s="2"/>
      <x:c r="H5" s="2" t="s">
        <x:v>96</x:v>
      </x:c>
      <x:c r="I5" s="2" t="s">
        <x:v>127</x:v>
      </x:c>
      <x:c r="J5" s="2" t="s">
        <x:v>98</x:v>
      </x:c>
      <x:c r="K5" s="2"/>
      <x:c r="L5" s="2" t="s">
        <x:v>128</x:v>
      </x:c>
      <x:c r="M5" s="2" t="s">
        <x:v>113</x:v>
      </x:c>
      <x:c r="N5" s="2">
        <x:v>1</x:v>
      </x:c>
      <x:c r="O5" s="2" t="s">
        <x:v>101</x:v>
      </x:c>
      <x:c r="P5" s="2" t="s">
        <x:v>114</x:v>
      </x:c>
      <x:c r="Q5" s="2"/>
      <x:c r="R5" s="3">
        <x:v>4</x:v>
      </x:c>
      <x:c r="S5" s="3">
        <x:v>1</x:v>
      </x:c>
      <x:c r="T5" s="2" t="s">
        <x:v>103</x:v>
      </x:c>
      <x:c r="U5" s="2" t="s">
        <x:v>129</x:v>
      </x:c>
      <x:c r="V5" s="2" t="s">
        <x:v>123</x:v>
      </x:c>
      <x:c r="W5" s="2"/>
      <x:c r="X5" s="3"/>
      <x:c r="Y5" s="3"/>
      <x:c r="Z5" s="2"/>
      <x:c r="AA5" s="2"/>
      <x:c r="AB5" s="2"/>
      <x:c r="AC5" s="2"/>
      <x:c r="AD5" s="2"/>
      <x:c r="AE5" s="2"/>
      <x:c r="AF5" s="2"/>
      <x:c r="AG5" s="2"/>
      <x:c r="AH5" s="2"/>
      <x:c r="AI5" s="4"/>
      <x:c r="AJ5" s="2"/>
      <x:c r="AK5" s="2" t="s">
        <x:v>106</x:v>
      </x:c>
      <x:c r="AL5" s="2" t="s">
        <x:v>3061</x:v>
      </x:c>
      <x:c r="AM5" s="2">
        <x:v>5</x:v>
      </x:c>
      <x:c r="AN5" s="2">
        <x:v>5</x:v>
      </x:c>
      <x:c r="AO5" t="str">
        <x:v>Matched manipulation control</x:v>
      </x:c>
      <x:c r="AP5" s="57" t="n">
        <x:v>0.8333333333333334</x:v>
      </x:c>
      <x:c r="AQ5" s="57" t="n">
        <x:v>0.16666666666666666</x:v>
      </x:c>
    </x:row>
    <x:row r="6" ht="65">
      <x:c r="A6" s="2" t="s">
        <x:v>6</x:v>
      </x:c>
      <x:c r="B6" s="2" t="s">
        <x:v>13</x:v>
      </x:c>
      <x:c r="C6" s="3">
        <x:v>4</x:v>
      </x:c>
      <x:c r="D6" s="2" t="s">
        <x:v>130</x:v>
      </x:c>
      <x:c r="E6" s="2" t="s">
        <x:v>131</x:v>
      </x:c>
      <x:c r="F6" s="2" t="s">
        <x:v>132</x:v>
      </x:c>
      <x:c r="G6" s="2"/>
      <x:c r="H6" s="2" t="s">
        <x:v>96</x:v>
      </x:c>
      <x:c r="I6" s="2" t="s">
        <x:v>134</x:v>
      </x:c>
      <x:c r="J6" s="2" t="s">
        <x:v>98</x:v>
      </x:c>
      <x:c r="K6" s="2"/>
      <x:c r="L6" s="2" t="s">
        <x:v>135</x:v>
      </x:c>
      <x:c r="M6" s="2" t="s">
        <x:v>100</x:v>
      </x:c>
      <x:c r="N6" s="2">
        <x:v>1</x:v>
      </x:c>
      <x:c r="O6" s="2" t="s">
        <x:v>101</x:v>
      </x:c>
      <x:c r="P6" s="2" t="s">
        <x:v>102</x:v>
      </x:c>
      <x:c r="Q6" s="2"/>
      <x:c r="R6" s="3">
        <x:v>3</x:v>
      </x:c>
      <x:c r="S6" s="3">
        <x:v>1</x:v>
      </x:c>
      <x:c r="T6" s="2" t="s">
        <x:v>103</x:v>
      </x:c>
      <x:c r="U6" s="2" t="s">
        <x:v>104</x:v>
      </x:c>
      <x:c r="V6" s="2" t="s">
        <x:v>136</x:v>
      </x:c>
      <x:c r="W6" s="2"/>
      <x:c r="X6" s="3"/>
      <x:c r="Y6" s="3"/>
      <x:c r="Z6" s="2"/>
      <x:c r="AA6" s="2"/>
      <x:c r="AB6" s="2"/>
      <x:c r="AC6" s="2"/>
      <x:c r="AD6" s="2"/>
      <x:c r="AE6" s="2"/>
      <x:c r="AF6" s="2"/>
      <x:c r="AG6" s="2"/>
      <x:c r="AH6" s="2"/>
      <x:c r="AI6" s="4"/>
      <x:c r="AJ6" s="2"/>
      <x:c r="AK6" s="2" t="s">
        <x:v>106</x:v>
      </x:c>
      <x:c r="AL6" s="2" t="s">
        <x:v>3061</x:v>
      </x:c>
      <x:c r="AM6" s="2">
        <x:v>6</x:v>
      </x:c>
      <x:c r="AN6" s="2">
        <x:v>6</x:v>
      </x:c>
    </x:row>
    <x:row r="7" ht="39">
      <x:c r="A7" s="2" t="s">
        <x:v>91</x:v>
      </x:c>
      <x:c r="B7" s="2" t="s">
        <x:v>13</x:v>
      </x:c>
      <x:c r="C7" s="3">
        <x:v>5</x:v>
      </x:c>
      <x:c r="D7" s="2" t="s">
        <x:v>137</x:v>
      </x:c>
      <x:c r="E7" s="2" t="s">
        <x:v>138</x:v>
      </x:c>
      <x:c r="F7" s="2" t="s">
        <x:v>139</x:v>
      </x:c>
      <x:c r="G7" s="2"/>
      <x:c r="H7" s="2" t="s">
        <x:v>96</x:v>
      </x:c>
      <x:c r="I7" s="2" t="s">
        <x:v>140</x:v>
      </x:c>
      <x:c r="J7" s="2" t="s">
        <x:v>98</x:v>
      </x:c>
      <x:c r="K7" s="2"/>
      <x:c r="L7" s="2" t="s">
        <x:v>141</x:v>
      </x:c>
      <x:c r="M7" s="2" t="s">
        <x:v>113</x:v>
      </x:c>
      <x:c r="N7" s="2">
        <x:v>1</x:v>
      </x:c>
      <x:c r="O7" s="2" t="s">
        <x:v>101</x:v>
      </x:c>
      <x:c r="P7" s="2" t="s">
        <x:v>114</x:v>
      </x:c>
      <x:c r="Q7" s="2"/>
      <x:c r="R7" s="3">
        <x:v>2</x:v>
      </x:c>
      <x:c r="S7" s="3">
        <x:v>1</x:v>
      </x:c>
      <x:c r="T7" s="2" t="s">
        <x:v>103</x:v>
      </x:c>
      <x:c r="U7" s="2" t="s">
        <x:v>129</x:v>
      </x:c>
      <x:c r="V7" s="2" t="s">
        <x:v>136</x:v>
      </x:c>
      <x:c r="W7" s="2"/>
      <x:c r="X7" s="3"/>
      <x:c r="Y7" s="3"/>
      <x:c r="Z7" s="2"/>
      <x:c r="AA7" s="2"/>
      <x:c r="AB7" s="2"/>
      <x:c r="AC7" s="2"/>
      <x:c r="AD7" s="2"/>
      <x:c r="AE7" s="2"/>
      <x:c r="AF7" s="2"/>
      <x:c r="AG7" s="2"/>
      <x:c r="AH7" s="2"/>
      <x:c r="AI7" s="4"/>
      <x:c r="AJ7" s="2"/>
      <x:c r="AK7" s="2" t="s">
        <x:v>106</x:v>
      </x:c>
      <x:c r="AL7" s="2" t="s">
        <x:v>3061</x:v>
      </x:c>
      <x:c r="AM7" s="2">
        <x:v>7</x:v>
      </x:c>
      <x:c r="AN7" s="2">
        <x:v>7</x:v>
      </x:c>
    </x:row>
    <x:row r="8" ht="39">
      <x:c r="A8" s="2" t="s">
        <x:v>91</x:v>
      </x:c>
      <x:c r="B8" s="2" t="s">
        <x:v>13</x:v>
      </x:c>
      <x:c r="C8" s="3">
        <x:v>6</x:v>
      </x:c>
      <x:c r="D8" s="2" t="s">
        <x:v>142</x:v>
      </x:c>
      <x:c r="E8" s="2" t="s">
        <x:v>143</x:v>
      </x:c>
      <x:c r="F8" s="2" t="s">
        <x:v>132</x:v>
      </x:c>
      <x:c r="G8" s="2"/>
      <x:c r="H8" s="2" t="s">
        <x:v>96</x:v>
      </x:c>
      <x:c r="I8" s="2" t="s">
        <x:v>145</x:v>
      </x:c>
      <x:c r="J8" s="2" t="s">
        <x:v>98</x:v>
      </x:c>
      <x:c r="K8" s="2"/>
      <x:c r="L8" s="2" t="s">
        <x:v>146</x:v>
      </x:c>
      <x:c r="M8" s="2" t="s">
        <x:v>113</x:v>
      </x:c>
      <x:c r="N8" s="2">
        <x:v>1</x:v>
      </x:c>
      <x:c r="O8" s="2" t="s">
        <x:v>101</x:v>
      </x:c>
      <x:c r="P8" s="2" t="s">
        <x:v>147</x:v>
      </x:c>
      <x:c r="Q8" s="2"/>
      <x:c r="R8" s="3">
        <x:v>2</x:v>
      </x:c>
      <x:c r="S8" s="3">
        <x:v>1</x:v>
      </x:c>
      <x:c r="T8" s="2" t="s">
        <x:v>103</x:v>
      </x:c>
      <x:c r="U8" s="2" t="s">
        <x:v>115</x:v>
      </x:c>
      <x:c r="V8" s="2" t="s">
        <x:v>136</x:v>
      </x:c>
      <x:c r="W8" s="2"/>
      <x:c r="X8" s="3"/>
      <x:c r="Y8" s="3"/>
      <x:c r="Z8" s="2"/>
      <x:c r="AA8" s="2"/>
      <x:c r="AB8" s="2"/>
      <x:c r="AC8" s="2"/>
      <x:c r="AD8" s="2"/>
      <x:c r="AE8" s="2"/>
      <x:c r="AF8" s="2"/>
      <x:c r="AG8" s="2"/>
      <x:c r="AH8" s="2"/>
      <x:c r="AI8" s="4"/>
      <x:c r="AJ8" s="2"/>
      <x:c r="AK8" s="2" t="s">
        <x:v>106</x:v>
      </x:c>
      <x:c r="AL8" s="2" t="s">
        <x:v>3061</x:v>
      </x:c>
      <x:c r="AM8" s="2">
        <x:v>8</x:v>
      </x:c>
      <x:c r="AN8" s="2">
        <x:v>8</x:v>
      </x:c>
    </x:row>
    <x:row r="9" ht="65">
      <x:c r="A9" s="2" t="s">
        <x:v>91</x:v>
      </x:c>
      <x:c r="B9" s="2" t="s">
        <x:v>13</x:v>
      </x:c>
      <x:c r="C9" s="3">
        <x:v>7</x:v>
      </x:c>
      <x:c r="D9" s="2" t="s">
        <x:v>148</x:v>
      </x:c>
      <x:c r="E9" s="2" t="s">
        <x:v>149</x:v>
      </x:c>
      <x:c r="F9" s="2" t="s">
        <x:v>150</x:v>
      </x:c>
      <x:c r="G9" s="2"/>
      <x:c r="H9" s="2" t="s">
        <x:v>96</x:v>
      </x:c>
      <x:c r="I9" s="2" t="s">
        <x:v>152</x:v>
      </x:c>
      <x:c r="J9" s="2" t="s">
        <x:v>98</x:v>
      </x:c>
      <x:c r="K9" s="2"/>
      <x:c r="L9" s="2" t="s">
        <x:v>153</x:v>
      </x:c>
      <x:c r="M9" s="2" t="s">
        <x:v>100</x:v>
      </x:c>
      <x:c r="N9" s="2">
        <x:v>1</x:v>
      </x:c>
      <x:c r="O9" s="2" t="s">
        <x:v>101</x:v>
      </x:c>
      <x:c r="P9" s="2" t="s">
        <x:v>102</x:v>
      </x:c>
      <x:c r="Q9" s="2"/>
      <x:c r="R9" s="3">
        <x:v>3</x:v>
      </x:c>
      <x:c r="S9" s="3">
        <x:v>1</x:v>
      </x:c>
      <x:c r="T9" s="2" t="s">
        <x:v>103</x:v>
      </x:c>
      <x:c r="U9" s="2" t="s">
        <x:v>122</x:v>
      </x:c>
      <x:c r="V9" s="2" t="s">
        <x:v>154</x:v>
      </x:c>
      <x:c r="W9" s="2"/>
      <x:c r="X9" s="3"/>
      <x:c r="Y9" s="3"/>
      <x:c r="Z9" s="2"/>
      <x:c r="AA9" s="2"/>
      <x:c r="AB9" s="2"/>
      <x:c r="AC9" s="2"/>
      <x:c r="AD9" s="2"/>
      <x:c r="AE9" s="2"/>
      <x:c r="AF9" s="2"/>
      <x:c r="AG9" s="2"/>
      <x:c r="AH9" s="2"/>
      <x:c r="AI9" s="4"/>
      <x:c r="AJ9" s="2"/>
      <x:c r="AK9" s="2" t="s">
        <x:v>106</x:v>
      </x:c>
      <x:c r="AL9" s="2" t="s">
        <x:v>3061</x:v>
      </x:c>
      <x:c r="AM9" s="2">
        <x:v>9</x:v>
      </x:c>
      <x:c r="AN9" s="2">
        <x:v>9</x:v>
      </x:c>
    </x:row>
    <x:row r="10" ht="65">
      <x:c r="A10" s="2" t="s">
        <x:v>6</x:v>
      </x:c>
      <x:c r="B10" s="2" t="s">
        <x:v>13</x:v>
      </x:c>
      <x:c r="C10" s="3">
        <x:v>8</x:v>
      </x:c>
      <x:c r="D10" s="2" t="s">
        <x:v>155</x:v>
      </x:c>
      <x:c r="E10" s="2" t="s">
        <x:v>156</x:v>
      </x:c>
      <x:c r="F10" s="2" t="s">
        <x:v>157</x:v>
      </x:c>
      <x:c r="G10" s="2"/>
      <x:c r="H10" s="2" t="s">
        <x:v>96</x:v>
      </x:c>
      <x:c r="I10" s="2" t="s">
        <x:v>159</x:v>
      </x:c>
      <x:c r="J10" s="2" t="s">
        <x:v>98</x:v>
      </x:c>
      <x:c r="K10" s="2"/>
      <x:c r="L10" s="2" t="s">
        <x:v>160</x:v>
      </x:c>
      <x:c r="M10" s="2" t="s">
        <x:v>100</x:v>
      </x:c>
      <x:c r="N10" s="2">
        <x:v>1</x:v>
      </x:c>
      <x:c r="O10" s="2" t="s">
        <x:v>101</x:v>
      </x:c>
      <x:c r="P10" s="2" t="s">
        <x:v>102</x:v>
      </x:c>
      <x:c r="Q10" s="2"/>
      <x:c r="R10" s="3">
        <x:v>3</x:v>
      </x:c>
      <x:c r="S10" s="3">
        <x:v>1</x:v>
      </x:c>
      <x:c r="T10" s="2" t="s">
        <x:v>103</x:v>
      </x:c>
      <x:c r="U10" s="2" t="s">
        <x:v>104</x:v>
      </x:c>
      <x:c r="V10" s="2" t="s">
        <x:v>154</x:v>
      </x:c>
      <x:c r="W10" s="2"/>
      <x:c r="X10" s="3"/>
      <x:c r="Y10" s="3"/>
      <x:c r="Z10" s="2"/>
      <x:c r="AA10" s="2"/>
      <x:c r="AB10" s="2"/>
      <x:c r="AC10" s="2"/>
      <x:c r="AD10" s="2"/>
      <x:c r="AE10" s="2"/>
      <x:c r="AF10" s="2"/>
      <x:c r="AG10" s="2"/>
      <x:c r="AH10" s="2"/>
      <x:c r="AI10" s="4"/>
      <x:c r="AJ10" s="2"/>
      <x:c r="AK10" s="2" t="s">
        <x:v>106</x:v>
      </x:c>
      <x:c r="AL10" s="2" t="s">
        <x:v>3061</x:v>
      </x:c>
      <x:c r="AM10" s="2">
        <x:v>10</x:v>
      </x:c>
      <x:c r="AN10" s="2">
        <x:v>10</x:v>
      </x:c>
    </x:row>
    <x:row r="11" ht="39">
      <x:c r="A11" s="2" t="s">
        <x:v>6</x:v>
      </x:c>
      <x:c r="B11" s="2" t="s">
        <x:v>13</x:v>
      </x:c>
      <x:c r="C11" s="3">
        <x:v>9</x:v>
      </x:c>
      <x:c r="D11" s="2" t="s">
        <x:v>161</x:v>
      </x:c>
      <x:c r="E11" s="2" t="s">
        <x:v>162</x:v>
      </x:c>
      <x:c r="F11" s="2" t="s">
        <x:v>157</x:v>
      </x:c>
      <x:c r="G11" s="2"/>
      <x:c r="H11" s="2" t="s">
        <x:v>96</x:v>
      </x:c>
      <x:c r="I11" s="2" t="s">
        <x:v>164</x:v>
      </x:c>
      <x:c r="J11" s="2" t="s">
        <x:v>98</x:v>
      </x:c>
      <x:c r="K11" s="2"/>
      <x:c r="L11" s="2" t="s">
        <x:v>165</x:v>
      </x:c>
      <x:c r="M11" s="2" t="s">
        <x:v>113</x:v>
      </x:c>
      <x:c r="N11" s="2">
        <x:v>1</x:v>
      </x:c>
      <x:c r="O11" s="2" t="s">
        <x:v>101</x:v>
      </x:c>
      <x:c r="P11" s="2" t="s">
        <x:v>147</x:v>
      </x:c>
      <x:c r="Q11" s="2"/>
      <x:c r="R11" s="3">
        <x:v>2</x:v>
      </x:c>
      <x:c r="S11" s="3">
        <x:v>1</x:v>
      </x:c>
      <x:c r="T11" s="2" t="s">
        <x:v>103</x:v>
      </x:c>
      <x:c r="U11" s="2" t="s">
        <x:v>129</x:v>
      </x:c>
      <x:c r="V11" s="2" t="s">
        <x:v>154</x:v>
      </x:c>
      <x:c r="W11" s="2"/>
      <x:c r="X11" s="3"/>
      <x:c r="Y11" s="3"/>
      <x:c r="Z11" s="2"/>
      <x:c r="AA11" s="2"/>
      <x:c r="AB11" s="2"/>
      <x:c r="AC11" s="2"/>
      <x:c r="AD11" s="2"/>
      <x:c r="AE11" s="2"/>
      <x:c r="AF11" s="2"/>
      <x:c r="AG11" s="2"/>
      <x:c r="AH11" s="2"/>
      <x:c r="AI11" s="4"/>
      <x:c r="AJ11" s="2"/>
      <x:c r="AK11" s="2" t="s">
        <x:v>106</x:v>
      </x:c>
      <x:c r="AL11" s="2" t="s">
        <x:v>3061</x:v>
      </x:c>
      <x:c r="AM11" s="2">
        <x:v>11</x:v>
      </x:c>
      <x:c r="AN11" s="2">
        <x:v>11</x:v>
      </x:c>
    </x:row>
    <x:row r="12" ht="65">
      <x:c r="A12" s="2" t="s">
        <x:v>6</x:v>
      </x:c>
      <x:c r="B12" s="2" t="s">
        <x:v>13</x:v>
      </x:c>
      <x:c r="C12" s="3">
        <x:v>10</x:v>
      </x:c>
      <x:c r="D12" s="2" t="s">
        <x:v>574</x:v>
      </x:c>
      <x:c r="E12" s="2" t="s">
        <x:v>575</x:v>
      </x:c>
      <x:c r="F12" s="2" t="s">
        <x:v>576</x:v>
      </x:c>
      <x:c r="G12" s="2"/>
      <x:c r="H12" s="2" t="s">
        <x:v>96</x:v>
      </x:c>
      <x:c r="I12" s="2" t="s">
        <x:v>578</x:v>
      </x:c>
      <x:c r="J12" s="2" t="s">
        <x:v>98</x:v>
      </x:c>
      <x:c r="K12" s="2"/>
      <x:c r="L12" s="2" t="s">
        <x:v>579</x:v>
      </x:c>
      <x:c r="M12" s="2" t="s">
        <x:v>100</x:v>
      </x:c>
      <x:c r="N12" s="2">
        <x:v>1</x:v>
      </x:c>
      <x:c r="O12" s="2" t="s">
        <x:v>101</x:v>
      </x:c>
      <x:c r="P12" s="2" t="s">
        <x:v>102</x:v>
      </x:c>
      <x:c r="Q12" s="2"/>
      <x:c r="R12" s="3">
        <x:v>4</x:v>
      </x:c>
      <x:c r="S12" s="3">
        <x:v>1</x:v>
      </x:c>
      <x:c r="T12" s="2" t="s">
        <x:v>103</x:v>
      </x:c>
      <x:c r="U12" s="2" t="s">
        <x:v>122</x:v>
      </x:c>
      <x:c r="V12" s="2" t="s">
        <x:v>105</x:v>
      </x:c>
      <x:c r="W12" s="2"/>
      <x:c r="X12" s="3"/>
      <x:c r="Y12" s="3"/>
      <x:c r="Z12" s="2"/>
      <x:c r="AA12" s="2"/>
      <x:c r="AB12" s="2"/>
      <x:c r="AC12" s="2"/>
      <x:c r="AD12" s="2"/>
      <x:c r="AE12" s="2"/>
      <x:c r="AF12" s="2"/>
      <x:c r="AG12" s="2"/>
      <x:c r="AH12" s="2"/>
      <x:c r="AI12" s="4"/>
      <x:c r="AJ12" s="2"/>
      <x:c r="AK12" s="2" t="s">
        <x:v>106</x:v>
      </x:c>
      <x:c r="AL12" s="2" t="s">
        <x:v>3061</x:v>
      </x:c>
      <x:c r="AM12" s="2">
        <x:v>12</x:v>
      </x:c>
      <x:c r="AN12" s="2">
        <x:v>12</x:v>
      </x:c>
    </x:row>
    <x:row r="13" ht="65">
      <x:c r="A13" s="2" t="s">
        <x:v>6</x:v>
      </x:c>
      <x:c r="B13" s="2" t="s">
        <x:v>13</x:v>
      </x:c>
      <x:c r="C13" s="3">
        <x:v>11</x:v>
      </x:c>
      <x:c r="D13" s="2" t="s">
        <x:v>580</x:v>
      </x:c>
      <x:c r="E13" s="2" t="s">
        <x:v>581</x:v>
      </x:c>
      <x:c r="F13" s="2" t="s">
        <x:v>94</x:v>
      </x:c>
      <x:c r="G13" s="2"/>
      <x:c r="H13" s="2" t="s">
        <x:v>96</x:v>
      </x:c>
      <x:c r="I13" s="2" t="s">
        <x:v>582</x:v>
      </x:c>
      <x:c r="J13" s="2" t="s">
        <x:v>98</x:v>
      </x:c>
      <x:c r="K13" s="2"/>
      <x:c r="L13" s="2" t="s">
        <x:v>583</x:v>
      </x:c>
      <x:c r="M13" s="2" t="s">
        <x:v>100</x:v>
      </x:c>
      <x:c r="N13" s="2">
        <x:v>1</x:v>
      </x:c>
      <x:c r="O13" s="2" t="s">
        <x:v>101</x:v>
      </x:c>
      <x:c r="P13" s="2" t="s">
        <x:v>102</x:v>
      </x:c>
      <x:c r="Q13" s="2"/>
      <x:c r="R13" s="3">
        <x:v>3</x:v>
      </x:c>
      <x:c r="S13" s="3">
        <x:v>1</x:v>
      </x:c>
      <x:c r="T13" s="2" t="s">
        <x:v>103</x:v>
      </x:c>
      <x:c r="U13" s="2" t="s">
        <x:v>122</x:v>
      </x:c>
      <x:c r="V13" s="2" t="s">
        <x:v>105</x:v>
      </x:c>
      <x:c r="W13" s="2"/>
      <x:c r="X13" s="3"/>
      <x:c r="Y13" s="3"/>
      <x:c r="Z13" s="2"/>
      <x:c r="AA13" s="2"/>
      <x:c r="AB13" s="2"/>
      <x:c r="AC13" s="2"/>
      <x:c r="AD13" s="2"/>
      <x:c r="AE13" s="2"/>
      <x:c r="AF13" s="2"/>
      <x:c r="AG13" s="2"/>
      <x:c r="AH13" s="2"/>
      <x:c r="AI13" s="4"/>
      <x:c r="AJ13" s="2"/>
      <x:c r="AK13" s="2" t="s">
        <x:v>106</x:v>
      </x:c>
      <x:c r="AL13" s="2" t="s">
        <x:v>3061</x:v>
      </x:c>
      <x:c r="AM13" s="2">
        <x:v>13</x:v>
      </x:c>
      <x:c r="AN13" s="2">
        <x:v>13</x:v>
      </x:c>
    </x:row>
    <x:row r="14" ht="65">
      <x:c r="A14" s="2" t="s">
        <x:v>6</x:v>
      </x:c>
      <x:c r="B14" s="2" t="s">
        <x:v>13</x:v>
      </x:c>
      <x:c r="C14" s="3">
        <x:v>12</x:v>
      </x:c>
      <x:c r="D14" s="2" t="s">
        <x:v>92</x:v>
      </x:c>
      <x:c r="E14" s="2" t="s">
        <x:v>584</x:v>
      </x:c>
      <x:c r="F14" s="2" t="s">
        <x:v>576</x:v>
      </x:c>
      <x:c r="G14" s="2"/>
      <x:c r="H14" s="2" t="s">
        <x:v>96</x:v>
      </x:c>
      <x:c r="I14" s="2" t="s">
        <x:v>585</x:v>
      </x:c>
      <x:c r="J14" s="2" t="s">
        <x:v>98</x:v>
      </x:c>
      <x:c r="K14" s="2"/>
      <x:c r="L14" s="2" t="s">
        <x:v>586</x:v>
      </x:c>
      <x:c r="M14" s="2" t="s">
        <x:v>100</x:v>
      </x:c>
      <x:c r="N14" s="2">
        <x:v>1</x:v>
      </x:c>
      <x:c r="O14" s="2" t="s">
        <x:v>101</x:v>
      </x:c>
      <x:c r="P14" s="2" t="s">
        <x:v>102</x:v>
      </x:c>
      <x:c r="Q14" s="2"/>
      <x:c r="R14" s="3">
        <x:v>3</x:v>
      </x:c>
      <x:c r="S14" s="3">
        <x:v>1</x:v>
      </x:c>
      <x:c r="T14" s="2" t="s">
        <x:v>103</x:v>
      </x:c>
      <x:c r="U14" s="2" t="s">
        <x:v>104</x:v>
      </x:c>
      <x:c r="V14" s="2" t="s">
        <x:v>105</x:v>
      </x:c>
      <x:c r="W14" s="2"/>
      <x:c r="X14" s="3"/>
      <x:c r="Y14" s="3"/>
      <x:c r="Z14" s="2"/>
      <x:c r="AA14" s="2"/>
      <x:c r="AB14" s="2"/>
      <x:c r="AC14" s="2"/>
      <x:c r="AD14" s="2"/>
      <x:c r="AE14" s="2"/>
      <x:c r="AF14" s="2"/>
      <x:c r="AG14" s="2"/>
      <x:c r="AH14" s="2"/>
      <x:c r="AI14" s="4"/>
      <x:c r="AJ14" s="2"/>
      <x:c r="AK14" s="2" t="s">
        <x:v>106</x:v>
      </x:c>
      <x:c r="AL14" s="2" t="s">
        <x:v>3061</x:v>
      </x:c>
      <x:c r="AM14" s="2">
        <x:v>14</x:v>
      </x:c>
      <x:c r="AN14" s="2">
        <x:v>14</x:v>
      </x:c>
    </x:row>
    <x:row r="15" ht="39">
      <x:c r="A15" s="2" t="s">
        <x:v>91</x:v>
      </x:c>
      <x:c r="B15" s="2" t="s">
        <x:v>13</x:v>
      </x:c>
      <x:c r="C15" s="3">
        <x:v>13</x:v>
      </x:c>
      <x:c r="D15" s="2" t="s">
        <x:v>587</x:v>
      </x:c>
      <x:c r="E15" s="2" t="s">
        <x:v>588</x:v>
      </x:c>
      <x:c r="F15" s="2" t="s">
        <x:v>589</x:v>
      </x:c>
      <x:c r="G15" s="2"/>
      <x:c r="H15" s="2" t="s">
        <x:v>96</x:v>
      </x:c>
      <x:c r="I15" s="2" t="s">
        <x:v>590</x:v>
      </x:c>
      <x:c r="J15" s="2" t="s">
        <x:v>98</x:v>
      </x:c>
      <x:c r="K15" s="2"/>
      <x:c r="L15" s="2" t="s">
        <x:v>591</x:v>
      </x:c>
      <x:c r="M15" s="2" t="s">
        <x:v>113</x:v>
      </x:c>
      <x:c r="N15" s="2">
        <x:v>1</x:v>
      </x:c>
      <x:c r="O15" s="2" t="s">
        <x:v>101</x:v>
      </x:c>
      <x:c r="P15" s="2" t="s">
        <x:v>114</x:v>
      </x:c>
      <x:c r="Q15" s="2"/>
      <x:c r="R15" s="3">
        <x:v>2</x:v>
      </x:c>
      <x:c r="S15" s="3">
        <x:v>1</x:v>
      </x:c>
      <x:c r="T15" s="2" t="s">
        <x:v>103</x:v>
      </x:c>
      <x:c r="U15" s="2" t="s">
        <x:v>129</x:v>
      </x:c>
      <x:c r="V15" s="2" t="s">
        <x:v>123</x:v>
      </x:c>
      <x:c r="W15" s="2"/>
      <x:c r="X15" s="3"/>
      <x:c r="Y15" s="3"/>
      <x:c r="Z15" s="2"/>
      <x:c r="AA15" s="2"/>
      <x:c r="AB15" s="2"/>
      <x:c r="AC15" s="2"/>
      <x:c r="AD15" s="2"/>
      <x:c r="AE15" s="2"/>
      <x:c r="AF15" s="2"/>
      <x:c r="AG15" s="2"/>
      <x:c r="AH15" s="2"/>
      <x:c r="AI15" s="4"/>
      <x:c r="AJ15" s="2"/>
      <x:c r="AK15" s="2" t="s">
        <x:v>106</x:v>
      </x:c>
      <x:c r="AL15" s="2" t="s">
        <x:v>3061</x:v>
      </x:c>
      <x:c r="AM15" s="2">
        <x:v>15</x:v>
      </x:c>
      <x:c r="AN15" s="2">
        <x:v>15</x:v>
      </x:c>
    </x:row>
    <x:row r="16" ht="39">
      <x:c r="A16" s="2" t="s">
        <x:v>6</x:v>
      </x:c>
      <x:c r="B16" s="2" t="s">
        <x:v>13</x:v>
      </x:c>
      <x:c r="C16" s="3">
        <x:v>14</x:v>
      </x:c>
      <x:c r="D16" s="2" t="s">
        <x:v>592</x:v>
      </x:c>
      <x:c r="E16" s="2" t="s">
        <x:v>593</x:v>
      </x:c>
      <x:c r="F16" s="2" t="s">
        <x:v>589</x:v>
      </x:c>
      <x:c r="G16" s="2"/>
      <x:c r="H16" s="2" t="s">
        <x:v>96</x:v>
      </x:c>
      <x:c r="I16" s="2" t="s">
        <x:v>594</x:v>
      </x:c>
      <x:c r="J16" s="2" t="s">
        <x:v>98</x:v>
      </x:c>
      <x:c r="K16" s="2"/>
      <x:c r="L16" s="2" t="s">
        <x:v>595</x:v>
      </x:c>
      <x:c r="M16" s="2" t="s">
        <x:v>113</x:v>
      </x:c>
      <x:c r="N16" s="2">
        <x:v>1</x:v>
      </x:c>
      <x:c r="O16" s="2" t="s">
        <x:v>101</x:v>
      </x:c>
      <x:c r="P16" s="2" t="s">
        <x:v>114</x:v>
      </x:c>
      <x:c r="Q16" s="2"/>
      <x:c r="R16" s="3">
        <x:v>4</x:v>
      </x:c>
      <x:c r="S16" s="3">
        <x:v>1</x:v>
      </x:c>
      <x:c r="T16" s="2" t="s">
        <x:v>103</x:v>
      </x:c>
      <x:c r="U16" s="2" t="s">
        <x:v>115</x:v>
      </x:c>
      <x:c r="V16" s="2" t="s">
        <x:v>123</x:v>
      </x:c>
      <x:c r="W16" s="2"/>
      <x:c r="X16" s="3"/>
      <x:c r="Y16" s="3"/>
      <x:c r="Z16" s="2"/>
      <x:c r="AA16" s="2"/>
      <x:c r="AB16" s="2"/>
      <x:c r="AC16" s="2"/>
      <x:c r="AD16" s="2"/>
      <x:c r="AE16" s="2"/>
      <x:c r="AF16" s="2"/>
      <x:c r="AG16" s="2"/>
      <x:c r="AH16" s="2"/>
      <x:c r="AI16" s="4"/>
      <x:c r="AJ16" s="2"/>
      <x:c r="AK16" s="2" t="s">
        <x:v>106</x:v>
      </x:c>
      <x:c r="AL16" s="2" t="s">
        <x:v>3061</x:v>
      </x:c>
      <x:c r="AM16" s="2">
        <x:v>16</x:v>
      </x:c>
      <x:c r="AN16" s="2">
        <x:v>16</x:v>
      </x:c>
    </x:row>
    <x:row r="17" ht="39">
      <x:c r="A17" s="2" t="s">
        <x:v>6</x:v>
      </x:c>
      <x:c r="B17" s="2" t="s">
        <x:v>13</x:v>
      </x:c>
      <x:c r="C17" s="3">
        <x:v>15</x:v>
      </x:c>
      <x:c r="D17" s="2" t="s">
        <x:v>596</x:v>
      </x:c>
      <x:c r="E17" s="2" t="s">
        <x:v>597</x:v>
      </x:c>
      <x:c r="F17" s="2" t="s">
        <x:v>118</x:v>
      </x:c>
      <x:c r="G17" s="2"/>
      <x:c r="H17" s="2" t="s">
        <x:v>96</x:v>
      </x:c>
      <x:c r="I17" s="2" t="s">
        <x:v>598</x:v>
      </x:c>
      <x:c r="J17" s="2" t="s">
        <x:v>98</x:v>
      </x:c>
      <x:c r="K17" s="2"/>
      <x:c r="L17" s="2" t="s">
        <x:v>599</x:v>
      </x:c>
      <x:c r="M17" s="2" t="s">
        <x:v>113</x:v>
      </x:c>
      <x:c r="N17" s="2">
        <x:v>1</x:v>
      </x:c>
      <x:c r="O17" s="2" t="s">
        <x:v>101</x:v>
      </x:c>
      <x:c r="P17" s="2" t="s">
        <x:v>147</x:v>
      </x:c>
      <x:c r="Q17" s="2"/>
      <x:c r="R17" s="3">
        <x:v>2</x:v>
      </x:c>
      <x:c r="S17" s="3">
        <x:v>1</x:v>
      </x:c>
      <x:c r="T17" s="2" t="s">
        <x:v>103</x:v>
      </x:c>
      <x:c r="U17" s="2" t="s">
        <x:v>115</x:v>
      </x:c>
      <x:c r="V17" s="2" t="s">
        <x:v>123</x:v>
      </x:c>
      <x:c r="W17" s="2"/>
      <x:c r="X17" s="3"/>
      <x:c r="Y17" s="3"/>
      <x:c r="Z17" s="2"/>
      <x:c r="AA17" s="2"/>
      <x:c r="AB17" s="2"/>
      <x:c r="AC17" s="2"/>
      <x:c r="AD17" s="2"/>
      <x:c r="AE17" s="2"/>
      <x:c r="AF17" s="2"/>
      <x:c r="AG17" s="2"/>
      <x:c r="AH17" s="2"/>
      <x:c r="AI17" s="4"/>
      <x:c r="AJ17" s="2"/>
      <x:c r="AK17" s="2" t="s">
        <x:v>106</x:v>
      </x:c>
      <x:c r="AL17" s="2" t="s">
        <x:v>3061</x:v>
      </x:c>
      <x:c r="AM17" s="2">
        <x:v>17</x:v>
      </x:c>
      <x:c r="AN17" s="2">
        <x:v>17</x:v>
      </x:c>
    </x:row>
    <x:row r="18" ht="39">
      <x:c r="A18" s="2" t="s">
        <x:v>6</x:v>
      </x:c>
      <x:c r="B18" s="2" t="s">
        <x:v>13</x:v>
      </x:c>
      <x:c r="C18" s="3">
        <x:v>16</x:v>
      </x:c>
      <x:c r="D18" s="2" t="s">
        <x:v>600</x:v>
      </x:c>
      <x:c r="E18" s="2" t="s">
        <x:v>601</x:v>
      </x:c>
      <x:c r="F18" s="2" t="s">
        <x:v>139</x:v>
      </x:c>
      <x:c r="G18" s="2"/>
      <x:c r="H18" s="2" t="s">
        <x:v>96</x:v>
      </x:c>
      <x:c r="I18" s="2" t="s">
        <x:v>603</x:v>
      </x:c>
      <x:c r="J18" s="2" t="s">
        <x:v>98</x:v>
      </x:c>
      <x:c r="K18" s="2"/>
      <x:c r="L18" s="2" t="s">
        <x:v>604</x:v>
      </x:c>
      <x:c r="M18" s="2" t="s">
        <x:v>113</x:v>
      </x:c>
      <x:c r="N18" s="2">
        <x:v>1</x:v>
      </x:c>
      <x:c r="O18" s="2" t="s">
        <x:v>101</x:v>
      </x:c>
      <x:c r="P18" s="2" t="s">
        <x:v>147</x:v>
      </x:c>
      <x:c r="Q18" s="2"/>
      <x:c r="R18" s="3">
        <x:v>4</x:v>
      </x:c>
      <x:c r="S18" s="3">
        <x:v>1</x:v>
      </x:c>
      <x:c r="T18" s="2" t="s">
        <x:v>103</x:v>
      </x:c>
      <x:c r="U18" s="2" t="s">
        <x:v>129</x:v>
      </x:c>
      <x:c r="V18" s="2" t="s">
        <x:v>136</x:v>
      </x:c>
      <x:c r="W18" s="2"/>
      <x:c r="X18" s="3"/>
      <x:c r="Y18" s="3"/>
      <x:c r="Z18" s="2"/>
      <x:c r="AA18" s="2"/>
      <x:c r="AB18" s="2"/>
      <x:c r="AC18" s="2"/>
      <x:c r="AD18" s="2"/>
      <x:c r="AE18" s="2"/>
      <x:c r="AF18" s="2"/>
      <x:c r="AG18" s="2"/>
      <x:c r="AH18" s="2"/>
      <x:c r="AI18" s="4"/>
      <x:c r="AJ18" s="2"/>
      <x:c r="AK18" s="2" t="s">
        <x:v>106</x:v>
      </x:c>
      <x:c r="AL18" s="2" t="s">
        <x:v>3061</x:v>
      </x:c>
      <x:c r="AM18" s="2">
        <x:v>18</x:v>
      </x:c>
      <x:c r="AN18" s="2">
        <x:v>18</x:v>
      </x:c>
    </x:row>
    <x:row r="19" ht="39">
      <x:c r="A19" s="2" t="s">
        <x:v>6</x:v>
      </x:c>
      <x:c r="B19" s="2" t="s">
        <x:v>13</x:v>
      </x:c>
      <x:c r="C19" s="3">
        <x:v>17</x:v>
      </x:c>
      <x:c r="D19" s="2" t="s">
        <x:v>605</x:v>
      </x:c>
      <x:c r="E19" s="2" t="s">
        <x:v>606</x:v>
      </x:c>
      <x:c r="F19" s="2" t="s">
        <x:v>139</x:v>
      </x:c>
      <x:c r="G19" s="2"/>
      <x:c r="H19" s="2" t="s">
        <x:v>96</x:v>
      </x:c>
      <x:c r="I19" s="2" t="s">
        <x:v>607</x:v>
      </x:c>
      <x:c r="J19" s="2" t="s">
        <x:v>98</x:v>
      </x:c>
      <x:c r="K19" s="2"/>
      <x:c r="L19" s="2" t="s">
        <x:v>608</x:v>
      </x:c>
      <x:c r="M19" s="2" t="s">
        <x:v>113</x:v>
      </x:c>
      <x:c r="N19" s="2">
        <x:v>1</x:v>
      </x:c>
      <x:c r="O19" s="2" t="s">
        <x:v>101</x:v>
      </x:c>
      <x:c r="P19" s="2" t="s">
        <x:v>147</x:v>
      </x:c>
      <x:c r="Q19" s="2"/>
      <x:c r="R19" s="3">
        <x:v>3</x:v>
      </x:c>
      <x:c r="S19" s="3">
        <x:v>1</x:v>
      </x:c>
      <x:c r="T19" s="2" t="s">
        <x:v>103</x:v>
      </x:c>
      <x:c r="U19" s="2" t="s">
        <x:v>115</x:v>
      </x:c>
      <x:c r="V19" s="2" t="s">
        <x:v>136</x:v>
      </x:c>
      <x:c r="W19" s="2"/>
      <x:c r="X19" s="3"/>
      <x:c r="Y19" s="3"/>
      <x:c r="Z19" s="2"/>
      <x:c r="AA19" s="2"/>
      <x:c r="AB19" s="2"/>
      <x:c r="AC19" s="2"/>
      <x:c r="AD19" s="2"/>
      <x:c r="AE19" s="2"/>
      <x:c r="AF19" s="2"/>
      <x:c r="AG19" s="2"/>
      <x:c r="AH19" s="2"/>
      <x:c r="AI19" s="4"/>
      <x:c r="AJ19" s="2"/>
      <x:c r="AK19" s="2" t="s">
        <x:v>106</x:v>
      </x:c>
      <x:c r="AL19" s="2" t="s">
        <x:v>3061</x:v>
      </x:c>
      <x:c r="AM19" s="2">
        <x:v>19</x:v>
      </x:c>
      <x:c r="AN19" s="2">
        <x:v>19</x:v>
      </x:c>
    </x:row>
    <x:row r="20" ht="65">
      <x:c r="A20" s="2" t="s">
        <x:v>6</x:v>
      </x:c>
      <x:c r="B20" s="2" t="s">
        <x:v>13</x:v>
      </x:c>
      <x:c r="C20" s="3">
        <x:v>18</x:v>
      </x:c>
      <x:c r="D20" s="2" t="s">
        <x:v>609</x:v>
      </x:c>
      <x:c r="E20" s="2" t="s">
        <x:v>610</x:v>
      </x:c>
      <x:c r="F20" s="2" t="s">
        <x:v>150</x:v>
      </x:c>
      <x:c r="G20" s="2"/>
      <x:c r="H20" s="2" t="s">
        <x:v>96</x:v>
      </x:c>
      <x:c r="I20" s="2" t="s">
        <x:v>611</x:v>
      </x:c>
      <x:c r="J20" s="2" t="s">
        <x:v>98</x:v>
      </x:c>
      <x:c r="K20" s="2"/>
      <x:c r="L20" s="2" t="s">
        <x:v>612</x:v>
      </x:c>
      <x:c r="M20" s="2" t="s">
        <x:v>100</x:v>
      </x:c>
      <x:c r="N20" s="2">
        <x:v>1</x:v>
      </x:c>
      <x:c r="O20" s="2" t="s">
        <x:v>101</x:v>
      </x:c>
      <x:c r="P20" s="2" t="s">
        <x:v>102</x:v>
      </x:c>
      <x:c r="Q20" s="2"/>
      <x:c r="R20" s="3">
        <x:v>4</x:v>
      </x:c>
      <x:c r="S20" s="3">
        <x:v>1</x:v>
      </x:c>
      <x:c r="T20" s="2" t="s">
        <x:v>103</x:v>
      </x:c>
      <x:c r="U20" s="2" t="s">
        <x:v>122</x:v>
      </x:c>
      <x:c r="V20" s="2" t="s">
        <x:v>154</x:v>
      </x:c>
      <x:c r="W20" s="2"/>
      <x:c r="X20" s="3"/>
      <x:c r="Y20" s="3"/>
      <x:c r="Z20" s="2"/>
      <x:c r="AA20" s="2"/>
      <x:c r="AB20" s="2"/>
      <x:c r="AC20" s="2"/>
      <x:c r="AD20" s="2"/>
      <x:c r="AE20" s="2"/>
      <x:c r="AF20" s="2"/>
      <x:c r="AG20" s="2"/>
      <x:c r="AH20" s="2"/>
      <x:c r="AI20" s="4"/>
      <x:c r="AJ20" s="2"/>
      <x:c r="AK20" s="2" t="s">
        <x:v>106</x:v>
      </x:c>
      <x:c r="AL20" s="2" t="s">
        <x:v>3061</x:v>
      </x:c>
      <x:c r="AM20" s="2">
        <x:v>20</x:v>
      </x:c>
      <x:c r="AN20" s="2">
        <x:v>20</x:v>
      </x:c>
    </x:row>
    <x:row r="21" ht="65">
      <x:c r="A21" s="2" t="s">
        <x:v>6</x:v>
      </x:c>
      <x:c r="B21" s="2" t="s">
        <x:v>13</x:v>
      </x:c>
      <x:c r="C21" s="3">
        <x:v>19</x:v>
      </x:c>
      <x:c r="D21" s="2" t="s">
        <x:v>155</x:v>
      </x:c>
      <x:c r="E21" s="2" t="s">
        <x:v>613</x:v>
      </x:c>
      <x:c r="F21" s="2" t="s">
        <x:v>157</x:v>
      </x:c>
      <x:c r="G21" s="2"/>
      <x:c r="H21" s="2" t="s">
        <x:v>96</x:v>
      </x:c>
      <x:c r="I21" s="2" t="s">
        <x:v>614</x:v>
      </x:c>
      <x:c r="J21" s="2" t="s">
        <x:v>98</x:v>
      </x:c>
      <x:c r="K21" s="2"/>
      <x:c r="L21" s="2" t="s">
        <x:v>615</x:v>
      </x:c>
      <x:c r="M21" s="2" t="s">
        <x:v>100</x:v>
      </x:c>
      <x:c r="N21" s="2">
        <x:v>1</x:v>
      </x:c>
      <x:c r="O21" s="2" t="s">
        <x:v>101</x:v>
      </x:c>
      <x:c r="P21" s="2" t="s">
        <x:v>102</x:v>
      </x:c>
      <x:c r="Q21" s="2"/>
      <x:c r="R21" s="3">
        <x:v>4</x:v>
      </x:c>
      <x:c r="S21" s="3">
        <x:v>1</x:v>
      </x:c>
      <x:c r="T21" s="2" t="s">
        <x:v>103</x:v>
      </x:c>
      <x:c r="U21" s="2" t="s">
        <x:v>104</x:v>
      </x:c>
      <x:c r="V21" s="2" t="s">
        <x:v>154</x:v>
      </x:c>
      <x:c r="W21" s="2"/>
      <x:c r="X21" s="3"/>
      <x:c r="Y21" s="3"/>
      <x:c r="Z21" s="2"/>
      <x:c r="AA21" s="2"/>
      <x:c r="AB21" s="2"/>
      <x:c r="AC21" s="2"/>
      <x:c r="AD21" s="2"/>
      <x:c r="AE21" s="2"/>
      <x:c r="AF21" s="2"/>
      <x:c r="AG21" s="2"/>
      <x:c r="AH21" s="2"/>
      <x:c r="AI21" s="4"/>
      <x:c r="AJ21" s="2"/>
      <x:c r="AK21" s="2" t="s">
        <x:v>106</x:v>
      </x:c>
      <x:c r="AL21" s="2" t="s">
        <x:v>3061</x:v>
      </x:c>
      <x:c r="AM21" s="2">
        <x:v>21</x:v>
      </x:c>
      <x:c r="AN21" s="2">
        <x:v>21</x:v>
      </x:c>
    </x:row>
    <x:row r="22" ht="39">
      <x:c r="A22" s="2" t="s">
        <x:v>91</x:v>
      </x:c>
      <x:c r="B22" s="2" t="s">
        <x:v>13</x:v>
      </x:c>
      <x:c r="C22" s="3">
        <x:v>20</x:v>
      </x:c>
      <x:c r="D22" s="2" t="s">
        <x:v>616</x:v>
      </x:c>
      <x:c r="E22" s="2" t="s">
        <x:v>617</x:v>
      </x:c>
      <x:c r="F22" s="2" t="s">
        <x:v>94</x:v>
      </x:c>
      <x:c r="G22" s="2" t="s">
        <x:v>3062</x:v>
      </x:c>
      <x:c r="H22" s="2" t="s">
        <x:v>618</x:v>
      </x:c>
      <x:c r="I22" s="2" t="s">
        <x:v>619</x:v>
      </x:c>
      <x:c r="J22" s="2" t="s">
        <x:v>620</x:v>
      </x:c>
      <x:c r="K22" s="2"/>
      <x:c r="L22" s="2" t="s">
        <x:v>621</x:v>
      </x:c>
      <x:c r="M22" s="2" t="s">
        <x:v>622</x:v>
      </x:c>
      <x:c r="N22" s="2">
        <x:v>2</x:v>
      </x:c>
      <x:c r="O22" s="2" t="s">
        <x:v>623</x:v>
      </x:c>
      <x:c r="P22" s="2" t="s">
        <x:v>624</x:v>
      </x:c>
      <x:c r="Q22" s="2"/>
      <x:c r="R22" s="3">
        <x:v>2</x:v>
      </x:c>
      <x:c r="S22" s="3">
        <x:v>1</x:v>
      </x:c>
      <x:c r="T22" s="2" t="s">
        <x:v>103</x:v>
      </x:c>
      <x:c r="U22" s="2" t="s">
        <x:v>129</x:v>
      </x:c>
      <x:c r="V22" s="2" t="s">
        <x:v>105</x:v>
      </x:c>
      <x:c r="W22" s="2"/>
      <x:c r="X22" s="3"/>
      <x:c r="Y22" s="3"/>
      <x:c r="Z22" s="2"/>
      <x:c r="AA22" s="2"/>
      <x:c r="AB22" s="2"/>
      <x:c r="AC22" s="2"/>
      <x:c r="AD22" s="2"/>
      <x:c r="AE22" s="2"/>
      <x:c r="AF22" s="2"/>
      <x:c r="AG22" s="2"/>
      <x:c r="AH22" s="2"/>
      <x:c r="AI22" s="4"/>
      <x:c r="AJ22" s="2"/>
      <x:c r="AK22" s="2" t="s">
        <x:v>106</x:v>
      </x:c>
      <x:c r="AL22" s="2" t="s">
        <x:v>3061</x:v>
      </x:c>
      <x:c r="AM22" s="2">
        <x:v>22</x:v>
      </x:c>
      <x:c r="AN22" s="2">
        <x:v>22</x:v>
      </x:c>
    </x:row>
    <x:row r="23" ht="52">
      <x:c r="A23" s="2" t="s">
        <x:v>6</x:v>
      </x:c>
      <x:c r="B23" s="2" t="s">
        <x:v>13</x:v>
      </x:c>
      <x:c r="C23" s="3">
        <x:v>21</x:v>
      </x:c>
      <x:c r="D23" s="2" t="s">
        <x:v>625</x:v>
      </x:c>
      <x:c r="E23" s="2" t="s">
        <x:v>626</x:v>
      </x:c>
      <x:c r="F23" s="2" t="s">
        <x:v>94</x:v>
      </x:c>
      <x:c r="G23" s="2"/>
      <x:c r="H23" s="2" t="s">
        <x:v>627</x:v>
      </x:c>
      <x:c r="I23" s="2" t="s">
        <x:v>619</x:v>
      </x:c>
      <x:c r="J23" s="2" t="s">
        <x:v>628</x:v>
      </x:c>
      <x:c r="K23" s="2" t="n">
        <x:v>20</x:v>
      </x:c>
      <x:c r="L23" s="2">
        <x:v>35</x:v>
      </x:c>
      <x:c r="M23" s="2" t="s">
        <x:v>629</x:v>
      </x:c>
      <x:c r="N23" s="2">
        <x:v>2</x:v>
      </x:c>
      <x:c r="O23" s="2" t="s">
        <x:v>630</x:v>
      </x:c>
      <x:c r="P23" s="2" t="s">
        <x:v>631</x:v>
      </x:c>
      <x:c r="Q23" s="2"/>
      <x:c r="R23" s="3">
        <x:v>2</x:v>
      </x:c>
      <x:c r="S23" s="3">
        <x:v>1</x:v>
      </x:c>
      <x:c r="T23" s="2" t="s">
        <x:v>103</x:v>
      </x:c>
      <x:c r="U23" s="2" t="s">
        <x:v>632</x:v>
      </x:c>
      <x:c r="V23" s="2" t="s">
        <x:v>105</x:v>
      </x:c>
      <x:c r="W23" s="2"/>
      <x:c r="X23" s="3"/>
      <x:c r="Y23" s="3"/>
      <x:c r="Z23" s="2"/>
      <x:c r="AA23" s="2"/>
      <x:c r="AB23" s="2"/>
      <x:c r="AC23" s="2"/>
      <x:c r="AD23" s="2"/>
      <x:c r="AE23" s="2"/>
      <x:c r="AF23" s="2"/>
      <x:c r="AG23" s="2"/>
      <x:c r="AH23" s="2"/>
      <x:c r="AI23" s="4"/>
      <x:c r="AJ23" s="2"/>
      <x:c r="AK23" s="2" t="s">
        <x:v>106</x:v>
      </x:c>
      <x:c r="AL23" s="2" t="s">
        <x:v>3061</x:v>
      </x:c>
      <x:c r="AM23" s="2">
        <x:v>23</x:v>
      </x:c>
      <x:c r="AN23" s="2">
        <x:v>23</x:v>
      </x:c>
    </x:row>
    <x:row r="24" ht="52">
      <x:c r="A24" s="2" t="s">
        <x:v>91</x:v>
      </x:c>
      <x:c r="B24" s="2" t="s">
        <x:v>13</x:v>
      </x:c>
      <x:c r="C24" s="3">
        <x:v>22</x:v>
      </x:c>
      <x:c r="D24" s="2" t="s">
        <x:v>633</x:v>
      </x:c>
      <x:c r="E24" s="2" t="s">
        <x:v>617</x:v>
      </x:c>
      <x:c r="F24" s="2" t="s">
        <x:v>94</x:v>
      </x:c>
      <x:c r="G24" s="2" t="s">
        <x:v>602</x:v>
      </x:c>
      <x:c r="H24" s="2" t="s">
        <x:v>634</x:v>
      </x:c>
      <x:c r="I24" s="2" t="s">
        <x:v>619</x:v>
      </x:c>
      <x:c r="J24" s="2" t="s">
        <x:v>635</x:v>
      </x:c>
      <x:c r="K24" s="2" t="n">
        <x:v>20</x:v>
      </x:c>
      <x:c r="L24" s="2" t="s">
        <x:v>621</x:v>
      </x:c>
      <x:c r="M24" s="2" t="s">
        <x:v>636</x:v>
      </x:c>
      <x:c r="N24" s="2">
        <x:v>2</x:v>
      </x:c>
      <x:c r="O24" s="2" t="s">
        <x:v>637</x:v>
      </x:c>
      <x:c r="P24" s="2" t="s">
        <x:v>638</x:v>
      </x:c>
      <x:c r="Q24" s="2"/>
      <x:c r="R24" s="3">
        <x:v>2</x:v>
      </x:c>
      <x:c r="S24" s="3">
        <x:v>1</x:v>
      </x:c>
      <x:c r="T24" s="2" t="s">
        <x:v>103</x:v>
      </x:c>
      <x:c r="U24" s="2" t="s">
        <x:v>129</x:v>
      </x:c>
      <x:c r="V24" s="2" t="s">
        <x:v>105</x:v>
      </x:c>
      <x:c r="W24" s="2"/>
      <x:c r="X24" s="3"/>
      <x:c r="Y24" s="3"/>
      <x:c r="Z24" s="2"/>
      <x:c r="AA24" s="2"/>
      <x:c r="AB24" s="2"/>
      <x:c r="AC24" s="2"/>
      <x:c r="AD24" s="2"/>
      <x:c r="AE24" s="2"/>
      <x:c r="AF24" s="2"/>
      <x:c r="AG24" s="2"/>
      <x:c r="AH24" s="2"/>
      <x:c r="AI24" s="4"/>
      <x:c r="AJ24" s="2"/>
      <x:c r="AK24" s="2" t="s">
        <x:v>106</x:v>
      </x:c>
      <x:c r="AL24" s="2" t="s">
        <x:v>3061</x:v>
      </x:c>
      <x:c r="AM24" s="2">
        <x:v>24</x:v>
      </x:c>
      <x:c r="AN24" s="2">
        <x:v>24</x:v>
      </x:c>
    </x:row>
    <x:row r="25" ht="39">
      <x:c r="A25" s="2" t="s">
        <x:v>6</x:v>
      </x:c>
      <x:c r="B25" s="2" t="s">
        <x:v>13</x:v>
      </x:c>
      <x:c r="C25" s="3">
        <x:v>23</x:v>
      </x:c>
      <x:c r="D25" s="2" t="s">
        <x:v>639</x:v>
      </x:c>
      <x:c r="E25" s="2" t="s">
        <x:v>626</x:v>
      </x:c>
      <x:c r="F25" s="2" t="s">
        <x:v>94</x:v>
      </x:c>
      <x:c r="G25" s="2"/>
      <x:c r="H25" s="2" t="s">
        <x:v>634</x:v>
      </x:c>
      <x:c r="I25" s="2" t="s">
        <x:v>619</x:v>
      </x:c>
      <x:c r="J25" s="2" t="s">
        <x:v>640</x:v>
      </x:c>
      <x:c r="K25" s="2" t="n">
        <x:v>20</x:v>
      </x:c>
      <x:c r="L25" s="2">
        <x:v>35</x:v>
      </x:c>
      <x:c r="M25" s="2" t="s">
        <x:v>641</x:v>
      </x:c>
      <x:c r="N25" s="2">
        <x:v>2</x:v>
      </x:c>
      <x:c r="O25" s="2" t="s">
        <x:v>642</x:v>
      </x:c>
      <x:c r="P25" s="2" t="s">
        <x:v>643</x:v>
      </x:c>
      <x:c r="Q25" s="2"/>
      <x:c r="R25" s="3">
        <x:v>2</x:v>
      </x:c>
      <x:c r="S25" s="3">
        <x:v>1</x:v>
      </x:c>
      <x:c r="T25" s="2" t="s">
        <x:v>103</x:v>
      </x:c>
      <x:c r="U25" s="2" t="s">
        <x:v>632</x:v>
      </x:c>
      <x:c r="V25" s="2" t="s">
        <x:v>105</x:v>
      </x:c>
      <x:c r="W25" s="2"/>
      <x:c r="X25" s="3"/>
      <x:c r="Y25" s="3"/>
      <x:c r="Z25" s="2"/>
      <x:c r="AA25" s="2"/>
      <x:c r="AB25" s="2"/>
      <x:c r="AC25" s="2"/>
      <x:c r="AD25" s="2"/>
      <x:c r="AE25" s="2"/>
      <x:c r="AF25" s="2"/>
      <x:c r="AG25" s="2"/>
      <x:c r="AH25" s="2"/>
      <x:c r="AI25" s="4"/>
      <x:c r="AJ25" s="2"/>
      <x:c r="AK25" s="2" t="s">
        <x:v>106</x:v>
      </x:c>
      <x:c r="AL25" s="2" t="s">
        <x:v>3061</x:v>
      </x:c>
      <x:c r="AM25" s="2">
        <x:v>25</x:v>
      </x:c>
      <x:c r="AN25" s="2">
        <x:v>25</x:v>
      </x:c>
    </x:row>
    <x:row r="26" ht="65">
      <x:c r="A26" s="2" t="s">
        <x:v>6</x:v>
      </x:c>
      <x:c r="B26" s="2" t="s">
        <x:v>13</x:v>
      </x:c>
      <x:c r="C26" s="3">
        <x:v>24</x:v>
      </x:c>
      <x:c r="D26" s="2" t="s">
        <x:v>644</x:v>
      </x:c>
      <x:c r="E26" s="2" t="s">
        <x:v>645</x:v>
      </x:c>
      <x:c r="F26" s="2" t="s">
        <x:v>118</x:v>
      </x:c>
      <x:c r="G26" s="2"/>
      <x:c r="H26" s="2" t="s">
        <x:v>618</x:v>
      </x:c>
      <x:c r="I26" s="2" t="s">
        <x:v>646</x:v>
      </x:c>
      <x:c r="J26" s="2" t="s">
        <x:v>620</x:v>
      </x:c>
      <x:c r="K26" s="2"/>
      <x:c r="L26" s="2" t="s">
        <x:v>647</x:v>
      </x:c>
      <x:c r="M26" s="2" t="s">
        <x:v>648</x:v>
      </x:c>
      <x:c r="N26" s="2">
        <x:v>2</x:v>
      </x:c>
      <x:c r="O26" s="2" t="s">
        <x:v>623</x:v>
      </x:c>
      <x:c r="P26" s="2" t="s">
        <x:v>649</x:v>
      </x:c>
      <x:c r="Q26" s="2"/>
      <x:c r="R26" s="3">
        <x:v>3</x:v>
      </x:c>
      <x:c r="S26" s="3">
        <x:v>1</x:v>
      </x:c>
      <x:c r="T26" s="2" t="s">
        <x:v>103</x:v>
      </x:c>
      <x:c r="U26" s="2" t="s">
        <x:v>104</x:v>
      </x:c>
      <x:c r="V26" s="2" t="s">
        <x:v>123</x:v>
      </x:c>
      <x:c r="W26" s="2"/>
      <x:c r="X26" s="3"/>
      <x:c r="Y26" s="3"/>
      <x:c r="Z26" s="2"/>
      <x:c r="AA26" s="2"/>
      <x:c r="AB26" s="2"/>
      <x:c r="AC26" s="2"/>
      <x:c r="AD26" s="2"/>
      <x:c r="AE26" s="2"/>
      <x:c r="AF26" s="2"/>
      <x:c r="AG26" s="2"/>
      <x:c r="AH26" s="2"/>
      <x:c r="AI26" s="4"/>
      <x:c r="AJ26" s="2"/>
      <x:c r="AK26" s="2" t="s">
        <x:v>106</x:v>
      </x:c>
      <x:c r="AL26" s="2" t="s">
        <x:v>3061</x:v>
      </x:c>
      <x:c r="AM26" s="2">
        <x:v>26</x:v>
      </x:c>
      <x:c r="AN26" s="2">
        <x:v>26</x:v>
      </x:c>
    </x:row>
    <x:row r="27" ht="65">
      <x:c r="A27" s="2" t="s">
        <x:v>6</x:v>
      </x:c>
      <x:c r="B27" s="2" t="s">
        <x:v>13</x:v>
      </x:c>
      <x:c r="C27" s="3">
        <x:v>25</x:v>
      </x:c>
      <x:c r="D27" s="2" t="s">
        <x:v>650</x:v>
      </x:c>
      <x:c r="E27" s="2" t="s">
        <x:v>651</x:v>
      </x:c>
      <x:c r="F27" s="2" t="s">
        <x:v>118</x:v>
      </x:c>
      <x:c r="G27" s="2"/>
      <x:c r="H27" s="2" t="s">
        <x:v>627</x:v>
      </x:c>
      <x:c r="I27" s="2" t="s">
        <x:v>646</x:v>
      </x:c>
      <x:c r="J27" s="2" t="s">
        <x:v>628</x:v>
      </x:c>
      <x:c r="K27" s="2" t="n">
        <x:v>24</x:v>
      </x:c>
      <x:c r="L27" s="2">
        <x:v>64</x:v>
      </x:c>
      <x:c r="M27" s="2" t="s">
        <x:v>652</x:v>
      </x:c>
      <x:c r="N27" s="2">
        <x:v>2</x:v>
      </x:c>
      <x:c r="O27" s="2" t="s">
        <x:v>653</x:v>
      </x:c>
      <x:c r="P27" s="2" t="s">
        <x:v>654</x:v>
      </x:c>
      <x:c r="Q27" s="2"/>
      <x:c r="R27" s="3">
        <x:v>3</x:v>
      </x:c>
      <x:c r="S27" s="3">
        <x:v>1</x:v>
      </x:c>
      <x:c r="T27" s="2" t="s">
        <x:v>103</x:v>
      </x:c>
      <x:c r="U27" s="2" t="s">
        <x:v>632</x:v>
      </x:c>
      <x:c r="V27" s="2" t="s">
        <x:v>123</x:v>
      </x:c>
      <x:c r="W27" s="2"/>
      <x:c r="X27" s="3"/>
      <x:c r="Y27" s="3"/>
      <x:c r="Z27" s="2"/>
      <x:c r="AA27" s="2"/>
      <x:c r="AB27" s="2"/>
      <x:c r="AC27" s="2"/>
      <x:c r="AD27" s="2"/>
      <x:c r="AE27" s="2"/>
      <x:c r="AF27" s="2"/>
      <x:c r="AG27" s="2"/>
      <x:c r="AH27" s="2"/>
      <x:c r="AI27" s="4"/>
      <x:c r="AJ27" s="2"/>
      <x:c r="AK27" s="2" t="s">
        <x:v>106</x:v>
      </x:c>
      <x:c r="AL27" s="2" t="s">
        <x:v>3061</x:v>
      </x:c>
      <x:c r="AM27" s="2">
        <x:v>27</x:v>
      </x:c>
      <x:c r="AN27" s="2">
        <x:v>27</x:v>
      </x:c>
    </x:row>
    <x:row r="28" ht="65">
      <x:c r="A28" s="2" t="s">
        <x:v>6</x:v>
      </x:c>
      <x:c r="B28" s="2" t="s">
        <x:v>13</x:v>
      </x:c>
      <x:c r="C28" s="3">
        <x:v>26</x:v>
      </x:c>
      <x:c r="D28" s="2" t="s">
        <x:v>655</x:v>
      </x:c>
      <x:c r="E28" s="2" t="s">
        <x:v>645</x:v>
      </x:c>
      <x:c r="F28" s="2" t="s">
        <x:v>118</x:v>
      </x:c>
      <x:c r="G28" s="2"/>
      <x:c r="H28" s="2" t="s">
        <x:v>634</x:v>
      </x:c>
      <x:c r="I28" s="2" t="s">
        <x:v>646</x:v>
      </x:c>
      <x:c r="J28" s="2" t="s">
        <x:v>635</x:v>
      </x:c>
      <x:c r="K28" s="2" t="n">
        <x:v>24</x:v>
      </x:c>
      <x:c r="L28" s="2" t="s">
        <x:v>647</x:v>
      </x:c>
      <x:c r="M28" s="2" t="s">
        <x:v>656</x:v>
      </x:c>
      <x:c r="N28" s="2">
        <x:v>2</x:v>
      </x:c>
      <x:c r="O28" s="2" t="s">
        <x:v>637</x:v>
      </x:c>
      <x:c r="P28" s="2" t="s">
        <x:v>657</x:v>
      </x:c>
      <x:c r="Q28" s="2"/>
      <x:c r="R28" s="3">
        <x:v>3</x:v>
      </x:c>
      <x:c r="S28" s="3">
        <x:v>1</x:v>
      </x:c>
      <x:c r="T28" s="2" t="s">
        <x:v>103</x:v>
      </x:c>
      <x:c r="U28" s="2" t="s">
        <x:v>104</x:v>
      </x:c>
      <x:c r="V28" s="2" t="s">
        <x:v>123</x:v>
      </x:c>
      <x:c r="W28" s="2"/>
      <x:c r="X28" s="3"/>
      <x:c r="Y28" s="3"/>
      <x:c r="Z28" s="2"/>
      <x:c r="AA28" s="2"/>
      <x:c r="AB28" s="2"/>
      <x:c r="AC28" s="2"/>
      <x:c r="AD28" s="2"/>
      <x:c r="AE28" s="2"/>
      <x:c r="AF28" s="2"/>
      <x:c r="AG28" s="2"/>
      <x:c r="AH28" s="2"/>
      <x:c r="AI28" s="4"/>
      <x:c r="AJ28" s="2"/>
      <x:c r="AK28" s="2" t="s">
        <x:v>106</x:v>
      </x:c>
      <x:c r="AL28" s="2" t="s">
        <x:v>3061</x:v>
      </x:c>
      <x:c r="AM28" s="2">
        <x:v>28</x:v>
      </x:c>
      <x:c r="AN28" s="2">
        <x:v>28</x:v>
      </x:c>
    </x:row>
    <x:row r="29" ht="39">
      <x:c r="A29" s="2" t="s">
        <x:v>6</x:v>
      </x:c>
      <x:c r="B29" s="2" t="s">
        <x:v>13</x:v>
      </x:c>
      <x:c r="C29" s="3">
        <x:v>27</x:v>
      </x:c>
      <x:c r="D29" s="2" t="s">
        <x:v>658</x:v>
      </x:c>
      <x:c r="E29" s="2" t="s">
        <x:v>651</x:v>
      </x:c>
      <x:c r="F29" s="2" t="s">
        <x:v>118</x:v>
      </x:c>
      <x:c r="G29" s="2"/>
      <x:c r="H29" s="2" t="s">
        <x:v>634</x:v>
      </x:c>
      <x:c r="I29" s="2" t="s">
        <x:v>646</x:v>
      </x:c>
      <x:c r="J29" s="2" t="s">
        <x:v>640</x:v>
      </x:c>
      <x:c r="K29" s="2" t="n">
        <x:v>24</x:v>
      </x:c>
      <x:c r="L29" s="2">
        <x:v>64</x:v>
      </x:c>
      <x:c r="M29" s="2" t="s">
        <x:v>659</x:v>
      </x:c>
      <x:c r="N29" s="2">
        <x:v>2</x:v>
      </x:c>
      <x:c r="O29" s="2" t="s">
        <x:v>642</x:v>
      </x:c>
      <x:c r="P29" s="2" t="s">
        <x:v>643</x:v>
      </x:c>
      <x:c r="Q29" s="2"/>
      <x:c r="R29" s="3">
        <x:v>3</x:v>
      </x:c>
      <x:c r="S29" s="3">
        <x:v>1</x:v>
      </x:c>
      <x:c r="T29" s="2" t="s">
        <x:v>103</x:v>
      </x:c>
      <x:c r="U29" s="2" t="s">
        <x:v>632</x:v>
      </x:c>
      <x:c r="V29" s="2" t="s">
        <x:v>123</x:v>
      </x:c>
      <x:c r="W29" s="2"/>
      <x:c r="X29" s="3"/>
      <x:c r="Y29" s="3"/>
      <x:c r="Z29" s="2"/>
      <x:c r="AA29" s="2"/>
      <x:c r="AB29" s="2"/>
      <x:c r="AC29" s="2"/>
      <x:c r="AD29" s="2"/>
      <x:c r="AE29" s="2"/>
      <x:c r="AF29" s="2"/>
      <x:c r="AG29" s="2"/>
      <x:c r="AH29" s="2"/>
      <x:c r="AI29" s="4"/>
      <x:c r="AJ29" s="2"/>
      <x:c r="AK29" s="2" t="s">
        <x:v>106</x:v>
      </x:c>
      <x:c r="AL29" s="2" t="s">
        <x:v>3061</x:v>
      </x:c>
      <x:c r="AM29" s="2">
        <x:v>29</x:v>
      </x:c>
      <x:c r="AN29" s="2">
        <x:v>29</x:v>
      </x:c>
    </x:row>
    <x:row r="30" ht="39">
      <x:c r="A30" s="2" t="s">
        <x:v>91</x:v>
      </x:c>
      <x:c r="B30" s="2" t="s">
        <x:v>13</x:v>
      </x:c>
      <x:c r="C30" s="3">
        <x:v>28</x:v>
      </x:c>
      <x:c r="D30" s="2" t="s">
        <x:v>660</x:v>
      </x:c>
      <x:c r="E30" s="2" t="s">
        <x:v>661</x:v>
      </x:c>
      <x:c r="F30" s="2" t="s">
        <x:v>157</x:v>
      </x:c>
      <x:c r="G30" s="2" t="s">
        <x:v>3063</x:v>
      </x:c>
      <x:c r="H30" s="2" t="s">
        <x:v>618</x:v>
      </x:c>
      <x:c r="I30" s="2" t="s">
        <x:v>663</x:v>
      </x:c>
      <x:c r="J30" s="2" t="s">
        <x:v>620</x:v>
      </x:c>
      <x:c r="K30" s="2"/>
      <x:c r="L30" s="2" t="s">
        <x:v>664</x:v>
      </x:c>
      <x:c r="M30" s="2" t="s">
        <x:v>622</x:v>
      </x:c>
      <x:c r="N30" s="2">
        <x:v>2</x:v>
      </x:c>
      <x:c r="O30" s="2" t="s">
        <x:v>623</x:v>
      </x:c>
      <x:c r="P30" s="2" t="s">
        <x:v>624</x:v>
      </x:c>
      <x:c r="Q30" s="2"/>
      <x:c r="R30" s="3">
        <x:v>2</x:v>
      </x:c>
      <x:c r="S30" s="3">
        <x:v>1</x:v>
      </x:c>
      <x:c r="T30" s="2" t="s">
        <x:v>103</x:v>
      </x:c>
      <x:c r="U30" s="2" t="s">
        <x:v>115</x:v>
      </x:c>
      <x:c r="V30" s="2" t="s">
        <x:v>154</x:v>
      </x:c>
      <x:c r="W30" s="2"/>
      <x:c r="X30" s="3"/>
      <x:c r="Y30" s="3"/>
      <x:c r="Z30" s="2"/>
      <x:c r="AA30" s="2"/>
      <x:c r="AB30" s="2"/>
      <x:c r="AC30" s="2"/>
      <x:c r="AD30" s="2"/>
      <x:c r="AE30" s="2"/>
      <x:c r="AF30" s="2"/>
      <x:c r="AG30" s="2"/>
      <x:c r="AH30" s="2"/>
      <x:c r="AI30" s="4"/>
      <x:c r="AJ30" s="2"/>
      <x:c r="AK30" s="2" t="s">
        <x:v>106</x:v>
      </x:c>
      <x:c r="AL30" s="2" t="s">
        <x:v>3061</x:v>
      </x:c>
      <x:c r="AM30" s="2">
        <x:v>30</x:v>
      </x:c>
      <x:c r="AN30" s="2">
        <x:v>30</x:v>
      </x:c>
    </x:row>
    <x:row r="31" ht="52">
      <x:c r="A31" s="2" t="s">
        <x:v>6</x:v>
      </x:c>
      <x:c r="B31" s="2" t="s">
        <x:v>13</x:v>
      </x:c>
      <x:c r="C31" s="3">
        <x:v>29</x:v>
      </x:c>
      <x:c r="D31" s="2" t="s">
        <x:v>665</x:v>
      </x:c>
      <x:c r="E31" s="2" t="s">
        <x:v>666</x:v>
      </x:c>
      <x:c r="F31" s="2" t="s">
        <x:v>157</x:v>
      </x:c>
      <x:c r="G31" s="2"/>
      <x:c r="H31" s="2" t="s">
        <x:v>627</x:v>
      </x:c>
      <x:c r="I31" s="2" t="s">
        <x:v>663</x:v>
      </x:c>
      <x:c r="J31" s="2" t="s">
        <x:v>628</x:v>
      </x:c>
      <x:c r="K31" s="2" t="n">
        <x:v>28</x:v>
      </x:c>
      <x:c r="L31" s="2">
        <x:v>169</x:v>
      </x:c>
      <x:c r="M31" s="2" t="s">
        <x:v>667</x:v>
      </x:c>
      <x:c r="N31" s="2">
        <x:v>2</x:v>
      </x:c>
      <x:c r="O31" s="2" t="s">
        <x:v>668</x:v>
      </x:c>
      <x:c r="P31" s="2" t="s">
        <x:v>631</x:v>
      </x:c>
      <x:c r="Q31" s="2"/>
      <x:c r="R31" s="3">
        <x:v>2</x:v>
      </x:c>
      <x:c r="S31" s="3">
        <x:v>1</x:v>
      </x:c>
      <x:c r="T31" s="2" t="s">
        <x:v>103</x:v>
      </x:c>
      <x:c r="U31" s="2" t="s">
        <x:v>632</x:v>
      </x:c>
      <x:c r="V31" s="2" t="s">
        <x:v>154</x:v>
      </x:c>
      <x:c r="W31" s="2"/>
      <x:c r="X31" s="3"/>
      <x:c r="Y31" s="3"/>
      <x:c r="Z31" s="2"/>
      <x:c r="AA31" s="2"/>
      <x:c r="AB31" s="2"/>
      <x:c r="AC31" s="2"/>
      <x:c r="AD31" s="2"/>
      <x:c r="AE31" s="2"/>
      <x:c r="AF31" s="2"/>
      <x:c r="AG31" s="2"/>
      <x:c r="AH31" s="2"/>
      <x:c r="AI31" s="4"/>
      <x:c r="AJ31" s="2"/>
      <x:c r="AK31" s="2" t="s">
        <x:v>106</x:v>
      </x:c>
      <x:c r="AL31" s="2" t="s">
        <x:v>3061</x:v>
      </x:c>
      <x:c r="AM31" s="2">
        <x:v>31</x:v>
      </x:c>
      <x:c r="AN31" s="2">
        <x:v>31</x:v>
      </x:c>
    </x:row>
    <x:row r="32" ht="52">
      <x:c r="A32" s="2" t="s">
        <x:v>91</x:v>
      </x:c>
      <x:c r="B32" s="2" t="s">
        <x:v>13</x:v>
      </x:c>
      <x:c r="C32" s="3">
        <x:v>30</x:v>
      </x:c>
      <x:c r="D32" s="2" t="s">
        <x:v>669</x:v>
      </x:c>
      <x:c r="E32" s="2" t="s">
        <x:v>661</x:v>
      </x:c>
      <x:c r="F32" s="2" t="s">
        <x:v>157</x:v>
      </x:c>
      <x:c r="G32" s="2" t="s">
        <x:v>3063</x:v>
      </x:c>
      <x:c r="H32" s="2" t="s">
        <x:v>634</x:v>
      </x:c>
      <x:c r="I32" s="2" t="s">
        <x:v>663</x:v>
      </x:c>
      <x:c r="J32" s="2" t="s">
        <x:v>635</x:v>
      </x:c>
      <x:c r="K32" s="2" t="n">
        <x:v>28</x:v>
      </x:c>
      <x:c r="L32" s="2" t="s">
        <x:v>664</x:v>
      </x:c>
      <x:c r="M32" s="2" t="s">
        <x:v>636</x:v>
      </x:c>
      <x:c r="N32" s="2">
        <x:v>2</x:v>
      </x:c>
      <x:c r="O32" s="2" t="s">
        <x:v>637</x:v>
      </x:c>
      <x:c r="P32" s="2" t="s">
        <x:v>638</x:v>
      </x:c>
      <x:c r="Q32" s="2"/>
      <x:c r="R32" s="3">
        <x:v>2</x:v>
      </x:c>
      <x:c r="S32" s="3">
        <x:v>1</x:v>
      </x:c>
      <x:c r="T32" s="2" t="s">
        <x:v>103</x:v>
      </x:c>
      <x:c r="U32" s="2" t="s">
        <x:v>115</x:v>
      </x:c>
      <x:c r="V32" s="2" t="s">
        <x:v>154</x:v>
      </x:c>
      <x:c r="W32" s="2"/>
      <x:c r="X32" s="3"/>
      <x:c r="Y32" s="3"/>
      <x:c r="Z32" s="2"/>
      <x:c r="AA32" s="2"/>
      <x:c r="AB32" s="2"/>
      <x:c r="AC32" s="2"/>
      <x:c r="AD32" s="2"/>
      <x:c r="AE32" s="2"/>
      <x:c r="AF32" s="2"/>
      <x:c r="AG32" s="2"/>
      <x:c r="AH32" s="2"/>
      <x:c r="AI32" s="4"/>
      <x:c r="AJ32" s="2"/>
      <x:c r="AK32" s="2" t="s">
        <x:v>106</x:v>
      </x:c>
      <x:c r="AL32" s="2" t="s">
        <x:v>3061</x:v>
      </x:c>
      <x:c r="AM32" s="2">
        <x:v>32</x:v>
      </x:c>
      <x:c r="AN32" s="2">
        <x:v>32</x:v>
      </x:c>
    </x:row>
    <x:row r="33" ht="39">
      <x:c r="A33" s="2" t="s">
        <x:v>6</x:v>
      </x:c>
      <x:c r="B33" s="2" t="s">
        <x:v>13</x:v>
      </x:c>
      <x:c r="C33" s="3">
        <x:v>31</x:v>
      </x:c>
      <x:c r="D33" s="2" t="s">
        <x:v>670</x:v>
      </x:c>
      <x:c r="E33" s="2" t="s">
        <x:v>666</x:v>
      </x:c>
      <x:c r="F33" s="2" t="s">
        <x:v>157</x:v>
      </x:c>
      <x:c r="G33" s="2"/>
      <x:c r="H33" s="2" t="s">
        <x:v>634</x:v>
      </x:c>
      <x:c r="I33" s="2" t="s">
        <x:v>663</x:v>
      </x:c>
      <x:c r="J33" s="2" t="s">
        <x:v>640</x:v>
      </x:c>
      <x:c r="K33" s="2" t="n">
        <x:v>28</x:v>
      </x:c>
      <x:c r="L33" s="2">
        <x:v>169</x:v>
      </x:c>
      <x:c r="M33" s="2" t="s">
        <x:v>671</x:v>
      </x:c>
      <x:c r="N33" s="2">
        <x:v>2</x:v>
      </x:c>
      <x:c r="O33" s="2" t="s">
        <x:v>642</x:v>
      </x:c>
      <x:c r="P33" s="2" t="s">
        <x:v>643</x:v>
      </x:c>
      <x:c r="Q33" s="2"/>
      <x:c r="R33" s="3">
        <x:v>2</x:v>
      </x:c>
      <x:c r="S33" s="3">
        <x:v>1</x:v>
      </x:c>
      <x:c r="T33" s="2" t="s">
        <x:v>103</x:v>
      </x:c>
      <x:c r="U33" s="2" t="s">
        <x:v>632</x:v>
      </x:c>
      <x:c r="V33" s="2" t="s">
        <x:v>154</x:v>
      </x:c>
      <x:c r="W33" s="2"/>
      <x:c r="X33" s="3"/>
      <x:c r="Y33" s="3"/>
      <x:c r="Z33" s="2"/>
      <x:c r="AA33" s="2"/>
      <x:c r="AB33" s="2"/>
      <x:c r="AC33" s="2"/>
      <x:c r="AD33" s="2"/>
      <x:c r="AE33" s="2"/>
      <x:c r="AF33" s="2"/>
      <x:c r="AG33" s="2"/>
      <x:c r="AH33" s="2"/>
      <x:c r="AI33" s="4"/>
      <x:c r="AJ33" s="2"/>
      <x:c r="AK33" s="2" t="s">
        <x:v>106</x:v>
      </x:c>
      <x:c r="AL33" s="2" t="s">
        <x:v>3061</x:v>
      </x:c>
      <x:c r="AM33" s="2">
        <x:v>33</x:v>
      </x:c>
      <x:c r="AN33" s="2">
        <x:v>33</x:v>
      </x:c>
    </x:row>
    <x:row r="34" ht="39">
      <x:c r="A34" s="2" t="s">
        <x:v>6</x:v>
      </x:c>
      <x:c r="B34" s="2" t="s">
        <x:v>13</x:v>
      </x:c>
      <x:c r="C34" s="3">
        <x:v>32</x:v>
      </x:c>
      <x:c r="D34" s="2" t="s">
        <x:v>616</x:v>
      </x:c>
      <x:c r="E34" s="2" t="s">
        <x:v>672</x:v>
      </x:c>
      <x:c r="F34" s="2" t="s">
        <x:v>94</x:v>
      </x:c>
      <x:c r="G34" s="2"/>
      <x:c r="H34" s="2" t="s">
        <x:v>618</x:v>
      </x:c>
      <x:c r="I34" s="2" t="s">
        <x:v>673</x:v>
      </x:c>
      <x:c r="J34" s="2" t="s">
        <x:v>620</x:v>
      </x:c>
      <x:c r="K34" s="2"/>
      <x:c r="L34" s="2" t="s">
        <x:v>674</x:v>
      </x:c>
      <x:c r="M34" s="2" t="s">
        <x:v>622</x:v>
      </x:c>
      <x:c r="N34" s="2">
        <x:v>2</x:v>
      </x:c>
      <x:c r="O34" s="2" t="s">
        <x:v>623</x:v>
      </x:c>
      <x:c r="P34" s="2" t="s">
        <x:v>675</x:v>
      </x:c>
      <x:c r="Q34" s="2"/>
      <x:c r="R34" s="3">
        <x:v>3</x:v>
      </x:c>
      <x:c r="S34" s="3">
        <x:v>1</x:v>
      </x:c>
      <x:c r="T34" s="2" t="s">
        <x:v>103</x:v>
      </x:c>
      <x:c r="U34" s="2" t="s">
        <x:v>129</x:v>
      </x:c>
      <x:c r="V34" s="2" t="s">
        <x:v>105</x:v>
      </x:c>
      <x:c r="W34" s="2"/>
      <x:c r="X34" s="3"/>
      <x:c r="Y34" s="3"/>
      <x:c r="Z34" s="2"/>
      <x:c r="AA34" s="2"/>
      <x:c r="AB34" s="2"/>
      <x:c r="AC34" s="2"/>
      <x:c r="AD34" s="2"/>
      <x:c r="AE34" s="2"/>
      <x:c r="AF34" s="2"/>
      <x:c r="AG34" s="2"/>
      <x:c r="AH34" s="2"/>
      <x:c r="AI34" s="4"/>
      <x:c r="AJ34" s="2"/>
      <x:c r="AK34" s="2" t="s">
        <x:v>106</x:v>
      </x:c>
      <x:c r="AL34" s="2" t="s">
        <x:v>3061</x:v>
      </x:c>
      <x:c r="AM34" s="2">
        <x:v>34</x:v>
      </x:c>
      <x:c r="AN34" s="2">
        <x:v>34</x:v>
      </x:c>
    </x:row>
    <x:row r="35" ht="52">
      <x:c r="A35" s="2" t="s">
        <x:v>6</x:v>
      </x:c>
      <x:c r="B35" s="2" t="s">
        <x:v>13</x:v>
      </x:c>
      <x:c r="C35" s="3">
        <x:v>33</x:v>
      </x:c>
      <x:c r="D35" s="2" t="s">
        <x:v>676</x:v>
      </x:c>
      <x:c r="E35" s="2" t="s">
        <x:v>677</x:v>
      </x:c>
      <x:c r="F35" s="2" t="s">
        <x:v>94</x:v>
      </x:c>
      <x:c r="G35" s="2"/>
      <x:c r="H35" s="2" t="s">
        <x:v>627</x:v>
      </x:c>
      <x:c r="I35" s="2" t="s">
        <x:v>673</x:v>
      </x:c>
      <x:c r="J35" s="2" t="s">
        <x:v>628</x:v>
      </x:c>
      <x:c r="K35" s="2" t="n">
        <x:v>32</x:v>
      </x:c>
      <x:c r="L35" s="2">
        <x:v>30</x:v>
      </x:c>
      <x:c r="M35" s="2" t="s">
        <x:v>678</x:v>
      </x:c>
      <x:c r="N35" s="2">
        <x:v>2</x:v>
      </x:c>
      <x:c r="O35" s="2" t="s">
        <x:v>630</x:v>
      </x:c>
      <x:c r="P35" s="2" t="s">
        <x:v>631</x:v>
      </x:c>
      <x:c r="Q35" s="2"/>
      <x:c r="R35" s="3">
        <x:v>3</x:v>
      </x:c>
      <x:c r="S35" s="3">
        <x:v>1</x:v>
      </x:c>
      <x:c r="T35" s="2" t="s">
        <x:v>103</x:v>
      </x:c>
      <x:c r="U35" s="2" t="s">
        <x:v>632</x:v>
      </x:c>
      <x:c r="V35" s="2" t="s">
        <x:v>105</x:v>
      </x:c>
      <x:c r="W35" s="2"/>
      <x:c r="X35" s="3"/>
      <x:c r="Y35" s="3"/>
      <x:c r="Z35" s="2"/>
      <x:c r="AA35" s="2"/>
      <x:c r="AB35" s="2"/>
      <x:c r="AC35" s="2"/>
      <x:c r="AD35" s="2"/>
      <x:c r="AE35" s="2"/>
      <x:c r="AF35" s="2"/>
      <x:c r="AG35" s="2"/>
      <x:c r="AH35" s="2"/>
      <x:c r="AI35" s="4"/>
      <x:c r="AJ35" s="2"/>
      <x:c r="AK35" s="2" t="s">
        <x:v>106</x:v>
      </x:c>
      <x:c r="AL35" s="2" t="s">
        <x:v>3061</x:v>
      </x:c>
      <x:c r="AM35" s="2">
        <x:v>35</x:v>
      </x:c>
      <x:c r="AN35" s="2">
        <x:v>35</x:v>
      </x:c>
    </x:row>
    <x:row r="36" ht="52">
      <x:c r="A36" s="2" t="s">
        <x:v>91</x:v>
      </x:c>
      <x:c r="B36" s="2" t="s">
        <x:v>13</x:v>
      </x:c>
      <x:c r="C36" s="3">
        <x:v>34</x:v>
      </x:c>
      <x:c r="D36" s="2" t="s">
        <x:v>633</x:v>
      </x:c>
      <x:c r="E36" s="2" t="s">
        <x:v>672</x:v>
      </x:c>
      <x:c r="F36" s="2" t="s">
        <x:v>94</x:v>
      </x:c>
      <x:c r="G36" s="2" t="s">
        <x:v>878</x:v>
      </x:c>
      <x:c r="H36" s="2" t="s">
        <x:v>634</x:v>
      </x:c>
      <x:c r="I36" s="2" t="s">
        <x:v>673</x:v>
      </x:c>
      <x:c r="J36" s="2" t="s">
        <x:v>635</x:v>
      </x:c>
      <x:c r="K36" s="2" t="n">
        <x:v>32</x:v>
      </x:c>
      <x:c r="L36" s="2" t="s">
        <x:v>674</x:v>
      </x:c>
      <x:c r="M36" s="2" t="s">
        <x:v>636</x:v>
      </x:c>
      <x:c r="N36" s="2">
        <x:v>2</x:v>
      </x:c>
      <x:c r="O36" s="2" t="s">
        <x:v>637</x:v>
      </x:c>
      <x:c r="P36" s="2" t="s">
        <x:v>679</x:v>
      </x:c>
      <x:c r="Q36" s="2"/>
      <x:c r="R36" s="3">
        <x:v>3</x:v>
      </x:c>
      <x:c r="S36" s="3">
        <x:v>1</x:v>
      </x:c>
      <x:c r="T36" s="2" t="s">
        <x:v>103</x:v>
      </x:c>
      <x:c r="U36" s="2" t="s">
        <x:v>129</x:v>
      </x:c>
      <x:c r="V36" s="2" t="s">
        <x:v>105</x:v>
      </x:c>
      <x:c r="W36" s="2"/>
      <x:c r="X36" s="3"/>
      <x:c r="Y36" s="3"/>
      <x:c r="Z36" s="2"/>
      <x:c r="AA36" s="2"/>
      <x:c r="AB36" s="2"/>
      <x:c r="AC36" s="2"/>
      <x:c r="AD36" s="2"/>
      <x:c r="AE36" s="2"/>
      <x:c r="AF36" s="2"/>
      <x:c r="AG36" s="2"/>
      <x:c r="AH36" s="2"/>
      <x:c r="AI36" s="4"/>
      <x:c r="AJ36" s="2"/>
      <x:c r="AK36" s="2" t="s">
        <x:v>106</x:v>
      </x:c>
      <x:c r="AL36" s="2" t="s">
        <x:v>3061</x:v>
      </x:c>
      <x:c r="AM36" s="2">
        <x:v>36</x:v>
      </x:c>
      <x:c r="AN36" s="2">
        <x:v>36</x:v>
      </x:c>
    </x:row>
    <x:row r="37" ht="39">
      <x:c r="A37" s="2" t="s">
        <x:v>6</x:v>
      </x:c>
      <x:c r="B37" s="2" t="s">
        <x:v>13</x:v>
      </x:c>
      <x:c r="C37" s="3">
        <x:v>35</x:v>
      </x:c>
      <x:c r="D37" s="2" t="s">
        <x:v>680</x:v>
      </x:c>
      <x:c r="E37" s="2" t="s">
        <x:v>677</x:v>
      </x:c>
      <x:c r="F37" s="2" t="s">
        <x:v>94</x:v>
      </x:c>
      <x:c r="G37" s="2"/>
      <x:c r="H37" s="2" t="s">
        <x:v>634</x:v>
      </x:c>
      <x:c r="I37" s="2" t="s">
        <x:v>673</x:v>
      </x:c>
      <x:c r="J37" s="2" t="s">
        <x:v>640</x:v>
      </x:c>
      <x:c r="K37" s="2" t="n">
        <x:v>32</x:v>
      </x:c>
      <x:c r="L37" s="2">
        <x:v>30</x:v>
      </x:c>
      <x:c r="M37" s="2" t="s">
        <x:v>681</x:v>
      </x:c>
      <x:c r="N37" s="2">
        <x:v>2</x:v>
      </x:c>
      <x:c r="O37" s="2" t="s">
        <x:v>642</x:v>
      </x:c>
      <x:c r="P37" s="2" t="s">
        <x:v>643</x:v>
      </x:c>
      <x:c r="Q37" s="2"/>
      <x:c r="R37" s="3">
        <x:v>3</x:v>
      </x:c>
      <x:c r="S37" s="3">
        <x:v>1</x:v>
      </x:c>
      <x:c r="T37" s="2" t="s">
        <x:v>103</x:v>
      </x:c>
      <x:c r="U37" s="2" t="s">
        <x:v>632</x:v>
      </x:c>
      <x:c r="V37" s="2" t="s">
        <x:v>105</x:v>
      </x:c>
      <x:c r="W37" s="2"/>
      <x:c r="X37" s="3"/>
      <x:c r="Y37" s="3"/>
      <x:c r="Z37" s="2"/>
      <x:c r="AA37" s="2"/>
      <x:c r="AB37" s="2"/>
      <x:c r="AC37" s="2"/>
      <x:c r="AD37" s="2"/>
      <x:c r="AE37" s="2"/>
      <x:c r="AF37" s="2"/>
      <x:c r="AG37" s="2"/>
      <x:c r="AH37" s="2"/>
      <x:c r="AI37" s="4"/>
      <x:c r="AJ37" s="2"/>
      <x:c r="AK37" s="2" t="s">
        <x:v>106</x:v>
      </x:c>
      <x:c r="AL37" s="2" t="s">
        <x:v>3061</x:v>
      </x:c>
      <x:c r="AM37" s="2">
        <x:v>37</x:v>
      </x:c>
      <x:c r="AN37" s="2">
        <x:v>37</x:v>
      </x:c>
    </x:row>
    <x:row r="38" ht="65">
      <x:c r="A38" s="2" t="s">
        <x:v>91</x:v>
      </x:c>
      <x:c r="B38" s="2" t="s">
        <x:v>13</x:v>
      </x:c>
      <x:c r="C38" s="3">
        <x:v>36</x:v>
      </x:c>
      <x:c r="D38" s="2" t="s">
        <x:v>682</x:v>
      </x:c>
      <x:c r="E38" s="2" t="s">
        <x:v>683</x:v>
      </x:c>
      <x:c r="F38" s="2" t="s">
        <x:v>139</x:v>
      </x:c>
      <x:c r="G38" s="2" t="s">
        <x:v>742</x:v>
      </x:c>
      <x:c r="H38" s="2" t="s">
        <x:v>618</x:v>
      </x:c>
      <x:c r="I38" s="2" t="s">
        <x:v>684</x:v>
      </x:c>
      <x:c r="J38" s="2" t="s">
        <x:v>620</x:v>
      </x:c>
      <x:c r="K38" s="2"/>
      <x:c r="L38" s="2" t="s">
        <x:v>685</x:v>
      </x:c>
      <x:c r="M38" s="2" t="s">
        <x:v>648</x:v>
      </x:c>
      <x:c r="N38" s="2">
        <x:v>2</x:v>
      </x:c>
      <x:c r="O38" s="2" t="s">
        <x:v>623</x:v>
      </x:c>
      <x:c r="P38" s="2" t="s">
        <x:v>649</x:v>
      </x:c>
      <x:c r="Q38" s="2"/>
      <x:c r="R38" s="3">
        <x:v>4</x:v>
      </x:c>
      <x:c r="S38" s="3">
        <x:v>1</x:v>
      </x:c>
      <x:c r="T38" s="2" t="s">
        <x:v>103</x:v>
      </x:c>
      <x:c r="U38" s="2" t="s">
        <x:v>122</x:v>
      </x:c>
      <x:c r="V38" s="2" t="s">
        <x:v>136</x:v>
      </x:c>
      <x:c r="W38" s="2"/>
      <x:c r="X38" s="3"/>
      <x:c r="Y38" s="3"/>
      <x:c r="Z38" s="2"/>
      <x:c r="AA38" s="2"/>
      <x:c r="AB38" s="2"/>
      <x:c r="AC38" s="2"/>
      <x:c r="AD38" s="2"/>
      <x:c r="AE38" s="2"/>
      <x:c r="AF38" s="2"/>
      <x:c r="AG38" s="2"/>
      <x:c r="AH38" s="2"/>
      <x:c r="AI38" s="4"/>
      <x:c r="AJ38" s="2"/>
      <x:c r="AK38" s="2" t="s">
        <x:v>106</x:v>
      </x:c>
      <x:c r="AL38" s="2" t="s">
        <x:v>3061</x:v>
      </x:c>
      <x:c r="AM38" s="2">
        <x:v>38</x:v>
      </x:c>
      <x:c r="AN38" s="2">
        <x:v>38</x:v>
      </x:c>
    </x:row>
    <x:row r="39" ht="65">
      <x:c r="A39" s="2" t="s">
        <x:v>6</x:v>
      </x:c>
      <x:c r="B39" s="2" t="s">
        <x:v>13</x:v>
      </x:c>
      <x:c r="C39" s="3">
        <x:v>37</x:v>
      </x:c>
      <x:c r="D39" s="2" t="s">
        <x:v>686</x:v>
      </x:c>
      <x:c r="E39" s="2" t="s">
        <x:v>687</x:v>
      </x:c>
      <x:c r="F39" s="2" t="s">
        <x:v>139</x:v>
      </x:c>
      <x:c r="G39" s="2"/>
      <x:c r="H39" s="2" t="s">
        <x:v>627</x:v>
      </x:c>
      <x:c r="I39" s="2" t="s">
        <x:v>684</x:v>
      </x:c>
      <x:c r="J39" s="2" t="s">
        <x:v>628</x:v>
      </x:c>
      <x:c r="K39" s="2" t="n">
        <x:v>36</x:v>
      </x:c>
      <x:c r="L39" s="2">
        <x:v>100</x:v>
      </x:c>
      <x:c r="M39" s="2" t="s">
        <x:v>688</x:v>
      </x:c>
      <x:c r="N39" s="2">
        <x:v>2</x:v>
      </x:c>
      <x:c r="O39" s="2" t="s">
        <x:v>689</x:v>
      </x:c>
      <x:c r="P39" s="2" t="s">
        <x:v>654</x:v>
      </x:c>
      <x:c r="Q39" s="2"/>
      <x:c r="R39" s="3">
        <x:v>4</x:v>
      </x:c>
      <x:c r="S39" s="3">
        <x:v>1</x:v>
      </x:c>
      <x:c r="T39" s="2" t="s">
        <x:v>103</x:v>
      </x:c>
      <x:c r="U39" s="2" t="s">
        <x:v>632</x:v>
      </x:c>
      <x:c r="V39" s="2" t="s">
        <x:v>136</x:v>
      </x:c>
      <x:c r="W39" s="2"/>
      <x:c r="X39" s="3"/>
      <x:c r="Y39" s="3"/>
      <x:c r="Z39" s="2"/>
      <x:c r="AA39" s="2"/>
      <x:c r="AB39" s="2"/>
      <x:c r="AC39" s="2"/>
      <x:c r="AD39" s="2"/>
      <x:c r="AE39" s="2"/>
      <x:c r="AF39" s="2"/>
      <x:c r="AG39" s="2"/>
      <x:c r="AH39" s="2"/>
      <x:c r="AI39" s="4"/>
      <x:c r="AJ39" s="2"/>
      <x:c r="AK39" s="2" t="s">
        <x:v>106</x:v>
      </x:c>
      <x:c r="AL39" s="2" t="s">
        <x:v>3061</x:v>
      </x:c>
      <x:c r="AM39" s="2">
        <x:v>39</x:v>
      </x:c>
      <x:c r="AN39" s="2">
        <x:v>39</x:v>
      </x:c>
    </x:row>
    <x:row r="40" ht="65">
      <x:c r="A40" s="2" t="s">
        <x:v>91</x:v>
      </x:c>
      <x:c r="B40" s="2" t="s">
        <x:v>13</x:v>
      </x:c>
      <x:c r="C40" s="3">
        <x:v>38</x:v>
      </x:c>
      <x:c r="D40" s="2" t="s">
        <x:v>690</x:v>
      </x:c>
      <x:c r="E40" s="2" t="s">
        <x:v>683</x:v>
      </x:c>
      <x:c r="F40" s="2" t="s">
        <x:v>139</x:v>
      </x:c>
      <x:c r="G40" s="2" t="s">
        <x:v>742</x:v>
      </x:c>
      <x:c r="H40" s="2" t="s">
        <x:v>634</x:v>
      </x:c>
      <x:c r="I40" s="2" t="s">
        <x:v>684</x:v>
      </x:c>
      <x:c r="J40" s="2" t="s">
        <x:v>635</x:v>
      </x:c>
      <x:c r="K40" s="2" t="n">
        <x:v>36</x:v>
      </x:c>
      <x:c r="L40" s="2" t="s">
        <x:v>685</x:v>
      </x:c>
      <x:c r="M40" s="2" t="s">
        <x:v>656</x:v>
      </x:c>
      <x:c r="N40" s="2">
        <x:v>2</x:v>
      </x:c>
      <x:c r="O40" s="2" t="s">
        <x:v>637</x:v>
      </x:c>
      <x:c r="P40" s="2" t="s">
        <x:v>657</x:v>
      </x:c>
      <x:c r="Q40" s="2"/>
      <x:c r="R40" s="3">
        <x:v>4</x:v>
      </x:c>
      <x:c r="S40" s="3">
        <x:v>1</x:v>
      </x:c>
      <x:c r="T40" s="2" t="s">
        <x:v>103</x:v>
      </x:c>
      <x:c r="U40" s="2" t="s">
        <x:v>122</x:v>
      </x:c>
      <x:c r="V40" s="2" t="s">
        <x:v>136</x:v>
      </x:c>
      <x:c r="W40" s="2"/>
      <x:c r="X40" s="3"/>
      <x:c r="Y40" s="3"/>
      <x:c r="Z40" s="2"/>
      <x:c r="AA40" s="2"/>
      <x:c r="AB40" s="2"/>
      <x:c r="AC40" s="2"/>
      <x:c r="AD40" s="2"/>
      <x:c r="AE40" s="2"/>
      <x:c r="AF40" s="2"/>
      <x:c r="AG40" s="2"/>
      <x:c r="AH40" s="2"/>
      <x:c r="AI40" s="4"/>
      <x:c r="AJ40" s="2"/>
      <x:c r="AK40" s="2" t="s">
        <x:v>106</x:v>
      </x:c>
      <x:c r="AL40" s="2" t="s">
        <x:v>3061</x:v>
      </x:c>
      <x:c r="AM40" s="2">
        <x:v>40</x:v>
      </x:c>
      <x:c r="AN40" s="2">
        <x:v>40</x:v>
      </x:c>
    </x:row>
    <x:row r="41" ht="39">
      <x:c r="A41" s="2" t="s">
        <x:v>6</x:v>
      </x:c>
      <x:c r="B41" s="2" t="s">
        <x:v>13</x:v>
      </x:c>
      <x:c r="C41" s="3">
        <x:v>39</x:v>
      </x:c>
      <x:c r="D41" s="2" t="s">
        <x:v>692</x:v>
      </x:c>
      <x:c r="E41" s="2" t="s">
        <x:v>687</x:v>
      </x:c>
      <x:c r="F41" s="2" t="s">
        <x:v>139</x:v>
      </x:c>
      <x:c r="G41" s="2"/>
      <x:c r="H41" s="2" t="s">
        <x:v>634</x:v>
      </x:c>
      <x:c r="I41" s="2" t="s">
        <x:v>684</x:v>
      </x:c>
      <x:c r="J41" s="2" t="s">
        <x:v>640</x:v>
      </x:c>
      <x:c r="K41" s="2" t="n">
        <x:v>36</x:v>
      </x:c>
      <x:c r="L41" s="2">
        <x:v>100</x:v>
      </x:c>
      <x:c r="M41" s="2" t="s">
        <x:v>693</x:v>
      </x:c>
      <x:c r="N41" s="2">
        <x:v>2</x:v>
      </x:c>
      <x:c r="O41" s="2" t="s">
        <x:v>642</x:v>
      </x:c>
      <x:c r="P41" s="2" t="s">
        <x:v>643</x:v>
      </x:c>
      <x:c r="Q41" s="2"/>
      <x:c r="R41" s="3">
        <x:v>4</x:v>
      </x:c>
      <x:c r="S41" s="3">
        <x:v>1</x:v>
      </x:c>
      <x:c r="T41" s="2" t="s">
        <x:v>103</x:v>
      </x:c>
      <x:c r="U41" s="2" t="s">
        <x:v>632</x:v>
      </x:c>
      <x:c r="V41" s="2" t="s">
        <x:v>136</x:v>
      </x:c>
      <x:c r="W41" s="2"/>
      <x:c r="X41" s="3"/>
      <x:c r="Y41" s="3"/>
      <x:c r="Z41" s="2"/>
      <x:c r="AA41" s="2"/>
      <x:c r="AB41" s="2"/>
      <x:c r="AC41" s="2"/>
      <x:c r="AD41" s="2"/>
      <x:c r="AE41" s="2"/>
      <x:c r="AF41" s="2"/>
      <x:c r="AG41" s="2"/>
      <x:c r="AH41" s="2"/>
      <x:c r="AI41" s="4"/>
      <x:c r="AJ41" s="2"/>
      <x:c r="AK41" s="2" t="s">
        <x:v>106</x:v>
      </x:c>
      <x:c r="AL41" s="2" t="s">
        <x:v>3061</x:v>
      </x:c>
      <x:c r="AM41" s="2">
        <x:v>41</x:v>
      </x:c>
      <x:c r="AN41" s="2">
        <x:v>41</x:v>
      </x:c>
    </x:row>
    <x:row r="42" ht="65">
      <x:c r="A42" s="2" t="s">
        <x:v>91</x:v>
      </x:c>
      <x:c r="B42" s="2" t="s">
        <x:v>13</x:v>
      </x:c>
      <x:c r="C42" s="3">
        <x:v>40</x:v>
      </x:c>
      <x:c r="D42" s="2" t="s">
        <x:v>644</x:v>
      </x:c>
      <x:c r="E42" s="2" t="s">
        <x:v>694</x:v>
      </x:c>
      <x:c r="F42" s="2" t="s">
        <x:v>118</x:v>
      </x:c>
      <x:c r="G42" s="2" t="s">
        <x:v>871</x:v>
      </x:c>
      <x:c r="H42" s="2" t="s">
        <x:v>618</x:v>
      </x:c>
      <x:c r="I42" s="2" t="s">
        <x:v>696</x:v>
      </x:c>
      <x:c r="J42" s="2" t="s">
        <x:v>620</x:v>
      </x:c>
      <x:c r="K42" s="2"/>
      <x:c r="L42" s="2" t="s">
        <x:v>697</x:v>
      </x:c>
      <x:c r="M42" s="2" t="s">
        <x:v>648</x:v>
      </x:c>
      <x:c r="N42" s="2">
        <x:v>2</x:v>
      </x:c>
      <x:c r="O42" s="2" t="s">
        <x:v>623</x:v>
      </x:c>
      <x:c r="P42" s="2" t="s">
        <x:v>649</x:v>
      </x:c>
      <x:c r="Q42" s="2"/>
      <x:c r="R42" s="3">
        <x:v>4</x:v>
      </x:c>
      <x:c r="S42" s="3">
        <x:v>1</x:v>
      </x:c>
      <x:c r="T42" s="2" t="s">
        <x:v>103</x:v>
      </x:c>
      <x:c r="U42" s="2" t="s">
        <x:v>104</x:v>
      </x:c>
      <x:c r="V42" s="2" t="s">
        <x:v>123</x:v>
      </x:c>
      <x:c r="W42" s="2"/>
      <x:c r="X42" s="3"/>
      <x:c r="Y42" s="3"/>
      <x:c r="Z42" s="2"/>
      <x:c r="AA42" s="2"/>
      <x:c r="AB42" s="2"/>
      <x:c r="AC42" s="2"/>
      <x:c r="AD42" s="2"/>
      <x:c r="AE42" s="2"/>
      <x:c r="AF42" s="2"/>
      <x:c r="AG42" s="2"/>
      <x:c r="AH42" s="2"/>
      <x:c r="AI42" s="4"/>
      <x:c r="AJ42" s="2"/>
      <x:c r="AK42" s="2" t="s">
        <x:v>106</x:v>
      </x:c>
      <x:c r="AL42" s="2" t="s">
        <x:v>3061</x:v>
      </x:c>
      <x:c r="AM42" s="2">
        <x:v>42</x:v>
      </x:c>
      <x:c r="AN42" s="2">
        <x:v>42</x:v>
      </x:c>
    </x:row>
    <x:row r="43" ht="65">
      <x:c r="A43" s="2" t="s">
        <x:v>6</x:v>
      </x:c>
      <x:c r="B43" s="2" t="s">
        <x:v>13</x:v>
      </x:c>
      <x:c r="C43" s="3">
        <x:v>41</x:v>
      </x:c>
      <x:c r="D43" s="2" t="s">
        <x:v>698</x:v>
      </x:c>
      <x:c r="E43" s="2" t="s">
        <x:v>699</x:v>
      </x:c>
      <x:c r="F43" s="2" t="s">
        <x:v>118</x:v>
      </x:c>
      <x:c r="G43" s="2"/>
      <x:c r="H43" s="2" t="s">
        <x:v>627</x:v>
      </x:c>
      <x:c r="I43" s="2" t="s">
        <x:v>696</x:v>
      </x:c>
      <x:c r="J43" s="2" t="s">
        <x:v>628</x:v>
      </x:c>
      <x:c r="K43" s="2" t="n">
        <x:v>40</x:v>
      </x:c>
      <x:c r="L43" s="2">
        <x:v>53</x:v>
      </x:c>
      <x:c r="M43" s="2" t="s">
        <x:v>700</x:v>
      </x:c>
      <x:c r="N43" s="2">
        <x:v>2</x:v>
      </x:c>
      <x:c r="O43" s="2" t="s">
        <x:v>701</x:v>
      </x:c>
      <x:c r="P43" s="2" t="s">
        <x:v>654</x:v>
      </x:c>
      <x:c r="Q43" s="2"/>
      <x:c r="R43" s="3">
        <x:v>4</x:v>
      </x:c>
      <x:c r="S43" s="3">
        <x:v>1</x:v>
      </x:c>
      <x:c r="T43" s="2" t="s">
        <x:v>103</x:v>
      </x:c>
      <x:c r="U43" s="2" t="s">
        <x:v>632</x:v>
      </x:c>
      <x:c r="V43" s="2" t="s">
        <x:v>123</x:v>
      </x:c>
      <x:c r="W43" s="2"/>
      <x:c r="X43" s="3"/>
      <x:c r="Y43" s="3"/>
      <x:c r="Z43" s="2"/>
      <x:c r="AA43" s="2"/>
      <x:c r="AB43" s="2"/>
      <x:c r="AC43" s="2"/>
      <x:c r="AD43" s="2"/>
      <x:c r="AE43" s="2"/>
      <x:c r="AF43" s="2"/>
      <x:c r="AG43" s="2"/>
      <x:c r="AH43" s="2"/>
      <x:c r="AI43" s="4"/>
      <x:c r="AJ43" s="2"/>
      <x:c r="AK43" s="2" t="s">
        <x:v>106</x:v>
      </x:c>
      <x:c r="AL43" s="2" t="s">
        <x:v>3061</x:v>
      </x:c>
      <x:c r="AM43" s="2">
        <x:v>43</x:v>
      </x:c>
      <x:c r="AN43" s="2">
        <x:v>43</x:v>
      </x:c>
    </x:row>
    <x:row r="44" ht="65">
      <x:c r="A44" s="2" t="s">
        <x:v>6</x:v>
      </x:c>
      <x:c r="B44" s="2" t="s">
        <x:v>13</x:v>
      </x:c>
      <x:c r="C44" s="3">
        <x:v>42</x:v>
      </x:c>
      <x:c r="D44" s="2" t="s">
        <x:v>655</x:v>
      </x:c>
      <x:c r="E44" s="2" t="s">
        <x:v>694</x:v>
      </x:c>
      <x:c r="F44" s="2" t="s">
        <x:v>118</x:v>
      </x:c>
      <x:c r="G44" s="2"/>
      <x:c r="H44" s="2" t="s">
        <x:v>634</x:v>
      </x:c>
      <x:c r="I44" s="2" t="s">
        <x:v>696</x:v>
      </x:c>
      <x:c r="J44" s="2" t="s">
        <x:v>635</x:v>
      </x:c>
      <x:c r="K44" s="2" t="n">
        <x:v>40</x:v>
      </x:c>
      <x:c r="L44" s="2" t="s">
        <x:v>697</x:v>
      </x:c>
      <x:c r="M44" s="2" t="s">
        <x:v>656</x:v>
      </x:c>
      <x:c r="N44" s="2">
        <x:v>2</x:v>
      </x:c>
      <x:c r="O44" s="2" t="s">
        <x:v>637</x:v>
      </x:c>
      <x:c r="P44" s="2" t="s">
        <x:v>657</x:v>
      </x:c>
      <x:c r="Q44" s="2"/>
      <x:c r="R44" s="3">
        <x:v>4</x:v>
      </x:c>
      <x:c r="S44" s="3">
        <x:v>1</x:v>
      </x:c>
      <x:c r="T44" s="2" t="s">
        <x:v>103</x:v>
      </x:c>
      <x:c r="U44" s="2" t="s">
        <x:v>104</x:v>
      </x:c>
      <x:c r="V44" s="2" t="s">
        <x:v>123</x:v>
      </x:c>
      <x:c r="W44" s="2"/>
      <x:c r="X44" s="3"/>
      <x:c r="Y44" s="3"/>
      <x:c r="Z44" s="2"/>
      <x:c r="AA44" s="2"/>
      <x:c r="AB44" s="2"/>
      <x:c r="AC44" s="2"/>
      <x:c r="AD44" s="2"/>
      <x:c r="AE44" s="2"/>
      <x:c r="AF44" s="2"/>
      <x:c r="AG44" s="2"/>
      <x:c r="AH44" s="2"/>
      <x:c r="AI44" s="4"/>
      <x:c r="AJ44" s="2"/>
      <x:c r="AK44" s="2" t="s">
        <x:v>106</x:v>
      </x:c>
      <x:c r="AL44" s="2" t="s">
        <x:v>3061</x:v>
      </x:c>
      <x:c r="AM44" s="2">
        <x:v>44</x:v>
      </x:c>
      <x:c r="AN44" s="2">
        <x:v>44</x:v>
      </x:c>
    </x:row>
    <x:row r="45" ht="39">
      <x:c r="A45" s="2" t="s">
        <x:v>6</x:v>
      </x:c>
      <x:c r="B45" s="2" t="s">
        <x:v>13</x:v>
      </x:c>
      <x:c r="C45" s="3">
        <x:v>43</x:v>
      </x:c>
      <x:c r="D45" s="2" t="s">
        <x:v>702</x:v>
      </x:c>
      <x:c r="E45" s="2" t="s">
        <x:v>699</x:v>
      </x:c>
      <x:c r="F45" s="2" t="s">
        <x:v>118</x:v>
      </x:c>
      <x:c r="G45" s="2"/>
      <x:c r="H45" s="2" t="s">
        <x:v>634</x:v>
      </x:c>
      <x:c r="I45" s="2" t="s">
        <x:v>696</x:v>
      </x:c>
      <x:c r="J45" s="2" t="s">
        <x:v>640</x:v>
      </x:c>
      <x:c r="K45" s="2" t="n">
        <x:v>40</x:v>
      </x:c>
      <x:c r="L45" s="2">
        <x:v>53</x:v>
      </x:c>
      <x:c r="M45" s="2" t="s">
        <x:v>704</x:v>
      </x:c>
      <x:c r="N45" s="2">
        <x:v>2</x:v>
      </x:c>
      <x:c r="O45" s="2" t="s">
        <x:v>642</x:v>
      </x:c>
      <x:c r="P45" s="2" t="s">
        <x:v>643</x:v>
      </x:c>
      <x:c r="Q45" s="2"/>
      <x:c r="R45" s="3">
        <x:v>4</x:v>
      </x:c>
      <x:c r="S45" s="3">
        <x:v>1</x:v>
      </x:c>
      <x:c r="T45" s="2" t="s">
        <x:v>103</x:v>
      </x:c>
      <x:c r="U45" s="2" t="s">
        <x:v>632</x:v>
      </x:c>
      <x:c r="V45" s="2" t="s">
        <x:v>123</x:v>
      </x:c>
      <x:c r="W45" s="2"/>
      <x:c r="X45" s="3"/>
      <x:c r="Y45" s="3"/>
      <x:c r="Z45" s="2"/>
      <x:c r="AA45" s="2"/>
      <x:c r="AB45" s="2"/>
      <x:c r="AC45" s="2"/>
      <x:c r="AD45" s="2"/>
      <x:c r="AE45" s="2"/>
      <x:c r="AF45" s="2"/>
      <x:c r="AG45" s="2"/>
      <x:c r="AH45" s="2"/>
      <x:c r="AI45" s="4"/>
      <x:c r="AJ45" s="2"/>
      <x:c r="AK45" s="2" t="s">
        <x:v>106</x:v>
      </x:c>
      <x:c r="AL45" s="2" t="s">
        <x:v>3061</x:v>
      </x:c>
      <x:c r="AM45" s="2">
        <x:v>45</x:v>
      </x:c>
      <x:c r="AN45" s="2">
        <x:v>45</x:v>
      </x:c>
    </x:row>
    <x:row r="46" ht="65">
      <x:c r="A46" s="2" t="s">
        <x:v>6</x:v>
      </x:c>
      <x:c r="B46" s="2" t="s">
        <x:v>13</x:v>
      </x:c>
      <x:c r="C46" s="3">
        <x:v>44</x:v>
      </x:c>
      <x:c r="D46" s="2" t="s">
        <x:v>682</x:v>
      </x:c>
      <x:c r="E46" s="2" t="s">
        <x:v>705</x:v>
      </x:c>
      <x:c r="F46" s="2" t="s">
        <x:v>139</x:v>
      </x:c>
      <x:c r="G46" s="2"/>
      <x:c r="H46" s="2" t="s">
        <x:v>618</x:v>
      </x:c>
      <x:c r="I46" s="2" t="s">
        <x:v>707</x:v>
      </x:c>
      <x:c r="J46" s="2" t="s">
        <x:v>620</x:v>
      </x:c>
      <x:c r="K46" s="2"/>
      <x:c r="L46" s="2" t="s">
        <x:v>708</x:v>
      </x:c>
      <x:c r="M46" s="2" t="s">
        <x:v>648</x:v>
      </x:c>
      <x:c r="N46" s="2">
        <x:v>2</x:v>
      </x:c>
      <x:c r="O46" s="2" t="s">
        <x:v>623</x:v>
      </x:c>
      <x:c r="P46" s="2" t="s">
        <x:v>649</x:v>
      </x:c>
      <x:c r="Q46" s="2"/>
      <x:c r="R46" s="3">
        <x:v>2</x:v>
      </x:c>
      <x:c r="S46" s="3">
        <x:v>1</x:v>
      </x:c>
      <x:c r="T46" s="2" t="s">
        <x:v>103</x:v>
      </x:c>
      <x:c r="U46" s="2" t="s">
        <x:v>122</x:v>
      </x:c>
      <x:c r="V46" s="2" t="s">
        <x:v>136</x:v>
      </x:c>
      <x:c r="W46" s="2"/>
      <x:c r="X46" s="3"/>
      <x:c r="Y46" s="3"/>
      <x:c r="Z46" s="2"/>
      <x:c r="AA46" s="2"/>
      <x:c r="AB46" s="2"/>
      <x:c r="AC46" s="2"/>
      <x:c r="AD46" s="2"/>
      <x:c r="AE46" s="2"/>
      <x:c r="AF46" s="2"/>
      <x:c r="AG46" s="2"/>
      <x:c r="AH46" s="2"/>
      <x:c r="AI46" s="4"/>
      <x:c r="AJ46" s="2"/>
      <x:c r="AK46" s="2" t="s">
        <x:v>106</x:v>
      </x:c>
      <x:c r="AL46" s="2" t="s">
        <x:v>3061</x:v>
      </x:c>
      <x:c r="AM46" s="2">
        <x:v>46</x:v>
      </x:c>
      <x:c r="AN46" s="2">
        <x:v>46</x:v>
      </x:c>
    </x:row>
    <x:row r="47" ht="65">
      <x:c r="A47" s="2" t="s">
        <x:v>6</x:v>
      </x:c>
      <x:c r="B47" s="2" t="s">
        <x:v>13</x:v>
      </x:c>
      <x:c r="C47" s="3">
        <x:v>45</x:v>
      </x:c>
      <x:c r="D47" s="2" t="s">
        <x:v>709</x:v>
      </x:c>
      <x:c r="E47" s="2" t="s">
        <x:v>710</x:v>
      </x:c>
      <x:c r="F47" s="2" t="s">
        <x:v>139</x:v>
      </x:c>
      <x:c r="G47" s="2"/>
      <x:c r="H47" s="2" t="s">
        <x:v>627</x:v>
      </x:c>
      <x:c r="I47" s="2" t="s">
        <x:v>707</x:v>
      </x:c>
      <x:c r="J47" s="2" t="s">
        <x:v>628</x:v>
      </x:c>
      <x:c r="K47" s="2" t="n">
        <x:v>44</x:v>
      </x:c>
      <x:c r="L47" s="2">
        <x:v>107</x:v>
      </x:c>
      <x:c r="M47" s="2" t="s">
        <x:v>711</x:v>
      </x:c>
      <x:c r="N47" s="2">
        <x:v>2</x:v>
      </x:c>
      <x:c r="O47" s="2" t="s">
        <x:v>712</x:v>
      </x:c>
      <x:c r="P47" s="2" t="s">
        <x:v>654</x:v>
      </x:c>
      <x:c r="Q47" s="2"/>
      <x:c r="R47" s="3">
        <x:v>2</x:v>
      </x:c>
      <x:c r="S47" s="3">
        <x:v>1</x:v>
      </x:c>
      <x:c r="T47" s="2" t="s">
        <x:v>103</x:v>
      </x:c>
      <x:c r="U47" s="2" t="s">
        <x:v>632</x:v>
      </x:c>
      <x:c r="V47" s="2" t="s">
        <x:v>136</x:v>
      </x:c>
      <x:c r="W47" s="2"/>
      <x:c r="X47" s="3"/>
      <x:c r="Y47" s="3"/>
      <x:c r="Z47" s="2"/>
      <x:c r="AA47" s="2"/>
      <x:c r="AB47" s="2"/>
      <x:c r="AC47" s="2"/>
      <x:c r="AD47" s="2"/>
      <x:c r="AE47" s="2"/>
      <x:c r="AF47" s="2"/>
      <x:c r="AG47" s="2"/>
      <x:c r="AH47" s="2"/>
      <x:c r="AI47" s="4"/>
      <x:c r="AJ47" s="2"/>
      <x:c r="AK47" s="2" t="s">
        <x:v>106</x:v>
      </x:c>
      <x:c r="AL47" s="2" t="s">
        <x:v>3061</x:v>
      </x:c>
      <x:c r="AM47" s="2">
        <x:v>47</x:v>
      </x:c>
      <x:c r="AN47" s="2">
        <x:v>47</x:v>
      </x:c>
    </x:row>
    <x:row r="48" ht="65">
      <x:c r="A48" s="2" t="s">
        <x:v>91</x:v>
      </x:c>
      <x:c r="B48" s="2" t="s">
        <x:v>13</x:v>
      </x:c>
      <x:c r="C48" s="3">
        <x:v>46</x:v>
      </x:c>
      <x:c r="D48" s="2" t="s">
        <x:v>690</x:v>
      </x:c>
      <x:c r="E48" s="2" t="s">
        <x:v>705</x:v>
      </x:c>
      <x:c r="F48" s="2" t="s">
        <x:v>139</x:v>
      </x:c>
      <x:c r="G48" s="2" t="s">
        <x:v>3064</x:v>
      </x:c>
      <x:c r="H48" s="2" t="s">
        <x:v>634</x:v>
      </x:c>
      <x:c r="I48" s="2" t="s">
        <x:v>707</x:v>
      </x:c>
      <x:c r="J48" s="2" t="s">
        <x:v>635</x:v>
      </x:c>
      <x:c r="K48" s="2" t="n">
        <x:v>44</x:v>
      </x:c>
      <x:c r="L48" s="2" t="s">
        <x:v>708</x:v>
      </x:c>
      <x:c r="M48" s="2" t="s">
        <x:v>656</x:v>
      </x:c>
      <x:c r="N48" s="2">
        <x:v>2</x:v>
      </x:c>
      <x:c r="O48" s="2" t="s">
        <x:v>637</x:v>
      </x:c>
      <x:c r="P48" s="2" t="s">
        <x:v>657</x:v>
      </x:c>
      <x:c r="Q48" s="2"/>
      <x:c r="R48" s="3">
        <x:v>2</x:v>
      </x:c>
      <x:c r="S48" s="3">
        <x:v>1</x:v>
      </x:c>
      <x:c r="T48" s="2" t="s">
        <x:v>103</x:v>
      </x:c>
      <x:c r="U48" s="2" t="s">
        <x:v>122</x:v>
      </x:c>
      <x:c r="V48" s="2" t="s">
        <x:v>136</x:v>
      </x:c>
      <x:c r="W48" s="2"/>
      <x:c r="X48" s="3"/>
      <x:c r="Y48" s="3"/>
      <x:c r="Z48" s="2"/>
      <x:c r="AA48" s="2"/>
      <x:c r="AB48" s="2"/>
      <x:c r="AC48" s="2"/>
      <x:c r="AD48" s="2"/>
      <x:c r="AE48" s="2"/>
      <x:c r="AF48" s="2"/>
      <x:c r="AG48" s="2"/>
      <x:c r="AH48" s="2"/>
      <x:c r="AI48" s="4"/>
      <x:c r="AJ48" s="2"/>
      <x:c r="AK48" s="2" t="s">
        <x:v>106</x:v>
      </x:c>
      <x:c r="AL48" s="2" t="s">
        <x:v>3061</x:v>
      </x:c>
      <x:c r="AM48" s="2">
        <x:v>48</x:v>
      </x:c>
      <x:c r="AN48" s="2">
        <x:v>48</x:v>
      </x:c>
    </x:row>
    <x:row r="49" ht="39">
      <x:c r="A49" s="2" t="s">
        <x:v>6</x:v>
      </x:c>
      <x:c r="B49" s="2" t="s">
        <x:v>13</x:v>
      </x:c>
      <x:c r="C49" s="3">
        <x:v>47</x:v>
      </x:c>
      <x:c r="D49" s="2" t="s">
        <x:v>713</x:v>
      </x:c>
      <x:c r="E49" s="2" t="s">
        <x:v>710</x:v>
      </x:c>
      <x:c r="F49" s="2" t="s">
        <x:v>139</x:v>
      </x:c>
      <x:c r="G49" s="2"/>
      <x:c r="H49" s="2" t="s">
        <x:v>634</x:v>
      </x:c>
      <x:c r="I49" s="2" t="s">
        <x:v>707</x:v>
      </x:c>
      <x:c r="J49" s="2" t="s">
        <x:v>640</x:v>
      </x:c>
      <x:c r="K49" s="2" t="n">
        <x:v>44</x:v>
      </x:c>
      <x:c r="L49" s="2">
        <x:v>107</x:v>
      </x:c>
      <x:c r="M49" s="2" t="s">
        <x:v>714</x:v>
      </x:c>
      <x:c r="N49" s="2">
        <x:v>2</x:v>
      </x:c>
      <x:c r="O49" s="2" t="s">
        <x:v>642</x:v>
      </x:c>
      <x:c r="P49" s="2" t="s">
        <x:v>643</x:v>
      </x:c>
      <x:c r="Q49" s="2"/>
      <x:c r="R49" s="3">
        <x:v>2</x:v>
      </x:c>
      <x:c r="S49" s="3">
        <x:v>1</x:v>
      </x:c>
      <x:c r="T49" s="2" t="s">
        <x:v>103</x:v>
      </x:c>
      <x:c r="U49" s="2" t="s">
        <x:v>632</x:v>
      </x:c>
      <x:c r="V49" s="2" t="s">
        <x:v>136</x:v>
      </x:c>
      <x:c r="W49" s="2"/>
      <x:c r="X49" s="3"/>
      <x:c r="Y49" s="3"/>
      <x:c r="Z49" s="2"/>
      <x:c r="AA49" s="2"/>
      <x:c r="AB49" s="2"/>
      <x:c r="AC49" s="2"/>
      <x:c r="AD49" s="2"/>
      <x:c r="AE49" s="2"/>
      <x:c r="AF49" s="2"/>
      <x:c r="AG49" s="2"/>
      <x:c r="AH49" s="2"/>
      <x:c r="AI49" s="4"/>
      <x:c r="AJ49" s="2"/>
      <x:c r="AK49" s="2" t="s">
        <x:v>106</x:v>
      </x:c>
      <x:c r="AL49" s="2" t="s">
        <x:v>3061</x:v>
      </x:c>
      <x:c r="AM49" s="2">
        <x:v>49</x:v>
      </x:c>
      <x:c r="AN49" s="2">
        <x:v>49</x:v>
      </x:c>
    </x:row>
    <x:row r="50" ht="39">
      <x:c r="A50" s="2" t="s">
        <x:v>6</x:v>
      </x:c>
      <x:c r="B50" s="2" t="s">
        <x:v>13</x:v>
      </x:c>
      <x:c r="C50" s="3">
        <x:v>48</x:v>
      </x:c>
      <x:c r="D50" s="2" t="s">
        <x:v>660</x:v>
      </x:c>
      <x:c r="E50" s="2" t="s">
        <x:v>715</x:v>
      </x:c>
      <x:c r="F50" s="2" t="s">
        <x:v>157</x:v>
      </x:c>
      <x:c r="G50" s="2"/>
      <x:c r="H50" s="2" t="s">
        <x:v>618</x:v>
      </x:c>
      <x:c r="I50" s="2" t="s">
        <x:v>716</x:v>
      </x:c>
      <x:c r="J50" s="2" t="s">
        <x:v>620</x:v>
      </x:c>
      <x:c r="K50" s="2"/>
      <x:c r="L50" s="2" t="s">
        <x:v>717</x:v>
      </x:c>
      <x:c r="M50" s="2" t="s">
        <x:v>622</x:v>
      </x:c>
      <x:c r="N50" s="2">
        <x:v>2</x:v>
      </x:c>
      <x:c r="O50" s="2" t="s">
        <x:v>623</x:v>
      </x:c>
      <x:c r="P50" s="2" t="s">
        <x:v>675</x:v>
      </x:c>
      <x:c r="Q50" s="2"/>
      <x:c r="R50" s="3">
        <x:v>3</x:v>
      </x:c>
      <x:c r="S50" s="3">
        <x:v>1</x:v>
      </x:c>
      <x:c r="T50" s="2" t="s">
        <x:v>103</x:v>
      </x:c>
      <x:c r="U50" s="2" t="s">
        <x:v>115</x:v>
      </x:c>
      <x:c r="V50" s="2" t="s">
        <x:v>154</x:v>
      </x:c>
      <x:c r="W50" s="2"/>
      <x:c r="X50" s="3"/>
      <x:c r="Y50" s="3"/>
      <x:c r="Z50" s="2"/>
      <x:c r="AA50" s="2"/>
      <x:c r="AB50" s="2"/>
      <x:c r="AC50" s="2"/>
      <x:c r="AD50" s="2"/>
      <x:c r="AE50" s="2"/>
      <x:c r="AF50" s="2"/>
      <x:c r="AG50" s="2"/>
      <x:c r="AH50" s="2"/>
      <x:c r="AI50" s="4"/>
      <x:c r="AJ50" s="2"/>
      <x:c r="AK50" s="2" t="s">
        <x:v>106</x:v>
      </x:c>
      <x:c r="AL50" s="2" t="s">
        <x:v>3061</x:v>
      </x:c>
      <x:c r="AM50" s="2">
        <x:v>50</x:v>
      </x:c>
      <x:c r="AN50" s="2">
        <x:v>50</x:v>
      </x:c>
    </x:row>
    <x:row r="51" ht="52">
      <x:c r="A51" s="2" t="s">
        <x:v>91</x:v>
      </x:c>
      <x:c r="B51" s="2" t="s">
        <x:v>13</x:v>
      </x:c>
      <x:c r="C51" s="3">
        <x:v>49</x:v>
      </x:c>
      <x:c r="D51" s="2" t="s">
        <x:v>718</x:v>
      </x:c>
      <x:c r="E51" s="2" t="s">
        <x:v>719</x:v>
      </x:c>
      <x:c r="F51" s="2" t="s">
        <x:v>157</x:v>
      </x:c>
      <x:c r="G51" s="2" t="s">
        <x:v>3065</x:v>
      </x:c>
      <x:c r="H51" s="2" t="s">
        <x:v>627</x:v>
      </x:c>
      <x:c r="I51" s="2" t="s">
        <x:v>716</x:v>
      </x:c>
      <x:c r="J51" s="2" t="s">
        <x:v>628</x:v>
      </x:c>
      <x:c r="K51" s="2" t="n">
        <x:v>48</x:v>
      </x:c>
      <x:c r="L51" s="2">
        <x:v>153</x:v>
      </x:c>
      <x:c r="M51" s="2" t="s">
        <x:v>720</x:v>
      </x:c>
      <x:c r="N51" s="2">
        <x:v>2</x:v>
      </x:c>
      <x:c r="O51" s="2" t="s">
        <x:v>721</x:v>
      </x:c>
      <x:c r="P51" s="2" t="s">
        <x:v>631</x:v>
      </x:c>
      <x:c r="Q51" s="2"/>
      <x:c r="R51" s="3">
        <x:v>3</x:v>
      </x:c>
      <x:c r="S51" s="3">
        <x:v>1</x:v>
      </x:c>
      <x:c r="T51" s="2" t="s">
        <x:v>103</x:v>
      </x:c>
      <x:c r="U51" s="2" t="s">
        <x:v>632</x:v>
      </x:c>
      <x:c r="V51" s="2" t="s">
        <x:v>154</x:v>
      </x:c>
      <x:c r="W51" s="2"/>
      <x:c r="X51" s="3"/>
      <x:c r="Y51" s="3"/>
      <x:c r="Z51" s="2"/>
      <x:c r="AA51" s="2"/>
      <x:c r="AB51" s="2"/>
      <x:c r="AC51" s="2"/>
      <x:c r="AD51" s="2"/>
      <x:c r="AE51" s="2"/>
      <x:c r="AF51" s="2"/>
      <x:c r="AG51" s="2"/>
      <x:c r="AH51" s="2"/>
      <x:c r="AI51" s="4"/>
      <x:c r="AJ51" s="2"/>
      <x:c r="AK51" s="2" t="s">
        <x:v>106</x:v>
      </x:c>
      <x:c r="AL51" s="2" t="s">
        <x:v>3061</x:v>
      </x:c>
      <x:c r="AM51" s="2">
        <x:v>51</x:v>
      </x:c>
      <x:c r="AN51" s="2">
        <x:v>51</x:v>
      </x:c>
    </x:row>
    <x:row r="52" ht="52">
      <x:c r="A52" s="2" t="s">
        <x:v>91</x:v>
      </x:c>
      <x:c r="B52" s="2" t="s">
        <x:v>13</x:v>
      </x:c>
      <x:c r="C52" s="3">
        <x:v>50</x:v>
      </x:c>
      <x:c r="D52" s="2" t="s">
        <x:v>669</x:v>
      </x:c>
      <x:c r="E52" s="2" t="s">
        <x:v>715</x:v>
      </x:c>
      <x:c r="F52" s="2" t="s">
        <x:v>157</x:v>
      </x:c>
      <x:c r="G52" s="2" t="s">
        <x:v>3066</x:v>
      </x:c>
      <x:c r="H52" s="2" t="s">
        <x:v>634</x:v>
      </x:c>
      <x:c r="I52" s="2" t="s">
        <x:v>716</x:v>
      </x:c>
      <x:c r="J52" s="2" t="s">
        <x:v>635</x:v>
      </x:c>
      <x:c r="K52" s="2" t="n">
        <x:v>48</x:v>
      </x:c>
      <x:c r="L52" s="2" t="s">
        <x:v>717</x:v>
      </x:c>
      <x:c r="M52" s="2" t="s">
        <x:v>636</x:v>
      </x:c>
      <x:c r="N52" s="2">
        <x:v>2</x:v>
      </x:c>
      <x:c r="O52" s="2" t="s">
        <x:v>637</x:v>
      </x:c>
      <x:c r="P52" s="2" t="s">
        <x:v>679</x:v>
      </x:c>
      <x:c r="Q52" s="2"/>
      <x:c r="R52" s="3">
        <x:v>3</x:v>
      </x:c>
      <x:c r="S52" s="3">
        <x:v>1</x:v>
      </x:c>
      <x:c r="T52" s="2" t="s">
        <x:v>103</x:v>
      </x:c>
      <x:c r="U52" s="2" t="s">
        <x:v>115</x:v>
      </x:c>
      <x:c r="V52" s="2" t="s">
        <x:v>154</x:v>
      </x:c>
      <x:c r="W52" s="2"/>
      <x:c r="X52" s="3"/>
      <x:c r="Y52" s="3"/>
      <x:c r="Z52" s="2"/>
      <x:c r="AA52" s="2"/>
      <x:c r="AB52" s="2"/>
      <x:c r="AC52" s="2"/>
      <x:c r="AD52" s="2"/>
      <x:c r="AE52" s="2"/>
      <x:c r="AF52" s="2"/>
      <x:c r="AG52" s="2"/>
      <x:c r="AH52" s="2"/>
      <x:c r="AI52" s="4"/>
      <x:c r="AJ52" s="2"/>
      <x:c r="AK52" s="2" t="s">
        <x:v>106</x:v>
      </x:c>
      <x:c r="AL52" s="2" t="s">
        <x:v>3061</x:v>
      </x:c>
      <x:c r="AM52" s="2">
        <x:v>52</x:v>
      </x:c>
      <x:c r="AN52" s="2">
        <x:v>52</x:v>
      </x:c>
    </x:row>
    <x:row r="53" ht="39">
      <x:c r="A53" s="2" t="s">
        <x:v>6</x:v>
      </x:c>
      <x:c r="B53" s="2" t="s">
        <x:v>13</x:v>
      </x:c>
      <x:c r="C53" s="3">
        <x:v>51</x:v>
      </x:c>
      <x:c r="D53" s="2" t="s">
        <x:v>722</x:v>
      </x:c>
      <x:c r="E53" s="2" t="s">
        <x:v>719</x:v>
      </x:c>
      <x:c r="F53" s="2" t="s">
        <x:v>157</x:v>
      </x:c>
      <x:c r="G53" s="2"/>
      <x:c r="H53" s="2" t="s">
        <x:v>634</x:v>
      </x:c>
      <x:c r="I53" s="2" t="s">
        <x:v>716</x:v>
      </x:c>
      <x:c r="J53" s="2" t="s">
        <x:v>640</x:v>
      </x:c>
      <x:c r="K53" s="2" t="n">
        <x:v>48</x:v>
      </x:c>
      <x:c r="L53" s="2">
        <x:v>153</x:v>
      </x:c>
      <x:c r="M53" s="2" t="s">
        <x:v>723</x:v>
      </x:c>
      <x:c r="N53" s="2">
        <x:v>2</x:v>
      </x:c>
      <x:c r="O53" s="2" t="s">
        <x:v>642</x:v>
      </x:c>
      <x:c r="P53" s="2" t="s">
        <x:v>643</x:v>
      </x:c>
      <x:c r="Q53" s="2"/>
      <x:c r="R53" s="3">
        <x:v>3</x:v>
      </x:c>
      <x:c r="S53" s="3">
        <x:v>1</x:v>
      </x:c>
      <x:c r="T53" s="2" t="s">
        <x:v>103</x:v>
      </x:c>
      <x:c r="U53" s="2" t="s">
        <x:v>632</x:v>
      </x:c>
      <x:c r="V53" s="2" t="s">
        <x:v>154</x:v>
      </x:c>
      <x:c r="W53" s="2"/>
      <x:c r="X53" s="3"/>
      <x:c r="Y53" s="3"/>
      <x:c r="Z53" s="2"/>
      <x:c r="AA53" s="2"/>
      <x:c r="AB53" s="2"/>
      <x:c r="AC53" s="2"/>
      <x:c r="AD53" s="2"/>
      <x:c r="AE53" s="2"/>
      <x:c r="AF53" s="2"/>
      <x:c r="AG53" s="2"/>
      <x:c r="AH53" s="2"/>
      <x:c r="AI53" s="4"/>
      <x:c r="AJ53" s="2"/>
      <x:c r="AK53" s="2" t="s">
        <x:v>106</x:v>
      </x:c>
      <x:c r="AL53" s="2" t="s">
        <x:v>3061</x:v>
      </x:c>
      <x:c r="AM53" s="2">
        <x:v>53</x:v>
      </x:c>
      <x:c r="AN53" s="2">
        <x:v>53</x:v>
      </x:c>
    </x:row>
    <x:row r="54" ht="39">
      <x:c r="A54" s="2" t="s">
        <x:v>6</x:v>
      </x:c>
      <x:c r="B54" s="2" t="s">
        <x:v>13</x:v>
      </x:c>
      <x:c r="C54" s="3">
        <x:v>52</x:v>
      </x:c>
      <x:c r="D54" s="2" t="s">
        <x:v>616</x:v>
      </x:c>
      <x:c r="E54" s="2" t="s">
        <x:v>724</x:v>
      </x:c>
      <x:c r="F54" s="2" t="s">
        <x:v>94</x:v>
      </x:c>
      <x:c r="G54" s="2"/>
      <x:c r="H54" s="2" t="s">
        <x:v>618</x:v>
      </x:c>
      <x:c r="I54" s="2" t="s">
        <x:v>725</x:v>
      </x:c>
      <x:c r="J54" s="2" t="s">
        <x:v>620</x:v>
      </x:c>
      <x:c r="K54" s="2"/>
      <x:c r="L54" s="2" t="s">
        <x:v>726</x:v>
      </x:c>
      <x:c r="M54" s="2" t="s">
        <x:v>622</x:v>
      </x:c>
      <x:c r="N54" s="2">
        <x:v>2</x:v>
      </x:c>
      <x:c r="O54" s="2" t="s">
        <x:v>623</x:v>
      </x:c>
      <x:c r="P54" s="2" t="s">
        <x:v>624</x:v>
      </x:c>
      <x:c r="Q54" s="2"/>
      <x:c r="R54" s="3">
        <x:v>4</x:v>
      </x:c>
      <x:c r="S54" s="3">
        <x:v>1</x:v>
      </x:c>
      <x:c r="T54" s="2" t="s">
        <x:v>103</x:v>
      </x:c>
      <x:c r="U54" s="2" t="s">
        <x:v>129</x:v>
      </x:c>
      <x:c r="V54" s="2" t="s">
        <x:v>105</x:v>
      </x:c>
      <x:c r="W54" s="2"/>
      <x:c r="X54" s="3"/>
      <x:c r="Y54" s="3"/>
      <x:c r="Z54" s="2"/>
      <x:c r="AA54" s="2"/>
      <x:c r="AB54" s="2"/>
      <x:c r="AC54" s="2"/>
      <x:c r="AD54" s="2"/>
      <x:c r="AE54" s="2"/>
      <x:c r="AF54" s="2"/>
      <x:c r="AG54" s="2"/>
      <x:c r="AH54" s="2"/>
      <x:c r="AI54" s="4"/>
      <x:c r="AJ54" s="2"/>
      <x:c r="AK54" s="2" t="s">
        <x:v>106</x:v>
      </x:c>
      <x:c r="AL54" s="2" t="s">
        <x:v>3061</x:v>
      </x:c>
      <x:c r="AM54" s="2">
        <x:v>54</x:v>
      </x:c>
      <x:c r="AN54" s="2">
        <x:v>54</x:v>
      </x:c>
    </x:row>
    <x:row r="55" ht="39">
      <x:c r="A55" s="2" t="s">
        <x:v>6</x:v>
      </x:c>
      <x:c r="B55" s="2" t="s">
        <x:v>13</x:v>
      </x:c>
      <x:c r="C55" s="3">
        <x:v>53</x:v>
      </x:c>
      <x:c r="D55" s="2" t="s">
        <x:v>676</x:v>
      </x:c>
      <x:c r="E55" s="2" t="s">
        <x:v>727</x:v>
      </x:c>
      <x:c r="F55" s="2" t="s">
        <x:v>94</x:v>
      </x:c>
      <x:c r="G55" s="2"/>
      <x:c r="H55" s="2" t="s">
        <x:v>627</x:v>
      </x:c>
      <x:c r="I55" s="2" t="s">
        <x:v>725</x:v>
      </x:c>
      <x:c r="J55" s="2" t="s">
        <x:v>628</x:v>
      </x:c>
      <x:c r="K55" s="2" t="n">
        <x:v>52</x:v>
      </x:c>
      <x:c r="L55" s="2">
        <x:v>39</x:v>
      </x:c>
      <x:c r="M55" s="2" t="s">
        <x:v>729</x:v>
      </x:c>
      <x:c r="N55" s="2">
        <x:v>2</x:v>
      </x:c>
      <x:c r="O55" s="2" t="s">
        <x:v>730</x:v>
      </x:c>
      <x:c r="P55" s="2" t="s">
        <x:v>631</x:v>
      </x:c>
      <x:c r="Q55" s="2"/>
      <x:c r="R55" s="3">
        <x:v>4</x:v>
      </x:c>
      <x:c r="S55" s="3">
        <x:v>1</x:v>
      </x:c>
      <x:c r="T55" s="2" t="s">
        <x:v>103</x:v>
      </x:c>
      <x:c r="U55" s="2" t="s">
        <x:v>632</x:v>
      </x:c>
      <x:c r="V55" s="2" t="s">
        <x:v>105</x:v>
      </x:c>
      <x:c r="W55" s="2"/>
      <x:c r="X55" s="3"/>
      <x:c r="Y55" s="3"/>
      <x:c r="Z55" s="2"/>
      <x:c r="AA55" s="2"/>
      <x:c r="AB55" s="2"/>
      <x:c r="AC55" s="2"/>
      <x:c r="AD55" s="2"/>
      <x:c r="AE55" s="2"/>
      <x:c r="AF55" s="2"/>
      <x:c r="AG55" s="2"/>
      <x:c r="AH55" s="2"/>
      <x:c r="AI55" s="4"/>
      <x:c r="AJ55" s="2"/>
      <x:c r="AK55" s="2" t="s">
        <x:v>106</x:v>
      </x:c>
      <x:c r="AL55" s="2" t="s">
        <x:v>3061</x:v>
      </x:c>
      <x:c r="AM55" s="2">
        <x:v>55</x:v>
      </x:c>
      <x:c r="AN55" s="2">
        <x:v>55</x:v>
      </x:c>
    </x:row>
    <x:row r="56" ht="52">
      <x:c r="A56" s="2" t="s">
        <x:v>91</x:v>
      </x:c>
      <x:c r="B56" s="2" t="s">
        <x:v>13</x:v>
      </x:c>
      <x:c r="C56" s="3">
        <x:v>54</x:v>
      </x:c>
      <x:c r="D56" s="2" t="s">
        <x:v>633</x:v>
      </x:c>
      <x:c r="E56" s="2" t="s">
        <x:v>724</x:v>
      </x:c>
      <x:c r="F56" s="2" t="s">
        <x:v>94</x:v>
      </x:c>
      <x:c r="G56" s="2" t="s">
        <x:v>3067</x:v>
      </x:c>
      <x:c r="H56" s="2" t="s">
        <x:v>634</x:v>
      </x:c>
      <x:c r="I56" s="2" t="s">
        <x:v>725</x:v>
      </x:c>
      <x:c r="J56" s="2" t="s">
        <x:v>635</x:v>
      </x:c>
      <x:c r="K56" s="2" t="n">
        <x:v>52</x:v>
      </x:c>
      <x:c r="L56" s="2" t="s">
        <x:v>726</x:v>
      </x:c>
      <x:c r="M56" s="2" t="s">
        <x:v>636</x:v>
      </x:c>
      <x:c r="N56" s="2">
        <x:v>2</x:v>
      </x:c>
      <x:c r="O56" s="2" t="s">
        <x:v>637</x:v>
      </x:c>
      <x:c r="P56" s="2" t="s">
        <x:v>638</x:v>
      </x:c>
      <x:c r="Q56" s="2"/>
      <x:c r="R56" s="3">
        <x:v>4</x:v>
      </x:c>
      <x:c r="S56" s="3">
        <x:v>1</x:v>
      </x:c>
      <x:c r="T56" s="2" t="s">
        <x:v>103</x:v>
      </x:c>
      <x:c r="U56" s="2" t="s">
        <x:v>129</x:v>
      </x:c>
      <x:c r="V56" s="2" t="s">
        <x:v>105</x:v>
      </x:c>
      <x:c r="W56" s="2"/>
      <x:c r="X56" s="3"/>
      <x:c r="Y56" s="3"/>
      <x:c r="Z56" s="2"/>
      <x:c r="AA56" s="2"/>
      <x:c r="AB56" s="2"/>
      <x:c r="AC56" s="2"/>
      <x:c r="AD56" s="2"/>
      <x:c r="AE56" s="2"/>
      <x:c r="AF56" s="2"/>
      <x:c r="AG56" s="2"/>
      <x:c r="AH56" s="2"/>
      <x:c r="AI56" s="4"/>
      <x:c r="AJ56" s="2"/>
      <x:c r="AK56" s="2" t="s">
        <x:v>106</x:v>
      </x:c>
      <x:c r="AL56" s="2" t="s">
        <x:v>3061</x:v>
      </x:c>
      <x:c r="AM56" s="2">
        <x:v>56</x:v>
      </x:c>
      <x:c r="AN56" s="2">
        <x:v>56</x:v>
      </x:c>
    </x:row>
    <x:row r="57" ht="39">
      <x:c r="A57" s="2" t="s">
        <x:v>6</x:v>
      </x:c>
      <x:c r="B57" s="2" t="s">
        <x:v>13</x:v>
      </x:c>
      <x:c r="C57" s="3">
        <x:v>55</x:v>
      </x:c>
      <x:c r="D57" s="2" t="s">
        <x:v>731</x:v>
      </x:c>
      <x:c r="E57" s="2" t="s">
        <x:v>727</x:v>
      </x:c>
      <x:c r="F57" s="2" t="s">
        <x:v>94</x:v>
      </x:c>
      <x:c r="G57" s="2"/>
      <x:c r="H57" s="2" t="s">
        <x:v>634</x:v>
      </x:c>
      <x:c r="I57" s="2" t="s">
        <x:v>725</x:v>
      </x:c>
      <x:c r="J57" s="2" t="s">
        <x:v>640</x:v>
      </x:c>
      <x:c r="K57" s="2" t="n">
        <x:v>52</x:v>
      </x:c>
      <x:c r="L57" s="2">
        <x:v>39</x:v>
      </x:c>
      <x:c r="M57" s="2" t="s">
        <x:v>732</x:v>
      </x:c>
      <x:c r="N57" s="2">
        <x:v>2</x:v>
      </x:c>
      <x:c r="O57" s="2" t="s">
        <x:v>642</x:v>
      </x:c>
      <x:c r="P57" s="2" t="s">
        <x:v>643</x:v>
      </x:c>
      <x:c r="Q57" s="2"/>
      <x:c r="R57" s="3">
        <x:v>4</x:v>
      </x:c>
      <x:c r="S57" s="3">
        <x:v>1</x:v>
      </x:c>
      <x:c r="T57" s="2" t="s">
        <x:v>103</x:v>
      </x:c>
      <x:c r="U57" s="2" t="s">
        <x:v>632</x:v>
      </x:c>
      <x:c r="V57" s="2" t="s">
        <x:v>105</x:v>
      </x:c>
      <x:c r="W57" s="2"/>
      <x:c r="X57" s="3"/>
      <x:c r="Y57" s="3"/>
      <x:c r="Z57" s="2"/>
      <x:c r="AA57" s="2"/>
      <x:c r="AB57" s="2"/>
      <x:c r="AC57" s="2"/>
      <x:c r="AD57" s="2"/>
      <x:c r="AE57" s="2"/>
      <x:c r="AF57" s="2"/>
      <x:c r="AG57" s="2"/>
      <x:c r="AH57" s="2"/>
      <x:c r="AI57" s="4"/>
      <x:c r="AJ57" s="2"/>
      <x:c r="AK57" s="2" t="s">
        <x:v>106</x:v>
      </x:c>
      <x:c r="AL57" s="2" t="s">
        <x:v>3061</x:v>
      </x:c>
      <x:c r="AM57" s="2">
        <x:v>57</x:v>
      </x:c>
      <x:c r="AN57" s="2">
        <x:v>57</x:v>
      </x:c>
    </x:row>
    <x:row r="58" ht="65">
      <x:c r="A58" s="2" t="s">
        <x:v>91</x:v>
      </x:c>
      <x:c r="B58" s="2" t="s">
        <x:v>13</x:v>
      </x:c>
      <x:c r="C58" s="3">
        <x:v>56</x:v>
      </x:c>
      <x:c r="D58" s="2" t="s">
        <x:v>644</x:v>
      </x:c>
      <x:c r="E58" s="2" t="s">
        <x:v>733</x:v>
      </x:c>
      <x:c r="F58" s="2" t="s">
        <x:v>118</x:v>
      </x:c>
      <x:c r="G58" s="2" t="s">
        <x:v>3068</x:v>
      </x:c>
      <x:c r="H58" s="2" t="s">
        <x:v>618</x:v>
      </x:c>
      <x:c r="I58" s="2" t="s">
        <x:v>734</x:v>
      </x:c>
      <x:c r="J58" s="2" t="s">
        <x:v>620</x:v>
      </x:c>
      <x:c r="K58" s="2"/>
      <x:c r="L58" s="2" t="s">
        <x:v>735</x:v>
      </x:c>
      <x:c r="M58" s="2" t="s">
        <x:v>648</x:v>
      </x:c>
      <x:c r="N58" s="2">
        <x:v>2</x:v>
      </x:c>
      <x:c r="O58" s="2" t="s">
        <x:v>623</x:v>
      </x:c>
      <x:c r="P58" s="2" t="s">
        <x:v>649</x:v>
      </x:c>
      <x:c r="Q58" s="2"/>
      <x:c r="R58" s="3">
        <x:v>2</x:v>
      </x:c>
      <x:c r="S58" s="3">
        <x:v>1</x:v>
      </x:c>
      <x:c r="T58" s="2" t="s">
        <x:v>103</x:v>
      </x:c>
      <x:c r="U58" s="2" t="s">
        <x:v>104</x:v>
      </x:c>
      <x:c r="V58" s="2" t="s">
        <x:v>123</x:v>
      </x:c>
      <x:c r="W58" s="2"/>
      <x:c r="X58" s="3"/>
      <x:c r="Y58" s="3"/>
      <x:c r="Z58" s="2"/>
      <x:c r="AA58" s="2"/>
      <x:c r="AB58" s="2"/>
      <x:c r="AC58" s="2"/>
      <x:c r="AD58" s="2"/>
      <x:c r="AE58" s="2"/>
      <x:c r="AF58" s="2"/>
      <x:c r="AG58" s="2"/>
      <x:c r="AH58" s="2"/>
      <x:c r="AI58" s="4"/>
      <x:c r="AJ58" s="2"/>
      <x:c r="AK58" s="2" t="s">
        <x:v>106</x:v>
      </x:c>
      <x:c r="AL58" s="2" t="s">
        <x:v>3061</x:v>
      </x:c>
      <x:c r="AM58" s="2">
        <x:v>58</x:v>
      </x:c>
      <x:c r="AN58" s="2">
        <x:v>58</x:v>
      </x:c>
    </x:row>
    <x:row r="59" ht="65">
      <x:c r="A59" s="2" t="s">
        <x:v>6</x:v>
      </x:c>
      <x:c r="B59" s="2" t="s">
        <x:v>13</x:v>
      </x:c>
      <x:c r="C59" s="3">
        <x:v>57</x:v>
      </x:c>
      <x:c r="D59" s="2" t="s">
        <x:v>698</x:v>
      </x:c>
      <x:c r="E59" s="2" t="s">
        <x:v>736</x:v>
      </x:c>
      <x:c r="F59" s="2" t="s">
        <x:v>118</x:v>
      </x:c>
      <x:c r="G59" s="2"/>
      <x:c r="H59" s="2" t="s">
        <x:v>627</x:v>
      </x:c>
      <x:c r="I59" s="2" t="s">
        <x:v>734</x:v>
      </x:c>
      <x:c r="J59" s="2" t="s">
        <x:v>628</x:v>
      </x:c>
      <x:c r="K59" s="2" t="n">
        <x:v>56</x:v>
      </x:c>
      <x:c r="L59" s="2">
        <x:v>71</x:v>
      </x:c>
      <x:c r="M59" s="2" t="s">
        <x:v>737</x:v>
      </x:c>
      <x:c r="N59" s="2">
        <x:v>2</x:v>
      </x:c>
      <x:c r="O59" s="2" t="s">
        <x:v>738</x:v>
      </x:c>
      <x:c r="P59" s="2" t="s">
        <x:v>654</x:v>
      </x:c>
      <x:c r="Q59" s="2"/>
      <x:c r="R59" s="3">
        <x:v>2</x:v>
      </x:c>
      <x:c r="S59" s="3">
        <x:v>1</x:v>
      </x:c>
      <x:c r="T59" s="2" t="s">
        <x:v>103</x:v>
      </x:c>
      <x:c r="U59" s="2" t="s">
        <x:v>632</x:v>
      </x:c>
      <x:c r="V59" s="2" t="s">
        <x:v>123</x:v>
      </x:c>
      <x:c r="W59" s="2"/>
      <x:c r="X59" s="3"/>
      <x:c r="Y59" s="3"/>
      <x:c r="Z59" s="2"/>
      <x:c r="AA59" s="2"/>
      <x:c r="AB59" s="2"/>
      <x:c r="AC59" s="2"/>
      <x:c r="AD59" s="2"/>
      <x:c r="AE59" s="2"/>
      <x:c r="AF59" s="2"/>
      <x:c r="AG59" s="2"/>
      <x:c r="AH59" s="2"/>
      <x:c r="AI59" s="4"/>
      <x:c r="AJ59" s="2"/>
      <x:c r="AK59" s="2" t="s">
        <x:v>106</x:v>
      </x:c>
      <x:c r="AL59" s="2" t="s">
        <x:v>3061</x:v>
      </x:c>
      <x:c r="AM59" s="2">
        <x:v>59</x:v>
      </x:c>
      <x:c r="AN59" s="2">
        <x:v>59</x:v>
      </x:c>
    </x:row>
    <x:row r="60" ht="65">
      <x:c r="A60" s="2" t="s">
        <x:v>6</x:v>
      </x:c>
      <x:c r="B60" s="2" t="s">
        <x:v>13</x:v>
      </x:c>
      <x:c r="C60" s="3">
        <x:v>58</x:v>
      </x:c>
      <x:c r="D60" s="2" t="s">
        <x:v>655</x:v>
      </x:c>
      <x:c r="E60" s="2" t="s">
        <x:v>733</x:v>
      </x:c>
      <x:c r="F60" s="2" t="s">
        <x:v>118</x:v>
      </x:c>
      <x:c r="G60" s="2"/>
      <x:c r="H60" s="2" t="s">
        <x:v>634</x:v>
      </x:c>
      <x:c r="I60" s="2" t="s">
        <x:v>734</x:v>
      </x:c>
      <x:c r="J60" s="2" t="s">
        <x:v>635</x:v>
      </x:c>
      <x:c r="K60" s="2" t="n">
        <x:v>56</x:v>
      </x:c>
      <x:c r="L60" s="2" t="s">
        <x:v>735</x:v>
      </x:c>
      <x:c r="M60" s="2" t="s">
        <x:v>656</x:v>
      </x:c>
      <x:c r="N60" s="2">
        <x:v>2</x:v>
      </x:c>
      <x:c r="O60" s="2" t="s">
        <x:v>637</x:v>
      </x:c>
      <x:c r="P60" s="2" t="s">
        <x:v>657</x:v>
      </x:c>
      <x:c r="Q60" s="2"/>
      <x:c r="R60" s="3">
        <x:v>2</x:v>
      </x:c>
      <x:c r="S60" s="3">
        <x:v>1</x:v>
      </x:c>
      <x:c r="T60" s="2" t="s">
        <x:v>103</x:v>
      </x:c>
      <x:c r="U60" s="2" t="s">
        <x:v>104</x:v>
      </x:c>
      <x:c r="V60" s="2" t="s">
        <x:v>123</x:v>
      </x:c>
      <x:c r="W60" s="2"/>
      <x:c r="X60" s="3"/>
      <x:c r="Y60" s="3"/>
      <x:c r="Z60" s="2"/>
      <x:c r="AA60" s="2"/>
      <x:c r="AB60" s="2"/>
      <x:c r="AC60" s="2"/>
      <x:c r="AD60" s="2"/>
      <x:c r="AE60" s="2"/>
      <x:c r="AF60" s="2"/>
      <x:c r="AG60" s="2"/>
      <x:c r="AH60" s="2"/>
      <x:c r="AI60" s="4"/>
      <x:c r="AJ60" s="2"/>
      <x:c r="AK60" s="2" t="s">
        <x:v>106</x:v>
      </x:c>
      <x:c r="AL60" s="2" t="s">
        <x:v>3061</x:v>
      </x:c>
      <x:c r="AM60" s="2">
        <x:v>60</x:v>
      </x:c>
      <x:c r="AN60" s="2">
        <x:v>60</x:v>
      </x:c>
    </x:row>
    <x:row r="61" ht="39">
      <x:c r="A61" s="2" t="s">
        <x:v>6</x:v>
      </x:c>
      <x:c r="B61" s="2" t="s">
        <x:v>13</x:v>
      </x:c>
      <x:c r="C61" s="3">
        <x:v>59</x:v>
      </x:c>
      <x:c r="D61" s="2" t="s">
        <x:v>739</x:v>
      </x:c>
      <x:c r="E61" s="2" t="s">
        <x:v>736</x:v>
      </x:c>
      <x:c r="F61" s="2" t="s">
        <x:v>118</x:v>
      </x:c>
      <x:c r="G61" s="2"/>
      <x:c r="H61" s="2" t="s">
        <x:v>634</x:v>
      </x:c>
      <x:c r="I61" s="2" t="s">
        <x:v>734</x:v>
      </x:c>
      <x:c r="J61" s="2" t="s">
        <x:v>640</x:v>
      </x:c>
      <x:c r="K61" s="2" t="n">
        <x:v>56</x:v>
      </x:c>
      <x:c r="L61" s="2">
        <x:v>71</x:v>
      </x:c>
      <x:c r="M61" s="2" t="s">
        <x:v>740</x:v>
      </x:c>
      <x:c r="N61" s="2">
        <x:v>2</x:v>
      </x:c>
      <x:c r="O61" s="2" t="s">
        <x:v>642</x:v>
      </x:c>
      <x:c r="P61" s="2" t="s">
        <x:v>643</x:v>
      </x:c>
      <x:c r="Q61" s="2"/>
      <x:c r="R61" s="3">
        <x:v>2</x:v>
      </x:c>
      <x:c r="S61" s="3">
        <x:v>1</x:v>
      </x:c>
      <x:c r="T61" s="2" t="s">
        <x:v>103</x:v>
      </x:c>
      <x:c r="U61" s="2" t="s">
        <x:v>632</x:v>
      </x:c>
      <x:c r="V61" s="2" t="s">
        <x:v>123</x:v>
      </x:c>
      <x:c r="W61" s="2"/>
      <x:c r="X61" s="3"/>
      <x:c r="Y61" s="3"/>
      <x:c r="Z61" s="2"/>
      <x:c r="AA61" s="2"/>
      <x:c r="AB61" s="2"/>
      <x:c r="AC61" s="2"/>
      <x:c r="AD61" s="2"/>
      <x:c r="AE61" s="2"/>
      <x:c r="AF61" s="2"/>
      <x:c r="AG61" s="2"/>
      <x:c r="AH61" s="2"/>
      <x:c r="AI61" s="4"/>
      <x:c r="AJ61" s="2"/>
      <x:c r="AK61" s="2" t="s">
        <x:v>106</x:v>
      </x:c>
      <x:c r="AL61" s="2" t="s">
        <x:v>3061</x:v>
      </x:c>
      <x:c r="AM61" s="2">
        <x:v>61</x:v>
      </x:c>
      <x:c r="AN61" s="2">
        <x:v>61</x:v>
      </x:c>
    </x:row>
    <x:row r="62" ht="65">
      <x:c r="A62" s="2" t="s">
        <x:v>91</x:v>
      </x:c>
      <x:c r="B62" s="2" t="s">
        <x:v>13</x:v>
      </x:c>
      <x:c r="C62" s="3">
        <x:v>60</x:v>
      </x:c>
      <x:c r="D62" s="2" t="s">
        <x:v>682</x:v>
      </x:c>
      <x:c r="E62" s="2" t="s">
        <x:v>741</x:v>
      </x:c>
      <x:c r="F62" s="2" t="s">
        <x:v>139</x:v>
      </x:c>
      <x:c r="G62" s="2" t="s">
        <x:v>778</x:v>
      </x:c>
      <x:c r="H62" s="2" t="s">
        <x:v>618</x:v>
      </x:c>
      <x:c r="I62" s="2" t="s">
        <x:v>743</x:v>
      </x:c>
      <x:c r="J62" s="2" t="s">
        <x:v>620</x:v>
      </x:c>
      <x:c r="K62" s="2"/>
      <x:c r="L62" s="2" t="s">
        <x:v>744</x:v>
      </x:c>
      <x:c r="M62" s="2" t="s">
        <x:v>648</x:v>
      </x:c>
      <x:c r="N62" s="2">
        <x:v>3</x:v>
      </x:c>
      <x:c r="O62" s="2" t="s">
        <x:v>623</x:v>
      </x:c>
      <x:c r="P62" s="2" t="s">
        <x:v>649</x:v>
      </x:c>
      <x:c r="Q62" s="2"/>
      <x:c r="R62" s="3">
        <x:v>3</x:v>
      </x:c>
      <x:c r="S62" s="3">
        <x:v>1</x:v>
      </x:c>
      <x:c r="T62" s="2" t="s">
        <x:v>103</x:v>
      </x:c>
      <x:c r="U62" s="2" t="s">
        <x:v>122</x:v>
      </x:c>
      <x:c r="V62" s="2" t="s">
        <x:v>136</x:v>
      </x:c>
      <x:c r="W62" s="2"/>
      <x:c r="X62" s="3"/>
      <x:c r="Y62" s="3"/>
      <x:c r="Z62" s="2"/>
      <x:c r="AA62" s="2"/>
      <x:c r="AB62" s="2"/>
      <x:c r="AC62" s="2"/>
      <x:c r="AD62" s="2"/>
      <x:c r="AE62" s="2"/>
      <x:c r="AF62" s="2"/>
      <x:c r="AG62" s="2"/>
      <x:c r="AH62" s="2"/>
      <x:c r="AI62" s="4"/>
      <x:c r="AJ62" s="2"/>
      <x:c r="AK62" s="2" t="s">
        <x:v>106</x:v>
      </x:c>
      <x:c r="AL62" s="2" t="s">
        <x:v>3061</x:v>
      </x:c>
      <x:c r="AM62" s="2">
        <x:v>62</x:v>
      </x:c>
      <x:c r="AN62" s="2">
        <x:v>62</x:v>
      </x:c>
    </x:row>
    <x:row r="63" ht="65">
      <x:c r="A63" s="2" t="s">
        <x:v>6</x:v>
      </x:c>
      <x:c r="B63" s="2" t="s">
        <x:v>13</x:v>
      </x:c>
      <x:c r="C63" s="3">
        <x:v>61</x:v>
      </x:c>
      <x:c r="D63" s="2" t="s">
        <x:v>745</x:v>
      </x:c>
      <x:c r="E63" s="2" t="s">
        <x:v>746</x:v>
      </x:c>
      <x:c r="F63" s="2" t="s">
        <x:v>139</x:v>
      </x:c>
      <x:c r="G63" s="2"/>
      <x:c r="H63" s="2" t="s">
        <x:v>627</x:v>
      </x:c>
      <x:c r="I63" s="2" t="s">
        <x:v>743</x:v>
      </x:c>
      <x:c r="J63" s="2" t="s">
        <x:v>628</x:v>
      </x:c>
      <x:c r="K63" s="2" t="n">
        <x:v>60</x:v>
      </x:c>
      <x:c r="L63" s="2">
        <x:v>102</x:v>
      </x:c>
      <x:c r="M63" s="2" t="s">
        <x:v>747</x:v>
      </x:c>
      <x:c r="N63" s="2">
        <x:v>3</x:v>
      </x:c>
      <x:c r="O63" s="2" t="s">
        <x:v>712</x:v>
      </x:c>
      <x:c r="P63" s="2" t="s">
        <x:v>654</x:v>
      </x:c>
      <x:c r="Q63" s="2"/>
      <x:c r="R63" s="3">
        <x:v>3</x:v>
      </x:c>
      <x:c r="S63" s="3">
        <x:v>1</x:v>
      </x:c>
      <x:c r="T63" s="2" t="s">
        <x:v>103</x:v>
      </x:c>
      <x:c r="U63" s="2" t="s">
        <x:v>632</x:v>
      </x:c>
      <x:c r="V63" s="2" t="s">
        <x:v>136</x:v>
      </x:c>
      <x:c r="W63" s="2"/>
      <x:c r="X63" s="3"/>
      <x:c r="Y63" s="3"/>
      <x:c r="Z63" s="2"/>
      <x:c r="AA63" s="2"/>
      <x:c r="AB63" s="2"/>
      <x:c r="AC63" s="2"/>
      <x:c r="AD63" s="2"/>
      <x:c r="AE63" s="2"/>
      <x:c r="AF63" s="2"/>
      <x:c r="AG63" s="2"/>
      <x:c r="AH63" s="2"/>
      <x:c r="AI63" s="4"/>
      <x:c r="AJ63" s="2"/>
      <x:c r="AK63" s="2" t="s">
        <x:v>106</x:v>
      </x:c>
      <x:c r="AL63" s="2" t="s">
        <x:v>3061</x:v>
      </x:c>
      <x:c r="AM63" s="2">
        <x:v>63</x:v>
      </x:c>
      <x:c r="AN63" s="2">
        <x:v>63</x:v>
      </x:c>
    </x:row>
    <x:row r="64" ht="39">
      <x:c r="A64" s="2" t="s">
        <x:v>91</x:v>
      </x:c>
      <x:c r="B64" s="2" t="s">
        <x:v>13</x:v>
      </x:c>
      <x:c r="C64" s="3">
        <x:v>62</x:v>
      </x:c>
      <x:c r="D64" s="2" t="s">
        <x:v>660</x:v>
      </x:c>
      <x:c r="E64" s="2" t="s">
        <x:v>748</x:v>
      </x:c>
      <x:c r="F64" s="2" t="s">
        <x:v>157</x:v>
      </x:c>
      <x:c r="G64" s="2" t="s">
        <x:v>783</x:v>
      </x:c>
      <x:c r="H64" s="2" t="s">
        <x:v>618</x:v>
      </x:c>
      <x:c r="I64" s="2" t="s">
        <x:v>749</x:v>
      </x:c>
      <x:c r="J64" s="2" t="s">
        <x:v>620</x:v>
      </x:c>
      <x:c r="K64" s="2"/>
      <x:c r="L64" s="2" t="s">
        <x:v>750</x:v>
      </x:c>
      <x:c r="M64" s="2" t="s">
        <x:v>622</x:v>
      </x:c>
      <x:c r="N64" s="2">
        <x:v>3</x:v>
      </x:c>
      <x:c r="O64" s="2" t="s">
        <x:v>623</x:v>
      </x:c>
      <x:c r="P64" s="2" t="s">
        <x:v>624</x:v>
      </x:c>
      <x:c r="Q64" s="2"/>
      <x:c r="R64" s="3">
        <x:v>4</x:v>
      </x:c>
      <x:c r="S64" s="3">
        <x:v>1</x:v>
      </x:c>
      <x:c r="T64" s="2" t="s">
        <x:v>103</x:v>
      </x:c>
      <x:c r="U64" s="2" t="s">
        <x:v>115</x:v>
      </x:c>
      <x:c r="V64" s="2" t="s">
        <x:v>154</x:v>
      </x:c>
      <x:c r="W64" s="2"/>
      <x:c r="X64" s="3"/>
      <x:c r="Y64" s="3"/>
      <x:c r="Z64" s="2"/>
      <x:c r="AA64" s="2"/>
      <x:c r="AB64" s="2"/>
      <x:c r="AC64" s="2"/>
      <x:c r="AD64" s="2"/>
      <x:c r="AE64" s="2"/>
      <x:c r="AF64" s="2"/>
      <x:c r="AG64" s="2"/>
      <x:c r="AH64" s="2"/>
      <x:c r="AI64" s="4"/>
      <x:c r="AJ64" s="2"/>
      <x:c r="AK64" s="2" t="s">
        <x:v>106</x:v>
      </x:c>
      <x:c r="AL64" s="2" t="s">
        <x:v>3061</x:v>
      </x:c>
      <x:c r="AM64" s="2">
        <x:v>64</x:v>
      </x:c>
      <x:c r="AN64" s="2">
        <x:v>64</x:v>
      </x:c>
    </x:row>
    <x:row r="65" ht="52">
      <x:c r="A65" s="2" t="s">
        <x:v>91</x:v>
      </x:c>
      <x:c r="B65" s="2" t="s">
        <x:v>13</x:v>
      </x:c>
      <x:c r="C65" s="3">
        <x:v>63</x:v>
      </x:c>
      <x:c r="D65" s="2" t="s">
        <x:v>665</x:v>
      </x:c>
      <x:c r="E65" s="2" t="s">
        <x:v>751</x:v>
      </x:c>
      <x:c r="F65" s="2" t="s">
        <x:v>157</x:v>
      </x:c>
      <x:c r="G65" s="2" t="s">
        <x:v>3069</x:v>
      </x:c>
      <x:c r="H65" s="2" t="s">
        <x:v>627</x:v>
      </x:c>
      <x:c r="I65" s="2" t="s">
        <x:v>749</x:v>
      </x:c>
      <x:c r="J65" s="2" t="s">
        <x:v>628</x:v>
      </x:c>
      <x:c r="K65" s="2" t="n">
        <x:v>62</x:v>
      </x:c>
      <x:c r="L65" s="2">
        <x:v>172</x:v>
      </x:c>
      <x:c r="M65" s="2" t="s">
        <x:v>752</x:v>
      </x:c>
      <x:c r="N65" s="2">
        <x:v>3</x:v>
      </x:c>
      <x:c r="O65" s="2" t="s">
        <x:v>753</x:v>
      </x:c>
      <x:c r="P65" s="2" t="s">
        <x:v>631</x:v>
      </x:c>
      <x:c r="Q65" s="2"/>
      <x:c r="R65" s="3">
        <x:v>4</x:v>
      </x:c>
      <x:c r="S65" s="3">
        <x:v>1</x:v>
      </x:c>
      <x:c r="T65" s="2" t="s">
        <x:v>103</x:v>
      </x:c>
      <x:c r="U65" s="2" t="s">
        <x:v>632</x:v>
      </x:c>
      <x:c r="V65" s="2" t="s">
        <x:v>154</x:v>
      </x:c>
      <x:c r="W65" s="2"/>
      <x:c r="X65" s="3"/>
      <x:c r="Y65" s="3"/>
      <x:c r="Z65" s="2"/>
      <x:c r="AA65" s="2"/>
      <x:c r="AB65" s="2"/>
      <x:c r="AC65" s="2"/>
      <x:c r="AD65" s="2"/>
      <x:c r="AE65" s="2"/>
      <x:c r="AF65" s="2"/>
      <x:c r="AG65" s="2"/>
      <x:c r="AH65" s="2"/>
      <x:c r="AI65" s="4"/>
      <x:c r="AJ65" s="2"/>
      <x:c r="AK65" s="2" t="s">
        <x:v>106</x:v>
      </x:c>
      <x:c r="AL65" s="2" t="s">
        <x:v>3061</x:v>
      </x:c>
      <x:c r="AM65" s="2">
        <x:v>65</x:v>
      </x:c>
      <x:c r="AN65" s="2">
        <x:v>65</x:v>
      </x:c>
    </x:row>
    <x:row r="66" ht="39">
      <x:c r="A66" s="2" t="s">
        <x:v>91</x:v>
      </x:c>
      <x:c r="B66" s="2" t="s">
        <x:v>13</x:v>
      </x:c>
      <x:c r="C66" s="3">
        <x:v>64</x:v>
      </x:c>
      <x:c r="D66" s="2" t="s">
        <x:v>616</x:v>
      </x:c>
      <x:c r="E66" s="2" t="s">
        <x:v>754</x:v>
      </x:c>
      <x:c r="F66" s="2" t="s">
        <x:v>94</x:v>
      </x:c>
      <x:c r="G66" s="2" t="s">
        <x:v>3070</x:v>
      </x:c>
      <x:c r="H66" s="2" t="s">
        <x:v>618</x:v>
      </x:c>
      <x:c r="I66" s="2" t="s">
        <x:v>755</x:v>
      </x:c>
      <x:c r="J66" s="2" t="s">
        <x:v>620</x:v>
      </x:c>
      <x:c r="K66" s="2"/>
      <x:c r="L66" s="2" t="s">
        <x:v>756</x:v>
      </x:c>
      <x:c r="M66" s="2" t="s">
        <x:v>622</x:v>
      </x:c>
      <x:c r="N66" s="2">
        <x:v>3</x:v>
      </x:c>
      <x:c r="O66" s="2" t="s">
        <x:v>623</x:v>
      </x:c>
      <x:c r="P66" s="2" t="s">
        <x:v>675</x:v>
      </x:c>
      <x:c r="Q66" s="2"/>
      <x:c r="R66" s="3">
        <x:v>2</x:v>
      </x:c>
      <x:c r="S66" s="3">
        <x:v>1</x:v>
      </x:c>
      <x:c r="T66" s="2" t="s">
        <x:v>103</x:v>
      </x:c>
      <x:c r="U66" s="2" t="s">
        <x:v>129</x:v>
      </x:c>
      <x:c r="V66" s="2" t="s">
        <x:v>105</x:v>
      </x:c>
      <x:c r="W66" s="2"/>
      <x:c r="X66" s="3"/>
      <x:c r="Y66" s="3"/>
      <x:c r="Z66" s="2"/>
      <x:c r="AA66" s="2"/>
      <x:c r="AB66" s="2"/>
      <x:c r="AC66" s="2"/>
      <x:c r="AD66" s="2"/>
      <x:c r="AE66" s="2"/>
      <x:c r="AF66" s="2"/>
      <x:c r="AG66" s="2"/>
      <x:c r="AH66" s="2"/>
      <x:c r="AI66" s="4"/>
      <x:c r="AJ66" s="2"/>
      <x:c r="AK66" s="2" t="s">
        <x:v>106</x:v>
      </x:c>
      <x:c r="AL66" s="2" t="s">
        <x:v>3061</x:v>
      </x:c>
      <x:c r="AM66" s="2">
        <x:v>66</x:v>
      </x:c>
      <x:c r="AN66" s="2">
        <x:v>66</x:v>
      </x:c>
    </x:row>
    <x:row r="67" ht="52">
      <x:c r="A67" s="2" t="s">
        <x:v>6</x:v>
      </x:c>
      <x:c r="B67" s="2" t="s">
        <x:v>13</x:v>
      </x:c>
      <x:c r="C67" s="3">
        <x:v>65</x:v>
      </x:c>
      <x:c r="D67" s="2" t="s">
        <x:v>625</x:v>
      </x:c>
      <x:c r="E67" s="2" t="s">
        <x:v>757</x:v>
      </x:c>
      <x:c r="F67" s="2" t="s">
        <x:v>94</x:v>
      </x:c>
      <x:c r="G67" s="2"/>
      <x:c r="H67" s="2" t="s">
        <x:v>627</x:v>
      </x:c>
      <x:c r="I67" s="2" t="s">
        <x:v>755</x:v>
      </x:c>
      <x:c r="J67" s="2" t="s">
        <x:v>628</x:v>
      </x:c>
      <x:c r="K67" s="2" t="n">
        <x:v>64</x:v>
      </x:c>
      <x:c r="L67" s="2">
        <x:v>32</x:v>
      </x:c>
      <x:c r="M67" s="2" t="s">
        <x:v>758</x:v>
      </x:c>
      <x:c r="N67" s="2">
        <x:v>3</x:v>
      </x:c>
      <x:c r="O67" s="2" t="s">
        <x:v>630</x:v>
      </x:c>
      <x:c r="P67" s="2" t="s">
        <x:v>631</x:v>
      </x:c>
      <x:c r="Q67" s="2"/>
      <x:c r="R67" s="3">
        <x:v>2</x:v>
      </x:c>
      <x:c r="S67" s="3">
        <x:v>1</x:v>
      </x:c>
      <x:c r="T67" s="2" t="s">
        <x:v>103</x:v>
      </x:c>
      <x:c r="U67" s="2" t="s">
        <x:v>632</x:v>
      </x:c>
      <x:c r="V67" s="2" t="s">
        <x:v>105</x:v>
      </x:c>
      <x:c r="W67" s="2"/>
      <x:c r="X67" s="3"/>
      <x:c r="Y67" s="3"/>
      <x:c r="Z67" s="2"/>
      <x:c r="AA67" s="2"/>
      <x:c r="AB67" s="2"/>
      <x:c r="AC67" s="2"/>
      <x:c r="AD67" s="2"/>
      <x:c r="AE67" s="2"/>
      <x:c r="AF67" s="2"/>
      <x:c r="AG67" s="2"/>
      <x:c r="AH67" s="2"/>
      <x:c r="AI67" s="4"/>
      <x:c r="AJ67" s="2"/>
      <x:c r="AK67" s="2" t="s">
        <x:v>106</x:v>
      </x:c>
      <x:c r="AL67" s="2" t="s">
        <x:v>3061</x:v>
      </x:c>
      <x:c r="AM67" s="2">
        <x:v>67</x:v>
      </x:c>
      <x:c r="AN67" s="2">
        <x:v>67</x:v>
      </x:c>
    </x:row>
    <x:row r="68" ht="65">
      <x:c r="A68" s="2" t="s">
        <x:v>91</x:v>
      </x:c>
      <x:c r="B68" s="2" t="s">
        <x:v>13</x:v>
      </x:c>
      <x:c r="C68" s="3">
        <x:v>66</x:v>
      </x:c>
      <x:c r="D68" s="2" t="s">
        <x:v>644</x:v>
      </x:c>
      <x:c r="E68" s="2" t="s">
        <x:v>645</x:v>
      </x:c>
      <x:c r="F68" s="2" t="s">
        <x:v>118</x:v>
      </x:c>
      <x:c r="G68" s="2" t="s">
        <x:v>831</x:v>
      </x:c>
      <x:c r="H68" s="2" t="s">
        <x:v>618</x:v>
      </x:c>
      <x:c r="I68" s="2" t="s">
        <x:v>759</x:v>
      </x:c>
      <x:c r="J68" s="2" t="s">
        <x:v>620</x:v>
      </x:c>
      <x:c r="K68" s="2"/>
      <x:c r="L68" s="2" t="s">
        <x:v>697</x:v>
      </x:c>
      <x:c r="M68" s="2" t="s">
        <x:v>648</x:v>
      </x:c>
      <x:c r="N68" s="2">
        <x:v>3</x:v>
      </x:c>
      <x:c r="O68" s="2" t="s">
        <x:v>623</x:v>
      </x:c>
      <x:c r="P68" s="2" t="s">
        <x:v>649</x:v>
      </x:c>
      <x:c r="Q68" s="2"/>
      <x:c r="R68" s="3">
        <x:v>3</x:v>
      </x:c>
      <x:c r="S68" s="3">
        <x:v>1</x:v>
      </x:c>
      <x:c r="T68" s="2" t="s">
        <x:v>103</x:v>
      </x:c>
      <x:c r="U68" s="2" t="s">
        <x:v>104</x:v>
      </x:c>
      <x:c r="V68" s="2" t="s">
        <x:v>123</x:v>
      </x:c>
      <x:c r="W68" s="2"/>
      <x:c r="X68" s="3"/>
      <x:c r="Y68" s="3"/>
      <x:c r="Z68" s="2"/>
      <x:c r="AA68" s="2"/>
      <x:c r="AB68" s="2"/>
      <x:c r="AC68" s="2"/>
      <x:c r="AD68" s="2"/>
      <x:c r="AE68" s="2"/>
      <x:c r="AF68" s="2"/>
      <x:c r="AG68" s="2"/>
      <x:c r="AH68" s="2"/>
      <x:c r="AI68" s="4"/>
      <x:c r="AJ68" s="2"/>
      <x:c r="AK68" s="2" t="s">
        <x:v>106</x:v>
      </x:c>
      <x:c r="AL68" s="2" t="s">
        <x:v>3061</x:v>
      </x:c>
      <x:c r="AM68" s="2">
        <x:v>68</x:v>
      </x:c>
      <x:c r="AN68" s="2">
        <x:v>68</x:v>
      </x:c>
    </x:row>
    <x:row r="69" ht="65">
      <x:c r="A69" s="2" t="s">
        <x:v>6</x:v>
      </x:c>
      <x:c r="B69" s="2" t="s">
        <x:v>13</x:v>
      </x:c>
      <x:c r="C69" s="3">
        <x:v>67</x:v>
      </x:c>
      <x:c r="D69" s="2" t="s">
        <x:v>698</x:v>
      </x:c>
      <x:c r="E69" s="2" t="s">
        <x:v>651</x:v>
      </x:c>
      <x:c r="F69" s="2" t="s">
        <x:v>118</x:v>
      </x:c>
      <x:c r="G69" s="2"/>
      <x:c r="H69" s="2" t="s">
        <x:v>627</x:v>
      </x:c>
      <x:c r="I69" s="2" t="s">
        <x:v>759</x:v>
      </x:c>
      <x:c r="J69" s="2" t="s">
        <x:v>628</x:v>
      </x:c>
      <x:c r="K69" s="2" t="n">
        <x:v>66</x:v>
      </x:c>
      <x:c r="L69" s="2">
        <x:v>53</x:v>
      </x:c>
      <x:c r="M69" s="2" t="s">
        <x:v>760</x:v>
      </x:c>
      <x:c r="N69" s="2">
        <x:v>3</x:v>
      </x:c>
      <x:c r="O69" s="2" t="s">
        <x:v>653</x:v>
      </x:c>
      <x:c r="P69" s="2" t="s">
        <x:v>654</x:v>
      </x:c>
      <x:c r="Q69" s="2"/>
      <x:c r="R69" s="3">
        <x:v>3</x:v>
      </x:c>
      <x:c r="S69" s="3">
        <x:v>1</x:v>
      </x:c>
      <x:c r="T69" s="2" t="s">
        <x:v>103</x:v>
      </x:c>
      <x:c r="U69" s="2" t="s">
        <x:v>632</x:v>
      </x:c>
      <x:c r="V69" s="2" t="s">
        <x:v>123</x:v>
      </x:c>
      <x:c r="W69" s="2"/>
      <x:c r="X69" s="3"/>
      <x:c r="Y69" s="3"/>
      <x:c r="Z69" s="2"/>
      <x:c r="AA69" s="2"/>
      <x:c r="AB69" s="2"/>
      <x:c r="AC69" s="2"/>
      <x:c r="AD69" s="2"/>
      <x:c r="AE69" s="2"/>
      <x:c r="AF69" s="2"/>
      <x:c r="AG69" s="2"/>
      <x:c r="AH69" s="2"/>
      <x:c r="AI69" s="4"/>
      <x:c r="AJ69" s="2"/>
      <x:c r="AK69" s="2" t="s">
        <x:v>106</x:v>
      </x:c>
      <x:c r="AL69" s="2" t="s">
        <x:v>3061</x:v>
      </x:c>
      <x:c r="AM69" s="2">
        <x:v>69</x:v>
      </x:c>
      <x:c r="AN69" s="2">
        <x:v>69</x:v>
      </x:c>
    </x:row>
    <x:row r="70" ht="65">
      <x:c r="A70" s="2" t="s">
        <x:v>6</x:v>
      </x:c>
      <x:c r="B70" s="2" t="s">
        <x:v>13</x:v>
      </x:c>
      <x:c r="C70" s="3">
        <x:v>68</x:v>
      </x:c>
      <x:c r="D70" s="2" t="s">
        <x:v>682</x:v>
      </x:c>
      <x:c r="E70" s="2" t="s">
        <x:v>683</x:v>
      </x:c>
      <x:c r="F70" s="2" t="s">
        <x:v>139</x:v>
      </x:c>
      <x:c r="G70" s="2"/>
      <x:c r="H70" s="2" t="s">
        <x:v>618</x:v>
      </x:c>
      <x:c r="I70" s="2" t="s">
        <x:v>762</x:v>
      </x:c>
      <x:c r="J70" s="2" t="s">
        <x:v>620</x:v>
      </x:c>
      <x:c r="K70" s="2"/>
      <x:c r="L70" s="2" t="s">
        <x:v>763</x:v>
      </x:c>
      <x:c r="M70" s="2" t="s">
        <x:v>648</x:v>
      </x:c>
      <x:c r="N70" s="2">
        <x:v>3</x:v>
      </x:c>
      <x:c r="O70" s="2" t="s">
        <x:v>623</x:v>
      </x:c>
      <x:c r="P70" s="2" t="s">
        <x:v>649</x:v>
      </x:c>
      <x:c r="Q70" s="2"/>
      <x:c r="R70" s="3">
        <x:v>4</x:v>
      </x:c>
      <x:c r="S70" s="3">
        <x:v>1</x:v>
      </x:c>
      <x:c r="T70" s="2" t="s">
        <x:v>103</x:v>
      </x:c>
      <x:c r="U70" s="2" t="s">
        <x:v>122</x:v>
      </x:c>
      <x:c r="V70" s="2" t="s">
        <x:v>136</x:v>
      </x:c>
      <x:c r="W70" s="2"/>
      <x:c r="X70" s="3"/>
      <x:c r="Y70" s="3"/>
      <x:c r="Z70" s="2"/>
      <x:c r="AA70" s="2"/>
      <x:c r="AB70" s="2"/>
      <x:c r="AC70" s="2"/>
      <x:c r="AD70" s="2"/>
      <x:c r="AE70" s="2"/>
      <x:c r="AF70" s="2"/>
      <x:c r="AG70" s="2"/>
      <x:c r="AH70" s="2"/>
      <x:c r="AI70" s="4"/>
      <x:c r="AJ70" s="2"/>
      <x:c r="AK70" s="2" t="s">
        <x:v>106</x:v>
      </x:c>
      <x:c r="AL70" s="2" t="s">
        <x:v>3061</x:v>
      </x:c>
      <x:c r="AM70" s="2">
        <x:v>70</x:v>
      </x:c>
      <x:c r="AN70" s="2">
        <x:v>70</x:v>
      </x:c>
    </x:row>
    <x:row r="71" ht="65">
      <x:c r="A71" s="2" t="s">
        <x:v>6</x:v>
      </x:c>
      <x:c r="B71" s="2" t="s">
        <x:v>13</x:v>
      </x:c>
      <x:c r="C71" s="3">
        <x:v>69</x:v>
      </x:c>
      <x:c r="D71" s="2" t="s">
        <x:v>745</x:v>
      </x:c>
      <x:c r="E71" s="2" t="s">
        <x:v>687</x:v>
      </x:c>
      <x:c r="F71" s="2" t="s">
        <x:v>139</x:v>
      </x:c>
      <x:c r="G71" s="2"/>
      <x:c r="H71" s="2" t="s">
        <x:v>627</x:v>
      </x:c>
      <x:c r="I71" s="2" t="s">
        <x:v>762</x:v>
      </x:c>
      <x:c r="J71" s="2" t="s">
        <x:v>628</x:v>
      </x:c>
      <x:c r="K71" s="2" t="n">
        <x:v>68</x:v>
      </x:c>
      <x:c r="L71" s="2">
        <x:v>129</x:v>
      </x:c>
      <x:c r="M71" s="2" t="s">
        <x:v>764</x:v>
      </x:c>
      <x:c r="N71" s="2">
        <x:v>3</x:v>
      </x:c>
      <x:c r="O71" s="2" t="s">
        <x:v>689</x:v>
      </x:c>
      <x:c r="P71" s="2" t="s">
        <x:v>654</x:v>
      </x:c>
      <x:c r="Q71" s="2"/>
      <x:c r="R71" s="3">
        <x:v>4</x:v>
      </x:c>
      <x:c r="S71" s="3">
        <x:v>1</x:v>
      </x:c>
      <x:c r="T71" s="2" t="s">
        <x:v>103</x:v>
      </x:c>
      <x:c r="U71" s="2" t="s">
        <x:v>632</x:v>
      </x:c>
      <x:c r="V71" s="2" t="s">
        <x:v>136</x:v>
      </x:c>
      <x:c r="W71" s="2"/>
      <x:c r="X71" s="3"/>
      <x:c r="Y71" s="3"/>
      <x:c r="Z71" s="2"/>
      <x:c r="AA71" s="2"/>
      <x:c r="AB71" s="2"/>
      <x:c r="AC71" s="2"/>
      <x:c r="AD71" s="2"/>
      <x:c r="AE71" s="2"/>
      <x:c r="AF71" s="2"/>
      <x:c r="AG71" s="2"/>
      <x:c r="AH71" s="2"/>
      <x:c r="AI71" s="4"/>
      <x:c r="AJ71" s="2"/>
      <x:c r="AK71" s="2" t="s">
        <x:v>106</x:v>
      </x:c>
      <x:c r="AL71" s="2" t="s">
        <x:v>3061</x:v>
      </x:c>
      <x:c r="AM71" s="2">
        <x:v>71</x:v>
      </x:c>
      <x:c r="AN71" s="2">
        <x:v>71</x:v>
      </x:c>
    </x:row>
    <x:row r="72" ht="39">
      <x:c r="A72" s="2" t="s">
        <x:v>6</x:v>
      </x:c>
      <x:c r="B72" s="2" t="s">
        <x:v>13</x:v>
      </x:c>
      <x:c r="C72" s="3">
        <x:v>70</x:v>
      </x:c>
      <x:c r="D72" s="2" t="s">
        <x:v>660</x:v>
      </x:c>
      <x:c r="E72" s="2" t="s">
        <x:v>765</x:v>
      </x:c>
      <x:c r="F72" s="2" t="s">
        <x:v>157</x:v>
      </x:c>
      <x:c r="G72" s="2"/>
      <x:c r="H72" s="2" t="s">
        <x:v>618</x:v>
      </x:c>
      <x:c r="I72" s="2" t="s">
        <x:v>766</x:v>
      </x:c>
      <x:c r="J72" s="2" t="s">
        <x:v>620</x:v>
      </x:c>
      <x:c r="K72" s="2"/>
      <x:c r="L72" s="2" t="s">
        <x:v>767</x:v>
      </x:c>
      <x:c r="M72" s="2" t="s">
        <x:v>622</x:v>
      </x:c>
      <x:c r="N72" s="2">
        <x:v>3</x:v>
      </x:c>
      <x:c r="O72" s="2" t="s">
        <x:v>623</x:v>
      </x:c>
      <x:c r="P72" s="2" t="s">
        <x:v>675</x:v>
      </x:c>
      <x:c r="Q72" s="2"/>
      <x:c r="R72" s="3">
        <x:v>2</x:v>
      </x:c>
      <x:c r="S72" s="3">
        <x:v>1</x:v>
      </x:c>
      <x:c r="T72" s="2" t="s">
        <x:v>103</x:v>
      </x:c>
      <x:c r="U72" s="2" t="s">
        <x:v>115</x:v>
      </x:c>
      <x:c r="V72" s="2" t="s">
        <x:v>154</x:v>
      </x:c>
      <x:c r="W72" s="2"/>
      <x:c r="X72" s="3"/>
      <x:c r="Y72" s="3"/>
      <x:c r="Z72" s="2"/>
      <x:c r="AA72" s="2"/>
      <x:c r="AB72" s="2"/>
      <x:c r="AC72" s="2"/>
      <x:c r="AD72" s="2"/>
      <x:c r="AE72" s="2"/>
      <x:c r="AF72" s="2"/>
      <x:c r="AG72" s="2"/>
      <x:c r="AH72" s="2"/>
      <x:c r="AI72" s="4"/>
      <x:c r="AJ72" s="2"/>
      <x:c r="AK72" s="2" t="s">
        <x:v>106</x:v>
      </x:c>
      <x:c r="AL72" s="2" t="s">
        <x:v>3061</x:v>
      </x:c>
      <x:c r="AM72" s="2">
        <x:v>72</x:v>
      </x:c>
      <x:c r="AN72" s="2">
        <x:v>72</x:v>
      </x:c>
    </x:row>
    <x:row r="73" ht="52">
      <x:c r="A73" s="2" t="s">
        <x:v>6</x:v>
      </x:c>
      <x:c r="B73" s="2" t="s">
        <x:v>13</x:v>
      </x:c>
      <x:c r="C73" s="3">
        <x:v>71</x:v>
      </x:c>
      <x:c r="D73" s="2" t="s">
        <x:v>665</x:v>
      </x:c>
      <x:c r="E73" s="2" t="s">
        <x:v>768</x:v>
      </x:c>
      <x:c r="F73" s="2" t="s">
        <x:v>157</x:v>
      </x:c>
      <x:c r="G73" s="2"/>
      <x:c r="H73" s="2" t="s">
        <x:v>627</x:v>
      </x:c>
      <x:c r="I73" s="2" t="s">
        <x:v>766</x:v>
      </x:c>
      <x:c r="J73" s="2" t="s">
        <x:v>628</x:v>
      </x:c>
      <x:c r="K73" s="2" t="n">
        <x:v>70</x:v>
      </x:c>
      <x:c r="L73" s="2">
        <x:v>157</x:v>
      </x:c>
      <x:c r="M73" s="2" t="s">
        <x:v>769</x:v>
      </x:c>
      <x:c r="N73" s="2">
        <x:v>3</x:v>
      </x:c>
      <x:c r="O73" s="2" t="s">
        <x:v>668</x:v>
      </x:c>
      <x:c r="P73" s="2" t="s">
        <x:v>631</x:v>
      </x:c>
      <x:c r="Q73" s="2"/>
      <x:c r="R73" s="3">
        <x:v>2</x:v>
      </x:c>
      <x:c r="S73" s="3">
        <x:v>1</x:v>
      </x:c>
      <x:c r="T73" s="2" t="s">
        <x:v>103</x:v>
      </x:c>
      <x:c r="U73" s="2" t="s">
        <x:v>632</x:v>
      </x:c>
      <x:c r="V73" s="2" t="s">
        <x:v>154</x:v>
      </x:c>
      <x:c r="W73" s="2"/>
      <x:c r="X73" s="3"/>
      <x:c r="Y73" s="3"/>
      <x:c r="Z73" s="2"/>
      <x:c r="AA73" s="2"/>
      <x:c r="AB73" s="2"/>
      <x:c r="AC73" s="2"/>
      <x:c r="AD73" s="2"/>
      <x:c r="AE73" s="2"/>
      <x:c r="AF73" s="2"/>
      <x:c r="AG73" s="2"/>
      <x:c r="AH73" s="2"/>
      <x:c r="AI73" s="4"/>
      <x:c r="AJ73" s="2"/>
      <x:c r="AK73" s="2" t="s">
        <x:v>106</x:v>
      </x:c>
      <x:c r="AL73" s="2" t="s">
        <x:v>3061</x:v>
      </x:c>
      <x:c r="AM73" s="2">
        <x:v>73</x:v>
      </x:c>
      <x:c r="AN73" s="2">
        <x:v>73</x:v>
      </x:c>
    </x:row>
    <x:row r="74" ht="39">
      <x:c r="A74" s="2" t="s">
        <x:v>91</x:v>
      </x:c>
      <x:c r="B74" s="2" t="s">
        <x:v>13</x:v>
      </x:c>
      <x:c r="C74" s="3">
        <x:v>72</x:v>
      </x:c>
      <x:c r="D74" s="2" t="s">
        <x:v>616</x:v>
      </x:c>
      <x:c r="E74" s="2" t="s">
        <x:v>770</x:v>
      </x:c>
      <x:c r="F74" s="2" t="s">
        <x:v>94</x:v>
      </x:c>
      <x:c r="G74" s="2" t="s">
        <x:v>3067</x:v>
      </x:c>
      <x:c r="H74" s="2" t="s">
        <x:v>618</x:v>
      </x:c>
      <x:c r="I74" s="2" t="s">
        <x:v>772</x:v>
      </x:c>
      <x:c r="J74" s="2" t="s">
        <x:v>620</x:v>
      </x:c>
      <x:c r="K74" s="2"/>
      <x:c r="L74" s="2" t="s">
        <x:v>621</x:v>
      </x:c>
      <x:c r="M74" s="2" t="s">
        <x:v>622</x:v>
      </x:c>
      <x:c r="N74" s="2">
        <x:v>3</x:v>
      </x:c>
      <x:c r="O74" s="2" t="s">
        <x:v>623</x:v>
      </x:c>
      <x:c r="P74" s="2" t="s">
        <x:v>624</x:v>
      </x:c>
      <x:c r="Q74" s="2"/>
      <x:c r="R74" s="3">
        <x:v>3</x:v>
      </x:c>
      <x:c r="S74" s="3">
        <x:v>1</x:v>
      </x:c>
      <x:c r="T74" s="2" t="s">
        <x:v>103</x:v>
      </x:c>
      <x:c r="U74" s="2" t="s">
        <x:v>129</x:v>
      </x:c>
      <x:c r="V74" s="2" t="s">
        <x:v>105</x:v>
      </x:c>
      <x:c r="W74" s="2"/>
      <x:c r="X74" s="3"/>
      <x:c r="Y74" s="3"/>
      <x:c r="Z74" s="2"/>
      <x:c r="AA74" s="2"/>
      <x:c r="AB74" s="2"/>
      <x:c r="AC74" s="2"/>
      <x:c r="AD74" s="2"/>
      <x:c r="AE74" s="2"/>
      <x:c r="AF74" s="2"/>
      <x:c r="AG74" s="2"/>
      <x:c r="AH74" s="2"/>
      <x:c r="AI74" s="4"/>
      <x:c r="AJ74" s="2"/>
      <x:c r="AK74" s="2" t="s">
        <x:v>106</x:v>
      </x:c>
      <x:c r="AL74" s="2" t="s">
        <x:v>3061</x:v>
      </x:c>
      <x:c r="AM74" s="2">
        <x:v>74</x:v>
      </x:c>
      <x:c r="AN74" s="2">
        <x:v>74</x:v>
      </x:c>
    </x:row>
    <x:row r="75" ht="52">
      <x:c r="A75" s="2" t="s">
        <x:v>6</x:v>
      </x:c>
      <x:c r="B75" s="2" t="s">
        <x:v>13</x:v>
      </x:c>
      <x:c r="C75" s="3">
        <x:v>73</x:v>
      </x:c>
      <x:c r="D75" s="2" t="s">
        <x:v>625</x:v>
      </x:c>
      <x:c r="E75" s="2" t="s">
        <x:v>773</x:v>
      </x:c>
      <x:c r="F75" s="2" t="s">
        <x:v>94</x:v>
      </x:c>
      <x:c r="G75" s="2"/>
      <x:c r="H75" s="2" t="s">
        <x:v>627</x:v>
      </x:c>
      <x:c r="I75" s="2" t="s">
        <x:v>772</x:v>
      </x:c>
      <x:c r="J75" s="2" t="s">
        <x:v>628</x:v>
      </x:c>
      <x:c r="K75" s="2" t="n">
        <x:v>72</x:v>
      </x:c>
      <x:c r="L75" s="2">
        <x:v>35</x:v>
      </x:c>
      <x:c r="M75" s="2" t="s">
        <x:v>629</x:v>
      </x:c>
      <x:c r="N75" s="2">
        <x:v>3</x:v>
      </x:c>
      <x:c r="O75" s="2" t="s">
        <x:v>630</x:v>
      </x:c>
      <x:c r="P75" s="2" t="s">
        <x:v>631</x:v>
      </x:c>
      <x:c r="Q75" s="2"/>
      <x:c r="R75" s="3">
        <x:v>3</x:v>
      </x:c>
      <x:c r="S75" s="3">
        <x:v>1</x:v>
      </x:c>
      <x:c r="T75" s="2" t="s">
        <x:v>103</x:v>
      </x:c>
      <x:c r="U75" s="2" t="s">
        <x:v>632</x:v>
      </x:c>
      <x:c r="V75" s="2" t="s">
        <x:v>105</x:v>
      </x:c>
      <x:c r="W75" s="2"/>
      <x:c r="X75" s="3"/>
      <x:c r="Y75" s="3"/>
      <x:c r="Z75" s="2"/>
      <x:c r="AA75" s="2"/>
      <x:c r="AB75" s="2"/>
      <x:c r="AC75" s="2"/>
      <x:c r="AD75" s="2"/>
      <x:c r="AE75" s="2"/>
      <x:c r="AF75" s="2"/>
      <x:c r="AG75" s="2"/>
      <x:c r="AH75" s="2"/>
      <x:c r="AI75" s="4"/>
      <x:c r="AJ75" s="2"/>
      <x:c r="AK75" s="2" t="s">
        <x:v>106</x:v>
      </x:c>
      <x:c r="AL75" s="2" t="s">
        <x:v>3061</x:v>
      </x:c>
      <x:c r="AM75" s="2">
        <x:v>75</x:v>
      </x:c>
      <x:c r="AN75" s="2">
        <x:v>75</x:v>
      </x:c>
    </x:row>
    <x:row r="76" ht="65">
      <x:c r="A76" s="2" t="s">
        <x:v>91</x:v>
      </x:c>
      <x:c r="B76" s="2" t="s">
        <x:v>13</x:v>
      </x:c>
      <x:c r="C76" s="3">
        <x:v>74</x:v>
      </x:c>
      <x:c r="D76" s="2" t="s">
        <x:v>644</x:v>
      </x:c>
      <x:c r="E76" s="2" t="s">
        <x:v>694</x:v>
      </x:c>
      <x:c r="F76" s="2" t="s">
        <x:v>118</x:v>
      </x:c>
      <x:c r="G76" s="2" t="s">
        <x:v>831</x:v>
      </x:c>
      <x:c r="H76" s="2" t="s">
        <x:v>618</x:v>
      </x:c>
      <x:c r="I76" s="2" t="s">
        <x:v>774</x:v>
      </x:c>
      <x:c r="J76" s="2" t="s">
        <x:v>620</x:v>
      </x:c>
      <x:c r="K76" s="2"/>
      <x:c r="L76" s="2" t="s">
        <x:v>775</x:v>
      </x:c>
      <x:c r="M76" s="2" t="s">
        <x:v>648</x:v>
      </x:c>
      <x:c r="N76" s="2">
        <x:v>3</x:v>
      </x:c>
      <x:c r="O76" s="2" t="s">
        <x:v>623</x:v>
      </x:c>
      <x:c r="P76" s="2" t="s">
        <x:v>649</x:v>
      </x:c>
      <x:c r="Q76" s="2"/>
      <x:c r="R76" s="3">
        <x:v>4</x:v>
      </x:c>
      <x:c r="S76" s="3">
        <x:v>1</x:v>
      </x:c>
      <x:c r="T76" s="2" t="s">
        <x:v>103</x:v>
      </x:c>
      <x:c r="U76" s="2" t="s">
        <x:v>104</x:v>
      </x:c>
      <x:c r="V76" s="2" t="s">
        <x:v>123</x:v>
      </x:c>
      <x:c r="W76" s="2"/>
      <x:c r="X76" s="3"/>
      <x:c r="Y76" s="3"/>
      <x:c r="Z76" s="2"/>
      <x:c r="AA76" s="2"/>
      <x:c r="AB76" s="2"/>
      <x:c r="AC76" s="2"/>
      <x:c r="AD76" s="2"/>
      <x:c r="AE76" s="2"/>
      <x:c r="AF76" s="2"/>
      <x:c r="AG76" s="2"/>
      <x:c r="AH76" s="2"/>
      <x:c r="AI76" s="4"/>
      <x:c r="AJ76" s="2"/>
      <x:c r="AK76" s="2" t="s">
        <x:v>106</x:v>
      </x:c>
      <x:c r="AL76" s="2" t="s">
        <x:v>3061</x:v>
      </x:c>
      <x:c r="AM76" s="2">
        <x:v>76</x:v>
      </x:c>
      <x:c r="AN76" s="2">
        <x:v>76</x:v>
      </x:c>
    </x:row>
    <x:row r="77" ht="65">
      <x:c r="A77" s="2" t="s">
        <x:v>6</x:v>
      </x:c>
      <x:c r="B77" s="2" t="s">
        <x:v>13</x:v>
      </x:c>
      <x:c r="C77" s="3">
        <x:v>75</x:v>
      </x:c>
      <x:c r="D77" s="2" t="s">
        <x:v>776</x:v>
      </x:c>
      <x:c r="E77" s="2" t="s">
        <x:v>699</x:v>
      </x:c>
      <x:c r="F77" s="2" t="s">
        <x:v>118</x:v>
      </x:c>
      <x:c r="G77" s="2"/>
      <x:c r="H77" s="2" t="s">
        <x:v>627</x:v>
      </x:c>
      <x:c r="I77" s="2" t="s">
        <x:v>774</x:v>
      </x:c>
      <x:c r="J77" s="2" t="s">
        <x:v>628</x:v>
      </x:c>
      <x:c r="K77" s="2" t="n">
        <x:v>74</x:v>
      </x:c>
      <x:c r="L77" s="2">
        <x:v>72</x:v>
      </x:c>
      <x:c r="M77" s="2" t="s">
        <x:v>777</x:v>
      </x:c>
      <x:c r="N77" s="2">
        <x:v>3</x:v>
      </x:c>
      <x:c r="O77" s="2" t="s">
        <x:v>701</x:v>
      </x:c>
      <x:c r="P77" s="2" t="s">
        <x:v>654</x:v>
      </x:c>
      <x:c r="Q77" s="2"/>
      <x:c r="R77" s="3">
        <x:v>4</x:v>
      </x:c>
      <x:c r="S77" s="3">
        <x:v>1</x:v>
      </x:c>
      <x:c r="T77" s="2" t="s">
        <x:v>103</x:v>
      </x:c>
      <x:c r="U77" s="2" t="s">
        <x:v>632</x:v>
      </x:c>
      <x:c r="V77" s="2" t="s">
        <x:v>123</x:v>
      </x:c>
      <x:c r="W77" s="2"/>
      <x:c r="X77" s="3"/>
      <x:c r="Y77" s="3"/>
      <x:c r="Z77" s="2"/>
      <x:c r="AA77" s="2"/>
      <x:c r="AB77" s="2"/>
      <x:c r="AC77" s="2"/>
      <x:c r="AD77" s="2"/>
      <x:c r="AE77" s="2"/>
      <x:c r="AF77" s="2"/>
      <x:c r="AG77" s="2"/>
      <x:c r="AH77" s="2"/>
      <x:c r="AI77" s="4"/>
      <x:c r="AJ77" s="2"/>
      <x:c r="AK77" s="2" t="s">
        <x:v>106</x:v>
      </x:c>
      <x:c r="AL77" s="2" t="s">
        <x:v>3061</x:v>
      </x:c>
      <x:c r="AM77" s="2">
        <x:v>77</x:v>
      </x:c>
      <x:c r="AN77" s="2">
        <x:v>77</x:v>
      </x:c>
    </x:row>
    <x:row r="78" ht="65">
      <x:c r="A78" s="2" t="s">
        <x:v>6</x:v>
      </x:c>
      <x:c r="B78" s="2" t="s">
        <x:v>13</x:v>
      </x:c>
      <x:c r="C78" s="3">
        <x:v>76</x:v>
      </x:c>
      <x:c r="D78" s="2" t="s">
        <x:v>682</x:v>
      </x:c>
      <x:c r="E78" s="2" t="s">
        <x:v>705</x:v>
      </x:c>
      <x:c r="F78" s="2" t="s">
        <x:v>139</x:v>
      </x:c>
      <x:c r="G78" s="2"/>
      <x:c r="H78" s="2" t="s">
        <x:v>618</x:v>
      </x:c>
      <x:c r="I78" s="2" t="s">
        <x:v>779</x:v>
      </x:c>
      <x:c r="J78" s="2" t="s">
        <x:v>620</x:v>
      </x:c>
      <x:c r="K78" s="2"/>
      <x:c r="L78" s="2" t="s">
        <x:v>780</x:v>
      </x:c>
      <x:c r="M78" s="2" t="s">
        <x:v>648</x:v>
      </x:c>
      <x:c r="N78" s="2">
        <x:v>3</x:v>
      </x:c>
      <x:c r="O78" s="2" t="s">
        <x:v>623</x:v>
      </x:c>
      <x:c r="P78" s="2" t="s">
        <x:v>649</x:v>
      </x:c>
      <x:c r="Q78" s="2"/>
      <x:c r="R78" s="3">
        <x:v>2</x:v>
      </x:c>
      <x:c r="S78" s="3">
        <x:v>1</x:v>
      </x:c>
      <x:c r="T78" s="2" t="s">
        <x:v>103</x:v>
      </x:c>
      <x:c r="U78" s="2" t="s">
        <x:v>122</x:v>
      </x:c>
      <x:c r="V78" s="2" t="s">
        <x:v>136</x:v>
      </x:c>
      <x:c r="W78" s="2"/>
      <x:c r="X78" s="3"/>
      <x:c r="Y78" s="3"/>
      <x:c r="Z78" s="2"/>
      <x:c r="AA78" s="2"/>
      <x:c r="AB78" s="2"/>
      <x:c r="AC78" s="2"/>
      <x:c r="AD78" s="2"/>
      <x:c r="AE78" s="2"/>
      <x:c r="AF78" s="2"/>
      <x:c r="AG78" s="2"/>
      <x:c r="AH78" s="2"/>
      <x:c r="AI78" s="4"/>
      <x:c r="AJ78" s="2"/>
      <x:c r="AK78" s="2" t="s">
        <x:v>106</x:v>
      </x:c>
      <x:c r="AL78" s="2" t="s">
        <x:v>3061</x:v>
      </x:c>
      <x:c r="AM78" s="2">
        <x:v>78</x:v>
      </x:c>
      <x:c r="AN78" s="2">
        <x:v>78</x:v>
      </x:c>
    </x:row>
    <x:row r="79" ht="65">
      <x:c r="A79" s="2" t="s">
        <x:v>6</x:v>
      </x:c>
      <x:c r="B79" s="2" t="s">
        <x:v>13</x:v>
      </x:c>
      <x:c r="C79" s="3">
        <x:v>77</x:v>
      </x:c>
      <x:c r="D79" s="2" t="s">
        <x:v>745</x:v>
      </x:c>
      <x:c r="E79" s="2" t="s">
        <x:v>710</x:v>
      </x:c>
      <x:c r="F79" s="2" t="s">
        <x:v>139</x:v>
      </x:c>
      <x:c r="G79" s="2"/>
      <x:c r="H79" s="2" t="s">
        <x:v>627</x:v>
      </x:c>
      <x:c r="I79" s="2" t="s">
        <x:v>779</x:v>
      </x:c>
      <x:c r="J79" s="2" t="s">
        <x:v>628</x:v>
      </x:c>
      <x:c r="K79" s="2" t="n">
        <x:v>76</x:v>
      </x:c>
      <x:c r="L79" s="2">
        <x:v>105</x:v>
      </x:c>
      <x:c r="M79" s="2" t="s">
        <x:v>781</x:v>
      </x:c>
      <x:c r="N79" s="2">
        <x:v>3</x:v>
      </x:c>
      <x:c r="O79" s="2" t="s">
        <x:v>712</x:v>
      </x:c>
      <x:c r="P79" s="2" t="s">
        <x:v>654</x:v>
      </x:c>
      <x:c r="Q79" s="2"/>
      <x:c r="R79" s="3">
        <x:v>2</x:v>
      </x:c>
      <x:c r="S79" s="3">
        <x:v>1</x:v>
      </x:c>
      <x:c r="T79" s="2" t="s">
        <x:v>103</x:v>
      </x:c>
      <x:c r="U79" s="2" t="s">
        <x:v>632</x:v>
      </x:c>
      <x:c r="V79" s="2" t="s">
        <x:v>136</x:v>
      </x:c>
      <x:c r="W79" s="2"/>
      <x:c r="X79" s="3"/>
      <x:c r="Y79" s="3"/>
      <x:c r="Z79" s="2"/>
      <x:c r="AA79" s="2"/>
      <x:c r="AB79" s="2"/>
      <x:c r="AC79" s="2"/>
      <x:c r="AD79" s="2"/>
      <x:c r="AE79" s="2"/>
      <x:c r="AF79" s="2"/>
      <x:c r="AG79" s="2"/>
      <x:c r="AH79" s="2"/>
      <x:c r="AI79" s="4"/>
      <x:c r="AJ79" s="2"/>
      <x:c r="AK79" s="2" t="s">
        <x:v>106</x:v>
      </x:c>
      <x:c r="AL79" s="2" t="s">
        <x:v>3061</x:v>
      </x:c>
      <x:c r="AM79" s="2">
        <x:v>79</x:v>
      </x:c>
      <x:c r="AN79" s="2">
        <x:v>79</x:v>
      </x:c>
    </x:row>
    <x:row r="80" ht="39">
      <x:c r="A80" s="2" t="s">
        <x:v>91</x:v>
      </x:c>
      <x:c r="B80" s="2" t="s">
        <x:v>13</x:v>
      </x:c>
      <x:c r="C80" s="3">
        <x:v>78</x:v>
      </x:c>
      <x:c r="D80" s="2" t="s">
        <x:v>660</x:v>
      </x:c>
      <x:c r="E80" s="2" t="s">
        <x:v>782</x:v>
      </x:c>
      <x:c r="F80" s="2" t="s">
        <x:v>157</x:v>
      </x:c>
      <x:c r="G80" s="2" t="s">
        <x:v>3071</x:v>
      </x:c>
      <x:c r="H80" s="2" t="s">
        <x:v>618</x:v>
      </x:c>
      <x:c r="I80" s="2" t="s">
        <x:v>784</x:v>
      </x:c>
      <x:c r="J80" s="2" t="s">
        <x:v>620</x:v>
      </x:c>
      <x:c r="K80" s="2"/>
      <x:c r="L80" s="2" t="s">
        <x:v>785</x:v>
      </x:c>
      <x:c r="M80" s="2" t="s">
        <x:v>622</x:v>
      </x:c>
      <x:c r="N80" s="2">
        <x:v>3</x:v>
      </x:c>
      <x:c r="O80" s="2" t="s">
        <x:v>623</x:v>
      </x:c>
      <x:c r="P80" s="2" t="s">
        <x:v>624</x:v>
      </x:c>
      <x:c r="Q80" s="2"/>
      <x:c r="R80" s="3">
        <x:v>3</x:v>
      </x:c>
      <x:c r="S80" s="3">
        <x:v>1</x:v>
      </x:c>
      <x:c r="T80" s="2" t="s">
        <x:v>103</x:v>
      </x:c>
      <x:c r="U80" s="2" t="s">
        <x:v>115</x:v>
      </x:c>
      <x:c r="V80" s="2" t="s">
        <x:v>154</x:v>
      </x:c>
      <x:c r="W80" s="2"/>
      <x:c r="X80" s="3"/>
      <x:c r="Y80" s="3"/>
      <x:c r="Z80" s="2"/>
      <x:c r="AA80" s="2"/>
      <x:c r="AB80" s="2"/>
      <x:c r="AC80" s="2"/>
      <x:c r="AD80" s="2"/>
      <x:c r="AE80" s="2"/>
      <x:c r="AF80" s="2"/>
      <x:c r="AG80" s="2"/>
      <x:c r="AH80" s="2"/>
      <x:c r="AI80" s="4"/>
      <x:c r="AJ80" s="2"/>
      <x:c r="AK80" s="2" t="s">
        <x:v>106</x:v>
      </x:c>
      <x:c r="AL80" s="2" t="s">
        <x:v>3061</x:v>
      </x:c>
      <x:c r="AM80" s="2">
        <x:v>80</x:v>
      </x:c>
      <x:c r="AN80" s="2">
        <x:v>80</x:v>
      </x:c>
    </x:row>
    <x:row r="81" ht="52">
      <x:c r="A81" s="2" t="s">
        <x:v>6</x:v>
      </x:c>
      <x:c r="B81" s="2" t="s">
        <x:v>13</x:v>
      </x:c>
      <x:c r="C81" s="3">
        <x:v>79</x:v>
      </x:c>
      <x:c r="D81" s="2" t="s">
        <x:v>786</x:v>
      </x:c>
      <x:c r="E81" s="2" t="s">
        <x:v>787</x:v>
      </x:c>
      <x:c r="F81" s="2" t="s">
        <x:v>157</x:v>
      </x:c>
      <x:c r="G81" s="2"/>
      <x:c r="H81" s="2" t="s">
        <x:v>627</x:v>
      </x:c>
      <x:c r="I81" s="2" t="s">
        <x:v>784</x:v>
      </x:c>
      <x:c r="J81" s="2" t="s">
        <x:v>628</x:v>
      </x:c>
      <x:c r="K81" s="2" t="n">
        <x:v>78</x:v>
      </x:c>
      <x:c r="L81" s="2">
        <x:v>179</x:v>
      </x:c>
      <x:c r="M81" s="2" t="s">
        <x:v>788</x:v>
      </x:c>
      <x:c r="N81" s="2">
        <x:v>3</x:v>
      </x:c>
      <x:c r="O81" s="2" t="s">
        <x:v>721</x:v>
      </x:c>
      <x:c r="P81" s="2" t="s">
        <x:v>631</x:v>
      </x:c>
      <x:c r="Q81" s="2"/>
      <x:c r="R81" s="3">
        <x:v>3</x:v>
      </x:c>
      <x:c r="S81" s="3">
        <x:v>1</x:v>
      </x:c>
      <x:c r="T81" s="2" t="s">
        <x:v>103</x:v>
      </x:c>
      <x:c r="U81" s="2" t="s">
        <x:v>632</x:v>
      </x:c>
      <x:c r="V81" s="2" t="s">
        <x:v>154</x:v>
      </x:c>
      <x:c r="W81" s="2"/>
      <x:c r="X81" s="3"/>
      <x:c r="Y81" s="3"/>
      <x:c r="Z81" s="2"/>
      <x:c r="AA81" s="2"/>
      <x:c r="AB81" s="2"/>
      <x:c r="AC81" s="2"/>
      <x:c r="AD81" s="2"/>
      <x:c r="AE81" s="2"/>
      <x:c r="AF81" s="2"/>
      <x:c r="AG81" s="2"/>
      <x:c r="AH81" s="2"/>
      <x:c r="AI81" s="4"/>
      <x:c r="AJ81" s="2"/>
      <x:c r="AK81" s="2" t="s">
        <x:v>106</x:v>
      </x:c>
      <x:c r="AL81" s="2" t="s">
        <x:v>3061</x:v>
      </x:c>
      <x:c r="AM81" s="2">
        <x:v>81</x:v>
      </x:c>
      <x:c r="AN81" s="2">
        <x:v>81</x:v>
      </x:c>
    </x:row>
    <x:row r="82" ht="39">
      <x:c r="A82" s="2" t="s">
        <x:v>91</x:v>
      </x:c>
      <x:c r="B82" s="2" t="s">
        <x:v>13</x:v>
      </x:c>
      <x:c r="C82" s="3">
        <x:v>80</x:v>
      </x:c>
      <x:c r="D82" s="2" t="s">
        <x:v>616</x:v>
      </x:c>
      <x:c r="E82" s="2" t="s">
        <x:v>789</x:v>
      </x:c>
      <x:c r="F82" s="2" t="s">
        <x:v>94</x:v>
      </x:c>
      <x:c r="G82" s="2" t="s">
        <x:v>805</x:v>
      </x:c>
      <x:c r="H82" s="2" t="s">
        <x:v>618</x:v>
      </x:c>
      <x:c r="I82" s="2" t="s">
        <x:v>790</x:v>
      </x:c>
      <x:c r="J82" s="2" t="s">
        <x:v>620</x:v>
      </x:c>
      <x:c r="K82" s="2"/>
      <x:c r="L82" s="2" t="s">
        <x:v>791</x:v>
      </x:c>
      <x:c r="M82" s="2" t="s">
        <x:v>622</x:v>
      </x:c>
      <x:c r="N82" s="2">
        <x:v>4</x:v>
      </x:c>
      <x:c r="O82" s="2" t="s">
        <x:v>623</x:v>
      </x:c>
      <x:c r="P82" s="2" t="s">
        <x:v>675</x:v>
      </x:c>
      <x:c r="Q82" s="2"/>
      <x:c r="R82" s="3">
        <x:v>4</x:v>
      </x:c>
      <x:c r="S82" s="3">
        <x:v>1</x:v>
      </x:c>
      <x:c r="T82" s="2" t="s">
        <x:v>103</x:v>
      </x:c>
      <x:c r="U82" s="2" t="s">
        <x:v>129</x:v>
      </x:c>
      <x:c r="V82" s="2" t="s">
        <x:v>105</x:v>
      </x:c>
      <x:c r="W82" s="2"/>
      <x:c r="X82" s="3"/>
      <x:c r="Y82" s="3"/>
      <x:c r="Z82" s="2"/>
      <x:c r="AA82" s="2"/>
      <x:c r="AB82" s="2"/>
      <x:c r="AC82" s="2"/>
      <x:c r="AD82" s="2"/>
      <x:c r="AE82" s="2"/>
      <x:c r="AF82" s="2"/>
      <x:c r="AG82" s="2"/>
      <x:c r="AH82" s="2"/>
      <x:c r="AI82" s="4"/>
      <x:c r="AJ82" s="2"/>
      <x:c r="AK82" s="2" t="s">
        <x:v>106</x:v>
      </x:c>
      <x:c r="AL82" s="2" t="s">
        <x:v>3061</x:v>
      </x:c>
      <x:c r="AM82" s="2">
        <x:v>82</x:v>
      </x:c>
      <x:c r="AN82" s="2">
        <x:v>82</x:v>
      </x:c>
    </x:row>
    <x:row r="83" ht="65">
      <x:c r="A83" s="2" t="s">
        <x:v>6</x:v>
      </x:c>
      <x:c r="B83" s="2" t="s">
        <x:v>13</x:v>
      </x:c>
      <x:c r="C83" s="3">
        <x:v>81</x:v>
      </x:c>
      <x:c r="D83" s="2" t="s">
        <x:v>644</x:v>
      </x:c>
      <x:c r="E83" s="2" t="s">
        <x:v>733</x:v>
      </x:c>
      <x:c r="F83" s="2" t="s">
        <x:v>118</x:v>
      </x:c>
      <x:c r="G83" s="2"/>
      <x:c r="H83" s="2" t="s">
        <x:v>618</x:v>
      </x:c>
      <x:c r="I83" s="2" t="s">
        <x:v>792</x:v>
      </x:c>
      <x:c r="J83" s="2" t="s">
        <x:v>620</x:v>
      </x:c>
      <x:c r="K83" s="2"/>
      <x:c r="L83" s="2" t="s">
        <x:v>697</x:v>
      </x:c>
      <x:c r="M83" s="2" t="s">
        <x:v>648</x:v>
      </x:c>
      <x:c r="N83" s="2">
        <x:v>4</x:v>
      </x:c>
      <x:c r="O83" s="2" t="s">
        <x:v>623</x:v>
      </x:c>
      <x:c r="P83" s="2" t="s">
        <x:v>649</x:v>
      </x:c>
      <x:c r="Q83" s="2"/>
      <x:c r="R83" s="3">
        <x:v>2</x:v>
      </x:c>
      <x:c r="S83" s="3">
        <x:v>1</x:v>
      </x:c>
      <x:c r="T83" s="2" t="s">
        <x:v>103</x:v>
      </x:c>
      <x:c r="U83" s="2" t="s">
        <x:v>104</x:v>
      </x:c>
      <x:c r="V83" s="2" t="s">
        <x:v>123</x:v>
      </x:c>
      <x:c r="W83" s="2"/>
      <x:c r="X83" s="3"/>
      <x:c r="Y83" s="3"/>
      <x:c r="Z83" s="2"/>
      <x:c r="AA83" s="2"/>
      <x:c r="AB83" s="2"/>
      <x:c r="AC83" s="2"/>
      <x:c r="AD83" s="2"/>
      <x:c r="AE83" s="2"/>
      <x:c r="AF83" s="2"/>
      <x:c r="AG83" s="2"/>
      <x:c r="AH83" s="2"/>
      <x:c r="AI83" s="4"/>
      <x:c r="AJ83" s="2"/>
      <x:c r="AK83" s="2" t="s">
        <x:v>106</x:v>
      </x:c>
      <x:c r="AL83" s="2" t="s">
        <x:v>3061</x:v>
      </x:c>
      <x:c r="AM83" s="2">
        <x:v>83</x:v>
      </x:c>
      <x:c r="AN83" s="2">
        <x:v>83</x:v>
      </x:c>
    </x:row>
    <x:row r="84" ht="65">
      <x:c r="A84" s="2" t="s">
        <x:v>91</x:v>
      </x:c>
      <x:c r="B84" s="2" t="s">
        <x:v>13</x:v>
      </x:c>
      <x:c r="C84" s="3">
        <x:v>82</x:v>
      </x:c>
      <x:c r="D84" s="2" t="s">
        <x:v>682</x:v>
      </x:c>
      <x:c r="E84" s="2" t="s">
        <x:v>741</x:v>
      </x:c>
      <x:c r="F84" s="2" t="s">
        <x:v>139</x:v>
      </x:c>
      <x:c r="G84" s="2" t="s">
        <x:v>3072</x:v>
      </x:c>
      <x:c r="H84" s="2" t="s">
        <x:v>618</x:v>
      </x:c>
      <x:c r="I84" s="2" t="s">
        <x:v>794</x:v>
      </x:c>
      <x:c r="J84" s="2" t="s">
        <x:v>620</x:v>
      </x:c>
      <x:c r="K84" s="2"/>
      <x:c r="L84" s="2" t="s">
        <x:v>708</x:v>
      </x:c>
      <x:c r="M84" s="2" t="s">
        <x:v>648</x:v>
      </x:c>
      <x:c r="N84" s="2">
        <x:v>4</x:v>
      </x:c>
      <x:c r="O84" s="2" t="s">
        <x:v>623</x:v>
      </x:c>
      <x:c r="P84" s="2" t="s">
        <x:v>649</x:v>
      </x:c>
      <x:c r="Q84" s="2"/>
      <x:c r="R84" s="3">
        <x:v>3</x:v>
      </x:c>
      <x:c r="S84" s="3">
        <x:v>1</x:v>
      </x:c>
      <x:c r="T84" s="2" t="s">
        <x:v>103</x:v>
      </x:c>
      <x:c r="U84" s="2" t="s">
        <x:v>122</x:v>
      </x:c>
      <x:c r="V84" s="2" t="s">
        <x:v>136</x:v>
      </x:c>
      <x:c r="W84" s="2"/>
      <x:c r="X84" s="3"/>
      <x:c r="Y84" s="3"/>
      <x:c r="Z84" s="2"/>
      <x:c r="AA84" s="2"/>
      <x:c r="AB84" s="2"/>
      <x:c r="AC84" s="2"/>
      <x:c r="AD84" s="2"/>
      <x:c r="AE84" s="2"/>
      <x:c r="AF84" s="2"/>
      <x:c r="AG84" s="2"/>
      <x:c r="AH84" s="2"/>
      <x:c r="AI84" s="4"/>
      <x:c r="AJ84" s="2"/>
      <x:c r="AK84" s="2" t="s">
        <x:v>106</x:v>
      </x:c>
      <x:c r="AL84" s="2" t="s">
        <x:v>3061</x:v>
      </x:c>
      <x:c r="AM84" s="2">
        <x:v>84</x:v>
      </x:c>
      <x:c r="AN84" s="2">
        <x:v>84</x:v>
      </x:c>
    </x:row>
    <x:row r="85" ht="39">
      <x:c r="A85" s="2" t="s">
        <x:v>6</x:v>
      </x:c>
      <x:c r="B85" s="2" t="s">
        <x:v>13</x:v>
      </x:c>
      <x:c r="C85" s="3">
        <x:v>83</x:v>
      </x:c>
      <x:c r="D85" s="2" t="s">
        <x:v>660</x:v>
      </x:c>
      <x:c r="E85" s="2" t="s">
        <x:v>795</x:v>
      </x:c>
      <x:c r="F85" s="2" t="s">
        <x:v>157</x:v>
      </x:c>
      <x:c r="G85" s="2"/>
      <x:c r="H85" s="2" t="s">
        <x:v>618</x:v>
      </x:c>
      <x:c r="I85" s="2" t="s">
        <x:v>796</x:v>
      </x:c>
      <x:c r="J85" s="2" t="s">
        <x:v>620</x:v>
      </x:c>
      <x:c r="K85" s="2"/>
      <x:c r="L85" s="2" t="s">
        <x:v>797</x:v>
      </x:c>
      <x:c r="M85" s="2" t="s">
        <x:v>622</x:v>
      </x:c>
      <x:c r="N85" s="2">
        <x:v>4</x:v>
      </x:c>
      <x:c r="O85" s="2" t="s">
        <x:v>623</x:v>
      </x:c>
      <x:c r="P85" s="2" t="s">
        <x:v>675</x:v>
      </x:c>
      <x:c r="Q85" s="2"/>
      <x:c r="R85" s="3">
        <x:v>4</x:v>
      </x:c>
      <x:c r="S85" s="3">
        <x:v>1</x:v>
      </x:c>
      <x:c r="T85" s="2" t="s">
        <x:v>103</x:v>
      </x:c>
      <x:c r="U85" s="2" t="s">
        <x:v>115</x:v>
      </x:c>
      <x:c r="V85" s="2" t="s">
        <x:v>154</x:v>
      </x:c>
      <x:c r="W85" s="2"/>
      <x:c r="X85" s="3"/>
      <x:c r="Y85" s="3"/>
      <x:c r="Z85" s="2"/>
      <x:c r="AA85" s="2"/>
      <x:c r="AB85" s="2"/>
      <x:c r="AC85" s="2"/>
      <x:c r="AD85" s="2"/>
      <x:c r="AE85" s="2"/>
      <x:c r="AF85" s="2"/>
      <x:c r="AG85" s="2"/>
      <x:c r="AH85" s="2"/>
      <x:c r="AI85" s="4"/>
      <x:c r="AJ85" s="2"/>
      <x:c r="AK85" s="2" t="s">
        <x:v>106</x:v>
      </x:c>
      <x:c r="AL85" s="2" t="s">
        <x:v>3061</x:v>
      </x:c>
      <x:c r="AM85" s="2">
        <x:v>85</x:v>
      </x:c>
      <x:c r="AN85" s="2">
        <x:v>85</x:v>
      </x:c>
    </x:row>
    <x:row r="86" ht="39">
      <x:c r="A86" s="2" t="s">
        <x:v>91</x:v>
      </x:c>
      <x:c r="B86" s="2" t="s">
        <x:v>13</x:v>
      </x:c>
      <x:c r="C86" s="3">
        <x:v>84</x:v>
      </x:c>
      <x:c r="D86" s="2" t="s">
        <x:v>616</x:v>
      </x:c>
      <x:c r="E86" s="2" t="s">
        <x:v>617</x:v>
      </x:c>
      <x:c r="F86" s="2" t="s">
        <x:v>94</x:v>
      </x:c>
      <x:c r="G86" s="2" t="s">
        <x:v>3073</x:v>
      </x:c>
      <x:c r="H86" s="2" t="s">
        <x:v>618</x:v>
      </x:c>
      <x:c r="I86" s="2" t="s">
        <x:v>799</x:v>
      </x:c>
      <x:c r="J86" s="2" t="s">
        <x:v>620</x:v>
      </x:c>
      <x:c r="K86" s="2"/>
      <x:c r="L86" s="2" t="s">
        <x:v>726</x:v>
      </x:c>
      <x:c r="M86" s="2" t="s">
        <x:v>622</x:v>
      </x:c>
      <x:c r="N86" s="2">
        <x:v>4</x:v>
      </x:c>
      <x:c r="O86" s="2" t="s">
        <x:v>623</x:v>
      </x:c>
      <x:c r="P86" s="2" t="s">
        <x:v>624</x:v>
      </x:c>
      <x:c r="Q86" s="2"/>
      <x:c r="R86" s="3">
        <x:v>2</x:v>
      </x:c>
      <x:c r="S86" s="3">
        <x:v>1</x:v>
      </x:c>
      <x:c r="T86" s="2" t="s">
        <x:v>103</x:v>
      </x:c>
      <x:c r="U86" s="2" t="s">
        <x:v>129</x:v>
      </x:c>
      <x:c r="V86" s="2" t="s">
        <x:v>105</x:v>
      </x:c>
      <x:c r="W86" s="2"/>
      <x:c r="X86" s="3"/>
      <x:c r="Y86" s="3"/>
      <x:c r="Z86" s="2"/>
      <x:c r="AA86" s="2"/>
      <x:c r="AB86" s="2"/>
      <x:c r="AC86" s="2"/>
      <x:c r="AD86" s="2"/>
      <x:c r="AE86" s="2"/>
      <x:c r="AF86" s="2"/>
      <x:c r="AG86" s="2"/>
      <x:c r="AH86" s="2"/>
      <x:c r="AI86" s="4"/>
      <x:c r="AJ86" s="2"/>
      <x:c r="AK86" s="2" t="s">
        <x:v>106</x:v>
      </x:c>
      <x:c r="AL86" s="2" t="s">
        <x:v>3061</x:v>
      </x:c>
      <x:c r="AM86" s="2">
        <x:v>86</x:v>
      </x:c>
      <x:c r="AN86" s="2">
        <x:v>86</x:v>
      </x:c>
    </x:row>
    <x:row r="87" ht="65">
      <x:c r="A87" s="2" t="s">
        <x:v>6</x:v>
      </x:c>
      <x:c r="B87" s="2" t="s">
        <x:v>13</x:v>
      </x:c>
      <x:c r="C87" s="3">
        <x:v>85</x:v>
      </x:c>
      <x:c r="D87" s="2" t="s">
        <x:v>644</x:v>
      </x:c>
      <x:c r="E87" s="2" t="s">
        <x:v>645</x:v>
      </x:c>
      <x:c r="F87" s="2" t="s">
        <x:v>118</x:v>
      </x:c>
      <x:c r="G87" s="2"/>
      <x:c r="H87" s="2" t="s">
        <x:v>618</x:v>
      </x:c>
      <x:c r="I87" s="2" t="s">
        <x:v>800</x:v>
      </x:c>
      <x:c r="J87" s="2" t="s">
        <x:v>620</x:v>
      </x:c>
      <x:c r="K87" s="2"/>
      <x:c r="L87" s="2" t="s">
        <x:v>647</x:v>
      </x:c>
      <x:c r="M87" s="2" t="s">
        <x:v>648</x:v>
      </x:c>
      <x:c r="N87" s="2">
        <x:v>4</x:v>
      </x:c>
      <x:c r="O87" s="2" t="s">
        <x:v>623</x:v>
      </x:c>
      <x:c r="P87" s="2" t="s">
        <x:v>649</x:v>
      </x:c>
      <x:c r="Q87" s="2"/>
      <x:c r="R87" s="3">
        <x:v>3</x:v>
      </x:c>
      <x:c r="S87" s="3">
        <x:v>1</x:v>
      </x:c>
      <x:c r="T87" s="2" t="s">
        <x:v>103</x:v>
      </x:c>
      <x:c r="U87" s="2" t="s">
        <x:v>104</x:v>
      </x:c>
      <x:c r="V87" s="2" t="s">
        <x:v>123</x:v>
      </x:c>
      <x:c r="W87" s="2"/>
      <x:c r="X87" s="3"/>
      <x:c r="Y87" s="3"/>
      <x:c r="Z87" s="2"/>
      <x:c r="AA87" s="2"/>
      <x:c r="AB87" s="2"/>
      <x:c r="AC87" s="2"/>
      <x:c r="AD87" s="2"/>
      <x:c r="AE87" s="2"/>
      <x:c r="AF87" s="2"/>
      <x:c r="AG87" s="2"/>
      <x:c r="AH87" s="2"/>
      <x:c r="AI87" s="4"/>
      <x:c r="AJ87" s="2"/>
      <x:c r="AK87" s="2" t="s">
        <x:v>106</x:v>
      </x:c>
      <x:c r="AL87" s="2" t="s">
        <x:v>3061</x:v>
      </x:c>
      <x:c r="AM87" s="2">
        <x:v>87</x:v>
      </x:c>
      <x:c r="AN87" s="2">
        <x:v>87</x:v>
      </x:c>
    </x:row>
    <x:row r="88" ht="65">
      <x:c r="A88" s="2" t="s">
        <x:v>6</x:v>
      </x:c>
      <x:c r="B88" s="2" t="s">
        <x:v>13</x:v>
      </x:c>
      <x:c r="C88" s="3">
        <x:v>86</x:v>
      </x:c>
      <x:c r="D88" s="2" t="s">
        <x:v>682</x:v>
      </x:c>
      <x:c r="E88" s="2" t="s">
        <x:v>683</x:v>
      </x:c>
      <x:c r="F88" s="2" t="s">
        <x:v>139</x:v>
      </x:c>
      <x:c r="G88" s="2" t="s">
        <x:v>3074</x:v>
      </x:c>
      <x:c r="H88" s="2" t="s">
        <x:v>618</x:v>
      </x:c>
      <x:c r="I88" s="2" t="s">
        <x:v>801</x:v>
      </x:c>
      <x:c r="J88" s="2" t="s">
        <x:v>620</x:v>
      </x:c>
      <x:c r="K88" s="2"/>
      <x:c r="L88" s="2" t="s">
        <x:v>802</x:v>
      </x:c>
      <x:c r="M88" s="2" t="s">
        <x:v>648</x:v>
      </x:c>
      <x:c r="N88" s="2">
        <x:v>4</x:v>
      </x:c>
      <x:c r="O88" s="2" t="s">
        <x:v>623</x:v>
      </x:c>
      <x:c r="P88" s="2" t="s">
        <x:v>649</x:v>
      </x:c>
      <x:c r="Q88" s="2"/>
      <x:c r="R88" s="3">
        <x:v>4</x:v>
      </x:c>
      <x:c r="S88" s="3">
        <x:v>1</x:v>
      </x:c>
      <x:c r="T88" s="2" t="s">
        <x:v>103</x:v>
      </x:c>
      <x:c r="U88" s="2" t="s">
        <x:v>122</x:v>
      </x:c>
      <x:c r="V88" s="2" t="s">
        <x:v>136</x:v>
      </x:c>
      <x:c r="W88" s="2"/>
      <x:c r="X88" s="3"/>
      <x:c r="Y88" s="3"/>
      <x:c r="Z88" s="2"/>
      <x:c r="AA88" s="2"/>
      <x:c r="AB88" s="2"/>
      <x:c r="AC88" s="2"/>
      <x:c r="AD88" s="2"/>
      <x:c r="AE88" s="2"/>
      <x:c r="AF88" s="2"/>
      <x:c r="AG88" s="2"/>
      <x:c r="AH88" s="2"/>
      <x:c r="AI88" s="4"/>
      <x:c r="AJ88" s="2"/>
      <x:c r="AK88" s="2" t="s">
        <x:v>106</x:v>
      </x:c>
      <x:c r="AL88" s="2" t="s">
        <x:v>3061</x:v>
      </x:c>
      <x:c r="AM88" s="2">
        <x:v>88</x:v>
      </x:c>
      <x:c r="AN88" s="2">
        <x:v>88</x:v>
      </x:c>
    </x:row>
    <x:row r="89" ht="39">
      <x:c r="A89" s="2" t="s">
        <x:v>91</x:v>
      </x:c>
      <x:c r="B89" s="2" t="s">
        <x:v>13</x:v>
      </x:c>
      <x:c r="C89" s="3">
        <x:v>87</x:v>
      </x:c>
      <x:c r="D89" s="2" t="s">
        <x:v>660</x:v>
      </x:c>
      <x:c r="E89" s="2" t="s">
        <x:v>661</x:v>
      </x:c>
      <x:c r="F89" s="2" t="s">
        <x:v>157</x:v>
      </x:c>
      <x:c r="G89" s="2" t="s">
        <x:v>815</x:v>
      </x:c>
      <x:c r="H89" s="2" t="s">
        <x:v>618</x:v>
      </x:c>
      <x:c r="I89" s="2" t="s">
        <x:v>803</x:v>
      </x:c>
      <x:c r="J89" s="2" t="s">
        <x:v>620</x:v>
      </x:c>
      <x:c r="K89" s="2"/>
      <x:c r="L89" s="2" t="s">
        <x:v>804</x:v>
      </x:c>
      <x:c r="M89" s="2" t="s">
        <x:v>622</x:v>
      </x:c>
      <x:c r="N89" s="2">
        <x:v>4</x:v>
      </x:c>
      <x:c r="O89" s="2" t="s">
        <x:v>623</x:v>
      </x:c>
      <x:c r="P89" s="2" t="s">
        <x:v>624</x:v>
      </x:c>
      <x:c r="Q89" s="2"/>
      <x:c r="R89" s="3">
        <x:v>2</x:v>
      </x:c>
      <x:c r="S89" s="3">
        <x:v>1</x:v>
      </x:c>
      <x:c r="T89" s="2" t="s">
        <x:v>103</x:v>
      </x:c>
      <x:c r="U89" s="2" t="s">
        <x:v>115</x:v>
      </x:c>
      <x:c r="V89" s="2" t="s">
        <x:v>154</x:v>
      </x:c>
      <x:c r="W89" s="2"/>
      <x:c r="X89" s="3"/>
      <x:c r="Y89" s="3"/>
      <x:c r="Z89" s="2"/>
      <x:c r="AA89" s="2"/>
      <x:c r="AB89" s="2"/>
      <x:c r="AC89" s="2"/>
      <x:c r="AD89" s="2"/>
      <x:c r="AE89" s="2"/>
      <x:c r="AF89" s="2"/>
      <x:c r="AG89" s="2"/>
      <x:c r="AH89" s="2"/>
      <x:c r="AI89" s="4"/>
      <x:c r="AJ89" s="2"/>
      <x:c r="AK89" s="2" t="s">
        <x:v>106</x:v>
      </x:c>
      <x:c r="AL89" s="2" t="s">
        <x:v>3061</x:v>
      </x:c>
      <x:c r="AM89" s="2">
        <x:v>89</x:v>
      </x:c>
      <x:c r="AN89" s="2">
        <x:v>89</x:v>
      </x:c>
    </x:row>
    <x:row r="90" ht="39">
      <x:c r="A90" s="2" t="s">
        <x:v>91</x:v>
      </x:c>
      <x:c r="B90" s="2" t="s">
        <x:v>13</x:v>
      </x:c>
      <x:c r="C90" s="3">
        <x:v>88</x:v>
      </x:c>
      <x:c r="D90" s="2" t="s">
        <x:v>616</x:v>
      </x:c>
      <x:c r="E90" s="2" t="s">
        <x:v>672</x:v>
      </x:c>
      <x:c r="F90" s="2" t="s">
        <x:v>94</x:v>
      </x:c>
      <x:c r="G90" s="2" t="s">
        <x:v>3067</x:v>
      </x:c>
      <x:c r="H90" s="2" t="s">
        <x:v>618</x:v>
      </x:c>
      <x:c r="I90" s="2" t="s">
        <x:v>806</x:v>
      </x:c>
      <x:c r="J90" s="2" t="s">
        <x:v>620</x:v>
      </x:c>
      <x:c r="K90" s="2"/>
      <x:c r="L90" s="2" t="s">
        <x:v>807</x:v>
      </x:c>
      <x:c r="M90" s="2" t="s">
        <x:v>622</x:v>
      </x:c>
      <x:c r="N90" s="2">
        <x:v>4</x:v>
      </x:c>
      <x:c r="O90" s="2" t="s">
        <x:v>623</x:v>
      </x:c>
      <x:c r="P90" s="2" t="s">
        <x:v>675</x:v>
      </x:c>
      <x:c r="Q90" s="2"/>
      <x:c r="R90" s="3">
        <x:v>3</x:v>
      </x:c>
      <x:c r="S90" s="3">
        <x:v>1</x:v>
      </x:c>
      <x:c r="T90" s="2" t="s">
        <x:v>103</x:v>
      </x:c>
      <x:c r="U90" s="2" t="s">
        <x:v>129</x:v>
      </x:c>
      <x:c r="V90" s="2" t="s">
        <x:v>105</x:v>
      </x:c>
      <x:c r="W90" s="2"/>
      <x:c r="X90" s="3"/>
      <x:c r="Y90" s="3"/>
      <x:c r="Z90" s="2"/>
      <x:c r="AA90" s="2"/>
      <x:c r="AB90" s="2"/>
      <x:c r="AC90" s="2"/>
      <x:c r="AD90" s="2"/>
      <x:c r="AE90" s="2"/>
      <x:c r="AF90" s="2"/>
      <x:c r="AG90" s="2"/>
      <x:c r="AH90" s="2"/>
      <x:c r="AI90" s="4"/>
      <x:c r="AJ90" s="2"/>
      <x:c r="AK90" s="2" t="s">
        <x:v>106</x:v>
      </x:c>
      <x:c r="AL90" s="2" t="s">
        <x:v>3061</x:v>
      </x:c>
      <x:c r="AM90" s="2">
        <x:v>90</x:v>
      </x:c>
      <x:c r="AN90" s="2">
        <x:v>90</x:v>
      </x:c>
    </x:row>
    <x:row r="91" ht="65">
      <x:c r="A91" s="2" t="s">
        <x:v>6</x:v>
      </x:c>
      <x:c r="B91" s="2" t="s">
        <x:v>13</x:v>
      </x:c>
      <x:c r="C91" s="3">
        <x:v>89</x:v>
      </x:c>
      <x:c r="D91" s="2" t="s">
        <x:v>644</x:v>
      </x:c>
      <x:c r="E91" s="2" t="s">
        <x:v>694</x:v>
      </x:c>
      <x:c r="F91" s="2" t="s">
        <x:v>118</x:v>
      </x:c>
      <x:c r="G91" s="2"/>
      <x:c r="H91" s="2" t="s">
        <x:v>618</x:v>
      </x:c>
      <x:c r="I91" s="2" t="s">
        <x:v>808</x:v>
      </x:c>
      <x:c r="J91" s="2" t="s">
        <x:v>620</x:v>
      </x:c>
      <x:c r="K91" s="2"/>
      <x:c r="L91" s="2" t="s">
        <x:v>697</x:v>
      </x:c>
      <x:c r="M91" s="2" t="s">
        <x:v>648</x:v>
      </x:c>
      <x:c r="N91" s="2">
        <x:v>4</x:v>
      </x:c>
      <x:c r="O91" s="2" t="s">
        <x:v>623</x:v>
      </x:c>
      <x:c r="P91" s="2" t="s">
        <x:v>649</x:v>
      </x:c>
      <x:c r="Q91" s="2"/>
      <x:c r="R91" s="3">
        <x:v>4</x:v>
      </x:c>
      <x:c r="S91" s="3">
        <x:v>1</x:v>
      </x:c>
      <x:c r="T91" s="2" t="s">
        <x:v>103</x:v>
      </x:c>
      <x:c r="U91" s="2" t="s">
        <x:v>104</x:v>
      </x:c>
      <x:c r="V91" s="2" t="s">
        <x:v>123</x:v>
      </x:c>
      <x:c r="W91" s="2"/>
      <x:c r="X91" s="3"/>
      <x:c r="Y91" s="3"/>
      <x:c r="Z91" s="2"/>
      <x:c r="AA91" s="2"/>
      <x:c r="AB91" s="2"/>
      <x:c r="AC91" s="2"/>
      <x:c r="AD91" s="2"/>
      <x:c r="AE91" s="2"/>
      <x:c r="AF91" s="2"/>
      <x:c r="AG91" s="2"/>
      <x:c r="AH91" s="2"/>
      <x:c r="AI91" s="4"/>
      <x:c r="AJ91" s="2"/>
      <x:c r="AK91" s="2" t="s">
        <x:v>106</x:v>
      </x:c>
      <x:c r="AL91" s="2" t="s">
        <x:v>3061</x:v>
      </x:c>
      <x:c r="AM91" s="2">
        <x:v>91</x:v>
      </x:c>
      <x:c r="AN91" s="2">
        <x:v>91</x:v>
      </x:c>
    </x:row>
    <x:row r="92" ht="65">
      <x:c r="A92" s="2" t="s">
        <x:v>6</x:v>
      </x:c>
      <x:c r="B92" s="2" t="s">
        <x:v>13</x:v>
      </x:c>
      <x:c r="C92" s="3">
        <x:v>90</x:v>
      </x:c>
      <x:c r="D92" s="2" t="s">
        <x:v>682</x:v>
      </x:c>
      <x:c r="E92" s="2" t="s">
        <x:v>705</x:v>
      </x:c>
      <x:c r="F92" s="2" t="s">
        <x:v>139</x:v>
      </x:c>
      <x:c r="G92" s="2"/>
      <x:c r="H92" s="2" t="s">
        <x:v>618</x:v>
      </x:c>
      <x:c r="I92" s="2" t="s">
        <x:v>809</x:v>
      </x:c>
      <x:c r="J92" s="2" t="s">
        <x:v>620</x:v>
      </x:c>
      <x:c r="K92" s="2"/>
      <x:c r="L92" s="2" t="s">
        <x:v>763</x:v>
      </x:c>
      <x:c r="M92" s="2" t="s">
        <x:v>648</x:v>
      </x:c>
      <x:c r="N92" s="2">
        <x:v>4</x:v>
      </x:c>
      <x:c r="O92" s="2" t="s">
        <x:v>623</x:v>
      </x:c>
      <x:c r="P92" s="2" t="s">
        <x:v>649</x:v>
      </x:c>
      <x:c r="Q92" s="2"/>
      <x:c r="R92" s="3">
        <x:v>2</x:v>
      </x:c>
      <x:c r="S92" s="3">
        <x:v>1</x:v>
      </x:c>
      <x:c r="T92" s="2" t="s">
        <x:v>103</x:v>
      </x:c>
      <x:c r="U92" s="2" t="s">
        <x:v>122</x:v>
      </x:c>
      <x:c r="V92" s="2" t="s">
        <x:v>136</x:v>
      </x:c>
      <x:c r="W92" s="2"/>
      <x:c r="X92" s="3"/>
      <x:c r="Y92" s="3"/>
      <x:c r="Z92" s="2"/>
      <x:c r="AA92" s="2"/>
      <x:c r="AB92" s="2"/>
      <x:c r="AC92" s="2"/>
      <x:c r="AD92" s="2"/>
      <x:c r="AE92" s="2"/>
      <x:c r="AF92" s="2"/>
      <x:c r="AG92" s="2"/>
      <x:c r="AH92" s="2"/>
      <x:c r="AI92" s="4"/>
      <x:c r="AJ92" s="2"/>
      <x:c r="AK92" s="2" t="s">
        <x:v>106</x:v>
      </x:c>
      <x:c r="AL92" s="2" t="s">
        <x:v>3061</x:v>
      </x:c>
      <x:c r="AM92" s="2">
        <x:v>92</x:v>
      </x:c>
      <x:c r="AN92" s="2">
        <x:v>92</x:v>
      </x:c>
    </x:row>
    <x:row r="93" ht="39">
      <x:c r="A93" s="2" t="s">
        <x:v>91</x:v>
      </x:c>
      <x:c r="B93" s="2" t="s">
        <x:v>13</x:v>
      </x:c>
      <x:c r="C93" s="3">
        <x:v>91</x:v>
      </x:c>
      <x:c r="D93" s="2" t="s">
        <x:v>660</x:v>
      </x:c>
      <x:c r="E93" s="2" t="s">
        <x:v>715</x:v>
      </x:c>
      <x:c r="F93" s="2" t="s">
        <x:v>157</x:v>
      </x:c>
      <x:c r="G93" s="2" t="s">
        <x:v>3075</x:v>
      </x:c>
      <x:c r="H93" s="2" t="s">
        <x:v>618</x:v>
      </x:c>
      <x:c r="I93" s="2" t="s">
        <x:v>810</x:v>
      </x:c>
      <x:c r="J93" s="2" t="s">
        <x:v>620</x:v>
      </x:c>
      <x:c r="K93" s="2"/>
      <x:c r="L93" s="2" t="s">
        <x:v>811</x:v>
      </x:c>
      <x:c r="M93" s="2" t="s">
        <x:v>622</x:v>
      </x:c>
      <x:c r="N93" s="2">
        <x:v>4</x:v>
      </x:c>
      <x:c r="O93" s="2" t="s">
        <x:v>623</x:v>
      </x:c>
      <x:c r="P93" s="2" t="s">
        <x:v>675</x:v>
      </x:c>
      <x:c r="Q93" s="2"/>
      <x:c r="R93" s="3">
        <x:v>3</x:v>
      </x:c>
      <x:c r="S93" s="3">
        <x:v>1</x:v>
      </x:c>
      <x:c r="T93" s="2" t="s">
        <x:v>103</x:v>
      </x:c>
      <x:c r="U93" s="2" t="s">
        <x:v>115</x:v>
      </x:c>
      <x:c r="V93" s="2" t="s">
        <x:v>154</x:v>
      </x:c>
      <x:c r="W93" s="2"/>
      <x:c r="X93" s="3"/>
      <x:c r="Y93" s="3"/>
      <x:c r="Z93" s="2"/>
      <x:c r="AA93" s="2"/>
      <x:c r="AB93" s="2"/>
      <x:c r="AC93" s="2"/>
      <x:c r="AD93" s="2"/>
      <x:c r="AE93" s="2"/>
      <x:c r="AF93" s="2"/>
      <x:c r="AG93" s="2"/>
      <x:c r="AH93" s="2"/>
      <x:c r="AI93" s="4"/>
      <x:c r="AJ93" s="2"/>
      <x:c r="AK93" s="2" t="s">
        <x:v>106</x:v>
      </x:c>
      <x:c r="AL93" s="2" t="s">
        <x:v>3061</x:v>
      </x:c>
      <x:c r="AM93" s="2">
        <x:v>93</x:v>
      </x:c>
      <x:c r="AN93" s="2">
        <x:v>93</x:v>
      </x:c>
    </x:row>
    <x:row r="94" ht="39">
      <x:c r="A94" s="2" t="s">
        <x:v>91</x:v>
      </x:c>
      <x:c r="B94" s="2" t="s">
        <x:v>13</x:v>
      </x:c>
      <x:c r="C94" s="3">
        <x:v>92</x:v>
      </x:c>
      <x:c r="D94" s="2" t="s">
        <x:v>616</x:v>
      </x:c>
      <x:c r="E94" s="2" t="s">
        <x:v>724</x:v>
      </x:c>
      <x:c r="F94" s="2" t="s">
        <x:v>94</x:v>
      </x:c>
      <x:c r="G94" s="2" t="s">
        <x:v>3076</x:v>
      </x:c>
      <x:c r="H94" s="2" t="s">
        <x:v>618</x:v>
      </x:c>
      <x:c r="I94" s="2" t="s">
        <x:v>812</x:v>
      </x:c>
      <x:c r="J94" s="2" t="s">
        <x:v>620</x:v>
      </x:c>
      <x:c r="K94" s="2"/>
      <x:c r="L94" s="2" t="s">
        <x:v>621</x:v>
      </x:c>
      <x:c r="M94" s="2" t="s">
        <x:v>622</x:v>
      </x:c>
      <x:c r="N94" s="2">
        <x:v>4</x:v>
      </x:c>
      <x:c r="O94" s="2" t="s">
        <x:v>623</x:v>
      </x:c>
      <x:c r="P94" s="2" t="s">
        <x:v>624</x:v>
      </x:c>
      <x:c r="Q94" s="2"/>
      <x:c r="R94" s="3">
        <x:v>4</x:v>
      </x:c>
      <x:c r="S94" s="3">
        <x:v>1</x:v>
      </x:c>
      <x:c r="T94" s="2" t="s">
        <x:v>103</x:v>
      </x:c>
      <x:c r="U94" s="2" t="s">
        <x:v>129</x:v>
      </x:c>
      <x:c r="V94" s="2" t="s">
        <x:v>105</x:v>
      </x:c>
      <x:c r="W94" s="2"/>
      <x:c r="X94" s="3"/>
      <x:c r="Y94" s="3"/>
      <x:c r="Z94" s="2"/>
      <x:c r="AA94" s="2"/>
      <x:c r="AB94" s="2"/>
      <x:c r="AC94" s="2"/>
      <x:c r="AD94" s="2"/>
      <x:c r="AE94" s="2"/>
      <x:c r="AF94" s="2"/>
      <x:c r="AG94" s="2"/>
      <x:c r="AH94" s="2"/>
      <x:c r="AI94" s="4"/>
      <x:c r="AJ94" s="2"/>
      <x:c r="AK94" s="2" t="s">
        <x:v>106</x:v>
      </x:c>
      <x:c r="AL94" s="2" t="s">
        <x:v>3061</x:v>
      </x:c>
      <x:c r="AM94" s="2">
        <x:v>94</x:v>
      </x:c>
      <x:c r="AN94" s="2">
        <x:v>94</x:v>
      </x:c>
    </x:row>
    <x:row r="95" ht="65">
      <x:c r="A95" s="2" t="s">
        <x:v>6</x:v>
      </x:c>
      <x:c r="B95" s="2" t="s">
        <x:v>13</x:v>
      </x:c>
      <x:c r="C95" s="3">
        <x:v>93</x:v>
      </x:c>
      <x:c r="D95" s="2" t="s">
        <x:v>644</x:v>
      </x:c>
      <x:c r="E95" s="2" t="s">
        <x:v>733</x:v>
      </x:c>
      <x:c r="F95" s="2" t="s">
        <x:v>118</x:v>
      </x:c>
      <x:c r="G95" s="2"/>
      <x:c r="H95" s="2" t="s">
        <x:v>618</x:v>
      </x:c>
      <x:c r="I95" s="2" t="s">
        <x:v>813</x:v>
      </x:c>
      <x:c r="J95" s="2" t="s">
        <x:v>620</x:v>
      </x:c>
      <x:c r="K95" s="2"/>
      <x:c r="L95" s="2" t="s">
        <x:v>735</x:v>
      </x:c>
      <x:c r="M95" s="2" t="s">
        <x:v>648</x:v>
      </x:c>
      <x:c r="N95" s="2">
        <x:v>4</x:v>
      </x:c>
      <x:c r="O95" s="2" t="s">
        <x:v>623</x:v>
      </x:c>
      <x:c r="P95" s="2" t="s">
        <x:v>649</x:v>
      </x:c>
      <x:c r="Q95" s="2"/>
      <x:c r="R95" s="3">
        <x:v>2</x:v>
      </x:c>
      <x:c r="S95" s="3">
        <x:v>1</x:v>
      </x:c>
      <x:c r="T95" s="2" t="s">
        <x:v>103</x:v>
      </x:c>
      <x:c r="U95" s="2" t="s">
        <x:v>104</x:v>
      </x:c>
      <x:c r="V95" s="2" t="s">
        <x:v>123</x:v>
      </x:c>
      <x:c r="W95" s="2"/>
      <x:c r="X95" s="3"/>
      <x:c r="Y95" s="3"/>
      <x:c r="Z95" s="2"/>
      <x:c r="AA95" s="2"/>
      <x:c r="AB95" s="2"/>
      <x:c r="AC95" s="2"/>
      <x:c r="AD95" s="2"/>
      <x:c r="AE95" s="2"/>
      <x:c r="AF95" s="2"/>
      <x:c r="AG95" s="2"/>
      <x:c r="AH95" s="2"/>
      <x:c r="AI95" s="4"/>
      <x:c r="AJ95" s="2"/>
      <x:c r="AK95" s="2" t="s">
        <x:v>106</x:v>
      </x:c>
      <x:c r="AL95" s="2" t="s">
        <x:v>3061</x:v>
      </x:c>
      <x:c r="AM95" s="2">
        <x:v>95</x:v>
      </x:c>
      <x:c r="AN95" s="2">
        <x:v>95</x:v>
      </x:c>
    </x:row>
    <x:row r="96" ht="65">
      <x:c r="A96" s="2" t="s">
        <x:v>91</x:v>
      </x:c>
      <x:c r="B96" s="2" t="s">
        <x:v>13</x:v>
      </x:c>
      <x:c r="C96" s="3">
        <x:v>94</x:v>
      </x:c>
      <x:c r="D96" s="2" t="s">
        <x:v>682</x:v>
      </x:c>
      <x:c r="E96" s="2" t="s">
        <x:v>741</x:v>
      </x:c>
      <x:c r="F96" s="2" t="s">
        <x:v>139</x:v>
      </x:c>
      <x:c r="G96" s="2" t="s">
        <x:v>3077</x:v>
      </x:c>
      <x:c r="H96" s="2" t="s">
        <x:v>618</x:v>
      </x:c>
      <x:c r="I96" s="2" t="s">
        <x:v>814</x:v>
      </x:c>
      <x:c r="J96" s="2" t="s">
        <x:v>620</x:v>
      </x:c>
      <x:c r="K96" s="2"/>
      <x:c r="L96" s="2" t="s">
        <x:v>685</x:v>
      </x:c>
      <x:c r="M96" s="2" t="s">
        <x:v>648</x:v>
      </x:c>
      <x:c r="N96" s="2">
        <x:v>4</x:v>
      </x:c>
      <x:c r="O96" s="2" t="s">
        <x:v>623</x:v>
      </x:c>
      <x:c r="P96" s="2" t="s">
        <x:v>649</x:v>
      </x:c>
      <x:c r="Q96" s="2"/>
      <x:c r="R96" s="3">
        <x:v>3</x:v>
      </x:c>
      <x:c r="S96" s="3">
        <x:v>1</x:v>
      </x:c>
      <x:c r="T96" s="2" t="s">
        <x:v>103</x:v>
      </x:c>
      <x:c r="U96" s="2" t="s">
        <x:v>122</x:v>
      </x:c>
      <x:c r="V96" s="2" t="s">
        <x:v>136</x:v>
      </x:c>
      <x:c r="W96" s="2"/>
      <x:c r="X96" s="3"/>
      <x:c r="Y96" s="3"/>
      <x:c r="Z96" s="2"/>
      <x:c r="AA96" s="2"/>
      <x:c r="AB96" s="2"/>
      <x:c r="AC96" s="2"/>
      <x:c r="AD96" s="2"/>
      <x:c r="AE96" s="2"/>
      <x:c r="AF96" s="2"/>
      <x:c r="AG96" s="2"/>
      <x:c r="AH96" s="2"/>
      <x:c r="AI96" s="4"/>
      <x:c r="AJ96" s="2"/>
      <x:c r="AK96" s="2" t="s">
        <x:v>106</x:v>
      </x:c>
      <x:c r="AL96" s="2" t="s">
        <x:v>3061</x:v>
      </x:c>
      <x:c r="AM96" s="2">
        <x:v>96</x:v>
      </x:c>
      <x:c r="AN96" s="2">
        <x:v>96</x:v>
      </x:c>
    </x:row>
    <x:row r="97" ht="39">
      <x:c r="A97" s="2" t="s">
        <x:v>91</x:v>
      </x:c>
      <x:c r="B97" s="2" t="s">
        <x:v>13</x:v>
      </x:c>
      <x:c r="C97" s="3">
        <x:v>95</x:v>
      </x:c>
      <x:c r="D97" s="2" t="s">
        <x:v>660</x:v>
      </x:c>
      <x:c r="E97" s="2" t="s">
        <x:v>748</x:v>
      </x:c>
      <x:c r="F97" s="2" t="s">
        <x:v>157</x:v>
      </x:c>
      <x:c r="G97" s="2" t="s">
        <x:v>3078</x:v>
      </x:c>
      <x:c r="H97" s="2" t="s">
        <x:v>618</x:v>
      </x:c>
      <x:c r="I97" s="2" t="s">
        <x:v>816</x:v>
      </x:c>
      <x:c r="J97" s="2" t="s">
        <x:v>620</x:v>
      </x:c>
      <x:c r="K97" s="2"/>
      <x:c r="L97" s="2" t="s">
        <x:v>664</x:v>
      </x:c>
      <x:c r="M97" s="2" t="s">
        <x:v>622</x:v>
      </x:c>
      <x:c r="N97" s="2">
        <x:v>4</x:v>
      </x:c>
      <x:c r="O97" s="2" t="s">
        <x:v>623</x:v>
      </x:c>
      <x:c r="P97" s="2" t="s">
        <x:v>624</x:v>
      </x:c>
      <x:c r="Q97" s="2"/>
      <x:c r="R97" s="3">
        <x:v>4</x:v>
      </x:c>
      <x:c r="S97" s="3">
        <x:v>1</x:v>
      </x:c>
      <x:c r="T97" s="2" t="s">
        <x:v>103</x:v>
      </x:c>
      <x:c r="U97" s="2" t="s">
        <x:v>115</x:v>
      </x:c>
      <x:c r="V97" s="2" t="s">
        <x:v>154</x:v>
      </x:c>
      <x:c r="W97" s="2"/>
      <x:c r="X97" s="3"/>
      <x:c r="Y97" s="3"/>
      <x:c r="Z97" s="2"/>
      <x:c r="AA97" s="2"/>
      <x:c r="AB97" s="2"/>
      <x:c r="AC97" s="2"/>
      <x:c r="AD97" s="2"/>
      <x:c r="AE97" s="2"/>
      <x:c r="AF97" s="2"/>
      <x:c r="AG97" s="2"/>
      <x:c r="AH97" s="2"/>
      <x:c r="AI97" s="4"/>
      <x:c r="AJ97" s="2"/>
      <x:c r="AK97" s="2" t="s">
        <x:v>106</x:v>
      </x:c>
      <x:c r="AL97" s="2" t="s">
        <x:v>3061</x:v>
      </x:c>
      <x:c r="AM97" s="2">
        <x:v>97</x:v>
      </x:c>
      <x:c r="AN97" s="2">
        <x:v>97</x:v>
      </x:c>
    </x:row>
    <x:row r="98" ht="39">
      <x:c r="A98" s="2" t="s">
        <x:v>91</x:v>
      </x:c>
      <x:c r="B98" s="2" t="s">
        <x:v>13</x:v>
      </x:c>
      <x:c r="C98" s="3">
        <x:v>96</x:v>
      </x:c>
      <x:c r="D98" s="2" t="s">
        <x:v>616</x:v>
      </x:c>
      <x:c r="E98" s="2" t="s">
        <x:v>754</x:v>
      </x:c>
      <x:c r="F98" s="2" t="s">
        <x:v>94</x:v>
      </x:c>
      <x:c r="G98" s="2" t="s">
        <x:v>805</x:v>
      </x:c>
      <x:c r="H98" s="2" t="s">
        <x:v>618</x:v>
      </x:c>
      <x:c r="I98" s="2" t="s">
        <x:v>817</x:v>
      </x:c>
      <x:c r="J98" s="2" t="s">
        <x:v>620</x:v>
      </x:c>
      <x:c r="K98" s="2"/>
      <x:c r="L98" s="2" t="s">
        <x:v>674</x:v>
      </x:c>
      <x:c r="M98" s="2" t="s">
        <x:v>622</x:v>
      </x:c>
      <x:c r="N98" s="2">
        <x:v>4</x:v>
      </x:c>
      <x:c r="O98" s="2" t="s">
        <x:v>623</x:v>
      </x:c>
      <x:c r="P98" s="2" t="s">
        <x:v>675</x:v>
      </x:c>
      <x:c r="Q98" s="2"/>
      <x:c r="R98" s="3">
        <x:v>2</x:v>
      </x:c>
      <x:c r="S98" s="3">
        <x:v>1</x:v>
      </x:c>
      <x:c r="T98" s="2" t="s">
        <x:v>103</x:v>
      </x:c>
      <x:c r="U98" s="2" t="s">
        <x:v>129</x:v>
      </x:c>
      <x:c r="V98" s="2" t="s">
        <x:v>105</x:v>
      </x:c>
      <x:c r="W98" s="2"/>
      <x:c r="X98" s="3"/>
      <x:c r="Y98" s="3"/>
      <x:c r="Z98" s="2"/>
      <x:c r="AA98" s="2"/>
      <x:c r="AB98" s="2"/>
      <x:c r="AC98" s="2"/>
      <x:c r="AD98" s="2"/>
      <x:c r="AE98" s="2"/>
      <x:c r="AF98" s="2"/>
      <x:c r="AG98" s="2"/>
      <x:c r="AH98" s="2"/>
      <x:c r="AI98" s="4"/>
      <x:c r="AJ98" s="2"/>
      <x:c r="AK98" s="2" t="s">
        <x:v>106</x:v>
      </x:c>
      <x:c r="AL98" s="2" t="s">
        <x:v>3061</x:v>
      </x:c>
      <x:c r="AM98" s="2">
        <x:v>98</x:v>
      </x:c>
      <x:c r="AN98" s="2">
        <x:v>98</x:v>
      </x:c>
    </x:row>
    <x:row r="99" ht="65">
      <x:c r="A99" s="2" t="s">
        <x:v>91</x:v>
      </x:c>
      <x:c r="B99" s="2" t="s">
        <x:v>13</x:v>
      </x:c>
      <x:c r="C99" s="3">
        <x:v>97</x:v>
      </x:c>
      <x:c r="D99" s="2" t="s">
        <x:v>644</x:v>
      </x:c>
      <x:c r="E99" s="2" t="s">
        <x:v>645</x:v>
      </x:c>
      <x:c r="F99" s="2" t="s">
        <x:v>118</x:v>
      </x:c>
      <x:c r="G99" s="2" t="s">
        <x:v>3079</x:v>
      </x:c>
      <x:c r="H99" s="2" t="s">
        <x:v>618</x:v>
      </x:c>
      <x:c r="I99" s="2" t="s">
        <x:v>818</x:v>
      </x:c>
      <x:c r="J99" s="2" t="s">
        <x:v>620</x:v>
      </x:c>
      <x:c r="K99" s="2"/>
      <x:c r="L99" s="2" t="s">
        <x:v>697</x:v>
      </x:c>
      <x:c r="M99" s="2" t="s">
        <x:v>648</x:v>
      </x:c>
      <x:c r="N99" s="2">
        <x:v>4</x:v>
      </x:c>
      <x:c r="O99" s="2" t="s">
        <x:v>623</x:v>
      </x:c>
      <x:c r="P99" s="2" t="s">
        <x:v>649</x:v>
      </x:c>
      <x:c r="Q99" s="2"/>
      <x:c r="R99" s="3">
        <x:v>3</x:v>
      </x:c>
      <x:c r="S99" s="3">
        <x:v>1</x:v>
      </x:c>
      <x:c r="T99" s="2" t="s">
        <x:v>103</x:v>
      </x:c>
      <x:c r="U99" s="2" t="s">
        <x:v>104</x:v>
      </x:c>
      <x:c r="V99" s="2" t="s">
        <x:v>123</x:v>
      </x:c>
      <x:c r="W99" s="2"/>
      <x:c r="X99" s="3"/>
      <x:c r="Y99" s="3"/>
      <x:c r="Z99" s="2"/>
      <x:c r="AA99" s="2"/>
      <x:c r="AB99" s="2"/>
      <x:c r="AC99" s="2"/>
      <x:c r="AD99" s="2"/>
      <x:c r="AE99" s="2"/>
      <x:c r="AF99" s="2"/>
      <x:c r="AG99" s="2"/>
      <x:c r="AH99" s="2"/>
      <x:c r="AI99" s="4"/>
      <x:c r="AJ99" s="2"/>
      <x:c r="AK99" s="2" t="s">
        <x:v>106</x:v>
      </x:c>
      <x:c r="AL99" s="2" t="s">
        <x:v>3061</x:v>
      </x:c>
      <x:c r="AM99" s="2">
        <x:v>99</x:v>
      </x:c>
      <x:c r="AN99" s="2">
        <x:v>99</x:v>
      </x:c>
    </x:row>
    <x:row r="100" ht="65">
      <x:c r="A100" s="2" t="s">
        <x:v>91</x:v>
      </x:c>
      <x:c r="B100" s="2" t="s">
        <x:v>13</x:v>
      </x:c>
      <x:c r="C100" s="3">
        <x:v>98</x:v>
      </x:c>
      <x:c r="D100" s="2" t="s">
        <x:v>682</x:v>
      </x:c>
      <x:c r="E100" s="2" t="s">
        <x:v>683</x:v>
      </x:c>
      <x:c r="F100" s="2" t="s">
        <x:v>139</x:v>
      </x:c>
      <x:c r="G100" s="2" t="s">
        <x:v>778</x:v>
      </x:c>
      <x:c r="H100" s="2" t="s">
        <x:v>618</x:v>
      </x:c>
      <x:c r="I100" s="2" t="s">
        <x:v>819</x:v>
      </x:c>
      <x:c r="J100" s="2" t="s">
        <x:v>620</x:v>
      </x:c>
      <x:c r="K100" s="2"/>
      <x:c r="L100" s="2" t="s">
        <x:v>708</x:v>
      </x:c>
      <x:c r="M100" s="2" t="s">
        <x:v>648</x:v>
      </x:c>
      <x:c r="N100" s="2">
        <x:v>4</x:v>
      </x:c>
      <x:c r="O100" s="2" t="s">
        <x:v>623</x:v>
      </x:c>
      <x:c r="P100" s="2" t="s">
        <x:v>649</x:v>
      </x:c>
      <x:c r="Q100" s="2"/>
      <x:c r="R100" s="3">
        <x:v>4</x:v>
      </x:c>
      <x:c r="S100" s="3">
        <x:v>1</x:v>
      </x:c>
      <x:c r="T100" s="2" t="s">
        <x:v>103</x:v>
      </x:c>
      <x:c r="U100" s="2" t="s">
        <x:v>122</x:v>
      </x:c>
      <x:c r="V100" s="2" t="s">
        <x:v>136</x:v>
      </x:c>
      <x:c r="W100" s="2"/>
      <x:c r="X100" s="3"/>
      <x:c r="Y100" s="3"/>
      <x:c r="Z100" s="2"/>
      <x:c r="AA100" s="2"/>
      <x:c r="AB100" s="2"/>
      <x:c r="AC100" s="2"/>
      <x:c r="AD100" s="2"/>
      <x:c r="AE100" s="2"/>
      <x:c r="AF100" s="2"/>
      <x:c r="AG100" s="2"/>
      <x:c r="AH100" s="2"/>
      <x:c r="AI100" s="4"/>
      <x:c r="AJ100" s="2"/>
      <x:c r="AK100" s="2" t="s">
        <x:v>106</x:v>
      </x:c>
      <x:c r="AL100" s="2" t="s">
        <x:v>3061</x:v>
      </x:c>
      <x:c r="AM100" s="2">
        <x:v>100</x:v>
      </x:c>
      <x:c r="AN100" s="2">
        <x:v>100</x:v>
      </x:c>
    </x:row>
    <x:row r="101" ht="39">
      <x:c r="A101" s="2" t="s">
        <x:v>91</x:v>
      </x:c>
      <x:c r="B101" s="2" t="s">
        <x:v>13</x:v>
      </x:c>
      <x:c r="C101" s="3">
        <x:v>99</x:v>
      </x:c>
      <x:c r="D101" s="2" t="s">
        <x:v>660</x:v>
      </x:c>
      <x:c r="E101" s="2" t="s">
        <x:v>765</x:v>
      </x:c>
      <x:c r="F101" s="2" t="s">
        <x:v>157</x:v>
      </x:c>
      <x:c r="G101" s="2" t="s">
        <x:v>3078</x:v>
      </x:c>
      <x:c r="H101" s="2" t="s">
        <x:v>618</x:v>
      </x:c>
      <x:c r="I101" s="2" t="s">
        <x:v>820</x:v>
      </x:c>
      <x:c r="J101" s="2" t="s">
        <x:v>620</x:v>
      </x:c>
      <x:c r="K101" s="2"/>
      <x:c r="L101" s="2" t="s">
        <x:v>717</x:v>
      </x:c>
      <x:c r="M101" s="2" t="s">
        <x:v>622</x:v>
      </x:c>
      <x:c r="N101" s="2">
        <x:v>4</x:v>
      </x:c>
      <x:c r="O101" s="2" t="s">
        <x:v>623</x:v>
      </x:c>
      <x:c r="P101" s="2" t="s">
        <x:v>675</x:v>
      </x:c>
      <x:c r="Q101" s="2"/>
      <x:c r="R101" s="3">
        <x:v>2</x:v>
      </x:c>
      <x:c r="S101" s="3">
        <x:v>1</x:v>
      </x:c>
      <x:c r="T101" s="2" t="s">
        <x:v>103</x:v>
      </x:c>
      <x:c r="U101" s="2" t="s">
        <x:v>115</x:v>
      </x:c>
      <x:c r="V101" s="2" t="s">
        <x:v>154</x:v>
      </x:c>
      <x:c r="W101" s="2"/>
      <x:c r="X101" s="3"/>
      <x:c r="Y101" s="3"/>
      <x:c r="Z101" s="2"/>
      <x:c r="AA101" s="2"/>
      <x:c r="AB101" s="2"/>
      <x:c r="AC101" s="2"/>
      <x:c r="AD101" s="2"/>
      <x:c r="AE101" s="2"/>
      <x:c r="AF101" s="2"/>
      <x:c r="AG101" s="2"/>
      <x:c r="AH101" s="2"/>
      <x:c r="AI101" s="4"/>
      <x:c r="AJ101" s="2"/>
      <x:c r="AK101" s="2" t="s">
        <x:v>106</x:v>
      </x:c>
      <x:c r="AL101" s="2" t="s">
        <x:v>3061</x:v>
      </x:c>
      <x:c r="AM101" s="2">
        <x:v>101</x:v>
      </x:c>
      <x:c r="AN101" s="2">
        <x:v>101</x:v>
      </x:c>
    </x:row>
    <x:row r="102" ht="39">
      <x:c r="A102" s="2" t="s">
        <x:v>6</x:v>
      </x:c>
      <x:c r="B102" s="2" t="s">
        <x:v>13</x:v>
      </x:c>
      <x:c r="C102" s="3">
        <x:v>100</x:v>
      </x:c>
      <x:c r="D102" s="2" t="s">
        <x:v>616</x:v>
      </x:c>
      <x:c r="E102" s="2" t="s">
        <x:v>770</x:v>
      </x:c>
      <x:c r="F102" s="2" t="s">
        <x:v>94</x:v>
      </x:c>
      <x:c r="G102" s="2" t="s">
        <x:v>3080</x:v>
      </x:c>
      <x:c r="H102" s="2" t="s">
        <x:v>618</x:v>
      </x:c>
      <x:c r="I102" s="2" t="s">
        <x:v>821</x:v>
      </x:c>
      <x:c r="J102" s="2" t="s">
        <x:v>620</x:v>
      </x:c>
      <x:c r="K102" s="2"/>
      <x:c r="L102" s="2" t="s">
        <x:v>726</x:v>
      </x:c>
      <x:c r="M102" s="2" t="s">
        <x:v>622</x:v>
      </x:c>
      <x:c r="N102" s="2">
        <x:v>4</x:v>
      </x:c>
      <x:c r="O102" s="2" t="s">
        <x:v>623</x:v>
      </x:c>
      <x:c r="P102" s="2" t="s">
        <x:v>624</x:v>
      </x:c>
      <x:c r="Q102" s="2"/>
      <x:c r="R102" s="3">
        <x:v>3</x:v>
      </x:c>
      <x:c r="S102" s="3">
        <x:v>1</x:v>
      </x:c>
      <x:c r="T102" s="2" t="s">
        <x:v>103</x:v>
      </x:c>
      <x:c r="U102" s="2" t="s">
        <x:v>129</x:v>
      </x:c>
      <x:c r="V102" s="2" t="s">
        <x:v>105</x:v>
      </x:c>
      <x:c r="W102" s="2"/>
      <x:c r="X102" s="3"/>
      <x:c r="Y102" s="3"/>
      <x:c r="Z102" s="2"/>
      <x:c r="AA102" s="2"/>
      <x:c r="AB102" s="2"/>
      <x:c r="AC102" s="2"/>
      <x:c r="AD102" s="2"/>
      <x:c r="AE102" s="2"/>
      <x:c r="AF102" s="2"/>
      <x:c r="AG102" s="2"/>
      <x:c r="AH102" s="2"/>
      <x:c r="AI102" s="4"/>
      <x:c r="AJ102" s="2"/>
      <x:c r="AK102" s="2" t="s">
        <x:v>106</x:v>
      </x:c>
      <x:c r="AL102" s="2" t="s">
        <x:v>3061</x:v>
      </x:c>
      <x:c r="AM102" s="2">
        <x:v>102</x:v>
      </x:c>
      <x:c r="AN102" s="2">
        <x:v>102</x:v>
      </x:c>
    </x:row>
    <x:row r="103" ht="65">
      <x:c r="A103" s="2" t="s">
        <x:v>6</x:v>
      </x:c>
      <x:c r="B103" s="2" t="s">
        <x:v>13</x:v>
      </x:c>
      <x:c r="C103" s="3">
        <x:v>101</x:v>
      </x:c>
      <x:c r="D103" s="2" t="s">
        <x:v>644</x:v>
      </x:c>
      <x:c r="E103" s="2" t="s">
        <x:v>694</x:v>
      </x:c>
      <x:c r="F103" s="2" t="s">
        <x:v>118</x:v>
      </x:c>
      <x:c r="G103" s="2" t="s">
        <x:v>3081</x:v>
      </x:c>
      <x:c r="H103" s="2" t="s">
        <x:v>618</x:v>
      </x:c>
      <x:c r="I103" s="2" t="s">
        <x:v>822</x:v>
      </x:c>
      <x:c r="J103" s="2" t="s">
        <x:v>620</x:v>
      </x:c>
      <x:c r="K103" s="2"/>
      <x:c r="L103" s="2" t="s">
        <x:v>775</x:v>
      </x:c>
      <x:c r="M103" s="2" t="s">
        <x:v>648</x:v>
      </x:c>
      <x:c r="N103" s="2">
        <x:v>4</x:v>
      </x:c>
      <x:c r="O103" s="2" t="s">
        <x:v>623</x:v>
      </x:c>
      <x:c r="P103" s="2" t="s">
        <x:v>649</x:v>
      </x:c>
      <x:c r="Q103" s="2"/>
      <x:c r="R103" s="3">
        <x:v>4</x:v>
      </x:c>
      <x:c r="S103" s="3">
        <x:v>1</x:v>
      </x:c>
      <x:c r="T103" s="2" t="s">
        <x:v>103</x:v>
      </x:c>
      <x:c r="U103" s="2" t="s">
        <x:v>104</x:v>
      </x:c>
      <x:c r="V103" s="2" t="s">
        <x:v>123</x:v>
      </x:c>
      <x:c r="W103" s="2"/>
      <x:c r="X103" s="3"/>
      <x:c r="Y103" s="3"/>
      <x:c r="Z103" s="2"/>
      <x:c r="AA103" s="2"/>
      <x:c r="AB103" s="2"/>
      <x:c r="AC103" s="2"/>
      <x:c r="AD103" s="2"/>
      <x:c r="AE103" s="2"/>
      <x:c r="AF103" s="2"/>
      <x:c r="AG103" s="2"/>
      <x:c r="AH103" s="2"/>
      <x:c r="AI103" s="4"/>
      <x:c r="AJ103" s="2"/>
      <x:c r="AK103" s="2" t="s">
        <x:v>106</x:v>
      </x:c>
      <x:c r="AL103" s="2" t="s">
        <x:v>3061</x:v>
      </x:c>
      <x:c r="AM103" s="2">
        <x:v>103</x:v>
      </x:c>
      <x:c r="AN103" s="2">
        <x:v>103</x:v>
      </x:c>
    </x:row>
    <x:row r="104" ht="65">
      <x:c r="A104" s="2" t="s">
        <x:v>91</x:v>
      </x:c>
      <x:c r="B104" s="2" t="s">
        <x:v>13</x:v>
      </x:c>
      <x:c r="C104" s="3">
        <x:v>102</x:v>
      </x:c>
      <x:c r="D104" s="2" t="s">
        <x:v>682</x:v>
      </x:c>
      <x:c r="E104" s="2" t="s">
        <x:v>705</x:v>
      </x:c>
      <x:c r="F104" s="2" t="s">
        <x:v>139</x:v>
      </x:c>
      <x:c r="G104" s="2" t="s">
        <x:v>778</x:v>
      </x:c>
      <x:c r="H104" s="2" t="s">
        <x:v>618</x:v>
      </x:c>
      <x:c r="I104" s="2" t="s">
        <x:v>823</x:v>
      </x:c>
      <x:c r="J104" s="2" t="s">
        <x:v>620</x:v>
      </x:c>
      <x:c r="K104" s="2"/>
      <x:c r="L104" s="2" t="s">
        <x:v>744</x:v>
      </x:c>
      <x:c r="M104" s="2" t="s">
        <x:v>648</x:v>
      </x:c>
      <x:c r="N104" s="2">
        <x:v>4</x:v>
      </x:c>
      <x:c r="O104" s="2" t="s">
        <x:v>623</x:v>
      </x:c>
      <x:c r="P104" s="2" t="s">
        <x:v>649</x:v>
      </x:c>
      <x:c r="Q104" s="2"/>
      <x:c r="R104" s="3">
        <x:v>2</x:v>
      </x:c>
      <x:c r="S104" s="3">
        <x:v>1</x:v>
      </x:c>
      <x:c r="T104" s="2" t="s">
        <x:v>103</x:v>
      </x:c>
      <x:c r="U104" s="2" t="s">
        <x:v>122</x:v>
      </x:c>
      <x:c r="V104" s="2" t="s">
        <x:v>136</x:v>
      </x:c>
      <x:c r="W104" s="2"/>
      <x:c r="X104" s="3"/>
      <x:c r="Y104" s="3"/>
      <x:c r="Z104" s="2"/>
      <x:c r="AA104" s="2"/>
      <x:c r="AB104" s="2"/>
      <x:c r="AC104" s="2"/>
      <x:c r="AD104" s="2"/>
      <x:c r="AE104" s="2"/>
      <x:c r="AF104" s="2"/>
      <x:c r="AG104" s="2"/>
      <x:c r="AH104" s="2"/>
      <x:c r="AI104" s="4"/>
      <x:c r="AJ104" s="2"/>
      <x:c r="AK104" s="2" t="s">
        <x:v>106</x:v>
      </x:c>
      <x:c r="AL104" s="2" t="s">
        <x:v>3061</x:v>
      </x:c>
      <x:c r="AM104" s="2">
        <x:v>104</x:v>
      </x:c>
      <x:c r="AN104" s="2">
        <x:v>104</x:v>
      </x:c>
    </x:row>
    <x:row r="105" ht="39">
      <x:c r="A105" s="2" t="s">
        <x:v>91</x:v>
      </x:c>
      <x:c r="B105" s="2" t="s">
        <x:v>13</x:v>
      </x:c>
      <x:c r="C105" s="3">
        <x:v>103</x:v>
      </x:c>
      <x:c r="D105" s="2" t="s">
        <x:v>660</x:v>
      </x:c>
      <x:c r="E105" s="2" t="s">
        <x:v>782</x:v>
      </x:c>
      <x:c r="F105" s="2" t="s">
        <x:v>157</x:v>
      </x:c>
      <x:c r="G105" s="2" t="s">
        <x:v>3078</x:v>
      </x:c>
      <x:c r="H105" s="2" t="s">
        <x:v>618</x:v>
      </x:c>
      <x:c r="I105" s="2" t="s">
        <x:v>824</x:v>
      </x:c>
      <x:c r="J105" s="2" t="s">
        <x:v>620</x:v>
      </x:c>
      <x:c r="K105" s="2"/>
      <x:c r="L105" s="2" t="s">
        <x:v>750</x:v>
      </x:c>
      <x:c r="M105" s="2" t="s">
        <x:v>622</x:v>
      </x:c>
      <x:c r="N105" s="2">
        <x:v>4</x:v>
      </x:c>
      <x:c r="O105" s="2" t="s">
        <x:v>623</x:v>
      </x:c>
      <x:c r="P105" s="2" t="s">
        <x:v>624</x:v>
      </x:c>
      <x:c r="Q105" s="2"/>
      <x:c r="R105" s="3">
        <x:v>3</x:v>
      </x:c>
      <x:c r="S105" s="3">
        <x:v>1</x:v>
      </x:c>
      <x:c r="T105" s="2" t="s">
        <x:v>103</x:v>
      </x:c>
      <x:c r="U105" s="2" t="s">
        <x:v>115</x:v>
      </x:c>
      <x:c r="V105" s="2" t="s">
        <x:v>154</x:v>
      </x:c>
      <x:c r="W105" s="2"/>
      <x:c r="X105" s="3"/>
      <x:c r="Y105" s="3"/>
      <x:c r="Z105" s="2"/>
      <x:c r="AA105" s="2"/>
      <x:c r="AB105" s="2"/>
      <x:c r="AC105" s="2"/>
      <x:c r="AD105" s="2"/>
      <x:c r="AE105" s="2"/>
      <x:c r="AF105" s="2"/>
      <x:c r="AG105" s="2"/>
      <x:c r="AH105" s="2"/>
      <x:c r="AI105" s="4"/>
      <x:c r="AJ105" s="2"/>
      <x:c r="AK105" s="2" t="s">
        <x:v>106</x:v>
      </x:c>
      <x:c r="AL105" s="2" t="s">
        <x:v>3061</x:v>
      </x:c>
      <x:c r="AM105" s="2">
        <x:v>105</x:v>
      </x:c>
      <x:c r="AN105" s="2">
        <x:v>105</x:v>
      </x:c>
    </x:row>
    <x:row r="106" ht="39">
      <x:c r="A106" s="2" t="s">
        <x:v>91</x:v>
      </x:c>
      <x:c r="B106" s="2" t="s">
        <x:v>13</x:v>
      </x:c>
      <x:c r="C106" s="3">
        <x:v>104</x:v>
      </x:c>
      <x:c r="D106" s="2" t="s">
        <x:v>616</x:v>
      </x:c>
      <x:c r="E106" s="2" t="s">
        <x:v>789</x:v>
      </x:c>
      <x:c r="F106" s="2" t="s">
        <x:v>94</x:v>
      </x:c>
      <x:c r="G106" s="2" t="s">
        <x:v>3082</x:v>
      </x:c>
      <x:c r="H106" s="2" t="s">
        <x:v>618</x:v>
      </x:c>
      <x:c r="I106" s="2" t="s">
        <x:v>825</x:v>
      </x:c>
      <x:c r="J106" s="2" t="s">
        <x:v>620</x:v>
      </x:c>
      <x:c r="K106" s="2"/>
      <x:c r="L106" s="2" t="s">
        <x:v>756</x:v>
      </x:c>
      <x:c r="M106" s="2" t="s">
        <x:v>622</x:v>
      </x:c>
      <x:c r="N106" s="2">
        <x:v>4</x:v>
      </x:c>
      <x:c r="O106" s="2" t="s">
        <x:v>623</x:v>
      </x:c>
      <x:c r="P106" s="2" t="s">
        <x:v>675</x:v>
      </x:c>
      <x:c r="Q106" s="2"/>
      <x:c r="R106" s="3">
        <x:v>4</x:v>
      </x:c>
      <x:c r="S106" s="3">
        <x:v>1</x:v>
      </x:c>
      <x:c r="T106" s="2" t="s">
        <x:v>103</x:v>
      </x:c>
      <x:c r="U106" s="2" t="s">
        <x:v>129</x:v>
      </x:c>
      <x:c r="V106" s="2" t="s">
        <x:v>105</x:v>
      </x:c>
      <x:c r="W106" s="2"/>
      <x:c r="X106" s="3"/>
      <x:c r="Y106" s="3"/>
      <x:c r="Z106" s="2"/>
      <x:c r="AA106" s="2"/>
      <x:c r="AB106" s="2"/>
      <x:c r="AC106" s="2"/>
      <x:c r="AD106" s="2"/>
      <x:c r="AE106" s="2"/>
      <x:c r="AF106" s="2"/>
      <x:c r="AG106" s="2"/>
      <x:c r="AH106" s="2"/>
      <x:c r="AI106" s="4"/>
      <x:c r="AJ106" s="2"/>
      <x:c r="AK106" s="2" t="s">
        <x:v>106</x:v>
      </x:c>
      <x:c r="AL106" s="2" t="s">
        <x:v>3061</x:v>
      </x:c>
      <x:c r="AM106" s="2">
        <x:v>106</x:v>
      </x:c>
      <x:c r="AN106" s="2">
        <x:v>106</x:v>
      </x:c>
    </x:row>
    <x:row r="107" ht="65">
      <x:c r="A107" s="2" t="s">
        <x:v>6</x:v>
      </x:c>
      <x:c r="B107" s="2" t="s">
        <x:v>13</x:v>
      </x:c>
      <x:c r="C107" s="3">
        <x:v>105</x:v>
      </x:c>
      <x:c r="D107" s="2" t="s">
        <x:v>644</x:v>
      </x:c>
      <x:c r="E107" s="2" t="s">
        <x:v>733</x:v>
      </x:c>
      <x:c r="F107" s="2" t="s">
        <x:v>118</x:v>
      </x:c>
      <x:c r="G107" s="2"/>
      <x:c r="H107" s="2" t="s">
        <x:v>618</x:v>
      </x:c>
      <x:c r="I107" s="2" t="s">
        <x:v>826</x:v>
      </x:c>
      <x:c r="J107" s="2" t="s">
        <x:v>620</x:v>
      </x:c>
      <x:c r="K107" s="2"/>
      <x:c r="L107" s="2" t="s">
        <x:v>697</x:v>
      </x:c>
      <x:c r="M107" s="2" t="s">
        <x:v>648</x:v>
      </x:c>
      <x:c r="N107" s="2">
        <x:v>4</x:v>
      </x:c>
      <x:c r="O107" s="2" t="s">
        <x:v>623</x:v>
      </x:c>
      <x:c r="P107" s="2" t="s">
        <x:v>649</x:v>
      </x:c>
      <x:c r="Q107" s="2"/>
      <x:c r="R107" s="3">
        <x:v>2</x:v>
      </x:c>
      <x:c r="S107" s="3">
        <x:v>1</x:v>
      </x:c>
      <x:c r="T107" s="2" t="s">
        <x:v>103</x:v>
      </x:c>
      <x:c r="U107" s="2" t="s">
        <x:v>104</x:v>
      </x:c>
      <x:c r="V107" s="2" t="s">
        <x:v>123</x:v>
      </x:c>
      <x:c r="W107" s="2"/>
      <x:c r="X107" s="3"/>
      <x:c r="Y107" s="3"/>
      <x:c r="Z107" s="2"/>
      <x:c r="AA107" s="2"/>
      <x:c r="AB107" s="2"/>
      <x:c r="AC107" s="2"/>
      <x:c r="AD107" s="2"/>
      <x:c r="AE107" s="2"/>
      <x:c r="AF107" s="2"/>
      <x:c r="AG107" s="2"/>
      <x:c r="AH107" s="2"/>
      <x:c r="AI107" s="4"/>
      <x:c r="AJ107" s="2"/>
      <x:c r="AK107" s="2" t="s">
        <x:v>106</x:v>
      </x:c>
      <x:c r="AL107" s="2" t="s">
        <x:v>3061</x:v>
      </x:c>
      <x:c r="AM107" s="2">
        <x:v>107</x:v>
      </x:c>
      <x:c r="AN107" s="2">
        <x:v>107</x:v>
      </x:c>
    </x:row>
    <x:row r="108" ht="65">
      <x:c r="A108" s="2" t="s">
        <x:v>91</x:v>
      </x:c>
      <x:c r="B108" s="2" t="s">
        <x:v>13</x:v>
      </x:c>
      <x:c r="C108" s="3">
        <x:v>106</x:v>
      </x:c>
      <x:c r="D108" s="2" t="s">
        <x:v>682</x:v>
      </x:c>
      <x:c r="E108" s="2" t="s">
        <x:v>741</x:v>
      </x:c>
      <x:c r="F108" s="2" t="s">
        <x:v>139</x:v>
      </x:c>
      <x:c r="G108" s="2" t="s">
        <x:v>3083</x:v>
      </x:c>
      <x:c r="H108" s="2" t="s">
        <x:v>618</x:v>
      </x:c>
      <x:c r="I108" s="2" t="s">
        <x:v>827</x:v>
      </x:c>
      <x:c r="J108" s="2" t="s">
        <x:v>620</x:v>
      </x:c>
      <x:c r="K108" s="2"/>
      <x:c r="L108" s="2" t="s">
        <x:v>763</x:v>
      </x:c>
      <x:c r="M108" s="2" t="s">
        <x:v>648</x:v>
      </x:c>
      <x:c r="N108" s="2">
        <x:v>4</x:v>
      </x:c>
      <x:c r="O108" s="2" t="s">
        <x:v>623</x:v>
      </x:c>
      <x:c r="P108" s="2" t="s">
        <x:v>649</x:v>
      </x:c>
      <x:c r="Q108" s="2"/>
      <x:c r="R108" s="3">
        <x:v>3</x:v>
      </x:c>
      <x:c r="S108" s="3">
        <x:v>1</x:v>
      </x:c>
      <x:c r="T108" s="2" t="s">
        <x:v>103</x:v>
      </x:c>
      <x:c r="U108" s="2" t="s">
        <x:v>122</x:v>
      </x:c>
      <x:c r="V108" s="2" t="s">
        <x:v>136</x:v>
      </x:c>
      <x:c r="W108" s="2"/>
      <x:c r="X108" s="3"/>
      <x:c r="Y108" s="3"/>
      <x:c r="Z108" s="2"/>
      <x:c r="AA108" s="2"/>
      <x:c r="AB108" s="2"/>
      <x:c r="AC108" s="2"/>
      <x:c r="AD108" s="2"/>
      <x:c r="AE108" s="2"/>
      <x:c r="AF108" s="2"/>
      <x:c r="AG108" s="2"/>
      <x:c r="AH108" s="2"/>
      <x:c r="AI108" s="4"/>
      <x:c r="AJ108" s="2"/>
      <x:c r="AK108" s="2" t="s">
        <x:v>106</x:v>
      </x:c>
      <x:c r="AL108" s="2" t="s">
        <x:v>3061</x:v>
      </x:c>
      <x:c r="AM108" s="2">
        <x:v>108</x:v>
      </x:c>
      <x:c r="AN108" s="2">
        <x:v>108</x:v>
      </x:c>
    </x:row>
    <x:row r="109" ht="39">
      <x:c r="A109" s="2" t="s">
        <x:v>91</x:v>
      </x:c>
      <x:c r="B109" s="2" t="s">
        <x:v>13</x:v>
      </x:c>
      <x:c r="C109" s="3">
        <x:v>107</x:v>
      </x:c>
      <x:c r="D109" s="2" t="s">
        <x:v>660</x:v>
      </x:c>
      <x:c r="E109" s="2" t="s">
        <x:v>795</x:v>
      </x:c>
      <x:c r="F109" s="2" t="s">
        <x:v>157</x:v>
      </x:c>
      <x:c r="G109" s="2" t="s">
        <x:v>3084</x:v>
      </x:c>
      <x:c r="H109" s="2" t="s">
        <x:v>618</x:v>
      </x:c>
      <x:c r="I109" s="2" t="s">
        <x:v>828</x:v>
      </x:c>
      <x:c r="J109" s="2" t="s">
        <x:v>620</x:v>
      </x:c>
      <x:c r="K109" s="2"/>
      <x:c r="L109" s="2" t="s">
        <x:v>767</x:v>
      </x:c>
      <x:c r="M109" s="2" t="s">
        <x:v>622</x:v>
      </x:c>
      <x:c r="N109" s="2">
        <x:v>4</x:v>
      </x:c>
      <x:c r="O109" s="2" t="s">
        <x:v>623</x:v>
      </x:c>
      <x:c r="P109" s="2" t="s">
        <x:v>675</x:v>
      </x:c>
      <x:c r="Q109" s="2"/>
      <x:c r="R109" s="3">
        <x:v>4</x:v>
      </x:c>
      <x:c r="S109" s="3">
        <x:v>1</x:v>
      </x:c>
      <x:c r="T109" s="2" t="s">
        <x:v>103</x:v>
      </x:c>
      <x:c r="U109" s="2" t="s">
        <x:v>115</x:v>
      </x:c>
      <x:c r="V109" s="2" t="s">
        <x:v>154</x:v>
      </x:c>
      <x:c r="W109" s="2"/>
      <x:c r="X109" s="3"/>
      <x:c r="Y109" s="3"/>
      <x:c r="Z109" s="2"/>
      <x:c r="AA109" s="2"/>
      <x:c r="AB109" s="2"/>
      <x:c r="AC109" s="2"/>
      <x:c r="AD109" s="2"/>
      <x:c r="AE109" s="2"/>
      <x:c r="AF109" s="2"/>
      <x:c r="AG109" s="2"/>
      <x:c r="AH109" s="2"/>
      <x:c r="AI109" s="4"/>
      <x:c r="AJ109" s="2"/>
      <x:c r="AK109" s="2" t="s">
        <x:v>106</x:v>
      </x:c>
      <x:c r="AL109" s="2" t="s">
        <x:v>3061</x:v>
      </x:c>
      <x:c r="AM109" s="2">
        <x:v>109</x:v>
      </x:c>
      <x:c r="AN109" s="2">
        <x:v>109</x:v>
      </x:c>
    </x:row>
    <x:row r="110" ht="39">
      <x:c r="A110" s="2" t="s">
        <x:v>91</x:v>
      </x:c>
      <x:c r="B110" s="2" t="s">
        <x:v>13</x:v>
      </x:c>
      <x:c r="C110" s="3">
        <x:v>108</x:v>
      </x:c>
      <x:c r="D110" s="2" t="s">
        <x:v>616</x:v>
      </x:c>
      <x:c r="E110" s="2" t="s">
        <x:v>617</x:v>
      </x:c>
      <x:c r="F110" s="2" t="s">
        <x:v>94</x:v>
      </x:c>
      <x:c r="G110" s="2" t="s">
        <x:v>602</x:v>
      </x:c>
      <x:c r="H110" s="2" t="s">
        <x:v>618</x:v>
      </x:c>
      <x:c r="I110" s="2" t="s">
        <x:v>830</x:v>
      </x:c>
      <x:c r="J110" s="2" t="s">
        <x:v>620</x:v>
      </x:c>
      <x:c r="K110" s="2"/>
      <x:c r="L110" s="2" t="s">
        <x:v>621</x:v>
      </x:c>
      <x:c r="M110" s="2" t="s">
        <x:v>622</x:v>
      </x:c>
      <x:c r="N110" s="2">
        <x:v>4</x:v>
      </x:c>
      <x:c r="O110" s="2" t="s">
        <x:v>623</x:v>
      </x:c>
      <x:c r="P110" s="2" t="s">
        <x:v>624</x:v>
      </x:c>
      <x:c r="Q110" s="2"/>
      <x:c r="R110" s="3">
        <x:v>2</x:v>
      </x:c>
      <x:c r="S110" s="3">
        <x:v>1</x:v>
      </x:c>
      <x:c r="T110" s="2" t="s">
        <x:v>103</x:v>
      </x:c>
      <x:c r="U110" s="2" t="s">
        <x:v>129</x:v>
      </x:c>
      <x:c r="V110" s="2" t="s">
        <x:v>105</x:v>
      </x:c>
      <x:c r="W110" s="2"/>
      <x:c r="X110" s="3"/>
      <x:c r="Y110" s="3"/>
      <x:c r="Z110" s="2"/>
      <x:c r="AA110" s="2"/>
      <x:c r="AB110" s="2"/>
      <x:c r="AC110" s="2"/>
      <x:c r="AD110" s="2"/>
      <x:c r="AE110" s="2"/>
      <x:c r="AF110" s="2"/>
      <x:c r="AG110" s="2"/>
      <x:c r="AH110" s="2"/>
      <x:c r="AI110" s="4"/>
      <x:c r="AJ110" s="2"/>
      <x:c r="AK110" s="2" t="s">
        <x:v>106</x:v>
      </x:c>
      <x:c r="AL110" s="2" t="s">
        <x:v>3061</x:v>
      </x:c>
      <x:c r="AM110" s="2">
        <x:v>110</x:v>
      </x:c>
      <x:c r="AN110" s="2">
        <x:v>110</x:v>
      </x:c>
    </x:row>
    <x:row r="111" ht="65">
      <x:c r="A111" s="2" t="s">
        <x:v>91</x:v>
      </x:c>
      <x:c r="B111" s="2" t="s">
        <x:v>13</x:v>
      </x:c>
      <x:c r="C111" s="3">
        <x:v>109</x:v>
      </x:c>
      <x:c r="D111" s="2" t="s">
        <x:v>644</x:v>
      </x:c>
      <x:c r="E111" s="2" t="s">
        <x:v>645</x:v>
      </x:c>
      <x:c r="F111" s="2" t="s">
        <x:v>118</x:v>
      </x:c>
      <x:c r="G111" s="2" t="s">
        <x:v>695</x:v>
      </x:c>
      <x:c r="H111" s="2" t="s">
        <x:v>618</x:v>
      </x:c>
      <x:c r="I111" s="2" t="s">
        <x:v>832</x:v>
      </x:c>
      <x:c r="J111" s="2" t="s">
        <x:v>620</x:v>
      </x:c>
      <x:c r="K111" s="2"/>
      <x:c r="L111" s="2" t="s">
        <x:v>647</x:v>
      </x:c>
      <x:c r="M111" s="2" t="s">
        <x:v>648</x:v>
      </x:c>
      <x:c r="N111" s="2">
        <x:v>4</x:v>
      </x:c>
      <x:c r="O111" s="2" t="s">
        <x:v>623</x:v>
      </x:c>
      <x:c r="P111" s="2" t="s">
        <x:v>649</x:v>
      </x:c>
      <x:c r="Q111" s="2"/>
      <x:c r="R111" s="3">
        <x:v>3</x:v>
      </x:c>
      <x:c r="S111" s="3">
        <x:v>1</x:v>
      </x:c>
      <x:c r="T111" s="2" t="s">
        <x:v>103</x:v>
      </x:c>
      <x:c r="U111" s="2" t="s">
        <x:v>104</x:v>
      </x:c>
      <x:c r="V111" s="2" t="s">
        <x:v>123</x:v>
      </x:c>
      <x:c r="W111" s="2"/>
      <x:c r="X111" s="3"/>
      <x:c r="Y111" s="3"/>
      <x:c r="Z111" s="2"/>
      <x:c r="AA111" s="2"/>
      <x:c r="AB111" s="2"/>
      <x:c r="AC111" s="2"/>
      <x:c r="AD111" s="2"/>
      <x:c r="AE111" s="2"/>
      <x:c r="AF111" s="2"/>
      <x:c r="AG111" s="2"/>
      <x:c r="AH111" s="2"/>
      <x:c r="AI111" s="4"/>
      <x:c r="AJ111" s="2"/>
      <x:c r="AK111" s="2" t="s">
        <x:v>106</x:v>
      </x:c>
      <x:c r="AL111" s="2" t="s">
        <x:v>3061</x:v>
      </x:c>
      <x:c r="AM111" s="2">
        <x:v>111</x:v>
      </x:c>
      <x:c r="AN111" s="2">
        <x:v>111</x:v>
      </x:c>
    </x:row>
    <x:row r="112" ht="39">
      <x:c r="A112" s="2" t="s">
        <x:v>6</x:v>
      </x:c>
      <x:c r="B112" s="2" t="s">
        <x:v>13</x:v>
      </x:c>
      <x:c r="C112" s="3">
        <x:v>110</x:v>
      </x:c>
      <x:c r="D112" s="2" t="s">
        <x:v>833</x:v>
      </x:c>
      <x:c r="E112" s="2" t="s">
        <x:v>834</x:v>
      </x:c>
      <x:c r="F112" s="2" t="s">
        <x:v>835</x:v>
      </x:c>
      <x:c r="G112" s="2"/>
      <x:c r="H112" s="2" t="s">
        <x:v>836</x:v>
      </x:c>
      <x:c r="I112" s="2" t="s">
        <x:v>837</x:v>
      </x:c>
      <x:c r="J112" s="2" t="s">
        <x:v>838</x:v>
      </x:c>
      <x:c r="K112" s="2"/>
      <x:c r="L112" s="2">
        <x:v>0</x:v>
      </x:c>
      <x:c r="M112" s="2" t="s">
        <x:v>839</x:v>
      </x:c>
      <x:c r="N112" s="2">
        <x:v>5</x:v>
      </x:c>
      <x:c r="O112" s="2" t="s">
        <x:v>840</x:v>
      </x:c>
      <x:c r="P112" s="2" t="s">
        <x:v>841</x:v>
      </x:c>
      <x:c r="Q112" s="2"/>
      <x:c r="R112" s="3">
        <x:v>2</x:v>
      </x:c>
      <x:c r="S112" s="3">
        <x:v>1</x:v>
      </x:c>
      <x:c r="T112" s="2" t="s">
        <x:v>103</x:v>
      </x:c>
      <x:c r="U112" s="2" t="s">
        <x:v>122</x:v>
      </x:c>
      <x:c r="V112" s="2" t="s">
        <x:v>842</x:v>
      </x:c>
      <x:c r="W112" s="2"/>
      <x:c r="X112" s="3"/>
      <x:c r="Y112" s="3"/>
      <x:c r="Z112" s="2"/>
      <x:c r="AA112" s="2"/>
      <x:c r="AB112" s="2"/>
      <x:c r="AC112" s="2"/>
      <x:c r="AD112" s="2"/>
      <x:c r="AE112" s="2"/>
      <x:c r="AF112" s="2"/>
      <x:c r="AG112" s="2"/>
      <x:c r="AH112" s="2"/>
      <x:c r="AI112" s="4"/>
      <x:c r="AJ112" s="2"/>
      <x:c r="AK112" s="2" t="s">
        <x:v>106</x:v>
      </x:c>
      <x:c r="AL112" s="2" t="s">
        <x:v>3061</x:v>
      </x:c>
      <x:c r="AM112" s="2">
        <x:v>112</x:v>
      </x:c>
      <x:c r="AN112" s="2">
        <x:v>112</x:v>
      </x:c>
    </x:row>
    <x:row r="113" ht="39">
      <x:c r="A113" s="2" t="s">
        <x:v>6</x:v>
      </x:c>
      <x:c r="B113" s="2" t="s">
        <x:v>13</x:v>
      </x:c>
      <x:c r="C113" s="3">
        <x:v>111</x:v>
      </x:c>
      <x:c r="D113" s="2" t="s">
        <x:v>843</x:v>
      </x:c>
      <x:c r="E113" s="2" t="s">
        <x:v>834</x:v>
      </x:c>
      <x:c r="F113" s="2" t="s">
        <x:v>844</x:v>
      </x:c>
      <x:c r="G113" s="2"/>
      <x:c r="H113" s="2" t="s">
        <x:v>836</x:v>
      </x:c>
      <x:c r="I113" s="2" t="s">
        <x:v>837</x:v>
      </x:c>
      <x:c r="J113" s="2" t="s">
        <x:v>838</x:v>
      </x:c>
      <x:c r="K113" s="2" t="n">
        <x:v>110</x:v>
      </x:c>
      <x:c r="L113" s="2">
        <x:v>101</x:v>
      </x:c>
      <x:c r="M113" s="2" t="s">
        <x:v>845</x:v>
      </x:c>
      <x:c r="N113" s="2">
        <x:v>5</x:v>
      </x:c>
      <x:c r="O113" s="2" t="s">
        <x:v>846</x:v>
      </x:c>
      <x:c r="P113" s="2" t="s">
        <x:v>841</x:v>
      </x:c>
      <x:c r="Q113" s="2"/>
      <x:c r="R113" s="3">
        <x:v>2</x:v>
      </x:c>
      <x:c r="S113" s="3">
        <x:v>1</x:v>
      </x:c>
      <x:c r="T113" s="2" t="s">
        <x:v>103</x:v>
      </x:c>
      <x:c r="U113" s="2" t="s">
        <x:v>104</x:v>
      </x:c>
      <x:c r="V113" s="2" t="s">
        <x:v>842</x:v>
      </x:c>
      <x:c r="W113" s="2"/>
      <x:c r="X113" s="3"/>
      <x:c r="Y113" s="3"/>
      <x:c r="Z113" s="2"/>
      <x:c r="AA113" s="2"/>
      <x:c r="AB113" s="2"/>
      <x:c r="AC113" s="2"/>
      <x:c r="AD113" s="2"/>
      <x:c r="AE113" s="2"/>
      <x:c r="AF113" s="2"/>
      <x:c r="AG113" s="2"/>
      <x:c r="AH113" s="2"/>
      <x:c r="AI113" s="4"/>
      <x:c r="AJ113" s="2"/>
      <x:c r="AK113" s="2" t="s">
        <x:v>106</x:v>
      </x:c>
      <x:c r="AL113" s="2" t="s">
        <x:v>3061</x:v>
      </x:c>
      <x:c r="AM113" s="2">
        <x:v>113</x:v>
      </x:c>
      <x:c r="AN113" s="2">
        <x:v>113</x:v>
      </x:c>
    </x:row>
    <x:row r="114" ht="39">
      <x:c r="A114" s="2" t="s">
        <x:v>91</x:v>
      </x:c>
      <x:c r="B114" s="2" t="s">
        <x:v>13</x:v>
      </x:c>
      <x:c r="C114" s="3">
        <x:v>112</x:v>
      </x:c>
      <x:c r="D114" s="2" t="s">
        <x:v>847</x:v>
      </x:c>
      <x:c r="E114" s="2" t="s">
        <x:v>848</x:v>
      </x:c>
      <x:c r="F114" s="2" t="s">
        <x:v>835</x:v>
      </x:c>
      <x:c r="G114" s="2" t="s">
        <x:v>878</x:v>
      </x:c>
      <x:c r="H114" s="2" t="s">
        <x:v>836</x:v>
      </x:c>
      <x:c r="I114" s="2" t="s">
        <x:v>850</x:v>
      </x:c>
      <x:c r="J114" s="2" t="s">
        <x:v>838</x:v>
      </x:c>
      <x:c r="K114" s="2"/>
      <x:c r="L114" s="2">
        <x:v>78</x:v>
      </x:c>
      <x:c r="M114" s="2" t="s">
        <x:v>851</x:v>
      </x:c>
      <x:c r="N114" s="2">
        <x:v>5</x:v>
      </x:c>
      <x:c r="O114" s="2" t="s">
        <x:v>840</x:v>
      </x:c>
      <x:c r="P114" s="2" t="s">
        <x:v>852</x:v>
      </x:c>
      <x:c r="Q114" s="2"/>
      <x:c r="R114" s="3">
        <x:v>3</x:v>
      </x:c>
      <x:c r="S114" s="3">
        <x:v>1</x:v>
      </x:c>
      <x:c r="T114" s="2" t="s">
        <x:v>103</x:v>
      </x:c>
      <x:c r="U114" s="2" t="s">
        <x:v>129</x:v>
      </x:c>
      <x:c r="V114" s="2" t="s">
        <x:v>842</x:v>
      </x:c>
      <x:c r="W114" s="2"/>
      <x:c r="X114" s="3"/>
      <x:c r="Y114" s="3"/>
      <x:c r="Z114" s="2"/>
      <x:c r="AA114" s="2"/>
      <x:c r="AB114" s="2"/>
      <x:c r="AC114" s="2"/>
      <x:c r="AD114" s="2"/>
      <x:c r="AE114" s="2"/>
      <x:c r="AF114" s="2"/>
      <x:c r="AG114" s="2"/>
      <x:c r="AH114" s="2"/>
      <x:c r="AI114" s="4"/>
      <x:c r="AJ114" s="2"/>
      <x:c r="AK114" s="2" t="s">
        <x:v>106</x:v>
      </x:c>
      <x:c r="AL114" s="2" t="s">
        <x:v>3061</x:v>
      </x:c>
      <x:c r="AM114" s="2">
        <x:v>114</x:v>
      </x:c>
      <x:c r="AN114" s="2">
        <x:v>114</x:v>
      </x:c>
    </x:row>
    <x:row r="115" ht="39">
      <x:c r="A115" s="2" t="s">
        <x:v>6</x:v>
      </x:c>
      <x:c r="B115" s="2" t="s">
        <x:v>13</x:v>
      </x:c>
      <x:c r="C115" s="3">
        <x:v>113</x:v>
      </x:c>
      <x:c r="D115" s="2" t="s">
        <x:v>853</x:v>
      </x:c>
      <x:c r="E115" s="2" t="s">
        <x:v>848</x:v>
      </x:c>
      <x:c r="F115" s="2" t="s">
        <x:v>844</x:v>
      </x:c>
      <x:c r="G115" s="2"/>
      <x:c r="H115" s="2" t="s">
        <x:v>836</x:v>
      </x:c>
      <x:c r="I115" s="2" t="s">
        <x:v>850</x:v>
      </x:c>
      <x:c r="J115" s="2" t="s">
        <x:v>838</x:v>
      </x:c>
      <x:c r="K115" s="2" t="n">
        <x:v>112</x:v>
      </x:c>
      <x:c r="L115" s="2">
        <x:v>26</x:v>
      </x:c>
      <x:c r="M115" s="2" t="s">
        <x:v>854</x:v>
      </x:c>
      <x:c r="N115" s="2">
        <x:v>5</x:v>
      </x:c>
      <x:c r="O115" s="2" t="s">
        <x:v>846</x:v>
      </x:c>
      <x:c r="P115" s="2" t="s">
        <x:v>852</x:v>
      </x:c>
      <x:c r="Q115" s="2"/>
      <x:c r="R115" s="3">
        <x:v>3</x:v>
      </x:c>
      <x:c r="S115" s="3">
        <x:v>1</x:v>
      </x:c>
      <x:c r="T115" s="2" t="s">
        <x:v>103</x:v>
      </x:c>
      <x:c r="U115" s="2" t="s">
        <x:v>115</x:v>
      </x:c>
      <x:c r="V115" s="2" t="s">
        <x:v>842</x:v>
      </x:c>
      <x:c r="W115" s="2"/>
      <x:c r="X115" s="3"/>
      <x:c r="Y115" s="3"/>
      <x:c r="Z115" s="2"/>
      <x:c r="AA115" s="2"/>
      <x:c r="AB115" s="2"/>
      <x:c r="AC115" s="2"/>
      <x:c r="AD115" s="2"/>
      <x:c r="AE115" s="2"/>
      <x:c r="AF115" s="2"/>
      <x:c r="AG115" s="2"/>
      <x:c r="AH115" s="2"/>
      <x:c r="AI115" s="4"/>
      <x:c r="AJ115" s="2"/>
      <x:c r="AK115" s="2" t="s">
        <x:v>106</x:v>
      </x:c>
      <x:c r="AL115" s="2" t="s">
        <x:v>3061</x:v>
      </x:c>
      <x:c r="AM115" s="2">
        <x:v>115</x:v>
      </x:c>
      <x:c r="AN115" s="2">
        <x:v>115</x:v>
      </x:c>
    </x:row>
    <x:row r="116" ht="39">
      <x:c r="A116" s="2" t="s">
        <x:v>91</x:v>
      </x:c>
      <x:c r="B116" s="2" t="s">
        <x:v>13</x:v>
      </x:c>
      <x:c r="C116" s="3">
        <x:v>114</x:v>
      </x:c>
      <x:c r="D116" s="2" t="s">
        <x:v>833</x:v>
      </x:c>
      <x:c r="E116" s="2" t="s">
        <x:v>855</x:v>
      </x:c>
      <x:c r="F116" s="2" t="s">
        <x:v>844</x:v>
      </x:c>
      <x:c r="G116" s="2" t="s">
        <x:v>3085</x:v>
      </x:c>
      <x:c r="H116" s="2" t="s">
        <x:v>836</x:v>
      </x:c>
      <x:c r="I116" s="2" t="s">
        <x:v>856</x:v>
      </x:c>
      <x:c r="J116" s="2" t="s">
        <x:v>838</x:v>
      </x:c>
      <x:c r="K116" s="2"/>
      <x:c r="L116" s="2">
        <x:v>0</x:v>
      </x:c>
      <x:c r="M116" s="2" t="s">
        <x:v>839</x:v>
      </x:c>
      <x:c r="N116" s="2">
        <x:v>5</x:v>
      </x:c>
      <x:c r="O116" s="2" t="s">
        <x:v>840</x:v>
      </x:c>
      <x:c r="P116" s="2" t="s">
        <x:v>841</x:v>
      </x:c>
      <x:c r="Q116" s="2"/>
      <x:c r="R116" s="3">
        <x:v>4</x:v>
      </x:c>
      <x:c r="S116" s="3">
        <x:v>1</x:v>
      </x:c>
      <x:c r="T116" s="2" t="s">
        <x:v>103</x:v>
      </x:c>
      <x:c r="U116" s="2" t="s">
        <x:v>122</x:v>
      </x:c>
      <x:c r="V116" s="2" t="s">
        <x:v>842</x:v>
      </x:c>
      <x:c r="W116" s="2"/>
      <x:c r="X116" s="3"/>
      <x:c r="Y116" s="3"/>
      <x:c r="Z116" s="2"/>
      <x:c r="AA116" s="2"/>
      <x:c r="AB116" s="2"/>
      <x:c r="AC116" s="2"/>
      <x:c r="AD116" s="2"/>
      <x:c r="AE116" s="2"/>
      <x:c r="AF116" s="2"/>
      <x:c r="AG116" s="2"/>
      <x:c r="AH116" s="2"/>
      <x:c r="AI116" s="4"/>
      <x:c r="AJ116" s="2"/>
      <x:c r="AK116" s="2" t="s">
        <x:v>106</x:v>
      </x:c>
      <x:c r="AL116" s="2" t="s">
        <x:v>3061</x:v>
      </x:c>
      <x:c r="AM116" s="2">
        <x:v>116</x:v>
      </x:c>
      <x:c r="AN116" s="2">
        <x:v>116</x:v>
      </x:c>
    </x:row>
    <x:row r="117" ht="39">
      <x:c r="A117" s="2" t="s">
        <x:v>6</x:v>
      </x:c>
      <x:c r="B117" s="2" t="s">
        <x:v>13</x:v>
      </x:c>
      <x:c r="C117" s="3">
        <x:v>115</x:v>
      </x:c>
      <x:c r="D117" s="2" t="s">
        <x:v>843</x:v>
      </x:c>
      <x:c r="E117" s="2" t="s">
        <x:v>855</x:v>
      </x:c>
      <x:c r="F117" s="2" t="s">
        <x:v>835</x:v>
      </x:c>
      <x:c r="G117" s="2"/>
      <x:c r="H117" s="2" t="s">
        <x:v>836</x:v>
      </x:c>
      <x:c r="I117" s="2" t="s">
        <x:v>856</x:v>
      </x:c>
      <x:c r="J117" s="2" t="s">
        <x:v>838</x:v>
      </x:c>
      <x:c r="K117" s="2" t="n">
        <x:v>114</x:v>
      </x:c>
      <x:c r="L117" s="2">
        <x:v>101</x:v>
      </x:c>
      <x:c r="M117" s="2" t="s">
        <x:v>845</x:v>
      </x:c>
      <x:c r="N117" s="2">
        <x:v>5</x:v>
      </x:c>
      <x:c r="O117" s="2" t="s">
        <x:v>846</x:v>
      </x:c>
      <x:c r="P117" s="2" t="s">
        <x:v>841</x:v>
      </x:c>
      <x:c r="Q117" s="2"/>
      <x:c r="R117" s="3">
        <x:v>4</x:v>
      </x:c>
      <x:c r="S117" s="3">
        <x:v>1</x:v>
      </x:c>
      <x:c r="T117" s="2" t="s">
        <x:v>103</x:v>
      </x:c>
      <x:c r="U117" s="2" t="s">
        <x:v>104</x:v>
      </x:c>
      <x:c r="V117" s="2" t="s">
        <x:v>842</x:v>
      </x:c>
      <x:c r="W117" s="2"/>
      <x:c r="X117" s="3"/>
      <x:c r="Y117" s="3"/>
      <x:c r="Z117" s="2"/>
      <x:c r="AA117" s="2"/>
      <x:c r="AB117" s="2"/>
      <x:c r="AC117" s="2"/>
      <x:c r="AD117" s="2"/>
      <x:c r="AE117" s="2"/>
      <x:c r="AF117" s="2"/>
      <x:c r="AG117" s="2"/>
      <x:c r="AH117" s="2"/>
      <x:c r="AI117" s="4"/>
      <x:c r="AJ117" s="2"/>
      <x:c r="AK117" s="2" t="s">
        <x:v>106</x:v>
      </x:c>
      <x:c r="AL117" s="2" t="s">
        <x:v>3061</x:v>
      </x:c>
      <x:c r="AM117" s="2">
        <x:v>117</x:v>
      </x:c>
      <x:c r="AN117" s="2">
        <x:v>117</x:v>
      </x:c>
    </x:row>
    <x:row r="118" ht="39">
      <x:c r="A118" s="2" t="s">
        <x:v>6</x:v>
      </x:c>
      <x:c r="B118" s="2" t="s">
        <x:v>13</x:v>
      </x:c>
      <x:c r="C118" s="3">
        <x:v>116</x:v>
      </x:c>
      <x:c r="D118" s="2" t="s">
        <x:v>847</x:v>
      </x:c>
      <x:c r="E118" s="2" t="s">
        <x:v>858</x:v>
      </x:c>
      <x:c r="F118" s="2" t="s">
        <x:v>844</x:v>
      </x:c>
      <x:c r="G118" s="2"/>
      <x:c r="H118" s="2" t="s">
        <x:v>836</x:v>
      </x:c>
      <x:c r="I118" s="2" t="s">
        <x:v>859</x:v>
      </x:c>
      <x:c r="J118" s="2" t="s">
        <x:v>838</x:v>
      </x:c>
      <x:c r="K118" s="2"/>
      <x:c r="L118" s="2">
        <x:v>78</x:v>
      </x:c>
      <x:c r="M118" s="2" t="s">
        <x:v>851</x:v>
      </x:c>
      <x:c r="N118" s="2">
        <x:v>5</x:v>
      </x:c>
      <x:c r="O118" s="2" t="s">
        <x:v>840</x:v>
      </x:c>
      <x:c r="P118" s="2" t="s">
        <x:v>860</x:v>
      </x:c>
      <x:c r="Q118" s="2"/>
      <x:c r="R118" s="3">
        <x:v>2</x:v>
      </x:c>
      <x:c r="S118" s="3">
        <x:v>1</x:v>
      </x:c>
      <x:c r="T118" s="2" t="s">
        <x:v>103</x:v>
      </x:c>
      <x:c r="U118" s="2" t="s">
        <x:v>129</x:v>
      </x:c>
      <x:c r="V118" s="2" t="s">
        <x:v>842</x:v>
      </x:c>
      <x:c r="W118" s="2"/>
      <x:c r="X118" s="3"/>
      <x:c r="Y118" s="3"/>
      <x:c r="Z118" s="2"/>
      <x:c r="AA118" s="2"/>
      <x:c r="AB118" s="2"/>
      <x:c r="AC118" s="2"/>
      <x:c r="AD118" s="2"/>
      <x:c r="AE118" s="2"/>
      <x:c r="AF118" s="2"/>
      <x:c r="AG118" s="2"/>
      <x:c r="AH118" s="2"/>
      <x:c r="AI118" s="4"/>
      <x:c r="AJ118" s="2"/>
      <x:c r="AK118" s="2" t="s">
        <x:v>106</x:v>
      </x:c>
      <x:c r="AL118" s="2" t="s">
        <x:v>3061</x:v>
      </x:c>
      <x:c r="AM118" s="2">
        <x:v>118</x:v>
      </x:c>
      <x:c r="AN118" s="2">
        <x:v>118</x:v>
      </x:c>
    </x:row>
    <x:row r="119" ht="39">
      <x:c r="A119" s="2" t="s">
        <x:v>6</x:v>
      </x:c>
      <x:c r="B119" s="2" t="s">
        <x:v>13</x:v>
      </x:c>
      <x:c r="C119" s="3">
        <x:v>117</x:v>
      </x:c>
      <x:c r="D119" s="2" t="s">
        <x:v>853</x:v>
      </x:c>
      <x:c r="E119" s="2" t="s">
        <x:v>858</x:v>
      </x:c>
      <x:c r="F119" s="2" t="s">
        <x:v>835</x:v>
      </x:c>
      <x:c r="G119" s="2"/>
      <x:c r="H119" s="2" t="s">
        <x:v>836</x:v>
      </x:c>
      <x:c r="I119" s="2" t="s">
        <x:v>859</x:v>
      </x:c>
      <x:c r="J119" s="2" t="s">
        <x:v>838</x:v>
      </x:c>
      <x:c r="K119" s="2" t="n">
        <x:v>116</x:v>
      </x:c>
      <x:c r="L119" s="2">
        <x:v>26</x:v>
      </x:c>
      <x:c r="M119" s="2" t="s">
        <x:v>854</x:v>
      </x:c>
      <x:c r="N119" s="2">
        <x:v>5</x:v>
      </x:c>
      <x:c r="O119" s="2" t="s">
        <x:v>846</x:v>
      </x:c>
      <x:c r="P119" s="2" t="s">
        <x:v>860</x:v>
      </x:c>
      <x:c r="Q119" s="2"/>
      <x:c r="R119" s="3">
        <x:v>2</x:v>
      </x:c>
      <x:c r="S119" s="3">
        <x:v>1</x:v>
      </x:c>
      <x:c r="T119" s="2" t="s">
        <x:v>103</x:v>
      </x:c>
      <x:c r="U119" s="2" t="s">
        <x:v>115</x:v>
      </x:c>
      <x:c r="V119" s="2" t="s">
        <x:v>842</x:v>
      </x:c>
      <x:c r="W119" s="2"/>
      <x:c r="X119" s="3"/>
      <x:c r="Y119" s="3"/>
      <x:c r="Z119" s="2"/>
      <x:c r="AA119" s="2"/>
      <x:c r="AB119" s="2"/>
      <x:c r="AC119" s="2"/>
      <x:c r="AD119" s="2"/>
      <x:c r="AE119" s="2"/>
      <x:c r="AF119" s="2"/>
      <x:c r="AG119" s="2"/>
      <x:c r="AH119" s="2"/>
      <x:c r="AI119" s="4"/>
      <x:c r="AJ119" s="2"/>
      <x:c r="AK119" s="2" t="s">
        <x:v>106</x:v>
      </x:c>
      <x:c r="AL119" s="2" t="s">
        <x:v>3061</x:v>
      </x:c>
      <x:c r="AM119" s="2">
        <x:v>119</x:v>
      </x:c>
      <x:c r="AN119" s="2">
        <x:v>119</x:v>
      </x:c>
    </x:row>
    <x:row r="120" ht="39">
      <x:c r="A120" s="2" t="s">
        <x:v>6</x:v>
      </x:c>
      <x:c r="B120" s="2" t="s">
        <x:v>13</x:v>
      </x:c>
      <x:c r="C120" s="3">
        <x:v>118</x:v>
      </x:c>
      <x:c r="D120" s="2" t="s">
        <x:v>833</x:v>
      </x:c>
      <x:c r="E120" s="2" t="s">
        <x:v>861</x:v>
      </x:c>
      <x:c r="F120" s="2" t="s">
        <x:v>835</x:v>
      </x:c>
      <x:c r="G120" s="2"/>
      <x:c r="H120" s="2" t="s">
        <x:v>836</x:v>
      </x:c>
      <x:c r="I120" s="2" t="s">
        <x:v>863</x:v>
      </x:c>
      <x:c r="J120" s="2" t="s">
        <x:v>838</x:v>
      </x:c>
      <x:c r="K120" s="2"/>
      <x:c r="L120" s="2">
        <x:v>0</x:v>
      </x:c>
      <x:c r="M120" s="2" t="s">
        <x:v>839</x:v>
      </x:c>
      <x:c r="N120" s="2">
        <x:v>5</x:v>
      </x:c>
      <x:c r="O120" s="2" t="s">
        <x:v>840</x:v>
      </x:c>
      <x:c r="P120" s="2" t="s">
        <x:v>841</x:v>
      </x:c>
      <x:c r="Q120" s="2"/>
      <x:c r="R120" s="3">
        <x:v>3</x:v>
      </x:c>
      <x:c r="S120" s="3">
        <x:v>1</x:v>
      </x:c>
      <x:c r="T120" s="2" t="s">
        <x:v>103</x:v>
      </x:c>
      <x:c r="U120" s="2" t="s">
        <x:v>122</x:v>
      </x:c>
      <x:c r="V120" s="2" t="s">
        <x:v>842</x:v>
      </x:c>
      <x:c r="W120" s="2"/>
      <x:c r="X120" s="3"/>
      <x:c r="Y120" s="3"/>
      <x:c r="Z120" s="2"/>
      <x:c r="AA120" s="2"/>
      <x:c r="AB120" s="2"/>
      <x:c r="AC120" s="2"/>
      <x:c r="AD120" s="2"/>
      <x:c r="AE120" s="2"/>
      <x:c r="AF120" s="2"/>
      <x:c r="AG120" s="2"/>
      <x:c r="AH120" s="2"/>
      <x:c r="AI120" s="4"/>
      <x:c r="AJ120" s="2"/>
      <x:c r="AK120" s="2" t="s">
        <x:v>106</x:v>
      </x:c>
      <x:c r="AL120" s="2" t="s">
        <x:v>3061</x:v>
      </x:c>
      <x:c r="AM120" s="2">
        <x:v>120</x:v>
      </x:c>
      <x:c r="AN120" s="2">
        <x:v>120</x:v>
      </x:c>
    </x:row>
    <x:row r="121" ht="52">
      <x:c r="A121" s="2" t="s">
        <x:v>91</x:v>
      </x:c>
      <x:c r="B121" s="2" t="s">
        <x:v>13</x:v>
      </x:c>
      <x:c r="C121" s="3">
        <x:v>119</x:v>
      </x:c>
      <x:c r="D121" s="2" t="s">
        <x:v>843</x:v>
      </x:c>
      <x:c r="E121" s="2" t="s">
        <x:v>861</x:v>
      </x:c>
      <x:c r="F121" s="2" t="s">
        <x:v>844</x:v>
      </x:c>
      <x:c r="G121" s="2" t="s">
        <x:v>3086</x:v>
      </x:c>
      <x:c r="H121" s="2" t="s">
        <x:v>836</x:v>
      </x:c>
      <x:c r="I121" s="2" t="s">
        <x:v>863</x:v>
      </x:c>
      <x:c r="J121" s="2" t="s">
        <x:v>838</x:v>
      </x:c>
      <x:c r="K121" s="2" t="n">
        <x:v>118</x:v>
      </x:c>
      <x:c r="L121" s="2">
        <x:v>101</x:v>
      </x:c>
      <x:c r="M121" s="2" t="s">
        <x:v>845</x:v>
      </x:c>
      <x:c r="N121" s="2">
        <x:v>5</x:v>
      </x:c>
      <x:c r="O121" s="2" t="s">
        <x:v>846</x:v>
      </x:c>
      <x:c r="P121" s="2" t="s">
        <x:v>841</x:v>
      </x:c>
      <x:c r="Q121" s="2"/>
      <x:c r="R121" s="3">
        <x:v>3</x:v>
      </x:c>
      <x:c r="S121" s="3">
        <x:v>1</x:v>
      </x:c>
      <x:c r="T121" s="2" t="s">
        <x:v>103</x:v>
      </x:c>
      <x:c r="U121" s="2" t="s">
        <x:v>104</x:v>
      </x:c>
      <x:c r="V121" s="2" t="s">
        <x:v>842</x:v>
      </x:c>
      <x:c r="W121" s="2"/>
      <x:c r="X121" s="3"/>
      <x:c r="Y121" s="3"/>
      <x:c r="Z121" s="2"/>
      <x:c r="AA121" s="2"/>
      <x:c r="AB121" s="2"/>
      <x:c r="AC121" s="2"/>
      <x:c r="AD121" s="2"/>
      <x:c r="AE121" s="2"/>
      <x:c r="AF121" s="2"/>
      <x:c r="AG121" s="2"/>
      <x:c r="AH121" s="2"/>
      <x:c r="AI121" s="4"/>
      <x:c r="AJ121" s="2"/>
      <x:c r="AK121" s="2" t="s">
        <x:v>106</x:v>
      </x:c>
      <x:c r="AL121" s="2" t="s">
        <x:v>3061</x:v>
      </x:c>
      <x:c r="AM121" s="2">
        <x:v>121</x:v>
      </x:c>
      <x:c r="AN121" s="2">
        <x:v>121</x:v>
      </x:c>
    </x:row>
    <x:row r="122" ht="39">
      <x:c r="A122" s="2" t="s">
        <x:v>6</x:v>
      </x:c>
      <x:c r="B122" s="2" t="s">
        <x:v>13</x:v>
      </x:c>
      <x:c r="C122" s="3">
        <x:v>120</x:v>
      </x:c>
      <x:c r="D122" s="2" t="s">
        <x:v>847</x:v>
      </x:c>
      <x:c r="E122" s="2" t="s">
        <x:v>865</x:v>
      </x:c>
      <x:c r="F122" s="2" t="s">
        <x:v>835</x:v>
      </x:c>
      <x:c r="G122" s="2"/>
      <x:c r="H122" s="2" t="s">
        <x:v>836</x:v>
      </x:c>
      <x:c r="I122" s="2" t="s">
        <x:v>867</x:v>
      </x:c>
      <x:c r="J122" s="2" t="s">
        <x:v>838</x:v>
      </x:c>
      <x:c r="K122" s="2"/>
      <x:c r="L122" s="2">
        <x:v>78</x:v>
      </x:c>
      <x:c r="M122" s="2" t="s">
        <x:v>851</x:v>
      </x:c>
      <x:c r="N122" s="2">
        <x:v>5</x:v>
      </x:c>
      <x:c r="O122" s="2" t="s">
        <x:v>840</x:v>
      </x:c>
      <x:c r="P122" s="2" t="s">
        <x:v>852</x:v>
      </x:c>
      <x:c r="Q122" s="2"/>
      <x:c r="R122" s="3">
        <x:v>4</x:v>
      </x:c>
      <x:c r="S122" s="3">
        <x:v>1</x:v>
      </x:c>
      <x:c r="T122" s="2" t="s">
        <x:v>103</x:v>
      </x:c>
      <x:c r="U122" s="2" t="s">
        <x:v>129</x:v>
      </x:c>
      <x:c r="V122" s="2" t="s">
        <x:v>842</x:v>
      </x:c>
      <x:c r="W122" s="2"/>
      <x:c r="X122" s="3"/>
      <x:c r="Y122" s="3"/>
      <x:c r="Z122" s="2"/>
      <x:c r="AA122" s="2"/>
      <x:c r="AB122" s="2"/>
      <x:c r="AC122" s="2"/>
      <x:c r="AD122" s="2"/>
      <x:c r="AE122" s="2"/>
      <x:c r="AF122" s="2"/>
      <x:c r="AG122" s="2"/>
      <x:c r="AH122" s="2"/>
      <x:c r="AI122" s="4"/>
      <x:c r="AJ122" s="2"/>
      <x:c r="AK122" s="2" t="s">
        <x:v>106</x:v>
      </x:c>
      <x:c r="AL122" s="2" t="s">
        <x:v>3061</x:v>
      </x:c>
      <x:c r="AM122" s="2">
        <x:v>122</x:v>
      </x:c>
      <x:c r="AN122" s="2">
        <x:v>122</x:v>
      </x:c>
    </x:row>
    <x:row r="123" ht="39">
      <x:c r="A123" s="2" t="s">
        <x:v>91</x:v>
      </x:c>
      <x:c r="B123" s="2" t="s">
        <x:v>13</x:v>
      </x:c>
      <x:c r="C123" s="3">
        <x:v>121</x:v>
      </x:c>
      <x:c r="D123" s="2" t="s">
        <x:v>853</x:v>
      </x:c>
      <x:c r="E123" s="2" t="s">
        <x:v>865</x:v>
      </x:c>
      <x:c r="F123" s="2" t="s">
        <x:v>844</x:v>
      </x:c>
      <x:c r="G123" s="2" t="s">
        <x:v>3087</x:v>
      </x:c>
      <x:c r="H123" s="2" t="s">
        <x:v>836</x:v>
      </x:c>
      <x:c r="I123" s="2" t="s">
        <x:v>867</x:v>
      </x:c>
      <x:c r="J123" s="2" t="s">
        <x:v>838</x:v>
      </x:c>
      <x:c r="K123" s="2" t="n">
        <x:v>120</x:v>
      </x:c>
      <x:c r="L123" s="2">
        <x:v>26</x:v>
      </x:c>
      <x:c r="M123" s="2" t="s">
        <x:v>854</x:v>
      </x:c>
      <x:c r="N123" s="2">
        <x:v>5</x:v>
      </x:c>
      <x:c r="O123" s="2" t="s">
        <x:v>846</x:v>
      </x:c>
      <x:c r="P123" s="2" t="s">
        <x:v>852</x:v>
      </x:c>
      <x:c r="Q123" s="2"/>
      <x:c r="R123" s="3">
        <x:v>4</x:v>
      </x:c>
      <x:c r="S123" s="3">
        <x:v>1</x:v>
      </x:c>
      <x:c r="T123" s="2" t="s">
        <x:v>103</x:v>
      </x:c>
      <x:c r="U123" s="2" t="s">
        <x:v>115</x:v>
      </x:c>
      <x:c r="V123" s="2" t="s">
        <x:v>842</x:v>
      </x:c>
      <x:c r="W123" s="2"/>
      <x:c r="X123" s="3"/>
      <x:c r="Y123" s="3"/>
      <x:c r="Z123" s="2"/>
      <x:c r="AA123" s="2"/>
      <x:c r="AB123" s="2"/>
      <x:c r="AC123" s="2"/>
      <x:c r="AD123" s="2"/>
      <x:c r="AE123" s="2"/>
      <x:c r="AF123" s="2"/>
      <x:c r="AG123" s="2"/>
      <x:c r="AH123" s="2"/>
      <x:c r="AI123" s="4"/>
      <x:c r="AJ123" s="2"/>
      <x:c r="AK123" s="2" t="s">
        <x:v>106</x:v>
      </x:c>
      <x:c r="AL123" s="2" t="s">
        <x:v>3061</x:v>
      </x:c>
      <x:c r="AM123" s="2">
        <x:v>123</x:v>
      </x:c>
      <x:c r="AN123" s="2">
        <x:v>123</x:v>
      </x:c>
    </x:row>
    <x:row r="124" ht="39">
      <x:c r="A124" s="2" t="s">
        <x:v>6</x:v>
      </x:c>
      <x:c r="B124" s="2" t="s">
        <x:v>13</x:v>
      </x:c>
      <x:c r="C124" s="3">
        <x:v>122</x:v>
      </x:c>
      <x:c r="D124" s="2" t="s">
        <x:v>833</x:v>
      </x:c>
      <x:c r="E124" s="2" t="s">
        <x:v>868</x:v>
      </x:c>
      <x:c r="F124" s="2" t="s">
        <x:v>844</x:v>
      </x:c>
      <x:c r="G124" s="2"/>
      <x:c r="H124" s="2" t="s">
        <x:v>836</x:v>
      </x:c>
      <x:c r="I124" s="2" t="s">
        <x:v>870</x:v>
      </x:c>
      <x:c r="J124" s="2" t="s">
        <x:v>838</x:v>
      </x:c>
      <x:c r="K124" s="2"/>
      <x:c r="L124" s="2">
        <x:v>0</x:v>
      </x:c>
      <x:c r="M124" s="2" t="s">
        <x:v>839</x:v>
      </x:c>
      <x:c r="N124" s="2">
        <x:v>5</x:v>
      </x:c>
      <x:c r="O124" s="2" t="s">
        <x:v>840</x:v>
      </x:c>
      <x:c r="P124" s="2" t="s">
        <x:v>841</x:v>
      </x:c>
      <x:c r="Q124" s="2"/>
      <x:c r="R124" s="3">
        <x:v>2</x:v>
      </x:c>
      <x:c r="S124" s="3">
        <x:v>1</x:v>
      </x:c>
      <x:c r="T124" s="2" t="s">
        <x:v>103</x:v>
      </x:c>
      <x:c r="U124" s="2" t="s">
        <x:v>122</x:v>
      </x:c>
      <x:c r="V124" s="2" t="s">
        <x:v>842</x:v>
      </x:c>
      <x:c r="W124" s="2"/>
      <x:c r="X124" s="3"/>
      <x:c r="Y124" s="3"/>
      <x:c r="Z124" s="2"/>
      <x:c r="AA124" s="2"/>
      <x:c r="AB124" s="2"/>
      <x:c r="AC124" s="2"/>
      <x:c r="AD124" s="2"/>
      <x:c r="AE124" s="2"/>
      <x:c r="AF124" s="2"/>
      <x:c r="AG124" s="2"/>
      <x:c r="AH124" s="2"/>
      <x:c r="AI124" s="4"/>
      <x:c r="AJ124" s="2"/>
      <x:c r="AK124" s="2" t="s">
        <x:v>106</x:v>
      </x:c>
      <x:c r="AL124" s="2" t="s">
        <x:v>3061</x:v>
      </x:c>
      <x:c r="AM124" s="2">
        <x:v>124</x:v>
      </x:c>
      <x:c r="AN124" s="2">
        <x:v>124</x:v>
      </x:c>
    </x:row>
    <x:row r="125" ht="39">
      <x:c r="A125" s="2" t="s">
        <x:v>91</x:v>
      </x:c>
      <x:c r="B125" s="2" t="s">
        <x:v>13</x:v>
      </x:c>
      <x:c r="C125" s="3">
        <x:v>123</x:v>
      </x:c>
      <x:c r="D125" s="2" t="s">
        <x:v>843</x:v>
      </x:c>
      <x:c r="E125" s="2" t="s">
        <x:v>868</x:v>
      </x:c>
      <x:c r="F125" s="2" t="s">
        <x:v>835</x:v>
      </x:c>
      <x:c r="G125" s="2" t="s">
        <x:v>3088</x:v>
      </x:c>
      <x:c r="H125" s="2" t="s">
        <x:v>836</x:v>
      </x:c>
      <x:c r="I125" s="2" t="s">
        <x:v>870</x:v>
      </x:c>
      <x:c r="J125" s="2" t="s">
        <x:v>838</x:v>
      </x:c>
      <x:c r="K125" s="2" t="n">
        <x:v>122</x:v>
      </x:c>
      <x:c r="L125" s="2">
        <x:v>101</x:v>
      </x:c>
      <x:c r="M125" s="2" t="s">
        <x:v>845</x:v>
      </x:c>
      <x:c r="N125" s="2">
        <x:v>5</x:v>
      </x:c>
      <x:c r="O125" s="2" t="s">
        <x:v>846</x:v>
      </x:c>
      <x:c r="P125" s="2" t="s">
        <x:v>841</x:v>
      </x:c>
      <x:c r="Q125" s="2"/>
      <x:c r="R125" s="3">
        <x:v>2</x:v>
      </x:c>
      <x:c r="S125" s="3">
        <x:v>1</x:v>
      </x:c>
      <x:c r="T125" s="2" t="s">
        <x:v>103</x:v>
      </x:c>
      <x:c r="U125" s="2" t="s">
        <x:v>104</x:v>
      </x:c>
      <x:c r="V125" s="2" t="s">
        <x:v>842</x:v>
      </x:c>
      <x:c r="W125" s="2"/>
      <x:c r="X125" s="3"/>
      <x:c r="Y125" s="3"/>
      <x:c r="Z125" s="2"/>
      <x:c r="AA125" s="2"/>
      <x:c r="AB125" s="2"/>
      <x:c r="AC125" s="2"/>
      <x:c r="AD125" s="2"/>
      <x:c r="AE125" s="2"/>
      <x:c r="AF125" s="2"/>
      <x:c r="AG125" s="2"/>
      <x:c r="AH125" s="2"/>
      <x:c r="AI125" s="4"/>
      <x:c r="AJ125" s="2"/>
      <x:c r="AK125" s="2" t="s">
        <x:v>106</x:v>
      </x:c>
      <x:c r="AL125" s="2" t="s">
        <x:v>3061</x:v>
      </x:c>
      <x:c r="AM125" s="2">
        <x:v>125</x:v>
      </x:c>
      <x:c r="AN125" s="2">
        <x:v>125</x:v>
      </x:c>
    </x:row>
    <x:row r="126" ht="39">
      <x:c r="A126" s="2" t="s">
        <x:v>6</x:v>
      </x:c>
      <x:c r="B126" s="2" t="s">
        <x:v>13</x:v>
      </x:c>
      <x:c r="C126" s="3">
        <x:v>124</x:v>
      </x:c>
      <x:c r="D126" s="2" t="s">
        <x:v>847</x:v>
      </x:c>
      <x:c r="E126" s="2" t="s">
        <x:v>872</x:v>
      </x:c>
      <x:c r="F126" s="2" t="s">
        <x:v>844</x:v>
      </x:c>
      <x:c r="G126" s="2" t="s">
        <x:v>3089</x:v>
      </x:c>
      <x:c r="H126" s="2" t="s">
        <x:v>836</x:v>
      </x:c>
      <x:c r="I126" s="2" t="s">
        <x:v>874</x:v>
      </x:c>
      <x:c r="J126" s="2" t="s">
        <x:v>838</x:v>
      </x:c>
      <x:c r="K126" s="2"/>
      <x:c r="L126" s="2">
        <x:v>78</x:v>
      </x:c>
      <x:c r="M126" s="2" t="s">
        <x:v>851</x:v>
      </x:c>
      <x:c r="N126" s="2">
        <x:v>5</x:v>
      </x:c>
      <x:c r="O126" s="2" t="s">
        <x:v>840</x:v>
      </x:c>
      <x:c r="P126" s="2" t="s">
        <x:v>860</x:v>
      </x:c>
      <x:c r="Q126" s="2"/>
      <x:c r="R126" s="3">
        <x:v>3</x:v>
      </x:c>
      <x:c r="S126" s="3">
        <x:v>1</x:v>
      </x:c>
      <x:c r="T126" s="2" t="s">
        <x:v>103</x:v>
      </x:c>
      <x:c r="U126" s="2" t="s">
        <x:v>129</x:v>
      </x:c>
      <x:c r="V126" s="2" t="s">
        <x:v>842</x:v>
      </x:c>
      <x:c r="W126" s="2"/>
      <x:c r="X126" s="3"/>
      <x:c r="Y126" s="3"/>
      <x:c r="Z126" s="2"/>
      <x:c r="AA126" s="2"/>
      <x:c r="AB126" s="2"/>
      <x:c r="AC126" s="2"/>
      <x:c r="AD126" s="2"/>
      <x:c r="AE126" s="2"/>
      <x:c r="AF126" s="2"/>
      <x:c r="AG126" s="2"/>
      <x:c r="AH126" s="2"/>
      <x:c r="AI126" s="4"/>
      <x:c r="AJ126" s="2"/>
      <x:c r="AK126" s="2" t="s">
        <x:v>106</x:v>
      </x:c>
      <x:c r="AL126" s="2" t="s">
        <x:v>3061</x:v>
      </x:c>
      <x:c r="AM126" s="2">
        <x:v>126</x:v>
      </x:c>
      <x:c r="AN126" s="2">
        <x:v>126</x:v>
      </x:c>
    </x:row>
    <x:row r="127" ht="39">
      <x:c r="A127" s="2" t="s">
        <x:v>6</x:v>
      </x:c>
      <x:c r="B127" s="2" t="s">
        <x:v>13</x:v>
      </x:c>
      <x:c r="C127" s="3">
        <x:v>125</x:v>
      </x:c>
      <x:c r="D127" s="2" t="s">
        <x:v>853</x:v>
      </x:c>
      <x:c r="E127" s="2" t="s">
        <x:v>872</x:v>
      </x:c>
      <x:c r="F127" s="2" t="s">
        <x:v>835</x:v>
      </x:c>
      <x:c r="G127" s="2" t="s">
        <x:v>3089</x:v>
      </x:c>
      <x:c r="H127" s="2" t="s">
        <x:v>836</x:v>
      </x:c>
      <x:c r="I127" s="2" t="s">
        <x:v>874</x:v>
      </x:c>
      <x:c r="J127" s="2" t="s">
        <x:v>838</x:v>
      </x:c>
      <x:c r="K127" s="2" t="n">
        <x:v>124</x:v>
      </x:c>
      <x:c r="L127" s="2">
        <x:v>26</x:v>
      </x:c>
      <x:c r="M127" s="2" t="s">
        <x:v>854</x:v>
      </x:c>
      <x:c r="N127" s="2">
        <x:v>5</x:v>
      </x:c>
      <x:c r="O127" s="2" t="s">
        <x:v>846</x:v>
      </x:c>
      <x:c r="P127" s="2" t="s">
        <x:v>860</x:v>
      </x:c>
      <x:c r="Q127" s="2"/>
      <x:c r="R127" s="3">
        <x:v>3</x:v>
      </x:c>
      <x:c r="S127" s="3">
        <x:v>1</x:v>
      </x:c>
      <x:c r="T127" s="2" t="s">
        <x:v>103</x:v>
      </x:c>
      <x:c r="U127" s="2" t="s">
        <x:v>115</x:v>
      </x:c>
      <x:c r="V127" s="2" t="s">
        <x:v>842</x:v>
      </x:c>
      <x:c r="W127" s="2"/>
      <x:c r="X127" s="3"/>
      <x:c r="Y127" s="3"/>
      <x:c r="Z127" s="2"/>
      <x:c r="AA127" s="2"/>
      <x:c r="AB127" s="2"/>
      <x:c r="AC127" s="2"/>
      <x:c r="AD127" s="2"/>
      <x:c r="AE127" s="2"/>
      <x:c r="AF127" s="2"/>
      <x:c r="AG127" s="2"/>
      <x:c r="AH127" s="2"/>
      <x:c r="AI127" s="4"/>
      <x:c r="AJ127" s="2"/>
      <x:c r="AK127" s="2" t="s">
        <x:v>106</x:v>
      </x:c>
      <x:c r="AL127" s="2" t="s">
        <x:v>3061</x:v>
      </x:c>
      <x:c r="AM127" s="2">
        <x:v>127</x:v>
      </x:c>
      <x:c r="AN127" s="2">
        <x:v>127</x:v>
      </x:c>
    </x:row>
    <x:row r="128" ht="39">
      <x:c r="A128" s="2" t="s">
        <x:v>6</x:v>
      </x:c>
      <x:c r="B128" s="2" t="s">
        <x:v>13</x:v>
      </x:c>
      <x:c r="C128" s="3">
        <x:v>126</x:v>
      </x:c>
      <x:c r="D128" s="2" t="s">
        <x:v>833</x:v>
      </x:c>
      <x:c r="E128" s="2" t="s">
        <x:v>875</x:v>
      </x:c>
      <x:c r="F128" s="2" t="s">
        <x:v>835</x:v>
      </x:c>
      <x:c r="G128" s="2"/>
      <x:c r="H128" s="2" t="s">
        <x:v>836</x:v>
      </x:c>
      <x:c r="I128" s="2" t="s">
        <x:v>877</x:v>
      </x:c>
      <x:c r="J128" s="2" t="s">
        <x:v>838</x:v>
      </x:c>
      <x:c r="K128" s="2"/>
      <x:c r="L128" s="2">
        <x:v>0</x:v>
      </x:c>
      <x:c r="M128" s="2" t="s">
        <x:v>839</x:v>
      </x:c>
      <x:c r="N128" s="2">
        <x:v>5</x:v>
      </x:c>
      <x:c r="O128" s="2" t="s">
        <x:v>840</x:v>
      </x:c>
      <x:c r="P128" s="2" t="s">
        <x:v>841</x:v>
      </x:c>
      <x:c r="Q128" s="2"/>
      <x:c r="R128" s="3">
        <x:v>4</x:v>
      </x:c>
      <x:c r="S128" s="3">
        <x:v>1</x:v>
      </x:c>
      <x:c r="T128" s="2" t="s">
        <x:v>103</x:v>
      </x:c>
      <x:c r="U128" s="2" t="s">
        <x:v>122</x:v>
      </x:c>
      <x:c r="V128" s="2" t="s">
        <x:v>842</x:v>
      </x:c>
      <x:c r="W128" s="2"/>
      <x:c r="X128" s="3"/>
      <x:c r="Y128" s="3"/>
      <x:c r="Z128" s="2"/>
      <x:c r="AA128" s="2"/>
      <x:c r="AB128" s="2"/>
      <x:c r="AC128" s="2"/>
      <x:c r="AD128" s="2"/>
      <x:c r="AE128" s="2"/>
      <x:c r="AF128" s="2"/>
      <x:c r="AG128" s="2"/>
      <x:c r="AH128" s="2"/>
      <x:c r="AI128" s="4"/>
      <x:c r="AJ128" s="2"/>
      <x:c r="AK128" s="2" t="s">
        <x:v>106</x:v>
      </x:c>
      <x:c r="AL128" s="2" t="s">
        <x:v>3061</x:v>
      </x:c>
      <x:c r="AM128" s="2">
        <x:v>128</x:v>
      </x:c>
      <x:c r="AN128" s="2">
        <x:v>128</x:v>
      </x:c>
    </x:row>
    <x:row r="129" ht="39">
      <x:c r="A129" s="2" t="s">
        <x:v>6</x:v>
      </x:c>
      <x:c r="B129" s="2" t="s">
        <x:v>13</x:v>
      </x:c>
      <x:c r="C129" s="3">
        <x:v>127</x:v>
      </x:c>
      <x:c r="D129" s="2" t="s">
        <x:v>843</x:v>
      </x:c>
      <x:c r="E129" s="2" t="s">
        <x:v>875</x:v>
      </x:c>
      <x:c r="F129" s="2" t="s">
        <x:v>844</x:v>
      </x:c>
      <x:c r="G129" s="2"/>
      <x:c r="H129" s="2" t="s">
        <x:v>836</x:v>
      </x:c>
      <x:c r="I129" s="2" t="s">
        <x:v>877</x:v>
      </x:c>
      <x:c r="J129" s="2" t="s">
        <x:v>838</x:v>
      </x:c>
      <x:c r="K129" s="2" t="n">
        <x:v>126</x:v>
      </x:c>
      <x:c r="L129" s="2">
        <x:v>101</x:v>
      </x:c>
      <x:c r="M129" s="2" t="s">
        <x:v>845</x:v>
      </x:c>
      <x:c r="N129" s="2">
        <x:v>5</x:v>
      </x:c>
      <x:c r="O129" s="2" t="s">
        <x:v>846</x:v>
      </x:c>
      <x:c r="P129" s="2" t="s">
        <x:v>841</x:v>
      </x:c>
      <x:c r="Q129" s="2"/>
      <x:c r="R129" s="3">
        <x:v>4</x:v>
      </x:c>
      <x:c r="S129" s="3">
        <x:v>1</x:v>
      </x:c>
      <x:c r="T129" s="2" t="s">
        <x:v>103</x:v>
      </x:c>
      <x:c r="U129" s="2" t="s">
        <x:v>104</x:v>
      </x:c>
      <x:c r="V129" s="2" t="s">
        <x:v>842</x:v>
      </x:c>
      <x:c r="W129" s="2"/>
      <x:c r="X129" s="3"/>
      <x:c r="Y129" s="3"/>
      <x:c r="Z129" s="2"/>
      <x:c r="AA129" s="2"/>
      <x:c r="AB129" s="2"/>
      <x:c r="AC129" s="2"/>
      <x:c r="AD129" s="2"/>
      <x:c r="AE129" s="2"/>
      <x:c r="AF129" s="2"/>
      <x:c r="AG129" s="2"/>
      <x:c r="AH129" s="2"/>
      <x:c r="AI129" s="4"/>
      <x:c r="AJ129" s="2"/>
      <x:c r="AK129" s="2" t="s">
        <x:v>106</x:v>
      </x:c>
      <x:c r="AL129" s="2" t="s">
        <x:v>3061</x:v>
      </x:c>
      <x:c r="AM129" s="2">
        <x:v>129</x:v>
      </x:c>
      <x:c r="AN129" s="2">
        <x:v>129</x:v>
      </x:c>
    </x:row>
    <x:row r="130" ht="39">
      <x:c r="A130" s="2" t="s">
        <x:v>6</x:v>
      </x:c>
      <x:c r="B130" s="2" t="s">
        <x:v>13</x:v>
      </x:c>
      <x:c r="C130" s="3">
        <x:v>128</x:v>
      </x:c>
      <x:c r="D130" s="2" t="s">
        <x:v>847</x:v>
      </x:c>
      <x:c r="E130" s="2" t="s">
        <x:v>848</x:v>
      </x:c>
      <x:c r="F130" s="2" t="s">
        <x:v>835</x:v>
      </x:c>
      <x:c r="G130" s="2"/>
      <x:c r="H130" s="2" t="s">
        <x:v>836</x:v>
      </x:c>
      <x:c r="I130" s="2" t="s">
        <x:v>879</x:v>
      </x:c>
      <x:c r="J130" s="2" t="s">
        <x:v>838</x:v>
      </x:c>
      <x:c r="K130" s="2"/>
      <x:c r="L130" s="2">
        <x:v>78</x:v>
      </x:c>
      <x:c r="M130" s="2" t="s">
        <x:v>851</x:v>
      </x:c>
      <x:c r="N130" s="2">
        <x:v>5</x:v>
      </x:c>
      <x:c r="O130" s="2" t="s">
        <x:v>840</x:v>
      </x:c>
      <x:c r="P130" s="2" t="s">
        <x:v>852</x:v>
      </x:c>
      <x:c r="Q130" s="2"/>
      <x:c r="R130" s="3">
        <x:v>3</x:v>
      </x:c>
      <x:c r="S130" s="3">
        <x:v>1</x:v>
      </x:c>
      <x:c r="T130" s="2" t="s">
        <x:v>103</x:v>
      </x:c>
      <x:c r="U130" s="2" t="s">
        <x:v>129</x:v>
      </x:c>
      <x:c r="V130" s="2" t="s">
        <x:v>842</x:v>
      </x:c>
      <x:c r="W130" s="2"/>
      <x:c r="X130" s="3"/>
      <x:c r="Y130" s="3"/>
      <x:c r="Z130" s="2"/>
      <x:c r="AA130" s="2"/>
      <x:c r="AB130" s="2"/>
      <x:c r="AC130" s="2"/>
      <x:c r="AD130" s="2"/>
      <x:c r="AE130" s="2"/>
      <x:c r="AF130" s="2"/>
      <x:c r="AG130" s="2"/>
      <x:c r="AH130" s="2"/>
      <x:c r="AI130" s="4"/>
      <x:c r="AJ130" s="2"/>
      <x:c r="AK130" s="2" t="s">
        <x:v>106</x:v>
      </x:c>
      <x:c r="AL130" s="2" t="s">
        <x:v>3061</x:v>
      </x:c>
      <x:c r="AM130" s="2">
        <x:v>130</x:v>
      </x:c>
      <x:c r="AN130" s="2">
        <x:v>130</x:v>
      </x:c>
    </x:row>
    <x:row r="131" ht="39">
      <x:c r="A131" s="2" t="s">
        <x:v>91</x:v>
      </x:c>
      <x:c r="B131" s="2" t="s">
        <x:v>13</x:v>
      </x:c>
      <x:c r="C131" s="3">
        <x:v>129</x:v>
      </x:c>
      <x:c r="D131" s="2" t="s">
        <x:v>853</x:v>
      </x:c>
      <x:c r="E131" s="2" t="s">
        <x:v>848</x:v>
      </x:c>
      <x:c r="F131" s="2" t="s">
        <x:v>844</x:v>
      </x:c>
      <x:c r="G131" s="2" t="s">
        <x:v>3090</x:v>
      </x:c>
      <x:c r="H131" s="2" t="s">
        <x:v>836</x:v>
      </x:c>
      <x:c r="I131" s="2" t="s">
        <x:v>879</x:v>
      </x:c>
      <x:c r="J131" s="2" t="s">
        <x:v>838</x:v>
      </x:c>
      <x:c r="K131" s="2" t="n">
        <x:v>128</x:v>
      </x:c>
      <x:c r="L131" s="2">
        <x:v>26</x:v>
      </x:c>
      <x:c r="M131" s="2" t="s">
        <x:v>854</x:v>
      </x:c>
      <x:c r="N131" s="2">
        <x:v>5</x:v>
      </x:c>
      <x:c r="O131" s="2" t="s">
        <x:v>846</x:v>
      </x:c>
      <x:c r="P131" s="2" t="s">
        <x:v>852</x:v>
      </x:c>
      <x:c r="Q131" s="2"/>
      <x:c r="R131" s="3">
        <x:v>3</x:v>
      </x:c>
      <x:c r="S131" s="3">
        <x:v>1</x:v>
      </x:c>
      <x:c r="T131" s="2" t="s">
        <x:v>103</x:v>
      </x:c>
      <x:c r="U131" s="2" t="s">
        <x:v>115</x:v>
      </x:c>
      <x:c r="V131" s="2" t="s">
        <x:v>842</x:v>
      </x:c>
      <x:c r="W131" s="2"/>
      <x:c r="X131" s="3"/>
      <x:c r="Y131" s="3"/>
      <x:c r="Z131" s="2"/>
      <x:c r="AA131" s="2"/>
      <x:c r="AB131" s="2"/>
      <x:c r="AC131" s="2"/>
      <x:c r="AD131" s="2"/>
      <x:c r="AE131" s="2"/>
      <x:c r="AF131" s="2"/>
      <x:c r="AG131" s="2"/>
      <x:c r="AH131" s="2"/>
      <x:c r="AI131" s="4"/>
      <x:c r="AJ131" s="2"/>
      <x:c r="AK131" s="2" t="s">
        <x:v>106</x:v>
      </x:c>
      <x:c r="AL131" s="2" t="s">
        <x:v>3061</x:v>
      </x:c>
      <x:c r="AM131" s="2">
        <x:v>131</x:v>
      </x:c>
      <x:c r="AN131" s="2">
        <x:v>131</x:v>
      </x:c>
    </x:row>
    <x:row r="132" ht="52">
      <x:c r="A132" s="2" t="s">
        <x:v>91</x:v>
      </x:c>
      <x:c r="B132" s="2" t="s">
        <x:v>13</x:v>
      </x:c>
      <x:c r="C132" s="3">
        <x:v>130</x:v>
      </x:c>
      <x:c r="D132" s="2" t="s">
        <x:v>580</x:v>
      </x:c>
      <x:c r="E132" s="2" t="s">
        <x:v>880</x:v>
      </x:c>
      <x:c r="F132" s="2" t="s">
        <x:v>881</x:v>
      </x:c>
      <x:c r="G132" s="2" t="s">
        <x:v>3091</x:v>
      </x:c>
      <x:c r="H132" s="2" t="s">
        <x:v>883</x:v>
      </x:c>
      <x:c r="I132" s="2" t="s">
        <x:v>884</x:v>
      </x:c>
      <x:c r="J132" s="2" t="s">
        <x:v>885</x:v>
      </x:c>
      <x:c r="K132" s="2"/>
      <x:c r="L132" s="2" t="s">
        <x:v>579</x:v>
      </x:c>
      <x:c r="M132" s="2" t="s">
        <x:v>886</x:v>
      </x:c>
      <x:c r="N132" s="2">
        <x:v>6</x:v>
      </x:c>
      <x:c r="O132" s="2" t="s">
        <x:v>887</x:v>
      </x:c>
      <x:c r="P132" s="2" t="s">
        <x:v>888</x:v>
      </x:c>
      <x:c r="Q132" s="2"/>
      <x:c r="R132" s="3">
        <x:v>2</x:v>
      </x:c>
      <x:c r="S132" s="3">
        <x:v>0</x:v>
      </x:c>
      <x:c r="T132" s="2" t="s">
        <x:v>103</x:v>
      </x:c>
      <x:c r="U132" s="2" t="s">
        <x:v>122</x:v>
      </x:c>
      <x:c r="V132" s="2" t="s">
        <x:v>105</x:v>
      </x:c>
      <x:c r="W132" s="2"/>
      <x:c r="X132" s="3"/>
      <x:c r="Y132" s="3"/>
      <x:c r="Z132" s="2"/>
      <x:c r="AA132" s="2"/>
      <x:c r="AB132" s="2"/>
      <x:c r="AC132" s="2"/>
      <x:c r="AD132" s="2"/>
      <x:c r="AE132" s="2"/>
      <x:c r="AF132" s="2"/>
      <x:c r="AG132" s="2"/>
      <x:c r="AH132" s="2"/>
      <x:c r="AI132" s="4"/>
      <x:c r="AJ132" s="2"/>
      <x:c r="AK132" s="2" t="s">
        <x:v>106</x:v>
      </x:c>
      <x:c r="AL132" s="2" t="s">
        <x:v>3061</x:v>
      </x:c>
      <x:c r="AM132" s="2">
        <x:v>132</x:v>
      </x:c>
      <x:c r="AN132" s="2">
        <x:v>132</x:v>
      </x:c>
    </x:row>
    <x:row r="133" ht="52">
      <x:c r="A133" s="2" t="s">
        <x:v>91</x:v>
      </x:c>
      <x:c r="B133" s="2" t="s">
        <x:v>13</x:v>
      </x:c>
      <x:c r="C133" s="3">
        <x:v>131</x:v>
      </x:c>
      <x:c r="D133" s="2" t="s">
        <x:v>587</x:v>
      </x:c>
      <x:c r="E133" s="2" t="s">
        <x:v>889</x:v>
      </x:c>
      <x:c r="F133" s="2" t="s">
        <x:v>890</x:v>
      </x:c>
      <x:c r="G133" s="2" t="s">
        <x:v>3092</x:v>
      </x:c>
      <x:c r="H133" s="2" t="s">
        <x:v>883</x:v>
      </x:c>
      <x:c r="I133" s="2" t="s">
        <x:v>892</x:v>
      </x:c>
      <x:c r="J133" s="2" t="s">
        <x:v>885</x:v>
      </x:c>
      <x:c r="K133" s="2"/>
      <x:c r="L133" s="2" t="s">
        <x:v>128</x:v>
      </x:c>
      <x:c r="M133" s="2" t="s">
        <x:v>893</x:v>
      </x:c>
      <x:c r="N133" s="2">
        <x:v>6</x:v>
      </x:c>
      <x:c r="O133" s="2" t="s">
        <x:v>887</x:v>
      </x:c>
      <x:c r="P133" s="2" t="s">
        <x:v>894</x:v>
      </x:c>
      <x:c r="Q133" s="2"/>
      <x:c r="R133" s="3">
        <x:v>3</x:v>
      </x:c>
      <x:c r="S133" s="3">
        <x:v>0</x:v>
      </x:c>
      <x:c r="T133" s="2" t="s">
        <x:v>103</x:v>
      </x:c>
      <x:c r="U133" s="2" t="s">
        <x:v>129</x:v>
      </x:c>
      <x:c r="V133" s="2" t="s">
        <x:v>123</x:v>
      </x:c>
      <x:c r="W133" s="2"/>
      <x:c r="X133" s="3"/>
      <x:c r="Y133" s="3"/>
      <x:c r="Z133" s="2"/>
      <x:c r="AA133" s="2"/>
      <x:c r="AB133" s="2"/>
      <x:c r="AC133" s="2"/>
      <x:c r="AD133" s="2"/>
      <x:c r="AE133" s="2"/>
      <x:c r="AF133" s="2"/>
      <x:c r="AG133" s="2"/>
      <x:c r="AH133" s="2"/>
      <x:c r="AI133" s="4"/>
      <x:c r="AJ133" s="2"/>
      <x:c r="AK133" s="2" t="s">
        <x:v>106</x:v>
      </x:c>
      <x:c r="AL133" s="2" t="s">
        <x:v>3061</x:v>
      </x:c>
      <x:c r="AM133" s="2">
        <x:v>133</x:v>
      </x:c>
      <x:c r="AN133" s="2">
        <x:v>133</x:v>
      </x:c>
    </x:row>
    <x:row r="134" ht="52">
      <x:c r="A134" s="2" t="s">
        <x:v>91</x:v>
      </x:c>
      <x:c r="B134" s="2" t="s">
        <x:v>13</x:v>
      </x:c>
      <x:c r="C134" s="3">
        <x:v>132</x:v>
      </x:c>
      <x:c r="D134" s="2" t="s">
        <x:v>895</x:v>
      </x:c>
      <x:c r="E134" s="2" t="s">
        <x:v>896</x:v>
      </x:c>
      <x:c r="F134" s="2" t="s">
        <x:v>897</x:v>
      </x:c>
      <x:c r="G134" s="2" t="s">
        <x:v>898</x:v>
      </x:c>
      <x:c r="H134" s="2" t="s">
        <x:v>883</x:v>
      </x:c>
      <x:c r="I134" s="2" t="s">
        <x:v>899</x:v>
      </x:c>
      <x:c r="J134" s="2" t="s">
        <x:v>885</x:v>
      </x:c>
      <x:c r="K134" s="2"/>
      <x:c r="L134" s="2" t="s">
        <x:v>900</x:v>
      </x:c>
      <x:c r="M134" s="2" t="s">
        <x:v>886</x:v>
      </x:c>
      <x:c r="N134" s="2">
        <x:v>6</x:v>
      </x:c>
      <x:c r="O134" s="2" t="s">
        <x:v>887</x:v>
      </x:c>
      <x:c r="P134" s="2" t="s">
        <x:v>888</x:v>
      </x:c>
      <x:c r="Q134" s="2"/>
      <x:c r="R134" s="3">
        <x:v>4</x:v>
      </x:c>
      <x:c r="S134" s="3">
        <x:v>0</x:v>
      </x:c>
      <x:c r="T134" s="2" t="s">
        <x:v>103</x:v>
      </x:c>
      <x:c r="U134" s="2" t="s">
        <x:v>104</x:v>
      </x:c>
      <x:c r="V134" s="2" t="s">
        <x:v>136</x:v>
      </x:c>
      <x:c r="W134" s="2"/>
      <x:c r="X134" s="3"/>
      <x:c r="Y134" s="3"/>
      <x:c r="Z134" s="2"/>
      <x:c r="AA134" s="2"/>
      <x:c r="AB134" s="2"/>
      <x:c r="AC134" s="2"/>
      <x:c r="AD134" s="2"/>
      <x:c r="AE134" s="2"/>
      <x:c r="AF134" s="2"/>
      <x:c r="AG134" s="2"/>
      <x:c r="AH134" s="2"/>
      <x:c r="AI134" s="4"/>
      <x:c r="AJ134" s="2"/>
      <x:c r="AK134" s="2" t="s">
        <x:v>106</x:v>
      </x:c>
      <x:c r="AL134" s="2" t="s">
        <x:v>3061</x:v>
      </x:c>
      <x:c r="AM134" s="2">
        <x:v>134</x:v>
      </x:c>
      <x:c r="AN134" s="2">
        <x:v>134</x:v>
      </x:c>
    </x:row>
    <x:row r="135" ht="52">
      <x:c r="A135" s="2" t="s">
        <x:v>91</x:v>
      </x:c>
      <x:c r="B135" s="2" t="s">
        <x:v>13</x:v>
      </x:c>
      <x:c r="C135" s="3">
        <x:v>133</x:v>
      </x:c>
      <x:c r="D135" s="2" t="s">
        <x:v>148</x:v>
      </x:c>
      <x:c r="E135" s="2" t="s">
        <x:v>901</x:v>
      </x:c>
      <x:c r="F135" s="2" t="s">
        <x:v>881</x:v>
      </x:c>
      <x:c r="G135" s="2" t="s">
        <x:v>3093</x:v>
      </x:c>
      <x:c r="H135" s="2" t="s">
        <x:v>883</x:v>
      </x:c>
      <x:c r="I135" s="2" t="s">
        <x:v>903</x:v>
      </x:c>
      <x:c r="J135" s="2" t="s">
        <x:v>885</x:v>
      </x:c>
      <x:c r="K135" s="2"/>
      <x:c r="L135" s="2" t="s">
        <x:v>153</x:v>
      </x:c>
      <x:c r="M135" s="2" t="s">
        <x:v>886</x:v>
      </x:c>
      <x:c r="N135" s="2">
        <x:v>6</x:v>
      </x:c>
      <x:c r="O135" s="2" t="s">
        <x:v>887</x:v>
      </x:c>
      <x:c r="P135" s="2" t="s">
        <x:v>888</x:v>
      </x:c>
      <x:c r="Q135" s="2"/>
      <x:c r="R135" s="3">
        <x:v>2</x:v>
      </x:c>
      <x:c r="S135" s="3">
        <x:v>0</x:v>
      </x:c>
      <x:c r="T135" s="2" t="s">
        <x:v>103</x:v>
      </x:c>
      <x:c r="U135" s="2" t="s">
        <x:v>122</x:v>
      </x:c>
      <x:c r="V135" s="2" t="s">
        <x:v>154</x:v>
      </x:c>
      <x:c r="W135" s="2"/>
      <x:c r="X135" s="3"/>
      <x:c r="Y135" s="3"/>
      <x:c r="Z135" s="2"/>
      <x:c r="AA135" s="2"/>
      <x:c r="AB135" s="2"/>
      <x:c r="AC135" s="2"/>
      <x:c r="AD135" s="2"/>
      <x:c r="AE135" s="2"/>
      <x:c r="AF135" s="2"/>
      <x:c r="AG135" s="2"/>
      <x:c r="AH135" s="2"/>
      <x:c r="AI135" s="4"/>
      <x:c r="AJ135" s="2"/>
      <x:c r="AK135" s="2" t="s">
        <x:v>106</x:v>
      </x:c>
      <x:c r="AL135" s="2" t="s">
        <x:v>3061</x:v>
      </x:c>
      <x:c r="AM135" s="2">
        <x:v>135</x:v>
      </x:c>
      <x:c r="AN135" s="2">
        <x:v>135</x:v>
      </x:c>
    </x:row>
    <x:row r="136" ht="52">
      <x:c r="A136" s="2" t="s">
        <x:v>91</x:v>
      </x:c>
      <x:c r="B136" s="2" t="s">
        <x:v>13</x:v>
      </x:c>
      <x:c r="C136" s="3">
        <x:v>134</x:v>
      </x:c>
      <x:c r="D136" s="2" t="s">
        <x:v>904</x:v>
      </x:c>
      <x:c r="E136" s="2" t="s">
        <x:v>905</x:v>
      </x:c>
      <x:c r="F136" s="2" t="s">
        <x:v>897</x:v>
      </x:c>
      <x:c r="G136" s="2" t="s">
        <x:v>3094</x:v>
      </x:c>
      <x:c r="H136" s="2" t="s">
        <x:v>883</x:v>
      </x:c>
      <x:c r="I136" s="2" t="s">
        <x:v>907</x:v>
      </x:c>
      <x:c r="J136" s="2" t="s">
        <x:v>885</x:v>
      </x:c>
      <x:c r="K136" s="2"/>
      <x:c r="L136" s="2" t="s">
        <x:v>908</x:v>
      </x:c>
      <x:c r="M136" s="2" t="s">
        <x:v>886</x:v>
      </x:c>
      <x:c r="N136" s="2">
        <x:v>6</x:v>
      </x:c>
      <x:c r="O136" s="2" t="s">
        <x:v>887</x:v>
      </x:c>
      <x:c r="P136" s="2" t="s">
        <x:v>888</x:v>
      </x:c>
      <x:c r="Q136" s="2"/>
      <x:c r="R136" s="3">
        <x:v>3</x:v>
      </x:c>
      <x:c r="S136" s="3">
        <x:v>0</x:v>
      </x:c>
      <x:c r="T136" s="2" t="s">
        <x:v>103</x:v>
      </x:c>
      <x:c r="U136" s="2" t="s">
        <x:v>104</x:v>
      </x:c>
      <x:c r="V136" s="2" t="s">
        <x:v>105</x:v>
      </x:c>
      <x:c r="W136" s="2"/>
      <x:c r="X136" s="3"/>
      <x:c r="Y136" s="3"/>
      <x:c r="Z136" s="2"/>
      <x:c r="AA136" s="2"/>
      <x:c r="AB136" s="2"/>
      <x:c r="AC136" s="2"/>
      <x:c r="AD136" s="2"/>
      <x:c r="AE136" s="2"/>
      <x:c r="AF136" s="2"/>
      <x:c r="AG136" s="2"/>
      <x:c r="AH136" s="2"/>
      <x:c r="AI136" s="4"/>
      <x:c r="AJ136" s="2"/>
      <x:c r="AK136" s="2" t="s">
        <x:v>106</x:v>
      </x:c>
      <x:c r="AL136" s="2" t="s">
        <x:v>3061</x:v>
      </x:c>
      <x:c r="AM136" s="2">
        <x:v>136</x:v>
      </x:c>
      <x:c r="AN136" s="2">
        <x:v>136</x:v>
      </x:c>
    </x:row>
    <x:row r="137" ht="52">
      <x:c r="A137" s="2" t="s">
        <x:v>91</x:v>
      </x:c>
      <x:c r="B137" s="2" t="s">
        <x:v>13</x:v>
      </x:c>
      <x:c r="C137" s="3">
        <x:v>135</x:v>
      </x:c>
      <x:c r="D137" s="2" t="s">
        <x:v>909</x:v>
      </x:c>
      <x:c r="E137" s="2" t="s">
        <x:v>910</x:v>
      </x:c>
      <x:c r="F137" s="2" t="s">
        <x:v>911</x:v>
      </x:c>
      <x:c r="G137" s="2" t="s">
        <x:v>3095</x:v>
      </x:c>
      <x:c r="H137" s="2" t="s">
        <x:v>883</x:v>
      </x:c>
      <x:c r="I137" s="2" t="s">
        <x:v>913</x:v>
      </x:c>
      <x:c r="J137" s="2" t="s">
        <x:v>885</x:v>
      </x:c>
      <x:c r="K137" s="2"/>
      <x:c r="L137" s="2" t="s">
        <x:v>595</x:v>
      </x:c>
      <x:c r="M137" s="2" t="s">
        <x:v>893</x:v>
      </x:c>
      <x:c r="N137" s="2">
        <x:v>6</x:v>
      </x:c>
      <x:c r="O137" s="2" t="s">
        <x:v>887</x:v>
      </x:c>
      <x:c r="P137" s="2" t="s">
        <x:v>914</x:v>
      </x:c>
      <x:c r="Q137" s="2"/>
      <x:c r="R137" s="3">
        <x:v>4</x:v>
      </x:c>
      <x:c r="S137" s="3">
        <x:v>0</x:v>
      </x:c>
      <x:c r="T137" s="2" t="s">
        <x:v>103</x:v>
      </x:c>
      <x:c r="U137" s="2" t="s">
        <x:v>115</x:v>
      </x:c>
      <x:c r="V137" s="2" t="s">
        <x:v>123</x:v>
      </x:c>
      <x:c r="W137" s="2"/>
      <x:c r="X137" s="3"/>
      <x:c r="Y137" s="3"/>
      <x:c r="Z137" s="2"/>
      <x:c r="AA137" s="2"/>
      <x:c r="AB137" s="2"/>
      <x:c r="AC137" s="2"/>
      <x:c r="AD137" s="2"/>
      <x:c r="AE137" s="2"/>
      <x:c r="AF137" s="2"/>
      <x:c r="AG137" s="2"/>
      <x:c r="AH137" s="2"/>
      <x:c r="AI137" s="4"/>
      <x:c r="AJ137" s="2"/>
      <x:c r="AK137" s="2" t="s">
        <x:v>106</x:v>
      </x:c>
      <x:c r="AL137" s="2" t="s">
        <x:v>3061</x:v>
      </x:c>
      <x:c r="AM137" s="2">
        <x:v>137</x:v>
      </x:c>
      <x:c r="AN137" s="2">
        <x:v>137</x:v>
      </x:c>
    </x:row>
    <x:row r="138" ht="52">
      <x:c r="A138" s="2" t="s">
        <x:v>91</x:v>
      </x:c>
      <x:c r="B138" s="2" t="s">
        <x:v>13</x:v>
      </x:c>
      <x:c r="C138" s="3">
        <x:v>136</x:v>
      </x:c>
      <x:c r="D138" s="2" t="s">
        <x:v>915</x:v>
      </x:c>
      <x:c r="E138" s="2" t="s">
        <x:v>916</x:v>
      </x:c>
      <x:c r="F138" s="2" t="s">
        <x:v>890</x:v>
      </x:c>
      <x:c r="G138" s="2" t="s">
        <x:v>3096</x:v>
      </x:c>
      <x:c r="H138" s="2" t="s">
        <x:v>883</x:v>
      </x:c>
      <x:c r="I138" s="2" t="s">
        <x:v>918</x:v>
      </x:c>
      <x:c r="J138" s="2" t="s">
        <x:v>885</x:v>
      </x:c>
      <x:c r="K138" s="2"/>
      <x:c r="L138" s="2" t="s">
        <x:v>141</x:v>
      </x:c>
      <x:c r="M138" s="2" t="s">
        <x:v>893</x:v>
      </x:c>
      <x:c r="N138" s="2">
        <x:v>6</x:v>
      </x:c>
      <x:c r="O138" s="2" t="s">
        <x:v>887</x:v>
      </x:c>
      <x:c r="P138" s="2" t="s">
        <x:v>914</x:v>
      </x:c>
      <x:c r="Q138" s="2"/>
      <x:c r="R138" s="3">
        <x:v>2</x:v>
      </x:c>
      <x:c r="S138" s="3">
        <x:v>0</x:v>
      </x:c>
      <x:c r="T138" s="2" t="s">
        <x:v>103</x:v>
      </x:c>
      <x:c r="U138" s="2" t="s">
        <x:v>129</x:v>
      </x:c>
      <x:c r="V138" s="2" t="s">
        <x:v>136</x:v>
      </x:c>
      <x:c r="W138" s="2"/>
      <x:c r="X138" s="3"/>
      <x:c r="Y138" s="3"/>
      <x:c r="Z138" s="2"/>
      <x:c r="AA138" s="2"/>
      <x:c r="AB138" s="2"/>
      <x:c r="AC138" s="2"/>
      <x:c r="AD138" s="2"/>
      <x:c r="AE138" s="2"/>
      <x:c r="AF138" s="2"/>
      <x:c r="AG138" s="2"/>
      <x:c r="AH138" s="2"/>
      <x:c r="AI138" s="4"/>
      <x:c r="AJ138" s="2"/>
      <x:c r="AK138" s="2" t="s">
        <x:v>106</x:v>
      </x:c>
      <x:c r="AL138" s="2" t="s">
        <x:v>3061</x:v>
      </x:c>
      <x:c r="AM138" s="2">
        <x:v>138</x:v>
      </x:c>
      <x:c r="AN138" s="2">
        <x:v>138</x:v>
      </x:c>
    </x:row>
    <x:row r="139" ht="52">
      <x:c r="A139" s="2" t="s">
        <x:v>91</x:v>
      </x:c>
      <x:c r="B139" s="2" t="s">
        <x:v>13</x:v>
      </x:c>
      <x:c r="C139" s="3">
        <x:v>137</x:v>
      </x:c>
      <x:c r="D139" s="2" t="s">
        <x:v>919</x:v>
      </x:c>
      <x:c r="E139" s="2" t="s">
        <x:v>920</x:v>
      </x:c>
      <x:c r="F139" s="2" t="s">
        <x:v>897</x:v>
      </x:c>
      <x:c r="G139" s="2" t="s">
        <x:v>3097</x:v>
      </x:c>
      <x:c r="H139" s="2" t="s">
        <x:v>883</x:v>
      </x:c>
      <x:c r="I139" s="2" t="s">
        <x:v>922</x:v>
      </x:c>
      <x:c r="J139" s="2" t="s">
        <x:v>885</x:v>
      </x:c>
      <x:c r="K139" s="2"/>
      <x:c r="L139" s="2" t="s">
        <x:v>923</x:v>
      </x:c>
      <x:c r="M139" s="2" t="s">
        <x:v>886</x:v>
      </x:c>
      <x:c r="N139" s="2">
        <x:v>6</x:v>
      </x:c>
      <x:c r="O139" s="2" t="s">
        <x:v>887</x:v>
      </x:c>
      <x:c r="P139" s="2" t="s">
        <x:v>888</x:v>
      </x:c>
      <x:c r="Q139" s="2"/>
      <x:c r="R139" s="3">
        <x:v>3</x:v>
      </x:c>
      <x:c r="S139" s="3">
        <x:v>0</x:v>
      </x:c>
      <x:c r="T139" s="2" t="s">
        <x:v>103</x:v>
      </x:c>
      <x:c r="U139" s="2" t="s">
        <x:v>104</x:v>
      </x:c>
      <x:c r="V139" s="2" t="s">
        <x:v>154</x:v>
      </x:c>
      <x:c r="W139" s="2"/>
      <x:c r="X139" s="3"/>
      <x:c r="Y139" s="3"/>
      <x:c r="Z139" s="2"/>
      <x:c r="AA139" s="2"/>
      <x:c r="AB139" s="2"/>
      <x:c r="AC139" s="2"/>
      <x:c r="AD139" s="2"/>
      <x:c r="AE139" s="2"/>
      <x:c r="AF139" s="2"/>
      <x:c r="AG139" s="2"/>
      <x:c r="AH139" s="2"/>
      <x:c r="AI139" s="4"/>
      <x:c r="AJ139" s="2"/>
      <x:c r="AK139" s="2" t="s">
        <x:v>106</x:v>
      </x:c>
      <x:c r="AL139" s="2" t="s">
        <x:v>3061</x:v>
      </x:c>
      <x:c r="AM139" s="2">
        <x:v>139</x:v>
      </x:c>
      <x:c r="AN139" s="2">
        <x:v>139</x:v>
      </x:c>
    </x:row>
    <x:row r="140" ht="52">
      <x:c r="A140" s="2" t="s">
        <x:v>91</x:v>
      </x:c>
      <x:c r="B140" s="2" t="s">
        <x:v>13</x:v>
      </x:c>
      <x:c r="C140" s="3">
        <x:v>138</x:v>
      </x:c>
      <x:c r="D140" s="2" t="s">
        <x:v>924</x:v>
      </x:c>
      <x:c r="E140" s="2" t="s">
        <x:v>925</x:v>
      </x:c>
      <x:c r="F140" s="2" t="s">
        <x:v>911</x:v>
      </x:c>
      <x:c r="G140" s="2" t="s">
        <x:v>3098</x:v>
      </x:c>
      <x:c r="H140" s="2" t="s">
        <x:v>883</x:v>
      </x:c>
      <x:c r="I140" s="2" t="s">
        <x:v>927</x:v>
      </x:c>
      <x:c r="J140" s="2" t="s">
        <x:v>885</x:v>
      </x:c>
      <x:c r="K140" s="2"/>
      <x:c r="L140" s="2" t="s">
        <x:v>112</x:v>
      </x:c>
      <x:c r="M140" s="2" t="s">
        <x:v>893</x:v>
      </x:c>
      <x:c r="N140" s="2">
        <x:v>6</x:v>
      </x:c>
      <x:c r="O140" s="2" t="s">
        <x:v>887</x:v>
      </x:c>
      <x:c r="P140" s="2" t="s">
        <x:v>894</x:v>
      </x:c>
      <x:c r="Q140" s="2"/>
      <x:c r="R140" s="3">
        <x:v>4</x:v>
      </x:c>
      <x:c r="S140" s="3">
        <x:v>0</x:v>
      </x:c>
      <x:c r="T140" s="2" t="s">
        <x:v>103</x:v>
      </x:c>
      <x:c r="U140" s="2" t="s">
        <x:v>115</x:v>
      </x:c>
      <x:c r="V140" s="2" t="s">
        <x:v>105</x:v>
      </x:c>
      <x:c r="W140" s="2"/>
      <x:c r="X140" s="3"/>
      <x:c r="Y140" s="3"/>
      <x:c r="Z140" s="2"/>
      <x:c r="AA140" s="2"/>
      <x:c r="AB140" s="2"/>
      <x:c r="AC140" s="2"/>
      <x:c r="AD140" s="2"/>
      <x:c r="AE140" s="2"/>
      <x:c r="AF140" s="2"/>
      <x:c r="AG140" s="2"/>
      <x:c r="AH140" s="2"/>
      <x:c r="AI140" s="4"/>
      <x:c r="AJ140" s="2"/>
      <x:c r="AK140" s="2" t="s">
        <x:v>106</x:v>
      </x:c>
      <x:c r="AL140" s="2" t="s">
        <x:v>3061</x:v>
      </x:c>
      <x:c r="AM140" s="2">
        <x:v>140</x:v>
      </x:c>
      <x:c r="AN140" s="2">
        <x:v>140</x:v>
      </x:c>
    </x:row>
    <x:row r="141" ht="52">
      <x:c r="A141" s="2" t="s">
        <x:v>91</x:v>
      </x:c>
      <x:c r="B141" s="2" t="s">
        <x:v>13</x:v>
      </x:c>
      <x:c r="C141" s="3">
        <x:v>139</x:v>
      </x:c>
      <x:c r="D141" s="2" t="s">
        <x:v>928</x:v>
      </x:c>
      <x:c r="E141" s="2" t="s">
        <x:v>929</x:v>
      </x:c>
      <x:c r="F141" s="2" t="s">
        <x:v>881</x:v>
      </x:c>
      <x:c r="G141" s="2" t="s">
        <x:v>3099</x:v>
      </x:c>
      <x:c r="H141" s="2" t="s">
        <x:v>883</x:v>
      </x:c>
      <x:c r="I141" s="2" t="s">
        <x:v>931</x:v>
      </x:c>
      <x:c r="J141" s="2" t="s">
        <x:v>885</x:v>
      </x:c>
      <x:c r="K141" s="2"/>
      <x:c r="L141" s="2" t="s">
        <x:v>121</x:v>
      </x:c>
      <x:c r="M141" s="2" t="s">
        <x:v>886</x:v>
      </x:c>
      <x:c r="N141" s="2">
        <x:v>6</x:v>
      </x:c>
      <x:c r="O141" s="2" t="s">
        <x:v>887</x:v>
      </x:c>
      <x:c r="P141" s="2" t="s">
        <x:v>888</x:v>
      </x:c>
      <x:c r="Q141" s="2"/>
      <x:c r="R141" s="3">
        <x:v>2</x:v>
      </x:c>
      <x:c r="S141" s="3">
        <x:v>0</x:v>
      </x:c>
      <x:c r="T141" s="2" t="s">
        <x:v>103</x:v>
      </x:c>
      <x:c r="U141" s="2" t="s">
        <x:v>122</x:v>
      </x:c>
      <x:c r="V141" s="2" t="s">
        <x:v>123</x:v>
      </x:c>
      <x:c r="W141" s="2"/>
      <x:c r="X141" s="3"/>
      <x:c r="Y141" s="3"/>
      <x:c r="Z141" s="2"/>
      <x:c r="AA141" s="2"/>
      <x:c r="AB141" s="2"/>
      <x:c r="AC141" s="2"/>
      <x:c r="AD141" s="2"/>
      <x:c r="AE141" s="2"/>
      <x:c r="AF141" s="2"/>
      <x:c r="AG141" s="2"/>
      <x:c r="AH141" s="2"/>
      <x:c r="AI141" s="4"/>
      <x:c r="AJ141" s="2"/>
      <x:c r="AK141" s="2" t="s">
        <x:v>106</x:v>
      </x:c>
      <x:c r="AL141" s="2" t="s">
        <x:v>3061</x:v>
      </x:c>
      <x:c r="AM141" s="2">
        <x:v>141</x:v>
      </x:c>
      <x:c r="AN141" s="2">
        <x:v>141</x:v>
      </x:c>
    </x:row>
    <x:row r="142" ht="52">
      <x:c r="A142" s="2" t="s">
        <x:v>91</x:v>
      </x:c>
      <x:c r="B142" s="2" t="s">
        <x:v>13</x:v>
      </x:c>
      <x:c r="C142" s="3">
        <x:v>140</x:v>
      </x:c>
      <x:c r="D142" s="2" t="s">
        <x:v>605</x:v>
      </x:c>
      <x:c r="E142" s="2" t="s">
        <x:v>932</x:v>
      </x:c>
      <x:c r="F142" s="2" t="s">
        <x:v>911</x:v>
      </x:c>
      <x:c r="G142" s="2" t="s">
        <x:v>3100</x:v>
      </x:c>
      <x:c r="H142" s="2" t="s">
        <x:v>883</x:v>
      </x:c>
      <x:c r="I142" s="2" t="s">
        <x:v>934</x:v>
      </x:c>
      <x:c r="J142" s="2" t="s">
        <x:v>885</x:v>
      </x:c>
      <x:c r="K142" s="2"/>
      <x:c r="L142" s="2" t="s">
        <x:v>935</x:v>
      </x:c>
      <x:c r="M142" s="2" t="s">
        <x:v>893</x:v>
      </x:c>
      <x:c r="N142" s="2">
        <x:v>6</x:v>
      </x:c>
      <x:c r="O142" s="2" t="s">
        <x:v>887</x:v>
      </x:c>
      <x:c r="P142" s="2" t="s">
        <x:v>894</x:v>
      </x:c>
      <x:c r="Q142" s="2"/>
      <x:c r="R142" s="3">
        <x:v>3</x:v>
      </x:c>
      <x:c r="S142" s="3">
        <x:v>0</x:v>
      </x:c>
      <x:c r="T142" s="2" t="s">
        <x:v>103</x:v>
      </x:c>
      <x:c r="U142" s="2" t="s">
        <x:v>115</x:v>
      </x:c>
      <x:c r="V142" s="2" t="s">
        <x:v>136</x:v>
      </x:c>
      <x:c r="W142" s="2"/>
      <x:c r="X142" s="3"/>
      <x:c r="Y142" s="3"/>
      <x:c r="Z142" s="2"/>
      <x:c r="AA142" s="2"/>
      <x:c r="AB142" s="2"/>
      <x:c r="AC142" s="2"/>
      <x:c r="AD142" s="2"/>
      <x:c r="AE142" s="2"/>
      <x:c r="AF142" s="2"/>
      <x:c r="AG142" s="2"/>
      <x:c r="AH142" s="2"/>
      <x:c r="AI142" s="4"/>
      <x:c r="AJ142" s="2"/>
      <x:c r="AK142" s="2" t="s">
        <x:v>106</x:v>
      </x:c>
      <x:c r="AL142" s="2" t="s">
        <x:v>3061</x:v>
      </x:c>
      <x:c r="AM142" s="2">
        <x:v>142</x:v>
      </x:c>
      <x:c r="AN142" s="2">
        <x:v>142</x:v>
      </x:c>
    </x:row>
    <x:row r="143" ht="52">
      <x:c r="A143" s="2" t="s">
        <x:v>91</x:v>
      </x:c>
      <x:c r="B143" s="2" t="s">
        <x:v>13</x:v>
      </x:c>
      <x:c r="C143" s="3">
        <x:v>141</x:v>
      </x:c>
      <x:c r="D143" s="2" t="s">
        <x:v>936</x:v>
      </x:c>
      <x:c r="E143" s="2" t="s">
        <x:v>937</x:v>
      </x:c>
      <x:c r="F143" s="2" t="s">
        <x:v>890</x:v>
      </x:c>
      <x:c r="G143" s="2" t="s">
        <x:v>3101</x:v>
      </x:c>
      <x:c r="H143" s="2" t="s">
        <x:v>883</x:v>
      </x:c>
      <x:c r="I143" s="2" t="s">
        <x:v>939</x:v>
      </x:c>
      <x:c r="J143" s="2" t="s">
        <x:v>885</x:v>
      </x:c>
      <x:c r="K143" s="2"/>
      <x:c r="L143" s="2" t="s">
        <x:v>165</x:v>
      </x:c>
      <x:c r="M143" s="2" t="s">
        <x:v>893</x:v>
      </x:c>
      <x:c r="N143" s="2">
        <x:v>6</x:v>
      </x:c>
      <x:c r="O143" s="2" t="s">
        <x:v>887</x:v>
      </x:c>
      <x:c r="P143" s="2" t="s">
        <x:v>894</x:v>
      </x:c>
      <x:c r="Q143" s="2"/>
      <x:c r="R143" s="3">
        <x:v>4</x:v>
      </x:c>
      <x:c r="S143" s="3">
        <x:v>0</x:v>
      </x:c>
      <x:c r="T143" s="2" t="s">
        <x:v>103</x:v>
      </x:c>
      <x:c r="U143" s="2" t="s">
        <x:v>129</x:v>
      </x:c>
      <x:c r="V143" s="2" t="s">
        <x:v>154</x:v>
      </x:c>
      <x:c r="W143" s="2"/>
      <x:c r="X143" s="3"/>
      <x:c r="Y143" s="3"/>
      <x:c r="Z143" s="2"/>
      <x:c r="AA143" s="2"/>
      <x:c r="AB143" s="2"/>
      <x:c r="AC143" s="2"/>
      <x:c r="AD143" s="2"/>
      <x:c r="AE143" s="2"/>
      <x:c r="AF143" s="2"/>
      <x:c r="AG143" s="2"/>
      <x:c r="AH143" s="2"/>
      <x:c r="AI143" s="4"/>
      <x:c r="AJ143" s="2"/>
      <x:c r="AK143" s="2" t="s">
        <x:v>106</x:v>
      </x:c>
      <x:c r="AL143" s="2" t="s">
        <x:v>3061</x:v>
      </x:c>
      <x:c r="AM143" s="2">
        <x:v>143</x:v>
      </x:c>
      <x:c r="AN143" s="2">
        <x:v>143</x:v>
      </x:c>
    </x:row>
    <x:row r="144" ht="52">
      <x:c r="A144" s="2" t="s">
        <x:v>91</x:v>
      </x:c>
      <x:c r="B144" s="2" t="s">
        <x:v>13</x:v>
      </x:c>
      <x:c r="C144" s="3">
        <x:v>142</x:v>
      </x:c>
      <x:c r="D144" s="2" t="s">
        <x:v>580</x:v>
      </x:c>
      <x:c r="E144" s="2" t="s">
        <x:v>880</x:v>
      </x:c>
      <x:c r="F144" s="2" t="s">
        <x:v>881</x:v>
      </x:c>
      <x:c r="G144" s="2" t="s">
        <x:v>3102</x:v>
      </x:c>
      <x:c r="H144" s="2" t="s">
        <x:v>883</x:v>
      </x:c>
      <x:c r="I144" s="2" t="s">
        <x:v>941</x:v>
      </x:c>
      <x:c r="J144" s="2" t="s">
        <x:v>885</x:v>
      </x:c>
      <x:c r="K144" s="2"/>
      <x:c r="L144" s="2" t="s">
        <x:v>942</x:v>
      </x:c>
      <x:c r="M144" s="2" t="s">
        <x:v>886</x:v>
      </x:c>
      <x:c r="N144" s="2">
        <x:v>6</x:v>
      </x:c>
      <x:c r="O144" s="2" t="s">
        <x:v>887</x:v>
      </x:c>
      <x:c r="P144" s="2" t="s">
        <x:v>888</x:v>
      </x:c>
      <x:c r="Q144" s="2"/>
      <x:c r="R144" s="3">
        <x:v>2</x:v>
      </x:c>
      <x:c r="S144" s="3">
        <x:v>0</x:v>
      </x:c>
      <x:c r="T144" s="2" t="s">
        <x:v>103</x:v>
      </x:c>
      <x:c r="U144" s="2" t="s">
        <x:v>122</x:v>
      </x:c>
      <x:c r="V144" s="2" t="s">
        <x:v>105</x:v>
      </x:c>
      <x:c r="W144" s="2"/>
      <x:c r="X144" s="3"/>
      <x:c r="Y144" s="3"/>
      <x:c r="Z144" s="2"/>
      <x:c r="AA144" s="2"/>
      <x:c r="AB144" s="2"/>
      <x:c r="AC144" s="2"/>
      <x:c r="AD144" s="2"/>
      <x:c r="AE144" s="2"/>
      <x:c r="AF144" s="2"/>
      <x:c r="AG144" s="2"/>
      <x:c r="AH144" s="2"/>
      <x:c r="AI144" s="4"/>
      <x:c r="AJ144" s="2"/>
      <x:c r="AK144" s="2" t="s">
        <x:v>106</x:v>
      </x:c>
      <x:c r="AL144" s="2" t="s">
        <x:v>3061</x:v>
      </x:c>
      <x:c r="AM144" s="2">
        <x:v>144</x:v>
      </x:c>
      <x:c r="AN144" s="2">
        <x:v>144</x:v>
      </x:c>
    </x:row>
    <x:row r="145" ht="52">
      <x:c r="A145" s="2" t="s">
        <x:v>91</x:v>
      </x:c>
      <x:c r="B145" s="2" t="s">
        <x:v>13</x:v>
      </x:c>
      <x:c r="C145" s="3">
        <x:v>143</x:v>
      </x:c>
      <x:c r="D145" s="2" t="s">
        <x:v>587</x:v>
      </x:c>
      <x:c r="E145" s="2" t="s">
        <x:v>943</x:v>
      </x:c>
      <x:c r="F145" s="2" t="s">
        <x:v>890</x:v>
      </x:c>
      <x:c r="G145" s="2" t="s">
        <x:v>3095</x:v>
      </x:c>
      <x:c r="H145" s="2" t="s">
        <x:v>883</x:v>
      </x:c>
      <x:c r="I145" s="2" t="s">
        <x:v>944</x:v>
      </x:c>
      <x:c r="J145" s="2" t="s">
        <x:v>885</x:v>
      </x:c>
      <x:c r="K145" s="2"/>
      <x:c r="L145" s="2" t="s">
        <x:v>945</x:v>
      </x:c>
      <x:c r="M145" s="2" t="s">
        <x:v>893</x:v>
      </x:c>
      <x:c r="N145" s="2">
        <x:v>6</x:v>
      </x:c>
      <x:c r="O145" s="2" t="s">
        <x:v>887</x:v>
      </x:c>
      <x:c r="P145" s="2" t="s">
        <x:v>914</x:v>
      </x:c>
      <x:c r="Q145" s="2"/>
      <x:c r="R145" s="3">
        <x:v>3</x:v>
      </x:c>
      <x:c r="S145" s="3">
        <x:v>0</x:v>
      </x:c>
      <x:c r="T145" s="2" t="s">
        <x:v>103</x:v>
      </x:c>
      <x:c r="U145" s="2" t="s">
        <x:v>129</x:v>
      </x:c>
      <x:c r="V145" s="2" t="s">
        <x:v>123</x:v>
      </x:c>
      <x:c r="W145" s="2"/>
      <x:c r="X145" s="3"/>
      <x:c r="Y145" s="3"/>
      <x:c r="Z145" s="2"/>
      <x:c r="AA145" s="2"/>
      <x:c r="AB145" s="2"/>
      <x:c r="AC145" s="2"/>
      <x:c r="AD145" s="2"/>
      <x:c r="AE145" s="2"/>
      <x:c r="AF145" s="2"/>
      <x:c r="AG145" s="2"/>
      <x:c r="AH145" s="2"/>
      <x:c r="AI145" s="4"/>
      <x:c r="AJ145" s="2"/>
      <x:c r="AK145" s="2" t="s">
        <x:v>106</x:v>
      </x:c>
      <x:c r="AL145" s="2" t="s">
        <x:v>3061</x:v>
      </x:c>
      <x:c r="AM145" s="2">
        <x:v>145</x:v>
      </x:c>
      <x:c r="AN145" s="2">
        <x:v>145</x:v>
      </x:c>
    </x:row>
    <x:row r="146" ht="52">
      <x:c r="A146" s="2" t="s">
        <x:v>91</x:v>
      </x:c>
      <x:c r="B146" s="2" t="s">
        <x:v>13</x:v>
      </x:c>
      <x:c r="C146" s="3">
        <x:v>144</x:v>
      </x:c>
      <x:c r="D146" s="2" t="s">
        <x:v>915</x:v>
      </x:c>
      <x:c r="E146" s="2" t="s">
        <x:v>946</x:v>
      </x:c>
      <x:c r="F146" s="2" t="s">
        <x:v>890</x:v>
      </x:c>
      <x:c r="G146" s="2"/>
      <x:c r="H146" s="2" t="s">
        <x:v>883</x:v>
      </x:c>
      <x:c r="I146" s="2" t="s">
        <x:v>948</x:v>
      </x:c>
      <x:c r="J146" s="2" t="s">
        <x:v>885</x:v>
      </x:c>
      <x:c r="K146" s="2"/>
      <x:c r="L146" s="2" t="s">
        <x:v>949</x:v>
      </x:c>
      <x:c r="M146" s="2" t="s">
        <x:v>893</x:v>
      </x:c>
      <x:c r="N146" s="2">
        <x:v>6</x:v>
      </x:c>
      <x:c r="O146" s="2" t="s">
        <x:v>887</x:v>
      </x:c>
      <x:c r="P146" s="2" t="s">
        <x:v>914</x:v>
      </x:c>
      <x:c r="Q146" s="2"/>
      <x:c r="R146" s="3">
        <x:v>4</x:v>
      </x:c>
      <x:c r="S146" s="3">
        <x:v>0</x:v>
      </x:c>
      <x:c r="T146" s="2" t="s">
        <x:v>103</x:v>
      </x:c>
      <x:c r="U146" s="2" t="s">
        <x:v>129</x:v>
      </x:c>
      <x:c r="V146" s="2" t="s">
        <x:v>136</x:v>
      </x:c>
      <x:c r="W146" s="2"/>
      <x:c r="X146" s="3"/>
      <x:c r="Y146" s="3"/>
      <x:c r="Z146" s="2"/>
      <x:c r="AA146" s="2"/>
      <x:c r="AB146" s="2"/>
      <x:c r="AC146" s="2"/>
      <x:c r="AD146" s="2"/>
      <x:c r="AE146" s="2"/>
      <x:c r="AF146" s="2"/>
      <x:c r="AG146" s="2"/>
      <x:c r="AH146" s="2"/>
      <x:c r="AI146" s="4"/>
      <x:c r="AJ146" s="2"/>
      <x:c r="AK146" s="2" t="s">
        <x:v>106</x:v>
      </x:c>
      <x:c r="AL146" s="2" t="s">
        <x:v>3061</x:v>
      </x:c>
      <x:c r="AM146" s="2">
        <x:v>146</x:v>
      </x:c>
      <x:c r="AN146" s="2">
        <x:v>146</x:v>
      </x:c>
    </x:row>
    <x:row r="147" ht="52">
      <x:c r="A147" s="2" t="s">
        <x:v>91</x:v>
      </x:c>
      <x:c r="B147" s="2" t="s">
        <x:v>13</x:v>
      </x:c>
      <x:c r="C147" s="3">
        <x:v>145</x:v>
      </x:c>
      <x:c r="D147" s="2" t="s">
        <x:v>148</x:v>
      </x:c>
      <x:c r="E147" s="2" t="s">
        <x:v>901</x:v>
      </x:c>
      <x:c r="F147" s="2" t="s">
        <x:v>881</x:v>
      </x:c>
      <x:c r="G147" s="2" t="s">
        <x:v>3103</x:v>
      </x:c>
      <x:c r="H147" s="2" t="s">
        <x:v>883</x:v>
      </x:c>
      <x:c r="I147" s="2" t="s">
        <x:v>951</x:v>
      </x:c>
      <x:c r="J147" s="2" t="s">
        <x:v>885</x:v>
      </x:c>
      <x:c r="K147" s="2"/>
      <x:c r="L147" s="2" t="s">
        <x:v>952</x:v>
      </x:c>
      <x:c r="M147" s="2" t="s">
        <x:v>886</x:v>
      </x:c>
      <x:c r="N147" s="2">
        <x:v>6</x:v>
      </x:c>
      <x:c r="O147" s="2" t="s">
        <x:v>887</x:v>
      </x:c>
      <x:c r="P147" s="2" t="s">
        <x:v>888</x:v>
      </x:c>
      <x:c r="Q147" s="2"/>
      <x:c r="R147" s="3">
        <x:v>2</x:v>
      </x:c>
      <x:c r="S147" s="3">
        <x:v>0</x:v>
      </x:c>
      <x:c r="T147" s="2" t="s">
        <x:v>103</x:v>
      </x:c>
      <x:c r="U147" s="2" t="s">
        <x:v>122</x:v>
      </x:c>
      <x:c r="V147" s="2" t="s">
        <x:v>154</x:v>
      </x:c>
      <x:c r="W147" s="2"/>
      <x:c r="X147" s="3"/>
      <x:c r="Y147" s="3"/>
      <x:c r="Z147" s="2"/>
      <x:c r="AA147" s="2"/>
      <x:c r="AB147" s="2"/>
      <x:c r="AC147" s="2"/>
      <x:c r="AD147" s="2"/>
      <x:c r="AE147" s="2"/>
      <x:c r="AF147" s="2"/>
      <x:c r="AG147" s="2"/>
      <x:c r="AH147" s="2"/>
      <x:c r="AI147" s="4"/>
      <x:c r="AJ147" s="2"/>
      <x:c r="AK147" s="2" t="s">
        <x:v>106</x:v>
      </x:c>
      <x:c r="AL147" s="2" t="s">
        <x:v>3061</x:v>
      </x:c>
      <x:c r="AM147" s="2">
        <x:v>147</x:v>
      </x:c>
      <x:c r="AN147" s="2">
        <x:v>147</x:v>
      </x:c>
    </x:row>
    <x:row r="148" ht="52">
      <x:c r="A148" s="2" t="s">
        <x:v>91</x:v>
      </x:c>
      <x:c r="B148" s="2" t="s">
        <x:v>13</x:v>
      </x:c>
      <x:c r="C148" s="3">
        <x:v>146</x:v>
      </x:c>
      <x:c r="D148" s="2" t="s">
        <x:v>904</x:v>
      </x:c>
      <x:c r="E148" s="2" t="s">
        <x:v>953</x:v>
      </x:c>
      <x:c r="F148" s="2" t="s">
        <x:v>897</x:v>
      </x:c>
      <x:c r="G148" s="2" t="s">
        <x:v>3104</x:v>
      </x:c>
      <x:c r="H148" s="2" t="s">
        <x:v>883</x:v>
      </x:c>
      <x:c r="I148" s="2" t="s">
        <x:v>955</x:v>
      </x:c>
      <x:c r="J148" s="2" t="s">
        <x:v>885</x:v>
      </x:c>
      <x:c r="K148" s="2"/>
      <x:c r="L148" s="2" t="s">
        <x:v>99</x:v>
      </x:c>
      <x:c r="M148" s="2" t="s">
        <x:v>886</x:v>
      </x:c>
      <x:c r="N148" s="2">
        <x:v>6</x:v>
      </x:c>
      <x:c r="O148" s="2" t="s">
        <x:v>887</x:v>
      </x:c>
      <x:c r="P148" s="2" t="s">
        <x:v>888</x:v>
      </x:c>
      <x:c r="Q148" s="2"/>
      <x:c r="R148" s="3">
        <x:v>3</x:v>
      </x:c>
      <x:c r="S148" s="3">
        <x:v>0</x:v>
      </x:c>
      <x:c r="T148" s="2" t="s">
        <x:v>103</x:v>
      </x:c>
      <x:c r="U148" s="2" t="s">
        <x:v>104</x:v>
      </x:c>
      <x:c r="V148" s="2" t="s">
        <x:v>105</x:v>
      </x:c>
      <x:c r="W148" s="2"/>
      <x:c r="X148" s="3"/>
      <x:c r="Y148" s="3"/>
      <x:c r="Z148" s="2"/>
      <x:c r="AA148" s="2"/>
      <x:c r="AB148" s="2"/>
      <x:c r="AC148" s="2"/>
      <x:c r="AD148" s="2"/>
      <x:c r="AE148" s="2"/>
      <x:c r="AF148" s="2"/>
      <x:c r="AG148" s="2"/>
      <x:c r="AH148" s="2"/>
      <x:c r="AI148" s="4"/>
      <x:c r="AJ148" s="2"/>
      <x:c r="AK148" s="2" t="s">
        <x:v>106</x:v>
      </x:c>
      <x:c r="AL148" s="2" t="s">
        <x:v>3061</x:v>
      </x:c>
      <x:c r="AM148" s="2">
        <x:v>148</x:v>
      </x:c>
      <x:c r="AN148" s="2">
        <x:v>148</x:v>
      </x:c>
    </x:row>
    <x:row r="149" ht="52">
      <x:c r="A149" s="2" t="s">
        <x:v>91</x:v>
      </x:c>
      <x:c r="B149" s="2" t="s">
        <x:v>13</x:v>
      </x:c>
      <x:c r="C149" s="3">
        <x:v>147</x:v>
      </x:c>
      <x:c r="D149" s="2" t="s">
        <x:v>909</x:v>
      </x:c>
      <x:c r="E149" s="2" t="s">
        <x:v>956</x:v>
      </x:c>
      <x:c r="F149" s="2" t="s">
        <x:v>911</x:v>
      </x:c>
      <x:c r="G149" s="2" t="s">
        <x:v>3105</x:v>
      </x:c>
      <x:c r="H149" s="2" t="s">
        <x:v>883</x:v>
      </x:c>
      <x:c r="I149" s="2" t="s">
        <x:v>958</x:v>
      </x:c>
      <x:c r="J149" s="2" t="s">
        <x:v>885</x:v>
      </x:c>
      <x:c r="K149" s="2"/>
      <x:c r="L149" s="2" t="s">
        <x:v>959</x:v>
      </x:c>
      <x:c r="M149" s="2" t="s">
        <x:v>893</x:v>
      </x:c>
      <x:c r="N149" s="2">
        <x:v>6</x:v>
      </x:c>
      <x:c r="O149" s="2" t="s">
        <x:v>887</x:v>
      </x:c>
      <x:c r="P149" s="2" t="s">
        <x:v>894</x:v>
      </x:c>
      <x:c r="Q149" s="2"/>
      <x:c r="R149" s="3">
        <x:v>4</x:v>
      </x:c>
      <x:c r="S149" s="3">
        <x:v>0</x:v>
      </x:c>
      <x:c r="T149" s="2" t="s">
        <x:v>103</x:v>
      </x:c>
      <x:c r="U149" s="2" t="s">
        <x:v>115</x:v>
      </x:c>
      <x:c r="V149" s="2" t="s">
        <x:v>123</x:v>
      </x:c>
      <x:c r="W149" s="2"/>
      <x:c r="X149" s="3"/>
      <x:c r="Y149" s="3"/>
      <x:c r="Z149" s="2"/>
      <x:c r="AA149" s="2"/>
      <x:c r="AB149" s="2"/>
      <x:c r="AC149" s="2"/>
      <x:c r="AD149" s="2"/>
      <x:c r="AE149" s="2"/>
      <x:c r="AF149" s="2"/>
      <x:c r="AG149" s="2"/>
      <x:c r="AH149" s="2"/>
      <x:c r="AI149" s="4"/>
      <x:c r="AJ149" s="2"/>
      <x:c r="AK149" s="2" t="s">
        <x:v>106</x:v>
      </x:c>
      <x:c r="AL149" s="2" t="s">
        <x:v>3061</x:v>
      </x:c>
      <x:c r="AM149" s="2">
        <x:v>149</x:v>
      </x:c>
      <x:c r="AN149" s="2">
        <x:v>149</x:v>
      </x:c>
    </x:row>
    <x:row r="150" ht="52">
      <x:c r="A150" s="2" t="s">
        <x:v>91</x:v>
      </x:c>
      <x:c r="B150" s="2" t="s">
        <x:v>13</x:v>
      </x:c>
      <x:c r="C150" s="3">
        <x:v>148</x:v>
      </x:c>
      <x:c r="D150" s="2" t="s">
        <x:v>605</x:v>
      </x:c>
      <x:c r="E150" s="2" t="s">
        <x:v>960</x:v>
      </x:c>
      <x:c r="F150" s="2" t="s">
        <x:v>911</x:v>
      </x:c>
      <x:c r="G150" s="2" t="s">
        <x:v>3106</x:v>
      </x:c>
      <x:c r="H150" s="2" t="s">
        <x:v>883</x:v>
      </x:c>
      <x:c r="I150" s="2" t="s">
        <x:v>962</x:v>
      </x:c>
      <x:c r="J150" s="2" t="s">
        <x:v>885</x:v>
      </x:c>
      <x:c r="K150" s="2"/>
      <x:c r="L150" s="2" t="s">
        <x:v>963</x:v>
      </x:c>
      <x:c r="M150" s="2" t="s">
        <x:v>893</x:v>
      </x:c>
      <x:c r="N150" s="2">
        <x:v>6</x:v>
      </x:c>
      <x:c r="O150" s="2" t="s">
        <x:v>887</x:v>
      </x:c>
      <x:c r="P150" s="2" t="s">
        <x:v>894</x:v>
      </x:c>
      <x:c r="Q150" s="2"/>
      <x:c r="R150" s="3">
        <x:v>2</x:v>
      </x:c>
      <x:c r="S150" s="3">
        <x:v>0</x:v>
      </x:c>
      <x:c r="T150" s="2" t="s">
        <x:v>103</x:v>
      </x:c>
      <x:c r="U150" s="2" t="s">
        <x:v>115</x:v>
      </x:c>
      <x:c r="V150" s="2" t="s">
        <x:v>136</x:v>
      </x:c>
      <x:c r="W150" s="2"/>
      <x:c r="X150" s="3"/>
      <x:c r="Y150" s="3"/>
      <x:c r="Z150" s="2"/>
      <x:c r="AA150" s="2"/>
      <x:c r="AB150" s="2"/>
      <x:c r="AC150" s="2"/>
      <x:c r="AD150" s="2"/>
      <x:c r="AE150" s="2"/>
      <x:c r="AF150" s="2"/>
      <x:c r="AG150" s="2"/>
      <x:c r="AH150" s="2"/>
      <x:c r="AI150" s="4"/>
      <x:c r="AJ150" s="2"/>
      <x:c r="AK150" s="2" t="s">
        <x:v>106</x:v>
      </x:c>
      <x:c r="AL150" s="2" t="s">
        <x:v>3061</x:v>
      </x:c>
      <x:c r="AM150" s="2">
        <x:v>150</x:v>
      </x:c>
      <x:c r="AN150" s="2">
        <x:v>150</x:v>
      </x:c>
    </x:row>
    <x:row r="151" ht="52">
      <x:c r="A151" s="2" t="s">
        <x:v>91</x:v>
      </x:c>
      <x:c r="B151" s="2" t="s">
        <x:v>13</x:v>
      </x:c>
      <x:c r="C151" s="3">
        <x:v>149</x:v>
      </x:c>
      <x:c r="D151" s="2" t="s">
        <x:v>919</x:v>
      </x:c>
      <x:c r="E151" s="2" t="s">
        <x:v>964</x:v>
      </x:c>
      <x:c r="F151" s="2" t="s">
        <x:v>897</x:v>
      </x:c>
      <x:c r="G151" s="2" t="s">
        <x:v>3107</x:v>
      </x:c>
      <x:c r="H151" s="2" t="s">
        <x:v>883</x:v>
      </x:c>
      <x:c r="I151" s="2" t="s">
        <x:v>966</x:v>
      </x:c>
      <x:c r="J151" s="2" t="s">
        <x:v>885</x:v>
      </x:c>
      <x:c r="K151" s="2"/>
      <x:c r="L151" s="2" t="s">
        <x:v>967</x:v>
      </x:c>
      <x:c r="M151" s="2" t="s">
        <x:v>886</x:v>
      </x:c>
      <x:c r="N151" s="2">
        <x:v>6</x:v>
      </x:c>
      <x:c r="O151" s="2" t="s">
        <x:v>887</x:v>
      </x:c>
      <x:c r="P151" s="2" t="s">
        <x:v>888</x:v>
      </x:c>
      <x:c r="Q151" s="2"/>
      <x:c r="R151" s="3">
        <x:v>3</x:v>
      </x:c>
      <x:c r="S151" s="3">
        <x:v>0</x:v>
      </x:c>
      <x:c r="T151" s="2" t="s">
        <x:v>103</x:v>
      </x:c>
      <x:c r="U151" s="2" t="s">
        <x:v>104</x:v>
      </x:c>
      <x:c r="V151" s="2" t="s">
        <x:v>154</x:v>
      </x:c>
      <x:c r="W151" s="2"/>
      <x:c r="X151" s="3"/>
      <x:c r="Y151" s="3"/>
      <x:c r="Z151" s="2"/>
      <x:c r="AA151" s="2"/>
      <x:c r="AB151" s="2"/>
      <x:c r="AC151" s="2"/>
      <x:c r="AD151" s="2"/>
      <x:c r="AE151" s="2"/>
      <x:c r="AF151" s="2"/>
      <x:c r="AG151" s="2"/>
      <x:c r="AH151" s="2"/>
      <x:c r="AI151" s="4"/>
      <x:c r="AJ151" s="2"/>
      <x:c r="AK151" s="2" t="s">
        <x:v>106</x:v>
      </x:c>
      <x:c r="AL151" s="2" t="s">
        <x:v>3061</x:v>
      </x:c>
      <x:c r="AM151" s="2">
        <x:v>151</x:v>
      </x:c>
      <x:c r="AN151" s="2">
        <x:v>151</x:v>
      </x:c>
    </x:row>
    <x:row r="152" ht="26">
      <x:c r="A152" s="2" t="s">
        <x:v>6</x:v>
      </x:c>
      <x:c r="B152" s="2" t="s">
        <x:v>14</x:v>
      </x:c>
      <x:c r="C152" s="3">
        <x:v>0</x:v>
      </x:c>
      <x:c r="D152" s="2" t="s">
        <x:v>166</x:v>
      </x:c>
      <x:c r="E152" s="2" t="s">
        <x:v>167</x:v>
      </x:c>
      <x:c r="F152" s="2" t="s">
        <x:v>168</x:v>
      </x:c>
      <x:c r="G152" s="2" t="s">
        <x:v>2805</x:v>
      </x:c>
      <x:c r="H152" s="2" t="s">
        <x:v>96</x:v>
      </x:c>
      <x:c r="I152" s="2" t="s">
        <x:v>169</x:v>
      </x:c>
      <x:c r="J152" s="2" t="s">
        <x:v>170</x:v>
      </x:c>
      <x:c r="K152" s="2"/>
      <x:c r="L152" s="2" t="s">
        <x:v>171</x:v>
      </x:c>
      <x:c r="M152" s="2" t="s">
        <x:v>172</x:v>
      </x:c>
      <x:c r="N152" s="2">
        <x:v>1</x:v>
      </x:c>
      <x:c r="O152" s="2" t="s">
        <x:v>173</x:v>
      </x:c>
      <x:c r="P152" s="2" t="s">
        <x:v>174</x:v>
      </x:c>
      <x:c r="Q152" s="2"/>
      <x:c r="R152" s="3"/>
      <x:c r="S152" s="3"/>
      <x:c r="T152" s="2"/>
      <x:c r="U152" s="2"/>
      <x:c r="V152" s="2"/>
      <x:c r="W152" s="2" t="s">
        <x:v>169</x:v>
      </x:c>
      <x:c r="X152" s="3">
        <x:v>0</x:v>
      </x:c>
      <x:c r="Y152" s="3">
        <x:v>1</x:v>
      </x:c>
      <x:c r="Z152" s="2" t="s">
        <x:v>175</x:v>
      </x:c>
      <x:c r="AA152" s="2"/>
      <x:c r="AB152" s="2"/>
      <x:c r="AC152" s="2"/>
      <x:c r="AD152" s="2"/>
      <x:c r="AE152" s="2"/>
      <x:c r="AF152" s="2"/>
      <x:c r="AG152" s="2"/>
      <x:c r="AH152" s="2"/>
      <x:c r="AI152" s="4"/>
      <x:c r="AJ152" s="2"/>
      <x:c r="AK152" s="2" t="s">
        <x:v>176</x:v>
      </x:c>
      <x:c r="AL152" s="2" t="s">
        <x:v>3061</x:v>
      </x:c>
      <x:c r="AM152" s="2">
        <x:v>2</x:v>
      </x:c>
      <x:c r="AN152" s="2">
        <x:v>2</x:v>
      </x:c>
    </x:row>
    <x:row r="153" ht="26">
      <x:c r="A153" s="2" t="s">
        <x:v>91</x:v>
      </x:c>
      <x:c r="B153" s="2" t="s">
        <x:v>14</x:v>
      </x:c>
      <x:c r="C153" s="3">
        <x:v>1</x:v>
      </x:c>
      <x:c r="D153" s="2" t="s">
        <x:v>177</x:v>
      </x:c>
      <x:c r="E153" s="2" t="s">
        <x:v>178</x:v>
      </x:c>
      <x:c r="F153" s="2" t="s">
        <x:v>179</x:v>
      </x:c>
      <x:c r="G153" s="2" t="s">
        <x:v>158</x:v>
      </x:c>
      <x:c r="H153" s="2" t="s">
        <x:v>96</x:v>
      </x:c>
      <x:c r="I153" s="2" t="s">
        <x:v>169</x:v>
      </x:c>
      <x:c r="J153" s="2" t="s">
        <x:v>181</x:v>
      </x:c>
      <x:c r="K153" s="2"/>
      <x:c r="L153" s="2" t="s">
        <x:v>182</x:v>
      </x:c>
      <x:c r="M153" s="2" t="s">
        <x:v>172</x:v>
      </x:c>
      <x:c r="N153" s="2">
        <x:v>1</x:v>
      </x:c>
      <x:c r="O153" s="2" t="s">
        <x:v>183</x:v>
      </x:c>
      <x:c r="P153" s="2" t="s">
        <x:v>174</x:v>
      </x:c>
      <x:c r="Q153" s="2"/>
      <x:c r="R153" s="3"/>
      <x:c r="S153" s="3"/>
      <x:c r="T153" s="2"/>
      <x:c r="U153" s="2"/>
      <x:c r="V153" s="2"/>
      <x:c r="W153" s="2" t="s">
        <x:v>169</x:v>
      </x:c>
      <x:c r="X153" s="3">
        <x:v>1</x:v>
      </x:c>
      <x:c r="Y153" s="3">
        <x:v>2</x:v>
      </x:c>
      <x:c r="Z153" s="2" t="s">
        <x:v>175</x:v>
      </x:c>
      <x:c r="AA153" s="2"/>
      <x:c r="AB153" s="2"/>
      <x:c r="AC153" s="2"/>
      <x:c r="AD153" s="2"/>
      <x:c r="AE153" s="2"/>
      <x:c r="AF153" s="2"/>
      <x:c r="AG153" s="2"/>
      <x:c r="AH153" s="2"/>
      <x:c r="AI153" s="4"/>
      <x:c r="AJ153" s="2"/>
      <x:c r="AK153" s="2" t="s">
        <x:v>176</x:v>
      </x:c>
      <x:c r="AL153" s="2" t="s">
        <x:v>3061</x:v>
      </x:c>
      <x:c r="AM153" s="2">
        <x:v>3</x:v>
      </x:c>
      <x:c r="AN153" s="2">
        <x:v>3</x:v>
      </x:c>
    </x:row>
    <x:row r="154" ht="26">
      <x:c r="A154" s="2" t="s">
        <x:v>6</x:v>
      </x:c>
      <x:c r="B154" s="2" t="s">
        <x:v>14</x:v>
      </x:c>
      <x:c r="C154" s="3">
        <x:v>2</x:v>
      </x:c>
      <x:c r="D154" s="2" t="s">
        <x:v>184</x:v>
      </x:c>
      <x:c r="E154" s="2" t="s">
        <x:v>185</x:v>
      </x:c>
      <x:c r="F154" s="2" t="s">
        <x:v>186</x:v>
      </x:c>
      <x:c r="G154" s="2" t="s">
        <x:v>3108</x:v>
      </x:c>
      <x:c r="H154" s="2" t="s">
        <x:v>96</x:v>
      </x:c>
      <x:c r="I154" s="2" t="s">
        <x:v>169</x:v>
      </x:c>
      <x:c r="J154" s="2" t="s">
        <x:v>188</x:v>
      </x:c>
      <x:c r="K154" s="2"/>
      <x:c r="L154" s="2" t="s">
        <x:v>189</x:v>
      </x:c>
      <x:c r="M154" s="2" t="s">
        <x:v>172</x:v>
      </x:c>
      <x:c r="N154" s="2">
        <x:v>1</x:v>
      </x:c>
      <x:c r="O154" s="2" t="s">
        <x:v>190</x:v>
      </x:c>
      <x:c r="P154" s="2" t="s">
        <x:v>174</x:v>
      </x:c>
      <x:c r="Q154" s="2"/>
      <x:c r="R154" s="3"/>
      <x:c r="S154" s="3"/>
      <x:c r="T154" s="2"/>
      <x:c r="U154" s="2"/>
      <x:c r="V154" s="2"/>
      <x:c r="W154" s="2" t="s">
        <x:v>169</x:v>
      </x:c>
      <x:c r="X154" s="3">
        <x:v>4</x:v>
      </x:c>
      <x:c r="Y154" s="3">
        <x:v>3</x:v>
      </x:c>
      <x:c r="Z154" s="2" t="s">
        <x:v>191</x:v>
      </x:c>
      <x:c r="AA154" s="2"/>
      <x:c r="AB154" s="2"/>
      <x:c r="AC154" s="2"/>
      <x:c r="AD154" s="2"/>
      <x:c r="AE154" s="2"/>
      <x:c r="AF154" s="2"/>
      <x:c r="AG154" s="2"/>
      <x:c r="AH154" s="2"/>
      <x:c r="AI154" s="4"/>
      <x:c r="AJ154" s="2"/>
      <x:c r="AK154" s="2" t="s">
        <x:v>176</x:v>
      </x:c>
      <x:c r="AL154" s="2" t="s">
        <x:v>3061</x:v>
      </x:c>
      <x:c r="AM154" s="2">
        <x:v>4</x:v>
      </x:c>
      <x:c r="AN154" s="2">
        <x:v>4</x:v>
      </x:c>
    </x:row>
    <x:row r="155" ht="26">
      <x:c r="A155" s="2" t="s">
        <x:v>6</x:v>
      </x:c>
      <x:c r="B155" s="2" t="s">
        <x:v>14</x:v>
      </x:c>
      <x:c r="C155" s="3">
        <x:v>3</x:v>
      </x:c>
      <x:c r="D155" s="2" t="s">
        <x:v>192</x:v>
      </x:c>
      <x:c r="E155" s="2" t="s">
        <x:v>193</x:v>
      </x:c>
      <x:c r="F155" s="2" t="s">
        <x:v>194</x:v>
      </x:c>
      <x:c r="G155" s="2"/>
      <x:c r="H155" s="2" t="s">
        <x:v>96</x:v>
      </x:c>
      <x:c r="I155" s="2" t="s">
        <x:v>169</x:v>
      </x:c>
      <x:c r="J155" s="2" t="s">
        <x:v>195</x:v>
      </x:c>
      <x:c r="K155" s="2"/>
      <x:c r="L155" s="2" t="s">
        <x:v>196</x:v>
      </x:c>
      <x:c r="M155" s="2" t="s">
        <x:v>172</x:v>
      </x:c>
      <x:c r="N155" s="2">
        <x:v>1</x:v>
      </x:c>
      <x:c r="O155" s="2" t="s">
        <x:v>197</x:v>
      </x:c>
      <x:c r="P155" s="2" t="s">
        <x:v>174</x:v>
      </x:c>
      <x:c r="Q155" s="2"/>
      <x:c r="R155" s="3"/>
      <x:c r="S155" s="3"/>
      <x:c r="T155" s="2"/>
      <x:c r="U155" s="2"/>
      <x:c r="V155" s="2"/>
      <x:c r="W155" s="2" t="s">
        <x:v>169</x:v>
      </x:c>
      <x:c r="X155" s="3">
        <x:v>1</x:v>
      </x:c>
      <x:c r="Y155" s="3">
        <x:v>0</x:v>
      </x:c>
      <x:c r="Z155" s="2" t="s">
        <x:v>191</x:v>
      </x:c>
      <x:c r="AA155" s="2"/>
      <x:c r="AB155" s="2"/>
      <x:c r="AC155" s="2"/>
      <x:c r="AD155" s="2"/>
      <x:c r="AE155" s="2"/>
      <x:c r="AF155" s="2"/>
      <x:c r="AG155" s="2"/>
      <x:c r="AH155" s="2"/>
      <x:c r="AI155" s="4"/>
      <x:c r="AJ155" s="2"/>
      <x:c r="AK155" s="2" t="s">
        <x:v>176</x:v>
      </x:c>
      <x:c r="AL155" s="2" t="s">
        <x:v>3061</x:v>
      </x:c>
      <x:c r="AM155" s="2">
        <x:v>5</x:v>
      </x:c>
      <x:c r="AN155" s="2">
        <x:v>5</x:v>
      </x:c>
    </x:row>
    <x:row r="156" ht="26">
      <x:c r="A156" s="2" t="s">
        <x:v>6</x:v>
      </x:c>
      <x:c r="B156" s="2" t="s">
        <x:v>14</x:v>
      </x:c>
      <x:c r="C156" s="3">
        <x:v>4</x:v>
      </x:c>
      <x:c r="D156" s="2" t="s">
        <x:v>166</x:v>
      </x:c>
      <x:c r="E156" s="2" t="s">
        <x:v>198</x:v>
      </x:c>
      <x:c r="F156" s="2" t="s">
        <x:v>168</x:v>
      </x:c>
      <x:c r="G156" s="2" t="s">
        <x:v>968</x:v>
      </x:c>
      <x:c r="H156" s="2" t="s">
        <x:v>96</x:v>
      </x:c>
      <x:c r="I156" s="2" t="s">
        <x:v>200</x:v>
      </x:c>
      <x:c r="J156" s="2" t="s">
        <x:v>170</x:v>
      </x:c>
      <x:c r="K156" s="2"/>
      <x:c r="L156" s="2" t="s">
        <x:v>201</x:v>
      </x:c>
      <x:c r="M156" s="2" t="s">
        <x:v>172</x:v>
      </x:c>
      <x:c r="N156" s="2">
        <x:v>1</x:v>
      </x:c>
      <x:c r="O156" s="2" t="s">
        <x:v>202</x:v>
      </x:c>
      <x:c r="P156" s="2" t="s">
        <x:v>174</x:v>
      </x:c>
      <x:c r="Q156" s="2"/>
      <x:c r="R156" s="3"/>
      <x:c r="S156" s="3"/>
      <x:c r="T156" s="2"/>
      <x:c r="U156" s="2"/>
      <x:c r="V156" s="2"/>
      <x:c r="W156" s="2" t="s">
        <x:v>200</x:v>
      </x:c>
      <x:c r="X156" s="3">
        <x:v>0</x:v>
      </x:c>
      <x:c r="Y156" s="3">
        <x:v>1</x:v>
      </x:c>
      <x:c r="Z156" s="2" t="s">
        <x:v>175</x:v>
      </x:c>
      <x:c r="AA156" s="2"/>
      <x:c r="AB156" s="2"/>
      <x:c r="AC156" s="2"/>
      <x:c r="AD156" s="2"/>
      <x:c r="AE156" s="2"/>
      <x:c r="AF156" s="2"/>
      <x:c r="AG156" s="2"/>
      <x:c r="AH156" s="2"/>
      <x:c r="AI156" s="4"/>
      <x:c r="AJ156" s="2"/>
      <x:c r="AK156" s="2" t="s">
        <x:v>176</x:v>
      </x:c>
      <x:c r="AL156" s="2" t="s">
        <x:v>3061</x:v>
      </x:c>
      <x:c r="AM156" s="2">
        <x:v>6</x:v>
      </x:c>
      <x:c r="AN156" s="2">
        <x:v>6</x:v>
      </x:c>
    </x:row>
    <x:row r="157" ht="26">
      <x:c r="A157" s="2" t="s">
        <x:v>91</x:v>
      </x:c>
      <x:c r="B157" s="2" t="s">
        <x:v>14</x:v>
      </x:c>
      <x:c r="C157" s="3">
        <x:v>5</x:v>
      </x:c>
      <x:c r="D157" s="2" t="s">
        <x:v>177</x:v>
      </x:c>
      <x:c r="E157" s="2" t="s">
        <x:v>203</x:v>
      </x:c>
      <x:c r="F157" s="2" t="s">
        <x:v>179</x:v>
      </x:c>
      <x:c r="G157" s="2" t="s">
        <x:v>158</x:v>
      </x:c>
      <x:c r="H157" s="2" t="s">
        <x:v>96</x:v>
      </x:c>
      <x:c r="I157" s="2" t="s">
        <x:v>200</x:v>
      </x:c>
      <x:c r="J157" s="2" t="s">
        <x:v>181</x:v>
      </x:c>
      <x:c r="K157" s="2"/>
      <x:c r="L157" s="2" t="s">
        <x:v>205</x:v>
      </x:c>
      <x:c r="M157" s="2" t="s">
        <x:v>172</x:v>
      </x:c>
      <x:c r="N157" s="2">
        <x:v>1</x:v>
      </x:c>
      <x:c r="O157" s="2" t="s">
        <x:v>206</x:v>
      </x:c>
      <x:c r="P157" s="2" t="s">
        <x:v>174</x:v>
      </x:c>
      <x:c r="Q157" s="2"/>
      <x:c r="R157" s="3"/>
      <x:c r="S157" s="3"/>
      <x:c r="T157" s="2"/>
      <x:c r="U157" s="2"/>
      <x:c r="V157" s="2"/>
      <x:c r="W157" s="2" t="s">
        <x:v>200</x:v>
      </x:c>
      <x:c r="X157" s="3">
        <x:v>1</x:v>
      </x:c>
      <x:c r="Y157" s="3">
        <x:v>2</x:v>
      </x:c>
      <x:c r="Z157" s="2" t="s">
        <x:v>175</x:v>
      </x:c>
      <x:c r="AA157" s="2"/>
      <x:c r="AB157" s="2"/>
      <x:c r="AC157" s="2"/>
      <x:c r="AD157" s="2"/>
      <x:c r="AE157" s="2"/>
      <x:c r="AF157" s="2"/>
      <x:c r="AG157" s="2"/>
      <x:c r="AH157" s="2"/>
      <x:c r="AI157" s="4"/>
      <x:c r="AJ157" s="2"/>
      <x:c r="AK157" s="2" t="s">
        <x:v>176</x:v>
      </x:c>
      <x:c r="AL157" s="2" t="s">
        <x:v>3061</x:v>
      </x:c>
      <x:c r="AM157" s="2">
        <x:v>7</x:v>
      </x:c>
      <x:c r="AN157" s="2">
        <x:v>7</x:v>
      </x:c>
    </x:row>
    <x:row r="158" ht="26">
      <x:c r="A158" s="2" t="s">
        <x:v>91</x:v>
      </x:c>
      <x:c r="B158" s="2" t="s">
        <x:v>14</x:v>
      </x:c>
      <x:c r="C158" s="3">
        <x:v>6</x:v>
      </x:c>
      <x:c r="D158" s="2" t="s">
        <x:v>184</x:v>
      </x:c>
      <x:c r="E158" s="2" t="s">
        <x:v>207</x:v>
      </x:c>
      <x:c r="F158" s="2" t="s">
        <x:v>186</x:v>
      </x:c>
      <x:c r="G158" s="2" t="s">
        <x:v>3109</x:v>
      </x:c>
      <x:c r="H158" s="2" t="s">
        <x:v>96</x:v>
      </x:c>
      <x:c r="I158" s="2" t="s">
        <x:v>200</x:v>
      </x:c>
      <x:c r="J158" s="2" t="s">
        <x:v>188</x:v>
      </x:c>
      <x:c r="K158" s="2"/>
      <x:c r="L158" s="2" t="s">
        <x:v>209</x:v>
      </x:c>
      <x:c r="M158" s="2" t="s">
        <x:v>172</x:v>
      </x:c>
      <x:c r="N158" s="2">
        <x:v>1</x:v>
      </x:c>
      <x:c r="O158" s="2" t="s">
        <x:v>210</x:v>
      </x:c>
      <x:c r="P158" s="2" t="s">
        <x:v>174</x:v>
      </x:c>
      <x:c r="Q158" s="2"/>
      <x:c r="R158" s="3"/>
      <x:c r="S158" s="3"/>
      <x:c r="T158" s="2"/>
      <x:c r="U158" s="2"/>
      <x:c r="V158" s="2"/>
      <x:c r="W158" s="2" t="s">
        <x:v>200</x:v>
      </x:c>
      <x:c r="X158" s="3">
        <x:v>4</x:v>
      </x:c>
      <x:c r="Y158" s="3">
        <x:v>3</x:v>
      </x:c>
      <x:c r="Z158" s="2" t="s">
        <x:v>191</x:v>
      </x:c>
      <x:c r="AA158" s="2"/>
      <x:c r="AB158" s="2"/>
      <x:c r="AC158" s="2"/>
      <x:c r="AD158" s="2"/>
      <x:c r="AE158" s="2"/>
      <x:c r="AF158" s="2"/>
      <x:c r="AG158" s="2"/>
      <x:c r="AH158" s="2"/>
      <x:c r="AI158" s="4"/>
      <x:c r="AJ158" s="2"/>
      <x:c r="AK158" s="2" t="s">
        <x:v>176</x:v>
      </x:c>
      <x:c r="AL158" s="2" t="s">
        <x:v>3061</x:v>
      </x:c>
      <x:c r="AM158" s="2">
        <x:v>8</x:v>
      </x:c>
      <x:c r="AN158" s="2">
        <x:v>8</x:v>
      </x:c>
    </x:row>
    <x:row r="159" ht="26">
      <x:c r="A159" s="2" t="s">
        <x:v>6</x:v>
      </x:c>
      <x:c r="B159" s="2" t="s">
        <x:v>14</x:v>
      </x:c>
      <x:c r="C159" s="3">
        <x:v>7</x:v>
      </x:c>
      <x:c r="D159" s="2" t="s">
        <x:v>192</x:v>
      </x:c>
      <x:c r="E159" s="2" t="s">
        <x:v>211</x:v>
      </x:c>
      <x:c r="F159" s="2" t="s">
        <x:v>194</x:v>
      </x:c>
      <x:c r="G159" s="2"/>
      <x:c r="H159" s="2" t="s">
        <x:v>96</x:v>
      </x:c>
      <x:c r="I159" s="2" t="s">
        <x:v>200</x:v>
      </x:c>
      <x:c r="J159" s="2" t="s">
        <x:v>195</x:v>
      </x:c>
      <x:c r="K159" s="2"/>
      <x:c r="L159" s="2" t="s">
        <x:v>212</x:v>
      </x:c>
      <x:c r="M159" s="2" t="s">
        <x:v>172</x:v>
      </x:c>
      <x:c r="N159" s="2">
        <x:v>1</x:v>
      </x:c>
      <x:c r="O159" s="2" t="s">
        <x:v>213</x:v>
      </x:c>
      <x:c r="P159" s="2" t="s">
        <x:v>174</x:v>
      </x:c>
      <x:c r="Q159" s="2"/>
      <x:c r="R159" s="3"/>
      <x:c r="S159" s="3"/>
      <x:c r="T159" s="2"/>
      <x:c r="U159" s="2"/>
      <x:c r="V159" s="2"/>
      <x:c r="W159" s="2" t="s">
        <x:v>200</x:v>
      </x:c>
      <x:c r="X159" s="3">
        <x:v>1</x:v>
      </x:c>
      <x:c r="Y159" s="3">
        <x:v>0</x:v>
      </x:c>
      <x:c r="Z159" s="2" t="s">
        <x:v>191</x:v>
      </x:c>
      <x:c r="AA159" s="2"/>
      <x:c r="AB159" s="2"/>
      <x:c r="AC159" s="2"/>
      <x:c r="AD159" s="2"/>
      <x:c r="AE159" s="2"/>
      <x:c r="AF159" s="2"/>
      <x:c r="AG159" s="2"/>
      <x:c r="AH159" s="2"/>
      <x:c r="AI159" s="4"/>
      <x:c r="AJ159" s="2"/>
      <x:c r="AK159" s="2" t="s">
        <x:v>176</x:v>
      </x:c>
      <x:c r="AL159" s="2" t="s">
        <x:v>3061</x:v>
      </x:c>
      <x:c r="AM159" s="2">
        <x:v>9</x:v>
      </x:c>
      <x:c r="AN159" s="2">
        <x:v>9</x:v>
      </x:c>
    </x:row>
    <x:row r="160" ht="26">
      <x:c r="A160" s="2" t="s">
        <x:v>6</x:v>
      </x:c>
      <x:c r="B160" s="2" t="s">
        <x:v>14</x:v>
      </x:c>
      <x:c r="C160" s="3">
        <x:v>8</x:v>
      </x:c>
      <x:c r="D160" s="2" t="s">
        <x:v>166</x:v>
      </x:c>
      <x:c r="E160" s="2" t="s">
        <x:v>214</x:v>
      </x:c>
      <x:c r="F160" s="2" t="s">
        <x:v>168</x:v>
      </x:c>
      <x:c r="G160" s="2" t="s">
        <x:v>2435</x:v>
      </x:c>
      <x:c r="H160" s="2" t="s">
        <x:v>96</x:v>
      </x:c>
      <x:c r="I160" s="2" t="s">
        <x:v>216</x:v>
      </x:c>
      <x:c r="J160" s="2" t="s">
        <x:v>170</x:v>
      </x:c>
      <x:c r="K160" s="2"/>
      <x:c r="L160" s="2" t="s">
        <x:v>217</x:v>
      </x:c>
      <x:c r="M160" s="2" t="s">
        <x:v>172</x:v>
      </x:c>
      <x:c r="N160" s="2">
        <x:v>1</x:v>
      </x:c>
      <x:c r="O160" s="2" t="s">
        <x:v>218</x:v>
      </x:c>
      <x:c r="P160" s="2" t="s">
        <x:v>174</x:v>
      </x:c>
      <x:c r="Q160" s="2"/>
      <x:c r="R160" s="3"/>
      <x:c r="S160" s="3"/>
      <x:c r="T160" s="2"/>
      <x:c r="U160" s="2"/>
      <x:c r="V160" s="2"/>
      <x:c r="W160" s="2" t="s">
        <x:v>216</x:v>
      </x:c>
      <x:c r="X160" s="3">
        <x:v>0</x:v>
      </x:c>
      <x:c r="Y160" s="3">
        <x:v>1</x:v>
      </x:c>
      <x:c r="Z160" s="2" t="s">
        <x:v>175</x:v>
      </x:c>
      <x:c r="AA160" s="2"/>
      <x:c r="AB160" s="2"/>
      <x:c r="AC160" s="2"/>
      <x:c r="AD160" s="2"/>
      <x:c r="AE160" s="2"/>
      <x:c r="AF160" s="2"/>
      <x:c r="AG160" s="2"/>
      <x:c r="AH160" s="2"/>
      <x:c r="AI160" s="4"/>
      <x:c r="AJ160" s="2"/>
      <x:c r="AK160" s="2" t="s">
        <x:v>176</x:v>
      </x:c>
      <x:c r="AL160" s="2" t="s">
        <x:v>3061</x:v>
      </x:c>
      <x:c r="AM160" s="2">
        <x:v>10</x:v>
      </x:c>
      <x:c r="AN160" s="2">
        <x:v>10</x:v>
      </x:c>
    </x:row>
    <x:row r="161" ht="26">
      <x:c r="A161" s="2" t="s">
        <x:v>91</x:v>
      </x:c>
      <x:c r="B161" s="2" t="s">
        <x:v>14</x:v>
      </x:c>
      <x:c r="C161" s="3">
        <x:v>9</x:v>
      </x:c>
      <x:c r="D161" s="2" t="s">
        <x:v>177</x:v>
      </x:c>
      <x:c r="E161" s="2" t="s">
        <x:v>193</x:v>
      </x:c>
      <x:c r="F161" s="2" t="s">
        <x:v>179</x:v>
      </x:c>
      <x:c r="G161" s="2" t="s">
        <x:v>158</x:v>
      </x:c>
      <x:c r="H161" s="2" t="s">
        <x:v>96</x:v>
      </x:c>
      <x:c r="I161" s="2" t="s">
        <x:v>216</x:v>
      </x:c>
      <x:c r="J161" s="2" t="s">
        <x:v>181</x:v>
      </x:c>
      <x:c r="K161" s="2"/>
      <x:c r="L161" s="2" t="s">
        <x:v>220</x:v>
      </x:c>
      <x:c r="M161" s="2" t="s">
        <x:v>172</x:v>
      </x:c>
      <x:c r="N161" s="2">
        <x:v>1</x:v>
      </x:c>
      <x:c r="O161" s="2" t="s">
        <x:v>221</x:v>
      </x:c>
      <x:c r="P161" s="2" t="s">
        <x:v>174</x:v>
      </x:c>
      <x:c r="Q161" s="2"/>
      <x:c r="R161" s="3"/>
      <x:c r="S161" s="3"/>
      <x:c r="T161" s="2"/>
      <x:c r="U161" s="2"/>
      <x:c r="V161" s="2"/>
      <x:c r="W161" s="2" t="s">
        <x:v>216</x:v>
      </x:c>
      <x:c r="X161" s="3">
        <x:v>1</x:v>
      </x:c>
      <x:c r="Y161" s="3">
        <x:v>2</x:v>
      </x:c>
      <x:c r="Z161" s="2" t="s">
        <x:v>175</x:v>
      </x:c>
      <x:c r="AA161" s="2"/>
      <x:c r="AB161" s="2"/>
      <x:c r="AC161" s="2"/>
      <x:c r="AD161" s="2"/>
      <x:c r="AE161" s="2"/>
      <x:c r="AF161" s="2"/>
      <x:c r="AG161" s="2"/>
      <x:c r="AH161" s="2"/>
      <x:c r="AI161" s="4"/>
      <x:c r="AJ161" s="2"/>
      <x:c r="AK161" s="2" t="s">
        <x:v>176</x:v>
      </x:c>
      <x:c r="AL161" s="2" t="s">
        <x:v>3061</x:v>
      </x:c>
      <x:c r="AM161" s="2">
        <x:v>11</x:v>
      </x:c>
      <x:c r="AN161" s="2">
        <x:v>11</x:v>
      </x:c>
    </x:row>
    <x:row r="162" ht="26">
      <x:c r="A162" s="2" t="s">
        <x:v>6</x:v>
      </x:c>
      <x:c r="B162" s="2" t="s">
        <x:v>14</x:v>
      </x:c>
      <x:c r="C162" s="3">
        <x:v>10</x:v>
      </x:c>
      <x:c r="D162" s="2" t="s">
        <x:v>184</x:v>
      </x:c>
      <x:c r="E162" s="2" t="s">
        <x:v>973</x:v>
      </x:c>
      <x:c r="F162" s="2" t="s">
        <x:v>186</x:v>
      </x:c>
      <x:c r="G162" s="2" t="s">
        <x:v>3110</x:v>
      </x:c>
      <x:c r="H162" s="2" t="s">
        <x:v>96</x:v>
      </x:c>
      <x:c r="I162" s="2" t="s">
        <x:v>216</x:v>
      </x:c>
      <x:c r="J162" s="2" t="s">
        <x:v>188</x:v>
      </x:c>
      <x:c r="K162" s="2"/>
      <x:c r="L162" s="2" t="s">
        <x:v>975</x:v>
      </x:c>
      <x:c r="M162" s="2" t="s">
        <x:v>172</x:v>
      </x:c>
      <x:c r="N162" s="2">
        <x:v>1</x:v>
      </x:c>
      <x:c r="O162" s="2" t="s">
        <x:v>976</x:v>
      </x:c>
      <x:c r="P162" s="2" t="s">
        <x:v>174</x:v>
      </x:c>
      <x:c r="Q162" s="2"/>
      <x:c r="R162" s="3"/>
      <x:c r="S162" s="3"/>
      <x:c r="T162" s="2"/>
      <x:c r="U162" s="2"/>
      <x:c r="V162" s="2"/>
      <x:c r="W162" s="2" t="s">
        <x:v>216</x:v>
      </x:c>
      <x:c r="X162" s="3">
        <x:v>4</x:v>
      </x:c>
      <x:c r="Y162" s="3">
        <x:v>3</x:v>
      </x:c>
      <x:c r="Z162" s="2" t="s">
        <x:v>191</x:v>
      </x:c>
      <x:c r="AA162" s="2"/>
      <x:c r="AB162" s="2"/>
      <x:c r="AC162" s="2"/>
      <x:c r="AD162" s="2"/>
      <x:c r="AE162" s="2"/>
      <x:c r="AF162" s="2"/>
      <x:c r="AG162" s="2"/>
      <x:c r="AH162" s="2"/>
      <x:c r="AI162" s="4"/>
      <x:c r="AJ162" s="2"/>
      <x:c r="AK162" s="2" t="s">
        <x:v>176</x:v>
      </x:c>
      <x:c r="AL162" s="2" t="s">
        <x:v>3061</x:v>
      </x:c>
      <x:c r="AM162" s="2">
        <x:v>12</x:v>
      </x:c>
      <x:c r="AN162" s="2">
        <x:v>12</x:v>
      </x:c>
    </x:row>
    <x:row r="163" ht="26">
      <x:c r="A163" s="2" t="s">
        <x:v>6</x:v>
      </x:c>
      <x:c r="B163" s="2" t="s">
        <x:v>14</x:v>
      </x:c>
      <x:c r="C163" s="3">
        <x:v>11</x:v>
      </x:c>
      <x:c r="D163" s="2" t="s">
        <x:v>977</x:v>
      </x:c>
      <x:c r="E163" s="2" t="s">
        <x:v>978</x:v>
      </x:c>
      <x:c r="F163" s="2" t="s">
        <x:v>194</x:v>
      </x:c>
      <x:c r="G163" s="2"/>
      <x:c r="H163" s="2" t="s">
        <x:v>96</x:v>
      </x:c>
      <x:c r="I163" s="2" t="s">
        <x:v>216</x:v>
      </x:c>
      <x:c r="J163" s="2" t="s">
        <x:v>195</x:v>
      </x:c>
      <x:c r="K163" s="2"/>
      <x:c r="L163" s="2" t="s">
        <x:v>979</x:v>
      </x:c>
      <x:c r="M163" s="2" t="s">
        <x:v>172</x:v>
      </x:c>
      <x:c r="N163" s="2">
        <x:v>1</x:v>
      </x:c>
      <x:c r="O163" s="2" t="s">
        <x:v>980</x:v>
      </x:c>
      <x:c r="P163" s="2" t="s">
        <x:v>174</x:v>
      </x:c>
      <x:c r="Q163" s="2"/>
      <x:c r="R163" s="3"/>
      <x:c r="S163" s="3"/>
      <x:c r="T163" s="2"/>
      <x:c r="U163" s="2"/>
      <x:c r="V163" s="2"/>
      <x:c r="W163" s="2" t="s">
        <x:v>216</x:v>
      </x:c>
      <x:c r="X163" s="3">
        <x:v>1</x:v>
      </x:c>
      <x:c r="Y163" s="3">
        <x:v>0</x:v>
      </x:c>
      <x:c r="Z163" s="2" t="s">
        <x:v>191</x:v>
      </x:c>
      <x:c r="AA163" s="2"/>
      <x:c r="AB163" s="2"/>
      <x:c r="AC163" s="2"/>
      <x:c r="AD163" s="2"/>
      <x:c r="AE163" s="2"/>
      <x:c r="AF163" s="2"/>
      <x:c r="AG163" s="2"/>
      <x:c r="AH163" s="2"/>
      <x:c r="AI163" s="4"/>
      <x:c r="AJ163" s="2"/>
      <x:c r="AK163" s="2" t="s">
        <x:v>176</x:v>
      </x:c>
      <x:c r="AL163" s="2" t="s">
        <x:v>3061</x:v>
      </x:c>
      <x:c r="AM163" s="2">
        <x:v>13</x:v>
      </x:c>
      <x:c r="AN163" s="2">
        <x:v>13</x:v>
      </x:c>
    </x:row>
    <x:row r="164" ht="26">
      <x:c r="A164" s="2" t="s">
        <x:v>91</x:v>
      </x:c>
      <x:c r="B164" s="2" t="s">
        <x:v>14</x:v>
      </x:c>
      <x:c r="C164" s="3">
        <x:v>12</x:v>
      </x:c>
      <x:c r="D164" s="2" t="s">
        <x:v>166</x:v>
      </x:c>
      <x:c r="E164" s="2" t="s">
        <x:v>981</x:v>
      </x:c>
      <x:c r="F164" s="2" t="s">
        <x:v>168</x:v>
      </x:c>
      <x:c r="G164" s="2" t="s">
        <x:v>3111</x:v>
      </x:c>
      <x:c r="H164" s="2" t="s">
        <x:v>96</x:v>
      </x:c>
      <x:c r="I164" s="2" t="s">
        <x:v>982</x:v>
      </x:c>
      <x:c r="J164" s="2" t="s">
        <x:v>170</x:v>
      </x:c>
      <x:c r="K164" s="2"/>
      <x:c r="L164" s="2" t="s">
        <x:v>983</x:v>
      </x:c>
      <x:c r="M164" s="2" t="s">
        <x:v>172</x:v>
      </x:c>
      <x:c r="N164" s="2">
        <x:v>1</x:v>
      </x:c>
      <x:c r="O164" s="2" t="s">
        <x:v>984</x:v>
      </x:c>
      <x:c r="P164" s="2" t="s">
        <x:v>174</x:v>
      </x:c>
      <x:c r="Q164" s="2"/>
      <x:c r="R164" s="3"/>
      <x:c r="S164" s="3"/>
      <x:c r="T164" s="2"/>
      <x:c r="U164" s="2"/>
      <x:c r="V164" s="2"/>
      <x:c r="W164" s="2" t="s">
        <x:v>982</x:v>
      </x:c>
      <x:c r="X164" s="3">
        <x:v>0</x:v>
      </x:c>
      <x:c r="Y164" s="3">
        <x:v>1</x:v>
      </x:c>
      <x:c r="Z164" s="2" t="s">
        <x:v>175</x:v>
      </x:c>
      <x:c r="AA164" s="2"/>
      <x:c r="AB164" s="2"/>
      <x:c r="AC164" s="2"/>
      <x:c r="AD164" s="2"/>
      <x:c r="AE164" s="2"/>
      <x:c r="AF164" s="2"/>
      <x:c r="AG164" s="2"/>
      <x:c r="AH164" s="2"/>
      <x:c r="AI164" s="4"/>
      <x:c r="AJ164" s="2"/>
      <x:c r="AK164" s="2" t="s">
        <x:v>176</x:v>
      </x:c>
      <x:c r="AL164" s="2" t="s">
        <x:v>3061</x:v>
      </x:c>
      <x:c r="AM164" s="2">
        <x:v>14</x:v>
      </x:c>
      <x:c r="AN164" s="2">
        <x:v>14</x:v>
      </x:c>
    </x:row>
    <x:row r="165" ht="26">
      <x:c r="A165" s="2" t="s">
        <x:v>91</x:v>
      </x:c>
      <x:c r="B165" s="2" t="s">
        <x:v>14</x:v>
      </x:c>
      <x:c r="C165" s="3">
        <x:v>13</x:v>
      </x:c>
      <x:c r="D165" s="2" t="s">
        <x:v>985</x:v>
      </x:c>
      <x:c r="E165" s="2" t="s">
        <x:v>986</x:v>
      </x:c>
      <x:c r="F165" s="2" t="s">
        <x:v>179</x:v>
      </x:c>
      <x:c r="G165" s="2" t="s">
        <x:v>158</x:v>
      </x:c>
      <x:c r="H165" s="2" t="s">
        <x:v>96</x:v>
      </x:c>
      <x:c r="I165" s="2" t="s">
        <x:v>982</x:v>
      </x:c>
      <x:c r="J165" s="2" t="s">
        <x:v>181</x:v>
      </x:c>
      <x:c r="K165" s="2"/>
      <x:c r="L165" s="2" t="s">
        <x:v>987</x:v>
      </x:c>
      <x:c r="M165" s="2" t="s">
        <x:v>172</x:v>
      </x:c>
      <x:c r="N165" s="2">
        <x:v>1</x:v>
      </x:c>
      <x:c r="O165" s="2" t="s">
        <x:v>988</x:v>
      </x:c>
      <x:c r="P165" s="2" t="s">
        <x:v>174</x:v>
      </x:c>
      <x:c r="Q165" s="2"/>
      <x:c r="R165" s="3"/>
      <x:c r="S165" s="3"/>
      <x:c r="T165" s="2"/>
      <x:c r="U165" s="2"/>
      <x:c r="V165" s="2"/>
      <x:c r="W165" s="2" t="s">
        <x:v>982</x:v>
      </x:c>
      <x:c r="X165" s="3">
        <x:v>1</x:v>
      </x:c>
      <x:c r="Y165" s="3">
        <x:v>2</x:v>
      </x:c>
      <x:c r="Z165" s="2" t="s">
        <x:v>175</x:v>
      </x:c>
      <x:c r="AA165" s="2"/>
      <x:c r="AB165" s="2"/>
      <x:c r="AC165" s="2"/>
      <x:c r="AD165" s="2"/>
      <x:c r="AE165" s="2"/>
      <x:c r="AF165" s="2"/>
      <x:c r="AG165" s="2"/>
      <x:c r="AH165" s="2"/>
      <x:c r="AI165" s="4"/>
      <x:c r="AJ165" s="2"/>
      <x:c r="AK165" s="2" t="s">
        <x:v>176</x:v>
      </x:c>
      <x:c r="AL165" s="2" t="s">
        <x:v>3061</x:v>
      </x:c>
      <x:c r="AM165" s="2">
        <x:v>15</x:v>
      </x:c>
      <x:c r="AN165" s="2">
        <x:v>15</x:v>
      </x:c>
    </x:row>
    <x:row r="166" ht="26">
      <x:c r="A166" s="2" t="s">
        <x:v>6</x:v>
      </x:c>
      <x:c r="B166" s="2" t="s">
        <x:v>14</x:v>
      </x:c>
      <x:c r="C166" s="3">
        <x:v>14</x:v>
      </x:c>
      <x:c r="D166" s="2" t="s">
        <x:v>184</x:v>
      </x:c>
      <x:c r="E166" s="2" t="s">
        <x:v>989</x:v>
      </x:c>
      <x:c r="F166" s="2" t="s">
        <x:v>186</x:v>
      </x:c>
      <x:c r="G166" s="2" t="s">
        <x:v>3112</x:v>
      </x:c>
      <x:c r="H166" s="2" t="s">
        <x:v>96</x:v>
      </x:c>
      <x:c r="I166" s="2" t="s">
        <x:v>982</x:v>
      </x:c>
      <x:c r="J166" s="2" t="s">
        <x:v>188</x:v>
      </x:c>
      <x:c r="K166" s="2"/>
      <x:c r="L166" s="2" t="s">
        <x:v>991</x:v>
      </x:c>
      <x:c r="M166" s="2" t="s">
        <x:v>172</x:v>
      </x:c>
      <x:c r="N166" s="2">
        <x:v>1</x:v>
      </x:c>
      <x:c r="O166" s="2" t="s">
        <x:v>992</x:v>
      </x:c>
      <x:c r="P166" s="2" t="s">
        <x:v>174</x:v>
      </x:c>
      <x:c r="Q166" s="2"/>
      <x:c r="R166" s="3"/>
      <x:c r="S166" s="3"/>
      <x:c r="T166" s="2"/>
      <x:c r="U166" s="2"/>
      <x:c r="V166" s="2"/>
      <x:c r="W166" s="2" t="s">
        <x:v>982</x:v>
      </x:c>
      <x:c r="X166" s="3">
        <x:v>4</x:v>
      </x:c>
      <x:c r="Y166" s="3">
        <x:v>3</x:v>
      </x:c>
      <x:c r="Z166" s="2" t="s">
        <x:v>191</x:v>
      </x:c>
      <x:c r="AA166" s="2"/>
      <x:c r="AB166" s="2"/>
      <x:c r="AC166" s="2"/>
      <x:c r="AD166" s="2"/>
      <x:c r="AE166" s="2"/>
      <x:c r="AF166" s="2"/>
      <x:c r="AG166" s="2"/>
      <x:c r="AH166" s="2"/>
      <x:c r="AI166" s="4"/>
      <x:c r="AJ166" s="2"/>
      <x:c r="AK166" s="2" t="s">
        <x:v>176</x:v>
      </x:c>
      <x:c r="AL166" s="2" t="s">
        <x:v>3061</x:v>
      </x:c>
      <x:c r="AM166" s="2">
        <x:v>16</x:v>
      </x:c>
      <x:c r="AN166" s="2">
        <x:v>16</x:v>
      </x:c>
    </x:row>
    <x:row r="167" ht="26">
      <x:c r="A167" s="2" t="s">
        <x:v>91</x:v>
      </x:c>
      <x:c r="B167" s="2" t="s">
        <x:v>14</x:v>
      </x:c>
      <x:c r="C167" s="3">
        <x:v>15</x:v>
      </x:c>
      <x:c r="D167" s="2" t="s">
        <x:v>993</x:v>
      </x:c>
      <x:c r="E167" s="2" t="s">
        <x:v>994</x:v>
      </x:c>
      <x:c r="F167" s="2" t="s">
        <x:v>194</x:v>
      </x:c>
      <x:c r="G167" s="2" t="s">
        <x:v>158</x:v>
      </x:c>
      <x:c r="H167" s="2" t="s">
        <x:v>96</x:v>
      </x:c>
      <x:c r="I167" s="2" t="s">
        <x:v>982</x:v>
      </x:c>
      <x:c r="J167" s="2" t="s">
        <x:v>195</x:v>
      </x:c>
      <x:c r="K167" s="2"/>
      <x:c r="L167" s="2" t="s">
        <x:v>995</x:v>
      </x:c>
      <x:c r="M167" s="2" t="s">
        <x:v>172</x:v>
      </x:c>
      <x:c r="N167" s="2">
        <x:v>1</x:v>
      </x:c>
      <x:c r="O167" s="2" t="s">
        <x:v>996</x:v>
      </x:c>
      <x:c r="P167" s="2" t="s">
        <x:v>174</x:v>
      </x:c>
      <x:c r="Q167" s="2"/>
      <x:c r="R167" s="3"/>
      <x:c r="S167" s="3"/>
      <x:c r="T167" s="2"/>
      <x:c r="U167" s="2"/>
      <x:c r="V167" s="2"/>
      <x:c r="W167" s="2" t="s">
        <x:v>982</x:v>
      </x:c>
      <x:c r="X167" s="3">
        <x:v>1</x:v>
      </x:c>
      <x:c r="Y167" s="3">
        <x:v>0</x:v>
      </x:c>
      <x:c r="Z167" s="2" t="s">
        <x:v>191</x:v>
      </x:c>
      <x:c r="AA167" s="2"/>
      <x:c r="AB167" s="2"/>
      <x:c r="AC167" s="2"/>
      <x:c r="AD167" s="2"/>
      <x:c r="AE167" s="2"/>
      <x:c r="AF167" s="2"/>
      <x:c r="AG167" s="2"/>
      <x:c r="AH167" s="2"/>
      <x:c r="AI167" s="4"/>
      <x:c r="AJ167" s="2"/>
      <x:c r="AK167" s="2" t="s">
        <x:v>176</x:v>
      </x:c>
      <x:c r="AL167" s="2" t="s">
        <x:v>3061</x:v>
      </x:c>
      <x:c r="AM167" s="2">
        <x:v>17</x:v>
      </x:c>
      <x:c r="AN167" s="2">
        <x:v>17</x:v>
      </x:c>
    </x:row>
    <x:row r="168" ht="26">
      <x:c r="A168" s="2" t="s">
        <x:v>91</x:v>
      </x:c>
      <x:c r="B168" s="2" t="s">
        <x:v>14</x:v>
      </x:c>
      <x:c r="C168" s="3">
        <x:v>16</x:v>
      </x:c>
      <x:c r="D168" s="2" t="s">
        <x:v>166</x:v>
      </x:c>
      <x:c r="E168" s="2" t="s">
        <x:v>997</x:v>
      </x:c>
      <x:c r="F168" s="2" t="s">
        <x:v>998</x:v>
      </x:c>
      <x:c r="G168" s="2" t="s">
        <x:v>158</x:v>
      </x:c>
      <x:c r="H168" s="2" t="s">
        <x:v>96</x:v>
      </x:c>
      <x:c r="I168" s="2" t="s">
        <x:v>999</x:v>
      </x:c>
      <x:c r="J168" s="2" t="s">
        <x:v>170</x:v>
      </x:c>
      <x:c r="K168" s="2"/>
      <x:c r="L168" s="2" t="s">
        <x:v>1000</x:v>
      </x:c>
      <x:c r="M168" s="2" t="s">
        <x:v>172</x:v>
      </x:c>
      <x:c r="N168" s="2">
        <x:v>1</x:v>
      </x:c>
      <x:c r="O168" s="2" t="s">
        <x:v>1001</x:v>
      </x:c>
      <x:c r="P168" s="2" t="s">
        <x:v>174</x:v>
      </x:c>
      <x:c r="Q168" s="2"/>
      <x:c r="R168" s="3"/>
      <x:c r="S168" s="3"/>
      <x:c r="T168" s="2"/>
      <x:c r="U168" s="2"/>
      <x:c r="V168" s="2"/>
      <x:c r="W168" s="2" t="s">
        <x:v>999</x:v>
      </x:c>
      <x:c r="X168" s="3">
        <x:v>0</x:v>
      </x:c>
      <x:c r="Y168" s="3">
        <x:v>1</x:v>
      </x:c>
      <x:c r="Z168" s="2" t="s">
        <x:v>175</x:v>
      </x:c>
      <x:c r="AA168" s="2"/>
      <x:c r="AB168" s="2"/>
      <x:c r="AC168" s="2"/>
      <x:c r="AD168" s="2"/>
      <x:c r="AE168" s="2"/>
      <x:c r="AF168" s="2"/>
      <x:c r="AG168" s="2"/>
      <x:c r="AH168" s="2"/>
      <x:c r="AI168" s="4"/>
      <x:c r="AJ168" s="2"/>
      <x:c r="AK168" s="2" t="s">
        <x:v>176</x:v>
      </x:c>
      <x:c r="AL168" s="2" t="s">
        <x:v>3061</x:v>
      </x:c>
      <x:c r="AM168" s="2">
        <x:v>18</x:v>
      </x:c>
      <x:c r="AN168" s="2">
        <x:v>18</x:v>
      </x:c>
    </x:row>
    <x:row r="169" ht="26">
      <x:c r="A169" s="2" t="s">
        <x:v>91</x:v>
      </x:c>
      <x:c r="B169" s="2" t="s">
        <x:v>14</x:v>
      </x:c>
      <x:c r="C169" s="3">
        <x:v>17</x:v>
      </x:c>
      <x:c r="D169" s="2" t="s">
        <x:v>985</x:v>
      </x:c>
      <x:c r="E169" s="2" t="s">
        <x:v>978</x:v>
      </x:c>
      <x:c r="F169" s="2" t="s">
        <x:v>1002</x:v>
      </x:c>
      <x:c r="G169" s="2" t="s">
        <x:v>158</x:v>
      </x:c>
      <x:c r="H169" s="2" t="s">
        <x:v>96</x:v>
      </x:c>
      <x:c r="I169" s="2" t="s">
        <x:v>999</x:v>
      </x:c>
      <x:c r="J169" s="2" t="s">
        <x:v>181</x:v>
      </x:c>
      <x:c r="K169" s="2"/>
      <x:c r="L169" s="2" t="s">
        <x:v>1003</x:v>
      </x:c>
      <x:c r="M169" s="2" t="s">
        <x:v>172</x:v>
      </x:c>
      <x:c r="N169" s="2">
        <x:v>1</x:v>
      </x:c>
      <x:c r="O169" s="2" t="s">
        <x:v>1004</x:v>
      </x:c>
      <x:c r="P169" s="2" t="s">
        <x:v>174</x:v>
      </x:c>
      <x:c r="Q169" s="2"/>
      <x:c r="R169" s="3"/>
      <x:c r="S169" s="3"/>
      <x:c r="T169" s="2"/>
      <x:c r="U169" s="2"/>
      <x:c r="V169" s="2"/>
      <x:c r="W169" s="2" t="s">
        <x:v>999</x:v>
      </x:c>
      <x:c r="X169" s="3">
        <x:v>1</x:v>
      </x:c>
      <x:c r="Y169" s="3">
        <x:v>2</x:v>
      </x:c>
      <x:c r="Z169" s="2" t="s">
        <x:v>175</x:v>
      </x:c>
      <x:c r="AA169" s="2"/>
      <x:c r="AB169" s="2"/>
      <x:c r="AC169" s="2"/>
      <x:c r="AD169" s="2"/>
      <x:c r="AE169" s="2"/>
      <x:c r="AF169" s="2"/>
      <x:c r="AG169" s="2"/>
      <x:c r="AH169" s="2"/>
      <x:c r="AI169" s="4"/>
      <x:c r="AJ169" s="2"/>
      <x:c r="AK169" s="2" t="s">
        <x:v>176</x:v>
      </x:c>
      <x:c r="AL169" s="2" t="s">
        <x:v>3061</x:v>
      </x:c>
      <x:c r="AM169" s="2">
        <x:v>19</x:v>
      </x:c>
      <x:c r="AN169" s="2">
        <x:v>19</x:v>
      </x:c>
    </x:row>
    <x:row r="170" ht="26">
      <x:c r="A170" s="2" t="s">
        <x:v>6</x:v>
      </x:c>
      <x:c r="B170" s="2" t="s">
        <x:v>14</x:v>
      </x:c>
      <x:c r="C170" s="3">
        <x:v>18</x:v>
      </x:c>
      <x:c r="D170" s="2" t="s">
        <x:v>184</x:v>
      </x:c>
      <x:c r="E170" s="2" t="s">
        <x:v>989</x:v>
      </x:c>
      <x:c r="F170" s="2" t="s">
        <x:v>186</x:v>
      </x:c>
      <x:c r="G170" s="2" t="s">
        <x:v>3110</x:v>
      </x:c>
      <x:c r="H170" s="2" t="s">
        <x:v>96</x:v>
      </x:c>
      <x:c r="I170" s="2" t="s">
        <x:v>999</x:v>
      </x:c>
      <x:c r="J170" s="2" t="s">
        <x:v>188</x:v>
      </x:c>
      <x:c r="K170" s="2"/>
      <x:c r="L170" s="2" t="s">
        <x:v>1005</x:v>
      </x:c>
      <x:c r="M170" s="2" t="s">
        <x:v>172</x:v>
      </x:c>
      <x:c r="N170" s="2">
        <x:v>1</x:v>
      </x:c>
      <x:c r="O170" s="2" t="s">
        <x:v>1006</x:v>
      </x:c>
      <x:c r="P170" s="2" t="s">
        <x:v>174</x:v>
      </x:c>
      <x:c r="Q170" s="2"/>
      <x:c r="R170" s="3"/>
      <x:c r="S170" s="3"/>
      <x:c r="T170" s="2"/>
      <x:c r="U170" s="2"/>
      <x:c r="V170" s="2"/>
      <x:c r="W170" s="2" t="s">
        <x:v>999</x:v>
      </x:c>
      <x:c r="X170" s="3">
        <x:v>4</x:v>
      </x:c>
      <x:c r="Y170" s="3">
        <x:v>3</x:v>
      </x:c>
      <x:c r="Z170" s="2" t="s">
        <x:v>191</x:v>
      </x:c>
      <x:c r="AA170" s="2"/>
      <x:c r="AB170" s="2"/>
      <x:c r="AC170" s="2"/>
      <x:c r="AD170" s="2"/>
      <x:c r="AE170" s="2"/>
      <x:c r="AF170" s="2"/>
      <x:c r="AG170" s="2"/>
      <x:c r="AH170" s="2"/>
      <x:c r="AI170" s="4"/>
      <x:c r="AJ170" s="2"/>
      <x:c r="AK170" s="2" t="s">
        <x:v>176</x:v>
      </x:c>
      <x:c r="AL170" s="2" t="s">
        <x:v>3061</x:v>
      </x:c>
      <x:c r="AM170" s="2">
        <x:v>20</x:v>
      </x:c>
      <x:c r="AN170" s="2">
        <x:v>20</x:v>
      </x:c>
    </x:row>
    <x:row r="171" ht="26">
      <x:c r="A171" s="2" t="s">
        <x:v>6</x:v>
      </x:c>
      <x:c r="B171" s="2" t="s">
        <x:v>14</x:v>
      </x:c>
      <x:c r="C171" s="3">
        <x:v>19</x:v>
      </x:c>
      <x:c r="D171" s="2" t="s">
        <x:v>977</x:v>
      </x:c>
      <x:c r="E171" s="2" t="s">
        <x:v>1007</x:v>
      </x:c>
      <x:c r="F171" s="2" t="s">
        <x:v>194</x:v>
      </x:c>
      <x:c r="G171" s="2"/>
      <x:c r="H171" s="2" t="s">
        <x:v>96</x:v>
      </x:c>
      <x:c r="I171" s="2" t="s">
        <x:v>999</x:v>
      </x:c>
      <x:c r="J171" s="2" t="s">
        <x:v>195</x:v>
      </x:c>
      <x:c r="K171" s="2"/>
      <x:c r="L171" s="2" t="s">
        <x:v>1008</x:v>
      </x:c>
      <x:c r="M171" s="2" t="s">
        <x:v>172</x:v>
      </x:c>
      <x:c r="N171" s="2">
        <x:v>1</x:v>
      </x:c>
      <x:c r="O171" s="2" t="s">
        <x:v>1009</x:v>
      </x:c>
      <x:c r="P171" s="2" t="s">
        <x:v>174</x:v>
      </x:c>
      <x:c r="Q171" s="2"/>
      <x:c r="R171" s="3"/>
      <x:c r="S171" s="3"/>
      <x:c r="T171" s="2"/>
      <x:c r="U171" s="2"/>
      <x:c r="V171" s="2"/>
      <x:c r="W171" s="2" t="s">
        <x:v>999</x:v>
      </x:c>
      <x:c r="X171" s="3">
        <x:v>1</x:v>
      </x:c>
      <x:c r="Y171" s="3">
        <x:v>0</x:v>
      </x:c>
      <x:c r="Z171" s="2" t="s">
        <x:v>191</x:v>
      </x:c>
      <x:c r="AA171" s="2"/>
      <x:c r="AB171" s="2"/>
      <x:c r="AC171" s="2"/>
      <x:c r="AD171" s="2"/>
      <x:c r="AE171" s="2"/>
      <x:c r="AF171" s="2"/>
      <x:c r="AG171" s="2"/>
      <x:c r="AH171" s="2"/>
      <x:c r="AI171" s="4"/>
      <x:c r="AJ171" s="2"/>
      <x:c r="AK171" s="2" t="s">
        <x:v>176</x:v>
      </x:c>
      <x:c r="AL171" s="2" t="s">
        <x:v>3061</x:v>
      </x:c>
      <x:c r="AM171" s="2">
        <x:v>21</x:v>
      </x:c>
      <x:c r="AN171" s="2">
        <x:v>21</x:v>
      </x:c>
    </x:row>
    <x:row r="172" ht="39">
      <x:c r="A172" s="2" t="s">
        <x:v>91</x:v>
      </x:c>
      <x:c r="B172" s="2" t="s">
        <x:v>14</x:v>
      </x:c>
      <x:c r="C172" s="3">
        <x:v>20</x:v>
      </x:c>
      <x:c r="D172" s="2" t="s">
        <x:v>166</x:v>
      </x:c>
      <x:c r="E172" s="2" t="s">
        <x:v>1010</x:v>
      </x:c>
      <x:c r="F172" s="2" t="s">
        <x:v>1011</x:v>
      </x:c>
      <x:c r="G172" s="2" t="s">
        <x:v>158</x:v>
      </x:c>
      <x:c r="H172" s="2" t="s">
        <x:v>618</x:v>
      </x:c>
      <x:c r="I172" s="2" t="s">
        <x:v>1012</x:v>
      </x:c>
      <x:c r="J172" s="2" t="s">
        <x:v>1013</x:v>
      </x:c>
      <x:c r="K172" s="2"/>
      <x:c r="L172" s="2" t="s">
        <x:v>1014</x:v>
      </x:c>
      <x:c r="M172" s="2" t="s">
        <x:v>1015</x:v>
      </x:c>
      <x:c r="N172" s="2">
        <x:v>3</x:v>
      </x:c>
      <x:c r="O172" s="2" t="s">
        <x:v>1016</x:v>
      </x:c>
      <x:c r="P172" s="2" t="s">
        <x:v>1017</x:v>
      </x:c>
      <x:c r="Q172" s="2"/>
      <x:c r="R172" s="3"/>
      <x:c r="S172" s="3"/>
      <x:c r="T172" s="2"/>
      <x:c r="U172" s="2"/>
      <x:c r="V172" s="2"/>
      <x:c r="W172" s="2" t="s">
        <x:v>1018</x:v>
      </x:c>
      <x:c r="X172" s="3">
        <x:v>2</x:v>
      </x:c>
      <x:c r="Y172" s="3">
        <x:v>1</x:v>
      </x:c>
      <x:c r="Z172" s="2" t="s">
        <x:v>191</x:v>
      </x:c>
      <x:c r="AA172" s="2"/>
      <x:c r="AB172" s="2"/>
      <x:c r="AC172" s="2"/>
      <x:c r="AD172" s="2"/>
      <x:c r="AE172" s="2"/>
      <x:c r="AF172" s="2"/>
      <x:c r="AG172" s="2"/>
      <x:c r="AH172" s="2"/>
      <x:c r="AI172" s="4"/>
      <x:c r="AJ172" s="2"/>
      <x:c r="AK172" s="2" t="s">
        <x:v>176</x:v>
      </x:c>
      <x:c r="AL172" s="2" t="s">
        <x:v>3061</x:v>
      </x:c>
      <x:c r="AM172" s="2">
        <x:v>22</x:v>
      </x:c>
      <x:c r="AN172" s="2">
        <x:v>22</x:v>
      </x:c>
    </x:row>
    <x:row r="173" ht="26">
      <x:c r="A173" s="2" t="s">
        <x:v>6</x:v>
      </x:c>
      <x:c r="B173" s="2" t="s">
        <x:v>14</x:v>
      </x:c>
      <x:c r="C173" s="3">
        <x:v>21</x:v>
      </x:c>
      <x:c r="D173" s="2" t="s">
        <x:v>1019</x:v>
      </x:c>
      <x:c r="E173" s="2" t="s">
        <x:v>1010</x:v>
      </x:c>
      <x:c r="F173" s="2" t="s">
        <x:v>1020</x:v>
      </x:c>
      <x:c r="G173" s="2"/>
      <x:c r="H173" s="2" t="s">
        <x:v>627</x:v>
      </x:c>
      <x:c r="I173" s="2" t="s">
        <x:v>1012</x:v>
      </x:c>
      <x:c r="J173" s="2" t="s">
        <x:v>1021</x:v>
      </x:c>
      <x:c r="K173" s="2" t="n">
        <x:v>20</x:v>
      </x:c>
      <x:c r="L173" s="2" t="s">
        <x:v>1022</x:v>
      </x:c>
      <x:c r="M173" s="2" t="s">
        <x:v>1023</x:v>
      </x:c>
      <x:c r="N173" s="2">
        <x:v>3</x:v>
      </x:c>
      <x:c r="O173" s="2" t="s">
        <x:v>1024</x:v>
      </x:c>
      <x:c r="P173" s="2" t="s">
        <x:v>1025</x:v>
      </x:c>
      <x:c r="Q173" s="2"/>
      <x:c r="R173" s="3"/>
      <x:c r="S173" s="3"/>
      <x:c r="T173" s="2"/>
      <x:c r="U173" s="2"/>
      <x:c r="V173" s="2"/>
      <x:c r="W173" s="2" t="s">
        <x:v>1018</x:v>
      </x:c>
      <x:c r="X173" s="3">
        <x:v>2</x:v>
      </x:c>
      <x:c r="Y173" s="3">
        <x:v>1</x:v>
      </x:c>
      <x:c r="Z173" s="2" t="s">
        <x:v>191</x:v>
      </x:c>
      <x:c r="AA173" s="2"/>
      <x:c r="AB173" s="2"/>
      <x:c r="AC173" s="2"/>
      <x:c r="AD173" s="2"/>
      <x:c r="AE173" s="2"/>
      <x:c r="AF173" s="2"/>
      <x:c r="AG173" s="2"/>
      <x:c r="AH173" s="2"/>
      <x:c r="AI173" s="4"/>
      <x:c r="AJ173" s="2"/>
      <x:c r="AK173" s="2" t="s">
        <x:v>176</x:v>
      </x:c>
      <x:c r="AL173" s="2" t="s">
        <x:v>3061</x:v>
      </x:c>
      <x:c r="AM173" s="2">
        <x:v>23</x:v>
      </x:c>
      <x:c r="AN173" s="2">
        <x:v>23</x:v>
      </x:c>
    </x:row>
    <x:row r="174" ht="26">
      <x:c r="A174" s="2" t="s">
        <x:v>6</x:v>
      </x:c>
      <x:c r="B174" s="2" t="s">
        <x:v>14</x:v>
      </x:c>
      <x:c r="C174" s="3">
        <x:v>22</x:v>
      </x:c>
      <x:c r="D174" s="2" t="s">
        <x:v>1026</x:v>
      </x:c>
      <x:c r="E174" s="2" t="s">
        <x:v>1010</x:v>
      </x:c>
      <x:c r="F174" s="2" t="s">
        <x:v>1027</x:v>
      </x:c>
      <x:c r="G174" s="2"/>
      <x:c r="H174" s="2" t="s">
        <x:v>627</x:v>
      </x:c>
      <x:c r="I174" s="2" t="s">
        <x:v>1012</x:v>
      </x:c>
      <x:c r="J174" s="2" t="s">
        <x:v>1028</x:v>
      </x:c>
      <x:c r="K174" s="2"/>
      <x:c r="L174" s="2" t="s">
        <x:v>1029</x:v>
      </x:c>
      <x:c r="M174" s="2" t="s">
        <x:v>1023</x:v>
      </x:c>
      <x:c r="N174" s="2">
        <x:v>3</x:v>
      </x:c>
      <x:c r="O174" s="2" t="s">
        <x:v>1024</x:v>
      </x:c>
      <x:c r="P174" s="2" t="s">
        <x:v>1025</x:v>
      </x:c>
      <x:c r="Q174" s="2"/>
      <x:c r="R174" s="3"/>
      <x:c r="S174" s="3"/>
      <x:c r="T174" s="2"/>
      <x:c r="U174" s="2"/>
      <x:c r="V174" s="2"/>
      <x:c r="W174" s="2" t="s">
        <x:v>1030</x:v>
      </x:c>
      <x:c r="X174" s="3">
        <x:v>2</x:v>
      </x:c>
      <x:c r="Y174" s="3">
        <x:v>3</x:v>
      </x:c>
      <x:c r="Z174" s="2" t="s">
        <x:v>175</x:v>
      </x:c>
      <x:c r="AA174" s="2"/>
      <x:c r="AB174" s="2"/>
      <x:c r="AC174" s="2"/>
      <x:c r="AD174" s="2"/>
      <x:c r="AE174" s="2"/>
      <x:c r="AF174" s="2"/>
      <x:c r="AG174" s="2"/>
      <x:c r="AH174" s="2"/>
      <x:c r="AI174" s="4"/>
      <x:c r="AJ174" s="2"/>
      <x:c r="AK174" s="2" t="s">
        <x:v>176</x:v>
      </x:c>
      <x:c r="AL174" s="2" t="s">
        <x:v>3061</x:v>
      </x:c>
      <x:c r="AM174" s="2">
        <x:v>24</x:v>
      </x:c>
      <x:c r="AN174" s="2">
        <x:v>24</x:v>
      </x:c>
    </x:row>
    <x:row r="175" ht="39">
      <x:c r="A175" s="2" t="s">
        <x:v>91</x:v>
      </x:c>
      <x:c r="B175" s="2" t="s">
        <x:v>14</x:v>
      </x:c>
      <x:c r="C175" s="3">
        <x:v>23</x:v>
      </x:c>
      <x:c r="D175" s="2" t="s">
        <x:v>184</x:v>
      </x:c>
      <x:c r="E175" s="2" t="s">
        <x:v>1010</x:v>
      </x:c>
      <x:c r="F175" s="2" t="s">
        <x:v>1031</x:v>
      </x:c>
      <x:c r="G175" s="2" t="s">
        <x:v>158</x:v>
      </x:c>
      <x:c r="H175" s="2" t="s">
        <x:v>618</x:v>
      </x:c>
      <x:c r="I175" s="2" t="s">
        <x:v>1012</x:v>
      </x:c>
      <x:c r="J175" s="2" t="s">
        <x:v>1032</x:v>
      </x:c>
      <x:c r="K175" s="2" t="n">
        <x:v>22</x:v>
      </x:c>
      <x:c r="L175" s="2" t="s">
        <x:v>1033</x:v>
      </x:c>
      <x:c r="M175" s="2" t="s">
        <x:v>1034</x:v>
      </x:c>
      <x:c r="N175" s="2">
        <x:v>3</x:v>
      </x:c>
      <x:c r="O175" s="2" t="s">
        <x:v>1024</x:v>
      </x:c>
      <x:c r="P175" s="2" t="s">
        <x:v>1035</x:v>
      </x:c>
      <x:c r="Q175" s="2"/>
      <x:c r="R175" s="3"/>
      <x:c r="S175" s="3"/>
      <x:c r="T175" s="2"/>
      <x:c r="U175" s="2"/>
      <x:c r="V175" s="2"/>
      <x:c r="W175" s="2" t="s">
        <x:v>1030</x:v>
      </x:c>
      <x:c r="X175" s="3">
        <x:v>2</x:v>
      </x:c>
      <x:c r="Y175" s="3">
        <x:v>3</x:v>
      </x:c>
      <x:c r="Z175" s="2" t="s">
        <x:v>175</x:v>
      </x:c>
      <x:c r="AA175" s="2"/>
      <x:c r="AB175" s="2"/>
      <x:c r="AC175" s="2"/>
      <x:c r="AD175" s="2"/>
      <x:c r="AE175" s="2"/>
      <x:c r="AF175" s="2"/>
      <x:c r="AG175" s="2"/>
      <x:c r="AH175" s="2"/>
      <x:c r="AI175" s="4"/>
      <x:c r="AJ175" s="2"/>
      <x:c r="AK175" s="2" t="s">
        <x:v>176</x:v>
      </x:c>
      <x:c r="AL175" s="2" t="s">
        <x:v>3061</x:v>
      </x:c>
      <x:c r="AM175" s="2">
        <x:v>25</x:v>
      </x:c>
      <x:c r="AN175" s="2">
        <x:v>25</x:v>
      </x:c>
    </x:row>
    <x:row r="176" ht="39">
      <x:c r="A176" s="2" t="s">
        <x:v>91</x:v>
      </x:c>
      <x:c r="B176" s="2" t="s">
        <x:v>14</x:v>
      </x:c>
      <x:c r="C176" s="3">
        <x:v>24</x:v>
      </x:c>
      <x:c r="D176" s="2" t="s">
        <x:v>184</x:v>
      </x:c>
      <x:c r="E176" s="2" t="s">
        <x:v>1036</x:v>
      </x:c>
      <x:c r="F176" s="2" t="s">
        <x:v>1031</x:v>
      </x:c>
      <x:c r="G176" s="2" t="s">
        <x:v>158</x:v>
      </x:c>
      <x:c r="H176" s="2" t="s">
        <x:v>618</x:v>
      </x:c>
      <x:c r="I176" s="2" t="s">
        <x:v>1037</x:v>
      </x:c>
      <x:c r="J176" s="2" t="s">
        <x:v>1032</x:v>
      </x:c>
      <x:c r="K176" s="2"/>
      <x:c r="L176" s="2" t="s">
        <x:v>1038</x:v>
      </x:c>
      <x:c r="M176" s="2" t="s">
        <x:v>1015</x:v>
      </x:c>
      <x:c r="N176" s="2">
        <x:v>4</x:v>
      </x:c>
      <x:c r="O176" s="2" t="s">
        <x:v>1024</x:v>
      </x:c>
      <x:c r="P176" s="2" t="s">
        <x:v>1035</x:v>
      </x:c>
      <x:c r="Q176" s="2"/>
      <x:c r="R176" s="3"/>
      <x:c r="S176" s="3"/>
      <x:c r="T176" s="2"/>
      <x:c r="U176" s="2"/>
      <x:c r="V176" s="2"/>
      <x:c r="W176" s="2" t="s">
        <x:v>1039</x:v>
      </x:c>
      <x:c r="X176" s="3">
        <x:v>2</x:v>
      </x:c>
      <x:c r="Y176" s="3">
        <x:v>3</x:v>
      </x:c>
      <x:c r="Z176" s="2" t="s">
        <x:v>175</x:v>
      </x:c>
      <x:c r="AA176" s="2"/>
      <x:c r="AB176" s="2"/>
      <x:c r="AC176" s="2"/>
      <x:c r="AD176" s="2"/>
      <x:c r="AE176" s="2"/>
      <x:c r="AF176" s="2"/>
      <x:c r="AG176" s="2"/>
      <x:c r="AH176" s="2"/>
      <x:c r="AI176" s="4"/>
      <x:c r="AJ176" s="2"/>
      <x:c r="AK176" s="2" t="s">
        <x:v>176</x:v>
      </x:c>
      <x:c r="AL176" s="2" t="s">
        <x:v>3061</x:v>
      </x:c>
      <x:c r="AM176" s="2">
        <x:v>26</x:v>
      </x:c>
      <x:c r="AN176" s="2">
        <x:v>26</x:v>
      </x:c>
    </x:row>
    <x:row r="177" ht="39">
      <x:c r="A177" s="2" t="s">
        <x:v>91</x:v>
      </x:c>
      <x:c r="B177" s="2" t="s">
        <x:v>14</x:v>
      </x:c>
      <x:c r="C177" s="3">
        <x:v>25</x:v>
      </x:c>
      <x:c r="D177" s="2" t="s">
        <x:v>166</x:v>
      </x:c>
      <x:c r="E177" s="2" t="s">
        <x:v>1036</x:v>
      </x:c>
      <x:c r="F177" s="2" t="s">
        <x:v>1011</x:v>
      </x:c>
      <x:c r="G177" s="2" t="s">
        <x:v>158</x:v>
      </x:c>
      <x:c r="H177" s="2" t="s">
        <x:v>618</x:v>
      </x:c>
      <x:c r="I177" s="2" t="s">
        <x:v>1037</x:v>
      </x:c>
      <x:c r="J177" s="2" t="s">
        <x:v>1013</x:v>
      </x:c>
      <x:c r="K177" s="2" t="n">
        <x:v>24</x:v>
      </x:c>
      <x:c r="L177" s="2" t="s">
        <x:v>1040</x:v>
      </x:c>
      <x:c r="M177" s="2" t="s">
        <x:v>1041</x:v>
      </x:c>
      <x:c r="N177" s="2">
        <x:v>4</x:v>
      </x:c>
      <x:c r="O177" s="2" t="s">
        <x:v>1016</x:v>
      </x:c>
      <x:c r="P177" s="2" t="s">
        <x:v>1017</x:v>
      </x:c>
      <x:c r="Q177" s="2"/>
      <x:c r="R177" s="3"/>
      <x:c r="S177" s="3"/>
      <x:c r="T177" s="2"/>
      <x:c r="U177" s="2"/>
      <x:c r="V177" s="2"/>
      <x:c r="W177" s="2" t="s">
        <x:v>1042</x:v>
      </x:c>
      <x:c r="X177" s="3">
        <x:v>2</x:v>
      </x:c>
      <x:c r="Y177" s="3">
        <x:v>1</x:v>
      </x:c>
      <x:c r="Z177" s="2" t="s">
        <x:v>191</x:v>
      </x:c>
      <x:c r="AA177" s="2"/>
      <x:c r="AB177" s="2"/>
      <x:c r="AC177" s="2"/>
      <x:c r="AD177" s="2"/>
      <x:c r="AE177" s="2"/>
      <x:c r="AF177" s="2"/>
      <x:c r="AG177" s="2"/>
      <x:c r="AH177" s="2"/>
      <x:c r="AI177" s="4"/>
      <x:c r="AJ177" s="2"/>
      <x:c r="AK177" s="2" t="s">
        <x:v>176</x:v>
      </x:c>
      <x:c r="AL177" s="2" t="s">
        <x:v>3061</x:v>
      </x:c>
      <x:c r="AM177" s="2">
        <x:v>27</x:v>
      </x:c>
      <x:c r="AN177" s="2">
        <x:v>27</x:v>
      </x:c>
    </x:row>
    <x:row r="178" ht="39">
      <x:c r="A178" s="2" t="s">
        <x:v>91</x:v>
      </x:c>
      <x:c r="B178" s="2" t="s">
        <x:v>14</x:v>
      </x:c>
      <x:c r="C178" s="3">
        <x:v>26</x:v>
      </x:c>
      <x:c r="D178" s="2" t="s">
        <x:v>166</x:v>
      </x:c>
      <x:c r="E178" s="2" t="s">
        <x:v>1043</x:v>
      </x:c>
      <x:c r="F178" s="2" t="s">
        <x:v>1011</x:v>
      </x:c>
      <x:c r="G178" s="2" t="s">
        <x:v>158</x:v>
      </x:c>
      <x:c r="H178" s="2" t="s">
        <x:v>618</x:v>
      </x:c>
      <x:c r="I178" s="2" t="s">
        <x:v>1044</x:v>
      </x:c>
      <x:c r="J178" s="2" t="s">
        <x:v>1013</x:v>
      </x:c>
      <x:c r="K178" s="2"/>
      <x:c r="L178" s="2" t="s">
        <x:v>1014</x:v>
      </x:c>
      <x:c r="M178" s="2" t="s">
        <x:v>1015</x:v>
      </x:c>
      <x:c r="N178" s="2">
        <x:v>2</x:v>
      </x:c>
      <x:c r="O178" s="2" t="s">
        <x:v>1016</x:v>
      </x:c>
      <x:c r="P178" s="2" t="s">
        <x:v>1017</x:v>
      </x:c>
      <x:c r="Q178" s="2"/>
      <x:c r="R178" s="3"/>
      <x:c r="S178" s="3"/>
      <x:c r="T178" s="2"/>
      <x:c r="U178" s="2"/>
      <x:c r="V178" s="2"/>
      <x:c r="W178" s="2" t="s">
        <x:v>1045</x:v>
      </x:c>
      <x:c r="X178" s="3">
        <x:v>2</x:v>
      </x:c>
      <x:c r="Y178" s="3">
        <x:v>1</x:v>
      </x:c>
      <x:c r="Z178" s="2" t="s">
        <x:v>191</x:v>
      </x:c>
      <x:c r="AA178" s="2"/>
      <x:c r="AB178" s="2"/>
      <x:c r="AC178" s="2"/>
      <x:c r="AD178" s="2"/>
      <x:c r="AE178" s="2"/>
      <x:c r="AF178" s="2"/>
      <x:c r="AG178" s="2"/>
      <x:c r="AH178" s="2"/>
      <x:c r="AI178" s="4"/>
      <x:c r="AJ178" s="2"/>
      <x:c r="AK178" s="2" t="s">
        <x:v>176</x:v>
      </x:c>
      <x:c r="AL178" s="2" t="s">
        <x:v>3061</x:v>
      </x:c>
      <x:c r="AM178" s="2">
        <x:v>28</x:v>
      </x:c>
      <x:c r="AN178" s="2">
        <x:v>28</x:v>
      </x:c>
    </x:row>
    <x:row r="179" ht="26">
      <x:c r="A179" s="2" t="s">
        <x:v>91</x:v>
      </x:c>
      <x:c r="B179" s="2" t="s">
        <x:v>14</x:v>
      </x:c>
      <x:c r="C179" s="3">
        <x:v>27</x:v>
      </x:c>
      <x:c r="D179" s="2" t="s">
        <x:v>1046</x:v>
      </x:c>
      <x:c r="E179" s="2" t="s">
        <x:v>1043</x:v>
      </x:c>
      <x:c r="F179" s="2" t="s">
        <x:v>1047</x:v>
      </x:c>
      <x:c r="G179" s="2" t="s">
        <x:v>3113</x:v>
      </x:c>
      <x:c r="H179" s="2" t="s">
        <x:v>627</x:v>
      </x:c>
      <x:c r="I179" s="2" t="s">
        <x:v>1044</x:v>
      </x:c>
      <x:c r="J179" s="2" t="s">
        <x:v>1021</x:v>
      </x:c>
      <x:c r="K179" s="2" t="n">
        <x:v>26</x:v>
      </x:c>
      <x:c r="L179" s="2" t="s">
        <x:v>1049</x:v>
      </x:c>
      <x:c r="M179" s="2" t="s">
        <x:v>1023</x:v>
      </x:c>
      <x:c r="N179" s="2">
        <x:v>2</x:v>
      </x:c>
      <x:c r="O179" s="2" t="s">
        <x:v>1024</x:v>
      </x:c>
      <x:c r="P179" s="2" t="s">
        <x:v>1025</x:v>
      </x:c>
      <x:c r="Q179" s="2"/>
      <x:c r="R179" s="3"/>
      <x:c r="S179" s="3"/>
      <x:c r="T179" s="2"/>
      <x:c r="U179" s="2"/>
      <x:c r="V179" s="2"/>
      <x:c r="W179" s="2" t="s">
        <x:v>1045</x:v>
      </x:c>
      <x:c r="X179" s="3">
        <x:v>2</x:v>
      </x:c>
      <x:c r="Y179" s="3">
        <x:v>1</x:v>
      </x:c>
      <x:c r="Z179" s="2" t="s">
        <x:v>191</x:v>
      </x:c>
      <x:c r="AA179" s="2"/>
      <x:c r="AB179" s="2"/>
      <x:c r="AC179" s="2"/>
      <x:c r="AD179" s="2"/>
      <x:c r="AE179" s="2"/>
      <x:c r="AF179" s="2"/>
      <x:c r="AG179" s="2"/>
      <x:c r="AH179" s="2"/>
      <x:c r="AI179" s="4"/>
      <x:c r="AJ179" s="2"/>
      <x:c r="AK179" s="2" t="s">
        <x:v>176</x:v>
      </x:c>
      <x:c r="AL179" s="2" t="s">
        <x:v>3061</x:v>
      </x:c>
      <x:c r="AM179" s="2">
        <x:v>29</x:v>
      </x:c>
      <x:c r="AN179" s="2">
        <x:v>29</x:v>
      </x:c>
    </x:row>
    <x:row r="180" ht="39">
      <x:c r="A180" s="2" t="s">
        <x:v>91</x:v>
      </x:c>
      <x:c r="B180" s="2" t="s">
        <x:v>14</x:v>
      </x:c>
      <x:c r="C180" s="3">
        <x:v>28</x:v>
      </x:c>
      <x:c r="D180" s="2" t="s">
        <x:v>1050</x:v>
      </x:c>
      <x:c r="E180" s="2" t="s">
        <x:v>1043</x:v>
      </x:c>
      <x:c r="F180" s="2" t="s">
        <x:v>1011</x:v>
      </x:c>
      <x:c r="G180" s="2" t="s">
        <x:v>158</x:v>
      </x:c>
      <x:c r="H180" s="2" t="s">
        <x:v>634</x:v>
      </x:c>
      <x:c r="I180" s="2" t="s">
        <x:v>1044</x:v>
      </x:c>
      <x:c r="J180" s="2" t="s">
        <x:v>1051</x:v>
      </x:c>
      <x:c r="K180" s="2" t="n">
        <x:v>26</x:v>
      </x:c>
      <x:c r="L180" s="2" t="s">
        <x:v>1014</x:v>
      </x:c>
      <x:c r="M180" s="2" t="s">
        <x:v>1052</x:v>
      </x:c>
      <x:c r="N180" s="2">
        <x:v>2</x:v>
      </x:c>
      <x:c r="O180" s="2" t="s">
        <x:v>1016</x:v>
      </x:c>
      <x:c r="P180" s="2" t="s">
        <x:v>1053</x:v>
      </x:c>
      <x:c r="Q180" s="2"/>
      <x:c r="R180" s="3"/>
      <x:c r="S180" s="3"/>
      <x:c r="T180" s="2"/>
      <x:c r="U180" s="2"/>
      <x:c r="V180" s="2"/>
      <x:c r="W180" s="2" t="s">
        <x:v>1045</x:v>
      </x:c>
      <x:c r="X180" s="3">
        <x:v>2</x:v>
      </x:c>
      <x:c r="Y180" s="3">
        <x:v>1</x:v>
      </x:c>
      <x:c r="Z180" s="2" t="s">
        <x:v>191</x:v>
      </x:c>
      <x:c r="AA180" s="2"/>
      <x:c r="AB180" s="2"/>
      <x:c r="AC180" s="2"/>
      <x:c r="AD180" s="2"/>
      <x:c r="AE180" s="2"/>
      <x:c r="AF180" s="2"/>
      <x:c r="AG180" s="2"/>
      <x:c r="AH180" s="2"/>
      <x:c r="AI180" s="4"/>
      <x:c r="AJ180" s="2"/>
      <x:c r="AK180" s="2" t="s">
        <x:v>176</x:v>
      </x:c>
      <x:c r="AL180" s="2" t="s">
        <x:v>3061</x:v>
      </x:c>
      <x:c r="AM180" s="2">
        <x:v>30</x:v>
      </x:c>
      <x:c r="AN180" s="2">
        <x:v>30</x:v>
      </x:c>
    </x:row>
    <x:row r="181" ht="26">
      <x:c r="A181" s="2" t="s">
        <x:v>91</x:v>
      </x:c>
      <x:c r="B181" s="2" t="s">
        <x:v>14</x:v>
      </x:c>
      <x:c r="C181" s="3">
        <x:v>29</x:v>
      </x:c>
      <x:c r="D181" s="2" t="s">
        <x:v>1054</x:v>
      </x:c>
      <x:c r="E181" s="2" t="s">
        <x:v>1043</x:v>
      </x:c>
      <x:c r="F181" s="2" t="s">
        <x:v>1047</x:v>
      </x:c>
      <x:c r="G181" s="2" t="s">
        <x:v>3114</x:v>
      </x:c>
      <x:c r="H181" s="2" t="s">
        <x:v>634</x:v>
      </x:c>
      <x:c r="I181" s="2" t="s">
        <x:v>1044</x:v>
      </x:c>
      <x:c r="J181" s="2" t="s">
        <x:v>1055</x:v>
      </x:c>
      <x:c r="K181" s="2" t="n">
        <x:v>26</x:v>
      </x:c>
      <x:c r="L181" s="2" t="s">
        <x:v>1049</x:v>
      </x:c>
      <x:c r="M181" s="2" t="s">
        <x:v>1056</x:v>
      </x:c>
      <x:c r="N181" s="2">
        <x:v>2</x:v>
      </x:c>
      <x:c r="O181" s="2" t="s">
        <x:v>1024</x:v>
      </x:c>
      <x:c r="P181" s="2" t="s">
        <x:v>1057</x:v>
      </x:c>
      <x:c r="Q181" s="2"/>
      <x:c r="R181" s="3"/>
      <x:c r="S181" s="3"/>
      <x:c r="T181" s="2"/>
      <x:c r="U181" s="2"/>
      <x:c r="V181" s="2"/>
      <x:c r="W181" s="2" t="s">
        <x:v>1045</x:v>
      </x:c>
      <x:c r="X181" s="3">
        <x:v>2</x:v>
      </x:c>
      <x:c r="Y181" s="3">
        <x:v>1</x:v>
      </x:c>
      <x:c r="Z181" s="2" t="s">
        <x:v>191</x:v>
      </x:c>
      <x:c r="AA181" s="2"/>
      <x:c r="AB181" s="2"/>
      <x:c r="AC181" s="2"/>
      <x:c r="AD181" s="2"/>
      <x:c r="AE181" s="2"/>
      <x:c r="AF181" s="2"/>
      <x:c r="AG181" s="2"/>
      <x:c r="AH181" s="2"/>
      <x:c r="AI181" s="4"/>
      <x:c r="AJ181" s="2"/>
      <x:c r="AK181" s="2" t="s">
        <x:v>176</x:v>
      </x:c>
      <x:c r="AL181" s="2" t="s">
        <x:v>3061</x:v>
      </x:c>
      <x:c r="AM181" s="2">
        <x:v>31</x:v>
      </x:c>
      <x:c r="AN181" s="2">
        <x:v>31</x:v>
      </x:c>
    </x:row>
    <x:row r="182" ht="26">
      <x:c r="A182" s="2" t="s">
        <x:v>6</x:v>
      </x:c>
      <x:c r="B182" s="2" t="s">
        <x:v>14</x:v>
      </x:c>
      <x:c r="C182" s="3">
        <x:v>30</x:v>
      </x:c>
      <x:c r="D182" s="2" t="s">
        <x:v>1026</x:v>
      </x:c>
      <x:c r="E182" s="2" t="s">
        <x:v>1043</x:v>
      </x:c>
      <x:c r="F182" s="2" t="s">
        <x:v>1027</x:v>
      </x:c>
      <x:c r="G182" s="2"/>
      <x:c r="H182" s="2" t="s">
        <x:v>627</x:v>
      </x:c>
      <x:c r="I182" s="2" t="s">
        <x:v>1044</x:v>
      </x:c>
      <x:c r="J182" s="2" t="s">
        <x:v>1028</x:v>
      </x:c>
      <x:c r="K182" s="2"/>
      <x:c r="L182" s="2" t="s">
        <x:v>1029</x:v>
      </x:c>
      <x:c r="M182" s="2" t="s">
        <x:v>1023</x:v>
      </x:c>
      <x:c r="N182" s="2">
        <x:v>2</x:v>
      </x:c>
      <x:c r="O182" s="2" t="s">
        <x:v>1024</x:v>
      </x:c>
      <x:c r="P182" s="2" t="s">
        <x:v>1025</x:v>
      </x:c>
      <x:c r="Q182" s="2"/>
      <x:c r="R182" s="3"/>
      <x:c r="S182" s="3"/>
      <x:c r="T182" s="2"/>
      <x:c r="U182" s="2"/>
      <x:c r="V182" s="2"/>
      <x:c r="W182" s="2" t="s">
        <x:v>1058</x:v>
      </x:c>
      <x:c r="X182" s="3">
        <x:v>2</x:v>
      </x:c>
      <x:c r="Y182" s="3">
        <x:v>3</x:v>
      </x:c>
      <x:c r="Z182" s="2" t="s">
        <x:v>175</x:v>
      </x:c>
      <x:c r="AA182" s="2"/>
      <x:c r="AB182" s="2"/>
      <x:c r="AC182" s="2"/>
      <x:c r="AD182" s="2"/>
      <x:c r="AE182" s="2"/>
      <x:c r="AF182" s="2"/>
      <x:c r="AG182" s="2"/>
      <x:c r="AH182" s="2"/>
      <x:c r="AI182" s="4"/>
      <x:c r="AJ182" s="2"/>
      <x:c r="AK182" s="2" t="s">
        <x:v>176</x:v>
      </x:c>
      <x:c r="AL182" s="2" t="s">
        <x:v>3061</x:v>
      </x:c>
      <x:c r="AM182" s="2">
        <x:v>32</x:v>
      </x:c>
      <x:c r="AN182" s="2">
        <x:v>32</x:v>
      </x:c>
    </x:row>
    <x:row r="183" ht="39">
      <x:c r="A183" s="2" t="s">
        <x:v>91</x:v>
      </x:c>
      <x:c r="B183" s="2" t="s">
        <x:v>14</x:v>
      </x:c>
      <x:c r="C183" s="3">
        <x:v>31</x:v>
      </x:c>
      <x:c r="D183" s="2" t="s">
        <x:v>184</x:v>
      </x:c>
      <x:c r="E183" s="2" t="s">
        <x:v>1043</x:v>
      </x:c>
      <x:c r="F183" s="2" t="s">
        <x:v>1031</x:v>
      </x:c>
      <x:c r="G183" s="2" t="s">
        <x:v>158</x:v>
      </x:c>
      <x:c r="H183" s="2" t="s">
        <x:v>618</x:v>
      </x:c>
      <x:c r="I183" s="2" t="s">
        <x:v>1044</x:v>
      </x:c>
      <x:c r="J183" s="2" t="s">
        <x:v>1032</x:v>
      </x:c>
      <x:c r="K183" s="2" t="n">
        <x:v>30</x:v>
      </x:c>
      <x:c r="L183" s="2" t="s">
        <x:v>1033</x:v>
      </x:c>
      <x:c r="M183" s="2" t="s">
        <x:v>1034</x:v>
      </x:c>
      <x:c r="N183" s="2">
        <x:v>2</x:v>
      </x:c>
      <x:c r="O183" s="2" t="s">
        <x:v>1024</x:v>
      </x:c>
      <x:c r="P183" s="2" t="s">
        <x:v>1035</x:v>
      </x:c>
      <x:c r="Q183" s="2"/>
      <x:c r="R183" s="3"/>
      <x:c r="S183" s="3"/>
      <x:c r="T183" s="2"/>
      <x:c r="U183" s="2"/>
      <x:c r="V183" s="2"/>
      <x:c r="W183" s="2" t="s">
        <x:v>1058</x:v>
      </x:c>
      <x:c r="X183" s="3">
        <x:v>2</x:v>
      </x:c>
      <x:c r="Y183" s="3">
        <x:v>3</x:v>
      </x:c>
      <x:c r="Z183" s="2" t="s">
        <x:v>175</x:v>
      </x:c>
      <x:c r="AA183" s="2"/>
      <x:c r="AB183" s="2"/>
      <x:c r="AC183" s="2"/>
      <x:c r="AD183" s="2"/>
      <x:c r="AE183" s="2"/>
      <x:c r="AF183" s="2"/>
      <x:c r="AG183" s="2"/>
      <x:c r="AH183" s="2"/>
      <x:c r="AI183" s="4"/>
      <x:c r="AJ183" s="2"/>
      <x:c r="AK183" s="2" t="s">
        <x:v>176</x:v>
      </x:c>
      <x:c r="AL183" s="2" t="s">
        <x:v>3061</x:v>
      </x:c>
      <x:c r="AM183" s="2">
        <x:v>33</x:v>
      </x:c>
      <x:c r="AN183" s="2">
        <x:v>33</x:v>
      </x:c>
    </x:row>
    <x:row r="184" ht="26">
      <x:c r="A184" s="2" t="s">
        <x:v>91</x:v>
      </x:c>
      <x:c r="B184" s="2" t="s">
        <x:v>14</x:v>
      </x:c>
      <x:c r="C184" s="3">
        <x:v>32</x:v>
      </x:c>
      <x:c r="D184" s="2" t="s">
        <x:v>1059</x:v>
      </x:c>
      <x:c r="E184" s="2" t="s">
        <x:v>1043</x:v>
      </x:c>
      <x:c r="F184" s="2" t="s">
        <x:v>1027</x:v>
      </x:c>
      <x:c r="G184" s="2" t="s">
        <x:v>3115</x:v>
      </x:c>
      <x:c r="H184" s="2" t="s">
        <x:v>634</x:v>
      </x:c>
      <x:c r="I184" s="2" t="s">
        <x:v>1044</x:v>
      </x:c>
      <x:c r="J184" s="2" t="s">
        <x:v>1060</x:v>
      </x:c>
      <x:c r="K184" s="2" t="n">
        <x:v>30</x:v>
      </x:c>
      <x:c r="L184" s="2" t="s">
        <x:v>1029</x:v>
      </x:c>
      <x:c r="M184" s="2" t="s">
        <x:v>1056</x:v>
      </x:c>
      <x:c r="N184" s="2">
        <x:v>2</x:v>
      </x:c>
      <x:c r="O184" s="2" t="s">
        <x:v>1024</x:v>
      </x:c>
      <x:c r="P184" s="2" t="s">
        <x:v>1057</x:v>
      </x:c>
      <x:c r="Q184" s="2"/>
      <x:c r="R184" s="3"/>
      <x:c r="S184" s="3"/>
      <x:c r="T184" s="2"/>
      <x:c r="U184" s="2"/>
      <x:c r="V184" s="2"/>
      <x:c r="W184" s="2" t="s">
        <x:v>1058</x:v>
      </x:c>
      <x:c r="X184" s="3">
        <x:v>2</x:v>
      </x:c>
      <x:c r="Y184" s="3">
        <x:v>3</x:v>
      </x:c>
      <x:c r="Z184" s="2" t="s">
        <x:v>175</x:v>
      </x:c>
      <x:c r="AA184" s="2"/>
      <x:c r="AB184" s="2"/>
      <x:c r="AC184" s="2"/>
      <x:c r="AD184" s="2"/>
      <x:c r="AE184" s="2"/>
      <x:c r="AF184" s="2"/>
      <x:c r="AG184" s="2"/>
      <x:c r="AH184" s="2"/>
      <x:c r="AI184" s="4"/>
      <x:c r="AJ184" s="2"/>
      <x:c r="AK184" s="2" t="s">
        <x:v>176</x:v>
      </x:c>
      <x:c r="AL184" s="2" t="s">
        <x:v>3061</x:v>
      </x:c>
      <x:c r="AM184" s="2">
        <x:v>34</x:v>
      </x:c>
      <x:c r="AN184" s="2">
        <x:v>34</x:v>
      </x:c>
    </x:row>
    <x:row r="185" ht="52">
      <x:c r="A185" s="2" t="s">
        <x:v>91</x:v>
      </x:c>
      <x:c r="B185" s="2" t="s">
        <x:v>14</x:v>
      </x:c>
      <x:c r="C185" s="3">
        <x:v>33</x:v>
      </x:c>
      <x:c r="D185" s="2" t="s">
        <x:v>1061</x:v>
      </x:c>
      <x:c r="E185" s="2" t="s">
        <x:v>1043</x:v>
      </x:c>
      <x:c r="F185" s="2" t="s">
        <x:v>1031</x:v>
      </x:c>
      <x:c r="G185" s="2" t="s">
        <x:v>158</x:v>
      </x:c>
      <x:c r="H185" s="2" t="s">
        <x:v>634</x:v>
      </x:c>
      <x:c r="I185" s="2" t="s">
        <x:v>1044</x:v>
      </x:c>
      <x:c r="J185" s="2" t="s">
        <x:v>1062</x:v>
      </x:c>
      <x:c r="K185" s="2" t="n">
        <x:v>30</x:v>
      </x:c>
      <x:c r="L185" s="2" t="s">
        <x:v>1033</x:v>
      </x:c>
      <x:c r="M185" s="2" t="s">
        <x:v>1063</x:v>
      </x:c>
      <x:c r="N185" s="2">
        <x:v>2</x:v>
      </x:c>
      <x:c r="O185" s="2" t="s">
        <x:v>1024</x:v>
      </x:c>
      <x:c r="P185" s="2" t="s">
        <x:v>1053</x:v>
      </x:c>
      <x:c r="Q185" s="2"/>
      <x:c r="R185" s="3"/>
      <x:c r="S185" s="3"/>
      <x:c r="T185" s="2"/>
      <x:c r="U185" s="2"/>
      <x:c r="V185" s="2"/>
      <x:c r="W185" s="2" t="s">
        <x:v>1058</x:v>
      </x:c>
      <x:c r="X185" s="3">
        <x:v>2</x:v>
      </x:c>
      <x:c r="Y185" s="3">
        <x:v>3</x:v>
      </x:c>
      <x:c r="Z185" s="2" t="s">
        <x:v>175</x:v>
      </x:c>
      <x:c r="AA185" s="2"/>
      <x:c r="AB185" s="2"/>
      <x:c r="AC185" s="2"/>
      <x:c r="AD185" s="2"/>
      <x:c r="AE185" s="2"/>
      <x:c r="AF185" s="2"/>
      <x:c r="AG185" s="2"/>
      <x:c r="AH185" s="2"/>
      <x:c r="AI185" s="4"/>
      <x:c r="AJ185" s="2"/>
      <x:c r="AK185" s="2" t="s">
        <x:v>176</x:v>
      </x:c>
      <x:c r="AL185" s="2" t="s">
        <x:v>3061</x:v>
      </x:c>
      <x:c r="AM185" s="2">
        <x:v>35</x:v>
      </x:c>
      <x:c r="AN185" s="2">
        <x:v>35</x:v>
      </x:c>
    </x:row>
    <x:row r="186" ht="39">
      <x:c r="A186" s="2" t="s">
        <x:v>91</x:v>
      </x:c>
      <x:c r="B186" s="2" t="s">
        <x:v>14</x:v>
      </x:c>
      <x:c r="C186" s="3">
        <x:v>34</x:v>
      </x:c>
      <x:c r="D186" s="2" t="s">
        <x:v>184</x:v>
      </x:c>
      <x:c r="E186" s="2" t="s">
        <x:v>1064</x:v>
      </x:c>
      <x:c r="F186" s="2" t="s">
        <x:v>1031</x:v>
      </x:c>
      <x:c r="G186" s="2" t="s">
        <x:v>158</x:v>
      </x:c>
      <x:c r="H186" s="2" t="s">
        <x:v>618</x:v>
      </x:c>
      <x:c r="I186" s="2" t="s">
        <x:v>1065</x:v>
      </x:c>
      <x:c r="J186" s="2" t="s">
        <x:v>1032</x:v>
      </x:c>
      <x:c r="K186" s="2"/>
      <x:c r="L186" s="2" t="s">
        <x:v>1038</x:v>
      </x:c>
      <x:c r="M186" s="2" t="s">
        <x:v>1015</x:v>
      </x:c>
      <x:c r="N186" s="2">
        <x:v>3</x:v>
      </x:c>
      <x:c r="O186" s="2" t="s">
        <x:v>1024</x:v>
      </x:c>
      <x:c r="P186" s="2" t="s">
        <x:v>1035</x:v>
      </x:c>
      <x:c r="Q186" s="2"/>
      <x:c r="R186" s="3"/>
      <x:c r="S186" s="3"/>
      <x:c r="T186" s="2"/>
      <x:c r="U186" s="2"/>
      <x:c r="V186" s="2"/>
      <x:c r="W186" s="2" t="s">
        <x:v>1066</x:v>
      </x:c>
      <x:c r="X186" s="3">
        <x:v>2</x:v>
      </x:c>
      <x:c r="Y186" s="3">
        <x:v>3</x:v>
      </x:c>
      <x:c r="Z186" s="2" t="s">
        <x:v>175</x:v>
      </x:c>
      <x:c r="AA186" s="2"/>
      <x:c r="AB186" s="2"/>
      <x:c r="AC186" s="2"/>
      <x:c r="AD186" s="2"/>
      <x:c r="AE186" s="2"/>
      <x:c r="AF186" s="2"/>
      <x:c r="AG186" s="2"/>
      <x:c r="AH186" s="2"/>
      <x:c r="AI186" s="4"/>
      <x:c r="AJ186" s="2"/>
      <x:c r="AK186" s="2" t="s">
        <x:v>176</x:v>
      </x:c>
      <x:c r="AL186" s="2" t="s">
        <x:v>3061</x:v>
      </x:c>
      <x:c r="AM186" s="2">
        <x:v>36</x:v>
      </x:c>
      <x:c r="AN186" s="2">
        <x:v>36</x:v>
      </x:c>
    </x:row>
    <x:row r="187" ht="26">
      <x:c r="A187" s="2" t="s">
        <x:v>91</x:v>
      </x:c>
      <x:c r="B187" s="2" t="s">
        <x:v>14</x:v>
      </x:c>
      <x:c r="C187" s="3">
        <x:v>35</x:v>
      </x:c>
      <x:c r="D187" s="2" t="s">
        <x:v>1067</x:v>
      </x:c>
      <x:c r="E187" s="2" t="s">
        <x:v>1064</x:v>
      </x:c>
      <x:c r="F187" s="2" t="s">
        <x:v>1068</x:v>
      </x:c>
      <x:c r="G187" s="2" t="s">
        <x:v>158</x:v>
      </x:c>
      <x:c r="H187" s="2" t="s">
        <x:v>627</x:v>
      </x:c>
      <x:c r="I187" s="2" t="s">
        <x:v>1065</x:v>
      </x:c>
      <x:c r="J187" s="2" t="s">
        <x:v>1028</x:v>
      </x:c>
      <x:c r="K187" s="2" t="n">
        <x:v>34</x:v>
      </x:c>
      <x:c r="L187" s="2" t="s">
        <x:v>1069</x:v>
      </x:c>
      <x:c r="M187" s="2" t="s">
        <x:v>1023</x:v>
      </x:c>
      <x:c r="N187" s="2">
        <x:v>3</x:v>
      </x:c>
      <x:c r="O187" s="2" t="s">
        <x:v>1024</x:v>
      </x:c>
      <x:c r="P187" s="2" t="s">
        <x:v>1025</x:v>
      </x:c>
      <x:c r="Q187" s="2"/>
      <x:c r="R187" s="3"/>
      <x:c r="S187" s="3"/>
      <x:c r="T187" s="2"/>
      <x:c r="U187" s="2"/>
      <x:c r="V187" s="2"/>
      <x:c r="W187" s="2" t="s">
        <x:v>1066</x:v>
      </x:c>
      <x:c r="X187" s="3">
        <x:v>2</x:v>
      </x:c>
      <x:c r="Y187" s="3">
        <x:v>3</x:v>
      </x:c>
      <x:c r="Z187" s="2" t="s">
        <x:v>175</x:v>
      </x:c>
      <x:c r="AA187" s="2"/>
      <x:c r="AB187" s="2"/>
      <x:c r="AC187" s="2"/>
      <x:c r="AD187" s="2"/>
      <x:c r="AE187" s="2"/>
      <x:c r="AF187" s="2"/>
      <x:c r="AG187" s="2"/>
      <x:c r="AH187" s="2"/>
      <x:c r="AI187" s="4"/>
      <x:c r="AJ187" s="2"/>
      <x:c r="AK187" s="2" t="s">
        <x:v>176</x:v>
      </x:c>
      <x:c r="AL187" s="2" t="s">
        <x:v>3061</x:v>
      </x:c>
      <x:c r="AM187" s="2">
        <x:v>37</x:v>
      </x:c>
      <x:c r="AN187" s="2">
        <x:v>37</x:v>
      </x:c>
    </x:row>
    <x:row r="188" ht="26">
      <x:c r="A188" s="2" t="s">
        <x:v>6</x:v>
      </x:c>
      <x:c r="B188" s="2" t="s">
        <x:v>14</x:v>
      </x:c>
      <x:c r="C188" s="3">
        <x:v>36</x:v>
      </x:c>
      <x:c r="D188" s="2" t="s">
        <x:v>1070</x:v>
      </x:c>
      <x:c r="E188" s="2" t="s">
        <x:v>1064</x:v>
      </x:c>
      <x:c r="F188" s="2" t="s">
        <x:v>1071</x:v>
      </x:c>
      <x:c r="G188" s="2"/>
      <x:c r="H188" s="2" t="s">
        <x:v>627</x:v>
      </x:c>
      <x:c r="I188" s="2" t="s">
        <x:v>1065</x:v>
      </x:c>
      <x:c r="J188" s="2" t="s">
        <x:v>1021</x:v>
      </x:c>
      <x:c r="K188" s="2"/>
      <x:c r="L188" s="2" t="s">
        <x:v>1072</x:v>
      </x:c>
      <x:c r="M188" s="2" t="s">
        <x:v>1023</x:v>
      </x:c>
      <x:c r="N188" s="2">
        <x:v>3</x:v>
      </x:c>
      <x:c r="O188" s="2" t="s">
        <x:v>1024</x:v>
      </x:c>
      <x:c r="P188" s="2" t="s">
        <x:v>1025</x:v>
      </x:c>
      <x:c r="Q188" s="2"/>
      <x:c r="R188" s="3"/>
      <x:c r="S188" s="3"/>
      <x:c r="T188" s="2"/>
      <x:c r="U188" s="2"/>
      <x:c r="V188" s="2"/>
      <x:c r="W188" s="2" t="s">
        <x:v>1073</x:v>
      </x:c>
      <x:c r="X188" s="3">
        <x:v>2</x:v>
      </x:c>
      <x:c r="Y188" s="3">
        <x:v>1</x:v>
      </x:c>
      <x:c r="Z188" s="2" t="s">
        <x:v>191</x:v>
      </x:c>
      <x:c r="AA188" s="2"/>
      <x:c r="AB188" s="2"/>
      <x:c r="AC188" s="2"/>
      <x:c r="AD188" s="2"/>
      <x:c r="AE188" s="2"/>
      <x:c r="AF188" s="2"/>
      <x:c r="AG188" s="2"/>
      <x:c r="AH188" s="2"/>
      <x:c r="AI188" s="4"/>
      <x:c r="AJ188" s="2"/>
      <x:c r="AK188" s="2" t="s">
        <x:v>176</x:v>
      </x:c>
      <x:c r="AL188" s="2" t="s">
        <x:v>3061</x:v>
      </x:c>
      <x:c r="AM188" s="2">
        <x:v>38</x:v>
      </x:c>
      <x:c r="AN188" s="2">
        <x:v>38</x:v>
      </x:c>
    </x:row>
    <x:row r="189" ht="39">
      <x:c r="A189" s="2" t="s">
        <x:v>91</x:v>
      </x:c>
      <x:c r="B189" s="2" t="s">
        <x:v>14</x:v>
      </x:c>
      <x:c r="C189" s="3">
        <x:v>37</x:v>
      </x:c>
      <x:c r="D189" s="2" t="s">
        <x:v>166</x:v>
      </x:c>
      <x:c r="E189" s="2" t="s">
        <x:v>1064</x:v>
      </x:c>
      <x:c r="F189" s="2" t="s">
        <x:v>1011</x:v>
      </x:c>
      <x:c r="G189" s="2"/>
      <x:c r="H189" s="2" t="s">
        <x:v>618</x:v>
      </x:c>
      <x:c r="I189" s="2" t="s">
        <x:v>1065</x:v>
      </x:c>
      <x:c r="J189" s="2" t="s">
        <x:v>1013</x:v>
      </x:c>
      <x:c r="K189" s="2" t="n">
        <x:v>36</x:v>
      </x:c>
      <x:c r="L189" s="2" t="s">
        <x:v>1074</x:v>
      </x:c>
      <x:c r="M189" s="2" t="s">
        <x:v>1034</x:v>
      </x:c>
      <x:c r="N189" s="2">
        <x:v>3</x:v>
      </x:c>
      <x:c r="O189" s="2" t="s">
        <x:v>1016</x:v>
      </x:c>
      <x:c r="P189" s="2" t="s">
        <x:v>1017</x:v>
      </x:c>
      <x:c r="Q189" s="2"/>
      <x:c r="R189" s="3"/>
      <x:c r="S189" s="3"/>
      <x:c r="T189" s="2"/>
      <x:c r="U189" s="2"/>
      <x:c r="V189" s="2"/>
      <x:c r="W189" s="2" t="s">
        <x:v>1073</x:v>
      </x:c>
      <x:c r="X189" s="3">
        <x:v>2</x:v>
      </x:c>
      <x:c r="Y189" s="3">
        <x:v>1</x:v>
      </x:c>
      <x:c r="Z189" s="2" t="s">
        <x:v>191</x:v>
      </x:c>
      <x:c r="AA189" s="2"/>
      <x:c r="AB189" s="2"/>
      <x:c r="AC189" s="2"/>
      <x:c r="AD189" s="2"/>
      <x:c r="AE189" s="2"/>
      <x:c r="AF189" s="2"/>
      <x:c r="AG189" s="2"/>
      <x:c r="AH189" s="2"/>
      <x:c r="AI189" s="4"/>
      <x:c r="AJ189" s="2"/>
      <x:c r="AK189" s="2" t="s">
        <x:v>176</x:v>
      </x:c>
      <x:c r="AL189" s="2" t="s">
        <x:v>3061</x:v>
      </x:c>
      <x:c r="AM189" s="2">
        <x:v>39</x:v>
      </x:c>
      <x:c r="AN189" s="2">
        <x:v>39</x:v>
      </x:c>
    </x:row>
    <x:row r="190" ht="39">
      <x:c r="A190" s="2" t="s">
        <x:v>6</x:v>
      </x:c>
      <x:c r="B190" s="2" t="s">
        <x:v>14</x:v>
      </x:c>
      <x:c r="C190" s="3">
        <x:v>38</x:v>
      </x:c>
      <x:c r="D190" s="2" t="s">
        <x:v>184</x:v>
      </x:c>
      <x:c r="E190" s="2" t="s">
        <x:v>1075</x:v>
      </x:c>
      <x:c r="F190" s="2" t="s">
        <x:v>1076</x:v>
      </x:c>
      <x:c r="G190" s="2"/>
      <x:c r="H190" s="2" t="s">
        <x:v>1077</x:v>
      </x:c>
      <x:c r="I190" s="2" t="s">
        <x:v>1078</x:v>
      </x:c>
      <x:c r="J190" s="2" t="s">
        <x:v>1079</x:v>
      </x:c>
      <x:c r="K190" s="2"/>
      <x:c r="L190" s="2" t="s">
        <x:v>189</x:v>
      </x:c>
      <x:c r="M190" s="2" t="s">
        <x:v>1080</x:v>
      </x:c>
      <x:c r="N190" s="2">
        <x:v>6</x:v>
      </x:c>
      <x:c r="O190" s="2" t="s">
        <x:v>1081</x:v>
      </x:c>
      <x:c r="P190" s="2" t="s">
        <x:v>1082</x:v>
      </x:c>
      <x:c r="Q190" s="2"/>
      <x:c r="R190" s="3"/>
      <x:c r="S190" s="3"/>
      <x:c r="T190" s="2"/>
      <x:c r="U190" s="2"/>
      <x:c r="V190" s="2"/>
      <x:c r="W190" s="2" t="s">
        <x:v>1078</x:v>
      </x:c>
      <x:c r="X190" s="3">
        <x:v>3</x:v>
      </x:c>
      <x:c r="Y190" s="3">
        <x:v>3</x:v>
      </x:c>
      <x:c r="Z190" s="2" t="s">
        <x:v>1083</x:v>
      </x:c>
      <x:c r="AA190" s="2"/>
      <x:c r="AB190" s="2"/>
      <x:c r="AC190" s="2"/>
      <x:c r="AD190" s="2"/>
      <x:c r="AE190" s="2"/>
      <x:c r="AF190" s="2"/>
      <x:c r="AG190" s="2"/>
      <x:c r="AH190" s="2"/>
      <x:c r="AI190" s="4"/>
      <x:c r="AJ190" s="2"/>
      <x:c r="AK190" s="2" t="s">
        <x:v>176</x:v>
      </x:c>
      <x:c r="AL190" s="2" t="s">
        <x:v>3061</x:v>
      </x:c>
      <x:c r="AM190" s="2">
        <x:v>40</x:v>
      </x:c>
      <x:c r="AN190" s="2">
        <x:v>40</x:v>
      </x:c>
    </x:row>
    <x:row r="191" ht="39">
      <x:c r="A191" s="2" t="s">
        <x:v>6</x:v>
      </x:c>
      <x:c r="B191" s="2" t="s">
        <x:v>14</x:v>
      </x:c>
      <x:c r="C191" s="3">
        <x:v>39</x:v>
      </x:c>
      <x:c r="D191" s="2" t="s">
        <x:v>1084</x:v>
      </x:c>
      <x:c r="E191" s="2" t="s">
        <x:v>1085</x:v>
      </x:c>
      <x:c r="F191" s="2" t="s">
        <x:v>1086</x:v>
      </x:c>
      <x:c r="G191" s="2"/>
      <x:c r="H191" s="2" t="s">
        <x:v>1077</x:v>
      </x:c>
      <x:c r="I191" s="2" t="s">
        <x:v>1078</x:v>
      </x:c>
      <x:c r="J191" s="2" t="s">
        <x:v>1087</x:v>
      </x:c>
      <x:c r="K191" s="2"/>
      <x:c r="L191" s="2" t="s">
        <x:v>1088</x:v>
      </x:c>
      <x:c r="M191" s="2" t="s">
        <x:v>1080</x:v>
      </x:c>
      <x:c r="N191" s="2">
        <x:v>6</x:v>
      </x:c>
      <x:c r="O191" s="2" t="s">
        <x:v>1089</x:v>
      </x:c>
      <x:c r="P191" s="2" t="s">
        <x:v>1082</x:v>
      </x:c>
      <x:c r="Q191" s="2"/>
      <x:c r="R191" s="3"/>
      <x:c r="S191" s="3"/>
      <x:c r="T191" s="2"/>
      <x:c r="U191" s="2"/>
      <x:c r="V191" s="2"/>
      <x:c r="W191" s="2" t="s">
        <x:v>1078</x:v>
      </x:c>
      <x:c r="X191" s="3">
        <x:v>2</x:v>
      </x:c>
      <x:c r="Y191" s="3">
        <x:v>2</x:v>
      </x:c>
      <x:c r="Z191" s="2" t="s">
        <x:v>1083</x:v>
      </x:c>
      <x:c r="AA191" s="2"/>
      <x:c r="AB191" s="2"/>
      <x:c r="AC191" s="2"/>
      <x:c r="AD191" s="2"/>
      <x:c r="AE191" s="2"/>
      <x:c r="AF191" s="2"/>
      <x:c r="AG191" s="2"/>
      <x:c r="AH191" s="2"/>
      <x:c r="AI191" s="4"/>
      <x:c r="AJ191" s="2"/>
      <x:c r="AK191" s="2" t="s">
        <x:v>176</x:v>
      </x:c>
      <x:c r="AL191" s="2" t="s">
        <x:v>3061</x:v>
      </x:c>
      <x:c r="AM191" s="2">
        <x:v>41</x:v>
      </x:c>
      <x:c r="AN191" s="2">
        <x:v>41</x:v>
      </x:c>
    </x:row>
    <x:row r="192" ht="39">
      <x:c r="A192" s="2" t="s">
        <x:v>6</x:v>
      </x:c>
      <x:c r="B192" s="2" t="s">
        <x:v>14</x:v>
      </x:c>
      <x:c r="C192" s="3">
        <x:v>40</x:v>
      </x:c>
      <x:c r="D192" s="2" t="s">
        <x:v>166</x:v>
      </x:c>
      <x:c r="E192" s="2" t="s">
        <x:v>994</x:v>
      </x:c>
      <x:c r="F192" s="2" t="s">
        <x:v>1090</x:v>
      </x:c>
      <x:c r="G192" s="2"/>
      <x:c r="H192" s="2" t="s">
        <x:v>1077</x:v>
      </x:c>
      <x:c r="I192" s="2" t="s">
        <x:v>1078</x:v>
      </x:c>
      <x:c r="J192" s="2" t="s">
        <x:v>1091</x:v>
      </x:c>
      <x:c r="K192" s="2"/>
      <x:c r="L192" s="2" t="s">
        <x:v>1092</x:v>
      </x:c>
      <x:c r="M192" s="2" t="s">
        <x:v>1080</x:v>
      </x:c>
      <x:c r="N192" s="2">
        <x:v>6</x:v>
      </x:c>
      <x:c r="O192" s="2" t="s">
        <x:v>1089</x:v>
      </x:c>
      <x:c r="P192" s="2" t="s">
        <x:v>1082</x:v>
      </x:c>
      <x:c r="Q192" s="2"/>
      <x:c r="R192" s="3"/>
      <x:c r="S192" s="3"/>
      <x:c r="T192" s="2"/>
      <x:c r="U192" s="2"/>
      <x:c r="V192" s="2"/>
      <x:c r="W192" s="2" t="s">
        <x:v>1078</x:v>
      </x:c>
      <x:c r="X192" s="3">
        <x:v>1</x:v>
      </x:c>
      <x:c r="Y192" s="3">
        <x:v>1</x:v>
      </x:c>
      <x:c r="Z192" s="2" t="s">
        <x:v>1083</x:v>
      </x:c>
      <x:c r="AA192" s="2"/>
      <x:c r="AB192" s="2"/>
      <x:c r="AC192" s="2"/>
      <x:c r="AD192" s="2"/>
      <x:c r="AE192" s="2"/>
      <x:c r="AF192" s="2"/>
      <x:c r="AG192" s="2"/>
      <x:c r="AH192" s="2"/>
      <x:c r="AI192" s="4"/>
      <x:c r="AJ192" s="2"/>
      <x:c r="AK192" s="2" t="s">
        <x:v>176</x:v>
      </x:c>
      <x:c r="AL192" s="2" t="s">
        <x:v>3061</x:v>
      </x:c>
      <x:c r="AM192" s="2">
        <x:v>42</x:v>
      </x:c>
      <x:c r="AN192" s="2">
        <x:v>42</x:v>
      </x:c>
    </x:row>
    <x:row r="193" ht="39">
      <x:c r="A193" s="2" t="s">
        <x:v>6</x:v>
      </x:c>
      <x:c r="B193" s="2" t="s">
        <x:v>14</x:v>
      </x:c>
      <x:c r="C193" s="3">
        <x:v>41</x:v>
      </x:c>
      <x:c r="D193" s="2" t="s">
        <x:v>993</x:v>
      </x:c>
      <x:c r="E193" s="2" t="s">
        <x:v>1093</x:v>
      </x:c>
      <x:c r="F193" s="2" t="s">
        <x:v>1094</x:v>
      </x:c>
      <x:c r="G193" s="2"/>
      <x:c r="H193" s="2" t="s">
        <x:v>1077</x:v>
      </x:c>
      <x:c r="I193" s="2" t="s">
        <x:v>1078</x:v>
      </x:c>
      <x:c r="J193" s="2" t="s">
        <x:v>1095</x:v>
      </x:c>
      <x:c r="K193" s="2"/>
      <x:c r="L193" s="2" t="s">
        <x:v>1096</x:v>
      </x:c>
      <x:c r="M193" s="2" t="s">
        <x:v>1080</x:v>
      </x:c>
      <x:c r="N193" s="2">
        <x:v>6</x:v>
      </x:c>
      <x:c r="O193" s="2" t="s">
        <x:v>1089</x:v>
      </x:c>
      <x:c r="P193" s="2" t="s">
        <x:v>1082</x:v>
      </x:c>
      <x:c r="Q193" s="2"/>
      <x:c r="R193" s="3"/>
      <x:c r="S193" s="3"/>
      <x:c r="T193" s="2"/>
      <x:c r="U193" s="2"/>
      <x:c r="V193" s="2"/>
      <x:c r="W193" s="2" t="s">
        <x:v>1078</x:v>
      </x:c>
      <x:c r="X193" s="3">
        <x:v>0</x:v>
      </x:c>
      <x:c r="Y193" s="3">
        <x:v>0</x:v>
      </x:c>
      <x:c r="Z193" s="2" t="s">
        <x:v>1083</x:v>
      </x:c>
      <x:c r="AA193" s="2"/>
      <x:c r="AB193" s="2"/>
      <x:c r="AC193" s="2"/>
      <x:c r="AD193" s="2"/>
      <x:c r="AE193" s="2"/>
      <x:c r="AF193" s="2"/>
      <x:c r="AG193" s="2"/>
      <x:c r="AH193" s="2"/>
      <x:c r="AI193" s="4"/>
      <x:c r="AJ193" s="2"/>
      <x:c r="AK193" s="2" t="s">
        <x:v>176</x:v>
      </x:c>
      <x:c r="AL193" s="2" t="s">
        <x:v>3061</x:v>
      </x:c>
      <x:c r="AM193" s="2">
        <x:v>43</x:v>
      </x:c>
      <x:c r="AN193" s="2">
        <x:v>43</x:v>
      </x:c>
    </x:row>
    <x:row r="194" ht="39">
      <x:c r="A194" s="2" t="s">
        <x:v>6</x:v>
      </x:c>
      <x:c r="B194" s="2" t="s">
        <x:v>14</x:v>
      </x:c>
      <x:c r="C194" s="3">
        <x:v>42</x:v>
      </x:c>
      <x:c r="D194" s="2" t="s">
        <x:v>993</x:v>
      </x:c>
      <x:c r="E194" s="2" t="s">
        <x:v>1097</x:v>
      </x:c>
      <x:c r="F194" s="2" t="s">
        <x:v>1094</x:v>
      </x:c>
      <x:c r="G194" s="2"/>
      <x:c r="H194" s="2" t="s">
        <x:v>1077</x:v>
      </x:c>
      <x:c r="I194" s="2" t="s">
        <x:v>1098</x:v>
      </x:c>
      <x:c r="J194" s="2" t="s">
        <x:v>1095</x:v>
      </x:c>
      <x:c r="K194" s="2"/>
      <x:c r="L194" s="2" t="s">
        <x:v>1096</x:v>
      </x:c>
      <x:c r="M194" s="2" t="s">
        <x:v>1080</x:v>
      </x:c>
      <x:c r="N194" s="2">
        <x:v>6</x:v>
      </x:c>
      <x:c r="O194" s="2" t="s">
        <x:v>1081</x:v>
      </x:c>
      <x:c r="P194" s="2" t="s">
        <x:v>1082</x:v>
      </x:c>
      <x:c r="Q194" s="2"/>
      <x:c r="R194" s="3"/>
      <x:c r="S194" s="3"/>
      <x:c r="T194" s="2"/>
      <x:c r="U194" s="2"/>
      <x:c r="V194" s="2"/>
      <x:c r="W194" s="2" t="s">
        <x:v>1098</x:v>
      </x:c>
      <x:c r="X194" s="3">
        <x:v>0</x:v>
      </x:c>
      <x:c r="Y194" s="3">
        <x:v>0</x:v>
      </x:c>
      <x:c r="Z194" s="2" t="s">
        <x:v>1083</x:v>
      </x:c>
      <x:c r="AA194" s="2"/>
      <x:c r="AB194" s="2"/>
      <x:c r="AC194" s="2"/>
      <x:c r="AD194" s="2"/>
      <x:c r="AE194" s="2"/>
      <x:c r="AF194" s="2"/>
      <x:c r="AG194" s="2"/>
      <x:c r="AH194" s="2"/>
      <x:c r="AI194" s="4"/>
      <x:c r="AJ194" s="2"/>
      <x:c r="AK194" s="2" t="s">
        <x:v>176</x:v>
      </x:c>
      <x:c r="AL194" s="2" t="s">
        <x:v>3061</x:v>
      </x:c>
      <x:c r="AM194" s="2">
        <x:v>44</x:v>
      </x:c>
      <x:c r="AN194" s="2">
        <x:v>44</x:v>
      </x:c>
    </x:row>
    <x:row r="195" ht="39">
      <x:c r="A195" s="2" t="s">
        <x:v>6</x:v>
      </x:c>
      <x:c r="B195" s="2" t="s">
        <x:v>14</x:v>
      </x:c>
      <x:c r="C195" s="3">
        <x:v>43</x:v>
      </x:c>
      <x:c r="D195" s="2" t="s">
        <x:v>166</x:v>
      </x:c>
      <x:c r="E195" s="2" t="s">
        <x:v>1099</x:v>
      </x:c>
      <x:c r="F195" s="2" t="s">
        <x:v>1090</x:v>
      </x:c>
      <x:c r="G195" s="2"/>
      <x:c r="H195" s="2" t="s">
        <x:v>1077</x:v>
      </x:c>
      <x:c r="I195" s="2" t="s">
        <x:v>1098</x:v>
      </x:c>
      <x:c r="J195" s="2" t="s">
        <x:v>1091</x:v>
      </x:c>
      <x:c r="K195" s="2"/>
      <x:c r="L195" s="2" t="s">
        <x:v>1092</x:v>
      </x:c>
      <x:c r="M195" s="2" t="s">
        <x:v>1080</x:v>
      </x:c>
      <x:c r="N195" s="2">
        <x:v>6</x:v>
      </x:c>
      <x:c r="O195" s="2" t="s">
        <x:v>1089</x:v>
      </x:c>
      <x:c r="P195" s="2" t="s">
        <x:v>1082</x:v>
      </x:c>
      <x:c r="Q195" s="2"/>
      <x:c r="R195" s="3"/>
      <x:c r="S195" s="3"/>
      <x:c r="T195" s="2"/>
      <x:c r="U195" s="2"/>
      <x:c r="V195" s="2"/>
      <x:c r="W195" s="2" t="s">
        <x:v>1098</x:v>
      </x:c>
      <x:c r="X195" s="3">
        <x:v>1</x:v>
      </x:c>
      <x:c r="Y195" s="3">
        <x:v>1</x:v>
      </x:c>
      <x:c r="Z195" s="2" t="s">
        <x:v>1083</x:v>
      </x:c>
      <x:c r="AA195" s="2"/>
      <x:c r="AB195" s="2"/>
      <x:c r="AC195" s="2"/>
      <x:c r="AD195" s="2"/>
      <x:c r="AE195" s="2"/>
      <x:c r="AF195" s="2"/>
      <x:c r="AG195" s="2"/>
      <x:c r="AH195" s="2"/>
      <x:c r="AI195" s="4"/>
      <x:c r="AJ195" s="2"/>
      <x:c r="AK195" s="2" t="s">
        <x:v>176</x:v>
      </x:c>
      <x:c r="AL195" s="2" t="s">
        <x:v>3061</x:v>
      </x:c>
      <x:c r="AM195" s="2">
        <x:v>45</x:v>
      </x:c>
      <x:c r="AN195" s="2">
        <x:v>45</x:v>
      </x:c>
    </x:row>
    <x:row r="196" ht="39">
      <x:c r="A196" s="2" t="s">
        <x:v>91</x:v>
      </x:c>
      <x:c r="B196" s="2" t="s">
        <x:v>14</x:v>
      </x:c>
      <x:c r="C196" s="3">
        <x:v>44</x:v>
      </x:c>
      <x:c r="D196" s="2" t="s">
        <x:v>1084</x:v>
      </x:c>
      <x:c r="E196" s="2" t="s">
        <x:v>1100</x:v>
      </x:c>
      <x:c r="F196" s="2" t="s">
        <x:v>1086</x:v>
      </x:c>
      <x:c r="G196" s="2" t="s">
        <x:v>3116</x:v>
      </x:c>
      <x:c r="H196" s="2" t="s">
        <x:v>1077</x:v>
      </x:c>
      <x:c r="I196" s="2" t="s">
        <x:v>1098</x:v>
      </x:c>
      <x:c r="J196" s="2" t="s">
        <x:v>1087</x:v>
      </x:c>
      <x:c r="K196" s="2"/>
      <x:c r="L196" s="2" t="s">
        <x:v>1088</x:v>
      </x:c>
      <x:c r="M196" s="2" t="s">
        <x:v>1080</x:v>
      </x:c>
      <x:c r="N196" s="2">
        <x:v>6</x:v>
      </x:c>
      <x:c r="O196" s="2" t="s">
        <x:v>1089</x:v>
      </x:c>
      <x:c r="P196" s="2" t="s">
        <x:v>1082</x:v>
      </x:c>
      <x:c r="Q196" s="2"/>
      <x:c r="R196" s="3"/>
      <x:c r="S196" s="3"/>
      <x:c r="T196" s="2"/>
      <x:c r="U196" s="2"/>
      <x:c r="V196" s="2"/>
      <x:c r="W196" s="2" t="s">
        <x:v>1098</x:v>
      </x:c>
      <x:c r="X196" s="3">
        <x:v>2</x:v>
      </x:c>
      <x:c r="Y196" s="3">
        <x:v>2</x:v>
      </x:c>
      <x:c r="Z196" s="2" t="s">
        <x:v>1083</x:v>
      </x:c>
      <x:c r="AA196" s="2"/>
      <x:c r="AB196" s="2"/>
      <x:c r="AC196" s="2"/>
      <x:c r="AD196" s="2"/>
      <x:c r="AE196" s="2"/>
      <x:c r="AF196" s="2"/>
      <x:c r="AG196" s="2"/>
      <x:c r="AH196" s="2"/>
      <x:c r="AI196" s="4"/>
      <x:c r="AJ196" s="2"/>
      <x:c r="AK196" s="2" t="s">
        <x:v>176</x:v>
      </x:c>
      <x:c r="AL196" s="2" t="s">
        <x:v>3061</x:v>
      </x:c>
      <x:c r="AM196" s="2">
        <x:v>46</x:v>
      </x:c>
      <x:c r="AN196" s="2">
        <x:v>46</x:v>
      </x:c>
    </x:row>
    <x:row r="197" ht="39">
      <x:c r="A197" s="2" t="s">
        <x:v>91</x:v>
      </x:c>
      <x:c r="B197" s="2" t="s">
        <x:v>14</x:v>
      </x:c>
      <x:c r="C197" s="3">
        <x:v>45</x:v>
      </x:c>
      <x:c r="D197" s="2" t="s">
        <x:v>184</x:v>
      </x:c>
      <x:c r="E197" s="2" t="s">
        <x:v>1102</x:v>
      </x:c>
      <x:c r="F197" s="2" t="s">
        <x:v>1076</x:v>
      </x:c>
      <x:c r="G197" s="2" t="s">
        <x:v>3117</x:v>
      </x:c>
      <x:c r="H197" s="2" t="s">
        <x:v>1077</x:v>
      </x:c>
      <x:c r="I197" s="2" t="s">
        <x:v>1098</x:v>
      </x:c>
      <x:c r="J197" s="2" t="s">
        <x:v>1079</x:v>
      </x:c>
      <x:c r="K197" s="2"/>
      <x:c r="L197" s="2" t="s">
        <x:v>189</x:v>
      </x:c>
      <x:c r="M197" s="2" t="s">
        <x:v>1080</x:v>
      </x:c>
      <x:c r="N197" s="2">
        <x:v>6</x:v>
      </x:c>
      <x:c r="O197" s="2" t="s">
        <x:v>1089</x:v>
      </x:c>
      <x:c r="P197" s="2" t="s">
        <x:v>1082</x:v>
      </x:c>
      <x:c r="Q197" s="2"/>
      <x:c r="R197" s="3"/>
      <x:c r="S197" s="3"/>
      <x:c r="T197" s="2"/>
      <x:c r="U197" s="2"/>
      <x:c r="V197" s="2"/>
      <x:c r="W197" s="2" t="s">
        <x:v>1098</x:v>
      </x:c>
      <x:c r="X197" s="3">
        <x:v>3</x:v>
      </x:c>
      <x:c r="Y197" s="3">
        <x:v>3</x:v>
      </x:c>
      <x:c r="Z197" s="2" t="s">
        <x:v>1083</x:v>
      </x:c>
      <x:c r="AA197" s="2"/>
      <x:c r="AB197" s="2"/>
      <x:c r="AC197" s="2"/>
      <x:c r="AD197" s="2"/>
      <x:c r="AE197" s="2"/>
      <x:c r="AF197" s="2"/>
      <x:c r="AG197" s="2"/>
      <x:c r="AH197" s="2"/>
      <x:c r="AI197" s="4"/>
      <x:c r="AJ197" s="2"/>
      <x:c r="AK197" s="2" t="s">
        <x:v>176</x:v>
      </x:c>
      <x:c r="AL197" s="2" t="s">
        <x:v>3061</x:v>
      </x:c>
      <x:c r="AM197" s="2">
        <x:v>47</x:v>
      </x:c>
      <x:c r="AN197" s="2">
        <x:v>47</x:v>
      </x:c>
    </x:row>
    <x:row r="198" ht="39">
      <x:c r="A198" s="2" t="s">
        <x:v>91</x:v>
      </x:c>
      <x:c r="B198" s="2" t="s">
        <x:v>14</x:v>
      </x:c>
      <x:c r="C198" s="3">
        <x:v>46</x:v>
      </x:c>
      <x:c r="D198" s="2" t="s">
        <x:v>184</x:v>
      </x:c>
      <x:c r="E198" s="2" t="s">
        <x:v>1104</x:v>
      </x:c>
      <x:c r="F198" s="2" t="s">
        <x:v>1031</x:v>
      </x:c>
      <x:c r="G198" s="2" t="s">
        <x:v>158</x:v>
      </x:c>
      <x:c r="H198" s="2" t="s">
        <x:v>618</x:v>
      </x:c>
      <x:c r="I198" s="2" t="s">
        <x:v>1105</x:v>
      </x:c>
      <x:c r="J198" s="2" t="s">
        <x:v>1032</x:v>
      </x:c>
      <x:c r="K198" s="2"/>
      <x:c r="L198" s="2" t="s">
        <x:v>1106</x:v>
      </x:c>
      <x:c r="M198" s="2" t="s">
        <x:v>1107</x:v>
      </x:c>
      <x:c r="N198" s="2">
        <x:v>3</x:v>
      </x:c>
      <x:c r="O198" s="2" t="s">
        <x:v>1024</x:v>
      </x:c>
      <x:c r="P198" s="2" t="s">
        <x:v>1035</x:v>
      </x:c>
      <x:c r="Q198" s="2"/>
      <x:c r="R198" s="3"/>
      <x:c r="S198" s="3"/>
      <x:c r="T198" s="2"/>
      <x:c r="U198" s="2"/>
      <x:c r="V198" s="2"/>
      <x:c r="W198" s="2" t="s">
        <x:v>1108</x:v>
      </x:c>
      <x:c r="X198" s="3">
        <x:v>2</x:v>
      </x:c>
      <x:c r="Y198" s="3">
        <x:v>3</x:v>
      </x:c>
      <x:c r="Z198" s="2" t="s">
        <x:v>175</x:v>
      </x:c>
      <x:c r="AA198" s="2"/>
      <x:c r="AB198" s="2"/>
      <x:c r="AC198" s="2"/>
      <x:c r="AD198" s="2"/>
      <x:c r="AE198" s="2"/>
      <x:c r="AF198" s="2"/>
      <x:c r="AG198" s="2"/>
      <x:c r="AH198" s="2"/>
      <x:c r="AI198" s="4"/>
      <x:c r="AJ198" s="2"/>
      <x:c r="AK198" s="2" t="s">
        <x:v>176</x:v>
      </x:c>
      <x:c r="AL198" s="2" t="s">
        <x:v>3061</x:v>
      </x:c>
      <x:c r="AM198" s="2">
        <x:v>48</x:v>
      </x:c>
      <x:c r="AN198" s="2">
        <x:v>48</x:v>
      </x:c>
    </x:row>
    <x:row r="199" ht="26">
      <x:c r="A199" s="2" t="s">
        <x:v>91</x:v>
      </x:c>
      <x:c r="B199" s="2" t="s">
        <x:v>14</x:v>
      </x:c>
      <x:c r="C199" s="3">
        <x:v>47</x:v>
      </x:c>
      <x:c r="D199" s="2" t="s">
        <x:v>1109</x:v>
      </x:c>
      <x:c r="E199" s="2" t="s">
        <x:v>1104</x:v>
      </x:c>
      <x:c r="F199" s="2" t="s">
        <x:v>1110</x:v>
      </x:c>
      <x:c r="G199" s="2" t="s">
        <x:v>158</x:v>
      </x:c>
      <x:c r="H199" s="2" t="s">
        <x:v>627</x:v>
      </x:c>
      <x:c r="I199" s="2" t="s">
        <x:v>1105</x:v>
      </x:c>
      <x:c r="J199" s="2" t="s">
        <x:v>1028</x:v>
      </x:c>
      <x:c r="K199" s="2" t="n">
        <x:v>46</x:v>
      </x:c>
      <x:c r="L199" s="2" t="s">
        <x:v>1111</x:v>
      </x:c>
      <x:c r="M199" s="2" t="s">
        <x:v>1023</x:v>
      </x:c>
      <x:c r="N199" s="2">
        <x:v>3</x:v>
      </x:c>
      <x:c r="O199" s="2" t="s">
        <x:v>1024</x:v>
      </x:c>
      <x:c r="P199" s="2" t="s">
        <x:v>1025</x:v>
      </x:c>
      <x:c r="Q199" s="2"/>
      <x:c r="R199" s="3"/>
      <x:c r="S199" s="3"/>
      <x:c r="T199" s="2"/>
      <x:c r="U199" s="2"/>
      <x:c r="V199" s="2"/>
      <x:c r="W199" s="2" t="s">
        <x:v>1108</x:v>
      </x:c>
      <x:c r="X199" s="3">
        <x:v>2</x:v>
      </x:c>
      <x:c r="Y199" s="3">
        <x:v>3</x:v>
      </x:c>
      <x:c r="Z199" s="2" t="s">
        <x:v>175</x:v>
      </x:c>
      <x:c r="AA199" s="2"/>
      <x:c r="AB199" s="2"/>
      <x:c r="AC199" s="2"/>
      <x:c r="AD199" s="2"/>
      <x:c r="AE199" s="2"/>
      <x:c r="AF199" s="2"/>
      <x:c r="AG199" s="2"/>
      <x:c r="AH199" s="2"/>
      <x:c r="AI199" s="4"/>
      <x:c r="AJ199" s="2"/>
      <x:c r="AK199" s="2" t="s">
        <x:v>176</x:v>
      </x:c>
      <x:c r="AL199" s="2" t="s">
        <x:v>3061</x:v>
      </x:c>
      <x:c r="AM199" s="2">
        <x:v>49</x:v>
      </x:c>
      <x:c r="AN199" s="2">
        <x:v>49</x:v>
      </x:c>
    </x:row>
    <x:row r="200" ht="39">
      <x:c r="A200" s="2" t="s">
        <x:v>91</x:v>
      </x:c>
      <x:c r="B200" s="2" t="s">
        <x:v>14</x:v>
      </x:c>
      <x:c r="C200" s="3">
        <x:v>48</x:v>
      </x:c>
      <x:c r="D200" s="2" t="s">
        <x:v>1019</x:v>
      </x:c>
      <x:c r="E200" s="2" t="s">
        <x:v>1104</x:v>
      </x:c>
      <x:c r="F200" s="2" t="s">
        <x:v>1020</x:v>
      </x:c>
      <x:c r="G200" s="2" t="s">
        <x:v>3118</x:v>
      </x:c>
      <x:c r="H200" s="2" t="s">
        <x:v>627</x:v>
      </x:c>
      <x:c r="I200" s="2" t="s">
        <x:v>1105</x:v>
      </x:c>
      <x:c r="J200" s="2" t="s">
        <x:v>1021</x:v>
      </x:c>
      <x:c r="K200" s="2"/>
      <x:c r="L200" s="2" t="s">
        <x:v>1022</x:v>
      </x:c>
      <x:c r="M200" s="2" t="s">
        <x:v>1023</x:v>
      </x:c>
      <x:c r="N200" s="2">
        <x:v>3</x:v>
      </x:c>
      <x:c r="O200" s="2" t="s">
        <x:v>1024</x:v>
      </x:c>
      <x:c r="P200" s="2" t="s">
        <x:v>1025</x:v>
      </x:c>
      <x:c r="Q200" s="2"/>
      <x:c r="R200" s="3"/>
      <x:c r="S200" s="3"/>
      <x:c r="T200" s="2"/>
      <x:c r="U200" s="2"/>
      <x:c r="V200" s="2"/>
      <x:c r="W200" s="2" t="s">
        <x:v>1113</x:v>
      </x:c>
      <x:c r="X200" s="3">
        <x:v>2</x:v>
      </x:c>
      <x:c r="Y200" s="3">
        <x:v>1</x:v>
      </x:c>
      <x:c r="Z200" s="2" t="s">
        <x:v>191</x:v>
      </x:c>
      <x:c r="AA200" s="2"/>
      <x:c r="AB200" s="2"/>
      <x:c r="AC200" s="2"/>
      <x:c r="AD200" s="2"/>
      <x:c r="AE200" s="2"/>
      <x:c r="AF200" s="2"/>
      <x:c r="AG200" s="2"/>
      <x:c r="AH200" s="2"/>
      <x:c r="AI200" s="4"/>
      <x:c r="AJ200" s="2"/>
      <x:c r="AK200" s="2" t="s">
        <x:v>176</x:v>
      </x:c>
      <x:c r="AL200" s="2" t="s">
        <x:v>3061</x:v>
      </x:c>
      <x:c r="AM200" s="2">
        <x:v>50</x:v>
      </x:c>
      <x:c r="AN200" s="2">
        <x:v>50</x:v>
      </x:c>
    </x:row>
    <x:row r="201" ht="39">
      <x:c r="A201" s="2" t="s">
        <x:v>91</x:v>
      </x:c>
      <x:c r="B201" s="2" t="s">
        <x:v>14</x:v>
      </x:c>
      <x:c r="C201" s="3">
        <x:v>49</x:v>
      </x:c>
      <x:c r="D201" s="2" t="s">
        <x:v>166</x:v>
      </x:c>
      <x:c r="E201" s="2" t="s">
        <x:v>1104</x:v>
      </x:c>
      <x:c r="F201" s="2" t="s">
        <x:v>1011</x:v>
      </x:c>
      <x:c r="G201" s="2" t="s">
        <x:v>158</x:v>
      </x:c>
      <x:c r="H201" s="2" t="s">
        <x:v>618</x:v>
      </x:c>
      <x:c r="I201" s="2" t="s">
        <x:v>1105</x:v>
      </x:c>
      <x:c r="J201" s="2" t="s">
        <x:v>1013</x:v>
      </x:c>
      <x:c r="K201" s="2" t="n">
        <x:v>48</x:v>
      </x:c>
      <x:c r="L201" s="2" t="s">
        <x:v>1040</x:v>
      </x:c>
      <x:c r="M201" s="2" t="s">
        <x:v>1041</x:v>
      </x:c>
      <x:c r="N201" s="2">
        <x:v>3</x:v>
      </x:c>
      <x:c r="O201" s="2" t="s">
        <x:v>1016</x:v>
      </x:c>
      <x:c r="P201" s="2" t="s">
        <x:v>1017</x:v>
      </x:c>
      <x:c r="Q201" s="2"/>
      <x:c r="R201" s="3"/>
      <x:c r="S201" s="3"/>
      <x:c r="T201" s="2"/>
      <x:c r="U201" s="2"/>
      <x:c r="V201" s="2"/>
      <x:c r="W201" s="2" t="s">
        <x:v>1113</x:v>
      </x:c>
      <x:c r="X201" s="3">
        <x:v>2</x:v>
      </x:c>
      <x:c r="Y201" s="3">
        <x:v>1</x:v>
      </x:c>
      <x:c r="Z201" s="2" t="s">
        <x:v>191</x:v>
      </x:c>
      <x:c r="AA201" s="2"/>
      <x:c r="AB201" s="2"/>
      <x:c r="AC201" s="2"/>
      <x:c r="AD201" s="2"/>
      <x:c r="AE201" s="2"/>
      <x:c r="AF201" s="2"/>
      <x:c r="AG201" s="2"/>
      <x:c r="AH201" s="2"/>
      <x:c r="AI201" s="4"/>
      <x:c r="AJ201" s="2"/>
      <x:c r="AK201" s="2" t="s">
        <x:v>176</x:v>
      </x:c>
      <x:c r="AL201" s="2" t="s">
        <x:v>3061</x:v>
      </x:c>
      <x:c r="AM201" s="2">
        <x:v>51</x:v>
      </x:c>
      <x:c r="AN201" s="2">
        <x:v>51</x:v>
      </x:c>
    </x:row>
    <x:row r="202" ht="39">
      <x:c r="A202" s="2" t="s">
        <x:v>91</x:v>
      </x:c>
      <x:c r="B202" s="2" t="s">
        <x:v>14</x:v>
      </x:c>
      <x:c r="C202" s="3">
        <x:v>50</x:v>
      </x:c>
      <x:c r="D202" s="2" t="s">
        <x:v>166</x:v>
      </x:c>
      <x:c r="E202" s="2" t="s">
        <x:v>1010</x:v>
      </x:c>
      <x:c r="F202" s="2" t="s">
        <x:v>1011</x:v>
      </x:c>
      <x:c r="G202" s="2" t="s">
        <x:v>158</x:v>
      </x:c>
      <x:c r="H202" s="2" t="s">
        <x:v>618</x:v>
      </x:c>
      <x:c r="I202" s="2" t="s">
        <x:v>1114</x:v>
      </x:c>
      <x:c r="J202" s="2" t="s">
        <x:v>1013</x:v>
      </x:c>
      <x:c r="K202" s="2"/>
      <x:c r="L202" s="2" t="s">
        <x:v>1014</x:v>
      </x:c>
      <x:c r="M202" s="2" t="s">
        <x:v>1015</x:v>
      </x:c>
      <x:c r="N202" s="2">
        <x:v>4</x:v>
      </x:c>
      <x:c r="O202" s="2" t="s">
        <x:v>1016</x:v>
      </x:c>
      <x:c r="P202" s="2" t="s">
        <x:v>1017</x:v>
      </x:c>
      <x:c r="Q202" s="2"/>
      <x:c r="R202" s="3"/>
      <x:c r="S202" s="3"/>
      <x:c r="T202" s="2"/>
      <x:c r="U202" s="2"/>
      <x:c r="V202" s="2"/>
      <x:c r="W202" s="2" t="s">
        <x:v>1115</x:v>
      </x:c>
      <x:c r="X202" s="3">
        <x:v>2</x:v>
      </x:c>
      <x:c r="Y202" s="3">
        <x:v>1</x:v>
      </x:c>
      <x:c r="Z202" s="2" t="s">
        <x:v>191</x:v>
      </x:c>
      <x:c r="AA202" s="2"/>
      <x:c r="AB202" s="2"/>
      <x:c r="AC202" s="2"/>
      <x:c r="AD202" s="2"/>
      <x:c r="AE202" s="2"/>
      <x:c r="AF202" s="2"/>
      <x:c r="AG202" s="2"/>
      <x:c r="AH202" s="2"/>
      <x:c r="AI202" s="4"/>
      <x:c r="AJ202" s="2"/>
      <x:c r="AK202" s="2" t="s">
        <x:v>176</x:v>
      </x:c>
      <x:c r="AL202" s="2" t="s">
        <x:v>3061</x:v>
      </x:c>
      <x:c r="AM202" s="2">
        <x:v>52</x:v>
      </x:c>
      <x:c r="AN202" s="2">
        <x:v>52</x:v>
      </x:c>
    </x:row>
    <x:row r="203" ht="39">
      <x:c r="A203" s="2" t="s">
        <x:v>91</x:v>
      </x:c>
      <x:c r="B203" s="2" t="s">
        <x:v>14</x:v>
      </x:c>
      <x:c r="C203" s="3">
        <x:v>51</x:v>
      </x:c>
      <x:c r="D203" s="2" t="s">
        <x:v>184</x:v>
      </x:c>
      <x:c r="E203" s="2" t="s">
        <x:v>1010</x:v>
      </x:c>
      <x:c r="F203" s="2" t="s">
        <x:v>1031</x:v>
      </x:c>
      <x:c r="G203" s="2" t="s">
        <x:v>158</x:v>
      </x:c>
      <x:c r="H203" s="2" t="s">
        <x:v>618</x:v>
      </x:c>
      <x:c r="I203" s="2" t="s">
        <x:v>1114</x:v>
      </x:c>
      <x:c r="J203" s="2" t="s">
        <x:v>1032</x:v>
      </x:c>
      <x:c r="K203" s="2" t="n">
        <x:v>50</x:v>
      </x:c>
      <x:c r="L203" s="2" t="s">
        <x:v>1033</x:v>
      </x:c>
      <x:c r="M203" s="2" t="s">
        <x:v>1034</x:v>
      </x:c>
      <x:c r="N203" s="2">
        <x:v>4</x:v>
      </x:c>
      <x:c r="O203" s="2" t="s">
        <x:v>1024</x:v>
      </x:c>
      <x:c r="P203" s="2" t="s">
        <x:v>1035</x:v>
      </x:c>
      <x:c r="Q203" s="2"/>
      <x:c r="R203" s="3"/>
      <x:c r="S203" s="3"/>
      <x:c r="T203" s="2"/>
      <x:c r="U203" s="2"/>
      <x:c r="V203" s="2"/>
      <x:c r="W203" s="2" t="s">
        <x:v>1116</x:v>
      </x:c>
      <x:c r="X203" s="3">
        <x:v>2</x:v>
      </x:c>
      <x:c r="Y203" s="3">
        <x:v>3</x:v>
      </x:c>
      <x:c r="Z203" s="2" t="s">
        <x:v>175</x:v>
      </x:c>
      <x:c r="AA203" s="2"/>
      <x:c r="AB203" s="2"/>
      <x:c r="AC203" s="2"/>
      <x:c r="AD203" s="2"/>
      <x:c r="AE203" s="2"/>
      <x:c r="AF203" s="2"/>
      <x:c r="AG203" s="2"/>
      <x:c r="AH203" s="2"/>
      <x:c r="AI203" s="4"/>
      <x:c r="AJ203" s="2"/>
      <x:c r="AK203" s="2" t="s">
        <x:v>176</x:v>
      </x:c>
      <x:c r="AL203" s="2" t="s">
        <x:v>3061</x:v>
      </x:c>
      <x:c r="AM203" s="2">
        <x:v>53</x:v>
      </x:c>
      <x:c r="AN203" s="2">
        <x:v>53</x:v>
      </x:c>
    </x:row>
    <x:row r="204" ht="39">
      <x:c r="A204" s="2" t="s">
        <x:v>91</x:v>
      </x:c>
      <x:c r="B204" s="2" t="s">
        <x:v>14</x:v>
      </x:c>
      <x:c r="C204" s="3">
        <x:v>52</x:v>
      </x:c>
      <x:c r="D204" s="2" t="s">
        <x:v>166</x:v>
      </x:c>
      <x:c r="E204" s="2" t="s">
        <x:v>1117</x:v>
      </x:c>
      <x:c r="F204" s="2" t="s">
        <x:v>1011</x:v>
      </x:c>
      <x:c r="G204" s="2" t="s">
        <x:v>158</x:v>
      </x:c>
      <x:c r="H204" s="2" t="s">
        <x:v>618</x:v>
      </x:c>
      <x:c r="I204" s="2" t="s">
        <x:v>1118</x:v>
      </x:c>
      <x:c r="J204" s="2" t="s">
        <x:v>1013</x:v>
      </x:c>
      <x:c r="K204" s="2"/>
      <x:c r="L204" s="2" t="s">
        <x:v>1014</x:v>
      </x:c>
      <x:c r="M204" s="2" t="s">
        <x:v>1015</x:v>
      </x:c>
      <x:c r="N204" s="2">
        <x:v>4</x:v>
      </x:c>
      <x:c r="O204" s="2" t="s">
        <x:v>1016</x:v>
      </x:c>
      <x:c r="P204" s="2" t="s">
        <x:v>1017</x:v>
      </x:c>
      <x:c r="Q204" s="2"/>
      <x:c r="R204" s="3"/>
      <x:c r="S204" s="3"/>
      <x:c r="T204" s="2"/>
      <x:c r="U204" s="2"/>
      <x:c r="V204" s="2"/>
      <x:c r="W204" s="2" t="s">
        <x:v>1119</x:v>
      </x:c>
      <x:c r="X204" s="3">
        <x:v>2</x:v>
      </x:c>
      <x:c r="Y204" s="3">
        <x:v>1</x:v>
      </x:c>
      <x:c r="Z204" s="2" t="s">
        <x:v>191</x:v>
      </x:c>
      <x:c r="AA204" s="2"/>
      <x:c r="AB204" s="2"/>
      <x:c r="AC204" s="2"/>
      <x:c r="AD204" s="2"/>
      <x:c r="AE204" s="2"/>
      <x:c r="AF204" s="2"/>
      <x:c r="AG204" s="2"/>
      <x:c r="AH204" s="2"/>
      <x:c r="AI204" s="4"/>
      <x:c r="AJ204" s="2"/>
      <x:c r="AK204" s="2" t="s">
        <x:v>176</x:v>
      </x:c>
      <x:c r="AL204" s="2" t="s">
        <x:v>3061</x:v>
      </x:c>
      <x:c r="AM204" s="2">
        <x:v>54</x:v>
      </x:c>
      <x:c r="AN204" s="2">
        <x:v>54</x:v>
      </x:c>
    </x:row>
    <x:row r="205" ht="39">
      <x:c r="A205" s="2" t="s">
        <x:v>91</x:v>
      </x:c>
      <x:c r="B205" s="2" t="s">
        <x:v>14</x:v>
      </x:c>
      <x:c r="C205" s="3">
        <x:v>53</x:v>
      </x:c>
      <x:c r="D205" s="2" t="s">
        <x:v>184</x:v>
      </x:c>
      <x:c r="E205" s="2" t="s">
        <x:v>1117</x:v>
      </x:c>
      <x:c r="F205" s="2" t="s">
        <x:v>1031</x:v>
      </x:c>
      <x:c r="G205" s="2" t="s">
        <x:v>158</x:v>
      </x:c>
      <x:c r="H205" s="2" t="s">
        <x:v>618</x:v>
      </x:c>
      <x:c r="I205" s="2" t="s">
        <x:v>1118</x:v>
      </x:c>
      <x:c r="J205" s="2" t="s">
        <x:v>1032</x:v>
      </x:c>
      <x:c r="K205" s="2" t="n">
        <x:v>52</x:v>
      </x:c>
      <x:c r="L205" s="2" t="s">
        <x:v>1120</x:v>
      </x:c>
      <x:c r="M205" s="2" t="s">
        <x:v>1041</x:v>
      </x:c>
      <x:c r="N205" s="2">
        <x:v>4</x:v>
      </x:c>
      <x:c r="O205" s="2" t="s">
        <x:v>1024</x:v>
      </x:c>
      <x:c r="P205" s="2" t="s">
        <x:v>1035</x:v>
      </x:c>
      <x:c r="Q205" s="2"/>
      <x:c r="R205" s="3"/>
      <x:c r="S205" s="3"/>
      <x:c r="T205" s="2"/>
      <x:c r="U205" s="2"/>
      <x:c r="V205" s="2"/>
      <x:c r="W205" s="2" t="s">
        <x:v>1121</x:v>
      </x:c>
      <x:c r="X205" s="3">
        <x:v>2</x:v>
      </x:c>
      <x:c r="Y205" s="3">
        <x:v>3</x:v>
      </x:c>
      <x:c r="Z205" s="2" t="s">
        <x:v>175</x:v>
      </x:c>
      <x:c r="AA205" s="2"/>
      <x:c r="AB205" s="2"/>
      <x:c r="AC205" s="2"/>
      <x:c r="AD205" s="2"/>
      <x:c r="AE205" s="2"/>
      <x:c r="AF205" s="2"/>
      <x:c r="AG205" s="2"/>
      <x:c r="AH205" s="2"/>
      <x:c r="AI205" s="4"/>
      <x:c r="AJ205" s="2"/>
      <x:c r="AK205" s="2" t="s">
        <x:v>176</x:v>
      </x:c>
      <x:c r="AL205" s="2" t="s">
        <x:v>3061</x:v>
      </x:c>
      <x:c r="AM205" s="2">
        <x:v>55</x:v>
      </x:c>
      <x:c r="AN205" s="2">
        <x:v>55</x:v>
      </x:c>
    </x:row>
    <x:row r="206" ht="39">
      <x:c r="A206" s="2" t="s">
        <x:v>6</x:v>
      </x:c>
      <x:c r="B206" s="2" t="s">
        <x:v>14</x:v>
      </x:c>
      <x:c r="C206" s="3">
        <x:v>54</x:v>
      </x:c>
      <x:c r="D206" s="2" t="s">
        <x:v>977</x:v>
      </x:c>
      <x:c r="E206" s="2" t="s">
        <x:v>1122</x:v>
      </x:c>
      <x:c r="F206" s="2" t="s">
        <x:v>1123</x:v>
      </x:c>
      <x:c r="G206" s="2"/>
      <x:c r="H206" s="2" t="s">
        <x:v>1124</x:v>
      </x:c>
      <x:c r="I206" s="2" t="s">
        <x:v>1125</x:v>
      </x:c>
      <x:c r="J206" s="2" t="s">
        <x:v>1126</x:v>
      </x:c>
      <x:c r="K206" s="2"/>
      <x:c r="L206" s="2" t="s">
        <x:v>1127</x:v>
      </x:c>
      <x:c r="M206" s="2" t="s">
        <x:v>1128</x:v>
      </x:c>
      <x:c r="N206" s="2">
        <x:v>5</x:v>
      </x:c>
      <x:c r="O206" s="2" t="s">
        <x:v>1129</x:v>
      </x:c>
      <x:c r="P206" s="2" t="s">
        <x:v>1130</x:v>
      </x:c>
      <x:c r="Q206" s="2"/>
      <x:c r="R206" s="3"/>
      <x:c r="S206" s="3"/>
      <x:c r="T206" s="2"/>
      <x:c r="U206" s="2"/>
      <x:c r="V206" s="2"/>
      <x:c r="W206" s="2" t="s">
        <x:v>1131</x:v>
      </x:c>
      <x:c r="X206" s="3">
        <x:v>1</x:v>
      </x:c>
      <x:c r="Y206" s="3">
        <x:v>0</x:v>
      </x:c>
      <x:c r="Z206" s="2" t="s">
        <x:v>191</x:v>
      </x:c>
      <x:c r="AA206" s="2"/>
      <x:c r="AB206" s="2"/>
      <x:c r="AC206" s="2"/>
      <x:c r="AD206" s="2"/>
      <x:c r="AE206" s="2"/>
      <x:c r="AF206" s="2"/>
      <x:c r="AG206" s="2"/>
      <x:c r="AH206" s="2"/>
      <x:c r="AI206" s="4"/>
      <x:c r="AJ206" s="2"/>
      <x:c r="AK206" s="2" t="s">
        <x:v>176</x:v>
      </x:c>
      <x:c r="AL206" s="2" t="s">
        <x:v>3061</x:v>
      </x:c>
      <x:c r="AM206" s="2">
        <x:v>56</x:v>
      </x:c>
      <x:c r="AN206" s="2">
        <x:v>56</x:v>
      </x:c>
    </x:row>
    <x:row r="207" ht="39">
      <x:c r="A207" s="2" t="s">
        <x:v>91</x:v>
      </x:c>
      <x:c r="B207" s="2" t="s">
        <x:v>14</x:v>
      </x:c>
      <x:c r="C207" s="3">
        <x:v>55</x:v>
      </x:c>
      <x:c r="D207" s="2" t="s">
        <x:v>985</x:v>
      </x:c>
      <x:c r="E207" s="2" t="s">
        <x:v>1122</x:v>
      </x:c>
      <x:c r="F207" s="2" t="s">
        <x:v>1132</x:v>
      </x:c>
      <x:c r="G207" s="2" t="s">
        <x:v>158</x:v>
      </x:c>
      <x:c r="H207" s="2" t="s">
        <x:v>1124</x:v>
      </x:c>
      <x:c r="I207" s="2" t="s">
        <x:v>1125</x:v>
      </x:c>
      <x:c r="J207" s="2" t="s">
        <x:v>1133</x:v>
      </x:c>
      <x:c r="K207" s="2" t="n">
        <x:v>54</x:v>
      </x:c>
      <x:c r="L207" s="2" t="s">
        <x:v>1134</x:v>
      </x:c>
      <x:c r="M207" s="2" t="s">
        <x:v>1128</x:v>
      </x:c>
      <x:c r="N207" s="2">
        <x:v>5</x:v>
      </x:c>
      <x:c r="O207" s="2" t="s">
        <x:v>1135</x:v>
      </x:c>
      <x:c r="P207" s="2" t="s">
        <x:v>1136</x:v>
      </x:c>
      <x:c r="Q207" s="2"/>
      <x:c r="R207" s="3"/>
      <x:c r="S207" s="3"/>
      <x:c r="T207" s="2"/>
      <x:c r="U207" s="2"/>
      <x:c r="V207" s="2"/>
      <x:c r="W207" s="2" t="s">
        <x:v>1131</x:v>
      </x:c>
      <x:c r="X207" s="3">
        <x:v>1</x:v>
      </x:c>
      <x:c r="Y207" s="3">
        <x:v>2</x:v>
      </x:c>
      <x:c r="Z207" s="2" t="s">
        <x:v>175</x:v>
      </x:c>
      <x:c r="AA207" s="2"/>
      <x:c r="AB207" s="2"/>
      <x:c r="AC207" s="2"/>
      <x:c r="AD207" s="2"/>
      <x:c r="AE207" s="2"/>
      <x:c r="AF207" s="2"/>
      <x:c r="AG207" s="2"/>
      <x:c r="AH207" s="2"/>
      <x:c r="AI207" s="4"/>
      <x:c r="AJ207" s="2"/>
      <x:c r="AK207" s="2" t="s">
        <x:v>176</x:v>
      </x:c>
      <x:c r="AL207" s="2" t="s">
        <x:v>3061</x:v>
      </x:c>
      <x:c r="AM207" s="2">
        <x:v>57</x:v>
      </x:c>
      <x:c r="AN207" s="2">
        <x:v>57</x:v>
      </x:c>
    </x:row>
    <x:row r="208" ht="39">
      <x:c r="A208" s="2" t="s">
        <x:v>91</x:v>
      </x:c>
      <x:c r="B208" s="2" t="s">
        <x:v>14</x:v>
      </x:c>
      <x:c r="C208" s="3">
        <x:v>56</x:v>
      </x:c>
      <x:c r="D208" s="2" t="s">
        <x:v>985</x:v>
      </x:c>
      <x:c r="E208" s="2" t="s">
        <x:v>1137</x:v>
      </x:c>
      <x:c r="F208" s="2" t="s">
        <x:v>1138</x:v>
      </x:c>
      <x:c r="G208" s="2" t="s">
        <x:v>158</x:v>
      </x:c>
      <x:c r="H208" s="2" t="s">
        <x:v>1124</x:v>
      </x:c>
      <x:c r="I208" s="2" t="s">
        <x:v>1125</x:v>
      </x:c>
      <x:c r="J208" s="2" t="s">
        <x:v>1139</x:v>
      </x:c>
      <x:c r="K208" s="2"/>
      <x:c r="L208" s="2" t="s">
        <x:v>1134</x:v>
      </x:c>
      <x:c r="M208" s="2" t="s">
        <x:v>1128</x:v>
      </x:c>
      <x:c r="N208" s="2">
        <x:v>5</x:v>
      </x:c>
      <x:c r="O208" s="2" t="s">
        <x:v>1140</x:v>
      </x:c>
      <x:c r="P208" s="2" t="s">
        <x:v>1130</x:v>
      </x:c>
      <x:c r="Q208" s="2"/>
      <x:c r="R208" s="3"/>
      <x:c r="S208" s="3"/>
      <x:c r="T208" s="2"/>
      <x:c r="U208" s="2"/>
      <x:c r="V208" s="2"/>
      <x:c r="W208" s="2" t="s">
        <x:v>1141</x:v>
      </x:c>
      <x:c r="X208" s="3">
        <x:v>1</x:v>
      </x:c>
      <x:c r="Y208" s="3">
        <x:v>2</x:v>
      </x:c>
      <x:c r="Z208" s="2" t="s">
        <x:v>175</x:v>
      </x:c>
      <x:c r="AA208" s="2"/>
      <x:c r="AB208" s="2"/>
      <x:c r="AC208" s="2"/>
      <x:c r="AD208" s="2"/>
      <x:c r="AE208" s="2"/>
      <x:c r="AF208" s="2"/>
      <x:c r="AG208" s="2"/>
      <x:c r="AH208" s="2"/>
      <x:c r="AI208" s="4"/>
      <x:c r="AJ208" s="2"/>
      <x:c r="AK208" s="2" t="s">
        <x:v>176</x:v>
      </x:c>
      <x:c r="AL208" s="2" t="s">
        <x:v>3061</x:v>
      </x:c>
      <x:c r="AM208" s="2">
        <x:v>58</x:v>
      </x:c>
      <x:c r="AN208" s="2">
        <x:v>58</x:v>
      </x:c>
    </x:row>
    <x:row r="209" ht="39">
      <x:c r="A209" s="2" t="s">
        <x:v>6</x:v>
      </x:c>
      <x:c r="B209" s="2" t="s">
        <x:v>14</x:v>
      </x:c>
      <x:c r="C209" s="3">
        <x:v>57</x:v>
      </x:c>
      <x:c r="D209" s="2" t="s">
        <x:v>977</x:v>
      </x:c>
      <x:c r="E209" s="2" t="s">
        <x:v>1137</x:v>
      </x:c>
      <x:c r="F209" s="2" t="s">
        <x:v>1142</x:v>
      </x:c>
      <x:c r="G209" s="2"/>
      <x:c r="H209" s="2" t="s">
        <x:v>1124</x:v>
      </x:c>
      <x:c r="I209" s="2" t="s">
        <x:v>1125</x:v>
      </x:c>
      <x:c r="J209" s="2" t="s">
        <x:v>1144</x:v>
      </x:c>
      <x:c r="K209" s="2" t="n">
        <x:v>56</x:v>
      </x:c>
      <x:c r="L209" s="2" t="s">
        <x:v>1127</x:v>
      </x:c>
      <x:c r="M209" s="2" t="s">
        <x:v>1128</x:v>
      </x:c>
      <x:c r="N209" s="2">
        <x:v>5</x:v>
      </x:c>
      <x:c r="O209" s="2" t="s">
        <x:v>1135</x:v>
      </x:c>
      <x:c r="P209" s="2" t="s">
        <x:v>1136</x:v>
      </x:c>
      <x:c r="Q209" s="2"/>
      <x:c r="R209" s="3"/>
      <x:c r="S209" s="3"/>
      <x:c r="T209" s="2"/>
      <x:c r="U209" s="2"/>
      <x:c r="V209" s="2"/>
      <x:c r="W209" s="2" t="s">
        <x:v>1141</x:v>
      </x:c>
      <x:c r="X209" s="3">
        <x:v>1</x:v>
      </x:c>
      <x:c r="Y209" s="3">
        <x:v>0</x:v>
      </x:c>
      <x:c r="Z209" s="2" t="s">
        <x:v>191</x:v>
      </x:c>
      <x:c r="AA209" s="2"/>
      <x:c r="AB209" s="2"/>
      <x:c r="AC209" s="2"/>
      <x:c r="AD209" s="2"/>
      <x:c r="AE209" s="2"/>
      <x:c r="AF209" s="2"/>
      <x:c r="AG209" s="2"/>
      <x:c r="AH209" s="2"/>
      <x:c r="AI209" s="4"/>
      <x:c r="AJ209" s="2"/>
      <x:c r="AK209" s="2" t="s">
        <x:v>176</x:v>
      </x:c>
      <x:c r="AL209" s="2" t="s">
        <x:v>3061</x:v>
      </x:c>
      <x:c r="AM209" s="2">
        <x:v>59</x:v>
      </x:c>
      <x:c r="AN209" s="2">
        <x:v>59</x:v>
      </x:c>
    </x:row>
    <x:row r="210" ht="39">
      <x:c r="A210" s="2" t="s">
        <x:v>6</x:v>
      </x:c>
      <x:c r="B210" s="2" t="s">
        <x:v>14</x:v>
      </x:c>
      <x:c r="C210" s="3">
        <x:v>58</x:v>
      </x:c>
      <x:c r="D210" s="2" t="s">
        <x:v>977</x:v>
      </x:c>
      <x:c r="E210" s="2" t="s">
        <x:v>1122</x:v>
      </x:c>
      <x:c r="F210" s="2" t="s">
        <x:v>1123</x:v>
      </x:c>
      <x:c r="G210" s="2"/>
      <x:c r="H210" s="2" t="s">
        <x:v>1124</x:v>
      </x:c>
      <x:c r="I210" s="2" t="s">
        <x:v>1145</x:v>
      </x:c>
      <x:c r="J210" s="2" t="s">
        <x:v>1126</x:v>
      </x:c>
      <x:c r="K210" s="2"/>
      <x:c r="L210" s="2" t="s">
        <x:v>1127</x:v>
      </x:c>
      <x:c r="M210" s="2" t="s">
        <x:v>1128</x:v>
      </x:c>
      <x:c r="N210" s="2">
        <x:v>5</x:v>
      </x:c>
      <x:c r="O210" s="2" t="s">
        <x:v>1129</x:v>
      </x:c>
      <x:c r="P210" s="2" t="s">
        <x:v>1130</x:v>
      </x:c>
      <x:c r="Q210" s="2"/>
      <x:c r="R210" s="3"/>
      <x:c r="S210" s="3"/>
      <x:c r="T210" s="2"/>
      <x:c r="U210" s="2"/>
      <x:c r="V210" s="2"/>
      <x:c r="W210" s="2" t="s">
        <x:v>1146</x:v>
      </x:c>
      <x:c r="X210" s="3">
        <x:v>1</x:v>
      </x:c>
      <x:c r="Y210" s="3">
        <x:v>0</x:v>
      </x:c>
      <x:c r="Z210" s="2" t="s">
        <x:v>191</x:v>
      </x:c>
      <x:c r="AA210" s="2"/>
      <x:c r="AB210" s="2"/>
      <x:c r="AC210" s="2"/>
      <x:c r="AD210" s="2"/>
      <x:c r="AE210" s="2"/>
      <x:c r="AF210" s="2"/>
      <x:c r="AG210" s="2"/>
      <x:c r="AH210" s="2"/>
      <x:c r="AI210" s="4"/>
      <x:c r="AJ210" s="2"/>
      <x:c r="AK210" s="2" t="s">
        <x:v>176</x:v>
      </x:c>
      <x:c r="AL210" s="2" t="s">
        <x:v>3061</x:v>
      </x:c>
      <x:c r="AM210" s="2">
        <x:v>60</x:v>
      </x:c>
      <x:c r="AN210" s="2">
        <x:v>60</x:v>
      </x:c>
    </x:row>
    <x:row r="211" ht="39">
      <x:c r="A211" s="2" t="s">
        <x:v>91</x:v>
      </x:c>
      <x:c r="B211" s="2" t="s">
        <x:v>14</x:v>
      </x:c>
      <x:c r="C211" s="3">
        <x:v>59</x:v>
      </x:c>
      <x:c r="D211" s="2" t="s">
        <x:v>985</x:v>
      </x:c>
      <x:c r="E211" s="2" t="s">
        <x:v>1122</x:v>
      </x:c>
      <x:c r="F211" s="2" t="s">
        <x:v>1132</x:v>
      </x:c>
      <x:c r="G211" s="2" t="s">
        <x:v>158</x:v>
      </x:c>
      <x:c r="H211" s="2" t="s">
        <x:v>1124</x:v>
      </x:c>
      <x:c r="I211" s="2" t="s">
        <x:v>1145</x:v>
      </x:c>
      <x:c r="J211" s="2" t="s">
        <x:v>1133</x:v>
      </x:c>
      <x:c r="K211" s="2" t="n">
        <x:v>58</x:v>
      </x:c>
      <x:c r="L211" s="2" t="s">
        <x:v>1134</x:v>
      </x:c>
      <x:c r="M211" s="2" t="s">
        <x:v>1128</x:v>
      </x:c>
      <x:c r="N211" s="2">
        <x:v>5</x:v>
      </x:c>
      <x:c r="O211" s="2" t="s">
        <x:v>1135</x:v>
      </x:c>
      <x:c r="P211" s="2" t="s">
        <x:v>1136</x:v>
      </x:c>
      <x:c r="Q211" s="2"/>
      <x:c r="R211" s="3"/>
      <x:c r="S211" s="3"/>
      <x:c r="T211" s="2"/>
      <x:c r="U211" s="2"/>
      <x:c r="V211" s="2"/>
      <x:c r="W211" s="2" t="s">
        <x:v>1146</x:v>
      </x:c>
      <x:c r="X211" s="3">
        <x:v>1</x:v>
      </x:c>
      <x:c r="Y211" s="3">
        <x:v>2</x:v>
      </x:c>
      <x:c r="Z211" s="2" t="s">
        <x:v>175</x:v>
      </x:c>
      <x:c r="AA211" s="2"/>
      <x:c r="AB211" s="2"/>
      <x:c r="AC211" s="2"/>
      <x:c r="AD211" s="2"/>
      <x:c r="AE211" s="2"/>
      <x:c r="AF211" s="2"/>
      <x:c r="AG211" s="2"/>
      <x:c r="AH211" s="2"/>
      <x:c r="AI211" s="4"/>
      <x:c r="AJ211" s="2"/>
      <x:c r="AK211" s="2" t="s">
        <x:v>176</x:v>
      </x:c>
      <x:c r="AL211" s="2" t="s">
        <x:v>3061</x:v>
      </x:c>
      <x:c r="AM211" s="2">
        <x:v>61</x:v>
      </x:c>
      <x:c r="AN211" s="2">
        <x:v>61</x:v>
      </x:c>
    </x:row>
    <x:row r="212" ht="39">
      <x:c r="A212" s="2" t="s">
        <x:v>91</x:v>
      </x:c>
      <x:c r="B212" s="2" t="s">
        <x:v>14</x:v>
      </x:c>
      <x:c r="C212" s="3">
        <x:v>60</x:v>
      </x:c>
      <x:c r="D212" s="2" t="s">
        <x:v>985</x:v>
      </x:c>
      <x:c r="E212" s="2" t="s">
        <x:v>1137</x:v>
      </x:c>
      <x:c r="F212" s="2" t="s">
        <x:v>1138</x:v>
      </x:c>
      <x:c r="G212" s="2" t="s">
        <x:v>158</x:v>
      </x:c>
      <x:c r="H212" s="2" t="s">
        <x:v>1124</x:v>
      </x:c>
      <x:c r="I212" s="2" t="s">
        <x:v>1145</x:v>
      </x:c>
      <x:c r="J212" s="2" t="s">
        <x:v>1139</x:v>
      </x:c>
      <x:c r="K212" s="2"/>
      <x:c r="L212" s="2" t="s">
        <x:v>1134</x:v>
      </x:c>
      <x:c r="M212" s="2" t="s">
        <x:v>1128</x:v>
      </x:c>
      <x:c r="N212" s="2">
        <x:v>5</x:v>
      </x:c>
      <x:c r="O212" s="2" t="s">
        <x:v>1140</x:v>
      </x:c>
      <x:c r="P212" s="2" t="s">
        <x:v>1130</x:v>
      </x:c>
      <x:c r="Q212" s="2"/>
      <x:c r="R212" s="3"/>
      <x:c r="S212" s="3"/>
      <x:c r="T212" s="2"/>
      <x:c r="U212" s="2"/>
      <x:c r="V212" s="2"/>
      <x:c r="W212" s="2" t="s">
        <x:v>1147</x:v>
      </x:c>
      <x:c r="X212" s="3">
        <x:v>1</x:v>
      </x:c>
      <x:c r="Y212" s="3">
        <x:v>2</x:v>
      </x:c>
      <x:c r="Z212" s="2" t="s">
        <x:v>175</x:v>
      </x:c>
      <x:c r="AA212" s="2"/>
      <x:c r="AB212" s="2"/>
      <x:c r="AC212" s="2"/>
      <x:c r="AD212" s="2"/>
      <x:c r="AE212" s="2"/>
      <x:c r="AF212" s="2"/>
      <x:c r="AG212" s="2"/>
      <x:c r="AH212" s="2"/>
      <x:c r="AI212" s="4"/>
      <x:c r="AJ212" s="2"/>
      <x:c r="AK212" s="2" t="s">
        <x:v>176</x:v>
      </x:c>
      <x:c r="AL212" s="2" t="s">
        <x:v>3061</x:v>
      </x:c>
      <x:c r="AM212" s="2">
        <x:v>62</x:v>
      </x:c>
      <x:c r="AN212" s="2">
        <x:v>62</x:v>
      </x:c>
    </x:row>
    <x:row r="213" ht="39">
      <x:c r="A213" s="2" t="s">
        <x:v>6</x:v>
      </x:c>
      <x:c r="B213" s="2" t="s">
        <x:v>14</x:v>
      </x:c>
      <x:c r="C213" s="3">
        <x:v>61</x:v>
      </x:c>
      <x:c r="D213" s="2" t="s">
        <x:v>977</x:v>
      </x:c>
      <x:c r="E213" s="2" t="s">
        <x:v>1137</x:v>
      </x:c>
      <x:c r="F213" s="2" t="s">
        <x:v>1142</x:v>
      </x:c>
      <x:c r="G213" s="2"/>
      <x:c r="H213" s="2" t="s">
        <x:v>1124</x:v>
      </x:c>
      <x:c r="I213" s="2" t="s">
        <x:v>1145</x:v>
      </x:c>
      <x:c r="J213" s="2" t="s">
        <x:v>1144</x:v>
      </x:c>
      <x:c r="K213" s="2" t="n">
        <x:v>60</x:v>
      </x:c>
      <x:c r="L213" s="2" t="s">
        <x:v>1127</x:v>
      </x:c>
      <x:c r="M213" s="2" t="s">
        <x:v>1128</x:v>
      </x:c>
      <x:c r="N213" s="2">
        <x:v>5</x:v>
      </x:c>
      <x:c r="O213" s="2" t="s">
        <x:v>1135</x:v>
      </x:c>
      <x:c r="P213" s="2" t="s">
        <x:v>1136</x:v>
      </x:c>
      <x:c r="Q213" s="2"/>
      <x:c r="R213" s="3"/>
      <x:c r="S213" s="3"/>
      <x:c r="T213" s="2"/>
      <x:c r="U213" s="2"/>
      <x:c r="V213" s="2"/>
      <x:c r="W213" s="2" t="s">
        <x:v>1147</x:v>
      </x:c>
      <x:c r="X213" s="3">
        <x:v>1</x:v>
      </x:c>
      <x:c r="Y213" s="3">
        <x:v>0</x:v>
      </x:c>
      <x:c r="Z213" s="2" t="s">
        <x:v>191</x:v>
      </x:c>
      <x:c r="AA213" s="2"/>
      <x:c r="AB213" s="2"/>
      <x:c r="AC213" s="2"/>
      <x:c r="AD213" s="2"/>
      <x:c r="AE213" s="2"/>
      <x:c r="AF213" s="2"/>
      <x:c r="AG213" s="2"/>
      <x:c r="AH213" s="2"/>
      <x:c r="AI213" s="4"/>
      <x:c r="AJ213" s="2"/>
      <x:c r="AK213" s="2" t="s">
        <x:v>176</x:v>
      </x:c>
      <x:c r="AL213" s="2" t="s">
        <x:v>3061</x:v>
      </x:c>
      <x:c r="AM213" s="2">
        <x:v>63</x:v>
      </x:c>
      <x:c r="AN213" s="2">
        <x:v>63</x:v>
      </x:c>
    </x:row>
    <x:row r="214" ht="39">
      <x:c r="A214" s="2" t="s">
        <x:v>91</x:v>
      </x:c>
      <x:c r="B214" s="2" t="s">
        <x:v>14</x:v>
      </x:c>
      <x:c r="C214" s="3">
        <x:v>62</x:v>
      </x:c>
      <x:c r="D214" s="2" t="s">
        <x:v>166</x:v>
      </x:c>
      <x:c r="E214" s="2" t="s">
        <x:v>1117</x:v>
      </x:c>
      <x:c r="F214" s="2" t="s">
        <x:v>1011</x:v>
      </x:c>
      <x:c r="G214" s="2" t="s">
        <x:v>158</x:v>
      </x:c>
      <x:c r="H214" s="2" t="s">
        <x:v>618</x:v>
      </x:c>
      <x:c r="I214" s="2" t="s">
        <x:v>1148</x:v>
      </x:c>
      <x:c r="J214" s="2" t="s">
        <x:v>1013</x:v>
      </x:c>
      <x:c r="K214" s="2"/>
      <x:c r="L214" s="2" t="s">
        <x:v>1014</x:v>
      </x:c>
      <x:c r="M214" s="2" t="s">
        <x:v>1015</x:v>
      </x:c>
      <x:c r="N214" s="2">
        <x:v>4</x:v>
      </x:c>
      <x:c r="O214" s="2" t="s">
        <x:v>1016</x:v>
      </x:c>
      <x:c r="P214" s="2" t="s">
        <x:v>1017</x:v>
      </x:c>
      <x:c r="Q214" s="2"/>
      <x:c r="R214" s="3"/>
      <x:c r="S214" s="3"/>
      <x:c r="T214" s="2"/>
      <x:c r="U214" s="2"/>
      <x:c r="V214" s="2"/>
      <x:c r="W214" s="2" t="s">
        <x:v>1149</x:v>
      </x:c>
      <x:c r="X214" s="3">
        <x:v>2</x:v>
      </x:c>
      <x:c r="Y214" s="3">
        <x:v>1</x:v>
      </x:c>
      <x:c r="Z214" s="2" t="s">
        <x:v>191</x:v>
      </x:c>
      <x:c r="AA214" s="2"/>
      <x:c r="AB214" s="2"/>
      <x:c r="AC214" s="2"/>
      <x:c r="AD214" s="2"/>
      <x:c r="AE214" s="2"/>
      <x:c r="AF214" s="2"/>
      <x:c r="AG214" s="2"/>
      <x:c r="AH214" s="2"/>
      <x:c r="AI214" s="4"/>
      <x:c r="AJ214" s="2"/>
      <x:c r="AK214" s="2" t="s">
        <x:v>176</x:v>
      </x:c>
      <x:c r="AL214" s="2" t="s">
        <x:v>3061</x:v>
      </x:c>
      <x:c r="AM214" s="2">
        <x:v>64</x:v>
      </x:c>
      <x:c r="AN214" s="2">
        <x:v>64</x:v>
      </x:c>
    </x:row>
    <x:row r="215" ht="39">
      <x:c r="A215" s="2" t="s">
        <x:v>91</x:v>
      </x:c>
      <x:c r="B215" s="2" t="s">
        <x:v>14</x:v>
      </x:c>
      <x:c r="C215" s="3">
        <x:v>63</x:v>
      </x:c>
      <x:c r="D215" s="2" t="s">
        <x:v>184</x:v>
      </x:c>
      <x:c r="E215" s="2" t="s">
        <x:v>1117</x:v>
      </x:c>
      <x:c r="F215" s="2" t="s">
        <x:v>1031</x:v>
      </x:c>
      <x:c r="G215" s="2" t="s">
        <x:v>158</x:v>
      </x:c>
      <x:c r="H215" s="2" t="s">
        <x:v>618</x:v>
      </x:c>
      <x:c r="I215" s="2" t="s">
        <x:v>1148</x:v>
      </x:c>
      <x:c r="J215" s="2" t="s">
        <x:v>1032</x:v>
      </x:c>
      <x:c r="K215" s="2" t="n">
        <x:v>62</x:v>
      </x:c>
      <x:c r="L215" s="2" t="s">
        <x:v>1120</x:v>
      </x:c>
      <x:c r="M215" s="2" t="s">
        <x:v>1041</x:v>
      </x:c>
      <x:c r="N215" s="2">
        <x:v>4</x:v>
      </x:c>
      <x:c r="O215" s="2" t="s">
        <x:v>1024</x:v>
      </x:c>
      <x:c r="P215" s="2" t="s">
        <x:v>1035</x:v>
      </x:c>
      <x:c r="Q215" s="2"/>
      <x:c r="R215" s="3"/>
      <x:c r="S215" s="3"/>
      <x:c r="T215" s="2"/>
      <x:c r="U215" s="2"/>
      <x:c r="V215" s="2"/>
      <x:c r="W215" s="2" t="s">
        <x:v>1150</x:v>
      </x:c>
      <x:c r="X215" s="3">
        <x:v>2</x:v>
      </x:c>
      <x:c r="Y215" s="3">
        <x:v>3</x:v>
      </x:c>
      <x:c r="Z215" s="2" t="s">
        <x:v>175</x:v>
      </x:c>
      <x:c r="AA215" s="2"/>
      <x:c r="AB215" s="2"/>
      <x:c r="AC215" s="2"/>
      <x:c r="AD215" s="2"/>
      <x:c r="AE215" s="2"/>
      <x:c r="AF215" s="2"/>
      <x:c r="AG215" s="2"/>
      <x:c r="AH215" s="2"/>
      <x:c r="AI215" s="4"/>
      <x:c r="AJ215" s="2"/>
      <x:c r="AK215" s="2" t="s">
        <x:v>176</x:v>
      </x:c>
      <x:c r="AL215" s="2" t="s">
        <x:v>3061</x:v>
      </x:c>
      <x:c r="AM215" s="2">
        <x:v>65</x:v>
      </x:c>
      <x:c r="AN215" s="2">
        <x:v>65</x:v>
      </x:c>
    </x:row>
    <x:row r="216" ht="39">
      <x:c r="A216" s="2" t="s">
        <x:v>91</x:v>
      </x:c>
      <x:c r="B216" s="2" t="s">
        <x:v>14</x:v>
      </x:c>
      <x:c r="C216" s="3">
        <x:v>64</x:v>
      </x:c>
      <x:c r="D216" s="2" t="s">
        <x:v>184</x:v>
      </x:c>
      <x:c r="E216" s="2" t="s">
        <x:v>1151</x:v>
      </x:c>
      <x:c r="F216" s="2" t="s">
        <x:v>1031</x:v>
      </x:c>
      <x:c r="G216" s="2" t="s">
        <x:v>158</x:v>
      </x:c>
      <x:c r="H216" s="2" t="s">
        <x:v>618</x:v>
      </x:c>
      <x:c r="I216" s="2" t="s">
        <x:v>1152</x:v>
      </x:c>
      <x:c r="J216" s="2" t="s">
        <x:v>1032</x:v>
      </x:c>
      <x:c r="K216" s="2"/>
      <x:c r="L216" s="2" t="s">
        <x:v>1106</x:v>
      </x:c>
      <x:c r="M216" s="2" t="s">
        <x:v>1107</x:v>
      </x:c>
      <x:c r="N216" s="2">
        <x:v>4</x:v>
      </x:c>
      <x:c r="O216" s="2" t="s">
        <x:v>1024</x:v>
      </x:c>
      <x:c r="P216" s="2" t="s">
        <x:v>1035</x:v>
      </x:c>
      <x:c r="Q216" s="2"/>
      <x:c r="R216" s="3"/>
      <x:c r="S216" s="3"/>
      <x:c r="T216" s="2"/>
      <x:c r="U216" s="2"/>
      <x:c r="V216" s="2"/>
      <x:c r="W216" s="2" t="s">
        <x:v>1153</x:v>
      </x:c>
      <x:c r="X216" s="3">
        <x:v>2</x:v>
      </x:c>
      <x:c r="Y216" s="3">
        <x:v>3</x:v>
      </x:c>
      <x:c r="Z216" s="2" t="s">
        <x:v>175</x:v>
      </x:c>
      <x:c r="AA216" s="2"/>
      <x:c r="AB216" s="2"/>
      <x:c r="AC216" s="2"/>
      <x:c r="AD216" s="2"/>
      <x:c r="AE216" s="2"/>
      <x:c r="AF216" s="2"/>
      <x:c r="AG216" s="2"/>
      <x:c r="AH216" s="2"/>
      <x:c r="AI216" s="4"/>
      <x:c r="AJ216" s="2"/>
      <x:c r="AK216" s="2" t="s">
        <x:v>176</x:v>
      </x:c>
      <x:c r="AL216" s="2" t="s">
        <x:v>3061</x:v>
      </x:c>
      <x:c r="AM216" s="2">
        <x:v>66</x:v>
      </x:c>
      <x:c r="AN216" s="2">
        <x:v>66</x:v>
      </x:c>
    </x:row>
    <x:row r="217" ht="39">
      <x:c r="A217" s="2" t="s">
        <x:v>91</x:v>
      </x:c>
      <x:c r="B217" s="2" t="s">
        <x:v>14</x:v>
      </x:c>
      <x:c r="C217" s="3">
        <x:v>65</x:v>
      </x:c>
      <x:c r="D217" s="2" t="s">
        <x:v>166</x:v>
      </x:c>
      <x:c r="E217" s="2" t="s">
        <x:v>1151</x:v>
      </x:c>
      <x:c r="F217" s="2" t="s">
        <x:v>1011</x:v>
      </x:c>
      <x:c r="G217" s="2" t="s">
        <x:v>158</x:v>
      </x:c>
      <x:c r="H217" s="2" t="s">
        <x:v>618</x:v>
      </x:c>
      <x:c r="I217" s="2" t="s">
        <x:v>1152</x:v>
      </x:c>
      <x:c r="J217" s="2" t="s">
        <x:v>1013</x:v>
      </x:c>
      <x:c r="K217" s="2" t="n">
        <x:v>64</x:v>
      </x:c>
      <x:c r="L217" s="2" t="s">
        <x:v>1074</x:v>
      </x:c>
      <x:c r="M217" s="2" t="s">
        <x:v>1034</x:v>
      </x:c>
      <x:c r="N217" s="2">
        <x:v>4</x:v>
      </x:c>
      <x:c r="O217" s="2" t="s">
        <x:v>1016</x:v>
      </x:c>
      <x:c r="P217" s="2" t="s">
        <x:v>1017</x:v>
      </x:c>
      <x:c r="Q217" s="2"/>
      <x:c r="R217" s="3"/>
      <x:c r="S217" s="3"/>
      <x:c r="T217" s="2"/>
      <x:c r="U217" s="2"/>
      <x:c r="V217" s="2"/>
      <x:c r="W217" s="2" t="s">
        <x:v>1154</x:v>
      </x:c>
      <x:c r="X217" s="3">
        <x:v>2</x:v>
      </x:c>
      <x:c r="Y217" s="3">
        <x:v>1</x:v>
      </x:c>
      <x:c r="Z217" s="2" t="s">
        <x:v>191</x:v>
      </x:c>
      <x:c r="AA217" s="2"/>
      <x:c r="AB217" s="2"/>
      <x:c r="AC217" s="2"/>
      <x:c r="AD217" s="2"/>
      <x:c r="AE217" s="2"/>
      <x:c r="AF217" s="2"/>
      <x:c r="AG217" s="2"/>
      <x:c r="AH217" s="2"/>
      <x:c r="AI217" s="4"/>
      <x:c r="AJ217" s="2"/>
      <x:c r="AK217" s="2" t="s">
        <x:v>176</x:v>
      </x:c>
      <x:c r="AL217" s="2" t="s">
        <x:v>3061</x:v>
      </x:c>
      <x:c r="AM217" s="2">
        <x:v>67</x:v>
      </x:c>
      <x:c r="AN217" s="2">
        <x:v>67</x:v>
      </x:c>
    </x:row>
    <x:row r="218" ht="39">
      <x:c r="A218" s="2" t="s">
        <x:v>91</x:v>
      </x:c>
      <x:c r="B218" s="2" t="s">
        <x:v>14</x:v>
      </x:c>
      <x:c r="C218" s="3">
        <x:v>66</x:v>
      </x:c>
      <x:c r="D218" s="2" t="s">
        <x:v>184</x:v>
      </x:c>
      <x:c r="E218" s="2" t="s">
        <x:v>1151</x:v>
      </x:c>
      <x:c r="F218" s="2" t="s">
        <x:v>1031</x:v>
      </x:c>
      <x:c r="G218" s="2" t="s">
        <x:v>158</x:v>
      </x:c>
      <x:c r="H218" s="2" t="s">
        <x:v>618</x:v>
      </x:c>
      <x:c r="I218" s="2" t="s">
        <x:v>1155</x:v>
      </x:c>
      <x:c r="J218" s="2" t="s">
        <x:v>1032</x:v>
      </x:c>
      <x:c r="K218" s="2"/>
      <x:c r="L218" s="2" t="s">
        <x:v>1106</x:v>
      </x:c>
      <x:c r="M218" s="2" t="s">
        <x:v>1107</x:v>
      </x:c>
      <x:c r="N218" s="2">
        <x:v>4</x:v>
      </x:c>
      <x:c r="O218" s="2" t="s">
        <x:v>1024</x:v>
      </x:c>
      <x:c r="P218" s="2" t="s">
        <x:v>1035</x:v>
      </x:c>
      <x:c r="Q218" s="2"/>
      <x:c r="R218" s="3"/>
      <x:c r="S218" s="3"/>
      <x:c r="T218" s="2"/>
      <x:c r="U218" s="2"/>
      <x:c r="V218" s="2"/>
      <x:c r="W218" s="2" t="s">
        <x:v>1156</x:v>
      </x:c>
      <x:c r="X218" s="3">
        <x:v>2</x:v>
      </x:c>
      <x:c r="Y218" s="3">
        <x:v>3</x:v>
      </x:c>
      <x:c r="Z218" s="2" t="s">
        <x:v>175</x:v>
      </x:c>
      <x:c r="AA218" s="2"/>
      <x:c r="AB218" s="2"/>
      <x:c r="AC218" s="2"/>
      <x:c r="AD218" s="2"/>
      <x:c r="AE218" s="2"/>
      <x:c r="AF218" s="2"/>
      <x:c r="AG218" s="2"/>
      <x:c r="AH218" s="2"/>
      <x:c r="AI218" s="4"/>
      <x:c r="AJ218" s="2"/>
      <x:c r="AK218" s="2" t="s">
        <x:v>176</x:v>
      </x:c>
      <x:c r="AL218" s="2" t="s">
        <x:v>3061</x:v>
      </x:c>
      <x:c r="AM218" s="2">
        <x:v>68</x:v>
      </x:c>
      <x:c r="AN218" s="2">
        <x:v>68</x:v>
      </x:c>
    </x:row>
    <x:row r="219" ht="39">
      <x:c r="A219" s="2" t="s">
        <x:v>91</x:v>
      </x:c>
      <x:c r="B219" s="2" t="s">
        <x:v>14</x:v>
      </x:c>
      <x:c r="C219" s="3">
        <x:v>67</x:v>
      </x:c>
      <x:c r="D219" s="2" t="s">
        <x:v>166</x:v>
      </x:c>
      <x:c r="E219" s="2" t="s">
        <x:v>1151</x:v>
      </x:c>
      <x:c r="F219" s="2" t="s">
        <x:v>1011</x:v>
      </x:c>
      <x:c r="G219" s="2" t="s">
        <x:v>158</x:v>
      </x:c>
      <x:c r="H219" s="2" t="s">
        <x:v>618</x:v>
      </x:c>
      <x:c r="I219" s="2" t="s">
        <x:v>1155</x:v>
      </x:c>
      <x:c r="J219" s="2" t="s">
        <x:v>1013</x:v>
      </x:c>
      <x:c r="K219" s="2" t="n">
        <x:v>66</x:v>
      </x:c>
      <x:c r="L219" s="2" t="s">
        <x:v>1074</x:v>
      </x:c>
      <x:c r="M219" s="2" t="s">
        <x:v>1034</x:v>
      </x:c>
      <x:c r="N219" s="2">
        <x:v>4</x:v>
      </x:c>
      <x:c r="O219" s="2" t="s">
        <x:v>1016</x:v>
      </x:c>
      <x:c r="P219" s="2" t="s">
        <x:v>1017</x:v>
      </x:c>
      <x:c r="Q219" s="2"/>
      <x:c r="R219" s="3"/>
      <x:c r="S219" s="3"/>
      <x:c r="T219" s="2"/>
      <x:c r="U219" s="2"/>
      <x:c r="V219" s="2"/>
      <x:c r="W219" s="2" t="s">
        <x:v>1157</x:v>
      </x:c>
      <x:c r="X219" s="3">
        <x:v>2</x:v>
      </x:c>
      <x:c r="Y219" s="3">
        <x:v>1</x:v>
      </x:c>
      <x:c r="Z219" s="2" t="s">
        <x:v>191</x:v>
      </x:c>
      <x:c r="AA219" s="2"/>
      <x:c r="AB219" s="2"/>
      <x:c r="AC219" s="2"/>
      <x:c r="AD219" s="2"/>
      <x:c r="AE219" s="2"/>
      <x:c r="AF219" s="2"/>
      <x:c r="AG219" s="2"/>
      <x:c r="AH219" s="2"/>
      <x:c r="AI219" s="4"/>
      <x:c r="AJ219" s="2"/>
      <x:c r="AK219" s="2" t="s">
        <x:v>176</x:v>
      </x:c>
      <x:c r="AL219" s="2" t="s">
        <x:v>3061</x:v>
      </x:c>
      <x:c r="AM219" s="2">
        <x:v>69</x:v>
      </x:c>
      <x:c r="AN219" s="2">
        <x:v>69</x:v>
      </x:c>
    </x:row>
    <x:row r="220" ht="39">
      <x:c r="A220" s="2" t="s">
        <x:v>91</x:v>
      </x:c>
      <x:c r="B220" s="2" t="s">
        <x:v>14</x:v>
      </x:c>
      <x:c r="C220" s="3">
        <x:v>68</x:v>
      </x:c>
      <x:c r="D220" s="2" t="s">
        <x:v>166</x:v>
      </x:c>
      <x:c r="E220" s="2" t="s">
        <x:v>1043</x:v>
      </x:c>
      <x:c r="F220" s="2" t="s">
        <x:v>1011</x:v>
      </x:c>
      <x:c r="G220" s="2" t="s">
        <x:v>158</x:v>
      </x:c>
      <x:c r="H220" s="2" t="s">
        <x:v>618</x:v>
      </x:c>
      <x:c r="I220" s="2" t="s">
        <x:v>1158</x:v>
      </x:c>
      <x:c r="J220" s="2" t="s">
        <x:v>1013</x:v>
      </x:c>
      <x:c r="K220" s="2"/>
      <x:c r="L220" s="2" t="s">
        <x:v>1014</x:v>
      </x:c>
      <x:c r="M220" s="2" t="s">
        <x:v>1015</x:v>
      </x:c>
      <x:c r="N220" s="2">
        <x:v>3</x:v>
      </x:c>
      <x:c r="O220" s="2" t="s">
        <x:v>1016</x:v>
      </x:c>
      <x:c r="P220" s="2" t="s">
        <x:v>1017</x:v>
      </x:c>
      <x:c r="Q220" s="2"/>
      <x:c r="R220" s="3"/>
      <x:c r="S220" s="3"/>
      <x:c r="T220" s="2"/>
      <x:c r="U220" s="2"/>
      <x:c r="V220" s="2"/>
      <x:c r="W220" s="2" t="s">
        <x:v>1159</x:v>
      </x:c>
      <x:c r="X220" s="3">
        <x:v>2</x:v>
      </x:c>
      <x:c r="Y220" s="3">
        <x:v>1</x:v>
      </x:c>
      <x:c r="Z220" s="2" t="s">
        <x:v>191</x:v>
      </x:c>
      <x:c r="AA220" s="2"/>
      <x:c r="AB220" s="2"/>
      <x:c r="AC220" s="2"/>
      <x:c r="AD220" s="2"/>
      <x:c r="AE220" s="2"/>
      <x:c r="AF220" s="2"/>
      <x:c r="AG220" s="2"/>
      <x:c r="AH220" s="2"/>
      <x:c r="AI220" s="4"/>
      <x:c r="AJ220" s="2"/>
      <x:c r="AK220" s="2" t="s">
        <x:v>176</x:v>
      </x:c>
      <x:c r="AL220" s="2" t="s">
        <x:v>3061</x:v>
      </x:c>
      <x:c r="AM220" s="2">
        <x:v>70</x:v>
      </x:c>
      <x:c r="AN220" s="2">
        <x:v>70</x:v>
      </x:c>
    </x:row>
    <x:row r="221" ht="26">
      <x:c r="A221" s="2" t="s">
        <x:v>91</x:v>
      </x:c>
      <x:c r="B221" s="2" t="s">
        <x:v>14</x:v>
      </x:c>
      <x:c r="C221" s="3">
        <x:v>69</x:v>
      </x:c>
      <x:c r="D221" s="2" t="s">
        <x:v>1160</x:v>
      </x:c>
      <x:c r="E221" s="2" t="s">
        <x:v>1043</x:v>
      </x:c>
      <x:c r="F221" s="2" t="s">
        <x:v>1161</x:v>
      </x:c>
      <x:c r="G221" s="2" t="s">
        <x:v>3119</x:v>
      </x:c>
      <x:c r="H221" s="2" t="s">
        <x:v>627</x:v>
      </x:c>
      <x:c r="I221" s="2" t="s">
        <x:v>1158</x:v>
      </x:c>
      <x:c r="J221" s="2" t="s">
        <x:v>1021</x:v>
      </x:c>
      <x:c r="K221" s="2" t="n">
        <x:v>68</x:v>
      </x:c>
      <x:c r="L221" s="2" t="s">
        <x:v>1163</x:v>
      </x:c>
      <x:c r="M221" s="2" t="s">
        <x:v>1023</x:v>
      </x:c>
      <x:c r="N221" s="2">
        <x:v>3</x:v>
      </x:c>
      <x:c r="O221" s="2" t="s">
        <x:v>1024</x:v>
      </x:c>
      <x:c r="P221" s="2" t="s">
        <x:v>1025</x:v>
      </x:c>
      <x:c r="Q221" s="2"/>
      <x:c r="R221" s="3"/>
      <x:c r="S221" s="3"/>
      <x:c r="T221" s="2"/>
      <x:c r="U221" s="2"/>
      <x:c r="V221" s="2"/>
      <x:c r="W221" s="2" t="s">
        <x:v>1159</x:v>
      </x:c>
      <x:c r="X221" s="3">
        <x:v>2</x:v>
      </x:c>
      <x:c r="Y221" s="3">
        <x:v>1</x:v>
      </x:c>
      <x:c r="Z221" s="2" t="s">
        <x:v>191</x:v>
      </x:c>
      <x:c r="AA221" s="2"/>
      <x:c r="AB221" s="2"/>
      <x:c r="AC221" s="2"/>
      <x:c r="AD221" s="2"/>
      <x:c r="AE221" s="2"/>
      <x:c r="AF221" s="2"/>
      <x:c r="AG221" s="2"/>
      <x:c r="AH221" s="2"/>
      <x:c r="AI221" s="4"/>
      <x:c r="AJ221" s="2"/>
      <x:c r="AK221" s="2" t="s">
        <x:v>176</x:v>
      </x:c>
      <x:c r="AL221" s="2" t="s">
        <x:v>3061</x:v>
      </x:c>
      <x:c r="AM221" s="2">
        <x:v>71</x:v>
      </x:c>
      <x:c r="AN221" s="2">
        <x:v>71</x:v>
      </x:c>
    </x:row>
    <x:row r="222" ht="26">
      <x:c r="A222" s="2" t="s">
        <x:v>6</x:v>
      </x:c>
      <x:c r="B222" s="2" t="s">
        <x:v>14</x:v>
      </x:c>
      <x:c r="C222" s="3">
        <x:v>70</x:v>
      </x:c>
      <x:c r="D222" s="2" t="s">
        <x:v>1026</x:v>
      </x:c>
      <x:c r="E222" s="2" t="s">
        <x:v>1043</x:v>
      </x:c>
      <x:c r="F222" s="2" t="s">
        <x:v>1027</x:v>
      </x:c>
      <x:c r="G222" s="2" t="s">
        <x:v>3120</x:v>
      </x:c>
      <x:c r="H222" s="2" t="s">
        <x:v>627</x:v>
      </x:c>
      <x:c r="I222" s="2" t="s">
        <x:v>1158</x:v>
      </x:c>
      <x:c r="J222" s="2" t="s">
        <x:v>1028</x:v>
      </x:c>
      <x:c r="K222" s="2"/>
      <x:c r="L222" s="2" t="s">
        <x:v>1029</x:v>
      </x:c>
      <x:c r="M222" s="2" t="s">
        <x:v>1023</x:v>
      </x:c>
      <x:c r="N222" s="2">
        <x:v>3</x:v>
      </x:c>
      <x:c r="O222" s="2" t="s">
        <x:v>1024</x:v>
      </x:c>
      <x:c r="P222" s="2" t="s">
        <x:v>1025</x:v>
      </x:c>
      <x:c r="Q222" s="2"/>
      <x:c r="R222" s="3"/>
      <x:c r="S222" s="3"/>
      <x:c r="T222" s="2"/>
      <x:c r="U222" s="2"/>
      <x:c r="V222" s="2"/>
      <x:c r="W222" s="2" t="s">
        <x:v>1164</x:v>
      </x:c>
      <x:c r="X222" s="3">
        <x:v>2</x:v>
      </x:c>
      <x:c r="Y222" s="3">
        <x:v>3</x:v>
      </x:c>
      <x:c r="Z222" s="2" t="s">
        <x:v>175</x:v>
      </x:c>
      <x:c r="AA222" s="2"/>
      <x:c r="AB222" s="2"/>
      <x:c r="AC222" s="2"/>
      <x:c r="AD222" s="2"/>
      <x:c r="AE222" s="2"/>
      <x:c r="AF222" s="2"/>
      <x:c r="AG222" s="2"/>
      <x:c r="AH222" s="2"/>
      <x:c r="AI222" s="4"/>
      <x:c r="AJ222" s="2"/>
      <x:c r="AK222" s="2" t="s">
        <x:v>176</x:v>
      </x:c>
      <x:c r="AL222" s="2" t="s">
        <x:v>3061</x:v>
      </x:c>
      <x:c r="AM222" s="2">
        <x:v>72</x:v>
      </x:c>
      <x:c r="AN222" s="2">
        <x:v>72</x:v>
      </x:c>
    </x:row>
    <x:row r="223" ht="39">
      <x:c r="A223" s="2" t="s">
        <x:v>91</x:v>
      </x:c>
      <x:c r="B223" s="2" t="s">
        <x:v>14</x:v>
      </x:c>
      <x:c r="C223" s="3">
        <x:v>71</x:v>
      </x:c>
      <x:c r="D223" s="2" t="s">
        <x:v>184</x:v>
      </x:c>
      <x:c r="E223" s="2" t="s">
        <x:v>1043</x:v>
      </x:c>
      <x:c r="F223" s="2" t="s">
        <x:v>1031</x:v>
      </x:c>
      <x:c r="G223" s="2" t="s">
        <x:v>158</x:v>
      </x:c>
      <x:c r="H223" s="2" t="s">
        <x:v>618</x:v>
      </x:c>
      <x:c r="I223" s="2" t="s">
        <x:v>1158</x:v>
      </x:c>
      <x:c r="J223" s="2" t="s">
        <x:v>1032</x:v>
      </x:c>
      <x:c r="K223" s="2" t="n">
        <x:v>70</x:v>
      </x:c>
      <x:c r="L223" s="2" t="s">
        <x:v>1033</x:v>
      </x:c>
      <x:c r="M223" s="2" t="s">
        <x:v>1034</x:v>
      </x:c>
      <x:c r="N223" s="2">
        <x:v>3</x:v>
      </x:c>
      <x:c r="O223" s="2" t="s">
        <x:v>1024</x:v>
      </x:c>
      <x:c r="P223" s="2" t="s">
        <x:v>1035</x:v>
      </x:c>
      <x:c r="Q223" s="2"/>
      <x:c r="R223" s="3"/>
      <x:c r="S223" s="3"/>
      <x:c r="T223" s="2"/>
      <x:c r="U223" s="2"/>
      <x:c r="V223" s="2"/>
      <x:c r="W223" s="2" t="s">
        <x:v>1164</x:v>
      </x:c>
      <x:c r="X223" s="3">
        <x:v>2</x:v>
      </x:c>
      <x:c r="Y223" s="3">
        <x:v>3</x:v>
      </x:c>
      <x:c r="Z223" s="2" t="s">
        <x:v>175</x:v>
      </x:c>
      <x:c r="AA223" s="2"/>
      <x:c r="AB223" s="2"/>
      <x:c r="AC223" s="2"/>
      <x:c r="AD223" s="2"/>
      <x:c r="AE223" s="2"/>
      <x:c r="AF223" s="2"/>
      <x:c r="AG223" s="2"/>
      <x:c r="AH223" s="2"/>
      <x:c r="AI223" s="4"/>
      <x:c r="AJ223" s="2"/>
      <x:c r="AK223" s="2" t="s">
        <x:v>176</x:v>
      </x:c>
      <x:c r="AL223" s="2" t="s">
        <x:v>3061</x:v>
      </x:c>
      <x:c r="AM223" s="2">
        <x:v>73</x:v>
      </x:c>
      <x:c r="AN223" s="2">
        <x:v>73</x:v>
      </x:c>
    </x:row>
    <x:row r="224" ht="39">
      <x:c r="A224" s="2" t="s">
        <x:v>91</x:v>
      </x:c>
      <x:c r="B224" s="2" t="s">
        <x:v>14</x:v>
      </x:c>
      <x:c r="C224" s="3">
        <x:v>72</x:v>
      </x:c>
      <x:c r="D224" s="2" t="s">
        <x:v>184</x:v>
      </x:c>
      <x:c r="E224" s="2" t="s">
        <x:v>1151</x:v>
      </x:c>
      <x:c r="F224" s="2" t="s">
        <x:v>1031</x:v>
      </x:c>
      <x:c r="G224" s="2" t="s">
        <x:v>158</x:v>
      </x:c>
      <x:c r="H224" s="2" t="s">
        <x:v>618</x:v>
      </x:c>
      <x:c r="I224" s="2" t="s">
        <x:v>1165</x:v>
      </x:c>
      <x:c r="J224" s="2" t="s">
        <x:v>1032</x:v>
      </x:c>
      <x:c r="K224" s="2"/>
      <x:c r="L224" s="2" t="s">
        <x:v>1106</x:v>
      </x:c>
      <x:c r="M224" s="2" t="s">
        <x:v>1107</x:v>
      </x:c>
      <x:c r="N224" s="2">
        <x:v>3</x:v>
      </x:c>
      <x:c r="O224" s="2" t="s">
        <x:v>1024</x:v>
      </x:c>
      <x:c r="P224" s="2" t="s">
        <x:v>1035</x:v>
      </x:c>
      <x:c r="Q224" s="2"/>
      <x:c r="R224" s="3"/>
      <x:c r="S224" s="3"/>
      <x:c r="T224" s="2"/>
      <x:c r="U224" s="2"/>
      <x:c r="V224" s="2"/>
      <x:c r="W224" s="2" t="s">
        <x:v>1166</x:v>
      </x:c>
      <x:c r="X224" s="3">
        <x:v>2</x:v>
      </x:c>
      <x:c r="Y224" s="3">
        <x:v>3</x:v>
      </x:c>
      <x:c r="Z224" s="2" t="s">
        <x:v>175</x:v>
      </x:c>
      <x:c r="AA224" s="2"/>
      <x:c r="AB224" s="2"/>
      <x:c r="AC224" s="2"/>
      <x:c r="AD224" s="2"/>
      <x:c r="AE224" s="2"/>
      <x:c r="AF224" s="2"/>
      <x:c r="AG224" s="2"/>
      <x:c r="AH224" s="2"/>
      <x:c r="AI224" s="4"/>
      <x:c r="AJ224" s="2"/>
      <x:c r="AK224" s="2" t="s">
        <x:v>176</x:v>
      </x:c>
      <x:c r="AL224" s="2" t="s">
        <x:v>3061</x:v>
      </x:c>
      <x:c r="AM224" s="2">
        <x:v>74</x:v>
      </x:c>
      <x:c r="AN224" s="2">
        <x:v>74</x:v>
      </x:c>
    </x:row>
    <x:row r="225" ht="26">
      <x:c r="A225" s="2" t="s">
        <x:v>91</x:v>
      </x:c>
      <x:c r="B225" s="2" t="s">
        <x:v>14</x:v>
      </x:c>
      <x:c r="C225" s="3">
        <x:v>73</x:v>
      </x:c>
      <x:c r="D225" s="2" t="s">
        <x:v>1067</x:v>
      </x:c>
      <x:c r="E225" s="2" t="s">
        <x:v>1151</x:v>
      </x:c>
      <x:c r="F225" s="2" t="s">
        <x:v>1068</x:v>
      </x:c>
      <x:c r="G225" s="2" t="s">
        <x:v>158</x:v>
      </x:c>
      <x:c r="H225" s="2" t="s">
        <x:v>627</x:v>
      </x:c>
      <x:c r="I225" s="2" t="s">
        <x:v>1165</x:v>
      </x:c>
      <x:c r="J225" s="2" t="s">
        <x:v>1028</x:v>
      </x:c>
      <x:c r="K225" s="2" t="n">
        <x:v>72</x:v>
      </x:c>
      <x:c r="L225" s="2" t="s">
        <x:v>1069</x:v>
      </x:c>
      <x:c r="M225" s="2" t="s">
        <x:v>1023</x:v>
      </x:c>
      <x:c r="N225" s="2">
        <x:v>3</x:v>
      </x:c>
      <x:c r="O225" s="2" t="s">
        <x:v>1024</x:v>
      </x:c>
      <x:c r="P225" s="2" t="s">
        <x:v>1025</x:v>
      </x:c>
      <x:c r="Q225" s="2"/>
      <x:c r="R225" s="3"/>
      <x:c r="S225" s="3"/>
      <x:c r="T225" s="2"/>
      <x:c r="U225" s="2"/>
      <x:c r="V225" s="2"/>
      <x:c r="W225" s="2" t="s">
        <x:v>1166</x:v>
      </x:c>
      <x:c r="X225" s="3">
        <x:v>2</x:v>
      </x:c>
      <x:c r="Y225" s="3">
        <x:v>3</x:v>
      </x:c>
      <x:c r="Z225" s="2" t="s">
        <x:v>175</x:v>
      </x:c>
      <x:c r="AA225" s="2"/>
      <x:c r="AB225" s="2"/>
      <x:c r="AC225" s="2"/>
      <x:c r="AD225" s="2"/>
      <x:c r="AE225" s="2"/>
      <x:c r="AF225" s="2"/>
      <x:c r="AG225" s="2"/>
      <x:c r="AH225" s="2"/>
      <x:c r="AI225" s="4"/>
      <x:c r="AJ225" s="2"/>
      <x:c r="AK225" s="2" t="s">
        <x:v>176</x:v>
      </x:c>
      <x:c r="AL225" s="2" t="s">
        <x:v>3061</x:v>
      </x:c>
      <x:c r="AM225" s="2">
        <x:v>75</x:v>
      </x:c>
      <x:c r="AN225" s="2">
        <x:v>75</x:v>
      </x:c>
    </x:row>
    <x:row r="226" ht="26">
      <x:c r="A226" s="2" t="s">
        <x:v>91</x:v>
      </x:c>
      <x:c r="B226" s="2" t="s">
        <x:v>14</x:v>
      </x:c>
      <x:c r="C226" s="3">
        <x:v>74</x:v>
      </x:c>
      <x:c r="D226" s="2" t="s">
        <x:v>1070</x:v>
      </x:c>
      <x:c r="E226" s="2" t="s">
        <x:v>1151</x:v>
      </x:c>
      <x:c r="F226" s="2" t="s">
        <x:v>1071</x:v>
      </x:c>
      <x:c r="G226" s="2" t="s">
        <x:v>3121</x:v>
      </x:c>
      <x:c r="H226" s="2" t="s">
        <x:v>627</x:v>
      </x:c>
      <x:c r="I226" s="2" t="s">
        <x:v>1165</x:v>
      </x:c>
      <x:c r="J226" s="2" t="s">
        <x:v>1021</x:v>
      </x:c>
      <x:c r="K226" s="2"/>
      <x:c r="L226" s="2" t="s">
        <x:v>1072</x:v>
      </x:c>
      <x:c r="M226" s="2" t="s">
        <x:v>1023</x:v>
      </x:c>
      <x:c r="N226" s="2">
        <x:v>3</x:v>
      </x:c>
      <x:c r="O226" s="2" t="s">
        <x:v>1024</x:v>
      </x:c>
      <x:c r="P226" s="2" t="s">
        <x:v>1025</x:v>
      </x:c>
      <x:c r="Q226" s="2"/>
      <x:c r="R226" s="3"/>
      <x:c r="S226" s="3"/>
      <x:c r="T226" s="2"/>
      <x:c r="U226" s="2"/>
      <x:c r="V226" s="2"/>
      <x:c r="W226" s="2" t="s">
        <x:v>1168</x:v>
      </x:c>
      <x:c r="X226" s="3">
        <x:v>2</x:v>
      </x:c>
      <x:c r="Y226" s="3">
        <x:v>1</x:v>
      </x:c>
      <x:c r="Z226" s="2" t="s">
        <x:v>191</x:v>
      </x:c>
      <x:c r="AA226" s="2"/>
      <x:c r="AB226" s="2"/>
      <x:c r="AC226" s="2"/>
      <x:c r="AD226" s="2"/>
      <x:c r="AE226" s="2"/>
      <x:c r="AF226" s="2"/>
      <x:c r="AG226" s="2"/>
      <x:c r="AH226" s="2"/>
      <x:c r="AI226" s="4"/>
      <x:c r="AJ226" s="2"/>
      <x:c r="AK226" s="2" t="s">
        <x:v>176</x:v>
      </x:c>
      <x:c r="AL226" s="2" t="s">
        <x:v>3061</x:v>
      </x:c>
      <x:c r="AM226" s="2">
        <x:v>76</x:v>
      </x:c>
      <x:c r="AN226" s="2">
        <x:v>76</x:v>
      </x:c>
    </x:row>
    <x:row r="227" ht="39">
      <x:c r="A227" s="2" t="s">
        <x:v>91</x:v>
      </x:c>
      <x:c r="B227" s="2" t="s">
        <x:v>14</x:v>
      </x:c>
      <x:c r="C227" s="3">
        <x:v>75</x:v>
      </x:c>
      <x:c r="D227" s="2" t="s">
        <x:v>166</x:v>
      </x:c>
      <x:c r="E227" s="2" t="s">
        <x:v>1151</x:v>
      </x:c>
      <x:c r="F227" s="2" t="s">
        <x:v>1011</x:v>
      </x:c>
      <x:c r="G227" s="2" t="s">
        <x:v>158</x:v>
      </x:c>
      <x:c r="H227" s="2" t="s">
        <x:v>618</x:v>
      </x:c>
      <x:c r="I227" s="2" t="s">
        <x:v>1165</x:v>
      </x:c>
      <x:c r="J227" s="2" t="s">
        <x:v>1013</x:v>
      </x:c>
      <x:c r="K227" s="2" t="n">
        <x:v>74</x:v>
      </x:c>
      <x:c r="L227" s="2" t="s">
        <x:v>1074</x:v>
      </x:c>
      <x:c r="M227" s="2" t="s">
        <x:v>1034</x:v>
      </x:c>
      <x:c r="N227" s="2">
        <x:v>3</x:v>
      </x:c>
      <x:c r="O227" s="2" t="s">
        <x:v>1016</x:v>
      </x:c>
      <x:c r="P227" s="2" t="s">
        <x:v>1017</x:v>
      </x:c>
      <x:c r="Q227" s="2"/>
      <x:c r="R227" s="3"/>
      <x:c r="S227" s="3"/>
      <x:c r="T227" s="2"/>
      <x:c r="U227" s="2"/>
      <x:c r="V227" s="2"/>
      <x:c r="W227" s="2" t="s">
        <x:v>1168</x:v>
      </x:c>
      <x:c r="X227" s="3">
        <x:v>2</x:v>
      </x:c>
      <x:c r="Y227" s="3">
        <x:v>1</x:v>
      </x:c>
      <x:c r="Z227" s="2" t="s">
        <x:v>191</x:v>
      </x:c>
      <x:c r="AA227" s="2"/>
      <x:c r="AB227" s="2"/>
      <x:c r="AC227" s="2"/>
      <x:c r="AD227" s="2"/>
      <x:c r="AE227" s="2"/>
      <x:c r="AF227" s="2"/>
      <x:c r="AG227" s="2"/>
      <x:c r="AH227" s="2"/>
      <x:c r="AI227" s="4"/>
      <x:c r="AJ227" s="2"/>
      <x:c r="AK227" s="2" t="s">
        <x:v>176</x:v>
      </x:c>
      <x:c r="AL227" s="2" t="s">
        <x:v>3061</x:v>
      </x:c>
      <x:c r="AM227" s="2">
        <x:v>77</x:v>
      </x:c>
      <x:c r="AN227" s="2">
        <x:v>77</x:v>
      </x:c>
    </x:row>
    <x:row r="228" ht="39">
      <x:c r="A228" s="2" t="s">
        <x:v>91</x:v>
      </x:c>
      <x:c r="B228" s="2" t="s">
        <x:v>14</x:v>
      </x:c>
      <x:c r="C228" s="3">
        <x:v>76</x:v>
      </x:c>
      <x:c r="D228" s="2" t="s">
        <x:v>166</x:v>
      </x:c>
      <x:c r="E228" s="2" t="s">
        <x:v>1169</x:v>
      </x:c>
      <x:c r="F228" s="2" t="s">
        <x:v>1011</x:v>
      </x:c>
      <x:c r="G228" s="2" t="s">
        <x:v>158</x:v>
      </x:c>
      <x:c r="H228" s="2" t="s">
        <x:v>618</x:v>
      </x:c>
      <x:c r="I228" s="2" t="s">
        <x:v>1170</x:v>
      </x:c>
      <x:c r="J228" s="2" t="s">
        <x:v>1013</x:v>
      </x:c>
      <x:c r="K228" s="2"/>
      <x:c r="L228" s="2" t="s">
        <x:v>1171</x:v>
      </x:c>
      <x:c r="M228" s="2" t="s">
        <x:v>1107</x:v>
      </x:c>
      <x:c r="N228" s="2">
        <x:v>4</x:v>
      </x:c>
      <x:c r="O228" s="2" t="s">
        <x:v>1016</x:v>
      </x:c>
      <x:c r="P228" s="2" t="s">
        <x:v>1017</x:v>
      </x:c>
      <x:c r="Q228" s="2"/>
      <x:c r="R228" s="3"/>
      <x:c r="S228" s="3"/>
      <x:c r="T228" s="2"/>
      <x:c r="U228" s="2"/>
      <x:c r="V228" s="2"/>
      <x:c r="W228" s="2" t="s">
        <x:v>1172</x:v>
      </x:c>
      <x:c r="X228" s="3">
        <x:v>2</x:v>
      </x:c>
      <x:c r="Y228" s="3">
        <x:v>1</x:v>
      </x:c>
      <x:c r="Z228" s="2" t="s">
        <x:v>191</x:v>
      </x:c>
      <x:c r="AA228" s="2"/>
      <x:c r="AB228" s="2"/>
      <x:c r="AC228" s="2"/>
      <x:c r="AD228" s="2"/>
      <x:c r="AE228" s="2"/>
      <x:c r="AF228" s="2"/>
      <x:c r="AG228" s="2"/>
      <x:c r="AH228" s="2"/>
      <x:c r="AI228" s="4"/>
      <x:c r="AJ228" s="2"/>
      <x:c r="AK228" s="2" t="s">
        <x:v>176</x:v>
      </x:c>
      <x:c r="AL228" s="2" t="s">
        <x:v>3061</x:v>
      </x:c>
      <x:c r="AM228" s="2">
        <x:v>78</x:v>
      </x:c>
      <x:c r="AN228" s="2">
        <x:v>78</x:v>
      </x:c>
    </x:row>
    <x:row r="229" ht="39">
      <x:c r="A229" s="2" t="s">
        <x:v>91</x:v>
      </x:c>
      <x:c r="B229" s="2" t="s">
        <x:v>14</x:v>
      </x:c>
      <x:c r="C229" s="3">
        <x:v>77</x:v>
      </x:c>
      <x:c r="D229" s="2" t="s">
        <x:v>184</x:v>
      </x:c>
      <x:c r="E229" s="2" t="s">
        <x:v>1169</x:v>
      </x:c>
      <x:c r="F229" s="2" t="s">
        <x:v>1031</x:v>
      </x:c>
      <x:c r="G229" s="2" t="s">
        <x:v>158</x:v>
      </x:c>
      <x:c r="H229" s="2" t="s">
        <x:v>618</x:v>
      </x:c>
      <x:c r="I229" s="2" t="s">
        <x:v>1170</x:v>
      </x:c>
      <x:c r="J229" s="2" t="s">
        <x:v>1032</x:v>
      </x:c>
      <x:c r="K229" s="2" t="n">
        <x:v>76</x:v>
      </x:c>
      <x:c r="L229" s="2" t="s">
        <x:v>1038</x:v>
      </x:c>
      <x:c r="M229" s="2" t="s">
        <x:v>1015</x:v>
      </x:c>
      <x:c r="N229" s="2">
        <x:v>4</x:v>
      </x:c>
      <x:c r="O229" s="2" t="s">
        <x:v>1024</x:v>
      </x:c>
      <x:c r="P229" s="2" t="s">
        <x:v>1035</x:v>
      </x:c>
      <x:c r="Q229" s="2"/>
      <x:c r="R229" s="3"/>
      <x:c r="S229" s="3"/>
      <x:c r="T229" s="2"/>
      <x:c r="U229" s="2"/>
      <x:c r="V229" s="2"/>
      <x:c r="W229" s="2" t="s">
        <x:v>1173</x:v>
      </x:c>
      <x:c r="X229" s="3">
        <x:v>2</x:v>
      </x:c>
      <x:c r="Y229" s="3">
        <x:v>3</x:v>
      </x:c>
      <x:c r="Z229" s="2" t="s">
        <x:v>175</x:v>
      </x:c>
      <x:c r="AA229" s="2"/>
      <x:c r="AB229" s="2"/>
      <x:c r="AC229" s="2"/>
      <x:c r="AD229" s="2"/>
      <x:c r="AE229" s="2"/>
      <x:c r="AF229" s="2"/>
      <x:c r="AG229" s="2"/>
      <x:c r="AH229" s="2"/>
      <x:c r="AI229" s="4"/>
      <x:c r="AJ229" s="2"/>
      <x:c r="AK229" s="2" t="s">
        <x:v>176</x:v>
      </x:c>
      <x:c r="AL229" s="2" t="s">
        <x:v>3061</x:v>
      </x:c>
      <x:c r="AM229" s="2">
        <x:v>79</x:v>
      </x:c>
      <x:c r="AN229" s="2">
        <x:v>79</x:v>
      </x:c>
    </x:row>
    <x:row r="230" ht="39">
      <x:c r="A230" s="2" t="s">
        <x:v>6</x:v>
      </x:c>
      <x:c r="B230" s="2" t="s">
        <x:v>14</x:v>
      </x:c>
      <x:c r="C230" s="3">
        <x:v>78</x:v>
      </x:c>
      <x:c r="D230" s="2" t="s">
        <x:v>977</x:v>
      </x:c>
      <x:c r="E230" s="2" t="s">
        <x:v>1174</x:v>
      </x:c>
      <x:c r="F230" s="2" t="s">
        <x:v>1123</x:v>
      </x:c>
      <x:c r="G230" s="2"/>
      <x:c r="H230" s="2" t="s">
        <x:v>1124</x:v>
      </x:c>
      <x:c r="I230" s="2" t="s">
        <x:v>1175</x:v>
      </x:c>
      <x:c r="J230" s="2" t="s">
        <x:v>1126</x:v>
      </x:c>
      <x:c r="K230" s="2"/>
      <x:c r="L230" s="2" t="s">
        <x:v>1127</x:v>
      </x:c>
      <x:c r="M230" s="2" t="s">
        <x:v>1128</x:v>
      </x:c>
      <x:c r="N230" s="2">
        <x:v>5</x:v>
      </x:c>
      <x:c r="O230" s="2" t="s">
        <x:v>1129</x:v>
      </x:c>
      <x:c r="P230" s="2" t="s">
        <x:v>1130</x:v>
      </x:c>
      <x:c r="Q230" s="2"/>
      <x:c r="R230" s="3"/>
      <x:c r="S230" s="3"/>
      <x:c r="T230" s="2"/>
      <x:c r="U230" s="2"/>
      <x:c r="V230" s="2"/>
      <x:c r="W230" s="2" t="s">
        <x:v>1176</x:v>
      </x:c>
      <x:c r="X230" s="3">
        <x:v>1</x:v>
      </x:c>
      <x:c r="Y230" s="3">
        <x:v>0</x:v>
      </x:c>
      <x:c r="Z230" s="2" t="s">
        <x:v>191</x:v>
      </x:c>
      <x:c r="AA230" s="2"/>
      <x:c r="AB230" s="2"/>
      <x:c r="AC230" s="2"/>
      <x:c r="AD230" s="2"/>
      <x:c r="AE230" s="2"/>
      <x:c r="AF230" s="2"/>
      <x:c r="AG230" s="2"/>
      <x:c r="AH230" s="2"/>
      <x:c r="AI230" s="4"/>
      <x:c r="AJ230" s="2"/>
      <x:c r="AK230" s="2" t="s">
        <x:v>176</x:v>
      </x:c>
      <x:c r="AL230" s="2" t="s">
        <x:v>3061</x:v>
      </x:c>
      <x:c r="AM230" s="2">
        <x:v>80</x:v>
      </x:c>
      <x:c r="AN230" s="2">
        <x:v>80</x:v>
      </x:c>
    </x:row>
    <x:row r="231" ht="39">
      <x:c r="A231" s="2" t="s">
        <x:v>91</x:v>
      </x:c>
      <x:c r="B231" s="2" t="s">
        <x:v>14</x:v>
      </x:c>
      <x:c r="C231" s="3">
        <x:v>79</x:v>
      </x:c>
      <x:c r="D231" s="2" t="s">
        <x:v>985</x:v>
      </x:c>
      <x:c r="E231" s="2" t="s">
        <x:v>1174</x:v>
      </x:c>
      <x:c r="F231" s="2" t="s">
        <x:v>1177</x:v>
      </x:c>
      <x:c r="G231" s="2" t="s">
        <x:v>158</x:v>
      </x:c>
      <x:c r="H231" s="2" t="s">
        <x:v>1124</x:v>
      </x:c>
      <x:c r="I231" s="2" t="s">
        <x:v>1175</x:v>
      </x:c>
      <x:c r="J231" s="2" t="s">
        <x:v>1133</x:v>
      </x:c>
      <x:c r="K231" s="2" t="n">
        <x:v>78</x:v>
      </x:c>
      <x:c r="L231" s="2" t="s">
        <x:v>1134</x:v>
      </x:c>
      <x:c r="M231" s="2" t="s">
        <x:v>1128</x:v>
      </x:c>
      <x:c r="N231" s="2">
        <x:v>5</x:v>
      </x:c>
      <x:c r="O231" s="2" t="s">
        <x:v>1135</x:v>
      </x:c>
      <x:c r="P231" s="2" t="s">
        <x:v>1136</x:v>
      </x:c>
      <x:c r="Q231" s="2"/>
      <x:c r="R231" s="3"/>
      <x:c r="S231" s="3"/>
      <x:c r="T231" s="2"/>
      <x:c r="U231" s="2"/>
      <x:c r="V231" s="2"/>
      <x:c r="W231" s="2" t="s">
        <x:v>1176</x:v>
      </x:c>
      <x:c r="X231" s="3">
        <x:v>1</x:v>
      </x:c>
      <x:c r="Y231" s="3">
        <x:v>2</x:v>
      </x:c>
      <x:c r="Z231" s="2" t="s">
        <x:v>175</x:v>
      </x:c>
      <x:c r="AA231" s="2"/>
      <x:c r="AB231" s="2"/>
      <x:c r="AC231" s="2"/>
      <x:c r="AD231" s="2"/>
      <x:c r="AE231" s="2"/>
      <x:c r="AF231" s="2"/>
      <x:c r="AG231" s="2"/>
      <x:c r="AH231" s="2"/>
      <x:c r="AI231" s="4"/>
      <x:c r="AJ231" s="2"/>
      <x:c r="AK231" s="2" t="s">
        <x:v>176</x:v>
      </x:c>
      <x:c r="AL231" s="2" t="s">
        <x:v>3061</x:v>
      </x:c>
      <x:c r="AM231" s="2">
        <x:v>81</x:v>
      </x:c>
      <x:c r="AN231" s="2">
        <x:v>81</x:v>
      </x:c>
    </x:row>
    <x:row r="232" ht="39">
      <x:c r="A232" s="2" t="s">
        <x:v>91</x:v>
      </x:c>
      <x:c r="B232" s="2" t="s">
        <x:v>14</x:v>
      </x:c>
      <x:c r="C232" s="3">
        <x:v>80</x:v>
      </x:c>
      <x:c r="D232" s="2" t="s">
        <x:v>985</x:v>
      </x:c>
      <x:c r="E232" s="2" t="s">
        <x:v>1178</x:v>
      </x:c>
      <x:c r="F232" s="2" t="s">
        <x:v>1138</x:v>
      </x:c>
      <x:c r="G232" s="2" t="s">
        <x:v>158</x:v>
      </x:c>
      <x:c r="H232" s="2" t="s">
        <x:v>1124</x:v>
      </x:c>
      <x:c r="I232" s="2" t="s">
        <x:v>1175</x:v>
      </x:c>
      <x:c r="J232" s="2" t="s">
        <x:v>1139</x:v>
      </x:c>
      <x:c r="K232" s="2"/>
      <x:c r="L232" s="2" t="s">
        <x:v>1134</x:v>
      </x:c>
      <x:c r="M232" s="2" t="s">
        <x:v>1128</x:v>
      </x:c>
      <x:c r="N232" s="2">
        <x:v>5</x:v>
      </x:c>
      <x:c r="O232" s="2" t="s">
        <x:v>1140</x:v>
      </x:c>
      <x:c r="P232" s="2" t="s">
        <x:v>1130</x:v>
      </x:c>
      <x:c r="Q232" s="2"/>
      <x:c r="R232" s="3"/>
      <x:c r="S232" s="3"/>
      <x:c r="T232" s="2"/>
      <x:c r="U232" s="2"/>
      <x:c r="V232" s="2"/>
      <x:c r="W232" s="2" t="s">
        <x:v>1180</x:v>
      </x:c>
      <x:c r="X232" s="3">
        <x:v>1</x:v>
      </x:c>
      <x:c r="Y232" s="3">
        <x:v>2</x:v>
      </x:c>
      <x:c r="Z232" s="2" t="s">
        <x:v>175</x:v>
      </x:c>
      <x:c r="AA232" s="2"/>
      <x:c r="AB232" s="2"/>
      <x:c r="AC232" s="2"/>
      <x:c r="AD232" s="2"/>
      <x:c r="AE232" s="2"/>
      <x:c r="AF232" s="2"/>
      <x:c r="AG232" s="2"/>
      <x:c r="AH232" s="2"/>
      <x:c r="AI232" s="4"/>
      <x:c r="AJ232" s="2"/>
      <x:c r="AK232" s="2" t="s">
        <x:v>176</x:v>
      </x:c>
      <x:c r="AL232" s="2" t="s">
        <x:v>3061</x:v>
      </x:c>
      <x:c r="AM232" s="2">
        <x:v>82</x:v>
      </x:c>
      <x:c r="AN232" s="2">
        <x:v>82</x:v>
      </x:c>
    </x:row>
    <x:row r="233" ht="39">
      <x:c r="A233" s="2" t="s">
        <x:v>6</x:v>
      </x:c>
      <x:c r="B233" s="2" t="s">
        <x:v>14</x:v>
      </x:c>
      <x:c r="C233" s="3">
        <x:v>81</x:v>
      </x:c>
      <x:c r="D233" s="2" t="s">
        <x:v>977</x:v>
      </x:c>
      <x:c r="E233" s="2" t="s">
        <x:v>1178</x:v>
      </x:c>
      <x:c r="F233" s="2" t="s">
        <x:v>1181</x:v>
      </x:c>
      <x:c r="G233" s="2"/>
      <x:c r="H233" s="2" t="s">
        <x:v>1124</x:v>
      </x:c>
      <x:c r="I233" s="2" t="s">
        <x:v>1175</x:v>
      </x:c>
      <x:c r="J233" s="2" t="s">
        <x:v>1144</x:v>
      </x:c>
      <x:c r="K233" s="2" t="n">
        <x:v>80</x:v>
      </x:c>
      <x:c r="L233" s="2" t="s">
        <x:v>1127</x:v>
      </x:c>
      <x:c r="M233" s="2" t="s">
        <x:v>1128</x:v>
      </x:c>
      <x:c r="N233" s="2">
        <x:v>5</x:v>
      </x:c>
      <x:c r="O233" s="2" t="s">
        <x:v>1135</x:v>
      </x:c>
      <x:c r="P233" s="2" t="s">
        <x:v>1136</x:v>
      </x:c>
      <x:c r="Q233" s="2"/>
      <x:c r="R233" s="3"/>
      <x:c r="S233" s="3"/>
      <x:c r="T233" s="2"/>
      <x:c r="U233" s="2"/>
      <x:c r="V233" s="2"/>
      <x:c r="W233" s="2" t="s">
        <x:v>1180</x:v>
      </x:c>
      <x:c r="X233" s="3">
        <x:v>1</x:v>
      </x:c>
      <x:c r="Y233" s="3">
        <x:v>0</x:v>
      </x:c>
      <x:c r="Z233" s="2" t="s">
        <x:v>191</x:v>
      </x:c>
      <x:c r="AA233" s="2"/>
      <x:c r="AB233" s="2"/>
      <x:c r="AC233" s="2"/>
      <x:c r="AD233" s="2"/>
      <x:c r="AE233" s="2"/>
      <x:c r="AF233" s="2"/>
      <x:c r="AG233" s="2"/>
      <x:c r="AH233" s="2"/>
      <x:c r="AI233" s="4"/>
      <x:c r="AJ233" s="2"/>
      <x:c r="AK233" s="2" t="s">
        <x:v>176</x:v>
      </x:c>
      <x:c r="AL233" s="2" t="s">
        <x:v>3061</x:v>
      </x:c>
      <x:c r="AM233" s="2">
        <x:v>83</x:v>
      </x:c>
      <x:c r="AN233" s="2">
        <x:v>83</x:v>
      </x:c>
    </x:row>
    <x:row r="234" ht="39">
      <x:c r="A234" s="2" t="s">
        <x:v>91</x:v>
      </x:c>
      <x:c r="B234" s="2" t="s">
        <x:v>14</x:v>
      </x:c>
      <x:c r="C234" s="3">
        <x:v>82</x:v>
      </x:c>
      <x:c r="D234" s="2" t="s">
        <x:v>166</x:v>
      </x:c>
      <x:c r="E234" s="2" t="s">
        <x:v>1169</x:v>
      </x:c>
      <x:c r="F234" s="2" t="s">
        <x:v>1011</x:v>
      </x:c>
      <x:c r="G234" s="2" t="s">
        <x:v>158</x:v>
      </x:c>
      <x:c r="H234" s="2" t="s">
        <x:v>618</x:v>
      </x:c>
      <x:c r="I234" s="2" t="s">
        <x:v>1182</x:v>
      </x:c>
      <x:c r="J234" s="2" t="s">
        <x:v>1013</x:v>
      </x:c>
      <x:c r="K234" s="2"/>
      <x:c r="L234" s="2" t="s">
        <x:v>1171</x:v>
      </x:c>
      <x:c r="M234" s="2" t="s">
        <x:v>1107</x:v>
      </x:c>
      <x:c r="N234" s="2">
        <x:v>4</x:v>
      </x:c>
      <x:c r="O234" s="2" t="s">
        <x:v>1016</x:v>
      </x:c>
      <x:c r="P234" s="2" t="s">
        <x:v>1017</x:v>
      </x:c>
      <x:c r="Q234" s="2"/>
      <x:c r="R234" s="3"/>
      <x:c r="S234" s="3"/>
      <x:c r="T234" s="2"/>
      <x:c r="U234" s="2"/>
      <x:c r="V234" s="2"/>
      <x:c r="W234" s="2" t="s">
        <x:v>1183</x:v>
      </x:c>
      <x:c r="X234" s="3">
        <x:v>2</x:v>
      </x:c>
      <x:c r="Y234" s="3">
        <x:v>1</x:v>
      </x:c>
      <x:c r="Z234" s="2" t="s">
        <x:v>191</x:v>
      </x:c>
      <x:c r="AA234" s="2"/>
      <x:c r="AB234" s="2"/>
      <x:c r="AC234" s="2"/>
      <x:c r="AD234" s="2"/>
      <x:c r="AE234" s="2"/>
      <x:c r="AF234" s="2"/>
      <x:c r="AG234" s="2"/>
      <x:c r="AH234" s="2"/>
      <x:c r="AI234" s="4"/>
      <x:c r="AJ234" s="2"/>
      <x:c r="AK234" s="2" t="s">
        <x:v>176</x:v>
      </x:c>
      <x:c r="AL234" s="2" t="s">
        <x:v>3061</x:v>
      </x:c>
      <x:c r="AM234" s="2">
        <x:v>84</x:v>
      </x:c>
      <x:c r="AN234" s="2">
        <x:v>84</x:v>
      </x:c>
    </x:row>
    <x:row r="235" ht="39">
      <x:c r="A235" s="2" t="s">
        <x:v>91</x:v>
      </x:c>
      <x:c r="B235" s="2" t="s">
        <x:v>14</x:v>
      </x:c>
      <x:c r="C235" s="3">
        <x:v>83</x:v>
      </x:c>
      <x:c r="D235" s="2" t="s">
        <x:v>184</x:v>
      </x:c>
      <x:c r="E235" s="2" t="s">
        <x:v>1169</x:v>
      </x:c>
      <x:c r="F235" s="2" t="s">
        <x:v>1031</x:v>
      </x:c>
      <x:c r="G235" s="2" t="s">
        <x:v>158</x:v>
      </x:c>
      <x:c r="H235" s="2" t="s">
        <x:v>618</x:v>
      </x:c>
      <x:c r="I235" s="2" t="s">
        <x:v>1182</x:v>
      </x:c>
      <x:c r="J235" s="2" t="s">
        <x:v>1032</x:v>
      </x:c>
      <x:c r="K235" s="2" t="n">
        <x:v>82</x:v>
      </x:c>
      <x:c r="L235" s="2" t="s">
        <x:v>1038</x:v>
      </x:c>
      <x:c r="M235" s="2" t="s">
        <x:v>1015</x:v>
      </x:c>
      <x:c r="N235" s="2">
        <x:v>4</x:v>
      </x:c>
      <x:c r="O235" s="2" t="s">
        <x:v>1024</x:v>
      </x:c>
      <x:c r="P235" s="2" t="s">
        <x:v>1035</x:v>
      </x:c>
      <x:c r="Q235" s="2"/>
      <x:c r="R235" s="3"/>
      <x:c r="S235" s="3"/>
      <x:c r="T235" s="2"/>
      <x:c r="U235" s="2"/>
      <x:c r="V235" s="2"/>
      <x:c r="W235" s="2" t="s">
        <x:v>1184</x:v>
      </x:c>
      <x:c r="X235" s="3">
        <x:v>2</x:v>
      </x:c>
      <x:c r="Y235" s="3">
        <x:v>3</x:v>
      </x:c>
      <x:c r="Z235" s="2" t="s">
        <x:v>175</x:v>
      </x:c>
      <x:c r="AA235" s="2"/>
      <x:c r="AB235" s="2"/>
      <x:c r="AC235" s="2"/>
      <x:c r="AD235" s="2"/>
      <x:c r="AE235" s="2"/>
      <x:c r="AF235" s="2"/>
      <x:c r="AG235" s="2"/>
      <x:c r="AH235" s="2"/>
      <x:c r="AI235" s="4"/>
      <x:c r="AJ235" s="2"/>
      <x:c r="AK235" s="2" t="s">
        <x:v>176</x:v>
      </x:c>
      <x:c r="AL235" s="2" t="s">
        <x:v>3061</x:v>
      </x:c>
      <x:c r="AM235" s="2">
        <x:v>85</x:v>
      </x:c>
      <x:c r="AN235" s="2">
        <x:v>85</x:v>
      </x:c>
    </x:row>
    <x:row r="236" ht="39">
      <x:c r="A236" s="2" t="s">
        <x:v>91</x:v>
      </x:c>
      <x:c r="B236" s="2" t="s">
        <x:v>14</x:v>
      </x:c>
      <x:c r="C236" s="3">
        <x:v>84</x:v>
      </x:c>
      <x:c r="D236" s="2" t="s">
        <x:v>166</x:v>
      </x:c>
      <x:c r="E236" s="2" t="s">
        <x:v>1010</x:v>
      </x:c>
      <x:c r="F236" s="2" t="s">
        <x:v>1011</x:v>
      </x:c>
      <x:c r="G236" s="2" t="s">
        <x:v>158</x:v>
      </x:c>
      <x:c r="H236" s="2" t="s">
        <x:v>618</x:v>
      </x:c>
      <x:c r="I236" s="2" t="s">
        <x:v>1185</x:v>
      </x:c>
      <x:c r="J236" s="2" t="s">
        <x:v>1013</x:v>
      </x:c>
      <x:c r="K236" s="2"/>
      <x:c r="L236" s="2" t="s">
        <x:v>1014</x:v>
      </x:c>
      <x:c r="M236" s="2" t="s">
        <x:v>1015</x:v>
      </x:c>
      <x:c r="N236" s="2">
        <x:v>2</x:v>
      </x:c>
      <x:c r="O236" s="2" t="s">
        <x:v>1016</x:v>
      </x:c>
      <x:c r="P236" s="2" t="s">
        <x:v>1017</x:v>
      </x:c>
      <x:c r="Q236" s="2"/>
      <x:c r="R236" s="3"/>
      <x:c r="S236" s="3"/>
      <x:c r="T236" s="2"/>
      <x:c r="U236" s="2"/>
      <x:c r="V236" s="2"/>
      <x:c r="W236" s="2" t="s">
        <x:v>1186</x:v>
      </x:c>
      <x:c r="X236" s="3">
        <x:v>2</x:v>
      </x:c>
      <x:c r="Y236" s="3">
        <x:v>1</x:v>
      </x:c>
      <x:c r="Z236" s="2" t="s">
        <x:v>191</x:v>
      </x:c>
      <x:c r="AA236" s="2"/>
      <x:c r="AB236" s="2"/>
      <x:c r="AC236" s="2"/>
      <x:c r="AD236" s="2"/>
      <x:c r="AE236" s="2"/>
      <x:c r="AF236" s="2"/>
      <x:c r="AG236" s="2"/>
      <x:c r="AH236" s="2"/>
      <x:c r="AI236" s="4"/>
      <x:c r="AJ236" s="2"/>
      <x:c r="AK236" s="2" t="s">
        <x:v>176</x:v>
      </x:c>
      <x:c r="AL236" s="2" t="s">
        <x:v>3061</x:v>
      </x:c>
      <x:c r="AM236" s="2">
        <x:v>86</x:v>
      </x:c>
      <x:c r="AN236" s="2">
        <x:v>86</x:v>
      </x:c>
    </x:row>
    <x:row r="237" ht="26">
      <x:c r="A237" s="2" t="s">
        <x:v>6</x:v>
      </x:c>
      <x:c r="B237" s="2" t="s">
        <x:v>14</x:v>
      </x:c>
      <x:c r="C237" s="3">
        <x:v>85</x:v>
      </x:c>
      <x:c r="D237" s="2" t="s">
        <x:v>1046</x:v>
      </x:c>
      <x:c r="E237" s="2" t="s">
        <x:v>1010</x:v>
      </x:c>
      <x:c r="F237" s="2" t="s">
        <x:v>1047</x:v>
      </x:c>
      <x:c r="G237" s="2"/>
      <x:c r="H237" s="2" t="s">
        <x:v>627</x:v>
      </x:c>
      <x:c r="I237" s="2" t="s">
        <x:v>1185</x:v>
      </x:c>
      <x:c r="J237" s="2" t="s">
        <x:v>1021</x:v>
      </x:c>
      <x:c r="K237" s="2" t="n">
        <x:v>84</x:v>
      </x:c>
      <x:c r="L237" s="2" t="s">
        <x:v>1049</x:v>
      </x:c>
      <x:c r="M237" s="2" t="s">
        <x:v>1023</x:v>
      </x:c>
      <x:c r="N237" s="2">
        <x:v>2</x:v>
      </x:c>
      <x:c r="O237" s="2" t="s">
        <x:v>1024</x:v>
      </x:c>
      <x:c r="P237" s="2" t="s">
        <x:v>1025</x:v>
      </x:c>
      <x:c r="Q237" s="2"/>
      <x:c r="R237" s="3"/>
      <x:c r="S237" s="3"/>
      <x:c r="T237" s="2"/>
      <x:c r="U237" s="2"/>
      <x:c r="V237" s="2"/>
      <x:c r="W237" s="2" t="s">
        <x:v>1186</x:v>
      </x:c>
      <x:c r="X237" s="3">
        <x:v>2</x:v>
      </x:c>
      <x:c r="Y237" s="3">
        <x:v>1</x:v>
      </x:c>
      <x:c r="Z237" s="2" t="s">
        <x:v>191</x:v>
      </x:c>
      <x:c r="AA237" s="2"/>
      <x:c r="AB237" s="2"/>
      <x:c r="AC237" s="2"/>
      <x:c r="AD237" s="2"/>
      <x:c r="AE237" s="2"/>
      <x:c r="AF237" s="2"/>
      <x:c r="AG237" s="2"/>
      <x:c r="AH237" s="2"/>
      <x:c r="AI237" s="4"/>
      <x:c r="AJ237" s="2"/>
      <x:c r="AK237" s="2" t="s">
        <x:v>176</x:v>
      </x:c>
      <x:c r="AL237" s="2" t="s">
        <x:v>3061</x:v>
      </x:c>
      <x:c r="AM237" s="2">
        <x:v>87</x:v>
      </x:c>
      <x:c r="AN237" s="2">
        <x:v>87</x:v>
      </x:c>
    </x:row>
    <x:row r="238" ht="39">
      <x:c r="A238" s="2" t="s">
        <x:v>91</x:v>
      </x:c>
      <x:c r="B238" s="2" t="s">
        <x:v>14</x:v>
      </x:c>
      <x:c r="C238" s="3">
        <x:v>86</x:v>
      </x:c>
      <x:c r="D238" s="2" t="s">
        <x:v>1187</x:v>
      </x:c>
      <x:c r="E238" s="2" t="s">
        <x:v>1010</x:v>
      </x:c>
      <x:c r="F238" s="2" t="s">
        <x:v>1011</x:v>
      </x:c>
      <x:c r="G238" s="2" t="s">
        <x:v>158</x:v>
      </x:c>
      <x:c r="H238" s="2" t="s">
        <x:v>634</x:v>
      </x:c>
      <x:c r="I238" s="2" t="s">
        <x:v>1185</x:v>
      </x:c>
      <x:c r="J238" s="2" t="s">
        <x:v>1051</x:v>
      </x:c>
      <x:c r="K238" s="2" t="n">
        <x:v>84</x:v>
      </x:c>
      <x:c r="L238" s="2" t="s">
        <x:v>1014</x:v>
      </x:c>
      <x:c r="M238" s="2" t="s">
        <x:v>1052</x:v>
      </x:c>
      <x:c r="N238" s="2">
        <x:v>2</x:v>
      </x:c>
      <x:c r="O238" s="2" t="s">
        <x:v>1016</x:v>
      </x:c>
      <x:c r="P238" s="2" t="s">
        <x:v>1053</x:v>
      </x:c>
      <x:c r="Q238" s="2"/>
      <x:c r="R238" s="3"/>
      <x:c r="S238" s="3"/>
      <x:c r="T238" s="2"/>
      <x:c r="U238" s="2"/>
      <x:c r="V238" s="2"/>
      <x:c r="W238" s="2" t="s">
        <x:v>1186</x:v>
      </x:c>
      <x:c r="X238" s="3">
        <x:v>2</x:v>
      </x:c>
      <x:c r="Y238" s="3">
        <x:v>1</x:v>
      </x:c>
      <x:c r="Z238" s="2" t="s">
        <x:v>191</x:v>
      </x:c>
      <x:c r="AA238" s="2"/>
      <x:c r="AB238" s="2"/>
      <x:c r="AC238" s="2"/>
      <x:c r="AD238" s="2"/>
      <x:c r="AE238" s="2"/>
      <x:c r="AF238" s="2"/>
      <x:c r="AG238" s="2"/>
      <x:c r="AH238" s="2"/>
      <x:c r="AI238" s="4"/>
      <x:c r="AJ238" s="2"/>
      <x:c r="AK238" s="2" t="s">
        <x:v>176</x:v>
      </x:c>
      <x:c r="AL238" s="2" t="s">
        <x:v>3061</x:v>
      </x:c>
      <x:c r="AM238" s="2">
        <x:v>88</x:v>
      </x:c>
      <x:c r="AN238" s="2">
        <x:v>88</x:v>
      </x:c>
    </x:row>
    <x:row r="239" ht="26">
      <x:c r="A239" s="2" t="s">
        <x:v>6</x:v>
      </x:c>
      <x:c r="B239" s="2" t="s">
        <x:v>14</x:v>
      </x:c>
      <x:c r="C239" s="3">
        <x:v>87</x:v>
      </x:c>
      <x:c r="D239" s="2" t="s">
        <x:v>1054</x:v>
      </x:c>
      <x:c r="E239" s="2" t="s">
        <x:v>1010</x:v>
      </x:c>
      <x:c r="F239" s="2" t="s">
        <x:v>1047</x:v>
      </x:c>
      <x:c r="G239" s="2"/>
      <x:c r="H239" s="2" t="s">
        <x:v>634</x:v>
      </x:c>
      <x:c r="I239" s="2" t="s">
        <x:v>1185</x:v>
      </x:c>
      <x:c r="J239" s="2" t="s">
        <x:v>1055</x:v>
      </x:c>
      <x:c r="K239" s="2" t="n">
        <x:v>84</x:v>
      </x:c>
      <x:c r="L239" s="2" t="s">
        <x:v>1049</x:v>
      </x:c>
      <x:c r="M239" s="2" t="s">
        <x:v>1056</x:v>
      </x:c>
      <x:c r="N239" s="2">
        <x:v>2</x:v>
      </x:c>
      <x:c r="O239" s="2" t="s">
        <x:v>1024</x:v>
      </x:c>
      <x:c r="P239" s="2" t="s">
        <x:v>1057</x:v>
      </x:c>
      <x:c r="Q239" s="2"/>
      <x:c r="R239" s="3"/>
      <x:c r="S239" s="3"/>
      <x:c r="T239" s="2"/>
      <x:c r="U239" s="2"/>
      <x:c r="V239" s="2"/>
      <x:c r="W239" s="2" t="s">
        <x:v>1186</x:v>
      </x:c>
      <x:c r="X239" s="3">
        <x:v>2</x:v>
      </x:c>
      <x:c r="Y239" s="3">
        <x:v>1</x:v>
      </x:c>
      <x:c r="Z239" s="2" t="s">
        <x:v>191</x:v>
      </x:c>
      <x:c r="AA239" s="2"/>
      <x:c r="AB239" s="2"/>
      <x:c r="AC239" s="2"/>
      <x:c r="AD239" s="2"/>
      <x:c r="AE239" s="2"/>
      <x:c r="AF239" s="2"/>
      <x:c r="AG239" s="2"/>
      <x:c r="AH239" s="2"/>
      <x:c r="AI239" s="4"/>
      <x:c r="AJ239" s="2"/>
      <x:c r="AK239" s="2" t="s">
        <x:v>176</x:v>
      </x:c>
      <x:c r="AL239" s="2" t="s">
        <x:v>3061</x:v>
      </x:c>
      <x:c r="AM239" s="2">
        <x:v>89</x:v>
      </x:c>
      <x:c r="AN239" s="2">
        <x:v>89</x:v>
      </x:c>
    </x:row>
    <x:row r="240" ht="26">
      <x:c r="A240" s="2" t="s">
        <x:v>6</x:v>
      </x:c>
      <x:c r="B240" s="2" t="s">
        <x:v>14</x:v>
      </x:c>
      <x:c r="C240" s="3">
        <x:v>88</x:v>
      </x:c>
      <x:c r="D240" s="2" t="s">
        <x:v>1109</x:v>
      </x:c>
      <x:c r="E240" s="2" t="s">
        <x:v>1010</x:v>
      </x:c>
      <x:c r="F240" s="2" t="s">
        <x:v>1110</x:v>
      </x:c>
      <x:c r="G240" s="2"/>
      <x:c r="H240" s="2" t="s">
        <x:v>627</x:v>
      </x:c>
      <x:c r="I240" s="2" t="s">
        <x:v>1185</x:v>
      </x:c>
      <x:c r="J240" s="2" t="s">
        <x:v>1028</x:v>
      </x:c>
      <x:c r="K240" s="2"/>
      <x:c r="L240" s="2" t="s">
        <x:v>1111</x:v>
      </x:c>
      <x:c r="M240" s="2" t="s">
        <x:v>1023</x:v>
      </x:c>
      <x:c r="N240" s="2">
        <x:v>2</x:v>
      </x:c>
      <x:c r="O240" s="2" t="s">
        <x:v>1024</x:v>
      </x:c>
      <x:c r="P240" s="2" t="s">
        <x:v>1025</x:v>
      </x:c>
      <x:c r="Q240" s="2"/>
      <x:c r="R240" s="3"/>
      <x:c r="S240" s="3"/>
      <x:c r="T240" s="2"/>
      <x:c r="U240" s="2"/>
      <x:c r="V240" s="2"/>
      <x:c r="W240" s="2" t="s">
        <x:v>1189</x:v>
      </x:c>
      <x:c r="X240" s="3">
        <x:v>2</x:v>
      </x:c>
      <x:c r="Y240" s="3">
        <x:v>3</x:v>
      </x:c>
      <x:c r="Z240" s="2" t="s">
        <x:v>175</x:v>
      </x:c>
      <x:c r="AA240" s="2"/>
      <x:c r="AB240" s="2"/>
      <x:c r="AC240" s="2"/>
      <x:c r="AD240" s="2"/>
      <x:c r="AE240" s="2"/>
      <x:c r="AF240" s="2"/>
      <x:c r="AG240" s="2"/>
      <x:c r="AH240" s="2"/>
      <x:c r="AI240" s="4"/>
      <x:c r="AJ240" s="2"/>
      <x:c r="AK240" s="2" t="s">
        <x:v>176</x:v>
      </x:c>
      <x:c r="AL240" s="2" t="s">
        <x:v>3061</x:v>
      </x:c>
      <x:c r="AM240" s="2">
        <x:v>90</x:v>
      </x:c>
      <x:c r="AN240" s="2">
        <x:v>90</x:v>
      </x:c>
    </x:row>
    <x:row r="241" ht="39">
      <x:c r="A241" s="2" t="s">
        <x:v>91</x:v>
      </x:c>
      <x:c r="B241" s="2" t="s">
        <x:v>14</x:v>
      </x:c>
      <x:c r="C241" s="3">
        <x:v>89</x:v>
      </x:c>
      <x:c r="D241" s="2" t="s">
        <x:v>184</x:v>
      </x:c>
      <x:c r="E241" s="2" t="s">
        <x:v>1010</x:v>
      </x:c>
      <x:c r="F241" s="2" t="s">
        <x:v>1031</x:v>
      </x:c>
      <x:c r="G241" s="2" t="s">
        <x:v>158</x:v>
      </x:c>
      <x:c r="H241" s="2" t="s">
        <x:v>618</x:v>
      </x:c>
      <x:c r="I241" s="2" t="s">
        <x:v>1185</x:v>
      </x:c>
      <x:c r="J241" s="2" t="s">
        <x:v>1032</x:v>
      </x:c>
      <x:c r="K241" s="2" t="n">
        <x:v>88</x:v>
      </x:c>
      <x:c r="L241" s="2" t="s">
        <x:v>1033</x:v>
      </x:c>
      <x:c r="M241" s="2" t="s">
        <x:v>1034</x:v>
      </x:c>
      <x:c r="N241" s="2">
        <x:v>2</x:v>
      </x:c>
      <x:c r="O241" s="2" t="s">
        <x:v>1024</x:v>
      </x:c>
      <x:c r="P241" s="2" t="s">
        <x:v>1035</x:v>
      </x:c>
      <x:c r="Q241" s="2"/>
      <x:c r="R241" s="3"/>
      <x:c r="S241" s="3"/>
      <x:c r="T241" s="2"/>
      <x:c r="U241" s="2"/>
      <x:c r="V241" s="2"/>
      <x:c r="W241" s="2" t="s">
        <x:v>1189</x:v>
      </x:c>
      <x:c r="X241" s="3">
        <x:v>2</x:v>
      </x:c>
      <x:c r="Y241" s="3">
        <x:v>3</x:v>
      </x:c>
      <x:c r="Z241" s="2" t="s">
        <x:v>175</x:v>
      </x:c>
      <x:c r="AA241" s="2"/>
      <x:c r="AB241" s="2"/>
      <x:c r="AC241" s="2"/>
      <x:c r="AD241" s="2"/>
      <x:c r="AE241" s="2"/>
      <x:c r="AF241" s="2"/>
      <x:c r="AG241" s="2"/>
      <x:c r="AH241" s="2"/>
      <x:c r="AI241" s="4"/>
      <x:c r="AJ241" s="2"/>
      <x:c r="AK241" s="2" t="s">
        <x:v>176</x:v>
      </x:c>
      <x:c r="AL241" s="2" t="s">
        <x:v>3061</x:v>
      </x:c>
      <x:c r="AM241" s="2">
        <x:v>91</x:v>
      </x:c>
      <x:c r="AN241" s="2">
        <x:v>91</x:v>
      </x:c>
    </x:row>
    <x:row r="242" ht="26">
      <x:c r="A242" s="2" t="s">
        <x:v>6</x:v>
      </x:c>
      <x:c r="B242" s="2" t="s">
        <x:v>14</x:v>
      </x:c>
      <x:c r="C242" s="3">
        <x:v>90</x:v>
      </x:c>
      <x:c r="D242" s="2" t="s">
        <x:v>1190</x:v>
      </x:c>
      <x:c r="E242" s="2" t="s">
        <x:v>1010</x:v>
      </x:c>
      <x:c r="F242" s="2" t="s">
        <x:v>1110</x:v>
      </x:c>
      <x:c r="G242" s="2"/>
      <x:c r="H242" s="2" t="s">
        <x:v>634</x:v>
      </x:c>
      <x:c r="I242" s="2" t="s">
        <x:v>1185</x:v>
      </x:c>
      <x:c r="J242" s="2" t="s">
        <x:v>1060</x:v>
      </x:c>
      <x:c r="K242" s="2" t="n">
        <x:v>88</x:v>
      </x:c>
      <x:c r="L242" s="2" t="s">
        <x:v>1111</x:v>
      </x:c>
      <x:c r="M242" s="2" t="s">
        <x:v>1056</x:v>
      </x:c>
      <x:c r="N242" s="2">
        <x:v>2</x:v>
      </x:c>
      <x:c r="O242" s="2" t="s">
        <x:v>1024</x:v>
      </x:c>
      <x:c r="P242" s="2" t="s">
        <x:v>1057</x:v>
      </x:c>
      <x:c r="Q242" s="2"/>
      <x:c r="R242" s="3"/>
      <x:c r="S242" s="3"/>
      <x:c r="T242" s="2"/>
      <x:c r="U242" s="2"/>
      <x:c r="V242" s="2"/>
      <x:c r="W242" s="2" t="s">
        <x:v>1189</x:v>
      </x:c>
      <x:c r="X242" s="3">
        <x:v>2</x:v>
      </x:c>
      <x:c r="Y242" s="3">
        <x:v>3</x:v>
      </x:c>
      <x:c r="Z242" s="2" t="s">
        <x:v>175</x:v>
      </x:c>
      <x:c r="AA242" s="2"/>
      <x:c r="AB242" s="2"/>
      <x:c r="AC242" s="2"/>
      <x:c r="AD242" s="2"/>
      <x:c r="AE242" s="2"/>
      <x:c r="AF242" s="2"/>
      <x:c r="AG242" s="2"/>
      <x:c r="AH242" s="2"/>
      <x:c r="AI242" s="4"/>
      <x:c r="AJ242" s="2"/>
      <x:c r="AK242" s="2" t="s">
        <x:v>176</x:v>
      </x:c>
      <x:c r="AL242" s="2" t="s">
        <x:v>3061</x:v>
      </x:c>
      <x:c r="AM242" s="2">
        <x:v>92</x:v>
      </x:c>
      <x:c r="AN242" s="2">
        <x:v>92</x:v>
      </x:c>
    </x:row>
    <x:row r="243" ht="52">
      <x:c r="A243" s="2" t="s">
        <x:v>91</x:v>
      </x:c>
      <x:c r="B243" s="2" t="s">
        <x:v>14</x:v>
      </x:c>
      <x:c r="C243" s="3">
        <x:v>91</x:v>
      </x:c>
      <x:c r="D243" s="2" t="s">
        <x:v>1191</x:v>
      </x:c>
      <x:c r="E243" s="2" t="s">
        <x:v>1010</x:v>
      </x:c>
      <x:c r="F243" s="2" t="s">
        <x:v>1031</x:v>
      </x:c>
      <x:c r="G243" s="2" t="s">
        <x:v>158</x:v>
      </x:c>
      <x:c r="H243" s="2" t="s">
        <x:v>634</x:v>
      </x:c>
      <x:c r="I243" s="2" t="s">
        <x:v>1185</x:v>
      </x:c>
      <x:c r="J243" s="2" t="s">
        <x:v>1062</x:v>
      </x:c>
      <x:c r="K243" s="2" t="n">
        <x:v>88</x:v>
      </x:c>
      <x:c r="L243" s="2" t="s">
        <x:v>1033</x:v>
      </x:c>
      <x:c r="M243" s="2" t="s">
        <x:v>1063</x:v>
      </x:c>
      <x:c r="N243" s="2">
        <x:v>2</x:v>
      </x:c>
      <x:c r="O243" s="2" t="s">
        <x:v>1024</x:v>
      </x:c>
      <x:c r="P243" s="2" t="s">
        <x:v>1053</x:v>
      </x:c>
      <x:c r="Q243" s="2"/>
      <x:c r="R243" s="3"/>
      <x:c r="S243" s="3"/>
      <x:c r="T243" s="2"/>
      <x:c r="U243" s="2"/>
      <x:c r="V243" s="2"/>
      <x:c r="W243" s="2" t="s">
        <x:v>1189</x:v>
      </x:c>
      <x:c r="X243" s="3">
        <x:v>2</x:v>
      </x:c>
      <x:c r="Y243" s="3">
        <x:v>3</x:v>
      </x:c>
      <x:c r="Z243" s="2" t="s">
        <x:v>175</x:v>
      </x:c>
      <x:c r="AA243" s="2"/>
      <x:c r="AB243" s="2"/>
      <x:c r="AC243" s="2"/>
      <x:c r="AD243" s="2"/>
      <x:c r="AE243" s="2"/>
      <x:c r="AF243" s="2"/>
      <x:c r="AG243" s="2"/>
      <x:c r="AH243" s="2"/>
      <x:c r="AI243" s="4"/>
      <x:c r="AJ243" s="2"/>
      <x:c r="AK243" s="2" t="s">
        <x:v>176</x:v>
      </x:c>
      <x:c r="AL243" s="2" t="s">
        <x:v>3061</x:v>
      </x:c>
      <x:c r="AM243" s="2">
        <x:v>93</x:v>
      </x:c>
      <x:c r="AN243" s="2">
        <x:v>93</x:v>
      </x:c>
    </x:row>
    <x:row r="244" ht="39">
      <x:c r="A244" s="2" t="s">
        <x:v>91</x:v>
      </x:c>
      <x:c r="B244" s="2" t="s">
        <x:v>14</x:v>
      </x:c>
      <x:c r="C244" s="3">
        <x:v>92</x:v>
      </x:c>
      <x:c r="D244" s="2" t="s">
        <x:v>166</x:v>
      </x:c>
      <x:c r="E244" s="2" t="s">
        <x:v>1117</x:v>
      </x:c>
      <x:c r="F244" s="2" t="s">
        <x:v>1011</x:v>
      </x:c>
      <x:c r="G244" s="2" t="s">
        <x:v>158</x:v>
      </x:c>
      <x:c r="H244" s="2" t="s">
        <x:v>618</x:v>
      </x:c>
      <x:c r="I244" s="2" t="s">
        <x:v>1192</x:v>
      </x:c>
      <x:c r="J244" s="2" t="s">
        <x:v>1013</x:v>
      </x:c>
      <x:c r="K244" s="2"/>
      <x:c r="L244" s="2" t="s">
        <x:v>1014</x:v>
      </x:c>
      <x:c r="M244" s="2" t="s">
        <x:v>1015</x:v>
      </x:c>
      <x:c r="N244" s="2">
        <x:v>4</x:v>
      </x:c>
      <x:c r="O244" s="2" t="s">
        <x:v>1016</x:v>
      </x:c>
      <x:c r="P244" s="2" t="s">
        <x:v>1017</x:v>
      </x:c>
      <x:c r="Q244" s="2"/>
      <x:c r="R244" s="3"/>
      <x:c r="S244" s="3"/>
      <x:c r="T244" s="2"/>
      <x:c r="U244" s="2"/>
      <x:c r="V244" s="2"/>
      <x:c r="W244" s="2" t="s">
        <x:v>1193</x:v>
      </x:c>
      <x:c r="X244" s="3">
        <x:v>2</x:v>
      </x:c>
      <x:c r="Y244" s="3">
        <x:v>1</x:v>
      </x:c>
      <x:c r="Z244" s="2" t="s">
        <x:v>191</x:v>
      </x:c>
      <x:c r="AA244" s="2"/>
      <x:c r="AB244" s="2"/>
      <x:c r="AC244" s="2"/>
      <x:c r="AD244" s="2"/>
      <x:c r="AE244" s="2"/>
      <x:c r="AF244" s="2"/>
      <x:c r="AG244" s="2"/>
      <x:c r="AH244" s="2"/>
      <x:c r="AI244" s="4"/>
      <x:c r="AJ244" s="2"/>
      <x:c r="AK244" s="2" t="s">
        <x:v>176</x:v>
      </x:c>
      <x:c r="AL244" s="2" t="s">
        <x:v>3061</x:v>
      </x:c>
      <x:c r="AM244" s="2">
        <x:v>94</x:v>
      </x:c>
      <x:c r="AN244" s="2">
        <x:v>94</x:v>
      </x:c>
    </x:row>
    <x:row r="245" ht="39">
      <x:c r="A245" s="2" t="s">
        <x:v>91</x:v>
      </x:c>
      <x:c r="B245" s="2" t="s">
        <x:v>14</x:v>
      </x:c>
      <x:c r="C245" s="3">
        <x:v>93</x:v>
      </x:c>
      <x:c r="D245" s="2" t="s">
        <x:v>184</x:v>
      </x:c>
      <x:c r="E245" s="2" t="s">
        <x:v>1117</x:v>
      </x:c>
      <x:c r="F245" s="2" t="s">
        <x:v>1031</x:v>
      </x:c>
      <x:c r="G245" s="2" t="s">
        <x:v>158</x:v>
      </x:c>
      <x:c r="H245" s="2" t="s">
        <x:v>618</x:v>
      </x:c>
      <x:c r="I245" s="2" t="s">
        <x:v>1192</x:v>
      </x:c>
      <x:c r="J245" s="2" t="s">
        <x:v>1032</x:v>
      </x:c>
      <x:c r="K245" s="2" t="n">
        <x:v>92</x:v>
      </x:c>
      <x:c r="L245" s="2" t="s">
        <x:v>1120</x:v>
      </x:c>
      <x:c r="M245" s="2" t="s">
        <x:v>1041</x:v>
      </x:c>
      <x:c r="N245" s="2">
        <x:v>4</x:v>
      </x:c>
      <x:c r="O245" s="2" t="s">
        <x:v>1024</x:v>
      </x:c>
      <x:c r="P245" s="2" t="s">
        <x:v>1035</x:v>
      </x:c>
      <x:c r="Q245" s="2"/>
      <x:c r="R245" s="3"/>
      <x:c r="S245" s="3"/>
      <x:c r="T245" s="2"/>
      <x:c r="U245" s="2"/>
      <x:c r="V245" s="2"/>
      <x:c r="W245" s="2" t="s">
        <x:v>1194</x:v>
      </x:c>
      <x:c r="X245" s="3">
        <x:v>2</x:v>
      </x:c>
      <x:c r="Y245" s="3">
        <x:v>3</x:v>
      </x:c>
      <x:c r="Z245" s="2" t="s">
        <x:v>175</x:v>
      </x:c>
      <x:c r="AA245" s="2"/>
      <x:c r="AB245" s="2"/>
      <x:c r="AC245" s="2"/>
      <x:c r="AD245" s="2"/>
      <x:c r="AE245" s="2"/>
      <x:c r="AF245" s="2"/>
      <x:c r="AG245" s="2"/>
      <x:c r="AH245" s="2"/>
      <x:c r="AI245" s="4"/>
      <x:c r="AJ245" s="2"/>
      <x:c r="AK245" s="2" t="s">
        <x:v>176</x:v>
      </x:c>
      <x:c r="AL245" s="2" t="s">
        <x:v>3061</x:v>
      </x:c>
      <x:c r="AM245" s="2">
        <x:v>95</x:v>
      </x:c>
      <x:c r="AN245" s="2">
        <x:v>95</x:v>
      </x:c>
    </x:row>
    <x:row r="246" ht="39">
      <x:c r="A246" s="2" t="s">
        <x:v>91</x:v>
      </x:c>
      <x:c r="B246" s="2" t="s">
        <x:v>14</x:v>
      </x:c>
      <x:c r="C246" s="3">
        <x:v>94</x:v>
      </x:c>
      <x:c r="D246" s="2" t="s">
        <x:v>184</x:v>
      </x:c>
      <x:c r="E246" s="2" t="s">
        <x:v>1064</x:v>
      </x:c>
      <x:c r="F246" s="2" t="s">
        <x:v>1031</x:v>
      </x:c>
      <x:c r="G246" s="2" t="s">
        <x:v>158</x:v>
      </x:c>
      <x:c r="H246" s="2" t="s">
        <x:v>618</x:v>
      </x:c>
      <x:c r="I246" s="2" t="s">
        <x:v>1195</x:v>
      </x:c>
      <x:c r="J246" s="2" t="s">
        <x:v>1032</x:v>
      </x:c>
      <x:c r="K246" s="2"/>
      <x:c r="L246" s="2" t="s">
        <x:v>1038</x:v>
      </x:c>
      <x:c r="M246" s="2" t="s">
        <x:v>1015</x:v>
      </x:c>
      <x:c r="N246" s="2">
        <x:v>2</x:v>
      </x:c>
      <x:c r="O246" s="2" t="s">
        <x:v>1024</x:v>
      </x:c>
      <x:c r="P246" s="2" t="s">
        <x:v>1035</x:v>
      </x:c>
      <x:c r="Q246" s="2"/>
      <x:c r="R246" s="3"/>
      <x:c r="S246" s="3"/>
      <x:c r="T246" s="2"/>
      <x:c r="U246" s="2"/>
      <x:c r="V246" s="2"/>
      <x:c r="W246" s="2" t="s">
        <x:v>1196</x:v>
      </x:c>
      <x:c r="X246" s="3">
        <x:v>2</x:v>
      </x:c>
      <x:c r="Y246" s="3">
        <x:v>3</x:v>
      </x:c>
      <x:c r="Z246" s="2" t="s">
        <x:v>175</x:v>
      </x:c>
      <x:c r="AA246" s="2"/>
      <x:c r="AB246" s="2"/>
      <x:c r="AC246" s="2"/>
      <x:c r="AD246" s="2"/>
      <x:c r="AE246" s="2"/>
      <x:c r="AF246" s="2"/>
      <x:c r="AG246" s="2"/>
      <x:c r="AH246" s="2"/>
      <x:c r="AI246" s="4"/>
      <x:c r="AJ246" s="2"/>
      <x:c r="AK246" s="2" t="s">
        <x:v>176</x:v>
      </x:c>
      <x:c r="AL246" s="2" t="s">
        <x:v>3061</x:v>
      </x:c>
      <x:c r="AM246" s="2">
        <x:v>96</x:v>
      </x:c>
      <x:c r="AN246" s="2">
        <x:v>96</x:v>
      </x:c>
    </x:row>
    <x:row r="247" ht="26">
      <x:c r="A247" s="2" t="s">
        <x:v>6</x:v>
      </x:c>
      <x:c r="B247" s="2" t="s">
        <x:v>14</x:v>
      </x:c>
      <x:c r="C247" s="3">
        <x:v>95</x:v>
      </x:c>
      <x:c r="D247" s="2" t="s">
        <x:v>1197</x:v>
      </x:c>
      <x:c r="E247" s="2" t="s">
        <x:v>1064</x:v>
      </x:c>
      <x:c r="F247" s="2" t="s">
        <x:v>1198</x:v>
      </x:c>
      <x:c r="G247" s="2"/>
      <x:c r="H247" s="2" t="s">
        <x:v>627</x:v>
      </x:c>
      <x:c r="I247" s="2" t="s">
        <x:v>1195</x:v>
      </x:c>
      <x:c r="J247" s="2" t="s">
        <x:v>1028</x:v>
      </x:c>
      <x:c r="K247" s="2" t="n">
        <x:v>94</x:v>
      </x:c>
      <x:c r="L247" s="2" t="s">
        <x:v>1199</x:v>
      </x:c>
      <x:c r="M247" s="2" t="s">
        <x:v>1023</x:v>
      </x:c>
      <x:c r="N247" s="2">
        <x:v>2</x:v>
      </x:c>
      <x:c r="O247" s="2" t="s">
        <x:v>1024</x:v>
      </x:c>
      <x:c r="P247" s="2" t="s">
        <x:v>1025</x:v>
      </x:c>
      <x:c r="Q247" s="2"/>
      <x:c r="R247" s="3"/>
      <x:c r="S247" s="3"/>
      <x:c r="T247" s="2"/>
      <x:c r="U247" s="2"/>
      <x:c r="V247" s="2"/>
      <x:c r="W247" s="2" t="s">
        <x:v>1196</x:v>
      </x:c>
      <x:c r="X247" s="3">
        <x:v>2</x:v>
      </x:c>
      <x:c r="Y247" s="3">
        <x:v>3</x:v>
      </x:c>
      <x:c r="Z247" s="2" t="s">
        <x:v>175</x:v>
      </x:c>
      <x:c r="AA247" s="2"/>
      <x:c r="AB247" s="2"/>
      <x:c r="AC247" s="2"/>
      <x:c r="AD247" s="2"/>
      <x:c r="AE247" s="2"/>
      <x:c r="AF247" s="2"/>
      <x:c r="AG247" s="2"/>
      <x:c r="AH247" s="2"/>
      <x:c r="AI247" s="4"/>
      <x:c r="AJ247" s="2"/>
      <x:c r="AK247" s="2" t="s">
        <x:v>176</x:v>
      </x:c>
      <x:c r="AL247" s="2" t="s">
        <x:v>3061</x:v>
      </x:c>
      <x:c r="AM247" s="2">
        <x:v>97</x:v>
      </x:c>
      <x:c r="AN247" s="2">
        <x:v>97</x:v>
      </x:c>
    </x:row>
    <x:row r="248" ht="39">
      <x:c r="A248" s="2" t="s">
        <x:v>91</x:v>
      </x:c>
      <x:c r="B248" s="2" t="s">
        <x:v>14</x:v>
      </x:c>
      <x:c r="C248" s="3">
        <x:v>96</x:v>
      </x:c>
      <x:c r="D248" s="2" t="s">
        <x:v>1200</x:v>
      </x:c>
      <x:c r="E248" s="2" t="s">
        <x:v>1064</x:v>
      </x:c>
      <x:c r="F248" s="2" t="s">
        <x:v>1031</x:v>
      </x:c>
      <x:c r="G248" s="2" t="s">
        <x:v>158</x:v>
      </x:c>
      <x:c r="H248" s="2" t="s">
        <x:v>634</x:v>
      </x:c>
      <x:c r="I248" s="2" t="s">
        <x:v>1195</x:v>
      </x:c>
      <x:c r="J248" s="2" t="s">
        <x:v>1062</x:v>
      </x:c>
      <x:c r="K248" s="2" t="n">
        <x:v>94</x:v>
      </x:c>
      <x:c r="L248" s="2" t="s">
        <x:v>1038</x:v>
      </x:c>
      <x:c r="M248" s="2" t="s">
        <x:v>1052</x:v>
      </x:c>
      <x:c r="N248" s="2">
        <x:v>2</x:v>
      </x:c>
      <x:c r="O248" s="2" t="s">
        <x:v>1024</x:v>
      </x:c>
      <x:c r="P248" s="2" t="s">
        <x:v>1053</x:v>
      </x:c>
      <x:c r="Q248" s="2"/>
      <x:c r="R248" s="3"/>
      <x:c r="S248" s="3"/>
      <x:c r="T248" s="2"/>
      <x:c r="U248" s="2"/>
      <x:c r="V248" s="2"/>
      <x:c r="W248" s="2" t="s">
        <x:v>1196</x:v>
      </x:c>
      <x:c r="X248" s="3">
        <x:v>2</x:v>
      </x:c>
      <x:c r="Y248" s="3">
        <x:v>3</x:v>
      </x:c>
      <x:c r="Z248" s="2" t="s">
        <x:v>175</x:v>
      </x:c>
      <x:c r="AA248" s="2"/>
      <x:c r="AB248" s="2"/>
      <x:c r="AC248" s="2"/>
      <x:c r="AD248" s="2"/>
      <x:c r="AE248" s="2"/>
      <x:c r="AF248" s="2"/>
      <x:c r="AG248" s="2"/>
      <x:c r="AH248" s="2"/>
      <x:c r="AI248" s="4"/>
      <x:c r="AJ248" s="2"/>
      <x:c r="AK248" s="2" t="s">
        <x:v>176</x:v>
      </x:c>
      <x:c r="AL248" s="2" t="s">
        <x:v>3061</x:v>
      </x:c>
      <x:c r="AM248" s="2">
        <x:v>98</x:v>
      </x:c>
      <x:c r="AN248" s="2">
        <x:v>98</x:v>
      </x:c>
    </x:row>
    <x:row r="249" ht="26">
      <x:c r="A249" s="2" t="s">
        <x:v>91</x:v>
      </x:c>
      <x:c r="B249" s="2" t="s">
        <x:v>14</x:v>
      </x:c>
      <x:c r="C249" s="3">
        <x:v>97</x:v>
      </x:c>
      <x:c r="D249" s="2" t="s">
        <x:v>1201</x:v>
      </x:c>
      <x:c r="E249" s="2" t="s">
        <x:v>1064</x:v>
      </x:c>
      <x:c r="F249" s="2" t="s">
        <x:v>1198</x:v>
      </x:c>
      <x:c r="G249" s="2" t="s">
        <x:v>158</x:v>
      </x:c>
      <x:c r="H249" s="2" t="s">
        <x:v>634</x:v>
      </x:c>
      <x:c r="I249" s="2" t="s">
        <x:v>1195</x:v>
      </x:c>
      <x:c r="J249" s="2" t="s">
        <x:v>1060</x:v>
      </x:c>
      <x:c r="K249" s="2" t="n">
        <x:v>94</x:v>
      </x:c>
      <x:c r="L249" s="2" t="s">
        <x:v>1199</x:v>
      </x:c>
      <x:c r="M249" s="2" t="s">
        <x:v>1056</x:v>
      </x:c>
      <x:c r="N249" s="2">
        <x:v>2</x:v>
      </x:c>
      <x:c r="O249" s="2" t="s">
        <x:v>1024</x:v>
      </x:c>
      <x:c r="P249" s="2" t="s">
        <x:v>1057</x:v>
      </x:c>
      <x:c r="Q249" s="2"/>
      <x:c r="R249" s="3"/>
      <x:c r="S249" s="3"/>
      <x:c r="T249" s="2"/>
      <x:c r="U249" s="2"/>
      <x:c r="V249" s="2"/>
      <x:c r="W249" s="2" t="s">
        <x:v>1196</x:v>
      </x:c>
      <x:c r="X249" s="3">
        <x:v>2</x:v>
      </x:c>
      <x:c r="Y249" s="3">
        <x:v>3</x:v>
      </x:c>
      <x:c r="Z249" s="2" t="s">
        <x:v>175</x:v>
      </x:c>
      <x:c r="AA249" s="2"/>
      <x:c r="AB249" s="2"/>
      <x:c r="AC249" s="2"/>
      <x:c r="AD249" s="2"/>
      <x:c r="AE249" s="2"/>
      <x:c r="AF249" s="2"/>
      <x:c r="AG249" s="2"/>
      <x:c r="AH249" s="2"/>
      <x:c r="AI249" s="4"/>
      <x:c r="AJ249" s="2"/>
      <x:c r="AK249" s="2" t="s">
        <x:v>176</x:v>
      </x:c>
      <x:c r="AL249" s="2" t="s">
        <x:v>3061</x:v>
      </x:c>
      <x:c r="AM249" s="2">
        <x:v>99</x:v>
      </x:c>
      <x:c r="AN249" s="2">
        <x:v>99</x:v>
      </x:c>
    </x:row>
    <x:row r="250" ht="26">
      <x:c r="A250" s="2" t="s">
        <x:v>6</x:v>
      </x:c>
      <x:c r="B250" s="2" t="s">
        <x:v>14</x:v>
      </x:c>
      <x:c r="C250" s="3">
        <x:v>98</x:v>
      </x:c>
      <x:c r="D250" s="2" t="s">
        <x:v>1160</x:v>
      </x:c>
      <x:c r="E250" s="2" t="s">
        <x:v>1064</x:v>
      </x:c>
      <x:c r="F250" s="2" t="s">
        <x:v>1161</x:v>
      </x:c>
      <x:c r="G250" s="2"/>
      <x:c r="H250" s="2" t="s">
        <x:v>627</x:v>
      </x:c>
      <x:c r="I250" s="2" t="s">
        <x:v>1195</x:v>
      </x:c>
      <x:c r="J250" s="2" t="s">
        <x:v>1021</x:v>
      </x:c>
      <x:c r="K250" s="2"/>
      <x:c r="L250" s="2" t="s">
        <x:v>1163</x:v>
      </x:c>
      <x:c r="M250" s="2" t="s">
        <x:v>1023</x:v>
      </x:c>
      <x:c r="N250" s="2">
        <x:v>2</x:v>
      </x:c>
      <x:c r="O250" s="2" t="s">
        <x:v>1024</x:v>
      </x:c>
      <x:c r="P250" s="2" t="s">
        <x:v>1025</x:v>
      </x:c>
      <x:c r="Q250" s="2"/>
      <x:c r="R250" s="3"/>
      <x:c r="S250" s="3"/>
      <x:c r="T250" s="2"/>
      <x:c r="U250" s="2"/>
      <x:c r="V250" s="2"/>
      <x:c r="W250" s="2" t="s">
        <x:v>1203</x:v>
      </x:c>
      <x:c r="X250" s="3">
        <x:v>2</x:v>
      </x:c>
      <x:c r="Y250" s="3">
        <x:v>1</x:v>
      </x:c>
      <x:c r="Z250" s="2" t="s">
        <x:v>191</x:v>
      </x:c>
      <x:c r="AA250" s="2"/>
      <x:c r="AB250" s="2"/>
      <x:c r="AC250" s="2"/>
      <x:c r="AD250" s="2"/>
      <x:c r="AE250" s="2"/>
      <x:c r="AF250" s="2"/>
      <x:c r="AG250" s="2"/>
      <x:c r="AH250" s="2"/>
      <x:c r="AI250" s="4"/>
      <x:c r="AJ250" s="2"/>
      <x:c r="AK250" s="2" t="s">
        <x:v>176</x:v>
      </x:c>
      <x:c r="AL250" s="2" t="s">
        <x:v>3061</x:v>
      </x:c>
      <x:c r="AM250" s="2">
        <x:v>100</x:v>
      </x:c>
      <x:c r="AN250" s="2">
        <x:v>100</x:v>
      </x:c>
    </x:row>
    <x:row r="251" ht="39">
      <x:c r="A251" s="2" t="s">
        <x:v>91</x:v>
      </x:c>
      <x:c r="B251" s="2" t="s">
        <x:v>14</x:v>
      </x:c>
      <x:c r="C251" s="3">
        <x:v>99</x:v>
      </x:c>
      <x:c r="D251" s="2" t="s">
        <x:v>166</x:v>
      </x:c>
      <x:c r="E251" s="2" t="s">
        <x:v>1064</x:v>
      </x:c>
      <x:c r="F251" s="2" t="s">
        <x:v>1011</x:v>
      </x:c>
      <x:c r="G251" s="2" t="s">
        <x:v>158</x:v>
      </x:c>
      <x:c r="H251" s="2" t="s">
        <x:v>618</x:v>
      </x:c>
      <x:c r="I251" s="2" t="s">
        <x:v>1195</x:v>
      </x:c>
      <x:c r="J251" s="2" t="s">
        <x:v>1013</x:v>
      </x:c>
      <x:c r="K251" s="2" t="n">
        <x:v>98</x:v>
      </x:c>
      <x:c r="L251" s="2" t="s">
        <x:v>1074</x:v>
      </x:c>
      <x:c r="M251" s="2" t="s">
        <x:v>1034</x:v>
      </x:c>
      <x:c r="N251" s="2">
        <x:v>2</x:v>
      </x:c>
      <x:c r="O251" s="2" t="s">
        <x:v>1016</x:v>
      </x:c>
      <x:c r="P251" s="2" t="s">
        <x:v>1017</x:v>
      </x:c>
      <x:c r="Q251" s="2"/>
      <x:c r="R251" s="3"/>
      <x:c r="S251" s="3"/>
      <x:c r="T251" s="2"/>
      <x:c r="U251" s="2"/>
      <x:c r="V251" s="2"/>
      <x:c r="W251" s="2" t="s">
        <x:v>1203</x:v>
      </x:c>
      <x:c r="X251" s="3">
        <x:v>2</x:v>
      </x:c>
      <x:c r="Y251" s="3">
        <x:v>1</x:v>
      </x:c>
      <x:c r="Z251" s="2" t="s">
        <x:v>191</x:v>
      </x:c>
      <x:c r="AA251" s="2"/>
      <x:c r="AB251" s="2"/>
      <x:c r="AC251" s="2"/>
      <x:c r="AD251" s="2"/>
      <x:c r="AE251" s="2"/>
      <x:c r="AF251" s="2"/>
      <x:c r="AG251" s="2"/>
      <x:c r="AH251" s="2"/>
      <x:c r="AI251" s="4"/>
      <x:c r="AJ251" s="2"/>
      <x:c r="AK251" s="2" t="s">
        <x:v>176</x:v>
      </x:c>
      <x:c r="AL251" s="2" t="s">
        <x:v>3061</x:v>
      </x:c>
      <x:c r="AM251" s="2">
        <x:v>101</x:v>
      </x:c>
      <x:c r="AN251" s="2">
        <x:v>101</x:v>
      </x:c>
    </x:row>
    <x:row r="252" ht="39">
      <x:c r="A252" s="2" t="s">
        <x:v>6</x:v>
      </x:c>
      <x:c r="B252" s="2" t="s">
        <x:v>14</x:v>
      </x:c>
      <x:c r="C252" s="3">
        <x:v>100</x:v>
      </x:c>
      <x:c r="D252" s="2" t="s">
        <x:v>1204</x:v>
      </x:c>
      <x:c r="E252" s="2" t="s">
        <x:v>1064</x:v>
      </x:c>
      <x:c r="F252" s="2" t="s">
        <x:v>1161</x:v>
      </x:c>
      <x:c r="G252" s="2" t="s">
        <x:v>3122</x:v>
      </x:c>
      <x:c r="H252" s="2" t="s">
        <x:v>634</x:v>
      </x:c>
      <x:c r="I252" s="2" t="s">
        <x:v>1195</x:v>
      </x:c>
      <x:c r="J252" s="2" t="s">
        <x:v>1055</x:v>
      </x:c>
      <x:c r="K252" s="2" t="n">
        <x:v>98</x:v>
      </x:c>
      <x:c r="L252" s="2" t="s">
        <x:v>1163</x:v>
      </x:c>
      <x:c r="M252" s="2" t="s">
        <x:v>1056</x:v>
      </x:c>
      <x:c r="N252" s="2">
        <x:v>2</x:v>
      </x:c>
      <x:c r="O252" s="2" t="s">
        <x:v>1024</x:v>
      </x:c>
      <x:c r="P252" s="2" t="s">
        <x:v>1057</x:v>
      </x:c>
      <x:c r="Q252" s="2"/>
      <x:c r="R252" s="3"/>
      <x:c r="S252" s="3"/>
      <x:c r="T252" s="2"/>
      <x:c r="U252" s="2"/>
      <x:c r="V252" s="2"/>
      <x:c r="W252" s="2" t="s">
        <x:v>1203</x:v>
      </x:c>
      <x:c r="X252" s="3">
        <x:v>2</x:v>
      </x:c>
      <x:c r="Y252" s="3">
        <x:v>1</x:v>
      </x:c>
      <x:c r="Z252" s="2" t="s">
        <x:v>191</x:v>
      </x:c>
      <x:c r="AA252" s="2"/>
      <x:c r="AB252" s="2"/>
      <x:c r="AC252" s="2"/>
      <x:c r="AD252" s="2"/>
      <x:c r="AE252" s="2"/>
      <x:c r="AF252" s="2"/>
      <x:c r="AG252" s="2"/>
      <x:c r="AH252" s="2"/>
      <x:c r="AI252" s="4"/>
      <x:c r="AJ252" s="2"/>
      <x:c r="AK252" s="2" t="s">
        <x:v>176</x:v>
      </x:c>
      <x:c r="AL252" s="2" t="s">
        <x:v>3061</x:v>
      </x:c>
      <x:c r="AM252" s="2">
        <x:v>102</x:v>
      </x:c>
      <x:c r="AN252" s="2">
        <x:v>102</x:v>
      </x:c>
    </x:row>
    <x:row r="253" ht="52">
      <x:c r="A253" s="2" t="s">
        <x:v>91</x:v>
      </x:c>
      <x:c r="B253" s="2" t="s">
        <x:v>14</x:v>
      </x:c>
      <x:c r="C253" s="3">
        <x:v>101</x:v>
      </x:c>
      <x:c r="D253" s="2" t="s">
        <x:v>1206</x:v>
      </x:c>
      <x:c r="E253" s="2" t="s">
        <x:v>1064</x:v>
      </x:c>
      <x:c r="F253" s="2" t="s">
        <x:v>1011</x:v>
      </x:c>
      <x:c r="G253" s="2" t="s">
        <x:v>158</x:v>
      </x:c>
      <x:c r="H253" s="2" t="s">
        <x:v>634</x:v>
      </x:c>
      <x:c r="I253" s="2" t="s">
        <x:v>1195</x:v>
      </x:c>
      <x:c r="J253" s="2" t="s">
        <x:v>1051</x:v>
      </x:c>
      <x:c r="K253" s="2" t="n">
        <x:v>98</x:v>
      </x:c>
      <x:c r="L253" s="2" t="s">
        <x:v>1074</x:v>
      </x:c>
      <x:c r="M253" s="2" t="s">
        <x:v>1063</x:v>
      </x:c>
      <x:c r="N253" s="2">
        <x:v>2</x:v>
      </x:c>
      <x:c r="O253" s="2" t="s">
        <x:v>1016</x:v>
      </x:c>
      <x:c r="P253" s="2" t="s">
        <x:v>1053</x:v>
      </x:c>
      <x:c r="Q253" s="2"/>
      <x:c r="R253" s="3"/>
      <x:c r="S253" s="3"/>
      <x:c r="T253" s="2"/>
      <x:c r="U253" s="2"/>
      <x:c r="V253" s="2"/>
      <x:c r="W253" s="2" t="s">
        <x:v>1203</x:v>
      </x:c>
      <x:c r="X253" s="3">
        <x:v>2</x:v>
      </x:c>
      <x:c r="Y253" s="3">
        <x:v>1</x:v>
      </x:c>
      <x:c r="Z253" s="2" t="s">
        <x:v>191</x:v>
      </x:c>
      <x:c r="AA253" s="2"/>
      <x:c r="AB253" s="2"/>
      <x:c r="AC253" s="2"/>
      <x:c r="AD253" s="2"/>
      <x:c r="AE253" s="2"/>
      <x:c r="AF253" s="2"/>
      <x:c r="AG253" s="2"/>
      <x:c r="AH253" s="2"/>
      <x:c r="AI253" s="4"/>
      <x:c r="AJ253" s="2"/>
      <x:c r="AK253" s="2" t="s">
        <x:v>176</x:v>
      </x:c>
      <x:c r="AL253" s="2" t="s">
        <x:v>3061</x:v>
      </x:c>
      <x:c r="AM253" s="2">
        <x:v>103</x:v>
      </x:c>
      <x:c r="AN253" s="2">
        <x:v>103</x:v>
      </x:c>
    </x:row>
    <x:row r="254" ht="39">
      <x:c r="A254" s="2" t="s">
        <x:v>6</x:v>
      </x:c>
      <x:c r="B254" s="2" t="s">
        <x:v>14</x:v>
      </x:c>
      <x:c r="C254" s="3">
        <x:v>102</x:v>
      </x:c>
      <x:c r="D254" s="2" t="s">
        <x:v>993</x:v>
      </x:c>
      <x:c r="E254" s="2" t="s">
        <x:v>1207</x:v>
      </x:c>
      <x:c r="F254" s="2" t="s">
        <x:v>1094</x:v>
      </x:c>
      <x:c r="G254" s="2"/>
      <x:c r="H254" s="2" t="s">
        <x:v>1077</x:v>
      </x:c>
      <x:c r="I254" s="2" t="s">
        <x:v>1208</x:v>
      </x:c>
      <x:c r="J254" s="2" t="s">
        <x:v>1095</x:v>
      </x:c>
      <x:c r="K254" s="2"/>
      <x:c r="L254" s="2" t="s">
        <x:v>1096</x:v>
      </x:c>
      <x:c r="M254" s="2" t="s">
        <x:v>1080</x:v>
      </x:c>
      <x:c r="N254" s="2">
        <x:v>6</x:v>
      </x:c>
      <x:c r="O254" s="2" t="s">
        <x:v>1081</x:v>
      </x:c>
      <x:c r="P254" s="2" t="s">
        <x:v>1082</x:v>
      </x:c>
      <x:c r="Q254" s="2"/>
      <x:c r="R254" s="3"/>
      <x:c r="S254" s="3"/>
      <x:c r="T254" s="2"/>
      <x:c r="U254" s="2"/>
      <x:c r="V254" s="2"/>
      <x:c r="W254" s="2" t="s">
        <x:v>1208</x:v>
      </x:c>
      <x:c r="X254" s="3">
        <x:v>0</x:v>
      </x:c>
      <x:c r="Y254" s="3">
        <x:v>0</x:v>
      </x:c>
      <x:c r="Z254" s="2" t="s">
        <x:v>1083</x:v>
      </x:c>
      <x:c r="AA254" s="2"/>
      <x:c r="AB254" s="2"/>
      <x:c r="AC254" s="2"/>
      <x:c r="AD254" s="2"/>
      <x:c r="AE254" s="2"/>
      <x:c r="AF254" s="2"/>
      <x:c r="AG254" s="2"/>
      <x:c r="AH254" s="2"/>
      <x:c r="AI254" s="4"/>
      <x:c r="AJ254" s="2"/>
      <x:c r="AK254" s="2" t="s">
        <x:v>176</x:v>
      </x:c>
      <x:c r="AL254" s="2" t="s">
        <x:v>3061</x:v>
      </x:c>
      <x:c r="AM254" s="2">
        <x:v>104</x:v>
      </x:c>
      <x:c r="AN254" s="2">
        <x:v>104</x:v>
      </x:c>
    </x:row>
    <x:row r="255" ht="39">
      <x:c r="A255" s="2" t="s">
        <x:v>6</x:v>
      </x:c>
      <x:c r="B255" s="2" t="s">
        <x:v>14</x:v>
      </x:c>
      <x:c r="C255" s="3">
        <x:v>103</x:v>
      </x:c>
      <x:c r="D255" s="2" t="s">
        <x:v>166</x:v>
      </x:c>
      <x:c r="E255" s="2" t="s">
        <x:v>1209</x:v>
      </x:c>
      <x:c r="F255" s="2" t="s">
        <x:v>1090</x:v>
      </x:c>
      <x:c r="G255" s="2"/>
      <x:c r="H255" s="2" t="s">
        <x:v>1077</x:v>
      </x:c>
      <x:c r="I255" s="2" t="s">
        <x:v>1208</x:v>
      </x:c>
      <x:c r="J255" s="2" t="s">
        <x:v>1091</x:v>
      </x:c>
      <x:c r="K255" s="2"/>
      <x:c r="L255" s="2" t="s">
        <x:v>1092</x:v>
      </x:c>
      <x:c r="M255" s="2" t="s">
        <x:v>1080</x:v>
      </x:c>
      <x:c r="N255" s="2">
        <x:v>6</x:v>
      </x:c>
      <x:c r="O255" s="2" t="s">
        <x:v>1089</x:v>
      </x:c>
      <x:c r="P255" s="2" t="s">
        <x:v>1082</x:v>
      </x:c>
      <x:c r="Q255" s="2"/>
      <x:c r="R255" s="3"/>
      <x:c r="S255" s="3"/>
      <x:c r="T255" s="2"/>
      <x:c r="U255" s="2"/>
      <x:c r="V255" s="2"/>
      <x:c r="W255" s="2" t="s">
        <x:v>1208</x:v>
      </x:c>
      <x:c r="X255" s="3">
        <x:v>1</x:v>
      </x:c>
      <x:c r="Y255" s="3">
        <x:v>1</x:v>
      </x:c>
      <x:c r="Z255" s="2" t="s">
        <x:v>1083</x:v>
      </x:c>
      <x:c r="AA255" s="2"/>
      <x:c r="AB255" s="2"/>
      <x:c r="AC255" s="2"/>
      <x:c r="AD255" s="2"/>
      <x:c r="AE255" s="2"/>
      <x:c r="AF255" s="2"/>
      <x:c r="AG255" s="2"/>
      <x:c r="AH255" s="2"/>
      <x:c r="AI255" s="4"/>
      <x:c r="AJ255" s="2"/>
      <x:c r="AK255" s="2" t="s">
        <x:v>176</x:v>
      </x:c>
      <x:c r="AL255" s="2" t="s">
        <x:v>3061</x:v>
      </x:c>
      <x:c r="AM255" s="2">
        <x:v>105</x:v>
      </x:c>
      <x:c r="AN255" s="2">
        <x:v>105</x:v>
      </x:c>
    </x:row>
    <x:row r="256" ht="39">
      <x:c r="A256" s="2" t="s">
        <x:v>6</x:v>
      </x:c>
      <x:c r="B256" s="2" t="s">
        <x:v>14</x:v>
      </x:c>
      <x:c r="C256" s="3">
        <x:v>104</x:v>
      </x:c>
      <x:c r="D256" s="2" t="s">
        <x:v>1084</x:v>
      </x:c>
      <x:c r="E256" s="2" t="s">
        <x:v>1210</x:v>
      </x:c>
      <x:c r="F256" s="2" t="s">
        <x:v>1086</x:v>
      </x:c>
      <x:c r="G256" s="2"/>
      <x:c r="H256" s="2" t="s">
        <x:v>1077</x:v>
      </x:c>
      <x:c r="I256" s="2" t="s">
        <x:v>1208</x:v>
      </x:c>
      <x:c r="J256" s="2" t="s">
        <x:v>1087</x:v>
      </x:c>
      <x:c r="K256" s="2"/>
      <x:c r="L256" s="2" t="s">
        <x:v>1088</x:v>
      </x:c>
      <x:c r="M256" s="2" t="s">
        <x:v>1080</x:v>
      </x:c>
      <x:c r="N256" s="2">
        <x:v>6</x:v>
      </x:c>
      <x:c r="O256" s="2" t="s">
        <x:v>1089</x:v>
      </x:c>
      <x:c r="P256" s="2" t="s">
        <x:v>1082</x:v>
      </x:c>
      <x:c r="Q256" s="2"/>
      <x:c r="R256" s="3"/>
      <x:c r="S256" s="3"/>
      <x:c r="T256" s="2"/>
      <x:c r="U256" s="2"/>
      <x:c r="V256" s="2"/>
      <x:c r="W256" s="2" t="s">
        <x:v>1208</x:v>
      </x:c>
      <x:c r="X256" s="3">
        <x:v>2</x:v>
      </x:c>
      <x:c r="Y256" s="3">
        <x:v>2</x:v>
      </x:c>
      <x:c r="Z256" s="2" t="s">
        <x:v>1083</x:v>
      </x:c>
      <x:c r="AA256" s="2"/>
      <x:c r="AB256" s="2"/>
      <x:c r="AC256" s="2"/>
      <x:c r="AD256" s="2"/>
      <x:c r="AE256" s="2"/>
      <x:c r="AF256" s="2"/>
      <x:c r="AG256" s="2"/>
      <x:c r="AH256" s="2"/>
      <x:c r="AI256" s="4"/>
      <x:c r="AJ256" s="2"/>
      <x:c r="AK256" s="2" t="s">
        <x:v>176</x:v>
      </x:c>
      <x:c r="AL256" s="2" t="s">
        <x:v>3061</x:v>
      </x:c>
      <x:c r="AM256" s="2">
        <x:v>106</x:v>
      </x:c>
      <x:c r="AN256" s="2">
        <x:v>106</x:v>
      </x:c>
    </x:row>
    <x:row r="257" ht="39">
      <x:c r="A257" s="2" t="s">
        <x:v>91</x:v>
      </x:c>
      <x:c r="B257" s="2" t="s">
        <x:v>14</x:v>
      </x:c>
      <x:c r="C257" s="3">
        <x:v>105</x:v>
      </x:c>
      <x:c r="D257" s="2" t="s">
        <x:v>184</x:v>
      </x:c>
      <x:c r="E257" s="2" t="s">
        <x:v>1211</x:v>
      </x:c>
      <x:c r="F257" s="2" t="s">
        <x:v>1076</x:v>
      </x:c>
      <x:c r="G257" s="2" t="s">
        <x:v>3123</x:v>
      </x:c>
      <x:c r="H257" s="2" t="s">
        <x:v>1077</x:v>
      </x:c>
      <x:c r="I257" s="2" t="s">
        <x:v>1208</x:v>
      </x:c>
      <x:c r="J257" s="2" t="s">
        <x:v>1079</x:v>
      </x:c>
      <x:c r="K257" s="2"/>
      <x:c r="L257" s="2" t="s">
        <x:v>189</x:v>
      </x:c>
      <x:c r="M257" s="2" t="s">
        <x:v>1080</x:v>
      </x:c>
      <x:c r="N257" s="2">
        <x:v>6</x:v>
      </x:c>
      <x:c r="O257" s="2" t="s">
        <x:v>1089</x:v>
      </x:c>
      <x:c r="P257" s="2" t="s">
        <x:v>1082</x:v>
      </x:c>
      <x:c r="Q257" s="2"/>
      <x:c r="R257" s="3"/>
      <x:c r="S257" s="3"/>
      <x:c r="T257" s="2"/>
      <x:c r="U257" s="2"/>
      <x:c r="V257" s="2"/>
      <x:c r="W257" s="2" t="s">
        <x:v>1208</x:v>
      </x:c>
      <x:c r="X257" s="3">
        <x:v>3</x:v>
      </x:c>
      <x:c r="Y257" s="3">
        <x:v>3</x:v>
      </x:c>
      <x:c r="Z257" s="2" t="s">
        <x:v>1083</x:v>
      </x:c>
      <x:c r="AA257" s="2"/>
      <x:c r="AB257" s="2"/>
      <x:c r="AC257" s="2"/>
      <x:c r="AD257" s="2"/>
      <x:c r="AE257" s="2"/>
      <x:c r="AF257" s="2"/>
      <x:c r="AG257" s="2"/>
      <x:c r="AH257" s="2"/>
      <x:c r="AI257" s="4"/>
      <x:c r="AJ257" s="2"/>
      <x:c r="AK257" s="2" t="s">
        <x:v>176</x:v>
      </x:c>
      <x:c r="AL257" s="2" t="s">
        <x:v>3061</x:v>
      </x:c>
      <x:c r="AM257" s="2">
        <x:v>107</x:v>
      </x:c>
      <x:c r="AN257" s="2">
        <x:v>107</x:v>
      </x:c>
    </x:row>
    <x:row r="258" ht="39">
      <x:c r="A258" s="2" t="s">
        <x:v>91</x:v>
      </x:c>
      <x:c r="B258" s="2" t="s">
        <x:v>14</x:v>
      </x:c>
      <x:c r="C258" s="3">
        <x:v>106</x:v>
      </x:c>
      <x:c r="D258" s="2" t="s">
        <x:v>166</x:v>
      </x:c>
      <x:c r="E258" s="2" t="s">
        <x:v>1212</x:v>
      </x:c>
      <x:c r="F258" s="2" t="s">
        <x:v>1011</x:v>
      </x:c>
      <x:c r="G258" s="2" t="s">
        <x:v>158</x:v>
      </x:c>
      <x:c r="H258" s="2" t="s">
        <x:v>618</x:v>
      </x:c>
      <x:c r="I258" s="2" t="s">
        <x:v>1213</x:v>
      </x:c>
      <x:c r="J258" s="2" t="s">
        <x:v>1013</x:v>
      </x:c>
      <x:c r="K258" s="2"/>
      <x:c r="L258" s="2" t="s">
        <x:v>1171</x:v>
      </x:c>
      <x:c r="M258" s="2" t="s">
        <x:v>1107</x:v>
      </x:c>
      <x:c r="N258" s="2">
        <x:v>2</x:v>
      </x:c>
      <x:c r="O258" s="2" t="s">
        <x:v>1016</x:v>
      </x:c>
      <x:c r="P258" s="2" t="s">
        <x:v>1017</x:v>
      </x:c>
      <x:c r="Q258" s="2"/>
      <x:c r="R258" s="3"/>
      <x:c r="S258" s="3"/>
      <x:c r="T258" s="2"/>
      <x:c r="U258" s="2"/>
      <x:c r="V258" s="2"/>
      <x:c r="W258" s="2" t="s">
        <x:v>1214</x:v>
      </x:c>
      <x:c r="X258" s="3">
        <x:v>2</x:v>
      </x:c>
      <x:c r="Y258" s="3">
        <x:v>1</x:v>
      </x:c>
      <x:c r="Z258" s="2" t="s">
        <x:v>191</x:v>
      </x:c>
      <x:c r="AA258" s="2"/>
      <x:c r="AB258" s="2"/>
      <x:c r="AC258" s="2"/>
      <x:c r="AD258" s="2"/>
      <x:c r="AE258" s="2"/>
      <x:c r="AF258" s="2"/>
      <x:c r="AG258" s="2"/>
      <x:c r="AH258" s="2"/>
      <x:c r="AI258" s="4"/>
      <x:c r="AJ258" s="2"/>
      <x:c r="AK258" s="2" t="s">
        <x:v>176</x:v>
      </x:c>
      <x:c r="AL258" s="2" t="s">
        <x:v>3061</x:v>
      </x:c>
      <x:c r="AM258" s="2">
        <x:v>108</x:v>
      </x:c>
      <x:c r="AN258" s="2">
        <x:v>108</x:v>
      </x:c>
    </x:row>
    <x:row r="259" ht="26">
      <x:c r="A259" s="2" t="s">
        <x:v>6</x:v>
      </x:c>
      <x:c r="B259" s="2" t="s">
        <x:v>14</x:v>
      </x:c>
      <x:c r="C259" s="3">
        <x:v>107</x:v>
      </x:c>
      <x:c r="D259" s="2" t="s">
        <x:v>1160</x:v>
      </x:c>
      <x:c r="E259" s="2" t="s">
        <x:v>1212</x:v>
      </x:c>
      <x:c r="F259" s="2" t="s">
        <x:v>1161</x:v>
      </x:c>
      <x:c r="G259" s="2"/>
      <x:c r="H259" s="2" t="s">
        <x:v>627</x:v>
      </x:c>
      <x:c r="I259" s="2" t="s">
        <x:v>1213</x:v>
      </x:c>
      <x:c r="J259" s="2" t="s">
        <x:v>1021</x:v>
      </x:c>
      <x:c r="K259" s="2" t="n">
        <x:v>106</x:v>
      </x:c>
      <x:c r="L259" s="2" t="s">
        <x:v>1163</x:v>
      </x:c>
      <x:c r="M259" s="2" t="s">
        <x:v>1023</x:v>
      </x:c>
      <x:c r="N259" s="2">
        <x:v>2</x:v>
      </x:c>
      <x:c r="O259" s="2" t="s">
        <x:v>1024</x:v>
      </x:c>
      <x:c r="P259" s="2" t="s">
        <x:v>1025</x:v>
      </x:c>
      <x:c r="Q259" s="2"/>
      <x:c r="R259" s="3"/>
      <x:c r="S259" s="3"/>
      <x:c r="T259" s="2"/>
      <x:c r="U259" s="2"/>
      <x:c r="V259" s="2"/>
      <x:c r="W259" s="2" t="s">
        <x:v>1214</x:v>
      </x:c>
      <x:c r="X259" s="3">
        <x:v>2</x:v>
      </x:c>
      <x:c r="Y259" s="3">
        <x:v>1</x:v>
      </x:c>
      <x:c r="Z259" s="2" t="s">
        <x:v>191</x:v>
      </x:c>
      <x:c r="AA259" s="2"/>
      <x:c r="AB259" s="2"/>
      <x:c r="AC259" s="2"/>
      <x:c r="AD259" s="2"/>
      <x:c r="AE259" s="2"/>
      <x:c r="AF259" s="2"/>
      <x:c r="AG259" s="2"/>
      <x:c r="AH259" s="2"/>
      <x:c r="AI259" s="4"/>
      <x:c r="AJ259" s="2"/>
      <x:c r="AK259" s="2" t="s">
        <x:v>176</x:v>
      </x:c>
      <x:c r="AL259" s="2" t="s">
        <x:v>3061</x:v>
      </x:c>
      <x:c r="AM259" s="2">
        <x:v>109</x:v>
      </x:c>
      <x:c r="AN259" s="2">
        <x:v>109</x:v>
      </x:c>
    </x:row>
    <x:row r="260" ht="39">
      <x:c r="A260" s="2" t="s">
        <x:v>91</x:v>
      </x:c>
      <x:c r="B260" s="2" t="s">
        <x:v>14</x:v>
      </x:c>
      <x:c r="C260" s="3">
        <x:v>108</x:v>
      </x:c>
      <x:c r="D260" s="2" t="s">
        <x:v>1215</x:v>
      </x:c>
      <x:c r="E260" s="2" t="s">
        <x:v>1212</x:v>
      </x:c>
      <x:c r="F260" s="2" t="s">
        <x:v>1011</x:v>
      </x:c>
      <x:c r="G260" s="2" t="s">
        <x:v>158</x:v>
      </x:c>
      <x:c r="H260" s="2" t="s">
        <x:v>634</x:v>
      </x:c>
      <x:c r="I260" s="2" t="s">
        <x:v>1213</x:v>
      </x:c>
      <x:c r="J260" s="2" t="s">
        <x:v>1051</x:v>
      </x:c>
      <x:c r="K260" s="2" t="n">
        <x:v>106</x:v>
      </x:c>
      <x:c r="L260" s="2" t="s">
        <x:v>1171</x:v>
      </x:c>
      <x:c r="M260" s="2" t="s">
        <x:v>1216</x:v>
      </x:c>
      <x:c r="N260" s="2">
        <x:v>2</x:v>
      </x:c>
      <x:c r="O260" s="2" t="s">
        <x:v>1016</x:v>
      </x:c>
      <x:c r="P260" s="2" t="s">
        <x:v>1053</x:v>
      </x:c>
      <x:c r="Q260" s="2"/>
      <x:c r="R260" s="3"/>
      <x:c r="S260" s="3"/>
      <x:c r="T260" s="2"/>
      <x:c r="U260" s="2"/>
      <x:c r="V260" s="2"/>
      <x:c r="W260" s="2" t="s">
        <x:v>1214</x:v>
      </x:c>
      <x:c r="X260" s="3">
        <x:v>2</x:v>
      </x:c>
      <x:c r="Y260" s="3">
        <x:v>1</x:v>
      </x:c>
      <x:c r="Z260" s="2" t="s">
        <x:v>191</x:v>
      </x:c>
      <x:c r="AA260" s="2"/>
      <x:c r="AB260" s="2"/>
      <x:c r="AC260" s="2"/>
      <x:c r="AD260" s="2"/>
      <x:c r="AE260" s="2"/>
      <x:c r="AF260" s="2"/>
      <x:c r="AG260" s="2"/>
      <x:c r="AH260" s="2"/>
      <x:c r="AI260" s="4"/>
      <x:c r="AJ260" s="2"/>
      <x:c r="AK260" s="2" t="s">
        <x:v>176</x:v>
      </x:c>
      <x:c r="AL260" s="2" t="s">
        <x:v>3061</x:v>
      </x:c>
      <x:c r="AM260" s="2">
        <x:v>110</x:v>
      </x:c>
      <x:c r="AN260" s="2">
        <x:v>110</x:v>
      </x:c>
    </x:row>
    <x:row r="261" ht="26">
      <x:c r="A261" s="2" t="s">
        <x:v>6</x:v>
      </x:c>
      <x:c r="B261" s="2" t="s">
        <x:v>14</x:v>
      </x:c>
      <x:c r="C261" s="3">
        <x:v>109</x:v>
      </x:c>
      <x:c r="D261" s="2" t="s">
        <x:v>1204</x:v>
      </x:c>
      <x:c r="E261" s="2" t="s">
        <x:v>1212</x:v>
      </x:c>
      <x:c r="F261" s="2" t="s">
        <x:v>1161</x:v>
      </x:c>
      <x:c r="G261" s="2"/>
      <x:c r="H261" s="2" t="s">
        <x:v>634</x:v>
      </x:c>
      <x:c r="I261" s="2" t="s">
        <x:v>1213</x:v>
      </x:c>
      <x:c r="J261" s="2" t="s">
        <x:v>1055</x:v>
      </x:c>
      <x:c r="K261" s="2" t="n">
        <x:v>106</x:v>
      </x:c>
      <x:c r="L261" s="2" t="s">
        <x:v>1163</x:v>
      </x:c>
      <x:c r="M261" s="2" t="s">
        <x:v>1056</x:v>
      </x:c>
      <x:c r="N261" s="2">
        <x:v>2</x:v>
      </x:c>
      <x:c r="O261" s="2" t="s">
        <x:v>1024</x:v>
      </x:c>
      <x:c r="P261" s="2" t="s">
        <x:v>1057</x:v>
      </x:c>
      <x:c r="Q261" s="2"/>
      <x:c r="R261" s="3"/>
      <x:c r="S261" s="3"/>
      <x:c r="T261" s="2"/>
      <x:c r="U261" s="2"/>
      <x:c r="V261" s="2"/>
      <x:c r="W261" s="2" t="s">
        <x:v>1214</x:v>
      </x:c>
      <x:c r="X261" s="3">
        <x:v>2</x:v>
      </x:c>
      <x:c r="Y261" s="3">
        <x:v>1</x:v>
      </x:c>
      <x:c r="Z261" s="2" t="s">
        <x:v>191</x:v>
      </x:c>
      <x:c r="AA261" s="2"/>
      <x:c r="AB261" s="2"/>
      <x:c r="AC261" s="2"/>
      <x:c r="AD261" s="2"/>
      <x:c r="AE261" s="2"/>
      <x:c r="AF261" s="2"/>
      <x:c r="AG261" s="2"/>
      <x:c r="AH261" s="2"/>
      <x:c r="AI261" s="4"/>
      <x:c r="AJ261" s="2"/>
      <x:c r="AK261" s="2" t="s">
        <x:v>176</x:v>
      </x:c>
      <x:c r="AL261" s="2" t="s">
        <x:v>3061</x:v>
      </x:c>
      <x:c r="AM261" s="2">
        <x:v>111</x:v>
      </x:c>
      <x:c r="AN261" s="2">
        <x:v>111</x:v>
      </x:c>
    </x:row>
    <x:row r="262" ht="26">
      <x:c r="A262" s="2" t="s">
        <x:v>6</x:v>
      </x:c>
      <x:c r="B262" s="2" t="s">
        <x:v>14</x:v>
      </x:c>
      <x:c r="C262" s="3">
        <x:v>110</x:v>
      </x:c>
      <x:c r="D262" s="2" t="s">
        <x:v>1197</x:v>
      </x:c>
      <x:c r="E262" s="2" t="s">
        <x:v>1212</x:v>
      </x:c>
      <x:c r="F262" s="2" t="s">
        <x:v>1198</x:v>
      </x:c>
      <x:c r="G262" s="2"/>
      <x:c r="H262" s="2" t="s">
        <x:v>627</x:v>
      </x:c>
      <x:c r="I262" s="2" t="s">
        <x:v>1213</x:v>
      </x:c>
      <x:c r="J262" s="2" t="s">
        <x:v>1028</x:v>
      </x:c>
      <x:c r="K262" s="2"/>
      <x:c r="L262" s="2" t="s">
        <x:v>1199</x:v>
      </x:c>
      <x:c r="M262" s="2" t="s">
        <x:v>1023</x:v>
      </x:c>
      <x:c r="N262" s="2">
        <x:v>2</x:v>
      </x:c>
      <x:c r="O262" s="2" t="s">
        <x:v>1024</x:v>
      </x:c>
      <x:c r="P262" s="2" t="s">
        <x:v>1025</x:v>
      </x:c>
      <x:c r="Q262" s="2"/>
      <x:c r="R262" s="3"/>
      <x:c r="S262" s="3"/>
      <x:c r="T262" s="2"/>
      <x:c r="U262" s="2"/>
      <x:c r="V262" s="2"/>
      <x:c r="W262" s="2" t="s">
        <x:v>1217</x:v>
      </x:c>
      <x:c r="X262" s="3">
        <x:v>2</x:v>
      </x:c>
      <x:c r="Y262" s="3">
        <x:v>3</x:v>
      </x:c>
      <x:c r="Z262" s="2" t="s">
        <x:v>175</x:v>
      </x:c>
      <x:c r="AA262" s="2"/>
      <x:c r="AB262" s="2"/>
      <x:c r="AC262" s="2"/>
      <x:c r="AD262" s="2"/>
      <x:c r="AE262" s="2"/>
      <x:c r="AF262" s="2"/>
      <x:c r="AG262" s="2"/>
      <x:c r="AH262" s="2"/>
      <x:c r="AI262" s="4"/>
      <x:c r="AJ262" s="2"/>
      <x:c r="AK262" s="2" t="s">
        <x:v>176</x:v>
      </x:c>
      <x:c r="AL262" s="2" t="s">
        <x:v>3061</x:v>
      </x:c>
      <x:c r="AM262" s="2">
        <x:v>112</x:v>
      </x:c>
      <x:c r="AN262" s="2">
        <x:v>112</x:v>
      </x:c>
    </x:row>
    <x:row r="263" ht="39">
      <x:c r="A263" s="2" t="s">
        <x:v>91</x:v>
      </x:c>
      <x:c r="B263" s="2" t="s">
        <x:v>14</x:v>
      </x:c>
      <x:c r="C263" s="3">
        <x:v>111</x:v>
      </x:c>
      <x:c r="D263" s="2" t="s">
        <x:v>184</x:v>
      </x:c>
      <x:c r="E263" s="2" t="s">
        <x:v>1212</x:v>
      </x:c>
      <x:c r="F263" s="2" t="s">
        <x:v>1031</x:v>
      </x:c>
      <x:c r="G263" s="2" t="s">
        <x:v>158</x:v>
      </x:c>
      <x:c r="H263" s="2" t="s">
        <x:v>618</x:v>
      </x:c>
      <x:c r="I263" s="2" t="s">
        <x:v>1213</x:v>
      </x:c>
      <x:c r="J263" s="2" t="s">
        <x:v>1032</x:v>
      </x:c>
      <x:c r="K263" s="2" t="n">
        <x:v>110</x:v>
      </x:c>
      <x:c r="L263" s="2" t="s">
        <x:v>1033</x:v>
      </x:c>
      <x:c r="M263" s="2" t="s">
        <x:v>1034</x:v>
      </x:c>
      <x:c r="N263" s="2">
        <x:v>2</x:v>
      </x:c>
      <x:c r="O263" s="2" t="s">
        <x:v>1024</x:v>
      </x:c>
      <x:c r="P263" s="2" t="s">
        <x:v>1035</x:v>
      </x:c>
      <x:c r="Q263" s="2"/>
      <x:c r="R263" s="3"/>
      <x:c r="S263" s="3"/>
      <x:c r="T263" s="2"/>
      <x:c r="U263" s="2"/>
      <x:c r="V263" s="2"/>
      <x:c r="W263" s="2" t="s">
        <x:v>1217</x:v>
      </x:c>
      <x:c r="X263" s="3">
        <x:v>2</x:v>
      </x:c>
      <x:c r="Y263" s="3">
        <x:v>3</x:v>
      </x:c>
      <x:c r="Z263" s="2" t="s">
        <x:v>175</x:v>
      </x:c>
      <x:c r="AA263" s="2"/>
      <x:c r="AB263" s="2"/>
      <x:c r="AC263" s="2"/>
      <x:c r="AD263" s="2"/>
      <x:c r="AE263" s="2"/>
      <x:c r="AF263" s="2"/>
      <x:c r="AG263" s="2"/>
      <x:c r="AH263" s="2"/>
      <x:c r="AI263" s="4"/>
      <x:c r="AJ263" s="2"/>
      <x:c r="AK263" s="2" t="s">
        <x:v>176</x:v>
      </x:c>
      <x:c r="AL263" s="2" t="s">
        <x:v>3061</x:v>
      </x:c>
      <x:c r="AM263" s="2">
        <x:v>113</x:v>
      </x:c>
      <x:c r="AN263" s="2">
        <x:v>113</x:v>
      </x:c>
    </x:row>
    <x:row r="264" ht="26">
      <x:c r="A264" s="2" t="s">
        <x:v>6</x:v>
      </x:c>
      <x:c r="B264" s="2" t="s">
        <x:v>14</x:v>
      </x:c>
      <x:c r="C264" s="3">
        <x:v>112</x:v>
      </x:c>
      <x:c r="D264" s="2" t="s">
        <x:v>1201</x:v>
      </x:c>
      <x:c r="E264" s="2" t="s">
        <x:v>1212</x:v>
      </x:c>
      <x:c r="F264" s="2" t="s">
        <x:v>1198</x:v>
      </x:c>
      <x:c r="G264" s="2"/>
      <x:c r="H264" s="2" t="s">
        <x:v>634</x:v>
      </x:c>
      <x:c r="I264" s="2" t="s">
        <x:v>1213</x:v>
      </x:c>
      <x:c r="J264" s="2" t="s">
        <x:v>1060</x:v>
      </x:c>
      <x:c r="K264" s="2" t="n">
        <x:v>110</x:v>
      </x:c>
      <x:c r="L264" s="2" t="s">
        <x:v>1199</x:v>
      </x:c>
      <x:c r="M264" s="2" t="s">
        <x:v>1056</x:v>
      </x:c>
      <x:c r="N264" s="2">
        <x:v>2</x:v>
      </x:c>
      <x:c r="O264" s="2" t="s">
        <x:v>1024</x:v>
      </x:c>
      <x:c r="P264" s="2" t="s">
        <x:v>1057</x:v>
      </x:c>
      <x:c r="Q264" s="2"/>
      <x:c r="R264" s="3"/>
      <x:c r="S264" s="3"/>
      <x:c r="T264" s="2"/>
      <x:c r="U264" s="2"/>
      <x:c r="V264" s="2"/>
      <x:c r="W264" s="2" t="s">
        <x:v>1217</x:v>
      </x:c>
      <x:c r="X264" s="3">
        <x:v>2</x:v>
      </x:c>
      <x:c r="Y264" s="3">
        <x:v>3</x:v>
      </x:c>
      <x:c r="Z264" s="2" t="s">
        <x:v>175</x:v>
      </x:c>
      <x:c r="AA264" s="2"/>
      <x:c r="AB264" s="2"/>
      <x:c r="AC264" s="2"/>
      <x:c r="AD264" s="2"/>
      <x:c r="AE264" s="2"/>
      <x:c r="AF264" s="2"/>
      <x:c r="AG264" s="2"/>
      <x:c r="AH264" s="2"/>
      <x:c r="AI264" s="4"/>
      <x:c r="AJ264" s="2"/>
      <x:c r="AK264" s="2" t="s">
        <x:v>176</x:v>
      </x:c>
      <x:c r="AL264" s="2" t="s">
        <x:v>3061</x:v>
      </x:c>
      <x:c r="AM264" s="2">
        <x:v>114</x:v>
      </x:c>
      <x:c r="AN264" s="2">
        <x:v>114</x:v>
      </x:c>
    </x:row>
    <x:row r="265" ht="52">
      <x:c r="A265" s="2" t="s">
        <x:v>91</x:v>
      </x:c>
      <x:c r="B265" s="2" t="s">
        <x:v>14</x:v>
      </x:c>
      <x:c r="C265" s="3">
        <x:v>113</x:v>
      </x:c>
      <x:c r="D265" s="2" t="s">
        <x:v>1218</x:v>
      </x:c>
      <x:c r="E265" s="2" t="s">
        <x:v>1212</x:v>
      </x:c>
      <x:c r="F265" s="2" t="s">
        <x:v>1031</x:v>
      </x:c>
      <x:c r="G265" s="2" t="s">
        <x:v>158</x:v>
      </x:c>
      <x:c r="H265" s="2" t="s">
        <x:v>634</x:v>
      </x:c>
      <x:c r="I265" s="2" t="s">
        <x:v>1213</x:v>
      </x:c>
      <x:c r="J265" s="2" t="s">
        <x:v>1062</x:v>
      </x:c>
      <x:c r="K265" s="2" t="n">
        <x:v>110</x:v>
      </x:c>
      <x:c r="L265" s="2" t="s">
        <x:v>1033</x:v>
      </x:c>
      <x:c r="M265" s="2" t="s">
        <x:v>1063</x:v>
      </x:c>
      <x:c r="N265" s="2">
        <x:v>2</x:v>
      </x:c>
      <x:c r="O265" s="2" t="s">
        <x:v>1024</x:v>
      </x:c>
      <x:c r="P265" s="2" t="s">
        <x:v>1053</x:v>
      </x:c>
      <x:c r="Q265" s="2"/>
      <x:c r="R265" s="3"/>
      <x:c r="S265" s="3"/>
      <x:c r="T265" s="2"/>
      <x:c r="U265" s="2"/>
      <x:c r="V265" s="2"/>
      <x:c r="W265" s="2" t="s">
        <x:v>1217</x:v>
      </x:c>
      <x:c r="X265" s="3">
        <x:v>2</x:v>
      </x:c>
      <x:c r="Y265" s="3">
        <x:v>3</x:v>
      </x:c>
      <x:c r="Z265" s="2" t="s">
        <x:v>175</x:v>
      </x:c>
      <x:c r="AA265" s="2"/>
      <x:c r="AB265" s="2"/>
      <x:c r="AC265" s="2"/>
      <x:c r="AD265" s="2"/>
      <x:c r="AE265" s="2"/>
      <x:c r="AF265" s="2"/>
      <x:c r="AG265" s="2"/>
      <x:c r="AH265" s="2"/>
      <x:c r="AI265" s="4"/>
      <x:c r="AJ265" s="2"/>
      <x:c r="AK265" s="2" t="s">
        <x:v>176</x:v>
      </x:c>
      <x:c r="AL265" s="2" t="s">
        <x:v>3061</x:v>
      </x:c>
      <x:c r="AM265" s="2">
        <x:v>115</x:v>
      </x:c>
      <x:c r="AN265" s="2">
        <x:v>115</x:v>
      </x:c>
    </x:row>
    <x:row r="266" ht="39">
      <x:c r="A266" s="2" t="s">
        <x:v>91</x:v>
      </x:c>
      <x:c r="B266" s="2" t="s">
        <x:v>14</x:v>
      </x:c>
      <x:c r="C266" s="3">
        <x:v>114</x:v>
      </x:c>
      <x:c r="D266" s="2" t="s">
        <x:v>184</x:v>
      </x:c>
      <x:c r="E266" s="2" t="s">
        <x:v>1219</x:v>
      </x:c>
      <x:c r="F266" s="2" t="s">
        <x:v>1031</x:v>
      </x:c>
      <x:c r="G266" s="2" t="s">
        <x:v>158</x:v>
      </x:c>
      <x:c r="H266" s="2" t="s">
        <x:v>618</x:v>
      </x:c>
      <x:c r="I266" s="2" t="s">
        <x:v>1220</x:v>
      </x:c>
      <x:c r="J266" s="2" t="s">
        <x:v>1032</x:v>
      </x:c>
      <x:c r="K266" s="2"/>
      <x:c r="L266" s="2" t="s">
        <x:v>1120</x:v>
      </x:c>
      <x:c r="M266" s="2" t="s">
        <x:v>1041</x:v>
      </x:c>
      <x:c r="N266" s="2">
        <x:v>4</x:v>
      </x:c>
      <x:c r="O266" s="2" t="s">
        <x:v>1024</x:v>
      </x:c>
      <x:c r="P266" s="2" t="s">
        <x:v>1035</x:v>
      </x:c>
      <x:c r="Q266" s="2"/>
      <x:c r="R266" s="3"/>
      <x:c r="S266" s="3"/>
      <x:c r="T266" s="2"/>
      <x:c r="U266" s="2"/>
      <x:c r="V266" s="2"/>
      <x:c r="W266" s="2" t="s">
        <x:v>1221</x:v>
      </x:c>
      <x:c r="X266" s="3">
        <x:v>2</x:v>
      </x:c>
      <x:c r="Y266" s="3">
        <x:v>3</x:v>
      </x:c>
      <x:c r="Z266" s="2" t="s">
        <x:v>175</x:v>
      </x:c>
      <x:c r="AA266" s="2"/>
      <x:c r="AB266" s="2"/>
      <x:c r="AC266" s="2"/>
      <x:c r="AD266" s="2"/>
      <x:c r="AE266" s="2"/>
      <x:c r="AF266" s="2"/>
      <x:c r="AG266" s="2"/>
      <x:c r="AH266" s="2"/>
      <x:c r="AI266" s="4"/>
      <x:c r="AJ266" s="2"/>
      <x:c r="AK266" s="2" t="s">
        <x:v>176</x:v>
      </x:c>
      <x:c r="AL266" s="2" t="s">
        <x:v>3061</x:v>
      </x:c>
      <x:c r="AM266" s="2">
        <x:v>116</x:v>
      </x:c>
      <x:c r="AN266" s="2">
        <x:v>116</x:v>
      </x:c>
    </x:row>
    <x:row r="267" ht="39">
      <x:c r="A267" s="2" t="s">
        <x:v>91</x:v>
      </x:c>
      <x:c r="B267" s="2" t="s">
        <x:v>14</x:v>
      </x:c>
      <x:c r="C267" s="3">
        <x:v>115</x:v>
      </x:c>
      <x:c r="D267" s="2" t="s">
        <x:v>166</x:v>
      </x:c>
      <x:c r="E267" s="2" t="s">
        <x:v>1219</x:v>
      </x:c>
      <x:c r="F267" s="2" t="s">
        <x:v>1011</x:v>
      </x:c>
      <x:c r="G267" s="2" t="s">
        <x:v>158</x:v>
      </x:c>
      <x:c r="H267" s="2" t="s">
        <x:v>618</x:v>
      </x:c>
      <x:c r="I267" s="2" t="s">
        <x:v>1220</x:v>
      </x:c>
      <x:c r="J267" s="2" t="s">
        <x:v>1013</x:v>
      </x:c>
      <x:c r="K267" s="2" t="n">
        <x:v>114</x:v>
      </x:c>
      <x:c r="L267" s="2" t="s">
        <x:v>1074</x:v>
      </x:c>
      <x:c r="M267" s="2" t="s">
        <x:v>1034</x:v>
      </x:c>
      <x:c r="N267" s="2">
        <x:v>4</x:v>
      </x:c>
      <x:c r="O267" s="2" t="s">
        <x:v>1016</x:v>
      </x:c>
      <x:c r="P267" s="2" t="s">
        <x:v>1017</x:v>
      </x:c>
      <x:c r="Q267" s="2"/>
      <x:c r="R267" s="3"/>
      <x:c r="S267" s="3"/>
      <x:c r="T267" s="2"/>
      <x:c r="U267" s="2"/>
      <x:c r="V267" s="2"/>
      <x:c r="W267" s="2" t="s">
        <x:v>1222</x:v>
      </x:c>
      <x:c r="X267" s="3">
        <x:v>2</x:v>
      </x:c>
      <x:c r="Y267" s="3">
        <x:v>1</x:v>
      </x:c>
      <x:c r="Z267" s="2" t="s">
        <x:v>191</x:v>
      </x:c>
      <x:c r="AA267" s="2"/>
      <x:c r="AB267" s="2"/>
      <x:c r="AC267" s="2"/>
      <x:c r="AD267" s="2"/>
      <x:c r="AE267" s="2"/>
      <x:c r="AF267" s="2"/>
      <x:c r="AG267" s="2"/>
      <x:c r="AH267" s="2"/>
      <x:c r="AI267" s="4"/>
      <x:c r="AJ267" s="2"/>
      <x:c r="AK267" s="2" t="s">
        <x:v>176</x:v>
      </x:c>
      <x:c r="AL267" s="2" t="s">
        <x:v>3061</x:v>
      </x:c>
      <x:c r="AM267" s="2">
        <x:v>117</x:v>
      </x:c>
      <x:c r="AN267" s="2">
        <x:v>117</x:v>
      </x:c>
    </x:row>
    <x:row r="268" ht="39">
      <x:c r="A268" s="2" t="s">
        <x:v>91</x:v>
      </x:c>
      <x:c r="B268" s="2" t="s">
        <x:v>14</x:v>
      </x:c>
      <x:c r="C268" s="3">
        <x:v>116</x:v>
      </x:c>
      <x:c r="D268" s="2" t="s">
        <x:v>166</x:v>
      </x:c>
      <x:c r="E268" s="2" t="s">
        <x:v>1223</x:v>
      </x:c>
      <x:c r="F268" s="2" t="s">
        <x:v>1011</x:v>
      </x:c>
      <x:c r="G268" s="2" t="s">
        <x:v>158</x:v>
      </x:c>
      <x:c r="H268" s="2" t="s">
        <x:v>618</x:v>
      </x:c>
      <x:c r="I268" s="2" t="s">
        <x:v>1224</x:v>
      </x:c>
      <x:c r="J268" s="2" t="s">
        <x:v>1013</x:v>
      </x:c>
      <x:c r="K268" s="2"/>
      <x:c r="L268" s="2" t="s">
        <x:v>1014</x:v>
      </x:c>
      <x:c r="M268" s="2" t="s">
        <x:v>1015</x:v>
      </x:c>
      <x:c r="N268" s="2">
        <x:v>4</x:v>
      </x:c>
      <x:c r="O268" s="2" t="s">
        <x:v>1016</x:v>
      </x:c>
      <x:c r="P268" s="2" t="s">
        <x:v>1017</x:v>
      </x:c>
      <x:c r="Q268" s="2"/>
      <x:c r="R268" s="3"/>
      <x:c r="S268" s="3"/>
      <x:c r="T268" s="2"/>
      <x:c r="U268" s="2"/>
      <x:c r="V268" s="2"/>
      <x:c r="W268" s="2" t="s">
        <x:v>1225</x:v>
      </x:c>
      <x:c r="X268" s="3">
        <x:v>2</x:v>
      </x:c>
      <x:c r="Y268" s="3">
        <x:v>1</x:v>
      </x:c>
      <x:c r="Z268" s="2" t="s">
        <x:v>191</x:v>
      </x:c>
      <x:c r="AA268" s="2"/>
      <x:c r="AB268" s="2"/>
      <x:c r="AC268" s="2"/>
      <x:c r="AD268" s="2"/>
      <x:c r="AE268" s="2"/>
      <x:c r="AF268" s="2"/>
      <x:c r="AG268" s="2"/>
      <x:c r="AH268" s="2"/>
      <x:c r="AI268" s="4"/>
      <x:c r="AJ268" s="2"/>
      <x:c r="AK268" s="2" t="s">
        <x:v>176</x:v>
      </x:c>
      <x:c r="AL268" s="2" t="s">
        <x:v>3061</x:v>
      </x:c>
      <x:c r="AM268" s="2">
        <x:v>118</x:v>
      </x:c>
      <x:c r="AN268" s="2">
        <x:v>118</x:v>
      </x:c>
    </x:row>
    <x:row r="269" ht="39">
      <x:c r="A269" s="2" t="s">
        <x:v>91</x:v>
      </x:c>
      <x:c r="B269" s="2" t="s">
        <x:v>14</x:v>
      </x:c>
      <x:c r="C269" s="3">
        <x:v>117</x:v>
      </x:c>
      <x:c r="D269" s="2" t="s">
        <x:v>184</x:v>
      </x:c>
      <x:c r="E269" s="2" t="s">
        <x:v>1223</x:v>
      </x:c>
      <x:c r="F269" s="2" t="s">
        <x:v>1031</x:v>
      </x:c>
      <x:c r="G269" s="2" t="s">
        <x:v>158</x:v>
      </x:c>
      <x:c r="H269" s="2" t="s">
        <x:v>618</x:v>
      </x:c>
      <x:c r="I269" s="2" t="s">
        <x:v>1224</x:v>
      </x:c>
      <x:c r="J269" s="2" t="s">
        <x:v>1032</x:v>
      </x:c>
      <x:c r="K269" s="2" t="n">
        <x:v>116</x:v>
      </x:c>
      <x:c r="L269" s="2" t="s">
        <x:v>1106</x:v>
      </x:c>
      <x:c r="M269" s="2" t="s">
        <x:v>1107</x:v>
      </x:c>
      <x:c r="N269" s="2">
        <x:v>4</x:v>
      </x:c>
      <x:c r="O269" s="2" t="s">
        <x:v>1024</x:v>
      </x:c>
      <x:c r="P269" s="2" t="s">
        <x:v>1035</x:v>
      </x:c>
      <x:c r="Q269" s="2"/>
      <x:c r="R269" s="3"/>
      <x:c r="S269" s="3"/>
      <x:c r="T269" s="2"/>
      <x:c r="U269" s="2"/>
      <x:c r="V269" s="2"/>
      <x:c r="W269" s="2" t="s">
        <x:v>1226</x:v>
      </x:c>
      <x:c r="X269" s="3">
        <x:v>2</x:v>
      </x:c>
      <x:c r="Y269" s="3">
        <x:v>3</x:v>
      </x:c>
      <x:c r="Z269" s="2" t="s">
        <x:v>175</x:v>
      </x:c>
      <x:c r="AA269" s="2"/>
      <x:c r="AB269" s="2"/>
      <x:c r="AC269" s="2"/>
      <x:c r="AD269" s="2"/>
      <x:c r="AE269" s="2"/>
      <x:c r="AF269" s="2"/>
      <x:c r="AG269" s="2"/>
      <x:c r="AH269" s="2"/>
      <x:c r="AI269" s="4"/>
      <x:c r="AJ269" s="2"/>
      <x:c r="AK269" s="2" t="s">
        <x:v>176</x:v>
      </x:c>
      <x:c r="AL269" s="2" t="s">
        <x:v>3061</x:v>
      </x:c>
      <x:c r="AM269" s="2">
        <x:v>119</x:v>
      </x:c>
      <x:c r="AN269" s="2">
        <x:v>119</x:v>
      </x:c>
    </x:row>
    <x:row r="270" ht="39">
      <x:c r="A270" s="2" t="s">
        <x:v>91</x:v>
      </x:c>
      <x:c r="B270" s="2" t="s">
        <x:v>14</x:v>
      </x:c>
      <x:c r="C270" s="3">
        <x:v>118</x:v>
      </x:c>
      <x:c r="D270" s="2" t="s">
        <x:v>977</x:v>
      </x:c>
      <x:c r="E270" s="2" t="s">
        <x:v>1227</x:v>
      </x:c>
      <x:c r="F270" s="2" t="s">
        <x:v>1228</x:v>
      </x:c>
      <x:c r="G270" s="2" t="s">
        <x:v>3124</x:v>
      </x:c>
      <x:c r="H270" s="2" t="s">
        <x:v>1124</x:v>
      </x:c>
      <x:c r="I270" s="2" t="s">
        <x:v>1229</x:v>
      </x:c>
      <x:c r="J270" s="2" t="s">
        <x:v>1144</x:v>
      </x:c>
      <x:c r="K270" s="2"/>
      <x:c r="L270" s="2" t="s">
        <x:v>1127</x:v>
      </x:c>
      <x:c r="M270" s="2" t="s">
        <x:v>1128</x:v>
      </x:c>
      <x:c r="N270" s="2">
        <x:v>5</x:v>
      </x:c>
      <x:c r="O270" s="2" t="s">
        <x:v>1140</x:v>
      </x:c>
      <x:c r="P270" s="2" t="s">
        <x:v>1136</x:v>
      </x:c>
      <x:c r="Q270" s="2"/>
      <x:c r="R270" s="3"/>
      <x:c r="S270" s="3"/>
      <x:c r="T270" s="2"/>
      <x:c r="U270" s="2"/>
      <x:c r="V270" s="2"/>
      <x:c r="W270" s="2" t="s">
        <x:v>1230</x:v>
      </x:c>
      <x:c r="X270" s="3">
        <x:v>1</x:v>
      </x:c>
      <x:c r="Y270" s="3">
        <x:v>0</x:v>
      </x:c>
      <x:c r="Z270" s="2" t="s">
        <x:v>191</x:v>
      </x:c>
      <x:c r="AA270" s="2"/>
      <x:c r="AB270" s="2"/>
      <x:c r="AC270" s="2"/>
      <x:c r="AD270" s="2"/>
      <x:c r="AE270" s="2"/>
      <x:c r="AF270" s="2"/>
      <x:c r="AG270" s="2"/>
      <x:c r="AH270" s="2"/>
      <x:c r="AI270" s="4"/>
      <x:c r="AJ270" s="2"/>
      <x:c r="AK270" s="2" t="s">
        <x:v>176</x:v>
      </x:c>
      <x:c r="AL270" s="2" t="s">
        <x:v>3061</x:v>
      </x:c>
      <x:c r="AM270" s="2">
        <x:v>120</x:v>
      </x:c>
      <x:c r="AN270" s="2">
        <x:v>120</x:v>
      </x:c>
    </x:row>
    <x:row r="271" ht="39">
      <x:c r="A271" s="2" t="s">
        <x:v>91</x:v>
      </x:c>
      <x:c r="B271" s="2" t="s">
        <x:v>14</x:v>
      </x:c>
      <x:c r="C271" s="3">
        <x:v>119</x:v>
      </x:c>
      <x:c r="D271" s="2" t="s">
        <x:v>985</x:v>
      </x:c>
      <x:c r="E271" s="2" t="s">
        <x:v>1227</x:v>
      </x:c>
      <x:c r="F271" s="2" t="s">
        <x:v>1138</x:v>
      </x:c>
      <x:c r="G271" s="2" t="s">
        <x:v>158</x:v>
      </x:c>
      <x:c r="H271" s="2" t="s">
        <x:v>1124</x:v>
      </x:c>
      <x:c r="I271" s="2" t="s">
        <x:v>1229</x:v>
      </x:c>
      <x:c r="J271" s="2" t="s">
        <x:v>1139</x:v>
      </x:c>
      <x:c r="K271" s="2" t="n">
        <x:v>118</x:v>
      </x:c>
      <x:c r="L271" s="2" t="s">
        <x:v>1134</x:v>
      </x:c>
      <x:c r="M271" s="2" t="s">
        <x:v>1128</x:v>
      </x:c>
      <x:c r="N271" s="2">
        <x:v>5</x:v>
      </x:c>
      <x:c r="O271" s="2" t="s">
        <x:v>1135</x:v>
      </x:c>
      <x:c r="P271" s="2" t="s">
        <x:v>1130</x:v>
      </x:c>
      <x:c r="Q271" s="2"/>
      <x:c r="R271" s="3"/>
      <x:c r="S271" s="3"/>
      <x:c r="T271" s="2"/>
      <x:c r="U271" s="2"/>
      <x:c r="V271" s="2"/>
      <x:c r="W271" s="2" t="s">
        <x:v>1230</x:v>
      </x:c>
      <x:c r="X271" s="3">
        <x:v>1</x:v>
      </x:c>
      <x:c r="Y271" s="3">
        <x:v>2</x:v>
      </x:c>
      <x:c r="Z271" s="2" t="s">
        <x:v>175</x:v>
      </x:c>
      <x:c r="AA271" s="2"/>
      <x:c r="AB271" s="2"/>
      <x:c r="AC271" s="2"/>
      <x:c r="AD271" s="2"/>
      <x:c r="AE271" s="2"/>
      <x:c r="AF271" s="2"/>
      <x:c r="AG271" s="2"/>
      <x:c r="AH271" s="2"/>
      <x:c r="AI271" s="4"/>
      <x:c r="AJ271" s="2"/>
      <x:c r="AK271" s="2" t="s">
        <x:v>176</x:v>
      </x:c>
      <x:c r="AL271" s="2" t="s">
        <x:v>3061</x:v>
      </x:c>
      <x:c r="AM271" s="2">
        <x:v>121</x:v>
      </x:c>
      <x:c r="AN271" s="2">
        <x:v>121</x:v>
      </x:c>
    </x:row>
    <x:row r="272" ht="39">
      <x:c r="A272" s="2" t="s">
        <x:v>91</x:v>
      </x:c>
      <x:c r="B272" s="2" t="s">
        <x:v>14</x:v>
      </x:c>
      <x:c r="C272" s="3">
        <x:v>120</x:v>
      </x:c>
      <x:c r="D272" s="2" t="s">
        <x:v>985</x:v>
      </x:c>
      <x:c r="E272" s="2" t="s">
        <x:v>1231</x:v>
      </x:c>
      <x:c r="F272" s="2" t="s">
        <x:v>1232</x:v>
      </x:c>
      <x:c r="G272" s="2" t="s">
        <x:v>158</x:v>
      </x:c>
      <x:c r="H272" s="2" t="s">
        <x:v>1124</x:v>
      </x:c>
      <x:c r="I272" s="2" t="s">
        <x:v>1229</x:v>
      </x:c>
      <x:c r="J272" s="2" t="s">
        <x:v>1133</x:v>
      </x:c>
      <x:c r="K272" s="2"/>
      <x:c r="L272" s="2" t="s">
        <x:v>1134</x:v>
      </x:c>
      <x:c r="M272" s="2" t="s">
        <x:v>1128</x:v>
      </x:c>
      <x:c r="N272" s="2">
        <x:v>5</x:v>
      </x:c>
      <x:c r="O272" s="2" t="s">
        <x:v>1129</x:v>
      </x:c>
      <x:c r="P272" s="2" t="s">
        <x:v>1136</x:v>
      </x:c>
      <x:c r="Q272" s="2"/>
      <x:c r="R272" s="3"/>
      <x:c r="S272" s="3"/>
      <x:c r="T272" s="2"/>
      <x:c r="U272" s="2"/>
      <x:c r="V272" s="2"/>
      <x:c r="W272" s="2" t="s">
        <x:v>1233</x:v>
      </x:c>
      <x:c r="X272" s="3">
        <x:v>1</x:v>
      </x:c>
      <x:c r="Y272" s="3">
        <x:v>2</x:v>
      </x:c>
      <x:c r="Z272" s="2" t="s">
        <x:v>175</x:v>
      </x:c>
      <x:c r="AA272" s="2"/>
      <x:c r="AB272" s="2"/>
      <x:c r="AC272" s="2"/>
      <x:c r="AD272" s="2"/>
      <x:c r="AE272" s="2"/>
      <x:c r="AF272" s="2"/>
      <x:c r="AG272" s="2"/>
      <x:c r="AH272" s="2"/>
      <x:c r="AI272" s="4"/>
      <x:c r="AJ272" s="2"/>
      <x:c r="AK272" s="2" t="s">
        <x:v>176</x:v>
      </x:c>
      <x:c r="AL272" s="2" t="s">
        <x:v>3061</x:v>
      </x:c>
      <x:c r="AM272" s="2">
        <x:v>122</x:v>
      </x:c>
      <x:c r="AN272" s="2">
        <x:v>122</x:v>
      </x:c>
    </x:row>
    <x:row r="273" ht="39">
      <x:c r="A273" s="2" t="s">
        <x:v>6</x:v>
      </x:c>
      <x:c r="B273" s="2" t="s">
        <x:v>14</x:v>
      </x:c>
      <x:c r="C273" s="3">
        <x:v>121</x:v>
      </x:c>
      <x:c r="D273" s="2" t="s">
        <x:v>977</x:v>
      </x:c>
      <x:c r="E273" s="2" t="s">
        <x:v>1231</x:v>
      </x:c>
      <x:c r="F273" s="2" t="s">
        <x:v>1123</x:v>
      </x:c>
      <x:c r="G273" s="2"/>
      <x:c r="H273" s="2" t="s">
        <x:v>1124</x:v>
      </x:c>
      <x:c r="I273" s="2" t="s">
        <x:v>1229</x:v>
      </x:c>
      <x:c r="J273" s="2" t="s">
        <x:v>1126</x:v>
      </x:c>
      <x:c r="K273" s="2" t="n">
        <x:v>120</x:v>
      </x:c>
      <x:c r="L273" s="2" t="s">
        <x:v>1127</x:v>
      </x:c>
      <x:c r="M273" s="2" t="s">
        <x:v>1128</x:v>
      </x:c>
      <x:c r="N273" s="2">
        <x:v>5</x:v>
      </x:c>
      <x:c r="O273" s="2" t="s">
        <x:v>1135</x:v>
      </x:c>
      <x:c r="P273" s="2" t="s">
        <x:v>1130</x:v>
      </x:c>
      <x:c r="Q273" s="2"/>
      <x:c r="R273" s="3"/>
      <x:c r="S273" s="3"/>
      <x:c r="T273" s="2"/>
      <x:c r="U273" s="2"/>
      <x:c r="V273" s="2"/>
      <x:c r="W273" s="2" t="s">
        <x:v>1233</x:v>
      </x:c>
      <x:c r="X273" s="3">
        <x:v>1</x:v>
      </x:c>
      <x:c r="Y273" s="3">
        <x:v>0</x:v>
      </x:c>
      <x:c r="Z273" s="2" t="s">
        <x:v>191</x:v>
      </x:c>
      <x:c r="AA273" s="2"/>
      <x:c r="AB273" s="2"/>
      <x:c r="AC273" s="2"/>
      <x:c r="AD273" s="2"/>
      <x:c r="AE273" s="2"/>
      <x:c r="AF273" s="2"/>
      <x:c r="AG273" s="2"/>
      <x:c r="AH273" s="2"/>
      <x:c r="AI273" s="4"/>
      <x:c r="AJ273" s="2"/>
      <x:c r="AK273" s="2" t="s">
        <x:v>176</x:v>
      </x:c>
      <x:c r="AL273" s="2" t="s">
        <x:v>3061</x:v>
      </x:c>
      <x:c r="AM273" s="2">
        <x:v>123</x:v>
      </x:c>
      <x:c r="AN273" s="2">
        <x:v>123</x:v>
      </x:c>
    </x:row>
    <x:row r="274" ht="39">
      <x:c r="A274" s="2" t="s">
        <x:v>91</x:v>
      </x:c>
      <x:c r="B274" s="2" t="s">
        <x:v>14</x:v>
      </x:c>
      <x:c r="C274" s="3">
        <x:v>122</x:v>
      </x:c>
      <x:c r="D274" s="2" t="s">
        <x:v>184</x:v>
      </x:c>
      <x:c r="E274" s="2" t="s">
        <x:v>1219</x:v>
      </x:c>
      <x:c r="F274" s="2" t="s">
        <x:v>1031</x:v>
      </x:c>
      <x:c r="G274" s="2" t="s">
        <x:v>158</x:v>
      </x:c>
      <x:c r="H274" s="2" t="s">
        <x:v>618</x:v>
      </x:c>
      <x:c r="I274" s="2" t="s">
        <x:v>1234</x:v>
      </x:c>
      <x:c r="J274" s="2" t="s">
        <x:v>1032</x:v>
      </x:c>
      <x:c r="K274" s="2"/>
      <x:c r="L274" s="2" t="s">
        <x:v>1120</x:v>
      </x:c>
      <x:c r="M274" s="2" t="s">
        <x:v>1041</x:v>
      </x:c>
      <x:c r="N274" s="2">
        <x:v>4</x:v>
      </x:c>
      <x:c r="O274" s="2" t="s">
        <x:v>1024</x:v>
      </x:c>
      <x:c r="P274" s="2" t="s">
        <x:v>1035</x:v>
      </x:c>
      <x:c r="Q274" s="2"/>
      <x:c r="R274" s="3"/>
      <x:c r="S274" s="3"/>
      <x:c r="T274" s="2"/>
      <x:c r="U274" s="2"/>
      <x:c r="V274" s="2"/>
      <x:c r="W274" s="2" t="s">
        <x:v>1235</x:v>
      </x:c>
      <x:c r="X274" s="3">
        <x:v>2</x:v>
      </x:c>
      <x:c r="Y274" s="3">
        <x:v>3</x:v>
      </x:c>
      <x:c r="Z274" s="2" t="s">
        <x:v>175</x:v>
      </x:c>
      <x:c r="AA274" s="2"/>
      <x:c r="AB274" s="2"/>
      <x:c r="AC274" s="2"/>
      <x:c r="AD274" s="2"/>
      <x:c r="AE274" s="2"/>
      <x:c r="AF274" s="2"/>
      <x:c r="AG274" s="2"/>
      <x:c r="AH274" s="2"/>
      <x:c r="AI274" s="4"/>
      <x:c r="AJ274" s="2"/>
      <x:c r="AK274" s="2" t="s">
        <x:v>176</x:v>
      </x:c>
      <x:c r="AL274" s="2" t="s">
        <x:v>3061</x:v>
      </x:c>
      <x:c r="AM274" s="2">
        <x:v>124</x:v>
      </x:c>
      <x:c r="AN274" s="2">
        <x:v>124</x:v>
      </x:c>
    </x:row>
    <x:row r="275" ht="39">
      <x:c r="A275" s="2" t="s">
        <x:v>91</x:v>
      </x:c>
      <x:c r="B275" s="2" t="s">
        <x:v>14</x:v>
      </x:c>
      <x:c r="C275" s="3">
        <x:v>123</x:v>
      </x:c>
      <x:c r="D275" s="2" t="s">
        <x:v>166</x:v>
      </x:c>
      <x:c r="E275" s="2" t="s">
        <x:v>1219</x:v>
      </x:c>
      <x:c r="F275" s="2" t="s">
        <x:v>1011</x:v>
      </x:c>
      <x:c r="G275" s="2" t="s">
        <x:v>158</x:v>
      </x:c>
      <x:c r="H275" s="2" t="s">
        <x:v>618</x:v>
      </x:c>
      <x:c r="I275" s="2" t="s">
        <x:v>1234</x:v>
      </x:c>
      <x:c r="J275" s="2" t="s">
        <x:v>1013</x:v>
      </x:c>
      <x:c r="K275" s="2" t="n">
        <x:v>122</x:v>
      </x:c>
      <x:c r="L275" s="2" t="s">
        <x:v>1074</x:v>
      </x:c>
      <x:c r="M275" s="2" t="s">
        <x:v>1034</x:v>
      </x:c>
      <x:c r="N275" s="2">
        <x:v>4</x:v>
      </x:c>
      <x:c r="O275" s="2" t="s">
        <x:v>1016</x:v>
      </x:c>
      <x:c r="P275" s="2" t="s">
        <x:v>1017</x:v>
      </x:c>
      <x:c r="Q275" s="2"/>
      <x:c r="R275" s="3"/>
      <x:c r="S275" s="3"/>
      <x:c r="T275" s="2"/>
      <x:c r="U275" s="2"/>
      <x:c r="V275" s="2"/>
      <x:c r="W275" s="2" t="s">
        <x:v>1236</x:v>
      </x:c>
      <x:c r="X275" s="3">
        <x:v>2</x:v>
      </x:c>
      <x:c r="Y275" s="3">
        <x:v>1</x:v>
      </x:c>
      <x:c r="Z275" s="2" t="s">
        <x:v>191</x:v>
      </x:c>
      <x:c r="AA275" s="2"/>
      <x:c r="AB275" s="2"/>
      <x:c r="AC275" s="2"/>
      <x:c r="AD275" s="2"/>
      <x:c r="AE275" s="2"/>
      <x:c r="AF275" s="2"/>
      <x:c r="AG275" s="2"/>
      <x:c r="AH275" s="2"/>
      <x:c r="AI275" s="4"/>
      <x:c r="AJ275" s="2"/>
      <x:c r="AK275" s="2" t="s">
        <x:v>176</x:v>
      </x:c>
      <x:c r="AL275" s="2" t="s">
        <x:v>3061</x:v>
      </x:c>
      <x:c r="AM275" s="2">
        <x:v>125</x:v>
      </x:c>
      <x:c r="AN275" s="2">
        <x:v>125</x:v>
      </x:c>
    </x:row>
    <x:row r="276" ht="39">
      <x:c r="A276" s="2" t="s">
        <x:v>6</x:v>
      </x:c>
      <x:c r="B276" s="2" t="s">
        <x:v>14</x:v>
      </x:c>
      <x:c r="C276" s="3">
        <x:v>124</x:v>
      </x:c>
      <x:c r="D276" s="2" t="s">
        <x:v>977</x:v>
      </x:c>
      <x:c r="E276" s="2" t="s">
        <x:v>1237</x:v>
      </x:c>
      <x:c r="F276" s="2" t="s">
        <x:v>1238</x:v>
      </x:c>
      <x:c r="G276" s="2"/>
      <x:c r="H276" s="2" t="s">
        <x:v>1124</x:v>
      </x:c>
      <x:c r="I276" s="2" t="s">
        <x:v>1239</x:v>
      </x:c>
      <x:c r="J276" s="2" t="s">
        <x:v>1144</x:v>
      </x:c>
      <x:c r="K276" s="2"/>
      <x:c r="L276" s="2" t="s">
        <x:v>1127</x:v>
      </x:c>
      <x:c r="M276" s="2" t="s">
        <x:v>1128</x:v>
      </x:c>
      <x:c r="N276" s="2">
        <x:v>5</x:v>
      </x:c>
      <x:c r="O276" s="2" t="s">
        <x:v>1140</x:v>
      </x:c>
      <x:c r="P276" s="2" t="s">
        <x:v>1136</x:v>
      </x:c>
      <x:c r="Q276" s="2"/>
      <x:c r="R276" s="3"/>
      <x:c r="S276" s="3"/>
      <x:c r="T276" s="2"/>
      <x:c r="U276" s="2"/>
      <x:c r="V276" s="2"/>
      <x:c r="W276" s="2" t="s">
        <x:v>1240</x:v>
      </x:c>
      <x:c r="X276" s="3">
        <x:v>1</x:v>
      </x:c>
      <x:c r="Y276" s="3">
        <x:v>0</x:v>
      </x:c>
      <x:c r="Z276" s="2" t="s">
        <x:v>191</x:v>
      </x:c>
      <x:c r="AA276" s="2"/>
      <x:c r="AB276" s="2"/>
      <x:c r="AC276" s="2"/>
      <x:c r="AD276" s="2"/>
      <x:c r="AE276" s="2"/>
      <x:c r="AF276" s="2"/>
      <x:c r="AG276" s="2"/>
      <x:c r="AH276" s="2"/>
      <x:c r="AI276" s="4"/>
      <x:c r="AJ276" s="2"/>
      <x:c r="AK276" s="2" t="s">
        <x:v>176</x:v>
      </x:c>
      <x:c r="AL276" s="2" t="s">
        <x:v>3061</x:v>
      </x:c>
      <x:c r="AM276" s="2">
        <x:v>126</x:v>
      </x:c>
      <x:c r="AN276" s="2">
        <x:v>126</x:v>
      </x:c>
    </x:row>
    <x:row r="277" ht="39">
      <x:c r="A277" s="2" t="s">
        <x:v>91</x:v>
      </x:c>
      <x:c r="B277" s="2" t="s">
        <x:v>14</x:v>
      </x:c>
      <x:c r="C277" s="3">
        <x:v>125</x:v>
      </x:c>
      <x:c r="D277" s="2" t="s">
        <x:v>985</x:v>
      </x:c>
      <x:c r="E277" s="2" t="s">
        <x:v>1237</x:v>
      </x:c>
      <x:c r="F277" s="2" t="s">
        <x:v>1138</x:v>
      </x:c>
      <x:c r="G277" s="2" t="s">
        <x:v>158</x:v>
      </x:c>
      <x:c r="H277" s="2" t="s">
        <x:v>1124</x:v>
      </x:c>
      <x:c r="I277" s="2" t="s">
        <x:v>1239</x:v>
      </x:c>
      <x:c r="J277" s="2" t="s">
        <x:v>1139</x:v>
      </x:c>
      <x:c r="K277" s="2" t="n">
        <x:v>124</x:v>
      </x:c>
      <x:c r="L277" s="2" t="s">
        <x:v>1134</x:v>
      </x:c>
      <x:c r="M277" s="2" t="s">
        <x:v>1128</x:v>
      </x:c>
      <x:c r="N277" s="2">
        <x:v>5</x:v>
      </x:c>
      <x:c r="O277" s="2" t="s">
        <x:v>1135</x:v>
      </x:c>
      <x:c r="P277" s="2" t="s">
        <x:v>1130</x:v>
      </x:c>
      <x:c r="Q277" s="2"/>
      <x:c r="R277" s="3"/>
      <x:c r="S277" s="3"/>
      <x:c r="T277" s="2"/>
      <x:c r="U277" s="2"/>
      <x:c r="V277" s="2"/>
      <x:c r="W277" s="2" t="s">
        <x:v>1240</x:v>
      </x:c>
      <x:c r="X277" s="3">
        <x:v>1</x:v>
      </x:c>
      <x:c r="Y277" s="3">
        <x:v>2</x:v>
      </x:c>
      <x:c r="Z277" s="2" t="s">
        <x:v>175</x:v>
      </x:c>
      <x:c r="AA277" s="2"/>
      <x:c r="AB277" s="2"/>
      <x:c r="AC277" s="2"/>
      <x:c r="AD277" s="2"/>
      <x:c r="AE277" s="2"/>
      <x:c r="AF277" s="2"/>
      <x:c r="AG277" s="2"/>
      <x:c r="AH277" s="2"/>
      <x:c r="AI277" s="4"/>
      <x:c r="AJ277" s="2"/>
      <x:c r="AK277" s="2" t="s">
        <x:v>176</x:v>
      </x:c>
      <x:c r="AL277" s="2" t="s">
        <x:v>3061</x:v>
      </x:c>
      <x:c r="AM277" s="2">
        <x:v>127</x:v>
      </x:c>
      <x:c r="AN277" s="2">
        <x:v>127</x:v>
      </x:c>
    </x:row>
    <x:row r="278" ht="39">
      <x:c r="A278" s="2" t="s">
        <x:v>91</x:v>
      </x:c>
      <x:c r="B278" s="2" t="s">
        <x:v>14</x:v>
      </x:c>
      <x:c r="C278" s="3">
        <x:v>126</x:v>
      </x:c>
      <x:c r="D278" s="2" t="s">
        <x:v>985</x:v>
      </x:c>
      <x:c r="E278" s="2" t="s">
        <x:v>1242</x:v>
      </x:c>
      <x:c r="F278" s="2" t="s">
        <x:v>1243</x:v>
      </x:c>
      <x:c r="G278" s="2" t="s">
        <x:v>158</x:v>
      </x:c>
      <x:c r="H278" s="2" t="s">
        <x:v>1124</x:v>
      </x:c>
      <x:c r="I278" s="2" t="s">
        <x:v>1239</x:v>
      </x:c>
      <x:c r="J278" s="2" t="s">
        <x:v>1133</x:v>
      </x:c>
      <x:c r="K278" s="2"/>
      <x:c r="L278" s="2" t="s">
        <x:v>1134</x:v>
      </x:c>
      <x:c r="M278" s="2" t="s">
        <x:v>1128</x:v>
      </x:c>
      <x:c r="N278" s="2">
        <x:v>5</x:v>
      </x:c>
      <x:c r="O278" s="2" t="s">
        <x:v>1129</x:v>
      </x:c>
      <x:c r="P278" s="2" t="s">
        <x:v>1136</x:v>
      </x:c>
      <x:c r="Q278" s="2"/>
      <x:c r="R278" s="3"/>
      <x:c r="S278" s="3"/>
      <x:c r="T278" s="2"/>
      <x:c r="U278" s="2"/>
      <x:c r="V278" s="2"/>
      <x:c r="W278" s="2" t="s">
        <x:v>1245</x:v>
      </x:c>
      <x:c r="X278" s="3">
        <x:v>1</x:v>
      </x:c>
      <x:c r="Y278" s="3">
        <x:v>2</x:v>
      </x:c>
      <x:c r="Z278" s="2" t="s">
        <x:v>175</x:v>
      </x:c>
      <x:c r="AA278" s="2"/>
      <x:c r="AB278" s="2"/>
      <x:c r="AC278" s="2"/>
      <x:c r="AD278" s="2"/>
      <x:c r="AE278" s="2"/>
      <x:c r="AF278" s="2"/>
      <x:c r="AG278" s="2"/>
      <x:c r="AH278" s="2"/>
      <x:c r="AI278" s="4"/>
      <x:c r="AJ278" s="2"/>
      <x:c r="AK278" s="2" t="s">
        <x:v>176</x:v>
      </x:c>
      <x:c r="AL278" s="2" t="s">
        <x:v>3061</x:v>
      </x:c>
      <x:c r="AM278" s="2">
        <x:v>128</x:v>
      </x:c>
      <x:c r="AN278" s="2">
        <x:v>128</x:v>
      </x:c>
    </x:row>
    <x:row r="279" ht="39">
      <x:c r="A279" s="2" t="s">
        <x:v>91</x:v>
      </x:c>
      <x:c r="B279" s="2" t="s">
        <x:v>14</x:v>
      </x:c>
      <x:c r="C279" s="3">
        <x:v>127</x:v>
      </x:c>
      <x:c r="D279" s="2" t="s">
        <x:v>977</x:v>
      </x:c>
      <x:c r="E279" s="2" t="s">
        <x:v>1242</x:v>
      </x:c>
      <x:c r="F279" s="2" t="s">
        <x:v>1123</x:v>
      </x:c>
      <x:c r="G279" s="2" t="s">
        <x:v>158</x:v>
      </x:c>
      <x:c r="H279" s="2" t="s">
        <x:v>1124</x:v>
      </x:c>
      <x:c r="I279" s="2" t="s">
        <x:v>1239</x:v>
      </x:c>
      <x:c r="J279" s="2" t="s">
        <x:v>1126</x:v>
      </x:c>
      <x:c r="K279" s="2" t="n">
        <x:v>126</x:v>
      </x:c>
      <x:c r="L279" s="2" t="s">
        <x:v>1127</x:v>
      </x:c>
      <x:c r="M279" s="2" t="s">
        <x:v>1128</x:v>
      </x:c>
      <x:c r="N279" s="2">
        <x:v>5</x:v>
      </x:c>
      <x:c r="O279" s="2" t="s">
        <x:v>1135</x:v>
      </x:c>
      <x:c r="P279" s="2" t="s">
        <x:v>1130</x:v>
      </x:c>
      <x:c r="Q279" s="2"/>
      <x:c r="R279" s="3"/>
      <x:c r="S279" s="3"/>
      <x:c r="T279" s="2"/>
      <x:c r="U279" s="2"/>
      <x:c r="V279" s="2"/>
      <x:c r="W279" s="2" t="s">
        <x:v>1245</x:v>
      </x:c>
      <x:c r="X279" s="3">
        <x:v>1</x:v>
      </x:c>
      <x:c r="Y279" s="3">
        <x:v>0</x:v>
      </x:c>
      <x:c r="Z279" s="2" t="s">
        <x:v>191</x:v>
      </x:c>
      <x:c r="AA279" s="2"/>
      <x:c r="AB279" s="2"/>
      <x:c r="AC279" s="2"/>
      <x:c r="AD279" s="2"/>
      <x:c r="AE279" s="2"/>
      <x:c r="AF279" s="2"/>
      <x:c r="AG279" s="2"/>
      <x:c r="AH279" s="2"/>
      <x:c r="AI279" s="4"/>
      <x:c r="AJ279" s="2"/>
      <x:c r="AK279" s="2" t="s">
        <x:v>176</x:v>
      </x:c>
      <x:c r="AL279" s="2" t="s">
        <x:v>3061</x:v>
      </x:c>
      <x:c r="AM279" s="2">
        <x:v>129</x:v>
      </x:c>
      <x:c r="AN279" s="2">
        <x:v>129</x:v>
      </x:c>
    </x:row>
    <x:row r="280" ht="39">
      <x:c r="A280" s="2" t="s">
        <x:v>6</x:v>
      </x:c>
      <x:c r="B280" s="2" t="s">
        <x:v>14</x:v>
      </x:c>
      <x:c r="C280" s="3">
        <x:v>128</x:v>
      </x:c>
      <x:c r="D280" s="2" t="s">
        <x:v>993</x:v>
      </x:c>
      <x:c r="E280" s="2" t="s">
        <x:v>997</x:v>
      </x:c>
      <x:c r="F280" s="2" t="s">
        <x:v>1094</x:v>
      </x:c>
      <x:c r="G280" s="2"/>
      <x:c r="H280" s="2" t="s">
        <x:v>1077</x:v>
      </x:c>
      <x:c r="I280" s="2" t="s">
        <x:v>1246</x:v>
      </x:c>
      <x:c r="J280" s="2" t="s">
        <x:v>1095</x:v>
      </x:c>
      <x:c r="K280" s="2"/>
      <x:c r="L280" s="2" t="s">
        <x:v>1096</x:v>
      </x:c>
      <x:c r="M280" s="2" t="s">
        <x:v>1080</x:v>
      </x:c>
      <x:c r="N280" s="2">
        <x:v>6</x:v>
      </x:c>
      <x:c r="O280" s="2" t="s">
        <x:v>1081</x:v>
      </x:c>
      <x:c r="P280" s="2" t="s">
        <x:v>1082</x:v>
      </x:c>
      <x:c r="Q280" s="2"/>
      <x:c r="R280" s="3"/>
      <x:c r="S280" s="3"/>
      <x:c r="T280" s="2"/>
      <x:c r="U280" s="2"/>
      <x:c r="V280" s="2"/>
      <x:c r="W280" s="2" t="s">
        <x:v>1246</x:v>
      </x:c>
      <x:c r="X280" s="3">
        <x:v>0</x:v>
      </x:c>
      <x:c r="Y280" s="3">
        <x:v>0</x:v>
      </x:c>
      <x:c r="Z280" s="2" t="s">
        <x:v>1083</x:v>
      </x:c>
      <x:c r="AA280" s="2"/>
      <x:c r="AB280" s="2"/>
      <x:c r="AC280" s="2"/>
      <x:c r="AD280" s="2"/>
      <x:c r="AE280" s="2"/>
      <x:c r="AF280" s="2"/>
      <x:c r="AG280" s="2"/>
      <x:c r="AH280" s="2"/>
      <x:c r="AI280" s="4"/>
      <x:c r="AJ280" s="2"/>
      <x:c r="AK280" s="2" t="s">
        <x:v>176</x:v>
      </x:c>
      <x:c r="AL280" s="2" t="s">
        <x:v>3061</x:v>
      </x:c>
      <x:c r="AM280" s="2">
        <x:v>130</x:v>
      </x:c>
      <x:c r="AN280" s="2">
        <x:v>130</x:v>
      </x:c>
    </x:row>
    <x:row r="281" ht="39">
      <x:c r="A281" s="2" t="s">
        <x:v>6</x:v>
      </x:c>
      <x:c r="B281" s="2" t="s">
        <x:v>14</x:v>
      </x:c>
      <x:c r="C281" s="3">
        <x:v>129</x:v>
      </x:c>
      <x:c r="D281" s="2" t="s">
        <x:v>166</x:v>
      </x:c>
      <x:c r="E281" s="2" t="s">
        <x:v>211</x:v>
      </x:c>
      <x:c r="F281" s="2" t="s">
        <x:v>1090</x:v>
      </x:c>
      <x:c r="G281" s="2"/>
      <x:c r="H281" s="2" t="s">
        <x:v>1077</x:v>
      </x:c>
      <x:c r="I281" s="2" t="s">
        <x:v>1246</x:v>
      </x:c>
      <x:c r="J281" s="2" t="s">
        <x:v>1091</x:v>
      </x:c>
      <x:c r="K281" s="2"/>
      <x:c r="L281" s="2" t="s">
        <x:v>1092</x:v>
      </x:c>
      <x:c r="M281" s="2" t="s">
        <x:v>1080</x:v>
      </x:c>
      <x:c r="N281" s="2">
        <x:v>6</x:v>
      </x:c>
      <x:c r="O281" s="2" t="s">
        <x:v>1089</x:v>
      </x:c>
      <x:c r="P281" s="2" t="s">
        <x:v>1082</x:v>
      </x:c>
      <x:c r="Q281" s="2"/>
      <x:c r="R281" s="3"/>
      <x:c r="S281" s="3"/>
      <x:c r="T281" s="2"/>
      <x:c r="U281" s="2"/>
      <x:c r="V281" s="2"/>
      <x:c r="W281" s="2" t="s">
        <x:v>1246</x:v>
      </x:c>
      <x:c r="X281" s="3">
        <x:v>1</x:v>
      </x:c>
      <x:c r="Y281" s="3">
        <x:v>1</x:v>
      </x:c>
      <x:c r="Z281" s="2" t="s">
        <x:v>1083</x:v>
      </x:c>
      <x:c r="AA281" s="2"/>
      <x:c r="AB281" s="2"/>
      <x:c r="AC281" s="2"/>
      <x:c r="AD281" s="2"/>
      <x:c r="AE281" s="2"/>
      <x:c r="AF281" s="2"/>
      <x:c r="AG281" s="2"/>
      <x:c r="AH281" s="2"/>
      <x:c r="AI281" s="4"/>
      <x:c r="AJ281" s="2"/>
      <x:c r="AK281" s="2" t="s">
        <x:v>176</x:v>
      </x:c>
      <x:c r="AL281" s="2" t="s">
        <x:v>3061</x:v>
      </x:c>
      <x:c r="AM281" s="2">
        <x:v>131</x:v>
      </x:c>
      <x:c r="AN281" s="2">
        <x:v>131</x:v>
      </x:c>
    </x:row>
    <x:row r="282" ht="39">
      <x:c r="A282" s="2" t="s">
        <x:v>6</x:v>
      </x:c>
      <x:c r="B282" s="2" t="s">
        <x:v>14</x:v>
      </x:c>
      <x:c r="C282" s="3">
        <x:v>130</x:v>
      </x:c>
      <x:c r="D282" s="2" t="s">
        <x:v>1084</x:v>
      </x:c>
      <x:c r="E282" s="2" t="s">
        <x:v>1247</x:v>
      </x:c>
      <x:c r="F282" s="2" t="s">
        <x:v>1086</x:v>
      </x:c>
      <x:c r="G282" s="2"/>
      <x:c r="H282" s="2" t="s">
        <x:v>1077</x:v>
      </x:c>
      <x:c r="I282" s="2" t="s">
        <x:v>1246</x:v>
      </x:c>
      <x:c r="J282" s="2" t="s">
        <x:v>1087</x:v>
      </x:c>
      <x:c r="K282" s="2"/>
      <x:c r="L282" s="2" t="s">
        <x:v>1088</x:v>
      </x:c>
      <x:c r="M282" s="2" t="s">
        <x:v>1080</x:v>
      </x:c>
      <x:c r="N282" s="2">
        <x:v>6</x:v>
      </x:c>
      <x:c r="O282" s="2" t="s">
        <x:v>1089</x:v>
      </x:c>
      <x:c r="P282" s="2" t="s">
        <x:v>1082</x:v>
      </x:c>
      <x:c r="Q282" s="2"/>
      <x:c r="R282" s="3"/>
      <x:c r="S282" s="3"/>
      <x:c r="T282" s="2"/>
      <x:c r="U282" s="2"/>
      <x:c r="V282" s="2"/>
      <x:c r="W282" s="2" t="s">
        <x:v>1246</x:v>
      </x:c>
      <x:c r="X282" s="3">
        <x:v>2</x:v>
      </x:c>
      <x:c r="Y282" s="3">
        <x:v>2</x:v>
      </x:c>
      <x:c r="Z282" s="2" t="s">
        <x:v>1083</x:v>
      </x:c>
      <x:c r="AA282" s="2"/>
      <x:c r="AB282" s="2"/>
      <x:c r="AC282" s="2"/>
      <x:c r="AD282" s="2"/>
      <x:c r="AE282" s="2"/>
      <x:c r="AF282" s="2"/>
      <x:c r="AG282" s="2"/>
      <x:c r="AH282" s="2"/>
      <x:c r="AI282" s="4"/>
      <x:c r="AJ282" s="2"/>
      <x:c r="AK282" s="2" t="s">
        <x:v>176</x:v>
      </x:c>
      <x:c r="AL282" s="2" t="s">
        <x:v>3061</x:v>
      </x:c>
      <x:c r="AM282" s="2">
        <x:v>132</x:v>
      </x:c>
      <x:c r="AN282" s="2">
        <x:v>132</x:v>
      </x:c>
    </x:row>
    <x:row r="283" ht="39">
      <x:c r="A283" s="2" t="s">
        <x:v>6</x:v>
      </x:c>
      <x:c r="B283" s="2" t="s">
        <x:v>14</x:v>
      </x:c>
      <x:c r="C283" s="3">
        <x:v>131</x:v>
      </x:c>
      <x:c r="D283" s="2" t="s">
        <x:v>184</x:v>
      </x:c>
      <x:c r="E283" s="2" t="s">
        <x:v>1248</x:v>
      </x:c>
      <x:c r="F283" s="2" t="s">
        <x:v>1076</x:v>
      </x:c>
      <x:c r="G283" s="2"/>
      <x:c r="H283" s="2" t="s">
        <x:v>1077</x:v>
      </x:c>
      <x:c r="I283" s="2" t="s">
        <x:v>1246</x:v>
      </x:c>
      <x:c r="J283" s="2" t="s">
        <x:v>1079</x:v>
      </x:c>
      <x:c r="K283" s="2"/>
      <x:c r="L283" s="2" t="s">
        <x:v>189</x:v>
      </x:c>
      <x:c r="M283" s="2" t="s">
        <x:v>1080</x:v>
      </x:c>
      <x:c r="N283" s="2">
        <x:v>6</x:v>
      </x:c>
      <x:c r="O283" s="2" t="s">
        <x:v>1089</x:v>
      </x:c>
      <x:c r="P283" s="2" t="s">
        <x:v>1082</x:v>
      </x:c>
      <x:c r="Q283" s="2"/>
      <x:c r="R283" s="3"/>
      <x:c r="S283" s="3"/>
      <x:c r="T283" s="2"/>
      <x:c r="U283" s="2"/>
      <x:c r="V283" s="2"/>
      <x:c r="W283" s="2" t="s">
        <x:v>1246</x:v>
      </x:c>
      <x:c r="X283" s="3">
        <x:v>3</x:v>
      </x:c>
      <x:c r="Y283" s="3">
        <x:v>3</x:v>
      </x:c>
      <x:c r="Z283" s="2" t="s">
        <x:v>1083</x:v>
      </x:c>
      <x:c r="AA283" s="2"/>
      <x:c r="AB283" s="2"/>
      <x:c r="AC283" s="2"/>
      <x:c r="AD283" s="2"/>
      <x:c r="AE283" s="2"/>
      <x:c r="AF283" s="2"/>
      <x:c r="AG283" s="2"/>
      <x:c r="AH283" s="2"/>
      <x:c r="AI283" s="4"/>
      <x:c r="AJ283" s="2"/>
      <x:c r="AK283" s="2" t="s">
        <x:v>176</x:v>
      </x:c>
      <x:c r="AL283" s="2" t="s">
        <x:v>3061</x:v>
      </x:c>
      <x:c r="AM283" s="2">
        <x:v>133</x:v>
      </x:c>
      <x:c r="AN283" s="2">
        <x:v>133</x:v>
      </x:c>
    </x:row>
    <x:row r="284" ht="39">
      <x:c r="A284" s="2" t="s">
        <x:v>91</x:v>
      </x:c>
      <x:c r="B284" s="2" t="s">
        <x:v>14</x:v>
      </x:c>
      <x:c r="C284" s="3">
        <x:v>132</x:v>
      </x:c>
      <x:c r="D284" s="2" t="s">
        <x:v>184</x:v>
      </x:c>
      <x:c r="E284" s="2" t="s">
        <x:v>1249</x:v>
      </x:c>
      <x:c r="F284" s="2" t="s">
        <x:v>1031</x:v>
      </x:c>
      <x:c r="G284" s="2" t="s">
        <x:v>158</x:v>
      </x:c>
      <x:c r="H284" s="2" t="s">
        <x:v>618</x:v>
      </x:c>
      <x:c r="I284" s="2" t="s">
        <x:v>1250</x:v>
      </x:c>
      <x:c r="J284" s="2" t="s">
        <x:v>1032</x:v>
      </x:c>
      <x:c r="K284" s="2"/>
      <x:c r="L284" s="2" t="s">
        <x:v>1120</x:v>
      </x:c>
      <x:c r="M284" s="2" t="s">
        <x:v>1041</x:v>
      </x:c>
      <x:c r="N284" s="2">
        <x:v>2</x:v>
      </x:c>
      <x:c r="O284" s="2" t="s">
        <x:v>1024</x:v>
      </x:c>
      <x:c r="P284" s="2" t="s">
        <x:v>1035</x:v>
      </x:c>
      <x:c r="Q284" s="2"/>
      <x:c r="R284" s="3"/>
      <x:c r="S284" s="3"/>
      <x:c r="T284" s="2"/>
      <x:c r="U284" s="2"/>
      <x:c r="V284" s="2"/>
      <x:c r="W284" s="2" t="s">
        <x:v>1251</x:v>
      </x:c>
      <x:c r="X284" s="3">
        <x:v>2</x:v>
      </x:c>
      <x:c r="Y284" s="3">
        <x:v>3</x:v>
      </x:c>
      <x:c r="Z284" s="2" t="s">
        <x:v>175</x:v>
      </x:c>
      <x:c r="AA284" s="2"/>
      <x:c r="AB284" s="2"/>
      <x:c r="AC284" s="2"/>
      <x:c r="AD284" s="2"/>
      <x:c r="AE284" s="2"/>
      <x:c r="AF284" s="2"/>
      <x:c r="AG284" s="2"/>
      <x:c r="AH284" s="2"/>
      <x:c r="AI284" s="4"/>
      <x:c r="AJ284" s="2"/>
      <x:c r="AK284" s="2" t="s">
        <x:v>176</x:v>
      </x:c>
      <x:c r="AL284" s="2" t="s">
        <x:v>3061</x:v>
      </x:c>
      <x:c r="AM284" s="2">
        <x:v>134</x:v>
      </x:c>
      <x:c r="AN284" s="2">
        <x:v>134</x:v>
      </x:c>
    </x:row>
    <x:row r="285" ht="26">
      <x:c r="A285" s="2" t="s">
        <x:v>91</x:v>
      </x:c>
      <x:c r="B285" s="2" t="s">
        <x:v>14</x:v>
      </x:c>
      <x:c r="C285" s="3">
        <x:v>133</x:v>
      </x:c>
      <x:c r="D285" s="2" t="s">
        <x:v>1067</x:v>
      </x:c>
      <x:c r="E285" s="2" t="s">
        <x:v>1249</x:v>
      </x:c>
      <x:c r="F285" s="2" t="s">
        <x:v>1068</x:v>
      </x:c>
      <x:c r="G285" s="2" t="s">
        <x:v>158</x:v>
      </x:c>
      <x:c r="H285" s="2" t="s">
        <x:v>627</x:v>
      </x:c>
      <x:c r="I285" s="2" t="s">
        <x:v>1250</x:v>
      </x:c>
      <x:c r="J285" s="2" t="s">
        <x:v>1028</x:v>
      </x:c>
      <x:c r="K285" s="2" t="n">
        <x:v>132</x:v>
      </x:c>
      <x:c r="L285" s="2" t="s">
        <x:v>1069</x:v>
      </x:c>
      <x:c r="M285" s="2" t="s">
        <x:v>1023</x:v>
      </x:c>
      <x:c r="N285" s="2">
        <x:v>2</x:v>
      </x:c>
      <x:c r="O285" s="2" t="s">
        <x:v>1024</x:v>
      </x:c>
      <x:c r="P285" s="2" t="s">
        <x:v>1025</x:v>
      </x:c>
      <x:c r="Q285" s="2"/>
      <x:c r="R285" s="3"/>
      <x:c r="S285" s="3"/>
      <x:c r="T285" s="2"/>
      <x:c r="U285" s="2"/>
      <x:c r="V285" s="2"/>
      <x:c r="W285" s="2" t="s">
        <x:v>1251</x:v>
      </x:c>
      <x:c r="X285" s="3">
        <x:v>2</x:v>
      </x:c>
      <x:c r="Y285" s="3">
        <x:v>3</x:v>
      </x:c>
      <x:c r="Z285" s="2" t="s">
        <x:v>175</x:v>
      </x:c>
      <x:c r="AA285" s="2"/>
      <x:c r="AB285" s="2"/>
      <x:c r="AC285" s="2"/>
      <x:c r="AD285" s="2"/>
      <x:c r="AE285" s="2"/>
      <x:c r="AF285" s="2"/>
      <x:c r="AG285" s="2"/>
      <x:c r="AH285" s="2"/>
      <x:c r="AI285" s="4"/>
      <x:c r="AJ285" s="2"/>
      <x:c r="AK285" s="2" t="s">
        <x:v>176</x:v>
      </x:c>
      <x:c r="AL285" s="2" t="s">
        <x:v>3061</x:v>
      </x:c>
      <x:c r="AM285" s="2">
        <x:v>135</x:v>
      </x:c>
      <x:c r="AN285" s="2">
        <x:v>135</x:v>
      </x:c>
    </x:row>
    <x:row r="286" ht="52">
      <x:c r="A286" s="2" t="s">
        <x:v>91</x:v>
      </x:c>
      <x:c r="B286" s="2" t="s">
        <x:v>14</x:v>
      </x:c>
      <x:c r="C286" s="3">
        <x:v>134</x:v>
      </x:c>
      <x:c r="D286" s="2" t="s">
        <x:v>1252</x:v>
      </x:c>
      <x:c r="E286" s="2" t="s">
        <x:v>1249</x:v>
      </x:c>
      <x:c r="F286" s="2" t="s">
        <x:v>1031</x:v>
      </x:c>
      <x:c r="G286" s="2" t="s">
        <x:v>158</x:v>
      </x:c>
      <x:c r="H286" s="2" t="s">
        <x:v>634</x:v>
      </x:c>
      <x:c r="I286" s="2" t="s">
        <x:v>1250</x:v>
      </x:c>
      <x:c r="J286" s="2" t="s">
        <x:v>1062</x:v>
      </x:c>
      <x:c r="K286" s="2" t="n">
        <x:v>132</x:v>
      </x:c>
      <x:c r="L286" s="2" t="s">
        <x:v>1120</x:v>
      </x:c>
      <x:c r="M286" s="2" t="s">
        <x:v>1253</x:v>
      </x:c>
      <x:c r="N286" s="2">
        <x:v>2</x:v>
      </x:c>
      <x:c r="O286" s="2" t="s">
        <x:v>1024</x:v>
      </x:c>
      <x:c r="P286" s="2" t="s">
        <x:v>1053</x:v>
      </x:c>
      <x:c r="Q286" s="2"/>
      <x:c r="R286" s="3"/>
      <x:c r="S286" s="3"/>
      <x:c r="T286" s="2"/>
      <x:c r="U286" s="2"/>
      <x:c r="V286" s="2"/>
      <x:c r="W286" s="2" t="s">
        <x:v>1251</x:v>
      </x:c>
      <x:c r="X286" s="3">
        <x:v>2</x:v>
      </x:c>
      <x:c r="Y286" s="3">
        <x:v>3</x:v>
      </x:c>
      <x:c r="Z286" s="2" t="s">
        <x:v>175</x:v>
      </x:c>
      <x:c r="AA286" s="2"/>
      <x:c r="AB286" s="2"/>
      <x:c r="AC286" s="2"/>
      <x:c r="AD286" s="2"/>
      <x:c r="AE286" s="2"/>
      <x:c r="AF286" s="2"/>
      <x:c r="AG286" s="2"/>
      <x:c r="AH286" s="2"/>
      <x:c r="AI286" s="4"/>
      <x:c r="AJ286" s="2"/>
      <x:c r="AK286" s="2" t="s">
        <x:v>176</x:v>
      </x:c>
      <x:c r="AL286" s="2" t="s">
        <x:v>3061</x:v>
      </x:c>
      <x:c r="AM286" s="2">
        <x:v>136</x:v>
      </x:c>
      <x:c r="AN286" s="2">
        <x:v>136</x:v>
      </x:c>
    </x:row>
    <x:row r="287" ht="26">
      <x:c r="A287" s="2" t="s">
        <x:v>91</x:v>
      </x:c>
      <x:c r="B287" s="2" t="s">
        <x:v>14</x:v>
      </x:c>
      <x:c r="C287" s="3">
        <x:v>135</x:v>
      </x:c>
      <x:c r="D287" s="2" t="s">
        <x:v>1254</x:v>
      </x:c>
      <x:c r="E287" s="2" t="s">
        <x:v>1249</x:v>
      </x:c>
      <x:c r="F287" s="2" t="s">
        <x:v>1068</x:v>
      </x:c>
      <x:c r="G287" s="2" t="s">
        <x:v>158</x:v>
      </x:c>
      <x:c r="H287" s="2" t="s">
        <x:v>634</x:v>
      </x:c>
      <x:c r="I287" s="2" t="s">
        <x:v>1250</x:v>
      </x:c>
      <x:c r="J287" s="2" t="s">
        <x:v>1060</x:v>
      </x:c>
      <x:c r="K287" s="2" t="n">
        <x:v>132</x:v>
      </x:c>
      <x:c r="L287" s="2" t="s">
        <x:v>1069</x:v>
      </x:c>
      <x:c r="M287" s="2" t="s">
        <x:v>1056</x:v>
      </x:c>
      <x:c r="N287" s="2">
        <x:v>2</x:v>
      </x:c>
      <x:c r="O287" s="2" t="s">
        <x:v>1024</x:v>
      </x:c>
      <x:c r="P287" s="2" t="s">
        <x:v>1057</x:v>
      </x:c>
      <x:c r="Q287" s="2"/>
      <x:c r="R287" s="3"/>
      <x:c r="S287" s="3"/>
      <x:c r="T287" s="2"/>
      <x:c r="U287" s="2"/>
      <x:c r="V287" s="2"/>
      <x:c r="W287" s="2" t="s">
        <x:v>1251</x:v>
      </x:c>
      <x:c r="X287" s="3">
        <x:v>2</x:v>
      </x:c>
      <x:c r="Y287" s="3">
        <x:v>3</x:v>
      </x:c>
      <x:c r="Z287" s="2" t="s">
        <x:v>175</x:v>
      </x:c>
      <x:c r="AA287" s="2"/>
      <x:c r="AB287" s="2"/>
      <x:c r="AC287" s="2"/>
      <x:c r="AD287" s="2"/>
      <x:c r="AE287" s="2"/>
      <x:c r="AF287" s="2"/>
      <x:c r="AG287" s="2"/>
      <x:c r="AH287" s="2"/>
      <x:c r="AI287" s="4"/>
      <x:c r="AJ287" s="2"/>
      <x:c r="AK287" s="2" t="s">
        <x:v>176</x:v>
      </x:c>
      <x:c r="AL287" s="2" t="s">
        <x:v>3061</x:v>
      </x:c>
      <x:c r="AM287" s="2">
        <x:v>137</x:v>
      </x:c>
      <x:c r="AN287" s="2">
        <x:v>137</x:v>
      </x:c>
    </x:row>
    <x:row r="288" ht="26">
      <x:c r="A288" s="2" t="s">
        <x:v>91</x:v>
      </x:c>
      <x:c r="B288" s="2" t="s">
        <x:v>14</x:v>
      </x:c>
      <x:c r="C288" s="3">
        <x:v>136</x:v>
      </x:c>
      <x:c r="D288" s="2" t="s">
        <x:v>1046</x:v>
      </x:c>
      <x:c r="E288" s="2" t="s">
        <x:v>1249</x:v>
      </x:c>
      <x:c r="F288" s="2" t="s">
        <x:v>1047</x:v>
      </x:c>
      <x:c r="G288" s="2" t="s">
        <x:v>158</x:v>
      </x:c>
      <x:c r="H288" s="2" t="s">
        <x:v>627</x:v>
      </x:c>
      <x:c r="I288" s="2" t="s">
        <x:v>1250</x:v>
      </x:c>
      <x:c r="J288" s="2" t="s">
        <x:v>1021</x:v>
      </x:c>
      <x:c r="K288" s="2"/>
      <x:c r="L288" s="2" t="s">
        <x:v>1049</x:v>
      </x:c>
      <x:c r="M288" s="2" t="s">
        <x:v>1023</x:v>
      </x:c>
      <x:c r="N288" s="2">
        <x:v>2</x:v>
      </x:c>
      <x:c r="O288" s="2" t="s">
        <x:v>1024</x:v>
      </x:c>
      <x:c r="P288" s="2" t="s">
        <x:v>1025</x:v>
      </x:c>
      <x:c r="Q288" s="2"/>
      <x:c r="R288" s="3"/>
      <x:c r="S288" s="3"/>
      <x:c r="T288" s="2"/>
      <x:c r="U288" s="2"/>
      <x:c r="V288" s="2"/>
      <x:c r="W288" s="2" t="s">
        <x:v>1257</x:v>
      </x:c>
      <x:c r="X288" s="3">
        <x:v>2</x:v>
      </x:c>
      <x:c r="Y288" s="3">
        <x:v>1</x:v>
      </x:c>
      <x:c r="Z288" s="2" t="s">
        <x:v>191</x:v>
      </x:c>
      <x:c r="AA288" s="2"/>
      <x:c r="AB288" s="2"/>
      <x:c r="AC288" s="2"/>
      <x:c r="AD288" s="2"/>
      <x:c r="AE288" s="2"/>
      <x:c r="AF288" s="2"/>
      <x:c r="AG288" s="2"/>
      <x:c r="AH288" s="2"/>
      <x:c r="AI288" s="4"/>
      <x:c r="AJ288" s="2"/>
      <x:c r="AK288" s="2" t="s">
        <x:v>176</x:v>
      </x:c>
      <x:c r="AL288" s="2" t="s">
        <x:v>3061</x:v>
      </x:c>
      <x:c r="AM288" s="2">
        <x:v>138</x:v>
      </x:c>
      <x:c r="AN288" s="2">
        <x:v>138</x:v>
      </x:c>
    </x:row>
    <x:row r="289" ht="39">
      <x:c r="A289" s="2" t="s">
        <x:v>91</x:v>
      </x:c>
      <x:c r="B289" s="2" t="s">
        <x:v>14</x:v>
      </x:c>
      <x:c r="C289" s="3">
        <x:v>137</x:v>
      </x:c>
      <x:c r="D289" s="2" t="s">
        <x:v>166</x:v>
      </x:c>
      <x:c r="E289" s="2" t="s">
        <x:v>1249</x:v>
      </x:c>
      <x:c r="F289" s="2" t="s">
        <x:v>1011</x:v>
      </x:c>
      <x:c r="G289" s="2" t="s">
        <x:v>158</x:v>
      </x:c>
      <x:c r="H289" s="2" t="s">
        <x:v>618</x:v>
      </x:c>
      <x:c r="I289" s="2" t="s">
        <x:v>1250</x:v>
      </x:c>
      <x:c r="J289" s="2" t="s">
        <x:v>1013</x:v>
      </x:c>
      <x:c r="K289" s="2" t="n">
        <x:v>136</x:v>
      </x:c>
      <x:c r="L289" s="2" t="s">
        <x:v>1074</x:v>
      </x:c>
      <x:c r="M289" s="2" t="s">
        <x:v>1034</x:v>
      </x:c>
      <x:c r="N289" s="2">
        <x:v>2</x:v>
      </x:c>
      <x:c r="O289" s="2" t="s">
        <x:v>1016</x:v>
      </x:c>
      <x:c r="P289" s="2" t="s">
        <x:v>1017</x:v>
      </x:c>
      <x:c r="Q289" s="2"/>
      <x:c r="R289" s="3"/>
      <x:c r="S289" s="3"/>
      <x:c r="T289" s="2"/>
      <x:c r="U289" s="2"/>
      <x:c r="V289" s="2"/>
      <x:c r="W289" s="2" t="s">
        <x:v>1257</x:v>
      </x:c>
      <x:c r="X289" s="3">
        <x:v>2</x:v>
      </x:c>
      <x:c r="Y289" s="3">
        <x:v>1</x:v>
      </x:c>
      <x:c r="Z289" s="2" t="s">
        <x:v>191</x:v>
      </x:c>
      <x:c r="AA289" s="2"/>
      <x:c r="AB289" s="2"/>
      <x:c r="AC289" s="2"/>
      <x:c r="AD289" s="2"/>
      <x:c r="AE289" s="2"/>
      <x:c r="AF289" s="2"/>
      <x:c r="AG289" s="2"/>
      <x:c r="AH289" s="2"/>
      <x:c r="AI289" s="4"/>
      <x:c r="AJ289" s="2"/>
      <x:c r="AK289" s="2" t="s">
        <x:v>176</x:v>
      </x:c>
      <x:c r="AL289" s="2" t="s">
        <x:v>3061</x:v>
      </x:c>
      <x:c r="AM289" s="2">
        <x:v>139</x:v>
      </x:c>
      <x:c r="AN289" s="2">
        <x:v>139</x:v>
      </x:c>
    </x:row>
    <x:row r="290" ht="26">
      <x:c r="A290" s="2" t="s">
        <x:v>91</x:v>
      </x:c>
      <x:c r="B290" s="2" t="s">
        <x:v>14</x:v>
      </x:c>
      <x:c r="C290" s="3">
        <x:v>138</x:v>
      </x:c>
      <x:c r="D290" s="2" t="s">
        <x:v>1054</x:v>
      </x:c>
      <x:c r="E290" s="2" t="s">
        <x:v>1249</x:v>
      </x:c>
      <x:c r="F290" s="2" t="s">
        <x:v>1047</x:v>
      </x:c>
      <x:c r="G290" s="2" t="s">
        <x:v>158</x:v>
      </x:c>
      <x:c r="H290" s="2" t="s">
        <x:v>634</x:v>
      </x:c>
      <x:c r="I290" s="2" t="s">
        <x:v>1250</x:v>
      </x:c>
      <x:c r="J290" s="2" t="s">
        <x:v>1055</x:v>
      </x:c>
      <x:c r="K290" s="2" t="n">
        <x:v>136</x:v>
      </x:c>
      <x:c r="L290" s="2" t="s">
        <x:v>1049</x:v>
      </x:c>
      <x:c r="M290" s="2" t="s">
        <x:v>1056</x:v>
      </x:c>
      <x:c r="N290" s="2">
        <x:v>2</x:v>
      </x:c>
      <x:c r="O290" s="2" t="s">
        <x:v>1024</x:v>
      </x:c>
      <x:c r="P290" s="2" t="s">
        <x:v>1057</x:v>
      </x:c>
      <x:c r="Q290" s="2"/>
      <x:c r="R290" s="3"/>
      <x:c r="S290" s="3"/>
      <x:c r="T290" s="2"/>
      <x:c r="U290" s="2"/>
      <x:c r="V290" s="2"/>
      <x:c r="W290" s="2" t="s">
        <x:v>1257</x:v>
      </x:c>
      <x:c r="X290" s="3">
        <x:v>2</x:v>
      </x:c>
      <x:c r="Y290" s="3">
        <x:v>1</x:v>
      </x:c>
      <x:c r="Z290" s="2" t="s">
        <x:v>191</x:v>
      </x:c>
      <x:c r="AA290" s="2"/>
      <x:c r="AB290" s="2"/>
      <x:c r="AC290" s="2"/>
      <x:c r="AD290" s="2"/>
      <x:c r="AE290" s="2"/>
      <x:c r="AF290" s="2"/>
      <x:c r="AG290" s="2"/>
      <x:c r="AH290" s="2"/>
      <x:c r="AI290" s="4"/>
      <x:c r="AJ290" s="2"/>
      <x:c r="AK290" s="2" t="s">
        <x:v>176</x:v>
      </x:c>
      <x:c r="AL290" s="2" t="s">
        <x:v>3061</x:v>
      </x:c>
      <x:c r="AM290" s="2">
        <x:v>140</x:v>
      </x:c>
      <x:c r="AN290" s="2">
        <x:v>140</x:v>
      </x:c>
    </x:row>
    <x:row r="291" ht="52">
      <x:c r="A291" s="2" t="s">
        <x:v>91</x:v>
      </x:c>
      <x:c r="B291" s="2" t="s">
        <x:v>14</x:v>
      </x:c>
      <x:c r="C291" s="3">
        <x:v>139</x:v>
      </x:c>
      <x:c r="D291" s="2" t="s">
        <x:v>1259</x:v>
      </x:c>
      <x:c r="E291" s="2" t="s">
        <x:v>1249</x:v>
      </x:c>
      <x:c r="F291" s="2" t="s">
        <x:v>1011</x:v>
      </x:c>
      <x:c r="G291" s="2" t="s">
        <x:v>158</x:v>
      </x:c>
      <x:c r="H291" s="2" t="s">
        <x:v>634</x:v>
      </x:c>
      <x:c r="I291" s="2" t="s">
        <x:v>1250</x:v>
      </x:c>
      <x:c r="J291" s="2" t="s">
        <x:v>1051</x:v>
      </x:c>
      <x:c r="K291" s="2" t="n">
        <x:v>136</x:v>
      </x:c>
      <x:c r="L291" s="2" t="s">
        <x:v>1074</x:v>
      </x:c>
      <x:c r="M291" s="2" t="s">
        <x:v>1063</x:v>
      </x:c>
      <x:c r="N291" s="2">
        <x:v>2</x:v>
      </x:c>
      <x:c r="O291" s="2" t="s">
        <x:v>1016</x:v>
      </x:c>
      <x:c r="P291" s="2" t="s">
        <x:v>1053</x:v>
      </x:c>
      <x:c r="Q291" s="2"/>
      <x:c r="R291" s="3"/>
      <x:c r="S291" s="3"/>
      <x:c r="T291" s="2"/>
      <x:c r="U291" s="2"/>
      <x:c r="V291" s="2"/>
      <x:c r="W291" s="2" t="s">
        <x:v>1257</x:v>
      </x:c>
      <x:c r="X291" s="3">
        <x:v>2</x:v>
      </x:c>
      <x:c r="Y291" s="3">
        <x:v>1</x:v>
      </x:c>
      <x:c r="Z291" s="2" t="s">
        <x:v>191</x:v>
      </x:c>
      <x:c r="AA291" s="2"/>
      <x:c r="AB291" s="2"/>
      <x:c r="AC291" s="2"/>
      <x:c r="AD291" s="2"/>
      <x:c r="AE291" s="2"/>
      <x:c r="AF291" s="2"/>
      <x:c r="AG291" s="2"/>
      <x:c r="AH291" s="2"/>
      <x:c r="AI291" s="4"/>
      <x:c r="AJ291" s="2"/>
      <x:c r="AK291" s="2" t="s">
        <x:v>176</x:v>
      </x:c>
      <x:c r="AL291" s="2" t="s">
        <x:v>3061</x:v>
      </x:c>
      <x:c r="AM291" s="2">
        <x:v>141</x:v>
      </x:c>
      <x:c r="AN291" s="2">
        <x:v>141</x:v>
      </x:c>
    </x:row>
    <x:row r="292" ht="39">
      <x:c r="A292" s="2" t="s">
        <x:v>91</x:v>
      </x:c>
      <x:c r="B292" s="2" t="s">
        <x:v>14</x:v>
      </x:c>
      <x:c r="C292" s="3">
        <x:v>140</x:v>
      </x:c>
      <x:c r="D292" s="2" t="s">
        <x:v>184</x:v>
      </x:c>
      <x:c r="E292" s="2" t="s">
        <x:v>1104</x:v>
      </x:c>
      <x:c r="F292" s="2" t="s">
        <x:v>1031</x:v>
      </x:c>
      <x:c r="G292" s="2" t="s">
        <x:v>158</x:v>
      </x:c>
      <x:c r="H292" s="2" t="s">
        <x:v>618</x:v>
      </x:c>
      <x:c r="I292" s="2" t="s">
        <x:v>1260</x:v>
      </x:c>
      <x:c r="J292" s="2" t="s">
        <x:v>1032</x:v>
      </x:c>
      <x:c r="K292" s="2"/>
      <x:c r="L292" s="2" t="s">
        <x:v>1106</x:v>
      </x:c>
      <x:c r="M292" s="2" t="s">
        <x:v>1107</x:v>
      </x:c>
      <x:c r="N292" s="2">
        <x:v>4</x:v>
      </x:c>
      <x:c r="O292" s="2" t="s">
        <x:v>1024</x:v>
      </x:c>
      <x:c r="P292" s="2" t="s">
        <x:v>1035</x:v>
      </x:c>
      <x:c r="Q292" s="2"/>
      <x:c r="R292" s="3"/>
      <x:c r="S292" s="3"/>
      <x:c r="T292" s="2"/>
      <x:c r="U292" s="2"/>
      <x:c r="V292" s="2"/>
      <x:c r="W292" s="2" t="s">
        <x:v>1261</x:v>
      </x:c>
      <x:c r="X292" s="3">
        <x:v>2</x:v>
      </x:c>
      <x:c r="Y292" s="3">
        <x:v>3</x:v>
      </x:c>
      <x:c r="Z292" s="2" t="s">
        <x:v>175</x:v>
      </x:c>
      <x:c r="AA292" s="2"/>
      <x:c r="AB292" s="2"/>
      <x:c r="AC292" s="2"/>
      <x:c r="AD292" s="2"/>
      <x:c r="AE292" s="2"/>
      <x:c r="AF292" s="2"/>
      <x:c r="AG292" s="2"/>
      <x:c r="AH292" s="2"/>
      <x:c r="AI292" s="4"/>
      <x:c r="AJ292" s="2"/>
      <x:c r="AK292" s="2" t="s">
        <x:v>176</x:v>
      </x:c>
      <x:c r="AL292" s="2" t="s">
        <x:v>3061</x:v>
      </x:c>
      <x:c r="AM292" s="2">
        <x:v>142</x:v>
      </x:c>
      <x:c r="AN292" s="2">
        <x:v>142</x:v>
      </x:c>
    </x:row>
    <x:row r="293" ht="39">
      <x:c r="A293" s="2" t="s">
        <x:v>91</x:v>
      </x:c>
      <x:c r="B293" s="2" t="s">
        <x:v>14</x:v>
      </x:c>
      <x:c r="C293" s="3">
        <x:v>141</x:v>
      </x:c>
      <x:c r="D293" s="2" t="s">
        <x:v>166</x:v>
      </x:c>
      <x:c r="E293" s="2" t="s">
        <x:v>1104</x:v>
      </x:c>
      <x:c r="F293" s="2" t="s">
        <x:v>1011</x:v>
      </x:c>
      <x:c r="G293" s="2" t="s">
        <x:v>158</x:v>
      </x:c>
      <x:c r="H293" s="2" t="s">
        <x:v>618</x:v>
      </x:c>
      <x:c r="I293" s="2" t="s">
        <x:v>1260</x:v>
      </x:c>
      <x:c r="J293" s="2" t="s">
        <x:v>1013</x:v>
      </x:c>
      <x:c r="K293" s="2" t="n">
        <x:v>140</x:v>
      </x:c>
      <x:c r="L293" s="2" t="s">
        <x:v>1040</x:v>
      </x:c>
      <x:c r="M293" s="2" t="s">
        <x:v>1041</x:v>
      </x:c>
      <x:c r="N293" s="2">
        <x:v>4</x:v>
      </x:c>
      <x:c r="O293" s="2" t="s">
        <x:v>1016</x:v>
      </x:c>
      <x:c r="P293" s="2" t="s">
        <x:v>1017</x:v>
      </x:c>
      <x:c r="Q293" s="2"/>
      <x:c r="R293" s="3"/>
      <x:c r="S293" s="3"/>
      <x:c r="T293" s="2"/>
      <x:c r="U293" s="2"/>
      <x:c r="V293" s="2"/>
      <x:c r="W293" s="2" t="s">
        <x:v>1262</x:v>
      </x:c>
      <x:c r="X293" s="3">
        <x:v>2</x:v>
      </x:c>
      <x:c r="Y293" s="3">
        <x:v>1</x:v>
      </x:c>
      <x:c r="Z293" s="2" t="s">
        <x:v>191</x:v>
      </x:c>
      <x:c r="AA293" s="2"/>
      <x:c r="AB293" s="2"/>
      <x:c r="AC293" s="2"/>
      <x:c r="AD293" s="2"/>
      <x:c r="AE293" s="2"/>
      <x:c r="AF293" s="2"/>
      <x:c r="AG293" s="2"/>
      <x:c r="AH293" s="2"/>
      <x:c r="AI293" s="4"/>
      <x:c r="AJ293" s="2"/>
      <x:c r="AK293" s="2" t="s">
        <x:v>176</x:v>
      </x:c>
      <x:c r="AL293" s="2" t="s">
        <x:v>3061</x:v>
      </x:c>
      <x:c r="AM293" s="2">
        <x:v>143</x:v>
      </x:c>
      <x:c r="AN293" s="2">
        <x:v>143</x:v>
      </x:c>
    </x:row>
    <x:row r="294" ht="39">
      <x:c r="A294" s="2" t="s">
        <x:v>91</x:v>
      </x:c>
      <x:c r="B294" s="2" t="s">
        <x:v>14</x:v>
      </x:c>
      <x:c r="C294" s="3">
        <x:v>142</x:v>
      </x:c>
      <x:c r="D294" s="2" t="s">
        <x:v>184</x:v>
      </x:c>
      <x:c r="E294" s="2" t="s">
        <x:v>1263</x:v>
      </x:c>
      <x:c r="F294" s="2" t="s">
        <x:v>1076</x:v>
      </x:c>
      <x:c r="G294" s="2" t="s">
        <x:v>3123</x:v>
      </x:c>
      <x:c r="H294" s="2" t="s">
        <x:v>1077</x:v>
      </x:c>
      <x:c r="I294" s="2" t="s">
        <x:v>1265</x:v>
      </x:c>
      <x:c r="J294" s="2" t="s">
        <x:v>1079</x:v>
      </x:c>
      <x:c r="K294" s="2"/>
      <x:c r="L294" s="2" t="s">
        <x:v>189</x:v>
      </x:c>
      <x:c r="M294" s="2" t="s">
        <x:v>1080</x:v>
      </x:c>
      <x:c r="N294" s="2">
        <x:v>6</x:v>
      </x:c>
      <x:c r="O294" s="2" t="s">
        <x:v>1081</x:v>
      </x:c>
      <x:c r="P294" s="2" t="s">
        <x:v>1082</x:v>
      </x:c>
      <x:c r="Q294" s="2"/>
      <x:c r="R294" s="3"/>
      <x:c r="S294" s="3"/>
      <x:c r="T294" s="2"/>
      <x:c r="U294" s="2"/>
      <x:c r="V294" s="2"/>
      <x:c r="W294" s="2" t="s">
        <x:v>1265</x:v>
      </x:c>
      <x:c r="X294" s="3">
        <x:v>3</x:v>
      </x:c>
      <x:c r="Y294" s="3">
        <x:v>3</x:v>
      </x:c>
      <x:c r="Z294" s="2" t="s">
        <x:v>1083</x:v>
      </x:c>
      <x:c r="AA294" s="2"/>
      <x:c r="AB294" s="2"/>
      <x:c r="AC294" s="2"/>
      <x:c r="AD294" s="2"/>
      <x:c r="AE294" s="2"/>
      <x:c r="AF294" s="2"/>
      <x:c r="AG294" s="2"/>
      <x:c r="AH294" s="2"/>
      <x:c r="AI294" s="4"/>
      <x:c r="AJ294" s="2"/>
      <x:c r="AK294" s="2" t="s">
        <x:v>176</x:v>
      </x:c>
      <x:c r="AL294" s="2" t="s">
        <x:v>3061</x:v>
      </x:c>
      <x:c r="AM294" s="2">
        <x:v>144</x:v>
      </x:c>
      <x:c r="AN294" s="2">
        <x:v>144</x:v>
      </x:c>
    </x:row>
    <x:row r="295" ht="39">
      <x:c r="A295" s="2" t="s">
        <x:v>6</x:v>
      </x:c>
      <x:c r="B295" s="2" t="s">
        <x:v>14</x:v>
      </x:c>
      <x:c r="C295" s="3">
        <x:v>143</x:v>
      </x:c>
      <x:c r="D295" s="2" t="s">
        <x:v>1084</x:v>
      </x:c>
      <x:c r="E295" s="2" t="s">
        <x:v>1266</x:v>
      </x:c>
      <x:c r="F295" s="2" t="s">
        <x:v>1086</x:v>
      </x:c>
      <x:c r="G295" s="2"/>
      <x:c r="H295" s="2" t="s">
        <x:v>1077</x:v>
      </x:c>
      <x:c r="I295" s="2" t="s">
        <x:v>1265</x:v>
      </x:c>
      <x:c r="J295" s="2" t="s">
        <x:v>1087</x:v>
      </x:c>
      <x:c r="K295" s="2"/>
      <x:c r="L295" s="2" t="s">
        <x:v>1088</x:v>
      </x:c>
      <x:c r="M295" s="2" t="s">
        <x:v>1080</x:v>
      </x:c>
      <x:c r="N295" s="2">
        <x:v>6</x:v>
      </x:c>
      <x:c r="O295" s="2" t="s">
        <x:v>1089</x:v>
      </x:c>
      <x:c r="P295" s="2" t="s">
        <x:v>1082</x:v>
      </x:c>
      <x:c r="Q295" s="2"/>
      <x:c r="R295" s="3"/>
      <x:c r="S295" s="3"/>
      <x:c r="T295" s="2"/>
      <x:c r="U295" s="2"/>
      <x:c r="V295" s="2"/>
      <x:c r="W295" s="2" t="s">
        <x:v>1265</x:v>
      </x:c>
      <x:c r="X295" s="3">
        <x:v>2</x:v>
      </x:c>
      <x:c r="Y295" s="3">
        <x:v>2</x:v>
      </x:c>
      <x:c r="Z295" s="2" t="s">
        <x:v>1083</x:v>
      </x:c>
      <x:c r="AA295" s="2"/>
      <x:c r="AB295" s="2"/>
      <x:c r="AC295" s="2"/>
      <x:c r="AD295" s="2"/>
      <x:c r="AE295" s="2"/>
      <x:c r="AF295" s="2"/>
      <x:c r="AG295" s="2"/>
      <x:c r="AH295" s="2"/>
      <x:c r="AI295" s="4"/>
      <x:c r="AJ295" s="2"/>
      <x:c r="AK295" s="2" t="s">
        <x:v>176</x:v>
      </x:c>
      <x:c r="AL295" s="2" t="s">
        <x:v>3061</x:v>
      </x:c>
      <x:c r="AM295" s="2">
        <x:v>145</x:v>
      </x:c>
      <x:c r="AN295" s="2">
        <x:v>145</x:v>
      </x:c>
    </x:row>
    <x:row r="296" ht="39">
      <x:c r="A296" s="2" t="s">
        <x:v>6</x:v>
      </x:c>
      <x:c r="B296" s="2" t="s">
        <x:v>14</x:v>
      </x:c>
      <x:c r="C296" s="3">
        <x:v>144</x:v>
      </x:c>
      <x:c r="D296" s="2" t="s">
        <x:v>166</x:v>
      </x:c>
      <x:c r="E296" s="2" t="s">
        <x:v>1007</x:v>
      </x:c>
      <x:c r="F296" s="2" t="s">
        <x:v>1090</x:v>
      </x:c>
      <x:c r="G296" s="2"/>
      <x:c r="H296" s="2" t="s">
        <x:v>1077</x:v>
      </x:c>
      <x:c r="I296" s="2" t="s">
        <x:v>1265</x:v>
      </x:c>
      <x:c r="J296" s="2" t="s">
        <x:v>1091</x:v>
      </x:c>
      <x:c r="K296" s="2"/>
      <x:c r="L296" s="2" t="s">
        <x:v>1092</x:v>
      </x:c>
      <x:c r="M296" s="2" t="s">
        <x:v>1080</x:v>
      </x:c>
      <x:c r="N296" s="2">
        <x:v>6</x:v>
      </x:c>
      <x:c r="O296" s="2" t="s">
        <x:v>1089</x:v>
      </x:c>
      <x:c r="P296" s="2" t="s">
        <x:v>1082</x:v>
      </x:c>
      <x:c r="Q296" s="2"/>
      <x:c r="R296" s="3"/>
      <x:c r="S296" s="3"/>
      <x:c r="T296" s="2"/>
      <x:c r="U296" s="2"/>
      <x:c r="V296" s="2"/>
      <x:c r="W296" s="2" t="s">
        <x:v>1265</x:v>
      </x:c>
      <x:c r="X296" s="3">
        <x:v>1</x:v>
      </x:c>
      <x:c r="Y296" s="3">
        <x:v>1</x:v>
      </x:c>
      <x:c r="Z296" s="2" t="s">
        <x:v>1083</x:v>
      </x:c>
      <x:c r="AA296" s="2"/>
      <x:c r="AB296" s="2"/>
      <x:c r="AC296" s="2"/>
      <x:c r="AD296" s="2"/>
      <x:c r="AE296" s="2"/>
      <x:c r="AF296" s="2"/>
      <x:c r="AG296" s="2"/>
      <x:c r="AH296" s="2"/>
      <x:c r="AI296" s="4"/>
      <x:c r="AJ296" s="2"/>
      <x:c r="AK296" s="2" t="s">
        <x:v>176</x:v>
      </x:c>
      <x:c r="AL296" s="2" t="s">
        <x:v>3061</x:v>
      </x:c>
      <x:c r="AM296" s="2">
        <x:v>146</x:v>
      </x:c>
      <x:c r="AN296" s="2">
        <x:v>146</x:v>
      </x:c>
    </x:row>
    <x:row r="297" ht="39">
      <x:c r="A297" s="2" t="s">
        <x:v>6</x:v>
      </x:c>
      <x:c r="B297" s="2" t="s">
        <x:v>14</x:v>
      </x:c>
      <x:c r="C297" s="3">
        <x:v>145</x:v>
      </x:c>
      <x:c r="D297" s="2" t="s">
        <x:v>993</x:v>
      </x:c>
      <x:c r="E297" s="2" t="s">
        <x:v>997</x:v>
      </x:c>
      <x:c r="F297" s="2" t="s">
        <x:v>1094</x:v>
      </x:c>
      <x:c r="G297" s="2"/>
      <x:c r="H297" s="2" t="s">
        <x:v>1077</x:v>
      </x:c>
      <x:c r="I297" s="2" t="s">
        <x:v>1265</x:v>
      </x:c>
      <x:c r="J297" s="2" t="s">
        <x:v>1095</x:v>
      </x:c>
      <x:c r="K297" s="2"/>
      <x:c r="L297" s="2" t="s">
        <x:v>1096</x:v>
      </x:c>
      <x:c r="M297" s="2" t="s">
        <x:v>1080</x:v>
      </x:c>
      <x:c r="N297" s="2">
        <x:v>6</x:v>
      </x:c>
      <x:c r="O297" s="2" t="s">
        <x:v>1089</x:v>
      </x:c>
      <x:c r="P297" s="2" t="s">
        <x:v>1082</x:v>
      </x:c>
      <x:c r="Q297" s="2"/>
      <x:c r="R297" s="3"/>
      <x:c r="S297" s="3"/>
      <x:c r="T297" s="2"/>
      <x:c r="U297" s="2"/>
      <x:c r="V297" s="2"/>
      <x:c r="W297" s="2" t="s">
        <x:v>1265</x:v>
      </x:c>
      <x:c r="X297" s="3">
        <x:v>0</x:v>
      </x:c>
      <x:c r="Y297" s="3">
        <x:v>0</x:v>
      </x:c>
      <x:c r="Z297" s="2" t="s">
        <x:v>1083</x:v>
      </x:c>
      <x:c r="AA297" s="2"/>
      <x:c r="AB297" s="2"/>
      <x:c r="AC297" s="2"/>
      <x:c r="AD297" s="2"/>
      <x:c r="AE297" s="2"/>
      <x:c r="AF297" s="2"/>
      <x:c r="AG297" s="2"/>
      <x:c r="AH297" s="2"/>
      <x:c r="AI297" s="4"/>
      <x:c r="AJ297" s="2"/>
      <x:c r="AK297" s="2" t="s">
        <x:v>176</x:v>
      </x:c>
      <x:c r="AL297" s="2" t="s">
        <x:v>3061</x:v>
      </x:c>
      <x:c r="AM297" s="2">
        <x:v>147</x:v>
      </x:c>
      <x:c r="AN297" s="2">
        <x:v>147</x:v>
      </x:c>
    </x:row>
    <x:row r="298" ht="39">
      <x:c r="A298" s="2" t="s">
        <x:v>91</x:v>
      </x:c>
      <x:c r="B298" s="2" t="s">
        <x:v>14</x:v>
      </x:c>
      <x:c r="C298" s="3">
        <x:v>146</x:v>
      </x:c>
      <x:c r="D298" s="2" t="s">
        <x:v>184</x:v>
      </x:c>
      <x:c r="E298" s="2" t="s">
        <x:v>1036</x:v>
      </x:c>
      <x:c r="F298" s="2" t="s">
        <x:v>1031</x:v>
      </x:c>
      <x:c r="G298" s="2" t="s">
        <x:v>158</x:v>
      </x:c>
      <x:c r="H298" s="2" t="s">
        <x:v>618</x:v>
      </x:c>
      <x:c r="I298" s="2" t="s">
        <x:v>1267</x:v>
      </x:c>
      <x:c r="J298" s="2" t="s">
        <x:v>1032</x:v>
      </x:c>
      <x:c r="K298" s="2"/>
      <x:c r="L298" s="2" t="s">
        <x:v>1038</x:v>
      </x:c>
      <x:c r="M298" s="2" t="s">
        <x:v>1015</x:v>
      </x:c>
      <x:c r="N298" s="2">
        <x:v>4</x:v>
      </x:c>
      <x:c r="O298" s="2" t="s">
        <x:v>1024</x:v>
      </x:c>
      <x:c r="P298" s="2" t="s">
        <x:v>1035</x:v>
      </x:c>
      <x:c r="Q298" s="2"/>
      <x:c r="R298" s="3"/>
      <x:c r="S298" s="3"/>
      <x:c r="T298" s="2"/>
      <x:c r="U298" s="2"/>
      <x:c r="V298" s="2"/>
      <x:c r="W298" s="2" t="s">
        <x:v>1268</x:v>
      </x:c>
      <x:c r="X298" s="3">
        <x:v>2</x:v>
      </x:c>
      <x:c r="Y298" s="3">
        <x:v>3</x:v>
      </x:c>
      <x:c r="Z298" s="2" t="s">
        <x:v>175</x:v>
      </x:c>
      <x:c r="AA298" s="2"/>
      <x:c r="AB298" s="2"/>
      <x:c r="AC298" s="2"/>
      <x:c r="AD298" s="2"/>
      <x:c r="AE298" s="2"/>
      <x:c r="AF298" s="2"/>
      <x:c r="AG298" s="2"/>
      <x:c r="AH298" s="2"/>
      <x:c r="AI298" s="4"/>
      <x:c r="AJ298" s="2"/>
      <x:c r="AK298" s="2" t="s">
        <x:v>176</x:v>
      </x:c>
      <x:c r="AL298" s="2" t="s">
        <x:v>3061</x:v>
      </x:c>
      <x:c r="AM298" s="2">
        <x:v>148</x:v>
      </x:c>
      <x:c r="AN298" s="2">
        <x:v>148</x:v>
      </x:c>
    </x:row>
    <x:row r="299" ht="39">
      <x:c r="A299" s="2" t="s">
        <x:v>91</x:v>
      </x:c>
      <x:c r="B299" s="2" t="s">
        <x:v>14</x:v>
      </x:c>
      <x:c r="C299" s="3">
        <x:v>147</x:v>
      </x:c>
      <x:c r="D299" s="2" t="s">
        <x:v>166</x:v>
      </x:c>
      <x:c r="E299" s="2" t="s">
        <x:v>1036</x:v>
      </x:c>
      <x:c r="F299" s="2" t="s">
        <x:v>1011</x:v>
      </x:c>
      <x:c r="G299" s="2" t="s">
        <x:v>158</x:v>
      </x:c>
      <x:c r="H299" s="2" t="s">
        <x:v>618</x:v>
      </x:c>
      <x:c r="I299" s="2" t="s">
        <x:v>1267</x:v>
      </x:c>
      <x:c r="J299" s="2" t="s">
        <x:v>1013</x:v>
      </x:c>
      <x:c r="K299" s="2" t="n">
        <x:v>146</x:v>
      </x:c>
      <x:c r="L299" s="2" t="s">
        <x:v>1040</x:v>
      </x:c>
      <x:c r="M299" s="2" t="s">
        <x:v>1041</x:v>
      </x:c>
      <x:c r="N299" s="2">
        <x:v>4</x:v>
      </x:c>
      <x:c r="O299" s="2" t="s">
        <x:v>1016</x:v>
      </x:c>
      <x:c r="P299" s="2" t="s">
        <x:v>1017</x:v>
      </x:c>
      <x:c r="Q299" s="2"/>
      <x:c r="R299" s="3"/>
      <x:c r="S299" s="3"/>
      <x:c r="T299" s="2"/>
      <x:c r="U299" s="2"/>
      <x:c r="V299" s="2"/>
      <x:c r="W299" s="2" t="s">
        <x:v>1269</x:v>
      </x:c>
      <x:c r="X299" s="3">
        <x:v>2</x:v>
      </x:c>
      <x:c r="Y299" s="3">
        <x:v>1</x:v>
      </x:c>
      <x:c r="Z299" s="2" t="s">
        <x:v>191</x:v>
      </x:c>
      <x:c r="AA299" s="2"/>
      <x:c r="AB299" s="2"/>
      <x:c r="AC299" s="2"/>
      <x:c r="AD299" s="2"/>
      <x:c r="AE299" s="2"/>
      <x:c r="AF299" s="2"/>
      <x:c r="AG299" s="2"/>
      <x:c r="AH299" s="2"/>
      <x:c r="AI299" s="4"/>
      <x:c r="AJ299" s="2"/>
      <x:c r="AK299" s="2" t="s">
        <x:v>176</x:v>
      </x:c>
      <x:c r="AL299" s="2" t="s">
        <x:v>3061</x:v>
      </x:c>
      <x:c r="AM299" s="2">
        <x:v>149</x:v>
      </x:c>
      <x:c r="AN299" s="2">
        <x:v>149</x:v>
      </x:c>
    </x:row>
    <x:row r="300" ht="39">
      <x:c r="A300" s="2" t="s">
        <x:v>91</x:v>
      </x:c>
      <x:c r="B300" s="2" t="s">
        <x:v>14</x:v>
      </x:c>
      <x:c r="C300" s="3">
        <x:v>148</x:v>
      </x:c>
      <x:c r="D300" s="2" t="s">
        <x:v>166</x:v>
      </x:c>
      <x:c r="E300" s="2" t="s">
        <x:v>1212</x:v>
      </x:c>
      <x:c r="F300" s="2" t="s">
        <x:v>1011</x:v>
      </x:c>
      <x:c r="G300" s="2" t="s">
        <x:v>158</x:v>
      </x:c>
      <x:c r="H300" s="2" t="s">
        <x:v>618</x:v>
      </x:c>
      <x:c r="I300" s="2" t="s">
        <x:v>1270</x:v>
      </x:c>
      <x:c r="J300" s="2" t="s">
        <x:v>1013</x:v>
      </x:c>
      <x:c r="K300" s="2"/>
      <x:c r="L300" s="2" t="s">
        <x:v>1171</x:v>
      </x:c>
      <x:c r="M300" s="2" t="s">
        <x:v>1107</x:v>
      </x:c>
      <x:c r="N300" s="2">
        <x:v>4</x:v>
      </x:c>
      <x:c r="O300" s="2" t="s">
        <x:v>1016</x:v>
      </x:c>
      <x:c r="P300" s="2" t="s">
        <x:v>1017</x:v>
      </x:c>
      <x:c r="Q300" s="2"/>
      <x:c r="R300" s="3"/>
      <x:c r="S300" s="3"/>
      <x:c r="T300" s="2"/>
      <x:c r="U300" s="2"/>
      <x:c r="V300" s="2"/>
      <x:c r="W300" s="2" t="s">
        <x:v>1271</x:v>
      </x:c>
      <x:c r="X300" s="3">
        <x:v>2</x:v>
      </x:c>
      <x:c r="Y300" s="3">
        <x:v>1</x:v>
      </x:c>
      <x:c r="Z300" s="2" t="s">
        <x:v>191</x:v>
      </x:c>
      <x:c r="AA300" s="2"/>
      <x:c r="AB300" s="2"/>
      <x:c r="AC300" s="2"/>
      <x:c r="AD300" s="2"/>
      <x:c r="AE300" s="2"/>
      <x:c r="AF300" s="2"/>
      <x:c r="AG300" s="2"/>
      <x:c r="AH300" s="2"/>
      <x:c r="AI300" s="4"/>
      <x:c r="AJ300" s="2"/>
      <x:c r="AK300" s="2" t="s">
        <x:v>176</x:v>
      </x:c>
      <x:c r="AL300" s="2" t="s">
        <x:v>3061</x:v>
      </x:c>
      <x:c r="AM300" s="2">
        <x:v>150</x:v>
      </x:c>
      <x:c r="AN300" s="2">
        <x:v>150</x:v>
      </x:c>
    </x:row>
    <x:row r="301" ht="39">
      <x:c r="A301" s="2" t="s">
        <x:v>91</x:v>
      </x:c>
      <x:c r="B301" s="2" t="s">
        <x:v>14</x:v>
      </x:c>
      <x:c r="C301" s="3">
        <x:v>149</x:v>
      </x:c>
      <x:c r="D301" s="2" t="s">
        <x:v>184</x:v>
      </x:c>
      <x:c r="E301" s="2" t="s">
        <x:v>1212</x:v>
      </x:c>
      <x:c r="F301" s="2" t="s">
        <x:v>1031</x:v>
      </x:c>
      <x:c r="G301" s="2" t="s">
        <x:v>158</x:v>
      </x:c>
      <x:c r="H301" s="2" t="s">
        <x:v>618</x:v>
      </x:c>
      <x:c r="I301" s="2" t="s">
        <x:v>1270</x:v>
      </x:c>
      <x:c r="J301" s="2" t="s">
        <x:v>1032</x:v>
      </x:c>
      <x:c r="K301" s="2" t="n">
        <x:v>148</x:v>
      </x:c>
      <x:c r="L301" s="2" t="s">
        <x:v>1033</x:v>
      </x:c>
      <x:c r="M301" s="2" t="s">
        <x:v>1034</x:v>
      </x:c>
      <x:c r="N301" s="2">
        <x:v>4</x:v>
      </x:c>
      <x:c r="O301" s="2" t="s">
        <x:v>1024</x:v>
      </x:c>
      <x:c r="P301" s="2" t="s">
        <x:v>1035</x:v>
      </x:c>
      <x:c r="Q301" s="2"/>
      <x:c r="R301" s="3"/>
      <x:c r="S301" s="3"/>
      <x:c r="T301" s="2"/>
      <x:c r="U301" s="2"/>
      <x:c r="V301" s="2"/>
      <x:c r="W301" s="2" t="s">
        <x:v>1272</x:v>
      </x:c>
      <x:c r="X301" s="3">
        <x:v>2</x:v>
      </x:c>
      <x:c r="Y301" s="3">
        <x:v>3</x:v>
      </x:c>
      <x:c r="Z301" s="2" t="s">
        <x:v>175</x:v>
      </x:c>
      <x:c r="AA301" s="2"/>
      <x:c r="AB301" s="2"/>
      <x:c r="AC301" s="2"/>
      <x:c r="AD301" s="2"/>
      <x:c r="AE301" s="2"/>
      <x:c r="AF301" s="2"/>
      <x:c r="AG301" s="2"/>
      <x:c r="AH301" s="2"/>
      <x:c r="AI301" s="4"/>
      <x:c r="AJ301" s="2"/>
      <x:c r="AK301" s="2" t="s">
        <x:v>176</x:v>
      </x:c>
      <x:c r="AL301" s="2" t="s">
        <x:v>3061</x:v>
      </x:c>
      <x:c r="AM301" s="2">
        <x:v>151</x:v>
      </x:c>
      <x:c r="AN301" s="2">
        <x:v>151</x:v>
      </x:c>
    </x:row>
    <x:row r="302" ht="39">
      <x:c r="A302" s="2" t="s">
        <x:v>91</x:v>
      </x:c>
      <x:c r="B302" s="2" t="s">
        <x:v>15</x:v>
      </x:c>
      <x:c r="C302" s="3">
        <x:v>0</x:v>
      </x:c>
      <x:c r="D302" s="2" t="s">
        <x:v>222</x:v>
      </x:c>
      <x:c r="E302" s="2" t="s">
        <x:v>223</x:v>
      </x:c>
      <x:c r="F302" s="2" t="s">
        <x:v>224</x:v>
      </x:c>
      <x:c r="G302" s="2" t="s">
        <x:v>1290</x:v>
      </x:c>
      <x:c r="H302" s="2" t="s">
        <x:v>96</x:v>
      </x:c>
      <x:c r="I302" s="2" t="s">
        <x:v>226</x:v>
      </x:c>
      <x:c r="J302" s="2" t="s">
        <x:v>227</x:v>
      </x:c>
      <x:c r="K302" s="2"/>
      <x:c r="L302" s="2"/>
      <x:c r="M302" s="2"/>
      <x:c r="N302" s="2" t="s">
        <x:v>228</x:v>
      </x:c>
      <x:c r="O302" s="2" t="s">
        <x:v>229</x:v>
      </x:c>
      <x:c r="P302" s="2" t="s">
        <x:v>230</x:v>
      </x:c>
      <x:c r="Q302" s="2"/>
      <x:c r="R302" s="3">
        <x:v>2</x:v>
      </x:c>
      <x:c r="S302" s="3"/>
      <x:c r="T302" s="2"/>
      <x:c r="U302" s="2"/>
      <x:c r="V302" s="2"/>
      <x:c r="W302" s="2" t="s">
        <x:v>231</x:v>
      </x:c>
      <x:c r="X302" s="3"/>
      <x:c r="Y302" s="3"/>
      <x:c r="Z302" s="2"/>
      <x:c r="AA302" s="2" t="s">
        <x:v>232</x:v>
      </x:c>
      <x:c r="AB302" s="2" t="s">
        <x:v>233</x:v>
      </x:c>
      <x:c r="AC302" s="2"/>
      <x:c r="AD302" s="2"/>
      <x:c r="AE302" s="2"/>
      <x:c r="AF302" s="2"/>
      <x:c r="AG302" s="2"/>
      <x:c r="AH302" s="2"/>
      <x:c r="AI302" s="4"/>
      <x:c r="AJ302" s="2"/>
      <x:c r="AK302" s="2" t="s">
        <x:v>234</x:v>
      </x:c>
      <x:c r="AL302" s="2" t="s">
        <x:v>3061</x:v>
      </x:c>
      <x:c r="AM302" s="2">
        <x:v>2</x:v>
      </x:c>
      <x:c r="AN302" s="2">
        <x:v>2</x:v>
      </x:c>
    </x:row>
    <x:row r="303" ht="39">
      <x:c r="A303" s="2" t="s">
        <x:v>6</x:v>
      </x:c>
      <x:c r="B303" s="2" t="s">
        <x:v>15</x:v>
      </x:c>
      <x:c r="C303" s="3">
        <x:v>1</x:v>
      </x:c>
      <x:c r="D303" s="2" t="s">
        <x:v>236</x:v>
      </x:c>
      <x:c r="E303" s="2" t="s">
        <x:v>223</x:v>
      </x:c>
      <x:c r="F303" s="2" t="s">
        <x:v>237</x:v>
      </x:c>
      <x:c r="G303" s="2"/>
      <x:c r="H303" s="2" t="s">
        <x:v>96</x:v>
      </x:c>
      <x:c r="I303" s="2" t="s">
        <x:v>239</x:v>
      </x:c>
      <x:c r="J303" s="2" t="s">
        <x:v>240</x:v>
      </x:c>
      <x:c r="K303" s="2"/>
      <x:c r="L303" s="2"/>
      <x:c r="M303" s="2"/>
      <x:c r="N303" s="2" t="s">
        <x:v>228</x:v>
      </x:c>
      <x:c r="O303" s="2" t="s">
        <x:v>241</x:v>
      </x:c>
      <x:c r="P303" s="2" t="s">
        <x:v>242</x:v>
      </x:c>
      <x:c r="Q303" s="2"/>
      <x:c r="R303" s="3">
        <x:v>2</x:v>
      </x:c>
      <x:c r="S303" s="3"/>
      <x:c r="T303" s="2"/>
      <x:c r="U303" s="2"/>
      <x:c r="V303" s="2"/>
      <x:c r="W303" s="2" t="s">
        <x:v>231</x:v>
      </x:c>
      <x:c r="X303" s="3"/>
      <x:c r="Y303" s="3"/>
      <x:c r="Z303" s="2"/>
      <x:c r="AA303" s="2" t="s">
        <x:v>243</x:v>
      </x:c>
      <x:c r="AB303" s="2" t="s">
        <x:v>244</x:v>
      </x:c>
      <x:c r="AC303" s="2"/>
      <x:c r="AD303" s="2"/>
      <x:c r="AE303" s="2"/>
      <x:c r="AF303" s="2"/>
      <x:c r="AG303" s="2"/>
      <x:c r="AH303" s="2"/>
      <x:c r="AI303" s="4"/>
      <x:c r="AJ303" s="2"/>
      <x:c r="AK303" s="2" t="s">
        <x:v>234</x:v>
      </x:c>
      <x:c r="AL303" s="2" t="s">
        <x:v>3061</x:v>
      </x:c>
      <x:c r="AM303" s="2">
        <x:v>3</x:v>
      </x:c>
      <x:c r="AN303" s="2">
        <x:v>3</x:v>
      </x:c>
    </x:row>
    <x:row r="304" ht="39">
      <x:c r="A304" s="2" t="s">
        <x:v>91</x:v>
      </x:c>
      <x:c r="B304" s="2" t="s">
        <x:v>15</x:v>
      </x:c>
      <x:c r="C304" s="3">
        <x:v>2</x:v>
      </x:c>
      <x:c r="D304" s="2" t="s">
        <x:v>245</x:v>
      </x:c>
      <x:c r="E304" s="2" t="s">
        <x:v>246</x:v>
      </x:c>
      <x:c r="F304" s="2" t="s">
        <x:v>247</x:v>
      </x:c>
      <x:c r="G304" s="2" t="s">
        <x:v>3125</x:v>
      </x:c>
      <x:c r="H304" s="2" t="s">
        <x:v>96</x:v>
      </x:c>
      <x:c r="I304" s="2" t="s">
        <x:v>248</x:v>
      </x:c>
      <x:c r="J304" s="2" t="s">
        <x:v>249</x:v>
      </x:c>
      <x:c r="K304" s="2"/>
      <x:c r="L304" s="2"/>
      <x:c r="M304" s="2"/>
      <x:c r="N304" s="2" t="s">
        <x:v>228</x:v>
      </x:c>
      <x:c r="O304" s="2" t="s">
        <x:v>250</x:v>
      </x:c>
      <x:c r="P304" s="2" t="s">
        <x:v>251</x:v>
      </x:c>
      <x:c r="Q304" s="2"/>
      <x:c r="R304" s="3">
        <x:v>2</x:v>
      </x:c>
      <x:c r="S304" s="3"/>
      <x:c r="T304" s="2"/>
      <x:c r="U304" s="2"/>
      <x:c r="V304" s="2"/>
      <x:c r="W304" s="2" t="s">
        <x:v>231</x:v>
      </x:c>
      <x:c r="X304" s="3"/>
      <x:c r="Y304" s="3"/>
      <x:c r="Z304" s="2"/>
      <x:c r="AA304" s="2" t="s">
        <x:v>243</x:v>
      </x:c>
      <x:c r="AB304" s="2" t="s">
        <x:v>244</x:v>
      </x:c>
      <x:c r="AC304" s="2"/>
      <x:c r="AD304" s="2"/>
      <x:c r="AE304" s="2"/>
      <x:c r="AF304" s="2"/>
      <x:c r="AG304" s="2"/>
      <x:c r="AH304" s="2"/>
      <x:c r="AI304" s="4"/>
      <x:c r="AJ304" s="2"/>
      <x:c r="AK304" s="2" t="s">
        <x:v>234</x:v>
      </x:c>
      <x:c r="AL304" s="2" t="s">
        <x:v>3061</x:v>
      </x:c>
      <x:c r="AM304" s="2">
        <x:v>4</x:v>
      </x:c>
      <x:c r="AN304" s="2">
        <x:v>4</x:v>
      </x:c>
    </x:row>
    <x:row r="305" ht="39">
      <x:c r="A305" s="2" t="s">
        <x:v>91</x:v>
      </x:c>
      <x:c r="B305" s="2" t="s">
        <x:v>15</x:v>
      </x:c>
      <x:c r="C305" s="3">
        <x:v>3</x:v>
      </x:c>
      <x:c r="D305" s="2" t="s">
        <x:v>252</x:v>
      </x:c>
      <x:c r="E305" s="2" t="s">
        <x:v>253</x:v>
      </x:c>
      <x:c r="F305" s="2" t="s">
        <x:v>254</x:v>
      </x:c>
      <x:c r="G305" s="2" t="s">
        <x:v>1290</x:v>
      </x:c>
      <x:c r="H305" s="2" t="s">
        <x:v>96</x:v>
      </x:c>
      <x:c r="I305" s="2" t="s">
        <x:v>256</x:v>
      </x:c>
      <x:c r="J305" s="2" t="s">
        <x:v>257</x:v>
      </x:c>
      <x:c r="K305" s="2"/>
      <x:c r="L305" s="2"/>
      <x:c r="M305" s="2"/>
      <x:c r="N305" s="2" t="s">
        <x:v>228</x:v>
      </x:c>
      <x:c r="O305" s="2" t="s">
        <x:v>258</x:v>
      </x:c>
      <x:c r="P305" s="2" t="s">
        <x:v>259</x:v>
      </x:c>
      <x:c r="Q305" s="2"/>
      <x:c r="R305" s="3">
        <x:v>2</x:v>
      </x:c>
      <x:c r="S305" s="3"/>
      <x:c r="T305" s="2"/>
      <x:c r="U305" s="2"/>
      <x:c r="V305" s="2"/>
      <x:c r="W305" s="2" t="s">
        <x:v>231</x:v>
      </x:c>
      <x:c r="X305" s="3"/>
      <x:c r="Y305" s="3"/>
      <x:c r="Z305" s="2"/>
      <x:c r="AA305" s="2" t="s">
        <x:v>232</x:v>
      </x:c>
      <x:c r="AB305" s="2" t="s">
        <x:v>233</x:v>
      </x:c>
      <x:c r="AC305" s="2"/>
      <x:c r="AD305" s="2"/>
      <x:c r="AE305" s="2"/>
      <x:c r="AF305" s="2"/>
      <x:c r="AG305" s="2"/>
      <x:c r="AH305" s="2"/>
      <x:c r="AI305" s="4"/>
      <x:c r="AJ305" s="2"/>
      <x:c r="AK305" s="2" t="s">
        <x:v>234</x:v>
      </x:c>
      <x:c r="AL305" s="2" t="s">
        <x:v>3061</x:v>
      </x:c>
      <x:c r="AM305" s="2">
        <x:v>5</x:v>
      </x:c>
      <x:c r="AN305" s="2">
        <x:v>5</x:v>
      </x:c>
    </x:row>
    <x:row r="306" ht="39">
      <x:c r="A306" s="2" t="s">
        <x:v>91</x:v>
      </x:c>
      <x:c r="B306" s="2" t="s">
        <x:v>15</x:v>
      </x:c>
      <x:c r="C306" s="3">
        <x:v>4</x:v>
      </x:c>
      <x:c r="D306" s="2" t="s">
        <x:v>260</x:v>
      </x:c>
      <x:c r="E306" s="2" t="s">
        <x:v>261</x:v>
      </x:c>
      <x:c r="F306" s="2" t="s">
        <x:v>237</x:v>
      </x:c>
      <x:c r="G306" s="2" t="s">
        <x:v>1276</x:v>
      </x:c>
      <x:c r="H306" s="2" t="s">
        <x:v>96</x:v>
      </x:c>
      <x:c r="I306" s="2" t="s">
        <x:v>263</x:v>
      </x:c>
      <x:c r="J306" s="2" t="s">
        <x:v>264</x:v>
      </x:c>
      <x:c r="K306" s="2"/>
      <x:c r="L306" s="2"/>
      <x:c r="M306" s="2"/>
      <x:c r="N306" s="2" t="s">
        <x:v>228</x:v>
      </x:c>
      <x:c r="O306" s="2" t="s">
        <x:v>265</x:v>
      </x:c>
      <x:c r="P306" s="2" t="s">
        <x:v>266</x:v>
      </x:c>
      <x:c r="Q306" s="2"/>
      <x:c r="R306" s="3">
        <x:v>3</x:v>
      </x:c>
      <x:c r="S306" s="3"/>
      <x:c r="T306" s="2"/>
      <x:c r="U306" s="2"/>
      <x:c r="V306" s="2"/>
      <x:c r="W306" s="2" t="s">
        <x:v>231</x:v>
      </x:c>
      <x:c r="X306" s="3"/>
      <x:c r="Y306" s="3"/>
      <x:c r="Z306" s="2"/>
      <x:c r="AA306" s="2" t="s">
        <x:v>232</x:v>
      </x:c>
      <x:c r="AB306" s="2" t="s">
        <x:v>267</x:v>
      </x:c>
      <x:c r="AC306" s="2"/>
      <x:c r="AD306" s="2"/>
      <x:c r="AE306" s="2"/>
      <x:c r="AF306" s="2"/>
      <x:c r="AG306" s="2"/>
      <x:c r="AH306" s="2"/>
      <x:c r="AI306" s="4"/>
      <x:c r="AJ306" s="2"/>
      <x:c r="AK306" s="2" t="s">
        <x:v>234</x:v>
      </x:c>
      <x:c r="AL306" s="2" t="s">
        <x:v>3061</x:v>
      </x:c>
      <x:c r="AM306" s="2">
        <x:v>6</x:v>
      </x:c>
      <x:c r="AN306" s="2">
        <x:v>6</x:v>
      </x:c>
    </x:row>
    <x:row r="307" ht="39">
      <x:c r="A307" s="2" t="s">
        <x:v>6</x:v>
      </x:c>
      <x:c r="B307" s="2" t="s">
        <x:v>15</x:v>
      </x:c>
      <x:c r="C307" s="3">
        <x:v>5</x:v>
      </x:c>
      <x:c r="D307" s="2" t="s">
        <x:v>268</x:v>
      </x:c>
      <x:c r="E307" s="2" t="s">
        <x:v>269</x:v>
      </x:c>
      <x:c r="F307" s="2" t="s">
        <x:v>224</x:v>
      </x:c>
      <x:c r="G307" s="2"/>
      <x:c r="H307" s="2" t="s">
        <x:v>96</x:v>
      </x:c>
      <x:c r="I307" s="2" t="s">
        <x:v>271</x:v>
      </x:c>
      <x:c r="J307" s="2" t="s">
        <x:v>272</x:v>
      </x:c>
      <x:c r="K307" s="2"/>
      <x:c r="L307" s="2"/>
      <x:c r="M307" s="2"/>
      <x:c r="N307" s="2" t="s">
        <x:v>228</x:v>
      </x:c>
      <x:c r="O307" s="2" t="s">
        <x:v>273</x:v>
      </x:c>
      <x:c r="P307" s="2" t="s">
        <x:v>274</x:v>
      </x:c>
      <x:c r="Q307" s="2"/>
      <x:c r="R307" s="3">
        <x:v>3</x:v>
      </x:c>
      <x:c r="S307" s="3"/>
      <x:c r="T307" s="2"/>
      <x:c r="U307" s="2"/>
      <x:c r="V307" s="2"/>
      <x:c r="W307" s="2" t="s">
        <x:v>231</x:v>
      </x:c>
      <x:c r="X307" s="3"/>
      <x:c r="Y307" s="3"/>
      <x:c r="Z307" s="2"/>
      <x:c r="AA307" s="2" t="s">
        <x:v>275</x:v>
      </x:c>
      <x:c r="AB307" s="2" t="s">
        <x:v>276</x:v>
      </x:c>
      <x:c r="AC307" s="2"/>
      <x:c r="AD307" s="2"/>
      <x:c r="AE307" s="2"/>
      <x:c r="AF307" s="2"/>
      <x:c r="AG307" s="2"/>
      <x:c r="AH307" s="2"/>
      <x:c r="AI307" s="4"/>
      <x:c r="AJ307" s="2"/>
      <x:c r="AK307" s="2" t="s">
        <x:v>234</x:v>
      </x:c>
      <x:c r="AL307" s="2" t="s">
        <x:v>3061</x:v>
      </x:c>
      <x:c r="AM307" s="2">
        <x:v>7</x:v>
      </x:c>
      <x:c r="AN307" s="2">
        <x:v>7</x:v>
      </x:c>
    </x:row>
    <x:row r="308" ht="39">
      <x:c r="A308" s="2" t="s">
        <x:v>6</x:v>
      </x:c>
      <x:c r="B308" s="2" t="s">
        <x:v>15</x:v>
      </x:c>
      <x:c r="C308" s="3">
        <x:v>6</x:v>
      </x:c>
      <x:c r="D308" s="2" t="s">
        <x:v>277</x:v>
      </x:c>
      <x:c r="E308" s="2" t="s">
        <x:v>278</x:v>
      </x:c>
      <x:c r="F308" s="2" t="s">
        <x:v>254</x:v>
      </x:c>
      <x:c r="G308" s="2"/>
      <x:c r="H308" s="2" t="s">
        <x:v>96</x:v>
      </x:c>
      <x:c r="I308" s="2" t="s">
        <x:v>280</x:v>
      </x:c>
      <x:c r="J308" s="2" t="s">
        <x:v>281</x:v>
      </x:c>
      <x:c r="K308" s="2"/>
      <x:c r="L308" s="2"/>
      <x:c r="M308" s="2"/>
      <x:c r="N308" s="2" t="s">
        <x:v>228</x:v>
      </x:c>
      <x:c r="O308" s="2" t="s">
        <x:v>282</x:v>
      </x:c>
      <x:c r="P308" s="2" t="s">
        <x:v>283</x:v>
      </x:c>
      <x:c r="Q308" s="2"/>
      <x:c r="R308" s="3">
        <x:v>3</x:v>
      </x:c>
      <x:c r="S308" s="3"/>
      <x:c r="T308" s="2"/>
      <x:c r="U308" s="2"/>
      <x:c r="V308" s="2"/>
      <x:c r="W308" s="2" t="s">
        <x:v>231</x:v>
      </x:c>
      <x:c r="X308" s="3"/>
      <x:c r="Y308" s="3"/>
      <x:c r="Z308" s="2"/>
      <x:c r="AA308" s="2" t="s">
        <x:v>275</x:v>
      </x:c>
      <x:c r="AB308" s="2" t="s">
        <x:v>284</x:v>
      </x:c>
      <x:c r="AC308" s="2"/>
      <x:c r="AD308" s="2"/>
      <x:c r="AE308" s="2"/>
      <x:c r="AF308" s="2"/>
      <x:c r="AG308" s="2"/>
      <x:c r="AH308" s="2"/>
      <x:c r="AI308" s="4"/>
      <x:c r="AJ308" s="2"/>
      <x:c r="AK308" s="2" t="s">
        <x:v>234</x:v>
      </x:c>
      <x:c r="AL308" s="2" t="s">
        <x:v>3061</x:v>
      </x:c>
      <x:c r="AM308" s="2">
        <x:v>8</x:v>
      </x:c>
      <x:c r="AN308" s="2">
        <x:v>8</x:v>
      </x:c>
    </x:row>
    <x:row r="309" ht="39">
      <x:c r="A309" s="2" t="s">
        <x:v>6</x:v>
      </x:c>
      <x:c r="B309" s="2" t="s">
        <x:v>15</x:v>
      </x:c>
      <x:c r="C309" s="3">
        <x:v>7</x:v>
      </x:c>
      <x:c r="D309" s="2" t="s">
        <x:v>285</x:v>
      </x:c>
      <x:c r="E309" s="2" t="s">
        <x:v>286</x:v>
      </x:c>
      <x:c r="F309" s="2" t="s">
        <x:v>247</x:v>
      </x:c>
      <x:c r="G309" s="2"/>
      <x:c r="H309" s="2" t="s">
        <x:v>96</x:v>
      </x:c>
      <x:c r="I309" s="2" t="s">
        <x:v>288</x:v>
      </x:c>
      <x:c r="J309" s="2" t="s">
        <x:v>289</x:v>
      </x:c>
      <x:c r="K309" s="2"/>
      <x:c r="L309" s="2"/>
      <x:c r="M309" s="2"/>
      <x:c r="N309" s="2" t="s">
        <x:v>228</x:v>
      </x:c>
      <x:c r="O309" s="2" t="s">
        <x:v>290</x:v>
      </x:c>
      <x:c r="P309" s="2" t="s">
        <x:v>291</x:v>
      </x:c>
      <x:c r="Q309" s="2"/>
      <x:c r="R309" s="3">
        <x:v>3</x:v>
      </x:c>
      <x:c r="S309" s="3"/>
      <x:c r="T309" s="2"/>
      <x:c r="U309" s="2"/>
      <x:c r="V309" s="2"/>
      <x:c r="W309" s="2" t="s">
        <x:v>231</x:v>
      </x:c>
      <x:c r="X309" s="3"/>
      <x:c r="Y309" s="3"/>
      <x:c r="Z309" s="2"/>
      <x:c r="AA309" s="2" t="s">
        <x:v>232</x:v>
      </x:c>
      <x:c r="AB309" s="2" t="s">
        <x:v>292</x:v>
      </x:c>
      <x:c r="AC309" s="2"/>
      <x:c r="AD309" s="2"/>
      <x:c r="AE309" s="2"/>
      <x:c r="AF309" s="2"/>
      <x:c r="AG309" s="2"/>
      <x:c r="AH309" s="2"/>
      <x:c r="AI309" s="4"/>
      <x:c r="AJ309" s="2"/>
      <x:c r="AK309" s="2" t="s">
        <x:v>234</x:v>
      </x:c>
      <x:c r="AL309" s="2" t="s">
        <x:v>3061</x:v>
      </x:c>
      <x:c r="AM309" s="2">
        <x:v>9</x:v>
      </x:c>
      <x:c r="AN309" s="2">
        <x:v>9</x:v>
      </x:c>
    </x:row>
    <x:row r="310" ht="39">
      <x:c r="A310" s="2" t="s">
        <x:v>91</x:v>
      </x:c>
      <x:c r="B310" s="2" t="s">
        <x:v>15</x:v>
      </x:c>
      <x:c r="C310" s="3">
        <x:v>8</x:v>
      </x:c>
      <x:c r="D310" s="2" t="s">
        <x:v>293</x:v>
      </x:c>
      <x:c r="E310" s="2" t="s">
        <x:v>294</x:v>
      </x:c>
      <x:c r="F310" s="2" t="s">
        <x:v>224</x:v>
      </x:c>
      <x:c r="G310" s="2" t="s">
        <x:v>1373</x:v>
      </x:c>
      <x:c r="H310" s="2" t="s">
        <x:v>96</x:v>
      </x:c>
      <x:c r="I310" s="2" t="s">
        <x:v>296</x:v>
      </x:c>
      <x:c r="J310" s="2" t="s">
        <x:v>297</x:v>
      </x:c>
      <x:c r="K310" s="2"/>
      <x:c r="L310" s="2"/>
      <x:c r="M310" s="2"/>
      <x:c r="N310" s="2" t="s">
        <x:v>228</x:v>
      </x:c>
      <x:c r="O310" s="2" t="s">
        <x:v>298</x:v>
      </x:c>
      <x:c r="P310" s="2" t="s">
        <x:v>299</x:v>
      </x:c>
      <x:c r="Q310" s="2"/>
      <x:c r="R310" s="3">
        <x:v>4</x:v>
      </x:c>
      <x:c r="S310" s="3"/>
      <x:c r="T310" s="2"/>
      <x:c r="U310" s="2"/>
      <x:c r="V310" s="2"/>
      <x:c r="W310" s="2" t="s">
        <x:v>231</x:v>
      </x:c>
      <x:c r="X310" s="3"/>
      <x:c r="Y310" s="3"/>
      <x:c r="Z310" s="2"/>
      <x:c r="AA310" s="2" t="s">
        <x:v>232</x:v>
      </x:c>
      <x:c r="AB310" s="2" t="s">
        <x:v>300</x:v>
      </x:c>
      <x:c r="AC310" s="2"/>
      <x:c r="AD310" s="2"/>
      <x:c r="AE310" s="2"/>
      <x:c r="AF310" s="2"/>
      <x:c r="AG310" s="2"/>
      <x:c r="AH310" s="2"/>
      <x:c r="AI310" s="4"/>
      <x:c r="AJ310" s="2"/>
      <x:c r="AK310" s="2" t="s">
        <x:v>234</x:v>
      </x:c>
      <x:c r="AL310" s="2" t="s">
        <x:v>3061</x:v>
      </x:c>
      <x:c r="AM310" s="2">
        <x:v>10</x:v>
      </x:c>
      <x:c r="AN310" s="2">
        <x:v>10</x:v>
      </x:c>
    </x:row>
    <x:row r="311" ht="39">
      <x:c r="A311" s="2" t="s">
        <x:v>91</x:v>
      </x:c>
      <x:c r="B311" s="2" t="s">
        <x:v>15</x:v>
      </x:c>
      <x:c r="C311" s="3">
        <x:v>9</x:v>
      </x:c>
      <x:c r="D311" s="2" t="s">
        <x:v>236</x:v>
      </x:c>
      <x:c r="E311" s="2" t="s">
        <x:v>301</x:v>
      </x:c>
      <x:c r="F311" s="2" t="s">
        <x:v>237</x:v>
      </x:c>
      <x:c r="G311" s="2" t="s">
        <x:v>1276</x:v>
      </x:c>
      <x:c r="H311" s="2" t="s">
        <x:v>96</x:v>
      </x:c>
      <x:c r="I311" s="2" t="s">
        <x:v>303</x:v>
      </x:c>
      <x:c r="J311" s="2" t="s">
        <x:v>304</x:v>
      </x:c>
      <x:c r="K311" s="2"/>
      <x:c r="L311" s="2"/>
      <x:c r="M311" s="2"/>
      <x:c r="N311" s="2" t="s">
        <x:v>228</x:v>
      </x:c>
      <x:c r="O311" s="2" t="s">
        <x:v>305</x:v>
      </x:c>
      <x:c r="P311" s="2" t="s">
        <x:v>306</x:v>
      </x:c>
      <x:c r="Q311" s="2"/>
      <x:c r="R311" s="3">
        <x:v>4</x:v>
      </x:c>
      <x:c r="S311" s="3"/>
      <x:c r="T311" s="2"/>
      <x:c r="U311" s="2"/>
      <x:c r="V311" s="2"/>
      <x:c r="W311" s="2" t="s">
        <x:v>231</x:v>
      </x:c>
      <x:c r="X311" s="3"/>
      <x:c r="Y311" s="3"/>
      <x:c r="Z311" s="2"/>
      <x:c r="AA311" s="2" t="s">
        <x:v>243</x:v>
      </x:c>
      <x:c r="AB311" s="2" t="s">
        <x:v>244</x:v>
      </x:c>
      <x:c r="AC311" s="2"/>
      <x:c r="AD311" s="2"/>
      <x:c r="AE311" s="2"/>
      <x:c r="AF311" s="2"/>
      <x:c r="AG311" s="2"/>
      <x:c r="AH311" s="2"/>
      <x:c r="AI311" s="4"/>
      <x:c r="AJ311" s="2"/>
      <x:c r="AK311" s="2" t="s">
        <x:v>234</x:v>
      </x:c>
      <x:c r="AL311" s="2" t="s">
        <x:v>3061</x:v>
      </x:c>
      <x:c r="AM311" s="2">
        <x:v>11</x:v>
      </x:c>
      <x:c r="AN311" s="2">
        <x:v>11</x:v>
      </x:c>
    </x:row>
    <x:row r="312" ht="39">
      <x:c r="A312" s="2" t="s">
        <x:v>91</x:v>
      </x:c>
      <x:c r="B312" s="2" t="s">
        <x:v>15</x:v>
      </x:c>
      <x:c r="C312" s="3">
        <x:v>10</x:v>
      </x:c>
      <x:c r="D312" s="2" t="s">
        <x:v>1281</x:v>
      </x:c>
      <x:c r="E312" s="2" t="s">
        <x:v>1282</x:v>
      </x:c>
      <x:c r="F312" s="2" t="s">
        <x:v>254</x:v>
      </x:c>
      <x:c r="G312" s="2" t="s">
        <x:v>1290</x:v>
      </x:c>
      <x:c r="H312" s="2" t="s">
        <x:v>96</x:v>
      </x:c>
      <x:c r="I312" s="2" t="s">
        <x:v>1284</x:v>
      </x:c>
      <x:c r="J312" s="2" t="s">
        <x:v>1285</x:v>
      </x:c>
      <x:c r="K312" s="2"/>
      <x:c r="L312" s="2"/>
      <x:c r="M312" s="2"/>
      <x:c r="N312" s="2" t="s">
        <x:v>228</x:v>
      </x:c>
      <x:c r="O312" s="2" t="s">
        <x:v>1286</x:v>
      </x:c>
      <x:c r="P312" s="2" t="s">
        <x:v>1287</x:v>
      </x:c>
      <x:c r="Q312" s="2"/>
      <x:c r="R312" s="3">
        <x:v>4</x:v>
      </x:c>
      <x:c r="S312" s="3"/>
      <x:c r="T312" s="2"/>
      <x:c r="U312" s="2"/>
      <x:c r="V312" s="2"/>
      <x:c r="W312" s="2" t="s">
        <x:v>231</x:v>
      </x:c>
      <x:c r="X312" s="3"/>
      <x:c r="Y312" s="3"/>
      <x:c r="Z312" s="2"/>
      <x:c r="AA312" s="2" t="s">
        <x:v>243</x:v>
      </x:c>
      <x:c r="AB312" s="2" t="s">
        <x:v>244</x:v>
      </x:c>
      <x:c r="AC312" s="2"/>
      <x:c r="AD312" s="2"/>
      <x:c r="AE312" s="2"/>
      <x:c r="AF312" s="2"/>
      <x:c r="AG312" s="2"/>
      <x:c r="AH312" s="2"/>
      <x:c r="AI312" s="4"/>
      <x:c r="AJ312" s="2"/>
      <x:c r="AK312" s="2" t="s">
        <x:v>234</x:v>
      </x:c>
      <x:c r="AL312" s="2" t="s">
        <x:v>3061</x:v>
      </x:c>
      <x:c r="AM312" s="2">
        <x:v>12</x:v>
      </x:c>
      <x:c r="AN312" s="2">
        <x:v>12</x:v>
      </x:c>
    </x:row>
    <x:row r="313" ht="39">
      <x:c r="A313" s="2" t="s">
        <x:v>91</x:v>
      </x:c>
      <x:c r="B313" s="2" t="s">
        <x:v>15</x:v>
      </x:c>
      <x:c r="C313" s="3">
        <x:v>11</x:v>
      </x:c>
      <x:c r="D313" s="2" t="s">
        <x:v>1288</x:v>
      </x:c>
      <x:c r="E313" s="2" t="s">
        <x:v>1289</x:v>
      </x:c>
      <x:c r="F313" s="2" t="s">
        <x:v>247</x:v>
      </x:c>
      <x:c r="G313" s="2" t="s">
        <x:v>3126</x:v>
      </x:c>
      <x:c r="H313" s="2" t="s">
        <x:v>96</x:v>
      </x:c>
      <x:c r="I313" s="2" t="s">
        <x:v>1291</x:v>
      </x:c>
      <x:c r="J313" s="2" t="s">
        <x:v>1292</x:v>
      </x:c>
      <x:c r="K313" s="2"/>
      <x:c r="L313" s="2"/>
      <x:c r="M313" s="2"/>
      <x:c r="N313" s="2" t="s">
        <x:v>228</x:v>
      </x:c>
      <x:c r="O313" s="2" t="s">
        <x:v>1293</x:v>
      </x:c>
      <x:c r="P313" s="2" t="s">
        <x:v>1294</x:v>
      </x:c>
      <x:c r="Q313" s="2"/>
      <x:c r="R313" s="3">
        <x:v>4</x:v>
      </x:c>
      <x:c r="S313" s="3"/>
      <x:c r="T313" s="2"/>
      <x:c r="U313" s="2"/>
      <x:c r="V313" s="2"/>
      <x:c r="W313" s="2" t="s">
        <x:v>231</x:v>
      </x:c>
      <x:c r="X313" s="3"/>
      <x:c r="Y313" s="3"/>
      <x:c r="Z313" s="2"/>
      <x:c r="AA313" s="2" t="s">
        <x:v>232</x:v>
      </x:c>
      <x:c r="AB313" s="2" t="s">
        <x:v>300</x:v>
      </x:c>
      <x:c r="AC313" s="2"/>
      <x:c r="AD313" s="2"/>
      <x:c r="AE313" s="2"/>
      <x:c r="AF313" s="2"/>
      <x:c r="AG313" s="2"/>
      <x:c r="AH313" s="2"/>
      <x:c r="AI313" s="4"/>
      <x:c r="AJ313" s="2"/>
      <x:c r="AK313" s="2" t="s">
        <x:v>234</x:v>
      </x:c>
      <x:c r="AL313" s="2" t="s">
        <x:v>3061</x:v>
      </x:c>
      <x:c r="AM313" s="2">
        <x:v>13</x:v>
      </x:c>
      <x:c r="AN313" s="2">
        <x:v>13</x:v>
      </x:c>
    </x:row>
    <x:row r="314" ht="39">
      <x:c r="A314" s="2" t="s">
        <x:v>91</x:v>
      </x:c>
      <x:c r="B314" s="2" t="s">
        <x:v>15</x:v>
      </x:c>
      <x:c r="C314" s="3">
        <x:v>12</x:v>
      </x:c>
      <x:c r="D314" s="2" t="s">
        <x:v>1295</x:v>
      </x:c>
      <x:c r="E314" s="2" t="s">
        <x:v>1296</x:v>
      </x:c>
      <x:c r="F314" s="2" t="s">
        <x:v>254</x:v>
      </x:c>
      <x:c r="G314" s="2" t="s">
        <x:v>1373</x:v>
      </x:c>
      <x:c r="H314" s="2" t="s">
        <x:v>96</x:v>
      </x:c>
      <x:c r="I314" s="2" t="s">
        <x:v>1297</x:v>
      </x:c>
      <x:c r="J314" s="2" t="s">
        <x:v>1298</x:v>
      </x:c>
      <x:c r="K314" s="2"/>
      <x:c r="L314" s="2"/>
      <x:c r="M314" s="2"/>
      <x:c r="N314" s="2" t="s">
        <x:v>228</x:v>
      </x:c>
      <x:c r="O314" s="2" t="s">
        <x:v>1299</x:v>
      </x:c>
      <x:c r="P314" s="2" t="s">
        <x:v>1300</x:v>
      </x:c>
      <x:c r="Q314" s="2"/>
      <x:c r="R314" s="3">
        <x:v>4</x:v>
      </x:c>
      <x:c r="S314" s="3"/>
      <x:c r="T314" s="2"/>
      <x:c r="U314" s="2"/>
      <x:c r="V314" s="2"/>
      <x:c r="W314" s="2" t="s">
        <x:v>231</x:v>
      </x:c>
      <x:c r="X314" s="3"/>
      <x:c r="Y314" s="3"/>
      <x:c r="Z314" s="2"/>
      <x:c r="AA314" s="2" t="s">
        <x:v>232</x:v>
      </x:c>
      <x:c r="AB314" s="2" t="s">
        <x:v>292</x:v>
      </x:c>
      <x:c r="AC314" s="2"/>
      <x:c r="AD314" s="2"/>
      <x:c r="AE314" s="2"/>
      <x:c r="AF314" s="2"/>
      <x:c r="AG314" s="2"/>
      <x:c r="AH314" s="2"/>
      <x:c r="AI314" s="4"/>
      <x:c r="AJ314" s="2"/>
      <x:c r="AK314" s="2" t="s">
        <x:v>234</x:v>
      </x:c>
      <x:c r="AL314" s="2" t="s">
        <x:v>3061</x:v>
      </x:c>
      <x:c r="AM314" s="2">
        <x:v>14</x:v>
      </x:c>
      <x:c r="AN314" s="2">
        <x:v>14</x:v>
      </x:c>
    </x:row>
    <x:row r="315" ht="39">
      <x:c r="A315" s="2" t="s">
        <x:v>91</x:v>
      </x:c>
      <x:c r="B315" s="2" t="s">
        <x:v>15</x:v>
      </x:c>
      <x:c r="C315" s="3">
        <x:v>13</x:v>
      </x:c>
      <x:c r="D315" s="2" t="s">
        <x:v>1301</x:v>
      </x:c>
      <x:c r="E315" s="2" t="s">
        <x:v>1302</x:v>
      </x:c>
      <x:c r="F315" s="2" t="s">
        <x:v>247</x:v>
      </x:c>
      <x:c r="G315" s="2" t="s">
        <x:v>1280</x:v>
      </x:c>
      <x:c r="H315" s="2" t="s">
        <x:v>96</x:v>
      </x:c>
      <x:c r="I315" s="2" t="s">
        <x:v>1304</x:v>
      </x:c>
      <x:c r="J315" s="2" t="s">
        <x:v>1305</x:v>
      </x:c>
      <x:c r="K315" s="2"/>
      <x:c r="L315" s="2"/>
      <x:c r="M315" s="2"/>
      <x:c r="N315" s="2" t="s">
        <x:v>228</x:v>
      </x:c>
      <x:c r="O315" s="2" t="s">
        <x:v>1306</x:v>
      </x:c>
      <x:c r="P315" s="2" t="s">
        <x:v>1307</x:v>
      </x:c>
      <x:c r="Q315" s="2"/>
      <x:c r="R315" s="3">
        <x:v>4</x:v>
      </x:c>
      <x:c r="S315" s="3"/>
      <x:c r="T315" s="2"/>
      <x:c r="U315" s="2"/>
      <x:c r="V315" s="2"/>
      <x:c r="W315" s="2" t="s">
        <x:v>231</x:v>
      </x:c>
      <x:c r="X315" s="3"/>
      <x:c r="Y315" s="3"/>
      <x:c r="Z315" s="2"/>
      <x:c r="AA315" s="2" t="s">
        <x:v>243</x:v>
      </x:c>
      <x:c r="AB315" s="2" t="s">
        <x:v>267</x:v>
      </x:c>
      <x:c r="AC315" s="2"/>
      <x:c r="AD315" s="2"/>
      <x:c r="AE315" s="2"/>
      <x:c r="AF315" s="2"/>
      <x:c r="AG315" s="2"/>
      <x:c r="AH315" s="2"/>
      <x:c r="AI315" s="4"/>
      <x:c r="AJ315" s="2"/>
      <x:c r="AK315" s="2" t="s">
        <x:v>234</x:v>
      </x:c>
      <x:c r="AL315" s="2" t="s">
        <x:v>3061</x:v>
      </x:c>
      <x:c r="AM315" s="2">
        <x:v>15</x:v>
      </x:c>
      <x:c r="AN315" s="2">
        <x:v>15</x:v>
      </x:c>
    </x:row>
    <x:row r="316" ht="39">
      <x:c r="A316" s="2" t="s">
        <x:v>91</x:v>
      </x:c>
      <x:c r="B316" s="2" t="s">
        <x:v>15</x:v>
      </x:c>
      <x:c r="C316" s="3">
        <x:v>14</x:v>
      </x:c>
      <x:c r="D316" s="2" t="s">
        <x:v>1308</x:v>
      </x:c>
      <x:c r="E316" s="2" t="s">
        <x:v>1309</x:v>
      </x:c>
      <x:c r="F316" s="2" t="s">
        <x:v>247</x:v>
      </x:c>
      <x:c r="G316" s="2" t="s">
        <x:v>1280</x:v>
      </x:c>
      <x:c r="H316" s="2" t="s">
        <x:v>96</x:v>
      </x:c>
      <x:c r="I316" s="2" t="s">
        <x:v>1310</x:v>
      </x:c>
      <x:c r="J316" s="2" t="s">
        <x:v>1311</x:v>
      </x:c>
      <x:c r="K316" s="2"/>
      <x:c r="L316" s="2"/>
      <x:c r="M316" s="2"/>
      <x:c r="N316" s="2" t="s">
        <x:v>228</x:v>
      </x:c>
      <x:c r="O316" s="2" t="s">
        <x:v>1312</x:v>
      </x:c>
      <x:c r="P316" s="2" t="s">
        <x:v>1313</x:v>
      </x:c>
      <x:c r="Q316" s="2"/>
      <x:c r="R316" s="3">
        <x:v>4</x:v>
      </x:c>
      <x:c r="S316" s="3"/>
      <x:c r="T316" s="2"/>
      <x:c r="U316" s="2"/>
      <x:c r="V316" s="2"/>
      <x:c r="W316" s="2" t="s">
        <x:v>231</x:v>
      </x:c>
      <x:c r="X316" s="3"/>
      <x:c r="Y316" s="3"/>
      <x:c r="Z316" s="2"/>
      <x:c r="AA316" s="2" t="s">
        <x:v>1314</x:v>
      </x:c>
      <x:c r="AB316" s="2" t="s">
        <x:v>1315</x:v>
      </x:c>
      <x:c r="AC316" s="2"/>
      <x:c r="AD316" s="2"/>
      <x:c r="AE316" s="2"/>
      <x:c r="AF316" s="2"/>
      <x:c r="AG316" s="2"/>
      <x:c r="AH316" s="2"/>
      <x:c r="AI316" s="4"/>
      <x:c r="AJ316" s="2"/>
      <x:c r="AK316" s="2" t="s">
        <x:v>234</x:v>
      </x:c>
      <x:c r="AL316" s="2" t="s">
        <x:v>3061</x:v>
      </x:c>
      <x:c r="AM316" s="2">
        <x:v>16</x:v>
      </x:c>
      <x:c r="AN316" s="2">
        <x:v>16</x:v>
      </x:c>
    </x:row>
    <x:row r="317" ht="39">
      <x:c r="A317" s="2" t="s">
        <x:v>6</x:v>
      </x:c>
      <x:c r="B317" s="2" t="s">
        <x:v>15</x:v>
      </x:c>
      <x:c r="C317" s="3">
        <x:v>15</x:v>
      </x:c>
      <x:c r="D317" s="2" t="s">
        <x:v>1316</x:v>
      </x:c>
      <x:c r="E317" s="2" t="s">
        <x:v>1317</x:v>
      </x:c>
      <x:c r="F317" s="2" t="s">
        <x:v>237</x:v>
      </x:c>
      <x:c r="G317" s="2"/>
      <x:c r="H317" s="2" t="s">
        <x:v>96</x:v>
      </x:c>
      <x:c r="I317" s="2" t="s">
        <x:v>1318</x:v>
      </x:c>
      <x:c r="J317" s="2" t="s">
        <x:v>1319</x:v>
      </x:c>
      <x:c r="K317" s="2"/>
      <x:c r="L317" s="2"/>
      <x:c r="M317" s="2"/>
      <x:c r="N317" s="2" t="s">
        <x:v>228</x:v>
      </x:c>
      <x:c r="O317" s="2" t="s">
        <x:v>1320</x:v>
      </x:c>
      <x:c r="P317" s="2" t="s">
        <x:v>1321</x:v>
      </x:c>
      <x:c r="Q317" s="2"/>
      <x:c r="R317" s="3">
        <x:v>4</x:v>
      </x:c>
      <x:c r="S317" s="3"/>
      <x:c r="T317" s="2"/>
      <x:c r="U317" s="2"/>
      <x:c r="V317" s="2"/>
      <x:c r="W317" s="2" t="s">
        <x:v>231</x:v>
      </x:c>
      <x:c r="X317" s="3"/>
      <x:c r="Y317" s="3"/>
      <x:c r="Z317" s="2"/>
      <x:c r="AA317" s="2" t="s">
        <x:v>275</x:v>
      </x:c>
      <x:c r="AB317" s="2" t="s">
        <x:v>233</x:v>
      </x:c>
      <x:c r="AC317" s="2"/>
      <x:c r="AD317" s="2"/>
      <x:c r="AE317" s="2"/>
      <x:c r="AF317" s="2"/>
      <x:c r="AG317" s="2"/>
      <x:c r="AH317" s="2"/>
      <x:c r="AI317" s="4"/>
      <x:c r="AJ317" s="2"/>
      <x:c r="AK317" s="2" t="s">
        <x:v>234</x:v>
      </x:c>
      <x:c r="AL317" s="2" t="s">
        <x:v>3061</x:v>
      </x:c>
      <x:c r="AM317" s="2">
        <x:v>17</x:v>
      </x:c>
      <x:c r="AN317" s="2">
        <x:v>17</x:v>
      </x:c>
    </x:row>
    <x:row r="318" ht="39">
      <x:c r="A318" s="2" t="s">
        <x:v>91</x:v>
      </x:c>
      <x:c r="B318" s="2" t="s">
        <x:v>15</x:v>
      </x:c>
      <x:c r="C318" s="3">
        <x:v>16</x:v>
      </x:c>
      <x:c r="D318" s="2" t="s">
        <x:v>1322</x:v>
      </x:c>
      <x:c r="E318" s="2" t="s">
        <x:v>1323</x:v>
      </x:c>
      <x:c r="F318" s="2" t="s">
        <x:v>254</x:v>
      </x:c>
      <x:c r="G318" s="2" t="s">
        <x:v>1273</x:v>
      </x:c>
      <x:c r="H318" s="2" t="s">
        <x:v>96</x:v>
      </x:c>
      <x:c r="I318" s="2" t="s">
        <x:v>1325</x:v>
      </x:c>
      <x:c r="J318" s="2" t="s">
        <x:v>1326</x:v>
      </x:c>
      <x:c r="K318" s="2"/>
      <x:c r="L318" s="2"/>
      <x:c r="M318" s="2"/>
      <x:c r="N318" s="2" t="s">
        <x:v>228</x:v>
      </x:c>
      <x:c r="O318" s="2" t="s">
        <x:v>1327</x:v>
      </x:c>
      <x:c r="P318" s="2" t="s">
        <x:v>1328</x:v>
      </x:c>
      <x:c r="Q318" s="2"/>
      <x:c r="R318" s="3">
        <x:v>4</x:v>
      </x:c>
      <x:c r="S318" s="3"/>
      <x:c r="T318" s="2"/>
      <x:c r="U318" s="2"/>
      <x:c r="V318" s="2"/>
      <x:c r="W318" s="2" t="s">
        <x:v>231</x:v>
      </x:c>
      <x:c r="X318" s="3"/>
      <x:c r="Y318" s="3"/>
      <x:c r="Z318" s="2"/>
      <x:c r="AA318" s="2" t="s">
        <x:v>275</x:v>
      </x:c>
      <x:c r="AB318" s="2" t="s">
        <x:v>284</x:v>
      </x:c>
      <x:c r="AC318" s="2"/>
      <x:c r="AD318" s="2"/>
      <x:c r="AE318" s="2"/>
      <x:c r="AF318" s="2"/>
      <x:c r="AG318" s="2"/>
      <x:c r="AH318" s="2"/>
      <x:c r="AI318" s="4"/>
      <x:c r="AJ318" s="2"/>
      <x:c r="AK318" s="2" t="s">
        <x:v>234</x:v>
      </x:c>
      <x:c r="AL318" s="2" t="s">
        <x:v>3061</x:v>
      </x:c>
      <x:c r="AM318" s="2">
        <x:v>18</x:v>
      </x:c>
      <x:c r="AN318" s="2">
        <x:v>18</x:v>
      </x:c>
    </x:row>
    <x:row r="319" ht="39">
      <x:c r="A319" s="2" t="s">
        <x:v>6</x:v>
      </x:c>
      <x:c r="B319" s="2" t="s">
        <x:v>15</x:v>
      </x:c>
      <x:c r="C319" s="3">
        <x:v>17</x:v>
      </x:c>
      <x:c r="D319" s="2" t="s">
        <x:v>1329</x:v>
      </x:c>
      <x:c r="E319" s="2" t="s">
        <x:v>1330</x:v>
      </x:c>
      <x:c r="F319" s="2" t="s">
        <x:v>224</x:v>
      </x:c>
      <x:c r="G319" s="2"/>
      <x:c r="H319" s="2" t="s">
        <x:v>96</x:v>
      </x:c>
      <x:c r="I319" s="2" t="s">
        <x:v>1331</x:v>
      </x:c>
      <x:c r="J319" s="2" t="s">
        <x:v>1332</x:v>
      </x:c>
      <x:c r="K319" s="2"/>
      <x:c r="L319" s="2"/>
      <x:c r="M319" s="2"/>
      <x:c r="N319" s="2" t="s">
        <x:v>228</x:v>
      </x:c>
      <x:c r="O319" s="2" t="s">
        <x:v>1333</x:v>
      </x:c>
      <x:c r="P319" s="2" t="s">
        <x:v>1334</x:v>
      </x:c>
      <x:c r="Q319" s="2"/>
      <x:c r="R319" s="3">
        <x:v>4</x:v>
      </x:c>
      <x:c r="S319" s="3"/>
      <x:c r="T319" s="2"/>
      <x:c r="U319" s="2"/>
      <x:c r="V319" s="2"/>
      <x:c r="W319" s="2" t="s">
        <x:v>231</x:v>
      </x:c>
      <x:c r="X319" s="3"/>
      <x:c r="Y319" s="3"/>
      <x:c r="Z319" s="2"/>
      <x:c r="AA319" s="2" t="s">
        <x:v>1314</x:v>
      </x:c>
      <x:c r="AB319" s="2" t="s">
        <x:v>276</x:v>
      </x:c>
      <x:c r="AC319" s="2"/>
      <x:c r="AD319" s="2"/>
      <x:c r="AE319" s="2"/>
      <x:c r="AF319" s="2"/>
      <x:c r="AG319" s="2"/>
      <x:c r="AH319" s="2"/>
      <x:c r="AI319" s="4"/>
      <x:c r="AJ319" s="2"/>
      <x:c r="AK319" s="2" t="s">
        <x:v>234</x:v>
      </x:c>
      <x:c r="AL319" s="2" t="s">
        <x:v>3061</x:v>
      </x:c>
      <x:c r="AM319" s="2">
        <x:v>19</x:v>
      </x:c>
      <x:c r="AN319" s="2">
        <x:v>19</x:v>
      </x:c>
    </x:row>
    <x:row r="320" ht="39">
      <x:c r="A320" s="2" t="s">
        <x:v>6</x:v>
      </x:c>
      <x:c r="B320" s="2" t="s">
        <x:v>15</x:v>
      </x:c>
      <x:c r="C320" s="3">
        <x:v>18</x:v>
      </x:c>
      <x:c r="D320" s="2" t="s">
        <x:v>1335</x:v>
      </x:c>
      <x:c r="E320" s="2" t="s">
        <x:v>1289</x:v>
      </x:c>
      <x:c r="F320" s="2" t="s">
        <x:v>224</x:v>
      </x:c>
      <x:c r="G320" s="2"/>
      <x:c r="H320" s="2" t="s">
        <x:v>96</x:v>
      </x:c>
      <x:c r="I320" s="2" t="s">
        <x:v>1336</x:v>
      </x:c>
      <x:c r="J320" s="2" t="s">
        <x:v>1337</x:v>
      </x:c>
      <x:c r="K320" s="2"/>
      <x:c r="L320" s="2"/>
      <x:c r="M320" s="2"/>
      <x:c r="N320" s="2" t="s">
        <x:v>228</x:v>
      </x:c>
      <x:c r="O320" s="2" t="s">
        <x:v>1338</x:v>
      </x:c>
      <x:c r="P320" s="2" t="s">
        <x:v>1339</x:v>
      </x:c>
      <x:c r="Q320" s="2"/>
      <x:c r="R320" s="3">
        <x:v>4</x:v>
      </x:c>
      <x:c r="S320" s="3"/>
      <x:c r="T320" s="2"/>
      <x:c r="U320" s="2"/>
      <x:c r="V320" s="2"/>
      <x:c r="W320" s="2" t="s">
        <x:v>231</x:v>
      </x:c>
      <x:c r="X320" s="3"/>
      <x:c r="Y320" s="3"/>
      <x:c r="Z320" s="2"/>
      <x:c r="AA320" s="2" t="s">
        <x:v>1314</x:v>
      </x:c>
      <x:c r="AB320" s="2" t="s">
        <x:v>276</x:v>
      </x:c>
      <x:c r="AC320" s="2"/>
      <x:c r="AD320" s="2"/>
      <x:c r="AE320" s="2"/>
      <x:c r="AF320" s="2"/>
      <x:c r="AG320" s="2"/>
      <x:c r="AH320" s="2"/>
      <x:c r="AI320" s="4"/>
      <x:c r="AJ320" s="2"/>
      <x:c r="AK320" s="2" t="s">
        <x:v>234</x:v>
      </x:c>
      <x:c r="AL320" s="2" t="s">
        <x:v>3061</x:v>
      </x:c>
      <x:c r="AM320" s="2">
        <x:v>20</x:v>
      </x:c>
      <x:c r="AN320" s="2">
        <x:v>20</x:v>
      </x:c>
    </x:row>
    <x:row r="321" ht="39">
      <x:c r="A321" s="2" t="s">
        <x:v>91</x:v>
      </x:c>
      <x:c r="B321" s="2" t="s">
        <x:v>15</x:v>
      </x:c>
      <x:c r="C321" s="3">
        <x:v>19</x:v>
      </x:c>
      <x:c r="D321" s="2" t="s">
        <x:v>1340</x:v>
      </x:c>
      <x:c r="E321" s="2" t="s">
        <x:v>1341</x:v>
      </x:c>
      <x:c r="F321" s="2" t="s">
        <x:v>237</x:v>
      </x:c>
      <x:c r="G321" s="2" t="s">
        <x:v>1373</x:v>
      </x:c>
      <x:c r="H321" s="2" t="s">
        <x:v>96</x:v>
      </x:c>
      <x:c r="I321" s="2" t="s">
        <x:v>1342</x:v>
      </x:c>
      <x:c r="J321" s="2" t="s">
        <x:v>1343</x:v>
      </x:c>
      <x:c r="K321" s="2"/>
      <x:c r="L321" s="2"/>
      <x:c r="M321" s="2"/>
      <x:c r="N321" s="2" t="s">
        <x:v>228</x:v>
      </x:c>
      <x:c r="O321" s="2" t="s">
        <x:v>1344</x:v>
      </x:c>
      <x:c r="P321" s="2" t="s">
        <x:v>1345</x:v>
      </x:c>
      <x:c r="Q321" s="2"/>
      <x:c r="R321" s="3">
        <x:v>4</x:v>
      </x:c>
      <x:c r="S321" s="3"/>
      <x:c r="T321" s="2"/>
      <x:c r="U321" s="2"/>
      <x:c r="V321" s="2"/>
      <x:c r="W321" s="2" t="s">
        <x:v>231</x:v>
      </x:c>
      <x:c r="X321" s="3"/>
      <x:c r="Y321" s="3"/>
      <x:c r="Z321" s="2"/>
      <x:c r="AA321" s="2" t="s">
        <x:v>275</x:v>
      </x:c>
      <x:c r="AB321" s="2" t="s">
        <x:v>284</x:v>
      </x:c>
      <x:c r="AC321" s="2"/>
      <x:c r="AD321" s="2"/>
      <x:c r="AE321" s="2"/>
      <x:c r="AF321" s="2"/>
      <x:c r="AG321" s="2"/>
      <x:c r="AH321" s="2"/>
      <x:c r="AI321" s="4"/>
      <x:c r="AJ321" s="2"/>
      <x:c r="AK321" s="2" t="s">
        <x:v>234</x:v>
      </x:c>
      <x:c r="AL321" s="2" t="s">
        <x:v>3061</x:v>
      </x:c>
      <x:c r="AM321" s="2">
        <x:v>21</x:v>
      </x:c>
      <x:c r="AN321" s="2">
        <x:v>21</x:v>
      </x:c>
    </x:row>
    <x:row r="322" ht="52">
      <x:c r="A322" s="2" t="s">
        <x:v>6</x:v>
      </x:c>
      <x:c r="B322" s="2" t="s">
        <x:v>15</x:v>
      </x:c>
      <x:c r="C322" s="3">
        <x:v>20</x:v>
      </x:c>
      <x:c r="D322" s="2" t="s">
        <x:v>1346</x:v>
      </x:c>
      <x:c r="E322" s="2" t="s">
        <x:v>1347</x:v>
      </x:c>
      <x:c r="F322" s="2" t="s">
        <x:v>237</x:v>
      </x:c>
      <x:c r="G322" s="2"/>
      <x:c r="H322" s="2" t="s">
        <x:v>618</x:v>
      </x:c>
      <x:c r="I322" s="2" t="s">
        <x:v>1348</x:v>
      </x:c>
      <x:c r="J322" s="2" t="s">
        <x:v>1349</x:v>
      </x:c>
      <x:c r="K322" s="2"/>
      <x:c r="L322" s="2"/>
      <x:c r="M322" s="2"/>
      <x:c r="N322" s="2" t="s">
        <x:v>1350</x:v>
      </x:c>
      <x:c r="O322" s="2" t="s">
        <x:v>1351</x:v>
      </x:c>
      <x:c r="P322" s="2" t="s">
        <x:v>1352</x:v>
      </x:c>
      <x:c r="Q322" s="2"/>
      <x:c r="R322" s="3">
        <x:v>2</x:v>
      </x:c>
      <x:c r="S322" s="3"/>
      <x:c r="T322" s="2"/>
      <x:c r="U322" s="2"/>
      <x:c r="V322" s="2"/>
      <x:c r="W322" s="2" t="s">
        <x:v>1348</x:v>
      </x:c>
      <x:c r="X322" s="3"/>
      <x:c r="Y322" s="3"/>
      <x:c r="Z322" s="2"/>
      <x:c r="AA322" s="2" t="s">
        <x:v>232</x:v>
      </x:c>
      <x:c r="AB322" s="2" t="s">
        <x:v>292</x:v>
      </x:c>
      <x:c r="AC322" s="2"/>
      <x:c r="AD322" s="2"/>
      <x:c r="AE322" s="2"/>
      <x:c r="AF322" s="2"/>
      <x:c r="AG322" s="2"/>
      <x:c r="AH322" s="2"/>
      <x:c r="AI322" s="4"/>
      <x:c r="AJ322" s="2"/>
      <x:c r="AK322" s="2" t="s">
        <x:v>234</x:v>
      </x:c>
      <x:c r="AL322" s="2" t="s">
        <x:v>3061</x:v>
      </x:c>
      <x:c r="AM322" s="2">
        <x:v>22</x:v>
      </x:c>
      <x:c r="AN322" s="2">
        <x:v>22</x:v>
      </x:c>
    </x:row>
    <x:row r="323" ht="52">
      <x:c r="A323" s="2" t="s">
        <x:v>6</x:v>
      </x:c>
      <x:c r="B323" s="2" t="s">
        <x:v>15</x:v>
      </x:c>
      <x:c r="C323" s="3">
        <x:v>21</x:v>
      </x:c>
      <x:c r="D323" s="2" t="s">
        <x:v>1353</x:v>
      </x:c>
      <x:c r="E323" s="2" t="s">
        <x:v>1347</x:v>
      </x:c>
      <x:c r="F323" s="2" t="s">
        <x:v>237</x:v>
      </x:c>
      <x:c r="G323" s="2"/>
      <x:c r="H323" s="2" t="s">
        <x:v>627</x:v>
      </x:c>
      <x:c r="I323" s="2" t="s">
        <x:v>1348</x:v>
      </x:c>
      <x:c r="J323" s="2" t="s">
        <x:v>1354</x:v>
      </x:c>
      <x:c r="K323" s="2" t="n">
        <x:v>20</x:v>
      </x:c>
      <x:c r="L323" s="2"/>
      <x:c r="M323" s="2"/>
      <x:c r="N323" s="2" t="s">
        <x:v>1350</x:v>
      </x:c>
      <x:c r="O323" s="2" t="s">
        <x:v>1355</x:v>
      </x:c>
      <x:c r="P323" s="2" t="s">
        <x:v>1356</x:v>
      </x:c>
      <x:c r="Q323" s="2"/>
      <x:c r="R323" s="3">
        <x:v>2</x:v>
      </x:c>
      <x:c r="S323" s="3"/>
      <x:c r="T323" s="2"/>
      <x:c r="U323" s="2"/>
      <x:c r="V323" s="2"/>
      <x:c r="W323" s="2" t="s">
        <x:v>1348</x:v>
      </x:c>
      <x:c r="X323" s="3"/>
      <x:c r="Y323" s="3"/>
      <x:c r="Z323" s="2"/>
      <x:c r="AA323" s="2" t="s">
        <x:v>232</x:v>
      </x:c>
      <x:c r="AB323" s="2" t="s">
        <x:v>1357</x:v>
      </x:c>
      <x:c r="AC323" s="2"/>
      <x:c r="AD323" s="2"/>
      <x:c r="AE323" s="2"/>
      <x:c r="AF323" s="2"/>
      <x:c r="AG323" s="2"/>
      <x:c r="AH323" s="2"/>
      <x:c r="AI323" s="4"/>
      <x:c r="AJ323" s="2"/>
      <x:c r="AK323" s="2" t="s">
        <x:v>234</x:v>
      </x:c>
      <x:c r="AL323" s="2" t="s">
        <x:v>3061</x:v>
      </x:c>
      <x:c r="AM323" s="2">
        <x:v>23</x:v>
      </x:c>
      <x:c r="AN323" s="2">
        <x:v>23</x:v>
      </x:c>
    </x:row>
    <x:row r="324" ht="39">
      <x:c r="A324" s="2" t="s">
        <x:v>91</x:v>
      </x:c>
      <x:c r="B324" s="2" t="s">
        <x:v>15</x:v>
      </x:c>
      <x:c r="C324" s="3">
        <x:v>22</x:v>
      </x:c>
      <x:c r="D324" s="2" t="s">
        <x:v>1358</x:v>
      </x:c>
      <x:c r="E324" s="2" t="s">
        <x:v>1347</x:v>
      </x:c>
      <x:c r="F324" s="2" t="s">
        <x:v>237</x:v>
      </x:c>
      <x:c r="G324" s="2" t="s">
        <x:v>1415</x:v>
      </x:c>
      <x:c r="H324" s="2" t="s">
        <x:v>634</x:v>
      </x:c>
      <x:c r="I324" s="2" t="s">
        <x:v>1348</x:v>
      </x:c>
      <x:c r="J324" s="2" t="s">
        <x:v>1359</x:v>
      </x:c>
      <x:c r="K324" s="2" t="n">
        <x:v>20</x:v>
      </x:c>
      <x:c r="L324" s="2"/>
      <x:c r="M324" s="2"/>
      <x:c r="N324" s="2" t="s">
        <x:v>1350</x:v>
      </x:c>
      <x:c r="O324" s="2" t="s">
        <x:v>1355</x:v>
      </x:c>
      <x:c r="P324" s="2" t="s">
        <x:v>1360</x:v>
      </x:c>
      <x:c r="Q324" s="2"/>
      <x:c r="R324" s="3">
        <x:v>2</x:v>
      </x:c>
      <x:c r="S324" s="3"/>
      <x:c r="T324" s="2"/>
      <x:c r="U324" s="2"/>
      <x:c r="V324" s="2"/>
      <x:c r="W324" s="2" t="s">
        <x:v>1348</x:v>
      </x:c>
      <x:c r="X324" s="3"/>
      <x:c r="Y324" s="3"/>
      <x:c r="Z324" s="2"/>
      <x:c r="AA324" s="2" t="s">
        <x:v>232</x:v>
      </x:c>
      <x:c r="AB324" s="2" t="s">
        <x:v>1361</x:v>
      </x:c>
      <x:c r="AC324" s="2"/>
      <x:c r="AD324" s="2"/>
      <x:c r="AE324" s="2"/>
      <x:c r="AF324" s="2"/>
      <x:c r="AG324" s="2"/>
      <x:c r="AH324" s="2"/>
      <x:c r="AI324" s="4"/>
      <x:c r="AJ324" s="2"/>
      <x:c r="AK324" s="2" t="s">
        <x:v>234</x:v>
      </x:c>
      <x:c r="AL324" s="2" t="s">
        <x:v>3061</x:v>
      </x:c>
      <x:c r="AM324" s="2">
        <x:v>24</x:v>
      </x:c>
      <x:c r="AN324" s="2">
        <x:v>24</x:v>
      </x:c>
    </x:row>
    <x:row r="325" ht="39">
      <x:c r="A325" s="2" t="s">
        <x:v>6</x:v>
      </x:c>
      <x:c r="B325" s="2" t="s">
        <x:v>15</x:v>
      </x:c>
      <x:c r="C325" s="3">
        <x:v>23</x:v>
      </x:c>
      <x:c r="D325" s="2" t="s">
        <x:v>1362</x:v>
      </x:c>
      <x:c r="E325" s="2" t="s">
        <x:v>1347</x:v>
      </x:c>
      <x:c r="F325" s="2" t="s">
        <x:v>237</x:v>
      </x:c>
      <x:c r="G325" s="2"/>
      <x:c r="H325" s="2" t="s">
        <x:v>634</x:v>
      </x:c>
      <x:c r="I325" s="2" t="s">
        <x:v>1348</x:v>
      </x:c>
      <x:c r="J325" s="2" t="s">
        <x:v>1363</x:v>
      </x:c>
      <x:c r="K325" s="2" t="n">
        <x:v>20</x:v>
      </x:c>
      <x:c r="L325" s="2"/>
      <x:c r="M325" s="2"/>
      <x:c r="N325" s="2" t="s">
        <x:v>1350</x:v>
      </x:c>
      <x:c r="O325" s="2" t="s">
        <x:v>1355</x:v>
      </x:c>
      <x:c r="P325" s="2" t="s">
        <x:v>1364</x:v>
      </x:c>
      <x:c r="Q325" s="2"/>
      <x:c r="R325" s="3">
        <x:v>2</x:v>
      </x:c>
      <x:c r="S325" s="3"/>
      <x:c r="T325" s="2"/>
      <x:c r="U325" s="2"/>
      <x:c r="V325" s="2"/>
      <x:c r="W325" s="2" t="s">
        <x:v>1348</x:v>
      </x:c>
      <x:c r="X325" s="3"/>
      <x:c r="Y325" s="3"/>
      <x:c r="Z325" s="2"/>
      <x:c r="AA325" s="2" t="s">
        <x:v>232</x:v>
      </x:c>
      <x:c r="AB325" s="2" t="s">
        <x:v>1365</x:v>
      </x:c>
      <x:c r="AC325" s="2"/>
      <x:c r="AD325" s="2"/>
      <x:c r="AE325" s="2"/>
      <x:c r="AF325" s="2"/>
      <x:c r="AG325" s="2"/>
      <x:c r="AH325" s="2"/>
      <x:c r="AI325" s="4"/>
      <x:c r="AJ325" s="2"/>
      <x:c r="AK325" s="2" t="s">
        <x:v>234</x:v>
      </x:c>
      <x:c r="AL325" s="2" t="s">
        <x:v>3061</x:v>
      </x:c>
      <x:c r="AM325" s="2">
        <x:v>25</x:v>
      </x:c>
      <x:c r="AN325" s="2">
        <x:v>25</x:v>
      </x:c>
    </x:row>
    <x:row r="326" ht="39">
      <x:c r="A326" s="2" t="s">
        <x:v>6</x:v>
      </x:c>
      <x:c r="B326" s="2" t="s">
        <x:v>15</x:v>
      </x:c>
      <x:c r="C326" s="3">
        <x:v>24</x:v>
      </x:c>
      <x:c r="D326" s="2" t="s">
        <x:v>1366</x:v>
      </x:c>
      <x:c r="E326" s="2" t="s">
        <x:v>1347</x:v>
      </x:c>
      <x:c r="F326" s="2" t="s">
        <x:v>224</x:v>
      </x:c>
      <x:c r="G326" s="2"/>
      <x:c r="H326" s="2" t="s">
        <x:v>634</x:v>
      </x:c>
      <x:c r="I326" s="2" t="s">
        <x:v>1348</x:v>
      </x:c>
      <x:c r="J326" s="2" t="s">
        <x:v>1363</x:v>
      </x:c>
      <x:c r="K326" s="2" t="n">
        <x:v>20</x:v>
      </x:c>
      <x:c r="L326" s="2"/>
      <x:c r="M326" s="2"/>
      <x:c r="N326" s="2" t="s">
        <x:v>1350</x:v>
      </x:c>
      <x:c r="O326" s="2" t="s">
        <x:v>1355</x:v>
      </x:c>
      <x:c r="P326" s="2" t="s">
        <x:v>1364</x:v>
      </x:c>
      <x:c r="Q326" s="2"/>
      <x:c r="R326" s="3">
        <x:v>2</x:v>
      </x:c>
      <x:c r="S326" s="3"/>
      <x:c r="T326" s="2"/>
      <x:c r="U326" s="2"/>
      <x:c r="V326" s="2"/>
      <x:c r="W326" s="2" t="s">
        <x:v>1348</x:v>
      </x:c>
      <x:c r="X326" s="3"/>
      <x:c r="Y326" s="3"/>
      <x:c r="Z326" s="2"/>
      <x:c r="AA326" s="2" t="s">
        <x:v>243</x:v>
      </x:c>
      <x:c r="AB326" s="2" t="s">
        <x:v>1365</x:v>
      </x:c>
      <x:c r="AC326" s="2"/>
      <x:c r="AD326" s="2"/>
      <x:c r="AE326" s="2"/>
      <x:c r="AF326" s="2"/>
      <x:c r="AG326" s="2"/>
      <x:c r="AH326" s="2"/>
      <x:c r="AI326" s="4"/>
      <x:c r="AJ326" s="2"/>
      <x:c r="AK326" s="2" t="s">
        <x:v>234</x:v>
      </x:c>
      <x:c r="AL326" s="2" t="s">
        <x:v>3061</x:v>
      </x:c>
      <x:c r="AM326" s="2">
        <x:v>26</x:v>
      </x:c>
      <x:c r="AN326" s="2">
        <x:v>26</x:v>
      </x:c>
    </x:row>
    <x:row r="327" ht="39">
      <x:c r="A327" s="2" t="s">
        <x:v>6</x:v>
      </x:c>
      <x:c r="B327" s="2" t="s">
        <x:v>15</x:v>
      </x:c>
      <x:c r="C327" s="3">
        <x:v>25</x:v>
      </x:c>
      <x:c r="D327" s="2" t="s">
        <x:v>1367</x:v>
      </x:c>
      <x:c r="E327" s="2" t="s">
        <x:v>1347</x:v>
      </x:c>
      <x:c r="F327" s="2" t="s">
        <x:v>224</x:v>
      </x:c>
      <x:c r="G327" s="2"/>
      <x:c r="H327" s="2" t="s">
        <x:v>634</x:v>
      </x:c>
      <x:c r="I327" s="2" t="s">
        <x:v>1348</x:v>
      </x:c>
      <x:c r="J327" s="2" t="s">
        <x:v>1359</x:v>
      </x:c>
      <x:c r="K327" s="2" t="n">
        <x:v>20</x:v>
      </x:c>
      <x:c r="L327" s="2"/>
      <x:c r="M327" s="2"/>
      <x:c r="N327" s="2" t="s">
        <x:v>1350</x:v>
      </x:c>
      <x:c r="O327" s="2" t="s">
        <x:v>1355</x:v>
      </x:c>
      <x:c r="P327" s="2" t="s">
        <x:v>1360</x:v>
      </x:c>
      <x:c r="Q327" s="2"/>
      <x:c r="R327" s="3">
        <x:v>2</x:v>
      </x:c>
      <x:c r="S327" s="3"/>
      <x:c r="T327" s="2"/>
      <x:c r="U327" s="2"/>
      <x:c r="V327" s="2"/>
      <x:c r="W327" s="2" t="s">
        <x:v>1348</x:v>
      </x:c>
      <x:c r="X327" s="3"/>
      <x:c r="Y327" s="3"/>
      <x:c r="Z327" s="2"/>
      <x:c r="AA327" s="2" t="s">
        <x:v>243</x:v>
      </x:c>
      <x:c r="AB327" s="2" t="s">
        <x:v>1368</x:v>
      </x:c>
      <x:c r="AC327" s="2"/>
      <x:c r="AD327" s="2"/>
      <x:c r="AE327" s="2"/>
      <x:c r="AF327" s="2"/>
      <x:c r="AG327" s="2"/>
      <x:c r="AH327" s="2"/>
      <x:c r="AI327" s="4"/>
      <x:c r="AJ327" s="2"/>
      <x:c r="AK327" s="2" t="s">
        <x:v>234</x:v>
      </x:c>
      <x:c r="AL327" s="2" t="s">
        <x:v>3061</x:v>
      </x:c>
      <x:c r="AM327" s="2">
        <x:v>27</x:v>
      </x:c>
      <x:c r="AN327" s="2">
        <x:v>27</x:v>
      </x:c>
    </x:row>
    <x:row r="328" ht="52">
      <x:c r="A328" s="2" t="s">
        <x:v>6</x:v>
      </x:c>
      <x:c r="B328" s="2" t="s">
        <x:v>15</x:v>
      </x:c>
      <x:c r="C328" s="3">
        <x:v>26</x:v>
      </x:c>
      <x:c r="D328" s="2" t="s">
        <x:v>1369</x:v>
      </x:c>
      <x:c r="E328" s="2" t="s">
        <x:v>1347</x:v>
      </x:c>
      <x:c r="F328" s="2" t="s">
        <x:v>224</x:v>
      </x:c>
      <x:c r="G328" s="2"/>
      <x:c r="H328" s="2" t="s">
        <x:v>627</x:v>
      </x:c>
      <x:c r="I328" s="2" t="s">
        <x:v>1348</x:v>
      </x:c>
      <x:c r="J328" s="2" t="s">
        <x:v>1370</x:v>
      </x:c>
      <x:c r="K328" s="2" t="n">
        <x:v>20</x:v>
      </x:c>
      <x:c r="L328" s="2"/>
      <x:c r="M328" s="2"/>
      <x:c r="N328" s="2" t="s">
        <x:v>1350</x:v>
      </x:c>
      <x:c r="O328" s="2" t="s">
        <x:v>1355</x:v>
      </x:c>
      <x:c r="P328" s="2" t="s">
        <x:v>1356</x:v>
      </x:c>
      <x:c r="Q328" s="2"/>
      <x:c r="R328" s="3">
        <x:v>2</x:v>
      </x:c>
      <x:c r="S328" s="3"/>
      <x:c r="T328" s="2"/>
      <x:c r="U328" s="2"/>
      <x:c r="V328" s="2"/>
      <x:c r="W328" s="2" t="s">
        <x:v>1348</x:v>
      </x:c>
      <x:c r="X328" s="3"/>
      <x:c r="Y328" s="3"/>
      <x:c r="Z328" s="2"/>
      <x:c r="AA328" s="2" t="s">
        <x:v>243</x:v>
      </x:c>
      <x:c r="AB328" s="2" t="s">
        <x:v>1357</x:v>
      </x:c>
      <x:c r="AC328" s="2"/>
      <x:c r="AD328" s="2"/>
      <x:c r="AE328" s="2"/>
      <x:c r="AF328" s="2"/>
      <x:c r="AG328" s="2"/>
      <x:c r="AH328" s="2"/>
      <x:c r="AI328" s="4"/>
      <x:c r="AJ328" s="2"/>
      <x:c r="AK328" s="2" t="s">
        <x:v>234</x:v>
      </x:c>
      <x:c r="AL328" s="2" t="s">
        <x:v>3061</x:v>
      </x:c>
      <x:c r="AM328" s="2">
        <x:v>28</x:v>
      </x:c>
      <x:c r="AN328" s="2">
        <x:v>28</x:v>
      </x:c>
    </x:row>
    <x:row r="329" ht="52">
      <x:c r="A329" s="2" t="s">
        <x:v>6</x:v>
      </x:c>
      <x:c r="B329" s="2" t="s">
        <x:v>15</x:v>
      </x:c>
      <x:c r="C329" s="3">
        <x:v>27</x:v>
      </x:c>
      <x:c r="D329" s="2" t="s">
        <x:v>1281</x:v>
      </x:c>
      <x:c r="E329" s="2" t="s">
        <x:v>1347</x:v>
      </x:c>
      <x:c r="F329" s="2" t="s">
        <x:v>224</x:v>
      </x:c>
      <x:c r="G329" s="2"/>
      <x:c r="H329" s="2" t="s">
        <x:v>618</x:v>
      </x:c>
      <x:c r="I329" s="2" t="s">
        <x:v>1348</x:v>
      </x:c>
      <x:c r="J329" s="2" t="s">
        <x:v>1371</x:v>
      </x:c>
      <x:c r="K329" s="2" t="n">
        <x:v>20</x:v>
      </x:c>
      <x:c r="L329" s="2"/>
      <x:c r="M329" s="2"/>
      <x:c r="N329" s="2" t="s">
        <x:v>1350</x:v>
      </x:c>
      <x:c r="O329" s="2" t="s">
        <x:v>1355</x:v>
      </x:c>
      <x:c r="P329" s="2" t="s">
        <x:v>1352</x:v>
      </x:c>
      <x:c r="Q329" s="2"/>
      <x:c r="R329" s="3">
        <x:v>2</x:v>
      </x:c>
      <x:c r="S329" s="3"/>
      <x:c r="T329" s="2"/>
      <x:c r="U329" s="2"/>
      <x:c r="V329" s="2"/>
      <x:c r="W329" s="2" t="s">
        <x:v>1348</x:v>
      </x:c>
      <x:c r="X329" s="3"/>
      <x:c r="Y329" s="3"/>
      <x:c r="Z329" s="2"/>
      <x:c r="AA329" s="2" t="s">
        <x:v>243</x:v>
      </x:c>
      <x:c r="AB329" s="2" t="s">
        <x:v>244</x:v>
      </x:c>
      <x:c r="AC329" s="2"/>
      <x:c r="AD329" s="2"/>
      <x:c r="AE329" s="2"/>
      <x:c r="AF329" s="2"/>
      <x:c r="AG329" s="2"/>
      <x:c r="AH329" s="2"/>
      <x:c r="AI329" s="4"/>
      <x:c r="AJ329" s="2"/>
      <x:c r="AK329" s="2" t="s">
        <x:v>234</x:v>
      </x:c>
      <x:c r="AL329" s="2" t="s">
        <x:v>3061</x:v>
      </x:c>
      <x:c r="AM329" s="2">
        <x:v>29</x:v>
      </x:c>
      <x:c r="AN329" s="2">
        <x:v>29</x:v>
      </x:c>
    </x:row>
    <x:row r="330" ht="52">
      <x:c r="A330" s="2" t="s">
        <x:v>6</x:v>
      </x:c>
      <x:c r="B330" s="2" t="s">
        <x:v>15</x:v>
      </x:c>
      <x:c r="C330" s="3">
        <x:v>28</x:v>
      </x:c>
      <x:c r="D330" s="2" t="s">
        <x:v>1340</x:v>
      </x:c>
      <x:c r="E330" s="2" t="s">
        <x:v>1372</x:v>
      </x:c>
      <x:c r="F330" s="2" t="s">
        <x:v>237</x:v>
      </x:c>
      <x:c r="G330" s="2"/>
      <x:c r="H330" s="2" t="s">
        <x:v>618</x:v>
      </x:c>
      <x:c r="I330" s="2" t="s">
        <x:v>1374</x:v>
      </x:c>
      <x:c r="J330" s="2" t="s">
        <x:v>1375</x:v>
      </x:c>
      <x:c r="K330" s="2"/>
      <x:c r="L330" s="2"/>
      <x:c r="M330" s="2"/>
      <x:c r="N330" s="2" t="s">
        <x:v>1350</x:v>
      </x:c>
      <x:c r="O330" s="2" t="s">
        <x:v>1351</x:v>
      </x:c>
      <x:c r="P330" s="2" t="s">
        <x:v>1352</x:v>
      </x:c>
      <x:c r="Q330" s="2"/>
      <x:c r="R330" s="3">
        <x:v>3</x:v>
      </x:c>
      <x:c r="S330" s="3"/>
      <x:c r="T330" s="2"/>
      <x:c r="U330" s="2"/>
      <x:c r="V330" s="2"/>
      <x:c r="W330" s="2" t="s">
        <x:v>1374</x:v>
      </x:c>
      <x:c r="X330" s="3"/>
      <x:c r="Y330" s="3"/>
      <x:c r="Z330" s="2"/>
      <x:c r="AA330" s="2" t="s">
        <x:v>275</x:v>
      </x:c>
      <x:c r="AB330" s="2" t="s">
        <x:v>284</x:v>
      </x:c>
      <x:c r="AC330" s="2"/>
      <x:c r="AD330" s="2"/>
      <x:c r="AE330" s="2"/>
      <x:c r="AF330" s="2"/>
      <x:c r="AG330" s="2"/>
      <x:c r="AH330" s="2"/>
      <x:c r="AI330" s="4"/>
      <x:c r="AJ330" s="2"/>
      <x:c r="AK330" s="2" t="s">
        <x:v>234</x:v>
      </x:c>
      <x:c r="AL330" s="2" t="s">
        <x:v>3061</x:v>
      </x:c>
      <x:c r="AM330" s="2">
        <x:v>30</x:v>
      </x:c>
      <x:c r="AN330" s="2">
        <x:v>30</x:v>
      </x:c>
    </x:row>
    <x:row r="331" ht="52">
      <x:c r="A331" s="2" t="s">
        <x:v>6</x:v>
      </x:c>
      <x:c r="B331" s="2" t="s">
        <x:v>15</x:v>
      </x:c>
      <x:c r="C331" s="3">
        <x:v>29</x:v>
      </x:c>
      <x:c r="D331" s="2" t="s">
        <x:v>1376</x:v>
      </x:c>
      <x:c r="E331" s="2" t="s">
        <x:v>1372</x:v>
      </x:c>
      <x:c r="F331" s="2" t="s">
        <x:v>237</x:v>
      </x:c>
      <x:c r="G331" s="2"/>
      <x:c r="H331" s="2" t="s">
        <x:v>627</x:v>
      </x:c>
      <x:c r="I331" s="2" t="s">
        <x:v>1374</x:v>
      </x:c>
      <x:c r="J331" s="2" t="s">
        <x:v>1377</x:v>
      </x:c>
      <x:c r="K331" s="2" t="n">
        <x:v>28</x:v>
      </x:c>
      <x:c r="L331" s="2"/>
      <x:c r="M331" s="2"/>
      <x:c r="N331" s="2" t="s">
        <x:v>1350</x:v>
      </x:c>
      <x:c r="O331" s="2" t="s">
        <x:v>1355</x:v>
      </x:c>
      <x:c r="P331" s="2" t="s">
        <x:v>1356</x:v>
      </x:c>
      <x:c r="Q331" s="2"/>
      <x:c r="R331" s="3">
        <x:v>3</x:v>
      </x:c>
      <x:c r="S331" s="3"/>
      <x:c r="T331" s="2"/>
      <x:c r="U331" s="2"/>
      <x:c r="V331" s="2"/>
      <x:c r="W331" s="2" t="s">
        <x:v>1374</x:v>
      </x:c>
      <x:c r="X331" s="3"/>
      <x:c r="Y331" s="3"/>
      <x:c r="Z331" s="2"/>
      <x:c r="AA331" s="2" t="s">
        <x:v>275</x:v>
      </x:c>
      <x:c r="AB331" s="2" t="s">
        <x:v>1357</x:v>
      </x:c>
      <x:c r="AC331" s="2"/>
      <x:c r="AD331" s="2"/>
      <x:c r="AE331" s="2"/>
      <x:c r="AF331" s="2"/>
      <x:c r="AG331" s="2"/>
      <x:c r="AH331" s="2"/>
      <x:c r="AI331" s="4"/>
      <x:c r="AJ331" s="2"/>
      <x:c r="AK331" s="2" t="s">
        <x:v>234</x:v>
      </x:c>
      <x:c r="AL331" s="2" t="s">
        <x:v>3061</x:v>
      </x:c>
      <x:c r="AM331" s="2">
        <x:v>31</x:v>
      </x:c>
      <x:c r="AN331" s="2">
        <x:v>31</x:v>
      </x:c>
    </x:row>
    <x:row r="332" ht="39">
      <x:c r="A332" s="2" t="s">
        <x:v>91</x:v>
      </x:c>
      <x:c r="B332" s="2" t="s">
        <x:v>15</x:v>
      </x:c>
      <x:c r="C332" s="3">
        <x:v>30</x:v>
      </x:c>
      <x:c r="D332" s="2" t="s">
        <x:v>1378</x:v>
      </x:c>
      <x:c r="E332" s="2" t="s">
        <x:v>1372</x:v>
      </x:c>
      <x:c r="F332" s="2" t="s">
        <x:v>237</x:v>
      </x:c>
      <x:c r="G332" s="2" t="s">
        <x:v>1373</x:v>
      </x:c>
      <x:c r="H332" s="2" t="s">
        <x:v>634</x:v>
      </x:c>
      <x:c r="I332" s="2" t="s">
        <x:v>1374</x:v>
      </x:c>
      <x:c r="J332" s="2" t="s">
        <x:v>1359</x:v>
      </x:c>
      <x:c r="K332" s="2" t="n">
        <x:v>28</x:v>
      </x:c>
      <x:c r="L332" s="2"/>
      <x:c r="M332" s="2"/>
      <x:c r="N332" s="2" t="s">
        <x:v>1350</x:v>
      </x:c>
      <x:c r="O332" s="2" t="s">
        <x:v>1355</x:v>
      </x:c>
      <x:c r="P332" s="2" t="s">
        <x:v>1360</x:v>
      </x:c>
      <x:c r="Q332" s="2"/>
      <x:c r="R332" s="3">
        <x:v>3</x:v>
      </x:c>
      <x:c r="S332" s="3"/>
      <x:c r="T332" s="2"/>
      <x:c r="U332" s="2"/>
      <x:c r="V332" s="2"/>
      <x:c r="W332" s="2" t="s">
        <x:v>1374</x:v>
      </x:c>
      <x:c r="X332" s="3"/>
      <x:c r="Y332" s="3"/>
      <x:c r="Z332" s="2"/>
      <x:c r="AA332" s="2" t="s">
        <x:v>275</x:v>
      </x:c>
      <x:c r="AB332" s="2" t="s">
        <x:v>1379</x:v>
      </x:c>
      <x:c r="AC332" s="2"/>
      <x:c r="AD332" s="2"/>
      <x:c r="AE332" s="2"/>
      <x:c r="AF332" s="2"/>
      <x:c r="AG332" s="2"/>
      <x:c r="AH332" s="2"/>
      <x:c r="AI332" s="4"/>
      <x:c r="AJ332" s="2"/>
      <x:c r="AK332" s="2" t="s">
        <x:v>234</x:v>
      </x:c>
      <x:c r="AL332" s="2" t="s">
        <x:v>3061</x:v>
      </x:c>
      <x:c r="AM332" s="2">
        <x:v>32</x:v>
      </x:c>
      <x:c r="AN332" s="2">
        <x:v>32</x:v>
      </x:c>
    </x:row>
    <x:row r="333" ht="39">
      <x:c r="A333" s="2" t="s">
        <x:v>6</x:v>
      </x:c>
      <x:c r="B333" s="2" t="s">
        <x:v>15</x:v>
      </x:c>
      <x:c r="C333" s="3">
        <x:v>31</x:v>
      </x:c>
      <x:c r="D333" s="2" t="s">
        <x:v>1380</x:v>
      </x:c>
      <x:c r="E333" s="2" t="s">
        <x:v>1372</x:v>
      </x:c>
      <x:c r="F333" s="2" t="s">
        <x:v>237</x:v>
      </x:c>
      <x:c r="G333" s="2"/>
      <x:c r="H333" s="2" t="s">
        <x:v>634</x:v>
      </x:c>
      <x:c r="I333" s="2" t="s">
        <x:v>1374</x:v>
      </x:c>
      <x:c r="J333" s="2" t="s">
        <x:v>1363</x:v>
      </x:c>
      <x:c r="K333" s="2" t="n">
        <x:v>28</x:v>
      </x:c>
      <x:c r="L333" s="2"/>
      <x:c r="M333" s="2"/>
      <x:c r="N333" s="2" t="s">
        <x:v>1350</x:v>
      </x:c>
      <x:c r="O333" s="2" t="s">
        <x:v>1355</x:v>
      </x:c>
      <x:c r="P333" s="2" t="s">
        <x:v>1364</x:v>
      </x:c>
      <x:c r="Q333" s="2"/>
      <x:c r="R333" s="3">
        <x:v>3</x:v>
      </x:c>
      <x:c r="S333" s="3"/>
      <x:c r="T333" s="2"/>
      <x:c r="U333" s="2"/>
      <x:c r="V333" s="2"/>
      <x:c r="W333" s="2" t="s">
        <x:v>1374</x:v>
      </x:c>
      <x:c r="X333" s="3"/>
      <x:c r="Y333" s="3"/>
      <x:c r="Z333" s="2"/>
      <x:c r="AA333" s="2" t="s">
        <x:v>275</x:v>
      </x:c>
      <x:c r="AB333" s="2" t="s">
        <x:v>1365</x:v>
      </x:c>
      <x:c r="AC333" s="2"/>
      <x:c r="AD333" s="2"/>
      <x:c r="AE333" s="2"/>
      <x:c r="AF333" s="2"/>
      <x:c r="AG333" s="2"/>
      <x:c r="AH333" s="2"/>
      <x:c r="AI333" s="4"/>
      <x:c r="AJ333" s="2"/>
      <x:c r="AK333" s="2" t="s">
        <x:v>234</x:v>
      </x:c>
      <x:c r="AL333" s="2" t="s">
        <x:v>3061</x:v>
      </x:c>
      <x:c r="AM333" s="2">
        <x:v>33</x:v>
      </x:c>
      <x:c r="AN333" s="2">
        <x:v>33</x:v>
      </x:c>
    </x:row>
    <x:row r="334" ht="39">
      <x:c r="A334" s="2" t="s">
        <x:v>6</x:v>
      </x:c>
      <x:c r="B334" s="2" t="s">
        <x:v>15</x:v>
      </x:c>
      <x:c r="C334" s="3">
        <x:v>32</x:v>
      </x:c>
      <x:c r="D334" s="2" t="s">
        <x:v>1366</x:v>
      </x:c>
      <x:c r="E334" s="2" t="s">
        <x:v>1372</x:v>
      </x:c>
      <x:c r="F334" s="2" t="s">
        <x:v>224</x:v>
      </x:c>
      <x:c r="G334" s="2"/>
      <x:c r="H334" s="2" t="s">
        <x:v>634</x:v>
      </x:c>
      <x:c r="I334" s="2" t="s">
        <x:v>1374</x:v>
      </x:c>
      <x:c r="J334" s="2" t="s">
        <x:v>1363</x:v>
      </x:c>
      <x:c r="K334" s="2" t="n">
        <x:v>28</x:v>
      </x:c>
      <x:c r="L334" s="2"/>
      <x:c r="M334" s="2"/>
      <x:c r="N334" s="2" t="s">
        <x:v>1350</x:v>
      </x:c>
      <x:c r="O334" s="2" t="s">
        <x:v>1355</x:v>
      </x:c>
      <x:c r="P334" s="2" t="s">
        <x:v>1364</x:v>
      </x:c>
      <x:c r="Q334" s="2"/>
      <x:c r="R334" s="3">
        <x:v>3</x:v>
      </x:c>
      <x:c r="S334" s="3"/>
      <x:c r="T334" s="2"/>
      <x:c r="U334" s="2"/>
      <x:c r="V334" s="2"/>
      <x:c r="W334" s="2" t="s">
        <x:v>1374</x:v>
      </x:c>
      <x:c r="X334" s="3"/>
      <x:c r="Y334" s="3"/>
      <x:c r="Z334" s="2"/>
      <x:c r="AA334" s="2" t="s">
        <x:v>232</x:v>
      </x:c>
      <x:c r="AB334" s="2" t="s">
        <x:v>1365</x:v>
      </x:c>
      <x:c r="AC334" s="2"/>
      <x:c r="AD334" s="2"/>
      <x:c r="AE334" s="2"/>
      <x:c r="AF334" s="2"/>
      <x:c r="AG334" s="2"/>
      <x:c r="AH334" s="2"/>
      <x:c r="AI334" s="4"/>
      <x:c r="AJ334" s="2"/>
      <x:c r="AK334" s="2" t="s">
        <x:v>234</x:v>
      </x:c>
      <x:c r="AL334" s="2" t="s">
        <x:v>3061</x:v>
      </x:c>
      <x:c r="AM334" s="2">
        <x:v>34</x:v>
      </x:c>
      <x:c r="AN334" s="2">
        <x:v>34</x:v>
      </x:c>
    </x:row>
    <x:row r="335" ht="39">
      <x:c r="A335" s="2" t="s">
        <x:v>91</x:v>
      </x:c>
      <x:c r="B335" s="2" t="s">
        <x:v>15</x:v>
      </x:c>
      <x:c r="C335" s="3">
        <x:v>33</x:v>
      </x:c>
      <x:c r="D335" s="2" t="s">
        <x:v>1382</x:v>
      </x:c>
      <x:c r="E335" s="2" t="s">
        <x:v>1372</x:v>
      </x:c>
      <x:c r="F335" s="2" t="s">
        <x:v>224</x:v>
      </x:c>
      <x:c r="G335" s="2" t="s">
        <x:v>1373</x:v>
      </x:c>
      <x:c r="H335" s="2" t="s">
        <x:v>634</x:v>
      </x:c>
      <x:c r="I335" s="2" t="s">
        <x:v>1374</x:v>
      </x:c>
      <x:c r="J335" s="2" t="s">
        <x:v>1359</x:v>
      </x:c>
      <x:c r="K335" s="2" t="n">
        <x:v>28</x:v>
      </x:c>
      <x:c r="L335" s="2"/>
      <x:c r="M335" s="2"/>
      <x:c r="N335" s="2" t="s">
        <x:v>1350</x:v>
      </x:c>
      <x:c r="O335" s="2" t="s">
        <x:v>1355</x:v>
      </x:c>
      <x:c r="P335" s="2" t="s">
        <x:v>1360</x:v>
      </x:c>
      <x:c r="Q335" s="2"/>
      <x:c r="R335" s="3">
        <x:v>3</x:v>
      </x:c>
      <x:c r="S335" s="3"/>
      <x:c r="T335" s="2"/>
      <x:c r="U335" s="2"/>
      <x:c r="V335" s="2"/>
      <x:c r="W335" s="2" t="s">
        <x:v>1374</x:v>
      </x:c>
      <x:c r="X335" s="3"/>
      <x:c r="Y335" s="3"/>
      <x:c r="Z335" s="2"/>
      <x:c r="AA335" s="2" t="s">
        <x:v>232</x:v>
      </x:c>
      <x:c r="AB335" s="2" t="s">
        <x:v>1361</x:v>
      </x:c>
      <x:c r="AC335" s="2"/>
      <x:c r="AD335" s="2"/>
      <x:c r="AE335" s="2"/>
      <x:c r="AF335" s="2"/>
      <x:c r="AG335" s="2"/>
      <x:c r="AH335" s="2"/>
      <x:c r="AI335" s="4"/>
      <x:c r="AJ335" s="2"/>
      <x:c r="AK335" s="2" t="s">
        <x:v>234</x:v>
      </x:c>
      <x:c r="AL335" s="2" t="s">
        <x:v>3061</x:v>
      </x:c>
      <x:c r="AM335" s="2">
        <x:v>35</x:v>
      </x:c>
      <x:c r="AN335" s="2">
        <x:v>35</x:v>
      </x:c>
    </x:row>
    <x:row r="336" ht="52">
      <x:c r="A336" s="2" t="s">
        <x:v>6</x:v>
      </x:c>
      <x:c r="B336" s="2" t="s">
        <x:v>15</x:v>
      </x:c>
      <x:c r="C336" s="3">
        <x:v>34</x:v>
      </x:c>
      <x:c r="D336" s="2" t="s">
        <x:v>1384</x:v>
      </x:c>
      <x:c r="E336" s="2" t="s">
        <x:v>1372</x:v>
      </x:c>
      <x:c r="F336" s="2" t="s">
        <x:v>224</x:v>
      </x:c>
      <x:c r="G336" s="2"/>
      <x:c r="H336" s="2" t="s">
        <x:v>627</x:v>
      </x:c>
      <x:c r="I336" s="2" t="s">
        <x:v>1374</x:v>
      </x:c>
      <x:c r="J336" s="2" t="s">
        <x:v>1386</x:v>
      </x:c>
      <x:c r="K336" s="2" t="n">
        <x:v>28</x:v>
      </x:c>
      <x:c r="L336" s="2"/>
      <x:c r="M336" s="2"/>
      <x:c r="N336" s="2" t="s">
        <x:v>1350</x:v>
      </x:c>
      <x:c r="O336" s="2" t="s">
        <x:v>1355</x:v>
      </x:c>
      <x:c r="P336" s="2" t="s">
        <x:v>1356</x:v>
      </x:c>
      <x:c r="Q336" s="2"/>
      <x:c r="R336" s="3">
        <x:v>3</x:v>
      </x:c>
      <x:c r="S336" s="3"/>
      <x:c r="T336" s="2"/>
      <x:c r="U336" s="2"/>
      <x:c r="V336" s="2"/>
      <x:c r="W336" s="2" t="s">
        <x:v>1374</x:v>
      </x:c>
      <x:c r="X336" s="3"/>
      <x:c r="Y336" s="3"/>
      <x:c r="Z336" s="2"/>
      <x:c r="AA336" s="2" t="s">
        <x:v>232</x:v>
      </x:c>
      <x:c r="AB336" s="2" t="s">
        <x:v>1357</x:v>
      </x:c>
      <x:c r="AC336" s="2"/>
      <x:c r="AD336" s="2"/>
      <x:c r="AE336" s="2"/>
      <x:c r="AF336" s="2"/>
      <x:c r="AG336" s="2"/>
      <x:c r="AH336" s="2"/>
      <x:c r="AI336" s="4"/>
      <x:c r="AJ336" s="2"/>
      <x:c r="AK336" s="2" t="s">
        <x:v>234</x:v>
      </x:c>
      <x:c r="AL336" s="2" t="s">
        <x:v>3061</x:v>
      </x:c>
      <x:c r="AM336" s="2">
        <x:v>36</x:v>
      </x:c>
      <x:c r="AN336" s="2">
        <x:v>36</x:v>
      </x:c>
    </x:row>
    <x:row r="337" ht="52">
      <x:c r="A337" s="2" t="s">
        <x:v>91</x:v>
      </x:c>
      <x:c r="B337" s="2" t="s">
        <x:v>15</x:v>
      </x:c>
      <x:c r="C337" s="3">
        <x:v>35</x:v>
      </x:c>
      <x:c r="D337" s="2" t="s">
        <x:v>1346</x:v>
      </x:c>
      <x:c r="E337" s="2" t="s">
        <x:v>1372</x:v>
      </x:c>
      <x:c r="F337" s="2" t="s">
        <x:v>224</x:v>
      </x:c>
      <x:c r="G337" s="2" t="s">
        <x:v>3127</x:v>
      </x:c>
      <x:c r="H337" s="2" t="s">
        <x:v>618</x:v>
      </x:c>
      <x:c r="I337" s="2" t="s">
        <x:v>1374</x:v>
      </x:c>
      <x:c r="J337" s="2" t="s">
        <x:v>1387</x:v>
      </x:c>
      <x:c r="K337" s="2" t="n">
        <x:v>28</x:v>
      </x:c>
      <x:c r="L337" s="2"/>
      <x:c r="M337" s="2"/>
      <x:c r="N337" s="2" t="s">
        <x:v>1350</x:v>
      </x:c>
      <x:c r="O337" s="2" t="s">
        <x:v>1355</x:v>
      </x:c>
      <x:c r="P337" s="2" t="s">
        <x:v>1352</x:v>
      </x:c>
      <x:c r="Q337" s="2"/>
      <x:c r="R337" s="3">
        <x:v>3</x:v>
      </x:c>
      <x:c r="S337" s="3"/>
      <x:c r="T337" s="2"/>
      <x:c r="U337" s="2"/>
      <x:c r="V337" s="2"/>
      <x:c r="W337" s="2" t="s">
        <x:v>1374</x:v>
      </x:c>
      <x:c r="X337" s="3"/>
      <x:c r="Y337" s="3"/>
      <x:c r="Z337" s="2"/>
      <x:c r="AA337" s="2" t="s">
        <x:v>232</x:v>
      </x:c>
      <x:c r="AB337" s="2" t="s">
        <x:v>292</x:v>
      </x:c>
      <x:c r="AC337" s="2"/>
      <x:c r="AD337" s="2"/>
      <x:c r="AE337" s="2"/>
      <x:c r="AF337" s="2"/>
      <x:c r="AG337" s="2"/>
      <x:c r="AH337" s="2"/>
      <x:c r="AI337" s="4"/>
      <x:c r="AJ337" s="2"/>
      <x:c r="AK337" s="2" t="s">
        <x:v>234</x:v>
      </x:c>
      <x:c r="AL337" s="2" t="s">
        <x:v>3061</x:v>
      </x:c>
      <x:c r="AM337" s="2">
        <x:v>37</x:v>
      </x:c>
      <x:c r="AN337" s="2">
        <x:v>37</x:v>
      </x:c>
    </x:row>
    <x:row r="338" ht="52">
      <x:c r="A338" s="2" t="s">
        <x:v>91</x:v>
      </x:c>
      <x:c r="B338" s="2" t="s">
        <x:v>15</x:v>
      </x:c>
      <x:c r="C338" s="3">
        <x:v>36</x:v>
      </x:c>
      <x:c r="D338" s="2" t="s">
        <x:v>1388</x:v>
      </x:c>
      <x:c r="E338" s="2" t="s">
        <x:v>1389</x:v>
      </x:c>
      <x:c r="F338" s="2" t="s">
        <x:v>247</x:v>
      </x:c>
      <x:c r="G338" s="2" t="s">
        <x:v>1276</x:v>
      </x:c>
      <x:c r="H338" s="2" t="s">
        <x:v>618</x:v>
      </x:c>
      <x:c r="I338" s="2" t="s">
        <x:v>1390</x:v>
      </x:c>
      <x:c r="J338" s="2" t="s">
        <x:v>1391</x:v>
      </x:c>
      <x:c r="K338" s="2"/>
      <x:c r="L338" s="2"/>
      <x:c r="M338" s="2"/>
      <x:c r="N338" s="2" t="s">
        <x:v>1350</x:v>
      </x:c>
      <x:c r="O338" s="2" t="s">
        <x:v>1351</x:v>
      </x:c>
      <x:c r="P338" s="2" t="s">
        <x:v>1352</x:v>
      </x:c>
      <x:c r="Q338" s="2"/>
      <x:c r="R338" s="3">
        <x:v>2</x:v>
      </x:c>
      <x:c r="S338" s="3"/>
      <x:c r="T338" s="2"/>
      <x:c r="U338" s="2"/>
      <x:c r="V338" s="2"/>
      <x:c r="W338" s="2" t="s">
        <x:v>1390</x:v>
      </x:c>
      <x:c r="X338" s="3"/>
      <x:c r="Y338" s="3"/>
      <x:c r="Z338" s="2"/>
      <x:c r="AA338" s="2" t="s">
        <x:v>232</x:v>
      </x:c>
      <x:c r="AB338" s="2" t="s">
        <x:v>233</x:v>
      </x:c>
      <x:c r="AC338" s="2"/>
      <x:c r="AD338" s="2"/>
      <x:c r="AE338" s="2"/>
      <x:c r="AF338" s="2"/>
      <x:c r="AG338" s="2"/>
      <x:c r="AH338" s="2"/>
      <x:c r="AI338" s="4"/>
      <x:c r="AJ338" s="2"/>
      <x:c r="AK338" s="2" t="s">
        <x:v>234</x:v>
      </x:c>
      <x:c r="AL338" s="2" t="s">
        <x:v>3061</x:v>
      </x:c>
      <x:c r="AM338" s="2">
        <x:v>38</x:v>
      </x:c>
      <x:c r="AN338" s="2">
        <x:v>38</x:v>
      </x:c>
    </x:row>
    <x:row r="339" ht="52">
      <x:c r="A339" s="2" t="s">
        <x:v>6</x:v>
      </x:c>
      <x:c r="B339" s="2" t="s">
        <x:v>15</x:v>
      </x:c>
      <x:c r="C339" s="3">
        <x:v>37</x:v>
      </x:c>
      <x:c r="D339" s="2" t="s">
        <x:v>1392</x:v>
      </x:c>
      <x:c r="E339" s="2" t="s">
        <x:v>1389</x:v>
      </x:c>
      <x:c r="F339" s="2" t="s">
        <x:v>247</x:v>
      </x:c>
      <x:c r="G339" s="2"/>
      <x:c r="H339" s="2" t="s">
        <x:v>627</x:v>
      </x:c>
      <x:c r="I339" s="2" t="s">
        <x:v>1390</x:v>
      </x:c>
      <x:c r="J339" s="2" t="s">
        <x:v>1393</x:v>
      </x:c>
      <x:c r="K339" s="2" t="n">
        <x:v>36</x:v>
      </x:c>
      <x:c r="L339" s="2"/>
      <x:c r="M339" s="2"/>
      <x:c r="N339" s="2" t="s">
        <x:v>1350</x:v>
      </x:c>
      <x:c r="O339" s="2" t="s">
        <x:v>1355</x:v>
      </x:c>
      <x:c r="P339" s="2" t="s">
        <x:v>1356</x:v>
      </x:c>
      <x:c r="Q339" s="2"/>
      <x:c r="R339" s="3">
        <x:v>2</x:v>
      </x:c>
      <x:c r="S339" s="3"/>
      <x:c r="T339" s="2"/>
      <x:c r="U339" s="2"/>
      <x:c r="V339" s="2"/>
      <x:c r="W339" s="2" t="s">
        <x:v>1390</x:v>
      </x:c>
      <x:c r="X339" s="3"/>
      <x:c r="Y339" s="3"/>
      <x:c r="Z339" s="2"/>
      <x:c r="AA339" s="2" t="s">
        <x:v>232</x:v>
      </x:c>
      <x:c r="AB339" s="2" t="s">
        <x:v>1357</x:v>
      </x:c>
      <x:c r="AC339" s="2"/>
      <x:c r="AD339" s="2"/>
      <x:c r="AE339" s="2"/>
      <x:c r="AF339" s="2"/>
      <x:c r="AG339" s="2"/>
      <x:c r="AH339" s="2"/>
      <x:c r="AI339" s="4"/>
      <x:c r="AJ339" s="2"/>
      <x:c r="AK339" s="2" t="s">
        <x:v>234</x:v>
      </x:c>
      <x:c r="AL339" s="2" t="s">
        <x:v>3061</x:v>
      </x:c>
      <x:c r="AM339" s="2">
        <x:v>39</x:v>
      </x:c>
      <x:c r="AN339" s="2">
        <x:v>39</x:v>
      </x:c>
    </x:row>
    <x:row r="340" ht="39">
      <x:c r="A340" s="2" t="s">
        <x:v>91</x:v>
      </x:c>
      <x:c r="B340" s="2" t="s">
        <x:v>15</x:v>
      </x:c>
      <x:c r="C340" s="3">
        <x:v>38</x:v>
      </x:c>
      <x:c r="D340" s="2" t="s">
        <x:v>1394</x:v>
      </x:c>
      <x:c r="E340" s="2" t="s">
        <x:v>1389</x:v>
      </x:c>
      <x:c r="F340" s="2" t="s">
        <x:v>247</x:v>
      </x:c>
      <x:c r="G340" s="2" t="s">
        <x:v>1276</x:v>
      </x:c>
      <x:c r="H340" s="2" t="s">
        <x:v>634</x:v>
      </x:c>
      <x:c r="I340" s="2" t="s">
        <x:v>1390</x:v>
      </x:c>
      <x:c r="J340" s="2" t="s">
        <x:v>1359</x:v>
      </x:c>
      <x:c r="K340" s="2" t="n">
        <x:v>36</x:v>
      </x:c>
      <x:c r="L340" s="2"/>
      <x:c r="M340" s="2"/>
      <x:c r="N340" s="2" t="s">
        <x:v>1350</x:v>
      </x:c>
      <x:c r="O340" s="2" t="s">
        <x:v>1355</x:v>
      </x:c>
      <x:c r="P340" s="2" t="s">
        <x:v>1360</x:v>
      </x:c>
      <x:c r="Q340" s="2"/>
      <x:c r="R340" s="3">
        <x:v>2</x:v>
      </x:c>
      <x:c r="S340" s="3"/>
      <x:c r="T340" s="2"/>
      <x:c r="U340" s="2"/>
      <x:c r="V340" s="2"/>
      <x:c r="W340" s="2" t="s">
        <x:v>1390</x:v>
      </x:c>
      <x:c r="X340" s="3"/>
      <x:c r="Y340" s="3"/>
      <x:c r="Z340" s="2"/>
      <x:c r="AA340" s="2" t="s">
        <x:v>232</x:v>
      </x:c>
      <x:c r="AB340" s="2" t="s">
        <x:v>1396</x:v>
      </x:c>
      <x:c r="AC340" s="2"/>
      <x:c r="AD340" s="2"/>
      <x:c r="AE340" s="2"/>
      <x:c r="AF340" s="2"/>
      <x:c r="AG340" s="2"/>
      <x:c r="AH340" s="2"/>
      <x:c r="AI340" s="4"/>
      <x:c r="AJ340" s="2"/>
      <x:c r="AK340" s="2" t="s">
        <x:v>234</x:v>
      </x:c>
      <x:c r="AL340" s="2" t="s">
        <x:v>3061</x:v>
      </x:c>
      <x:c r="AM340" s="2">
        <x:v>40</x:v>
      </x:c>
      <x:c r="AN340" s="2">
        <x:v>40</x:v>
      </x:c>
    </x:row>
    <x:row r="341" ht="39">
      <x:c r="A341" s="2" t="s">
        <x:v>6</x:v>
      </x:c>
      <x:c r="B341" s="2" t="s">
        <x:v>15</x:v>
      </x:c>
      <x:c r="C341" s="3">
        <x:v>39</x:v>
      </x:c>
      <x:c r="D341" s="2" t="s">
        <x:v>1397</x:v>
      </x:c>
      <x:c r="E341" s="2" t="s">
        <x:v>1389</x:v>
      </x:c>
      <x:c r="F341" s="2" t="s">
        <x:v>247</x:v>
      </x:c>
      <x:c r="G341" s="2"/>
      <x:c r="H341" s="2" t="s">
        <x:v>634</x:v>
      </x:c>
      <x:c r="I341" s="2" t="s">
        <x:v>1390</x:v>
      </x:c>
      <x:c r="J341" s="2" t="s">
        <x:v>1363</x:v>
      </x:c>
      <x:c r="K341" s="2" t="n">
        <x:v>36</x:v>
      </x:c>
      <x:c r="L341" s="2"/>
      <x:c r="M341" s="2"/>
      <x:c r="N341" s="2" t="s">
        <x:v>1350</x:v>
      </x:c>
      <x:c r="O341" s="2" t="s">
        <x:v>1355</x:v>
      </x:c>
      <x:c r="P341" s="2" t="s">
        <x:v>1364</x:v>
      </x:c>
      <x:c r="Q341" s="2"/>
      <x:c r="R341" s="3">
        <x:v>2</x:v>
      </x:c>
      <x:c r="S341" s="3"/>
      <x:c r="T341" s="2"/>
      <x:c r="U341" s="2"/>
      <x:c r="V341" s="2"/>
      <x:c r="W341" s="2" t="s">
        <x:v>1390</x:v>
      </x:c>
      <x:c r="X341" s="3"/>
      <x:c r="Y341" s="3"/>
      <x:c r="Z341" s="2"/>
      <x:c r="AA341" s="2" t="s">
        <x:v>232</x:v>
      </x:c>
      <x:c r="AB341" s="2" t="s">
        <x:v>1365</x:v>
      </x:c>
      <x:c r="AC341" s="2"/>
      <x:c r="AD341" s="2"/>
      <x:c r="AE341" s="2"/>
      <x:c r="AF341" s="2"/>
      <x:c r="AG341" s="2"/>
      <x:c r="AH341" s="2"/>
      <x:c r="AI341" s="4"/>
      <x:c r="AJ341" s="2"/>
      <x:c r="AK341" s="2" t="s">
        <x:v>234</x:v>
      </x:c>
      <x:c r="AL341" s="2" t="s">
        <x:v>3061</x:v>
      </x:c>
      <x:c r="AM341" s="2">
        <x:v>41</x:v>
      </x:c>
      <x:c r="AN341" s="2">
        <x:v>41</x:v>
      </x:c>
    </x:row>
    <x:row r="342" ht="39">
      <x:c r="A342" s="2" t="s">
        <x:v>6</x:v>
      </x:c>
      <x:c r="B342" s="2" t="s">
        <x:v>15</x:v>
      </x:c>
      <x:c r="C342" s="3">
        <x:v>40</x:v>
      </x:c>
      <x:c r="D342" s="2" t="s">
        <x:v>1398</x:v>
      </x:c>
      <x:c r="E342" s="2" t="s">
        <x:v>1389</x:v>
      </x:c>
      <x:c r="F342" s="2" t="s">
        <x:v>254</x:v>
      </x:c>
      <x:c r="G342" s="2"/>
      <x:c r="H342" s="2" t="s">
        <x:v>634</x:v>
      </x:c>
      <x:c r="I342" s="2" t="s">
        <x:v>1390</x:v>
      </x:c>
      <x:c r="J342" s="2" t="s">
        <x:v>1363</x:v>
      </x:c>
      <x:c r="K342" s="2" t="n">
        <x:v>36</x:v>
      </x:c>
      <x:c r="L342" s="2"/>
      <x:c r="M342" s="2"/>
      <x:c r="N342" s="2" t="s">
        <x:v>1350</x:v>
      </x:c>
      <x:c r="O342" s="2" t="s">
        <x:v>1355</x:v>
      </x:c>
      <x:c r="P342" s="2" t="s">
        <x:v>1364</x:v>
      </x:c>
      <x:c r="Q342" s="2"/>
      <x:c r="R342" s="3">
        <x:v>2</x:v>
      </x:c>
      <x:c r="S342" s="3"/>
      <x:c r="T342" s="2"/>
      <x:c r="U342" s="2"/>
      <x:c r="V342" s="2"/>
      <x:c r="W342" s="2" t="s">
        <x:v>1390</x:v>
      </x:c>
      <x:c r="X342" s="3"/>
      <x:c r="Y342" s="3"/>
      <x:c r="Z342" s="2"/>
      <x:c r="AA342" s="2" t="s">
        <x:v>243</x:v>
      </x:c>
      <x:c r="AB342" s="2" t="s">
        <x:v>1365</x:v>
      </x:c>
      <x:c r="AC342" s="2"/>
      <x:c r="AD342" s="2"/>
      <x:c r="AE342" s="2"/>
      <x:c r="AF342" s="2"/>
      <x:c r="AG342" s="2"/>
      <x:c r="AH342" s="2"/>
      <x:c r="AI342" s="4"/>
      <x:c r="AJ342" s="2"/>
      <x:c r="AK342" s="2" t="s">
        <x:v>234</x:v>
      </x:c>
      <x:c r="AL342" s="2" t="s">
        <x:v>3061</x:v>
      </x:c>
      <x:c r="AM342" s="2">
        <x:v>42</x:v>
      </x:c>
      <x:c r="AN342" s="2">
        <x:v>42</x:v>
      </x:c>
    </x:row>
    <x:row r="343" ht="39">
      <x:c r="A343" s="2" t="s">
        <x:v>6</x:v>
      </x:c>
      <x:c r="B343" s="2" t="s">
        <x:v>15</x:v>
      </x:c>
      <x:c r="C343" s="3">
        <x:v>41</x:v>
      </x:c>
      <x:c r="D343" s="2" t="s">
        <x:v>1399</x:v>
      </x:c>
      <x:c r="E343" s="2" t="s">
        <x:v>1389</x:v>
      </x:c>
      <x:c r="F343" s="2" t="s">
        <x:v>254</x:v>
      </x:c>
      <x:c r="G343" s="2"/>
      <x:c r="H343" s="2" t="s">
        <x:v>634</x:v>
      </x:c>
      <x:c r="I343" s="2" t="s">
        <x:v>1390</x:v>
      </x:c>
      <x:c r="J343" s="2" t="s">
        <x:v>1359</x:v>
      </x:c>
      <x:c r="K343" s="2" t="n">
        <x:v>36</x:v>
      </x:c>
      <x:c r="L343" s="2"/>
      <x:c r="M343" s="2"/>
      <x:c r="N343" s="2" t="s">
        <x:v>1350</x:v>
      </x:c>
      <x:c r="O343" s="2" t="s">
        <x:v>1355</x:v>
      </x:c>
      <x:c r="P343" s="2" t="s">
        <x:v>1360</x:v>
      </x:c>
      <x:c r="Q343" s="2"/>
      <x:c r="R343" s="3">
        <x:v>2</x:v>
      </x:c>
      <x:c r="S343" s="3"/>
      <x:c r="T343" s="2"/>
      <x:c r="U343" s="2"/>
      <x:c r="V343" s="2"/>
      <x:c r="W343" s="2" t="s">
        <x:v>1390</x:v>
      </x:c>
      <x:c r="X343" s="3"/>
      <x:c r="Y343" s="3"/>
      <x:c r="Z343" s="2"/>
      <x:c r="AA343" s="2" t="s">
        <x:v>243</x:v>
      </x:c>
      <x:c r="AB343" s="2" t="s">
        <x:v>1368</x:v>
      </x:c>
      <x:c r="AC343" s="2"/>
      <x:c r="AD343" s="2"/>
      <x:c r="AE343" s="2"/>
      <x:c r="AF343" s="2"/>
      <x:c r="AG343" s="2"/>
      <x:c r="AH343" s="2"/>
      <x:c r="AI343" s="4"/>
      <x:c r="AJ343" s="2"/>
      <x:c r="AK343" s="2" t="s">
        <x:v>234</x:v>
      </x:c>
      <x:c r="AL343" s="2" t="s">
        <x:v>3061</x:v>
      </x:c>
      <x:c r="AM343" s="2">
        <x:v>43</x:v>
      </x:c>
      <x:c r="AN343" s="2">
        <x:v>43</x:v>
      </x:c>
    </x:row>
    <x:row r="344" ht="52">
      <x:c r="A344" s="2" t="s">
        <x:v>6</x:v>
      </x:c>
      <x:c r="B344" s="2" t="s">
        <x:v>15</x:v>
      </x:c>
      <x:c r="C344" s="3">
        <x:v>42</x:v>
      </x:c>
      <x:c r="D344" s="2" t="s">
        <x:v>1401</x:v>
      </x:c>
      <x:c r="E344" s="2" t="s">
        <x:v>1389</x:v>
      </x:c>
      <x:c r="F344" s="2" t="s">
        <x:v>254</x:v>
      </x:c>
      <x:c r="G344" s="2"/>
      <x:c r="H344" s="2" t="s">
        <x:v>627</x:v>
      </x:c>
      <x:c r="I344" s="2" t="s">
        <x:v>1390</x:v>
      </x:c>
      <x:c r="J344" s="2" t="s">
        <x:v>1402</x:v>
      </x:c>
      <x:c r="K344" s="2" t="n">
        <x:v>36</x:v>
      </x:c>
      <x:c r="L344" s="2"/>
      <x:c r="M344" s="2"/>
      <x:c r="N344" s="2" t="s">
        <x:v>1350</x:v>
      </x:c>
      <x:c r="O344" s="2" t="s">
        <x:v>1355</x:v>
      </x:c>
      <x:c r="P344" s="2" t="s">
        <x:v>1356</x:v>
      </x:c>
      <x:c r="Q344" s="2"/>
      <x:c r="R344" s="3">
        <x:v>2</x:v>
      </x:c>
      <x:c r="S344" s="3"/>
      <x:c r="T344" s="2"/>
      <x:c r="U344" s="2"/>
      <x:c r="V344" s="2"/>
      <x:c r="W344" s="2" t="s">
        <x:v>1390</x:v>
      </x:c>
      <x:c r="X344" s="3"/>
      <x:c r="Y344" s="3"/>
      <x:c r="Z344" s="2"/>
      <x:c r="AA344" s="2" t="s">
        <x:v>243</x:v>
      </x:c>
      <x:c r="AB344" s="2" t="s">
        <x:v>1357</x:v>
      </x:c>
      <x:c r="AC344" s="2"/>
      <x:c r="AD344" s="2"/>
      <x:c r="AE344" s="2"/>
      <x:c r="AF344" s="2"/>
      <x:c r="AG344" s="2"/>
      <x:c r="AH344" s="2"/>
      <x:c r="AI344" s="4"/>
      <x:c r="AJ344" s="2"/>
      <x:c r="AK344" s="2" t="s">
        <x:v>234</x:v>
      </x:c>
      <x:c r="AL344" s="2" t="s">
        <x:v>3061</x:v>
      </x:c>
      <x:c r="AM344" s="2">
        <x:v>44</x:v>
      </x:c>
      <x:c r="AN344" s="2">
        <x:v>44</x:v>
      </x:c>
    </x:row>
    <x:row r="345" ht="52">
      <x:c r="A345" s="2" t="s">
        <x:v>6</x:v>
      </x:c>
      <x:c r="B345" s="2" t="s">
        <x:v>15</x:v>
      </x:c>
      <x:c r="C345" s="3">
        <x:v>43</x:v>
      </x:c>
      <x:c r="D345" s="2" t="s">
        <x:v>1281</x:v>
      </x:c>
      <x:c r="E345" s="2" t="s">
        <x:v>1389</x:v>
      </x:c>
      <x:c r="F345" s="2" t="s">
        <x:v>254</x:v>
      </x:c>
      <x:c r="G345" s="2"/>
      <x:c r="H345" s="2" t="s">
        <x:v>618</x:v>
      </x:c>
      <x:c r="I345" s="2" t="s">
        <x:v>1390</x:v>
      </x:c>
      <x:c r="J345" s="2" t="s">
        <x:v>1403</x:v>
      </x:c>
      <x:c r="K345" s="2" t="n">
        <x:v>36</x:v>
      </x:c>
      <x:c r="L345" s="2"/>
      <x:c r="M345" s="2"/>
      <x:c r="N345" s="2" t="s">
        <x:v>1350</x:v>
      </x:c>
      <x:c r="O345" s="2" t="s">
        <x:v>1355</x:v>
      </x:c>
      <x:c r="P345" s="2" t="s">
        <x:v>1352</x:v>
      </x:c>
      <x:c r="Q345" s="2"/>
      <x:c r="R345" s="3">
        <x:v>2</x:v>
      </x:c>
      <x:c r="S345" s="3"/>
      <x:c r="T345" s="2"/>
      <x:c r="U345" s="2"/>
      <x:c r="V345" s="2"/>
      <x:c r="W345" s="2" t="s">
        <x:v>1390</x:v>
      </x:c>
      <x:c r="X345" s="3"/>
      <x:c r="Y345" s="3"/>
      <x:c r="Z345" s="2"/>
      <x:c r="AA345" s="2" t="s">
        <x:v>243</x:v>
      </x:c>
      <x:c r="AB345" s="2" t="s">
        <x:v>244</x:v>
      </x:c>
      <x:c r="AC345" s="2"/>
      <x:c r="AD345" s="2"/>
      <x:c r="AE345" s="2"/>
      <x:c r="AF345" s="2"/>
      <x:c r="AG345" s="2"/>
      <x:c r="AH345" s="2"/>
      <x:c r="AI345" s="4"/>
      <x:c r="AJ345" s="2"/>
      <x:c r="AK345" s="2" t="s">
        <x:v>234</x:v>
      </x:c>
      <x:c r="AL345" s="2" t="s">
        <x:v>3061</x:v>
      </x:c>
      <x:c r="AM345" s="2">
        <x:v>45</x:v>
      </x:c>
      <x:c r="AN345" s="2">
        <x:v>45</x:v>
      </x:c>
    </x:row>
    <x:row r="346" ht="52">
      <x:c r="A346" s="2" t="s">
        <x:v>6</x:v>
      </x:c>
      <x:c r="B346" s="2" t="s">
        <x:v>15</x:v>
      </x:c>
      <x:c r="C346" s="3">
        <x:v>44</x:v>
      </x:c>
      <x:c r="D346" s="2" t="s">
        <x:v>1340</x:v>
      </x:c>
      <x:c r="E346" s="2" t="s">
        <x:v>1404</x:v>
      </x:c>
      <x:c r="F346" s="2" t="s">
        <x:v>247</x:v>
      </x:c>
      <x:c r="G346" s="2" t="s">
        <x:v>3128</x:v>
      </x:c>
      <x:c r="H346" s="2" t="s">
        <x:v>618</x:v>
      </x:c>
      <x:c r="I346" s="2" t="s">
        <x:v>1405</x:v>
      </x:c>
      <x:c r="J346" s="2" t="s">
        <x:v>1406</x:v>
      </x:c>
      <x:c r="K346" s="2"/>
      <x:c r="L346" s="2"/>
      <x:c r="M346" s="2"/>
      <x:c r="N346" s="2" t="s">
        <x:v>1350</x:v>
      </x:c>
      <x:c r="O346" s="2" t="s">
        <x:v>1351</x:v>
      </x:c>
      <x:c r="P346" s="2" t="s">
        <x:v>1352</x:v>
      </x:c>
      <x:c r="Q346" s="2"/>
      <x:c r="R346" s="3">
        <x:v>3</x:v>
      </x:c>
      <x:c r="S346" s="3"/>
      <x:c r="T346" s="2"/>
      <x:c r="U346" s="2"/>
      <x:c r="V346" s="2"/>
      <x:c r="W346" s="2" t="s">
        <x:v>1405</x:v>
      </x:c>
      <x:c r="X346" s="3"/>
      <x:c r="Y346" s="3"/>
      <x:c r="Z346" s="2"/>
      <x:c r="AA346" s="2" t="s">
        <x:v>275</x:v>
      </x:c>
      <x:c r="AB346" s="2" t="s">
        <x:v>284</x:v>
      </x:c>
      <x:c r="AC346" s="2"/>
      <x:c r="AD346" s="2"/>
      <x:c r="AE346" s="2"/>
      <x:c r="AF346" s="2"/>
      <x:c r="AG346" s="2"/>
      <x:c r="AH346" s="2"/>
      <x:c r="AI346" s="4"/>
      <x:c r="AJ346" s="2"/>
      <x:c r="AK346" s="2" t="s">
        <x:v>234</x:v>
      </x:c>
      <x:c r="AL346" s="2" t="s">
        <x:v>3061</x:v>
      </x:c>
      <x:c r="AM346" s="2">
        <x:v>46</x:v>
      </x:c>
      <x:c r="AN346" s="2">
        <x:v>46</x:v>
      </x:c>
    </x:row>
    <x:row r="347" ht="52">
      <x:c r="A347" s="2" t="s">
        <x:v>6</x:v>
      </x:c>
      <x:c r="B347" s="2" t="s">
        <x:v>15</x:v>
      </x:c>
      <x:c r="C347" s="3">
        <x:v>45</x:v>
      </x:c>
      <x:c r="D347" s="2" t="s">
        <x:v>1407</x:v>
      </x:c>
      <x:c r="E347" s="2" t="s">
        <x:v>1404</x:v>
      </x:c>
      <x:c r="F347" s="2" t="s">
        <x:v>247</x:v>
      </x:c>
      <x:c r="G347" s="2"/>
      <x:c r="H347" s="2" t="s">
        <x:v>627</x:v>
      </x:c>
      <x:c r="I347" s="2" t="s">
        <x:v>1405</x:v>
      </x:c>
      <x:c r="J347" s="2" t="s">
        <x:v>1408</x:v>
      </x:c>
      <x:c r="K347" s="2" t="n">
        <x:v>44</x:v>
      </x:c>
      <x:c r="L347" s="2"/>
      <x:c r="M347" s="2"/>
      <x:c r="N347" s="2" t="s">
        <x:v>1350</x:v>
      </x:c>
      <x:c r="O347" s="2" t="s">
        <x:v>1355</x:v>
      </x:c>
      <x:c r="P347" s="2" t="s">
        <x:v>1356</x:v>
      </x:c>
      <x:c r="Q347" s="2"/>
      <x:c r="R347" s="3">
        <x:v>3</x:v>
      </x:c>
      <x:c r="S347" s="3"/>
      <x:c r="T347" s="2"/>
      <x:c r="U347" s="2"/>
      <x:c r="V347" s="2"/>
      <x:c r="W347" s="2" t="s">
        <x:v>1405</x:v>
      </x:c>
      <x:c r="X347" s="3"/>
      <x:c r="Y347" s="3"/>
      <x:c r="Z347" s="2"/>
      <x:c r="AA347" s="2" t="s">
        <x:v>275</x:v>
      </x:c>
      <x:c r="AB347" s="2" t="s">
        <x:v>1357</x:v>
      </x:c>
      <x:c r="AC347" s="2"/>
      <x:c r="AD347" s="2"/>
      <x:c r="AE347" s="2"/>
      <x:c r="AF347" s="2"/>
      <x:c r="AG347" s="2"/>
      <x:c r="AH347" s="2"/>
      <x:c r="AI347" s="4"/>
      <x:c r="AJ347" s="2"/>
      <x:c r="AK347" s="2" t="s">
        <x:v>234</x:v>
      </x:c>
      <x:c r="AL347" s="2" t="s">
        <x:v>3061</x:v>
      </x:c>
      <x:c r="AM347" s="2">
        <x:v>47</x:v>
      </x:c>
      <x:c r="AN347" s="2">
        <x:v>47</x:v>
      </x:c>
    </x:row>
    <x:row r="348" ht="39">
      <x:c r="A348" s="2" t="s">
        <x:v>91</x:v>
      </x:c>
      <x:c r="B348" s="2" t="s">
        <x:v>15</x:v>
      </x:c>
      <x:c r="C348" s="3">
        <x:v>46</x:v>
      </x:c>
      <x:c r="D348" s="2" t="s">
        <x:v>1409</x:v>
      </x:c>
      <x:c r="E348" s="2" t="s">
        <x:v>1404</x:v>
      </x:c>
      <x:c r="F348" s="2" t="s">
        <x:v>247</x:v>
      </x:c>
      <x:c r="G348" s="2" t="s">
        <x:v>1290</x:v>
      </x:c>
      <x:c r="H348" s="2" t="s">
        <x:v>634</x:v>
      </x:c>
      <x:c r="I348" s="2" t="s">
        <x:v>1405</x:v>
      </x:c>
      <x:c r="J348" s="2" t="s">
        <x:v>1359</x:v>
      </x:c>
      <x:c r="K348" s="2" t="n">
        <x:v>44</x:v>
      </x:c>
      <x:c r="L348" s="2"/>
      <x:c r="M348" s="2"/>
      <x:c r="N348" s="2" t="s">
        <x:v>1350</x:v>
      </x:c>
      <x:c r="O348" s="2" t="s">
        <x:v>1355</x:v>
      </x:c>
      <x:c r="P348" s="2" t="s">
        <x:v>1360</x:v>
      </x:c>
      <x:c r="Q348" s="2"/>
      <x:c r="R348" s="3">
        <x:v>3</x:v>
      </x:c>
      <x:c r="S348" s="3"/>
      <x:c r="T348" s="2"/>
      <x:c r="U348" s="2"/>
      <x:c r="V348" s="2"/>
      <x:c r="W348" s="2" t="s">
        <x:v>1405</x:v>
      </x:c>
      <x:c r="X348" s="3"/>
      <x:c r="Y348" s="3"/>
      <x:c r="Z348" s="2"/>
      <x:c r="AA348" s="2" t="s">
        <x:v>275</x:v>
      </x:c>
      <x:c r="AB348" s="2" t="s">
        <x:v>1379</x:v>
      </x:c>
      <x:c r="AC348" s="2"/>
      <x:c r="AD348" s="2"/>
      <x:c r="AE348" s="2"/>
      <x:c r="AF348" s="2"/>
      <x:c r="AG348" s="2"/>
      <x:c r="AH348" s="2"/>
      <x:c r="AI348" s="4"/>
      <x:c r="AJ348" s="2"/>
      <x:c r="AK348" s="2" t="s">
        <x:v>234</x:v>
      </x:c>
      <x:c r="AL348" s="2" t="s">
        <x:v>3061</x:v>
      </x:c>
      <x:c r="AM348" s="2">
        <x:v>48</x:v>
      </x:c>
      <x:c r="AN348" s="2">
        <x:v>48</x:v>
      </x:c>
    </x:row>
    <x:row r="349" ht="39">
      <x:c r="A349" s="2" t="s">
        <x:v>6</x:v>
      </x:c>
      <x:c r="B349" s="2" t="s">
        <x:v>15</x:v>
      </x:c>
      <x:c r="C349" s="3">
        <x:v>47</x:v>
      </x:c>
      <x:c r="D349" s="2" t="s">
        <x:v>1410</x:v>
      </x:c>
      <x:c r="E349" s="2" t="s">
        <x:v>1404</x:v>
      </x:c>
      <x:c r="F349" s="2" t="s">
        <x:v>247</x:v>
      </x:c>
      <x:c r="G349" s="2"/>
      <x:c r="H349" s="2" t="s">
        <x:v>634</x:v>
      </x:c>
      <x:c r="I349" s="2" t="s">
        <x:v>1405</x:v>
      </x:c>
      <x:c r="J349" s="2" t="s">
        <x:v>1363</x:v>
      </x:c>
      <x:c r="K349" s="2" t="n">
        <x:v>44</x:v>
      </x:c>
      <x:c r="L349" s="2"/>
      <x:c r="M349" s="2"/>
      <x:c r="N349" s="2" t="s">
        <x:v>1350</x:v>
      </x:c>
      <x:c r="O349" s="2" t="s">
        <x:v>1355</x:v>
      </x:c>
      <x:c r="P349" s="2" t="s">
        <x:v>1364</x:v>
      </x:c>
      <x:c r="Q349" s="2"/>
      <x:c r="R349" s="3">
        <x:v>3</x:v>
      </x:c>
      <x:c r="S349" s="3"/>
      <x:c r="T349" s="2"/>
      <x:c r="U349" s="2"/>
      <x:c r="V349" s="2"/>
      <x:c r="W349" s="2" t="s">
        <x:v>1405</x:v>
      </x:c>
      <x:c r="X349" s="3"/>
      <x:c r="Y349" s="3"/>
      <x:c r="Z349" s="2"/>
      <x:c r="AA349" s="2" t="s">
        <x:v>275</x:v>
      </x:c>
      <x:c r="AB349" s="2" t="s">
        <x:v>1365</x:v>
      </x:c>
      <x:c r="AC349" s="2"/>
      <x:c r="AD349" s="2"/>
      <x:c r="AE349" s="2"/>
      <x:c r="AF349" s="2"/>
      <x:c r="AG349" s="2"/>
      <x:c r="AH349" s="2"/>
      <x:c r="AI349" s="4"/>
      <x:c r="AJ349" s="2"/>
      <x:c r="AK349" s="2" t="s">
        <x:v>234</x:v>
      </x:c>
      <x:c r="AL349" s="2" t="s">
        <x:v>3061</x:v>
      </x:c>
      <x:c r="AM349" s="2">
        <x:v>49</x:v>
      </x:c>
      <x:c r="AN349" s="2">
        <x:v>49</x:v>
      </x:c>
    </x:row>
    <x:row r="350" ht="39">
      <x:c r="A350" s="2" t="s">
        <x:v>6</x:v>
      </x:c>
      <x:c r="B350" s="2" t="s">
        <x:v>15</x:v>
      </x:c>
      <x:c r="C350" s="3">
        <x:v>48</x:v>
      </x:c>
      <x:c r="D350" s="2" t="s">
        <x:v>1398</x:v>
      </x:c>
      <x:c r="E350" s="2" t="s">
        <x:v>1404</x:v>
      </x:c>
      <x:c r="F350" s="2" t="s">
        <x:v>254</x:v>
      </x:c>
      <x:c r="G350" s="2"/>
      <x:c r="H350" s="2" t="s">
        <x:v>634</x:v>
      </x:c>
      <x:c r="I350" s="2" t="s">
        <x:v>1405</x:v>
      </x:c>
      <x:c r="J350" s="2" t="s">
        <x:v>1363</x:v>
      </x:c>
      <x:c r="K350" s="2" t="n">
        <x:v>44</x:v>
      </x:c>
      <x:c r="L350" s="2"/>
      <x:c r="M350" s="2"/>
      <x:c r="N350" s="2" t="s">
        <x:v>1350</x:v>
      </x:c>
      <x:c r="O350" s="2" t="s">
        <x:v>1355</x:v>
      </x:c>
      <x:c r="P350" s="2" t="s">
        <x:v>1364</x:v>
      </x:c>
      <x:c r="Q350" s="2"/>
      <x:c r="R350" s="3">
        <x:v>3</x:v>
      </x:c>
      <x:c r="S350" s="3"/>
      <x:c r="T350" s="2"/>
      <x:c r="U350" s="2"/>
      <x:c r="V350" s="2"/>
      <x:c r="W350" s="2" t="s">
        <x:v>1405</x:v>
      </x:c>
      <x:c r="X350" s="3"/>
      <x:c r="Y350" s="3"/>
      <x:c r="Z350" s="2"/>
      <x:c r="AA350" s="2" t="s">
        <x:v>232</x:v>
      </x:c>
      <x:c r="AB350" s="2" t="s">
        <x:v>1365</x:v>
      </x:c>
      <x:c r="AC350" s="2"/>
      <x:c r="AD350" s="2"/>
      <x:c r="AE350" s="2"/>
      <x:c r="AF350" s="2"/>
      <x:c r="AG350" s="2"/>
      <x:c r="AH350" s="2"/>
      <x:c r="AI350" s="4"/>
      <x:c r="AJ350" s="2"/>
      <x:c r="AK350" s="2" t="s">
        <x:v>234</x:v>
      </x:c>
      <x:c r="AL350" s="2" t="s">
        <x:v>3061</x:v>
      </x:c>
      <x:c r="AM350" s="2">
        <x:v>50</x:v>
      </x:c>
      <x:c r="AN350" s="2">
        <x:v>50</x:v>
      </x:c>
    </x:row>
    <x:row r="351" ht="39">
      <x:c r="A351" s="2" t="s">
        <x:v>91</x:v>
      </x:c>
      <x:c r="B351" s="2" t="s">
        <x:v>15</x:v>
      </x:c>
      <x:c r="C351" s="3">
        <x:v>49</x:v>
      </x:c>
      <x:c r="D351" s="2" t="s">
        <x:v>1411</x:v>
      </x:c>
      <x:c r="E351" s="2" t="s">
        <x:v>1404</x:v>
      </x:c>
      <x:c r="F351" s="2" t="s">
        <x:v>254</x:v>
      </x:c>
      <x:c r="G351" s="2" t="s">
        <x:v>1290</x:v>
      </x:c>
      <x:c r="H351" s="2" t="s">
        <x:v>634</x:v>
      </x:c>
      <x:c r="I351" s="2" t="s">
        <x:v>1405</x:v>
      </x:c>
      <x:c r="J351" s="2" t="s">
        <x:v>1359</x:v>
      </x:c>
      <x:c r="K351" s="2" t="n">
        <x:v>44</x:v>
      </x:c>
      <x:c r="L351" s="2"/>
      <x:c r="M351" s="2"/>
      <x:c r="N351" s="2" t="s">
        <x:v>1350</x:v>
      </x:c>
      <x:c r="O351" s="2" t="s">
        <x:v>1355</x:v>
      </x:c>
      <x:c r="P351" s="2" t="s">
        <x:v>1360</x:v>
      </x:c>
      <x:c r="Q351" s="2"/>
      <x:c r="R351" s="3">
        <x:v>3</x:v>
      </x:c>
      <x:c r="S351" s="3"/>
      <x:c r="T351" s="2"/>
      <x:c r="U351" s="2"/>
      <x:c r="V351" s="2"/>
      <x:c r="W351" s="2" t="s">
        <x:v>1405</x:v>
      </x:c>
      <x:c r="X351" s="3"/>
      <x:c r="Y351" s="3"/>
      <x:c r="Z351" s="2"/>
      <x:c r="AA351" s="2" t="s">
        <x:v>232</x:v>
      </x:c>
      <x:c r="AB351" s="2" t="s">
        <x:v>1361</x:v>
      </x:c>
      <x:c r="AC351" s="2"/>
      <x:c r="AD351" s="2"/>
      <x:c r="AE351" s="2"/>
      <x:c r="AF351" s="2"/>
      <x:c r="AG351" s="2"/>
      <x:c r="AH351" s="2"/>
      <x:c r="AI351" s="4"/>
      <x:c r="AJ351" s="2"/>
      <x:c r="AK351" s="2" t="s">
        <x:v>234</x:v>
      </x:c>
      <x:c r="AL351" s="2" t="s">
        <x:v>3061</x:v>
      </x:c>
      <x:c r="AM351" s="2">
        <x:v>51</x:v>
      </x:c>
      <x:c r="AN351" s="2">
        <x:v>51</x:v>
      </x:c>
    </x:row>
    <x:row r="352" ht="52">
      <x:c r="A352" s="2" t="s">
        <x:v>6</x:v>
      </x:c>
      <x:c r="B352" s="2" t="s">
        <x:v>15</x:v>
      </x:c>
      <x:c r="C352" s="3">
        <x:v>50</x:v>
      </x:c>
      <x:c r="D352" s="2" t="s">
        <x:v>1412</x:v>
      </x:c>
      <x:c r="E352" s="2" t="s">
        <x:v>1404</x:v>
      </x:c>
      <x:c r="F352" s="2" t="s">
        <x:v>254</x:v>
      </x:c>
      <x:c r="G352" s="2"/>
      <x:c r="H352" s="2" t="s">
        <x:v>627</x:v>
      </x:c>
      <x:c r="I352" s="2" t="s">
        <x:v>1405</x:v>
      </x:c>
      <x:c r="J352" s="2" t="s">
        <x:v>1413</x:v>
      </x:c>
      <x:c r="K352" s="2" t="n">
        <x:v>44</x:v>
      </x:c>
      <x:c r="L352" s="2"/>
      <x:c r="M352" s="2"/>
      <x:c r="N352" s="2" t="s">
        <x:v>1350</x:v>
      </x:c>
      <x:c r="O352" s="2" t="s">
        <x:v>1355</x:v>
      </x:c>
      <x:c r="P352" s="2" t="s">
        <x:v>1356</x:v>
      </x:c>
      <x:c r="Q352" s="2"/>
      <x:c r="R352" s="3">
        <x:v>3</x:v>
      </x:c>
      <x:c r="S352" s="3"/>
      <x:c r="T352" s="2"/>
      <x:c r="U352" s="2"/>
      <x:c r="V352" s="2"/>
      <x:c r="W352" s="2" t="s">
        <x:v>1405</x:v>
      </x:c>
      <x:c r="X352" s="3"/>
      <x:c r="Y352" s="3"/>
      <x:c r="Z352" s="2"/>
      <x:c r="AA352" s="2" t="s">
        <x:v>232</x:v>
      </x:c>
      <x:c r="AB352" s="2" t="s">
        <x:v>1357</x:v>
      </x:c>
      <x:c r="AC352" s="2"/>
      <x:c r="AD352" s="2"/>
      <x:c r="AE352" s="2"/>
      <x:c r="AF352" s="2"/>
      <x:c r="AG352" s="2"/>
      <x:c r="AH352" s="2"/>
      <x:c r="AI352" s="4"/>
      <x:c r="AJ352" s="2"/>
      <x:c r="AK352" s="2" t="s">
        <x:v>234</x:v>
      </x:c>
      <x:c r="AL352" s="2" t="s">
        <x:v>3061</x:v>
      </x:c>
      <x:c r="AM352" s="2">
        <x:v>52</x:v>
      </x:c>
      <x:c r="AN352" s="2">
        <x:v>52</x:v>
      </x:c>
    </x:row>
    <x:row r="353" ht="52">
      <x:c r="A353" s="2" t="s">
        <x:v>91</x:v>
      </x:c>
      <x:c r="B353" s="2" t="s">
        <x:v>15</x:v>
      </x:c>
      <x:c r="C353" s="3">
        <x:v>51</x:v>
      </x:c>
      <x:c r="D353" s="2" t="s">
        <x:v>1346</x:v>
      </x:c>
      <x:c r="E353" s="2" t="s">
        <x:v>1404</x:v>
      </x:c>
      <x:c r="F353" s="2" t="s">
        <x:v>254</x:v>
      </x:c>
      <x:c r="G353" s="2" t="s">
        <x:v>1290</x:v>
      </x:c>
      <x:c r="H353" s="2" t="s">
        <x:v>618</x:v>
      </x:c>
      <x:c r="I353" s="2" t="s">
        <x:v>1405</x:v>
      </x:c>
      <x:c r="J353" s="2" t="s">
        <x:v>1414</x:v>
      </x:c>
      <x:c r="K353" s="2" t="n">
        <x:v>44</x:v>
      </x:c>
      <x:c r="L353" s="2"/>
      <x:c r="M353" s="2"/>
      <x:c r="N353" s="2" t="s">
        <x:v>1350</x:v>
      </x:c>
      <x:c r="O353" s="2" t="s">
        <x:v>1355</x:v>
      </x:c>
      <x:c r="P353" s="2" t="s">
        <x:v>1352</x:v>
      </x:c>
      <x:c r="Q353" s="2"/>
      <x:c r="R353" s="3">
        <x:v>3</x:v>
      </x:c>
      <x:c r="S353" s="3"/>
      <x:c r="T353" s="2"/>
      <x:c r="U353" s="2"/>
      <x:c r="V353" s="2"/>
      <x:c r="W353" s="2" t="s">
        <x:v>1405</x:v>
      </x:c>
      <x:c r="X353" s="3"/>
      <x:c r="Y353" s="3"/>
      <x:c r="Z353" s="2"/>
      <x:c r="AA353" s="2" t="s">
        <x:v>232</x:v>
      </x:c>
      <x:c r="AB353" s="2" t="s">
        <x:v>292</x:v>
      </x:c>
      <x:c r="AC353" s="2"/>
      <x:c r="AD353" s="2"/>
      <x:c r="AE353" s="2"/>
      <x:c r="AF353" s="2"/>
      <x:c r="AG353" s="2"/>
      <x:c r="AH353" s="2"/>
      <x:c r="AI353" s="4"/>
      <x:c r="AJ353" s="2"/>
      <x:c r="AK353" s="2" t="s">
        <x:v>234</x:v>
      </x:c>
      <x:c r="AL353" s="2" t="s">
        <x:v>3061</x:v>
      </x:c>
      <x:c r="AM353" s="2">
        <x:v>53</x:v>
      </x:c>
      <x:c r="AN353" s="2">
        <x:v>53</x:v>
      </x:c>
    </x:row>
    <x:row r="354" ht="52">
      <x:c r="A354" s="2" t="s">
        <x:v>6</x:v>
      </x:c>
      <x:c r="B354" s="2" t="s">
        <x:v>15</x:v>
      </x:c>
      <x:c r="C354" s="3">
        <x:v>52</x:v>
      </x:c>
      <x:c r="D354" s="2" t="s">
        <x:v>1288</x:v>
      </x:c>
      <x:c r="E354" s="2" t="s">
        <x:v>1309</x:v>
      </x:c>
      <x:c r="F354" s="2" t="s">
        <x:v>237</x:v>
      </x:c>
      <x:c r="G354" s="2"/>
      <x:c r="H354" s="2" t="s">
        <x:v>618</x:v>
      </x:c>
      <x:c r="I354" s="2" t="s">
        <x:v>1416</x:v>
      </x:c>
      <x:c r="J354" s="2" t="s">
        <x:v>1417</x:v>
      </x:c>
      <x:c r="K354" s="2"/>
      <x:c r="L354" s="2"/>
      <x:c r="M354" s="2"/>
      <x:c r="N354" s="2" t="s">
        <x:v>1350</x:v>
      </x:c>
      <x:c r="O354" s="2" t="s">
        <x:v>1351</x:v>
      </x:c>
      <x:c r="P354" s="2" t="s">
        <x:v>1352</x:v>
      </x:c>
      <x:c r="Q354" s="2"/>
      <x:c r="R354" s="3">
        <x:v>4</x:v>
      </x:c>
      <x:c r="S354" s="3"/>
      <x:c r="T354" s="2"/>
      <x:c r="U354" s="2"/>
      <x:c r="V354" s="2"/>
      <x:c r="W354" s="2" t="s">
        <x:v>1416</x:v>
      </x:c>
      <x:c r="X354" s="3"/>
      <x:c r="Y354" s="3"/>
      <x:c r="Z354" s="2"/>
      <x:c r="AA354" s="2" t="s">
        <x:v>232</x:v>
      </x:c>
      <x:c r="AB354" s="2" t="s">
        <x:v>300</x:v>
      </x:c>
      <x:c r="AC354" s="2"/>
      <x:c r="AD354" s="2"/>
      <x:c r="AE354" s="2"/>
      <x:c r="AF354" s="2"/>
      <x:c r="AG354" s="2"/>
      <x:c r="AH354" s="2"/>
      <x:c r="AI354" s="4"/>
      <x:c r="AJ354" s="2"/>
      <x:c r="AK354" s="2" t="s">
        <x:v>234</x:v>
      </x:c>
      <x:c r="AL354" s="2" t="s">
        <x:v>3061</x:v>
      </x:c>
      <x:c r="AM354" s="2">
        <x:v>54</x:v>
      </x:c>
      <x:c r="AN354" s="2">
        <x:v>54</x:v>
      </x:c>
    </x:row>
    <x:row r="355" ht="52">
      <x:c r="A355" s="2" t="s">
        <x:v>6</x:v>
      </x:c>
      <x:c r="B355" s="2" t="s">
        <x:v>15</x:v>
      </x:c>
      <x:c r="C355" s="3">
        <x:v>53</x:v>
      </x:c>
      <x:c r="D355" s="2" t="s">
        <x:v>1418</x:v>
      </x:c>
      <x:c r="E355" s="2" t="s">
        <x:v>1309</x:v>
      </x:c>
      <x:c r="F355" s="2" t="s">
        <x:v>237</x:v>
      </x:c>
      <x:c r="G355" s="2"/>
      <x:c r="H355" s="2" t="s">
        <x:v>627</x:v>
      </x:c>
      <x:c r="I355" s="2" t="s">
        <x:v>1416</x:v>
      </x:c>
      <x:c r="J355" s="2" t="s">
        <x:v>1419</x:v>
      </x:c>
      <x:c r="K355" s="2" t="n">
        <x:v>52</x:v>
      </x:c>
      <x:c r="L355" s="2"/>
      <x:c r="M355" s="2"/>
      <x:c r="N355" s="2" t="s">
        <x:v>1350</x:v>
      </x:c>
      <x:c r="O355" s="2" t="s">
        <x:v>1355</x:v>
      </x:c>
      <x:c r="P355" s="2" t="s">
        <x:v>1356</x:v>
      </x:c>
      <x:c r="Q355" s="2"/>
      <x:c r="R355" s="3">
        <x:v>4</x:v>
      </x:c>
      <x:c r="S355" s="3"/>
      <x:c r="T355" s="2"/>
      <x:c r="U355" s="2"/>
      <x:c r="V355" s="2"/>
      <x:c r="W355" s="2" t="s">
        <x:v>1416</x:v>
      </x:c>
      <x:c r="X355" s="3"/>
      <x:c r="Y355" s="3"/>
      <x:c r="Z355" s="2"/>
      <x:c r="AA355" s="2" t="s">
        <x:v>232</x:v>
      </x:c>
      <x:c r="AB355" s="2" t="s">
        <x:v>1357</x:v>
      </x:c>
      <x:c r="AC355" s="2"/>
      <x:c r="AD355" s="2"/>
      <x:c r="AE355" s="2"/>
      <x:c r="AF355" s="2"/>
      <x:c r="AG355" s="2"/>
      <x:c r="AH355" s="2"/>
      <x:c r="AI355" s="4"/>
      <x:c r="AJ355" s="2"/>
      <x:c r="AK355" s="2" t="s">
        <x:v>234</x:v>
      </x:c>
      <x:c r="AL355" s="2" t="s">
        <x:v>3061</x:v>
      </x:c>
      <x:c r="AM355" s="2">
        <x:v>55</x:v>
      </x:c>
      <x:c r="AN355" s="2">
        <x:v>55</x:v>
      </x:c>
    </x:row>
    <x:row r="356" ht="39">
      <x:c r="A356" s="2" t="s">
        <x:v>6</x:v>
      </x:c>
      <x:c r="B356" s="2" t="s">
        <x:v>15</x:v>
      </x:c>
      <x:c r="C356" s="3">
        <x:v>54</x:v>
      </x:c>
      <x:c r="D356" s="2" t="s">
        <x:v>1420</x:v>
      </x:c>
      <x:c r="E356" s="2" t="s">
        <x:v>1309</x:v>
      </x:c>
      <x:c r="F356" s="2" t="s">
        <x:v>237</x:v>
      </x:c>
      <x:c r="G356" s="2"/>
      <x:c r="H356" s="2" t="s">
        <x:v>634</x:v>
      </x:c>
      <x:c r="I356" s="2" t="s">
        <x:v>1416</x:v>
      </x:c>
      <x:c r="J356" s="2" t="s">
        <x:v>1359</x:v>
      </x:c>
      <x:c r="K356" s="2" t="n">
        <x:v>52</x:v>
      </x:c>
      <x:c r="L356" s="2"/>
      <x:c r="M356" s="2"/>
      <x:c r="N356" s="2" t="s">
        <x:v>1350</x:v>
      </x:c>
      <x:c r="O356" s="2" t="s">
        <x:v>1355</x:v>
      </x:c>
      <x:c r="P356" s="2" t="s">
        <x:v>1360</x:v>
      </x:c>
      <x:c r="Q356" s="2"/>
      <x:c r="R356" s="3">
        <x:v>4</x:v>
      </x:c>
      <x:c r="S356" s="3"/>
      <x:c r="T356" s="2"/>
      <x:c r="U356" s="2"/>
      <x:c r="V356" s="2"/>
      <x:c r="W356" s="2" t="s">
        <x:v>1416</x:v>
      </x:c>
      <x:c r="X356" s="3"/>
      <x:c r="Y356" s="3"/>
      <x:c r="Z356" s="2"/>
      <x:c r="AA356" s="2" t="s">
        <x:v>232</x:v>
      </x:c>
      <x:c r="AB356" s="2" t="s">
        <x:v>1421</x:v>
      </x:c>
      <x:c r="AC356" s="2"/>
      <x:c r="AD356" s="2"/>
      <x:c r="AE356" s="2"/>
      <x:c r="AF356" s="2"/>
      <x:c r="AG356" s="2"/>
      <x:c r="AH356" s="2"/>
      <x:c r="AI356" s="4"/>
      <x:c r="AJ356" s="2"/>
      <x:c r="AK356" s="2" t="s">
        <x:v>234</x:v>
      </x:c>
      <x:c r="AL356" s="2" t="s">
        <x:v>3061</x:v>
      </x:c>
      <x:c r="AM356" s="2">
        <x:v>56</x:v>
      </x:c>
      <x:c r="AN356" s="2">
        <x:v>56</x:v>
      </x:c>
    </x:row>
    <x:row r="357" ht="39">
      <x:c r="A357" s="2" t="s">
        <x:v>6</x:v>
      </x:c>
      <x:c r="B357" s="2" t="s">
        <x:v>15</x:v>
      </x:c>
      <x:c r="C357" s="3">
        <x:v>55</x:v>
      </x:c>
      <x:c r="D357" s="2" t="s">
        <x:v>1422</x:v>
      </x:c>
      <x:c r="E357" s="2" t="s">
        <x:v>1309</x:v>
      </x:c>
      <x:c r="F357" s="2" t="s">
        <x:v>237</x:v>
      </x:c>
      <x:c r="G357" s="2"/>
      <x:c r="H357" s="2" t="s">
        <x:v>634</x:v>
      </x:c>
      <x:c r="I357" s="2" t="s">
        <x:v>1416</x:v>
      </x:c>
      <x:c r="J357" s="2" t="s">
        <x:v>1363</x:v>
      </x:c>
      <x:c r="K357" s="2" t="n">
        <x:v>52</x:v>
      </x:c>
      <x:c r="L357" s="2"/>
      <x:c r="M357" s="2"/>
      <x:c r="N357" s="2" t="s">
        <x:v>1350</x:v>
      </x:c>
      <x:c r="O357" s="2" t="s">
        <x:v>1355</x:v>
      </x:c>
      <x:c r="P357" s="2" t="s">
        <x:v>1364</x:v>
      </x:c>
      <x:c r="Q357" s="2"/>
      <x:c r="R357" s="3">
        <x:v>4</x:v>
      </x:c>
      <x:c r="S357" s="3"/>
      <x:c r="T357" s="2"/>
      <x:c r="U357" s="2"/>
      <x:c r="V357" s="2"/>
      <x:c r="W357" s="2" t="s">
        <x:v>1416</x:v>
      </x:c>
      <x:c r="X357" s="3"/>
      <x:c r="Y357" s="3"/>
      <x:c r="Z357" s="2"/>
      <x:c r="AA357" s="2" t="s">
        <x:v>232</x:v>
      </x:c>
      <x:c r="AB357" s="2" t="s">
        <x:v>1365</x:v>
      </x:c>
      <x:c r="AC357" s="2"/>
      <x:c r="AD357" s="2"/>
      <x:c r="AE357" s="2"/>
      <x:c r="AF357" s="2"/>
      <x:c r="AG357" s="2"/>
      <x:c r="AH357" s="2"/>
      <x:c r="AI357" s="4"/>
      <x:c r="AJ357" s="2"/>
      <x:c r="AK357" s="2" t="s">
        <x:v>234</x:v>
      </x:c>
      <x:c r="AL357" s="2" t="s">
        <x:v>3061</x:v>
      </x:c>
      <x:c r="AM357" s="2">
        <x:v>57</x:v>
      </x:c>
      <x:c r="AN357" s="2">
        <x:v>57</x:v>
      </x:c>
    </x:row>
    <x:row r="358" ht="39">
      <x:c r="A358" s="2" t="s">
        <x:v>6</x:v>
      </x:c>
      <x:c r="B358" s="2" t="s">
        <x:v>15</x:v>
      </x:c>
      <x:c r="C358" s="3">
        <x:v>56</x:v>
      </x:c>
      <x:c r="D358" s="2" t="s">
        <x:v>1423</x:v>
      </x:c>
      <x:c r="E358" s="2" t="s">
        <x:v>1309</x:v>
      </x:c>
      <x:c r="F358" s="2" t="s">
        <x:v>224</x:v>
      </x:c>
      <x:c r="G358" s="2"/>
      <x:c r="H358" s="2" t="s">
        <x:v>634</x:v>
      </x:c>
      <x:c r="I358" s="2" t="s">
        <x:v>1416</x:v>
      </x:c>
      <x:c r="J358" s="2" t="s">
        <x:v>1363</x:v>
      </x:c>
      <x:c r="K358" s="2" t="n">
        <x:v>52</x:v>
      </x:c>
      <x:c r="L358" s="2"/>
      <x:c r="M358" s="2"/>
      <x:c r="N358" s="2" t="s">
        <x:v>1350</x:v>
      </x:c>
      <x:c r="O358" s="2" t="s">
        <x:v>1355</x:v>
      </x:c>
      <x:c r="P358" s="2" t="s">
        <x:v>1364</x:v>
      </x:c>
      <x:c r="Q358" s="2"/>
      <x:c r="R358" s="3">
        <x:v>4</x:v>
      </x:c>
      <x:c r="S358" s="3"/>
      <x:c r="T358" s="2"/>
      <x:c r="U358" s="2"/>
      <x:c r="V358" s="2"/>
      <x:c r="W358" s="2" t="s">
        <x:v>1416</x:v>
      </x:c>
      <x:c r="X358" s="3"/>
      <x:c r="Y358" s="3"/>
      <x:c r="Z358" s="2"/>
      <x:c r="AA358" s="2" t="s">
        <x:v>243</x:v>
      </x:c>
      <x:c r="AB358" s="2" t="s">
        <x:v>1365</x:v>
      </x:c>
      <x:c r="AC358" s="2"/>
      <x:c r="AD358" s="2"/>
      <x:c r="AE358" s="2"/>
      <x:c r="AF358" s="2"/>
      <x:c r="AG358" s="2"/>
      <x:c r="AH358" s="2"/>
      <x:c r="AI358" s="4"/>
      <x:c r="AJ358" s="2"/>
      <x:c r="AK358" s="2" t="s">
        <x:v>234</x:v>
      </x:c>
      <x:c r="AL358" s="2" t="s">
        <x:v>3061</x:v>
      </x:c>
      <x:c r="AM358" s="2">
        <x:v>58</x:v>
      </x:c>
      <x:c r="AN358" s="2">
        <x:v>58</x:v>
      </x:c>
    </x:row>
    <x:row r="359" ht="39">
      <x:c r="A359" s="2" t="s">
        <x:v>91</x:v>
      </x:c>
      <x:c r="B359" s="2" t="s">
        <x:v>15</x:v>
      </x:c>
      <x:c r="C359" s="3">
        <x:v>57</x:v>
      </x:c>
      <x:c r="D359" s="2" t="s">
        <x:v>1425</x:v>
      </x:c>
      <x:c r="E359" s="2" t="s">
        <x:v>1309</x:v>
      </x:c>
      <x:c r="F359" s="2" t="s">
        <x:v>224</x:v>
      </x:c>
      <x:c r="G359" s="2" t="s">
        <x:v>1276</x:v>
      </x:c>
      <x:c r="H359" s="2" t="s">
        <x:v>634</x:v>
      </x:c>
      <x:c r="I359" s="2" t="s">
        <x:v>1416</x:v>
      </x:c>
      <x:c r="J359" s="2" t="s">
        <x:v>1359</x:v>
      </x:c>
      <x:c r="K359" s="2" t="n">
        <x:v>52</x:v>
      </x:c>
      <x:c r="L359" s="2"/>
      <x:c r="M359" s="2"/>
      <x:c r="N359" s="2" t="s">
        <x:v>1350</x:v>
      </x:c>
      <x:c r="O359" s="2" t="s">
        <x:v>1355</x:v>
      </x:c>
      <x:c r="P359" s="2" t="s">
        <x:v>1360</x:v>
      </x:c>
      <x:c r="Q359" s="2"/>
      <x:c r="R359" s="3">
        <x:v>4</x:v>
      </x:c>
      <x:c r="S359" s="3"/>
      <x:c r="T359" s="2"/>
      <x:c r="U359" s="2"/>
      <x:c r="V359" s="2"/>
      <x:c r="W359" s="2" t="s">
        <x:v>1416</x:v>
      </x:c>
      <x:c r="X359" s="3"/>
      <x:c r="Y359" s="3"/>
      <x:c r="Z359" s="2"/>
      <x:c r="AA359" s="2" t="s">
        <x:v>243</x:v>
      </x:c>
      <x:c r="AB359" s="2" t="s">
        <x:v>1368</x:v>
      </x:c>
      <x:c r="AC359" s="2"/>
      <x:c r="AD359" s="2"/>
      <x:c r="AE359" s="2"/>
      <x:c r="AF359" s="2"/>
      <x:c r="AG359" s="2"/>
      <x:c r="AH359" s="2"/>
      <x:c r="AI359" s="4"/>
      <x:c r="AJ359" s="2"/>
      <x:c r="AK359" s="2" t="s">
        <x:v>234</x:v>
      </x:c>
      <x:c r="AL359" s="2" t="s">
        <x:v>3061</x:v>
      </x:c>
      <x:c r="AM359" s="2">
        <x:v>59</x:v>
      </x:c>
      <x:c r="AN359" s="2">
        <x:v>59</x:v>
      </x:c>
    </x:row>
    <x:row r="360" ht="52">
      <x:c r="A360" s="2" t="s">
        <x:v>6</x:v>
      </x:c>
      <x:c r="B360" s="2" t="s">
        <x:v>15</x:v>
      </x:c>
      <x:c r="C360" s="3">
        <x:v>58</x:v>
      </x:c>
      <x:c r="D360" s="2" t="s">
        <x:v>1384</x:v>
      </x:c>
      <x:c r="E360" s="2" t="s">
        <x:v>1309</x:v>
      </x:c>
      <x:c r="F360" s="2" t="s">
        <x:v>224</x:v>
      </x:c>
      <x:c r="G360" s="2"/>
      <x:c r="H360" s="2" t="s">
        <x:v>627</x:v>
      </x:c>
      <x:c r="I360" s="2" t="s">
        <x:v>1416</x:v>
      </x:c>
      <x:c r="J360" s="2" t="s">
        <x:v>1426</x:v>
      </x:c>
      <x:c r="K360" s="2" t="n">
        <x:v>52</x:v>
      </x:c>
      <x:c r="L360" s="2"/>
      <x:c r="M360" s="2"/>
      <x:c r="N360" s="2" t="s">
        <x:v>1350</x:v>
      </x:c>
      <x:c r="O360" s="2" t="s">
        <x:v>1355</x:v>
      </x:c>
      <x:c r="P360" s="2" t="s">
        <x:v>1356</x:v>
      </x:c>
      <x:c r="Q360" s="2"/>
      <x:c r="R360" s="3">
        <x:v>4</x:v>
      </x:c>
      <x:c r="S360" s="3"/>
      <x:c r="T360" s="2"/>
      <x:c r="U360" s="2"/>
      <x:c r="V360" s="2"/>
      <x:c r="W360" s="2" t="s">
        <x:v>1416</x:v>
      </x:c>
      <x:c r="X360" s="3"/>
      <x:c r="Y360" s="3"/>
      <x:c r="Z360" s="2"/>
      <x:c r="AA360" s="2" t="s">
        <x:v>243</x:v>
      </x:c>
      <x:c r="AB360" s="2" t="s">
        <x:v>1357</x:v>
      </x:c>
      <x:c r="AC360" s="2"/>
      <x:c r="AD360" s="2"/>
      <x:c r="AE360" s="2"/>
      <x:c r="AF360" s="2"/>
      <x:c r="AG360" s="2"/>
      <x:c r="AH360" s="2"/>
      <x:c r="AI360" s="4"/>
      <x:c r="AJ360" s="2"/>
      <x:c r="AK360" s="2" t="s">
        <x:v>234</x:v>
      </x:c>
      <x:c r="AL360" s="2" t="s">
        <x:v>3061</x:v>
      </x:c>
      <x:c r="AM360" s="2">
        <x:v>60</x:v>
      </x:c>
      <x:c r="AN360" s="2">
        <x:v>60</x:v>
      </x:c>
    </x:row>
    <x:row r="361" ht="52">
      <x:c r="A361" s="2" t="s">
        <x:v>91</x:v>
      </x:c>
      <x:c r="B361" s="2" t="s">
        <x:v>15</x:v>
      </x:c>
      <x:c r="C361" s="3">
        <x:v>59</x:v>
      </x:c>
      <x:c r="D361" s="2" t="s">
        <x:v>1281</x:v>
      </x:c>
      <x:c r="E361" s="2" t="s">
        <x:v>1309</x:v>
      </x:c>
      <x:c r="F361" s="2" t="s">
        <x:v>224</x:v>
      </x:c>
      <x:c r="G361" s="2" t="s">
        <x:v>1290</x:v>
      </x:c>
      <x:c r="H361" s="2" t="s">
        <x:v>618</x:v>
      </x:c>
      <x:c r="I361" s="2" t="s">
        <x:v>1416</x:v>
      </x:c>
      <x:c r="J361" s="2" t="s">
        <x:v>1427</x:v>
      </x:c>
      <x:c r="K361" s="2" t="n">
        <x:v>52</x:v>
      </x:c>
      <x:c r="L361" s="2"/>
      <x:c r="M361" s="2"/>
      <x:c r="N361" s="2" t="s">
        <x:v>1350</x:v>
      </x:c>
      <x:c r="O361" s="2" t="s">
        <x:v>1355</x:v>
      </x:c>
      <x:c r="P361" s="2" t="s">
        <x:v>1352</x:v>
      </x:c>
      <x:c r="Q361" s="2"/>
      <x:c r="R361" s="3">
        <x:v>4</x:v>
      </x:c>
      <x:c r="S361" s="3"/>
      <x:c r="T361" s="2"/>
      <x:c r="U361" s="2"/>
      <x:c r="V361" s="2"/>
      <x:c r="W361" s="2" t="s">
        <x:v>1416</x:v>
      </x:c>
      <x:c r="X361" s="3"/>
      <x:c r="Y361" s="3"/>
      <x:c r="Z361" s="2"/>
      <x:c r="AA361" s="2" t="s">
        <x:v>243</x:v>
      </x:c>
      <x:c r="AB361" s="2" t="s">
        <x:v>244</x:v>
      </x:c>
      <x:c r="AC361" s="2"/>
      <x:c r="AD361" s="2"/>
      <x:c r="AE361" s="2"/>
      <x:c r="AF361" s="2"/>
      <x:c r="AG361" s="2"/>
      <x:c r="AH361" s="2"/>
      <x:c r="AI361" s="4"/>
      <x:c r="AJ361" s="2"/>
      <x:c r="AK361" s="2" t="s">
        <x:v>234</x:v>
      </x:c>
      <x:c r="AL361" s="2" t="s">
        <x:v>3061</x:v>
      </x:c>
      <x:c r="AM361" s="2">
        <x:v>61</x:v>
      </x:c>
      <x:c r="AN361" s="2">
        <x:v>61</x:v>
      </x:c>
    </x:row>
    <x:row r="362" ht="52">
      <x:c r="A362" s="2" t="s">
        <x:v>6</x:v>
      </x:c>
      <x:c r="B362" s="2" t="s">
        <x:v>15</x:v>
      </x:c>
      <x:c r="C362" s="3">
        <x:v>60</x:v>
      </x:c>
      <x:c r="D362" s="2" t="s">
        <x:v>1281</x:v>
      </x:c>
      <x:c r="E362" s="2" t="s">
        <x:v>1428</x:v>
      </x:c>
      <x:c r="F362" s="2" t="s">
        <x:v>224</x:v>
      </x:c>
      <x:c r="G362" s="2"/>
      <x:c r="H362" s="2" t="s">
        <x:v>618</x:v>
      </x:c>
      <x:c r="I362" s="2" t="s">
        <x:v>1429</x:v>
      </x:c>
      <x:c r="J362" s="2" t="s">
        <x:v>1371</x:v>
      </x:c>
      <x:c r="K362" s="2"/>
      <x:c r="L362" s="2"/>
      <x:c r="M362" s="2"/>
      <x:c r="N362" s="2" t="s">
        <x:v>1430</x:v>
      </x:c>
      <x:c r="O362" s="2" t="s">
        <x:v>1351</x:v>
      </x:c>
      <x:c r="P362" s="2" t="s">
        <x:v>1352</x:v>
      </x:c>
      <x:c r="Q362" s="2"/>
      <x:c r="R362" s="3">
        <x:v>2</x:v>
      </x:c>
      <x:c r="S362" s="3"/>
      <x:c r="T362" s="2"/>
      <x:c r="U362" s="2"/>
      <x:c r="V362" s="2"/>
      <x:c r="W362" s="2" t="s">
        <x:v>1429</x:v>
      </x:c>
      <x:c r="X362" s="3"/>
      <x:c r="Y362" s="3"/>
      <x:c r="Z362" s="2"/>
      <x:c r="AA362" s="2" t="s">
        <x:v>243</x:v>
      </x:c>
      <x:c r="AB362" s="2" t="s">
        <x:v>244</x:v>
      </x:c>
      <x:c r="AC362" s="2"/>
      <x:c r="AD362" s="2"/>
      <x:c r="AE362" s="2"/>
      <x:c r="AF362" s="2"/>
      <x:c r="AG362" s="2"/>
      <x:c r="AH362" s="2"/>
      <x:c r="AI362" s="4"/>
      <x:c r="AJ362" s="2"/>
      <x:c r="AK362" s="2" t="s">
        <x:v>234</x:v>
      </x:c>
      <x:c r="AL362" s="2" t="s">
        <x:v>3061</x:v>
      </x:c>
      <x:c r="AM362" s="2">
        <x:v>62</x:v>
      </x:c>
      <x:c r="AN362" s="2">
        <x:v>62</x:v>
      </x:c>
    </x:row>
    <x:row r="363" ht="52">
      <x:c r="A363" s="2" t="s">
        <x:v>6</x:v>
      </x:c>
      <x:c r="B363" s="2" t="s">
        <x:v>15</x:v>
      </x:c>
      <x:c r="C363" s="3">
        <x:v>61</x:v>
      </x:c>
      <x:c r="D363" s="2" t="s">
        <x:v>1431</x:v>
      </x:c>
      <x:c r="E363" s="2" t="s">
        <x:v>1428</x:v>
      </x:c>
      <x:c r="F363" s="2" t="s">
        <x:v>224</x:v>
      </x:c>
      <x:c r="G363" s="2"/>
      <x:c r="H363" s="2" t="s">
        <x:v>627</x:v>
      </x:c>
      <x:c r="I363" s="2" t="s">
        <x:v>1429</x:v>
      </x:c>
      <x:c r="J363" s="2" t="s">
        <x:v>1432</x:v>
      </x:c>
      <x:c r="K363" s="2" t="n">
        <x:v>60</x:v>
      </x:c>
      <x:c r="L363" s="2"/>
      <x:c r="M363" s="2"/>
      <x:c r="N363" s="2" t="s">
        <x:v>1430</x:v>
      </x:c>
      <x:c r="O363" s="2" t="s">
        <x:v>1355</x:v>
      </x:c>
      <x:c r="P363" s="2" t="s">
        <x:v>1356</x:v>
      </x:c>
      <x:c r="Q363" s="2"/>
      <x:c r="R363" s="3">
        <x:v>2</x:v>
      </x:c>
      <x:c r="S363" s="3"/>
      <x:c r="T363" s="2"/>
      <x:c r="U363" s="2"/>
      <x:c r="V363" s="2"/>
      <x:c r="W363" s="2" t="s">
        <x:v>1429</x:v>
      </x:c>
      <x:c r="X363" s="3"/>
      <x:c r="Y363" s="3"/>
      <x:c r="Z363" s="2"/>
      <x:c r="AA363" s="2" t="s">
        <x:v>243</x:v>
      </x:c>
      <x:c r="AB363" s="2" t="s">
        <x:v>1357</x:v>
      </x:c>
      <x:c r="AC363" s="2"/>
      <x:c r="AD363" s="2"/>
      <x:c r="AE363" s="2"/>
      <x:c r="AF363" s="2"/>
      <x:c r="AG363" s="2"/>
      <x:c r="AH363" s="2"/>
      <x:c r="AI363" s="4"/>
      <x:c r="AJ363" s="2"/>
      <x:c r="AK363" s="2" t="s">
        <x:v>234</x:v>
      </x:c>
      <x:c r="AL363" s="2" t="s">
        <x:v>3061</x:v>
      </x:c>
      <x:c r="AM363" s="2">
        <x:v>63</x:v>
      </x:c>
      <x:c r="AN363" s="2">
        <x:v>63</x:v>
      </x:c>
    </x:row>
    <x:row r="364" ht="52">
      <x:c r="A364" s="2" t="s">
        <x:v>6</x:v>
      </x:c>
      <x:c r="B364" s="2" t="s">
        <x:v>15</x:v>
      </x:c>
      <x:c r="C364" s="3">
        <x:v>62</x:v>
      </x:c>
      <x:c r="D364" s="2" t="s">
        <x:v>1433</x:v>
      </x:c>
      <x:c r="E364" s="2" t="s">
        <x:v>1428</x:v>
      </x:c>
      <x:c r="F364" s="2" t="s">
        <x:v>247</x:v>
      </x:c>
      <x:c r="G364" s="2"/>
      <x:c r="H364" s="2" t="s">
        <x:v>627</x:v>
      </x:c>
      <x:c r="I364" s="2" t="s">
        <x:v>1429</x:v>
      </x:c>
      <x:c r="J364" s="2" t="s">
        <x:v>1434</x:v>
      </x:c>
      <x:c r="K364" s="2" t="n">
        <x:v>60</x:v>
      </x:c>
      <x:c r="L364" s="2"/>
      <x:c r="M364" s="2"/>
      <x:c r="N364" s="2" t="s">
        <x:v>1430</x:v>
      </x:c>
      <x:c r="O364" s="2" t="s">
        <x:v>1355</x:v>
      </x:c>
      <x:c r="P364" s="2" t="s">
        <x:v>1356</x:v>
      </x:c>
      <x:c r="Q364" s="2"/>
      <x:c r="R364" s="3">
        <x:v>2</x:v>
      </x:c>
      <x:c r="S364" s="3"/>
      <x:c r="T364" s="2"/>
      <x:c r="U364" s="2"/>
      <x:c r="V364" s="2"/>
      <x:c r="W364" s="2" t="s">
        <x:v>1429</x:v>
      </x:c>
      <x:c r="X364" s="3"/>
      <x:c r="Y364" s="3"/>
      <x:c r="Z364" s="2"/>
      <x:c r="AA364" s="2" t="s">
        <x:v>232</x:v>
      </x:c>
      <x:c r="AB364" s="2" t="s">
        <x:v>1357</x:v>
      </x:c>
      <x:c r="AC364" s="2"/>
      <x:c r="AD364" s="2"/>
      <x:c r="AE364" s="2"/>
      <x:c r="AF364" s="2"/>
      <x:c r="AG364" s="2"/>
      <x:c r="AH364" s="2"/>
      <x:c r="AI364" s="4"/>
      <x:c r="AJ364" s="2"/>
      <x:c r="AK364" s="2" t="s">
        <x:v>234</x:v>
      </x:c>
      <x:c r="AL364" s="2" t="s">
        <x:v>3061</x:v>
      </x:c>
      <x:c r="AM364" s="2">
        <x:v>64</x:v>
      </x:c>
      <x:c r="AN364" s="2">
        <x:v>64</x:v>
      </x:c>
    </x:row>
    <x:row r="365" ht="52">
      <x:c r="A365" s="2" t="s">
        <x:v>91</x:v>
      </x:c>
      <x:c r="B365" s="2" t="s">
        <x:v>15</x:v>
      </x:c>
      <x:c r="C365" s="3">
        <x:v>63</x:v>
      </x:c>
      <x:c r="D365" s="2" t="s">
        <x:v>1388</x:v>
      </x:c>
      <x:c r="E365" s="2" t="s">
        <x:v>1428</x:v>
      </x:c>
      <x:c r="F365" s="2" t="s">
        <x:v>247</x:v>
      </x:c>
      <x:c r="G365" s="2" t="s">
        <x:v>1277</x:v>
      </x:c>
      <x:c r="H365" s="2" t="s">
        <x:v>618</x:v>
      </x:c>
      <x:c r="I365" s="2" t="s">
        <x:v>1429</x:v>
      </x:c>
      <x:c r="J365" s="2" t="s">
        <x:v>1391</x:v>
      </x:c>
      <x:c r="K365" s="2" t="n">
        <x:v>60</x:v>
      </x:c>
      <x:c r="L365" s="2"/>
      <x:c r="M365" s="2"/>
      <x:c r="N365" s="2" t="s">
        <x:v>1430</x:v>
      </x:c>
      <x:c r="O365" s="2" t="s">
        <x:v>1355</x:v>
      </x:c>
      <x:c r="P365" s="2" t="s">
        <x:v>1352</x:v>
      </x:c>
      <x:c r="Q365" s="2"/>
      <x:c r="R365" s="3">
        <x:v>2</x:v>
      </x:c>
      <x:c r="S365" s="3"/>
      <x:c r="T365" s="2"/>
      <x:c r="U365" s="2"/>
      <x:c r="V365" s="2"/>
      <x:c r="W365" s="2" t="s">
        <x:v>1429</x:v>
      </x:c>
      <x:c r="X365" s="3"/>
      <x:c r="Y365" s="3"/>
      <x:c r="Z365" s="2"/>
      <x:c r="AA365" s="2" t="s">
        <x:v>232</x:v>
      </x:c>
      <x:c r="AB365" s="2" t="s">
        <x:v>233</x:v>
      </x:c>
      <x:c r="AC365" s="2"/>
      <x:c r="AD365" s="2"/>
      <x:c r="AE365" s="2"/>
      <x:c r="AF365" s="2"/>
      <x:c r="AG365" s="2"/>
      <x:c r="AH365" s="2"/>
      <x:c r="AI365" s="4"/>
      <x:c r="AJ365" s="2"/>
      <x:c r="AK365" s="2" t="s">
        <x:v>234</x:v>
      </x:c>
      <x:c r="AL365" s="2" t="s">
        <x:v>3061</x:v>
      </x:c>
      <x:c r="AM365" s="2">
        <x:v>65</x:v>
      </x:c>
      <x:c r="AN365" s="2">
        <x:v>65</x:v>
      </x:c>
    </x:row>
    <x:row r="366" ht="52">
      <x:c r="A366" s="2" t="s">
        <x:v>91</x:v>
      </x:c>
      <x:c r="B366" s="2" t="s">
        <x:v>15</x:v>
      </x:c>
      <x:c r="C366" s="3">
        <x:v>64</x:v>
      </x:c>
      <x:c r="D366" s="2" t="s">
        <x:v>1346</x:v>
      </x:c>
      <x:c r="E366" s="2" t="s">
        <x:v>1435</x:v>
      </x:c>
      <x:c r="F366" s="2" t="s">
        <x:v>254</x:v>
      </x:c>
      <x:c r="G366" s="2" t="s">
        <x:v>1290</x:v>
      </x:c>
      <x:c r="H366" s="2" t="s">
        <x:v>618</x:v>
      </x:c>
      <x:c r="I366" s="2" t="s">
        <x:v>1436</x:v>
      </x:c>
      <x:c r="J366" s="2" t="s">
        <x:v>1414</x:v>
      </x:c>
      <x:c r="K366" s="2"/>
      <x:c r="L366" s="2"/>
      <x:c r="M366" s="2"/>
      <x:c r="N366" s="2" t="s">
        <x:v>1430</x:v>
      </x:c>
      <x:c r="O366" s="2" t="s">
        <x:v>1351</x:v>
      </x:c>
      <x:c r="P366" s="2" t="s">
        <x:v>1352</x:v>
      </x:c>
      <x:c r="Q366" s="2"/>
      <x:c r="R366" s="3">
        <x:v>3</x:v>
      </x:c>
      <x:c r="S366" s="3"/>
      <x:c r="T366" s="2"/>
      <x:c r="U366" s="2"/>
      <x:c r="V366" s="2"/>
      <x:c r="W366" s="2" t="s">
        <x:v>1436</x:v>
      </x:c>
      <x:c r="X366" s="3"/>
      <x:c r="Y366" s="3"/>
      <x:c r="Z366" s="2"/>
      <x:c r="AA366" s="2" t="s">
        <x:v>232</x:v>
      </x:c>
      <x:c r="AB366" s="2" t="s">
        <x:v>292</x:v>
      </x:c>
      <x:c r="AC366" s="2"/>
      <x:c r="AD366" s="2"/>
      <x:c r="AE366" s="2"/>
      <x:c r="AF366" s="2"/>
      <x:c r="AG366" s="2"/>
      <x:c r="AH366" s="2"/>
      <x:c r="AI366" s="4"/>
      <x:c r="AJ366" s="2"/>
      <x:c r="AK366" s="2" t="s">
        <x:v>234</x:v>
      </x:c>
      <x:c r="AL366" s="2" t="s">
        <x:v>3061</x:v>
      </x:c>
      <x:c r="AM366" s="2">
        <x:v>66</x:v>
      </x:c>
      <x:c r="AN366" s="2">
        <x:v>66</x:v>
      </x:c>
    </x:row>
    <x:row r="367" ht="52">
      <x:c r="A367" s="2" t="s">
        <x:v>6</x:v>
      </x:c>
      <x:c r="B367" s="2" t="s">
        <x:v>15</x:v>
      </x:c>
      <x:c r="C367" s="3">
        <x:v>65</x:v>
      </x:c>
      <x:c r="D367" s="2" t="s">
        <x:v>1401</x:v>
      </x:c>
      <x:c r="E367" s="2" t="s">
        <x:v>1435</x:v>
      </x:c>
      <x:c r="F367" s="2" t="s">
        <x:v>254</x:v>
      </x:c>
      <x:c r="G367" s="2"/>
      <x:c r="H367" s="2" t="s">
        <x:v>627</x:v>
      </x:c>
      <x:c r="I367" s="2" t="s">
        <x:v>1436</x:v>
      </x:c>
      <x:c r="J367" s="2" t="s">
        <x:v>1437</x:v>
      </x:c>
      <x:c r="K367" s="2" t="n">
        <x:v>64</x:v>
      </x:c>
      <x:c r="L367" s="2"/>
      <x:c r="M367" s="2"/>
      <x:c r="N367" s="2" t="s">
        <x:v>1430</x:v>
      </x:c>
      <x:c r="O367" s="2" t="s">
        <x:v>1355</x:v>
      </x:c>
      <x:c r="P367" s="2" t="s">
        <x:v>1356</x:v>
      </x:c>
      <x:c r="Q367" s="2"/>
      <x:c r="R367" s="3">
        <x:v>3</x:v>
      </x:c>
      <x:c r="S367" s="3"/>
      <x:c r="T367" s="2"/>
      <x:c r="U367" s="2"/>
      <x:c r="V367" s="2"/>
      <x:c r="W367" s="2" t="s">
        <x:v>1436</x:v>
      </x:c>
      <x:c r="X367" s="3"/>
      <x:c r="Y367" s="3"/>
      <x:c r="Z367" s="2"/>
      <x:c r="AA367" s="2" t="s">
        <x:v>232</x:v>
      </x:c>
      <x:c r="AB367" s="2" t="s">
        <x:v>1357</x:v>
      </x:c>
      <x:c r="AC367" s="2"/>
      <x:c r="AD367" s="2"/>
      <x:c r="AE367" s="2"/>
      <x:c r="AF367" s="2"/>
      <x:c r="AG367" s="2"/>
      <x:c r="AH367" s="2"/>
      <x:c r="AI367" s="4"/>
      <x:c r="AJ367" s="2"/>
      <x:c r="AK367" s="2" t="s">
        <x:v>234</x:v>
      </x:c>
      <x:c r="AL367" s="2" t="s">
        <x:v>3061</x:v>
      </x:c>
      <x:c r="AM367" s="2">
        <x:v>67</x:v>
      </x:c>
      <x:c r="AN367" s="2">
        <x:v>67</x:v>
      </x:c>
    </x:row>
    <x:row r="368" ht="52">
      <x:c r="A368" s="2" t="s">
        <x:v>6</x:v>
      </x:c>
      <x:c r="B368" s="2" t="s">
        <x:v>15</x:v>
      </x:c>
      <x:c r="C368" s="3">
        <x:v>66</x:v>
      </x:c>
      <x:c r="D368" s="2" t="s">
        <x:v>1418</x:v>
      </x:c>
      <x:c r="E368" s="2" t="s">
        <x:v>1435</x:v>
      </x:c>
      <x:c r="F368" s="2" t="s">
        <x:v>237</x:v>
      </x:c>
      <x:c r="G368" s="2"/>
      <x:c r="H368" s="2" t="s">
        <x:v>627</x:v>
      </x:c>
      <x:c r="I368" s="2" t="s">
        <x:v>1436</x:v>
      </x:c>
      <x:c r="J368" s="2" t="s">
        <x:v>1438</x:v>
      </x:c>
      <x:c r="K368" s="2" t="n">
        <x:v>64</x:v>
      </x:c>
      <x:c r="L368" s="2"/>
      <x:c r="M368" s="2"/>
      <x:c r="N368" s="2" t="s">
        <x:v>1430</x:v>
      </x:c>
      <x:c r="O368" s="2" t="s">
        <x:v>1355</x:v>
      </x:c>
      <x:c r="P368" s="2" t="s">
        <x:v>1356</x:v>
      </x:c>
      <x:c r="Q368" s="2"/>
      <x:c r="R368" s="3">
        <x:v>3</x:v>
      </x:c>
      <x:c r="S368" s="3"/>
      <x:c r="T368" s="2"/>
      <x:c r="U368" s="2"/>
      <x:c r="V368" s="2"/>
      <x:c r="W368" s="2" t="s">
        <x:v>1436</x:v>
      </x:c>
      <x:c r="X368" s="3"/>
      <x:c r="Y368" s="3"/>
      <x:c r="Z368" s="2"/>
      <x:c r="AA368" s="2" t="s">
        <x:v>275</x:v>
      </x:c>
      <x:c r="AB368" s="2" t="s">
        <x:v>1357</x:v>
      </x:c>
      <x:c r="AC368" s="2"/>
      <x:c r="AD368" s="2"/>
      <x:c r="AE368" s="2"/>
      <x:c r="AF368" s="2"/>
      <x:c r="AG368" s="2"/>
      <x:c r="AH368" s="2"/>
      <x:c r="AI368" s="4"/>
      <x:c r="AJ368" s="2"/>
      <x:c r="AK368" s="2" t="s">
        <x:v>234</x:v>
      </x:c>
      <x:c r="AL368" s="2" t="s">
        <x:v>3061</x:v>
      </x:c>
      <x:c r="AM368" s="2">
        <x:v>68</x:v>
      </x:c>
      <x:c r="AN368" s="2">
        <x:v>68</x:v>
      </x:c>
    </x:row>
    <x:row r="369" ht="52">
      <x:c r="A369" s="2" t="s">
        <x:v>6</x:v>
      </x:c>
      <x:c r="B369" s="2" t="s">
        <x:v>15</x:v>
      </x:c>
      <x:c r="C369" s="3">
        <x:v>67</x:v>
      </x:c>
      <x:c r="D369" s="2" t="s">
        <x:v>1340</x:v>
      </x:c>
      <x:c r="E369" s="2" t="s">
        <x:v>1435</x:v>
      </x:c>
      <x:c r="F369" s="2" t="s">
        <x:v>237</x:v>
      </x:c>
      <x:c r="G369" s="2"/>
      <x:c r="H369" s="2" t="s">
        <x:v>618</x:v>
      </x:c>
      <x:c r="I369" s="2" t="s">
        <x:v>1436</x:v>
      </x:c>
      <x:c r="J369" s="2" t="s">
        <x:v>1375</x:v>
      </x:c>
      <x:c r="K369" s="2" t="n">
        <x:v>64</x:v>
      </x:c>
      <x:c r="L369" s="2"/>
      <x:c r="M369" s="2"/>
      <x:c r="N369" s="2" t="s">
        <x:v>1430</x:v>
      </x:c>
      <x:c r="O369" s="2" t="s">
        <x:v>1355</x:v>
      </x:c>
      <x:c r="P369" s="2" t="s">
        <x:v>1352</x:v>
      </x:c>
      <x:c r="Q369" s="2"/>
      <x:c r="R369" s="3">
        <x:v>3</x:v>
      </x:c>
      <x:c r="S369" s="3"/>
      <x:c r="T369" s="2"/>
      <x:c r="U369" s="2"/>
      <x:c r="V369" s="2"/>
      <x:c r="W369" s="2" t="s">
        <x:v>1436</x:v>
      </x:c>
      <x:c r="X369" s="3"/>
      <x:c r="Y369" s="3"/>
      <x:c r="Z369" s="2"/>
      <x:c r="AA369" s="2" t="s">
        <x:v>275</x:v>
      </x:c>
      <x:c r="AB369" s="2" t="s">
        <x:v>284</x:v>
      </x:c>
      <x:c r="AC369" s="2"/>
      <x:c r="AD369" s="2"/>
      <x:c r="AE369" s="2"/>
      <x:c r="AF369" s="2"/>
      <x:c r="AG369" s="2"/>
      <x:c r="AH369" s="2"/>
      <x:c r="AI369" s="4"/>
      <x:c r="AJ369" s="2"/>
      <x:c r="AK369" s="2" t="s">
        <x:v>234</x:v>
      </x:c>
      <x:c r="AL369" s="2" t="s">
        <x:v>3061</x:v>
      </x:c>
      <x:c r="AM369" s="2">
        <x:v>69</x:v>
      </x:c>
      <x:c r="AN369" s="2">
        <x:v>69</x:v>
      </x:c>
    </x:row>
    <x:row r="370" ht="52">
      <x:c r="A370" s="2" t="s">
        <x:v>91</x:v>
      </x:c>
      <x:c r="B370" s="2" t="s">
        <x:v>15</x:v>
      </x:c>
      <x:c r="C370" s="3">
        <x:v>68</x:v>
      </x:c>
      <x:c r="D370" s="2" t="s">
        <x:v>1439</x:v>
      </x:c>
      <x:c r="E370" s="2" t="s">
        <x:v>1440</x:v>
      </x:c>
      <x:c r="F370" s="2" t="s">
        <x:v>254</x:v>
      </x:c>
      <x:c r="G370" s="2" t="s">
        <x:v>1290</x:v>
      </x:c>
      <x:c r="H370" s="2" t="s">
        <x:v>618</x:v>
      </x:c>
      <x:c r="I370" s="2" t="s">
        <x:v>1441</x:v>
      </x:c>
      <x:c r="J370" s="2" t="s">
        <x:v>1442</x:v>
      </x:c>
      <x:c r="K370" s="2"/>
      <x:c r="L370" s="2"/>
      <x:c r="M370" s="2"/>
      <x:c r="N370" s="2" t="s">
        <x:v>1430</x:v>
      </x:c>
      <x:c r="O370" s="2" t="s">
        <x:v>1351</x:v>
      </x:c>
      <x:c r="P370" s="2" t="s">
        <x:v>1352</x:v>
      </x:c>
      <x:c r="Q370" s="2"/>
      <x:c r="R370" s="3">
        <x:v>4</x:v>
      </x:c>
      <x:c r="S370" s="3"/>
      <x:c r="T370" s="2"/>
      <x:c r="U370" s="2"/>
      <x:c r="V370" s="2"/>
      <x:c r="W370" s="2" t="s">
        <x:v>1441</x:v>
      </x:c>
      <x:c r="X370" s="3"/>
      <x:c r="Y370" s="3"/>
      <x:c r="Z370" s="2"/>
      <x:c r="AA370" s="2" t="s">
        <x:v>1314</x:v>
      </x:c>
      <x:c r="AB370" s="2" t="s">
        <x:v>1315</x:v>
      </x:c>
      <x:c r="AC370" s="2"/>
      <x:c r="AD370" s="2"/>
      <x:c r="AE370" s="2"/>
      <x:c r="AF370" s="2"/>
      <x:c r="AG370" s="2"/>
      <x:c r="AH370" s="2"/>
      <x:c r="AI370" s="4"/>
      <x:c r="AJ370" s="2"/>
      <x:c r="AK370" s="2" t="s">
        <x:v>234</x:v>
      </x:c>
      <x:c r="AL370" s="2" t="s">
        <x:v>3061</x:v>
      </x:c>
      <x:c r="AM370" s="2">
        <x:v>70</x:v>
      </x:c>
      <x:c r="AN370" s="2">
        <x:v>70</x:v>
      </x:c>
    </x:row>
    <x:row r="371" ht="52">
      <x:c r="A371" s="2" t="s">
        <x:v>6</x:v>
      </x:c>
      <x:c r="B371" s="2" t="s">
        <x:v>15</x:v>
      </x:c>
      <x:c r="C371" s="3">
        <x:v>69</x:v>
      </x:c>
      <x:c r="D371" s="2" t="s">
        <x:v>1443</x:v>
      </x:c>
      <x:c r="E371" s="2" t="s">
        <x:v>1440</x:v>
      </x:c>
      <x:c r="F371" s="2" t="s">
        <x:v>254</x:v>
      </x:c>
      <x:c r="G371" s="2"/>
      <x:c r="H371" s="2" t="s">
        <x:v>627</x:v>
      </x:c>
      <x:c r="I371" s="2" t="s">
        <x:v>1441</x:v>
      </x:c>
      <x:c r="J371" s="2" t="s">
        <x:v>1444</x:v>
      </x:c>
      <x:c r="K371" s="2" t="n">
        <x:v>68</x:v>
      </x:c>
      <x:c r="L371" s="2"/>
      <x:c r="M371" s="2"/>
      <x:c r="N371" s="2" t="s">
        <x:v>1430</x:v>
      </x:c>
      <x:c r="O371" s="2" t="s">
        <x:v>1355</x:v>
      </x:c>
      <x:c r="P371" s="2" t="s">
        <x:v>1356</x:v>
      </x:c>
      <x:c r="Q371" s="2"/>
      <x:c r="R371" s="3">
        <x:v>4</x:v>
      </x:c>
      <x:c r="S371" s="3"/>
      <x:c r="T371" s="2"/>
      <x:c r="U371" s="2"/>
      <x:c r="V371" s="2"/>
      <x:c r="W371" s="2" t="s">
        <x:v>1441</x:v>
      </x:c>
      <x:c r="X371" s="3"/>
      <x:c r="Y371" s="3"/>
      <x:c r="Z371" s="2"/>
      <x:c r="AA371" s="2" t="s">
        <x:v>1314</x:v>
      </x:c>
      <x:c r="AB371" s="2" t="s">
        <x:v>1357</x:v>
      </x:c>
      <x:c r="AC371" s="2"/>
      <x:c r="AD371" s="2"/>
      <x:c r="AE371" s="2"/>
      <x:c r="AF371" s="2"/>
      <x:c r="AG371" s="2"/>
      <x:c r="AH371" s="2"/>
      <x:c r="AI371" s="4"/>
      <x:c r="AJ371" s="2"/>
      <x:c r="AK371" s="2" t="s">
        <x:v>234</x:v>
      </x:c>
      <x:c r="AL371" s="2" t="s">
        <x:v>3061</x:v>
      </x:c>
      <x:c r="AM371" s="2">
        <x:v>71</x:v>
      </x:c>
      <x:c r="AN371" s="2">
        <x:v>71</x:v>
      </x:c>
    </x:row>
    <x:row r="372" ht="52">
      <x:c r="A372" s="2" t="s">
        <x:v>6</x:v>
      </x:c>
      <x:c r="B372" s="2" t="s">
        <x:v>15</x:v>
      </x:c>
      <x:c r="C372" s="3">
        <x:v>70</x:v>
      </x:c>
      <x:c r="D372" s="2" t="s">
        <x:v>1407</x:v>
      </x:c>
      <x:c r="E372" s="2" t="s">
        <x:v>1440</x:v>
      </x:c>
      <x:c r="F372" s="2" t="s">
        <x:v>247</x:v>
      </x:c>
      <x:c r="G372" s="2"/>
      <x:c r="H372" s="2" t="s">
        <x:v>627</x:v>
      </x:c>
      <x:c r="I372" s="2" t="s">
        <x:v>1441</x:v>
      </x:c>
      <x:c r="J372" s="2" t="s">
        <x:v>1445</x:v>
      </x:c>
      <x:c r="K372" s="2" t="n">
        <x:v>68</x:v>
      </x:c>
      <x:c r="L372" s="2"/>
      <x:c r="M372" s="2"/>
      <x:c r="N372" s="2" t="s">
        <x:v>1430</x:v>
      </x:c>
      <x:c r="O372" s="2" t="s">
        <x:v>1355</x:v>
      </x:c>
      <x:c r="P372" s="2" t="s">
        <x:v>1356</x:v>
      </x:c>
      <x:c r="Q372" s="2"/>
      <x:c r="R372" s="3">
        <x:v>4</x:v>
      </x:c>
      <x:c r="S372" s="3"/>
      <x:c r="T372" s="2"/>
      <x:c r="U372" s="2"/>
      <x:c r="V372" s="2"/>
      <x:c r="W372" s="2" t="s">
        <x:v>1441</x:v>
      </x:c>
      <x:c r="X372" s="3"/>
      <x:c r="Y372" s="3"/>
      <x:c r="Z372" s="2"/>
      <x:c r="AA372" s="2" t="s">
        <x:v>275</x:v>
      </x:c>
      <x:c r="AB372" s="2" t="s">
        <x:v>1357</x:v>
      </x:c>
      <x:c r="AC372" s="2"/>
      <x:c r="AD372" s="2"/>
      <x:c r="AE372" s="2"/>
      <x:c r="AF372" s="2"/>
      <x:c r="AG372" s="2"/>
      <x:c r="AH372" s="2"/>
      <x:c r="AI372" s="4"/>
      <x:c r="AJ372" s="2"/>
      <x:c r="AK372" s="2" t="s">
        <x:v>234</x:v>
      </x:c>
      <x:c r="AL372" s="2" t="s">
        <x:v>3061</x:v>
      </x:c>
      <x:c r="AM372" s="2">
        <x:v>72</x:v>
      </x:c>
      <x:c r="AN372" s="2">
        <x:v>72</x:v>
      </x:c>
    </x:row>
    <x:row r="373" ht="52">
      <x:c r="A373" s="2" t="s">
        <x:v>6</x:v>
      </x:c>
      <x:c r="B373" s="2" t="s">
        <x:v>15</x:v>
      </x:c>
      <x:c r="C373" s="3">
        <x:v>71</x:v>
      </x:c>
      <x:c r="D373" s="2" t="s">
        <x:v>1340</x:v>
      </x:c>
      <x:c r="E373" s="2" t="s">
        <x:v>1440</x:v>
      </x:c>
      <x:c r="F373" s="2" t="s">
        <x:v>247</x:v>
      </x:c>
      <x:c r="G373" s="2"/>
      <x:c r="H373" s="2" t="s">
        <x:v>618</x:v>
      </x:c>
      <x:c r="I373" s="2" t="s">
        <x:v>1441</x:v>
      </x:c>
      <x:c r="J373" s="2" t="s">
        <x:v>1446</x:v>
      </x:c>
      <x:c r="K373" s="2" t="n">
        <x:v>68</x:v>
      </x:c>
      <x:c r="L373" s="2"/>
      <x:c r="M373" s="2"/>
      <x:c r="N373" s="2" t="s">
        <x:v>1430</x:v>
      </x:c>
      <x:c r="O373" s="2" t="s">
        <x:v>1355</x:v>
      </x:c>
      <x:c r="P373" s="2" t="s">
        <x:v>1352</x:v>
      </x:c>
      <x:c r="Q373" s="2"/>
      <x:c r="R373" s="3">
        <x:v>4</x:v>
      </x:c>
      <x:c r="S373" s="3"/>
      <x:c r="T373" s="2"/>
      <x:c r="U373" s="2"/>
      <x:c r="V373" s="2"/>
      <x:c r="W373" s="2" t="s">
        <x:v>1441</x:v>
      </x:c>
      <x:c r="X373" s="3"/>
      <x:c r="Y373" s="3"/>
      <x:c r="Z373" s="2"/>
      <x:c r="AA373" s="2" t="s">
        <x:v>275</x:v>
      </x:c>
      <x:c r="AB373" s="2" t="s">
        <x:v>284</x:v>
      </x:c>
      <x:c r="AC373" s="2"/>
      <x:c r="AD373" s="2"/>
      <x:c r="AE373" s="2"/>
      <x:c r="AF373" s="2"/>
      <x:c r="AG373" s="2"/>
      <x:c r="AH373" s="2"/>
      <x:c r="AI373" s="4"/>
      <x:c r="AJ373" s="2"/>
      <x:c r="AK373" s="2" t="s">
        <x:v>234</x:v>
      </x:c>
      <x:c r="AL373" s="2" t="s">
        <x:v>3061</x:v>
      </x:c>
      <x:c r="AM373" s="2">
        <x:v>73</x:v>
      </x:c>
      <x:c r="AN373" s="2">
        <x:v>73</x:v>
      </x:c>
    </x:row>
    <x:row r="374" ht="52">
      <x:c r="A374" s="2" t="s">
        <x:v>6</x:v>
      </x:c>
      <x:c r="B374" s="2" t="s">
        <x:v>15</x:v>
      </x:c>
      <x:c r="C374" s="3">
        <x:v>72</x:v>
      </x:c>
      <x:c r="D374" s="2" t="s">
        <x:v>1388</x:v>
      </x:c>
      <x:c r="E374" s="2" t="s">
        <x:v>1447</x:v>
      </x:c>
      <x:c r="F374" s="2" t="s">
        <x:v>237</x:v>
      </x:c>
      <x:c r="G374" s="2"/>
      <x:c r="H374" s="2" t="s">
        <x:v>618</x:v>
      </x:c>
      <x:c r="I374" s="2" t="s">
        <x:v>1448</x:v>
      </x:c>
      <x:c r="J374" s="2" t="s">
        <x:v>1349</x:v>
      </x:c>
      <x:c r="K374" s="2"/>
      <x:c r="L374" s="2"/>
      <x:c r="M374" s="2"/>
      <x:c r="N374" s="2" t="s">
        <x:v>1430</x:v>
      </x:c>
      <x:c r="O374" s="2" t="s">
        <x:v>1351</x:v>
      </x:c>
      <x:c r="P374" s="2" t="s">
        <x:v>1352</x:v>
      </x:c>
      <x:c r="Q374" s="2"/>
      <x:c r="R374" s="3">
        <x:v>2</x:v>
      </x:c>
      <x:c r="S374" s="3"/>
      <x:c r="T374" s="2"/>
      <x:c r="U374" s="2"/>
      <x:c r="V374" s="2"/>
      <x:c r="W374" s="2" t="s">
        <x:v>1448</x:v>
      </x:c>
      <x:c r="X374" s="3"/>
      <x:c r="Y374" s="3"/>
      <x:c r="Z374" s="2"/>
      <x:c r="AA374" s="2" t="s">
        <x:v>232</x:v>
      </x:c>
      <x:c r="AB374" s="2" t="s">
        <x:v>233</x:v>
      </x:c>
      <x:c r="AC374" s="2"/>
      <x:c r="AD374" s="2"/>
      <x:c r="AE374" s="2"/>
      <x:c r="AF374" s="2"/>
      <x:c r="AG374" s="2"/>
      <x:c r="AH374" s="2"/>
      <x:c r="AI374" s="4"/>
      <x:c r="AJ374" s="2"/>
      <x:c r="AK374" s="2" t="s">
        <x:v>234</x:v>
      </x:c>
      <x:c r="AL374" s="2" t="s">
        <x:v>3061</x:v>
      </x:c>
      <x:c r="AM374" s="2">
        <x:v>74</x:v>
      </x:c>
      <x:c r="AN374" s="2">
        <x:v>74</x:v>
      </x:c>
    </x:row>
    <x:row r="375" ht="52">
      <x:c r="A375" s="2" t="s">
        <x:v>6</x:v>
      </x:c>
      <x:c r="B375" s="2" t="s">
        <x:v>15</x:v>
      </x:c>
      <x:c r="C375" s="3">
        <x:v>73</x:v>
      </x:c>
      <x:c r="D375" s="2" t="s">
        <x:v>1353</x:v>
      </x:c>
      <x:c r="E375" s="2" t="s">
        <x:v>1447</x:v>
      </x:c>
      <x:c r="F375" s="2" t="s">
        <x:v>237</x:v>
      </x:c>
      <x:c r="G375" s="2"/>
      <x:c r="H375" s="2" t="s">
        <x:v>627</x:v>
      </x:c>
      <x:c r="I375" s="2" t="s">
        <x:v>1448</x:v>
      </x:c>
      <x:c r="J375" s="2" t="s">
        <x:v>1449</x:v>
      </x:c>
      <x:c r="K375" s="2" t="n">
        <x:v>72</x:v>
      </x:c>
      <x:c r="L375" s="2"/>
      <x:c r="M375" s="2"/>
      <x:c r="N375" s="2" t="s">
        <x:v>1430</x:v>
      </x:c>
      <x:c r="O375" s="2" t="s">
        <x:v>1355</x:v>
      </x:c>
      <x:c r="P375" s="2" t="s">
        <x:v>1356</x:v>
      </x:c>
      <x:c r="Q375" s="2"/>
      <x:c r="R375" s="3">
        <x:v>2</x:v>
      </x:c>
      <x:c r="S375" s="3"/>
      <x:c r="T375" s="2"/>
      <x:c r="U375" s="2"/>
      <x:c r="V375" s="2"/>
      <x:c r="W375" s="2" t="s">
        <x:v>1448</x:v>
      </x:c>
      <x:c r="X375" s="3"/>
      <x:c r="Y375" s="3"/>
      <x:c r="Z375" s="2"/>
      <x:c r="AA375" s="2" t="s">
        <x:v>232</x:v>
      </x:c>
      <x:c r="AB375" s="2" t="s">
        <x:v>1357</x:v>
      </x:c>
      <x:c r="AC375" s="2"/>
      <x:c r="AD375" s="2"/>
      <x:c r="AE375" s="2"/>
      <x:c r="AF375" s="2"/>
      <x:c r="AG375" s="2"/>
      <x:c r="AH375" s="2"/>
      <x:c r="AI375" s="4"/>
      <x:c r="AJ375" s="2"/>
      <x:c r="AK375" s="2" t="s">
        <x:v>234</x:v>
      </x:c>
      <x:c r="AL375" s="2" t="s">
        <x:v>3061</x:v>
      </x:c>
      <x:c r="AM375" s="2">
        <x:v>75</x:v>
      </x:c>
      <x:c r="AN375" s="2">
        <x:v>75</x:v>
      </x:c>
    </x:row>
    <x:row r="376" ht="52">
      <x:c r="A376" s="2" t="s">
        <x:v>6</x:v>
      </x:c>
      <x:c r="B376" s="2" t="s">
        <x:v>15</x:v>
      </x:c>
      <x:c r="C376" s="3">
        <x:v>74</x:v>
      </x:c>
      <x:c r="D376" s="2" t="s">
        <x:v>1401</x:v>
      </x:c>
      <x:c r="E376" s="2" t="s">
        <x:v>1447</x:v>
      </x:c>
      <x:c r="F376" s="2" t="s">
        <x:v>254</x:v>
      </x:c>
      <x:c r="G376" s="2"/>
      <x:c r="H376" s="2" t="s">
        <x:v>627</x:v>
      </x:c>
      <x:c r="I376" s="2" t="s">
        <x:v>1448</x:v>
      </x:c>
      <x:c r="J376" s="2" t="s">
        <x:v>1402</x:v>
      </x:c>
      <x:c r="K376" s="2" t="n">
        <x:v>72</x:v>
      </x:c>
      <x:c r="L376" s="2"/>
      <x:c r="M376" s="2"/>
      <x:c r="N376" s="2" t="s">
        <x:v>1430</x:v>
      </x:c>
      <x:c r="O376" s="2" t="s">
        <x:v>1355</x:v>
      </x:c>
      <x:c r="P376" s="2" t="s">
        <x:v>1356</x:v>
      </x:c>
      <x:c r="Q376" s="2"/>
      <x:c r="R376" s="3">
        <x:v>2</x:v>
      </x:c>
      <x:c r="S376" s="3"/>
      <x:c r="T376" s="2"/>
      <x:c r="U376" s="2"/>
      <x:c r="V376" s="2"/>
      <x:c r="W376" s="2" t="s">
        <x:v>1448</x:v>
      </x:c>
      <x:c r="X376" s="3"/>
      <x:c r="Y376" s="3"/>
      <x:c r="Z376" s="2"/>
      <x:c r="AA376" s="2" t="s">
        <x:v>243</x:v>
      </x:c>
      <x:c r="AB376" s="2" t="s">
        <x:v>1357</x:v>
      </x:c>
      <x:c r="AC376" s="2"/>
      <x:c r="AD376" s="2"/>
      <x:c r="AE376" s="2"/>
      <x:c r="AF376" s="2"/>
      <x:c r="AG376" s="2"/>
      <x:c r="AH376" s="2"/>
      <x:c r="AI376" s="4"/>
      <x:c r="AJ376" s="2"/>
      <x:c r="AK376" s="2" t="s">
        <x:v>234</x:v>
      </x:c>
      <x:c r="AL376" s="2" t="s">
        <x:v>3061</x:v>
      </x:c>
      <x:c r="AM376" s="2">
        <x:v>76</x:v>
      </x:c>
      <x:c r="AN376" s="2">
        <x:v>76</x:v>
      </x:c>
    </x:row>
    <x:row r="377" ht="52">
      <x:c r="A377" s="2" t="s">
        <x:v>91</x:v>
      </x:c>
      <x:c r="B377" s="2" t="s">
        <x:v>15</x:v>
      </x:c>
      <x:c r="C377" s="3">
        <x:v>75</x:v>
      </x:c>
      <x:c r="D377" s="2" t="s">
        <x:v>1281</x:v>
      </x:c>
      <x:c r="E377" s="2" t="s">
        <x:v>1447</x:v>
      </x:c>
      <x:c r="F377" s="2" t="s">
        <x:v>254</x:v>
      </x:c>
      <x:c r="G377" s="2" t="s">
        <x:v>1290</x:v>
      </x:c>
      <x:c r="H377" s="2" t="s">
        <x:v>618</x:v>
      </x:c>
      <x:c r="I377" s="2" t="s">
        <x:v>1448</x:v>
      </x:c>
      <x:c r="J377" s="2" t="s">
        <x:v>1403</x:v>
      </x:c>
      <x:c r="K377" s="2" t="n">
        <x:v>72</x:v>
      </x:c>
      <x:c r="L377" s="2"/>
      <x:c r="M377" s="2"/>
      <x:c r="N377" s="2" t="s">
        <x:v>1430</x:v>
      </x:c>
      <x:c r="O377" s="2" t="s">
        <x:v>1355</x:v>
      </x:c>
      <x:c r="P377" s="2" t="s">
        <x:v>1352</x:v>
      </x:c>
      <x:c r="Q377" s="2"/>
      <x:c r="R377" s="3">
        <x:v>2</x:v>
      </x:c>
      <x:c r="S377" s="3"/>
      <x:c r="T377" s="2"/>
      <x:c r="U377" s="2"/>
      <x:c r="V377" s="2"/>
      <x:c r="W377" s="2" t="s">
        <x:v>1448</x:v>
      </x:c>
      <x:c r="X377" s="3"/>
      <x:c r="Y377" s="3"/>
      <x:c r="Z377" s="2"/>
      <x:c r="AA377" s="2" t="s">
        <x:v>243</x:v>
      </x:c>
      <x:c r="AB377" s="2" t="s">
        <x:v>244</x:v>
      </x:c>
      <x:c r="AC377" s="2"/>
      <x:c r="AD377" s="2"/>
      <x:c r="AE377" s="2"/>
      <x:c r="AF377" s="2"/>
      <x:c r="AG377" s="2"/>
      <x:c r="AH377" s="2"/>
      <x:c r="AI377" s="4"/>
      <x:c r="AJ377" s="2"/>
      <x:c r="AK377" s="2" t="s">
        <x:v>234</x:v>
      </x:c>
      <x:c r="AL377" s="2" t="s">
        <x:v>3061</x:v>
      </x:c>
      <x:c r="AM377" s="2">
        <x:v>77</x:v>
      </x:c>
      <x:c r="AN377" s="2">
        <x:v>77</x:v>
      </x:c>
    </x:row>
    <x:row r="378" ht="52">
      <x:c r="A378" s="2" t="s">
        <x:v>6</x:v>
      </x:c>
      <x:c r="B378" s="2" t="s">
        <x:v>15</x:v>
      </x:c>
      <x:c r="C378" s="3">
        <x:v>76</x:v>
      </x:c>
      <x:c r="D378" s="2" t="s">
        <x:v>1335</x:v>
      </x:c>
      <x:c r="E378" s="2" t="s">
        <x:v>1450</x:v>
      </x:c>
      <x:c r="F378" s="2" t="s">
        <x:v>247</x:v>
      </x:c>
      <x:c r="G378" s="2"/>
      <x:c r="H378" s="2" t="s">
        <x:v>618</x:v>
      </x:c>
      <x:c r="I378" s="2" t="s">
        <x:v>1451</x:v>
      </x:c>
      <x:c r="J378" s="2" t="s">
        <x:v>1406</x:v>
      </x:c>
      <x:c r="K378" s="2"/>
      <x:c r="L378" s="2"/>
      <x:c r="M378" s="2"/>
      <x:c r="N378" s="2" t="s">
        <x:v>1430</x:v>
      </x:c>
      <x:c r="O378" s="2" t="s">
        <x:v>1351</x:v>
      </x:c>
      <x:c r="P378" s="2" t="s">
        <x:v>1352</x:v>
      </x:c>
      <x:c r="Q378" s="2"/>
      <x:c r="R378" s="3">
        <x:v>3</x:v>
      </x:c>
      <x:c r="S378" s="3"/>
      <x:c r="T378" s="2"/>
      <x:c r="U378" s="2"/>
      <x:c r="V378" s="2"/>
      <x:c r="W378" s="2" t="s">
        <x:v>1451</x:v>
      </x:c>
      <x:c r="X378" s="3"/>
      <x:c r="Y378" s="3"/>
      <x:c r="Z378" s="2"/>
      <x:c r="AA378" s="2" t="s">
        <x:v>275</x:v>
      </x:c>
      <x:c r="AB378" s="2" t="s">
        <x:v>276</x:v>
      </x:c>
      <x:c r="AC378" s="2"/>
      <x:c r="AD378" s="2"/>
      <x:c r="AE378" s="2"/>
      <x:c r="AF378" s="2"/>
      <x:c r="AG378" s="2"/>
      <x:c r="AH378" s="2"/>
      <x:c r="AI378" s="4"/>
      <x:c r="AJ378" s="2"/>
      <x:c r="AK378" s="2" t="s">
        <x:v>234</x:v>
      </x:c>
      <x:c r="AL378" s="2" t="s">
        <x:v>3061</x:v>
      </x:c>
      <x:c r="AM378" s="2">
        <x:v>78</x:v>
      </x:c>
      <x:c r="AN378" s="2">
        <x:v>78</x:v>
      </x:c>
    </x:row>
    <x:row r="379" ht="52">
      <x:c r="A379" s="2" t="s">
        <x:v>6</x:v>
      </x:c>
      <x:c r="B379" s="2" t="s">
        <x:v>15</x:v>
      </x:c>
      <x:c r="C379" s="3">
        <x:v>77</x:v>
      </x:c>
      <x:c r="D379" s="2" t="s">
        <x:v>1407</x:v>
      </x:c>
      <x:c r="E379" s="2" t="s">
        <x:v>1450</x:v>
      </x:c>
      <x:c r="F379" s="2" t="s">
        <x:v>247</x:v>
      </x:c>
      <x:c r="G379" s="2"/>
      <x:c r="H379" s="2" t="s">
        <x:v>627</x:v>
      </x:c>
      <x:c r="I379" s="2" t="s">
        <x:v>1451</x:v>
      </x:c>
      <x:c r="J379" s="2" t="s">
        <x:v>1408</x:v>
      </x:c>
      <x:c r="K379" s="2" t="n">
        <x:v>76</x:v>
      </x:c>
      <x:c r="L379" s="2"/>
      <x:c r="M379" s="2"/>
      <x:c r="N379" s="2" t="s">
        <x:v>1430</x:v>
      </x:c>
      <x:c r="O379" s="2" t="s">
        <x:v>1355</x:v>
      </x:c>
      <x:c r="P379" s="2" t="s">
        <x:v>1356</x:v>
      </x:c>
      <x:c r="Q379" s="2"/>
      <x:c r="R379" s="3">
        <x:v>3</x:v>
      </x:c>
      <x:c r="S379" s="3"/>
      <x:c r="T379" s="2"/>
      <x:c r="U379" s="2"/>
      <x:c r="V379" s="2"/>
      <x:c r="W379" s="2" t="s">
        <x:v>1451</x:v>
      </x:c>
      <x:c r="X379" s="3"/>
      <x:c r="Y379" s="3"/>
      <x:c r="Z379" s="2"/>
      <x:c r="AA379" s="2" t="s">
        <x:v>275</x:v>
      </x:c>
      <x:c r="AB379" s="2" t="s">
        <x:v>1357</x:v>
      </x:c>
      <x:c r="AC379" s="2"/>
      <x:c r="AD379" s="2"/>
      <x:c r="AE379" s="2"/>
      <x:c r="AF379" s="2"/>
      <x:c r="AG379" s="2"/>
      <x:c r="AH379" s="2"/>
      <x:c r="AI379" s="4"/>
      <x:c r="AJ379" s="2"/>
      <x:c r="AK379" s="2" t="s">
        <x:v>234</x:v>
      </x:c>
      <x:c r="AL379" s="2" t="s">
        <x:v>3061</x:v>
      </x:c>
      <x:c r="AM379" s="2">
        <x:v>79</x:v>
      </x:c>
      <x:c r="AN379" s="2">
        <x:v>79</x:v>
      </x:c>
    </x:row>
    <x:row r="380" ht="52">
      <x:c r="A380" s="2" t="s">
        <x:v>6</x:v>
      </x:c>
      <x:c r="B380" s="2" t="s">
        <x:v>15</x:v>
      </x:c>
      <x:c r="C380" s="3">
        <x:v>78</x:v>
      </x:c>
      <x:c r="D380" s="2" t="s">
        <x:v>1384</x:v>
      </x:c>
      <x:c r="E380" s="2" t="s">
        <x:v>1450</x:v>
      </x:c>
      <x:c r="F380" s="2" t="s">
        <x:v>224</x:v>
      </x:c>
      <x:c r="G380" s="2"/>
      <x:c r="H380" s="2" t="s">
        <x:v>627</x:v>
      </x:c>
      <x:c r="I380" s="2" t="s">
        <x:v>1451</x:v>
      </x:c>
      <x:c r="J380" s="2" t="s">
        <x:v>1386</x:v>
      </x:c>
      <x:c r="K380" s="2" t="n">
        <x:v>76</x:v>
      </x:c>
      <x:c r="L380" s="2"/>
      <x:c r="M380" s="2"/>
      <x:c r="N380" s="2" t="s">
        <x:v>1430</x:v>
      </x:c>
      <x:c r="O380" s="2" t="s">
        <x:v>1355</x:v>
      </x:c>
      <x:c r="P380" s="2" t="s">
        <x:v>1356</x:v>
      </x:c>
      <x:c r="Q380" s="2"/>
      <x:c r="R380" s="3">
        <x:v>3</x:v>
      </x:c>
      <x:c r="S380" s="3"/>
      <x:c r="T380" s="2"/>
      <x:c r="U380" s="2"/>
      <x:c r="V380" s="2"/>
      <x:c r="W380" s="2" t="s">
        <x:v>1451</x:v>
      </x:c>
      <x:c r="X380" s="3"/>
      <x:c r="Y380" s="3"/>
      <x:c r="Z380" s="2"/>
      <x:c r="AA380" s="2" t="s">
        <x:v>232</x:v>
      </x:c>
      <x:c r="AB380" s="2" t="s">
        <x:v>1357</x:v>
      </x:c>
      <x:c r="AC380" s="2"/>
      <x:c r="AD380" s="2"/>
      <x:c r="AE380" s="2"/>
      <x:c r="AF380" s="2"/>
      <x:c r="AG380" s="2"/>
      <x:c r="AH380" s="2"/>
      <x:c r="AI380" s="4"/>
      <x:c r="AJ380" s="2"/>
      <x:c r="AK380" s="2" t="s">
        <x:v>234</x:v>
      </x:c>
      <x:c r="AL380" s="2" t="s">
        <x:v>3061</x:v>
      </x:c>
      <x:c r="AM380" s="2">
        <x:v>80</x:v>
      </x:c>
      <x:c r="AN380" s="2">
        <x:v>80</x:v>
      </x:c>
    </x:row>
    <x:row r="381" ht="52">
      <x:c r="A381" s="2" t="s">
        <x:v>91</x:v>
      </x:c>
      <x:c r="B381" s="2" t="s">
        <x:v>15</x:v>
      </x:c>
      <x:c r="C381" s="3">
        <x:v>79</x:v>
      </x:c>
      <x:c r="D381" s="2" t="s">
        <x:v>1346</x:v>
      </x:c>
      <x:c r="E381" s="2" t="s">
        <x:v>1450</x:v>
      </x:c>
      <x:c r="F381" s="2" t="s">
        <x:v>224</x:v>
      </x:c>
      <x:c r="G381" s="2" t="s">
        <x:v>1373</x:v>
      </x:c>
      <x:c r="H381" s="2" t="s">
        <x:v>618</x:v>
      </x:c>
      <x:c r="I381" s="2" t="s">
        <x:v>1451</x:v>
      </x:c>
      <x:c r="J381" s="2" t="s">
        <x:v>1387</x:v>
      </x:c>
      <x:c r="K381" s="2" t="n">
        <x:v>76</x:v>
      </x:c>
      <x:c r="L381" s="2"/>
      <x:c r="M381" s="2"/>
      <x:c r="N381" s="2" t="s">
        <x:v>1430</x:v>
      </x:c>
      <x:c r="O381" s="2" t="s">
        <x:v>1355</x:v>
      </x:c>
      <x:c r="P381" s="2" t="s">
        <x:v>1352</x:v>
      </x:c>
      <x:c r="Q381" s="2"/>
      <x:c r="R381" s="3">
        <x:v>3</x:v>
      </x:c>
      <x:c r="S381" s="3"/>
      <x:c r="T381" s="2"/>
      <x:c r="U381" s="2"/>
      <x:c r="V381" s="2"/>
      <x:c r="W381" s="2" t="s">
        <x:v>1451</x:v>
      </x:c>
      <x:c r="X381" s="3"/>
      <x:c r="Y381" s="3"/>
      <x:c r="Z381" s="2"/>
      <x:c r="AA381" s="2" t="s">
        <x:v>232</x:v>
      </x:c>
      <x:c r="AB381" s="2" t="s">
        <x:v>292</x:v>
      </x:c>
      <x:c r="AC381" s="2"/>
      <x:c r="AD381" s="2"/>
      <x:c r="AE381" s="2"/>
      <x:c r="AF381" s="2"/>
      <x:c r="AG381" s="2"/>
      <x:c r="AH381" s="2"/>
      <x:c r="AI381" s="4"/>
      <x:c r="AJ381" s="2"/>
      <x:c r="AK381" s="2" t="s">
        <x:v>234</x:v>
      </x:c>
      <x:c r="AL381" s="2" t="s">
        <x:v>3061</x:v>
      </x:c>
      <x:c r="AM381" s="2">
        <x:v>81</x:v>
      </x:c>
      <x:c r="AN381" s="2">
        <x:v>81</x:v>
      </x:c>
    </x:row>
    <x:row r="382" ht="52">
      <x:c r="A382" s="2" t="s">
        <x:v>91</x:v>
      </x:c>
      <x:c r="B382" s="2" t="s">
        <x:v>15</x:v>
      </x:c>
      <x:c r="C382" s="3">
        <x:v>80</x:v>
      </x:c>
      <x:c r="D382" s="2" t="s">
        <x:v>1388</x:v>
      </x:c>
      <x:c r="E382" s="2" t="s">
        <x:v>1347</x:v>
      </x:c>
      <x:c r="F382" s="2" t="s">
        <x:v>237</x:v>
      </x:c>
      <x:c r="G382" s="2" t="s">
        <x:v>1415</x:v>
      </x:c>
      <x:c r="H382" s="2" t="s">
        <x:v>618</x:v>
      </x:c>
      <x:c r="I382" s="2" t="s">
        <x:v>1454</x:v>
      </x:c>
      <x:c r="J382" s="2" t="s">
        <x:v>1349</x:v>
      </x:c>
      <x:c r="K382" s="2"/>
      <x:c r="L382" s="2"/>
      <x:c r="M382" s="2"/>
      <x:c r="N382" s="2" t="s">
        <x:v>1455</x:v>
      </x:c>
      <x:c r="O382" s="2" t="s">
        <x:v>1351</x:v>
      </x:c>
      <x:c r="P382" s="2" t="s">
        <x:v>1352</x:v>
      </x:c>
      <x:c r="Q382" s="2"/>
      <x:c r="R382" s="3">
        <x:v>2</x:v>
      </x:c>
      <x:c r="S382" s="3"/>
      <x:c r="T382" s="2"/>
      <x:c r="U382" s="2"/>
      <x:c r="V382" s="2"/>
      <x:c r="W382" s="2" t="s">
        <x:v>1454</x:v>
      </x:c>
      <x:c r="X382" s="3"/>
      <x:c r="Y382" s="3"/>
      <x:c r="Z382" s="2"/>
      <x:c r="AA382" s="2" t="s">
        <x:v>232</x:v>
      </x:c>
      <x:c r="AB382" s="2" t="s">
        <x:v>233</x:v>
      </x:c>
      <x:c r="AC382" s="2"/>
      <x:c r="AD382" s="2"/>
      <x:c r="AE382" s="2"/>
      <x:c r="AF382" s="2"/>
      <x:c r="AG382" s="2"/>
      <x:c r="AH382" s="2"/>
      <x:c r="AI382" s="4"/>
      <x:c r="AJ382" s="2"/>
      <x:c r="AK382" s="2" t="s">
        <x:v>234</x:v>
      </x:c>
      <x:c r="AL382" s="2" t="s">
        <x:v>3061</x:v>
      </x:c>
      <x:c r="AM382" s="2">
        <x:v>82</x:v>
      </x:c>
      <x:c r="AN382" s="2">
        <x:v>82</x:v>
      </x:c>
    </x:row>
    <x:row r="383" ht="52">
      <x:c r="A383" s="2" t="s">
        <x:v>6</x:v>
      </x:c>
      <x:c r="B383" s="2" t="s">
        <x:v>15</x:v>
      </x:c>
      <x:c r="C383" s="3">
        <x:v>81</x:v>
      </x:c>
      <x:c r="D383" s="2" t="s">
        <x:v>1281</x:v>
      </x:c>
      <x:c r="E383" s="2" t="s">
        <x:v>1347</x:v>
      </x:c>
      <x:c r="F383" s="2" t="s">
        <x:v>224</x:v>
      </x:c>
      <x:c r="G383" s="2" t="s">
        <x:v>1415</x:v>
      </x:c>
      <x:c r="H383" s="2" t="s">
        <x:v>618</x:v>
      </x:c>
      <x:c r="I383" s="2" t="s">
        <x:v>1454</x:v>
      </x:c>
      <x:c r="J383" s="2" t="s">
        <x:v>1371</x:v>
      </x:c>
      <x:c r="K383" s="2" t="n">
        <x:v>80</x:v>
      </x:c>
      <x:c r="L383" s="2"/>
      <x:c r="M383" s="2"/>
      <x:c r="N383" s="2" t="s">
        <x:v>1455</x:v>
      </x:c>
      <x:c r="O383" s="2" t="s">
        <x:v>1355</x:v>
      </x:c>
      <x:c r="P383" s="2" t="s">
        <x:v>1352</x:v>
      </x:c>
      <x:c r="Q383" s="2"/>
      <x:c r="R383" s="3">
        <x:v>2</x:v>
      </x:c>
      <x:c r="S383" s="3"/>
      <x:c r="T383" s="2"/>
      <x:c r="U383" s="2"/>
      <x:c r="V383" s="2"/>
      <x:c r="W383" s="2" t="s">
        <x:v>1454</x:v>
      </x:c>
      <x:c r="X383" s="3"/>
      <x:c r="Y383" s="3"/>
      <x:c r="Z383" s="2"/>
      <x:c r="AA383" s="2" t="s">
        <x:v>243</x:v>
      </x:c>
      <x:c r="AB383" s="2" t="s">
        <x:v>244</x:v>
      </x:c>
      <x:c r="AC383" s="2"/>
      <x:c r="AD383" s="2"/>
      <x:c r="AE383" s="2"/>
      <x:c r="AF383" s="2"/>
      <x:c r="AG383" s="2"/>
      <x:c r="AH383" s="2"/>
      <x:c r="AI383" s="4"/>
      <x:c r="AJ383" s="2"/>
      <x:c r="AK383" s="2" t="s">
        <x:v>234</x:v>
      </x:c>
      <x:c r="AL383" s="2" t="s">
        <x:v>3061</x:v>
      </x:c>
      <x:c r="AM383" s="2">
        <x:v>83</x:v>
      </x:c>
      <x:c r="AN383" s="2">
        <x:v>83</x:v>
      </x:c>
    </x:row>
    <x:row r="384" ht="52">
      <x:c r="A384" s="2" t="s">
        <x:v>91</x:v>
      </x:c>
      <x:c r="B384" s="2" t="s">
        <x:v>15</x:v>
      </x:c>
      <x:c r="C384" s="3">
        <x:v>82</x:v>
      </x:c>
      <x:c r="D384" s="2" t="s">
        <x:v>1335</x:v>
      </x:c>
      <x:c r="E384" s="2" t="s">
        <x:v>1457</x:v>
      </x:c>
      <x:c r="F384" s="2" t="s">
        <x:v>237</x:v>
      </x:c>
      <x:c r="G384" s="2" t="s">
        <x:v>3129</x:v>
      </x:c>
      <x:c r="H384" s="2" t="s">
        <x:v>618</x:v>
      </x:c>
      <x:c r="I384" s="2" t="s">
        <x:v>1458</x:v>
      </x:c>
      <x:c r="J384" s="2" t="s">
        <x:v>1375</x:v>
      </x:c>
      <x:c r="K384" s="2"/>
      <x:c r="L384" s="2"/>
      <x:c r="M384" s="2"/>
      <x:c r="N384" s="2" t="s">
        <x:v>1455</x:v>
      </x:c>
      <x:c r="O384" s="2" t="s">
        <x:v>1351</x:v>
      </x:c>
      <x:c r="P384" s="2" t="s">
        <x:v>1352</x:v>
      </x:c>
      <x:c r="Q384" s="2"/>
      <x:c r="R384" s="3">
        <x:v>3</x:v>
      </x:c>
      <x:c r="S384" s="3"/>
      <x:c r="T384" s="2"/>
      <x:c r="U384" s="2"/>
      <x:c r="V384" s="2"/>
      <x:c r="W384" s="2" t="s">
        <x:v>1458</x:v>
      </x:c>
      <x:c r="X384" s="3"/>
      <x:c r="Y384" s="3"/>
      <x:c r="Z384" s="2"/>
      <x:c r="AA384" s="2" t="s">
        <x:v>275</x:v>
      </x:c>
      <x:c r="AB384" s="2" t="s">
        <x:v>276</x:v>
      </x:c>
      <x:c r="AC384" s="2"/>
      <x:c r="AD384" s="2"/>
      <x:c r="AE384" s="2"/>
      <x:c r="AF384" s="2"/>
      <x:c r="AG384" s="2"/>
      <x:c r="AH384" s="2"/>
      <x:c r="AI384" s="4"/>
      <x:c r="AJ384" s="2"/>
      <x:c r="AK384" s="2" t="s">
        <x:v>234</x:v>
      </x:c>
      <x:c r="AL384" s="2" t="s">
        <x:v>3061</x:v>
      </x:c>
      <x:c r="AM384" s="2">
        <x:v>84</x:v>
      </x:c>
      <x:c r="AN384" s="2">
        <x:v>84</x:v>
      </x:c>
    </x:row>
    <x:row r="385" ht="52">
      <x:c r="A385" s="2" t="s">
        <x:v>91</x:v>
      </x:c>
      <x:c r="B385" s="2" t="s">
        <x:v>15</x:v>
      </x:c>
      <x:c r="C385" s="3">
        <x:v>83</x:v>
      </x:c>
      <x:c r="D385" s="2" t="s">
        <x:v>1346</x:v>
      </x:c>
      <x:c r="E385" s="2" t="s">
        <x:v>1457</x:v>
      </x:c>
      <x:c r="F385" s="2" t="s">
        <x:v>224</x:v>
      </x:c>
      <x:c r="G385" s="2" t="s">
        <x:v>3130</x:v>
      </x:c>
      <x:c r="H385" s="2" t="s">
        <x:v>618</x:v>
      </x:c>
      <x:c r="I385" s="2" t="s">
        <x:v>1458</x:v>
      </x:c>
      <x:c r="J385" s="2" t="s">
        <x:v>1387</x:v>
      </x:c>
      <x:c r="K385" s="2" t="n">
        <x:v>82</x:v>
      </x:c>
      <x:c r="L385" s="2"/>
      <x:c r="M385" s="2"/>
      <x:c r="N385" s="2" t="s">
        <x:v>1455</x:v>
      </x:c>
      <x:c r="O385" s="2" t="s">
        <x:v>1355</x:v>
      </x:c>
      <x:c r="P385" s="2" t="s">
        <x:v>1352</x:v>
      </x:c>
      <x:c r="Q385" s="2"/>
      <x:c r="R385" s="3">
        <x:v>3</x:v>
      </x:c>
      <x:c r="S385" s="3"/>
      <x:c r="T385" s="2"/>
      <x:c r="U385" s="2"/>
      <x:c r="V385" s="2"/>
      <x:c r="W385" s="2" t="s">
        <x:v>1458</x:v>
      </x:c>
      <x:c r="X385" s="3"/>
      <x:c r="Y385" s="3"/>
      <x:c r="Z385" s="2"/>
      <x:c r="AA385" s="2" t="s">
        <x:v>232</x:v>
      </x:c>
      <x:c r="AB385" s="2" t="s">
        <x:v>292</x:v>
      </x:c>
      <x:c r="AC385" s="2"/>
      <x:c r="AD385" s="2"/>
      <x:c r="AE385" s="2"/>
      <x:c r="AF385" s="2"/>
      <x:c r="AG385" s="2"/>
      <x:c r="AH385" s="2"/>
      <x:c r="AI385" s="4"/>
      <x:c r="AJ385" s="2"/>
      <x:c r="AK385" s="2" t="s">
        <x:v>234</x:v>
      </x:c>
      <x:c r="AL385" s="2" t="s">
        <x:v>3061</x:v>
      </x:c>
      <x:c r="AM385" s="2">
        <x:v>85</x:v>
      </x:c>
      <x:c r="AN385" s="2">
        <x:v>85</x:v>
      </x:c>
    </x:row>
    <x:row r="386" ht="52">
      <x:c r="A386" s="2" t="s">
        <x:v>91</x:v>
      </x:c>
      <x:c r="B386" s="2" t="s">
        <x:v>15</x:v>
      </x:c>
      <x:c r="C386" s="3">
        <x:v>84</x:v>
      </x:c>
      <x:c r="D386" s="2" t="s">
        <x:v>1288</x:v>
      </x:c>
      <x:c r="E386" s="2" t="s">
        <x:v>1459</x:v>
      </x:c>
      <x:c r="F386" s="2" t="s">
        <x:v>237</x:v>
      </x:c>
      <x:c r="G386" s="2" t="s">
        <x:v>1276</x:v>
      </x:c>
      <x:c r="H386" s="2" t="s">
        <x:v>618</x:v>
      </x:c>
      <x:c r="I386" s="2" t="s">
        <x:v>1460</x:v>
      </x:c>
      <x:c r="J386" s="2" t="s">
        <x:v>1417</x:v>
      </x:c>
      <x:c r="K386" s="2"/>
      <x:c r="L386" s="2"/>
      <x:c r="M386" s="2"/>
      <x:c r="N386" s="2" t="s">
        <x:v>1455</x:v>
      </x:c>
      <x:c r="O386" s="2" t="s">
        <x:v>1351</x:v>
      </x:c>
      <x:c r="P386" s="2" t="s">
        <x:v>1352</x:v>
      </x:c>
      <x:c r="Q386" s="2"/>
      <x:c r="R386" s="3">
        <x:v>4</x:v>
      </x:c>
      <x:c r="S386" s="3"/>
      <x:c r="T386" s="2"/>
      <x:c r="U386" s="2"/>
      <x:c r="V386" s="2"/>
      <x:c r="W386" s="2" t="s">
        <x:v>1460</x:v>
      </x:c>
      <x:c r="X386" s="3"/>
      <x:c r="Y386" s="3"/>
      <x:c r="Z386" s="2"/>
      <x:c r="AA386" s="2" t="s">
        <x:v>232</x:v>
      </x:c>
      <x:c r="AB386" s="2" t="s">
        <x:v>300</x:v>
      </x:c>
      <x:c r="AC386" s="2"/>
      <x:c r="AD386" s="2"/>
      <x:c r="AE386" s="2"/>
      <x:c r="AF386" s="2"/>
      <x:c r="AG386" s="2"/>
      <x:c r="AH386" s="2"/>
      <x:c r="AI386" s="4"/>
      <x:c r="AJ386" s="2"/>
      <x:c r="AK386" s="2" t="s">
        <x:v>234</x:v>
      </x:c>
      <x:c r="AL386" s="2" t="s">
        <x:v>3061</x:v>
      </x:c>
      <x:c r="AM386" s="2">
        <x:v>86</x:v>
      </x:c>
      <x:c r="AN386" s="2">
        <x:v>86</x:v>
      </x:c>
    </x:row>
    <x:row r="387" ht="52">
      <x:c r="A387" s="2" t="s">
        <x:v>91</x:v>
      </x:c>
      <x:c r="B387" s="2" t="s">
        <x:v>15</x:v>
      </x:c>
      <x:c r="C387" s="3">
        <x:v>85</x:v>
      </x:c>
      <x:c r="D387" s="2" t="s">
        <x:v>1340</x:v>
      </x:c>
      <x:c r="E387" s="2" t="s">
        <x:v>1459</x:v>
      </x:c>
      <x:c r="F387" s="2" t="s">
        <x:v>247</x:v>
      </x:c>
      <x:c r="G387" s="2" t="s">
        <x:v>1276</x:v>
      </x:c>
      <x:c r="H387" s="2" t="s">
        <x:v>618</x:v>
      </x:c>
      <x:c r="I387" s="2" t="s">
        <x:v>1460</x:v>
      </x:c>
      <x:c r="J387" s="2" t="s">
        <x:v>1446</x:v>
      </x:c>
      <x:c r="K387" s="2" t="n">
        <x:v>84</x:v>
      </x:c>
      <x:c r="L387" s="2"/>
      <x:c r="M387" s="2"/>
      <x:c r="N387" s="2" t="s">
        <x:v>1455</x:v>
      </x:c>
      <x:c r="O387" s="2" t="s">
        <x:v>1355</x:v>
      </x:c>
      <x:c r="P387" s="2" t="s">
        <x:v>1352</x:v>
      </x:c>
      <x:c r="Q387" s="2"/>
      <x:c r="R387" s="3">
        <x:v>4</x:v>
      </x:c>
      <x:c r="S387" s="3"/>
      <x:c r="T387" s="2"/>
      <x:c r="U387" s="2"/>
      <x:c r="V387" s="2"/>
      <x:c r="W387" s="2" t="s">
        <x:v>1460</x:v>
      </x:c>
      <x:c r="X387" s="3"/>
      <x:c r="Y387" s="3"/>
      <x:c r="Z387" s="2"/>
      <x:c r="AA387" s="2" t="s">
        <x:v>275</x:v>
      </x:c>
      <x:c r="AB387" s="2" t="s">
        <x:v>284</x:v>
      </x:c>
      <x:c r="AC387" s="2"/>
      <x:c r="AD387" s="2"/>
      <x:c r="AE387" s="2"/>
      <x:c r="AF387" s="2"/>
      <x:c r="AG387" s="2"/>
      <x:c r="AH387" s="2"/>
      <x:c r="AI387" s="4"/>
      <x:c r="AJ387" s="2"/>
      <x:c r="AK387" s="2" t="s">
        <x:v>234</x:v>
      </x:c>
      <x:c r="AL387" s="2" t="s">
        <x:v>3061</x:v>
      </x:c>
      <x:c r="AM387" s="2">
        <x:v>87</x:v>
      </x:c>
      <x:c r="AN387" s="2">
        <x:v>87</x:v>
      </x:c>
    </x:row>
    <x:row r="388" ht="52">
      <x:c r="A388" s="2" t="s">
        <x:v>91</x:v>
      </x:c>
      <x:c r="B388" s="2" t="s">
        <x:v>15</x:v>
      </x:c>
      <x:c r="C388" s="3">
        <x:v>86</x:v>
      </x:c>
      <x:c r="D388" s="2" t="s">
        <x:v>1281</x:v>
      </x:c>
      <x:c r="E388" s="2" t="s">
        <x:v>1447</x:v>
      </x:c>
      <x:c r="F388" s="2" t="s">
        <x:v>254</x:v>
      </x:c>
      <x:c r="G388" s="2" t="s">
        <x:v>1290</x:v>
      </x:c>
      <x:c r="H388" s="2" t="s">
        <x:v>618</x:v>
      </x:c>
      <x:c r="I388" s="2" t="s">
        <x:v>1461</x:v>
      </x:c>
      <x:c r="J388" s="2" t="s">
        <x:v>1403</x:v>
      </x:c>
      <x:c r="K388" s="2"/>
      <x:c r="L388" s="2"/>
      <x:c r="M388" s="2"/>
      <x:c r="N388" s="2" t="s">
        <x:v>1455</x:v>
      </x:c>
      <x:c r="O388" s="2" t="s">
        <x:v>1351</x:v>
      </x:c>
      <x:c r="P388" s="2" t="s">
        <x:v>1352</x:v>
      </x:c>
      <x:c r="Q388" s="2"/>
      <x:c r="R388" s="3">
        <x:v>2</x:v>
      </x:c>
      <x:c r="S388" s="3"/>
      <x:c r="T388" s="2"/>
      <x:c r="U388" s="2"/>
      <x:c r="V388" s="2"/>
      <x:c r="W388" s="2" t="s">
        <x:v>1461</x:v>
      </x:c>
      <x:c r="X388" s="3"/>
      <x:c r="Y388" s="3"/>
      <x:c r="Z388" s="2"/>
      <x:c r="AA388" s="2" t="s">
        <x:v>243</x:v>
      </x:c>
      <x:c r="AB388" s="2" t="s">
        <x:v>244</x:v>
      </x:c>
      <x:c r="AC388" s="2"/>
      <x:c r="AD388" s="2"/>
      <x:c r="AE388" s="2"/>
      <x:c r="AF388" s="2"/>
      <x:c r="AG388" s="2"/>
      <x:c r="AH388" s="2"/>
      <x:c r="AI388" s="4"/>
      <x:c r="AJ388" s="2"/>
      <x:c r="AK388" s="2" t="s">
        <x:v>234</x:v>
      </x:c>
      <x:c r="AL388" s="2" t="s">
        <x:v>3061</x:v>
      </x:c>
      <x:c r="AM388" s="2">
        <x:v>88</x:v>
      </x:c>
      <x:c r="AN388" s="2">
        <x:v>88</x:v>
      </x:c>
    </x:row>
    <x:row r="389" ht="52">
      <x:c r="A389" s="2" t="s">
        <x:v>6</x:v>
      </x:c>
      <x:c r="B389" s="2" t="s">
        <x:v>15</x:v>
      </x:c>
      <x:c r="C389" s="3">
        <x:v>87</x:v>
      </x:c>
      <x:c r="D389" s="2" t="s">
        <x:v>1388</x:v>
      </x:c>
      <x:c r="E389" s="2" t="s">
        <x:v>1447</x:v>
      </x:c>
      <x:c r="F389" s="2" t="s">
        <x:v>237</x:v>
      </x:c>
      <x:c r="G389" s="2"/>
      <x:c r="H389" s="2" t="s">
        <x:v>618</x:v>
      </x:c>
      <x:c r="I389" s="2" t="s">
        <x:v>1461</x:v>
      </x:c>
      <x:c r="J389" s="2" t="s">
        <x:v>1349</x:v>
      </x:c>
      <x:c r="K389" s="2" t="n">
        <x:v>86</x:v>
      </x:c>
      <x:c r="L389" s="2"/>
      <x:c r="M389" s="2"/>
      <x:c r="N389" s="2" t="s">
        <x:v>1455</x:v>
      </x:c>
      <x:c r="O389" s="2" t="s">
        <x:v>1355</x:v>
      </x:c>
      <x:c r="P389" s="2" t="s">
        <x:v>1352</x:v>
      </x:c>
      <x:c r="Q389" s="2"/>
      <x:c r="R389" s="3">
        <x:v>2</x:v>
      </x:c>
      <x:c r="S389" s="3"/>
      <x:c r="T389" s="2"/>
      <x:c r="U389" s="2"/>
      <x:c r="V389" s="2"/>
      <x:c r="W389" s="2" t="s">
        <x:v>1461</x:v>
      </x:c>
      <x:c r="X389" s="3"/>
      <x:c r="Y389" s="3"/>
      <x:c r="Z389" s="2"/>
      <x:c r="AA389" s="2" t="s">
        <x:v>232</x:v>
      </x:c>
      <x:c r="AB389" s="2" t="s">
        <x:v>233</x:v>
      </x:c>
      <x:c r="AC389" s="2"/>
      <x:c r="AD389" s="2"/>
      <x:c r="AE389" s="2"/>
      <x:c r="AF389" s="2"/>
      <x:c r="AG389" s="2"/>
      <x:c r="AH389" s="2"/>
      <x:c r="AI389" s="4"/>
      <x:c r="AJ389" s="2"/>
      <x:c r="AK389" s="2" t="s">
        <x:v>234</x:v>
      </x:c>
      <x:c r="AL389" s="2" t="s">
        <x:v>3061</x:v>
      </x:c>
      <x:c r="AM389" s="2">
        <x:v>89</x:v>
      </x:c>
      <x:c r="AN389" s="2">
        <x:v>89</x:v>
      </x:c>
    </x:row>
    <x:row r="390" ht="52">
      <x:c r="A390" s="2" t="s">
        <x:v>91</x:v>
      </x:c>
      <x:c r="B390" s="2" t="s">
        <x:v>15</x:v>
      </x:c>
      <x:c r="C390" s="3">
        <x:v>88</x:v>
      </x:c>
      <x:c r="D390" s="2" t="s">
        <x:v>1346</x:v>
      </x:c>
      <x:c r="E390" s="2" t="s">
        <x:v>1462</x:v>
      </x:c>
      <x:c r="F390" s="2" t="s">
        <x:v>224</x:v>
      </x:c>
      <x:c r="G390" s="2" t="s">
        <x:v>1373</x:v>
      </x:c>
      <x:c r="H390" s="2" t="s">
        <x:v>618</x:v>
      </x:c>
      <x:c r="I390" s="2" t="s">
        <x:v>1463</x:v>
      </x:c>
      <x:c r="J390" s="2" t="s">
        <x:v>1387</x:v>
      </x:c>
      <x:c r="K390" s="2"/>
      <x:c r="L390" s="2"/>
      <x:c r="M390" s="2"/>
      <x:c r="N390" s="2" t="s">
        <x:v>1455</x:v>
      </x:c>
      <x:c r="O390" s="2" t="s">
        <x:v>1351</x:v>
      </x:c>
      <x:c r="P390" s="2" t="s">
        <x:v>1352</x:v>
      </x:c>
      <x:c r="Q390" s="2"/>
      <x:c r="R390" s="3">
        <x:v>3</x:v>
      </x:c>
      <x:c r="S390" s="3"/>
      <x:c r="T390" s="2"/>
      <x:c r="U390" s="2"/>
      <x:c r="V390" s="2"/>
      <x:c r="W390" s="2" t="s">
        <x:v>1463</x:v>
      </x:c>
      <x:c r="X390" s="3"/>
      <x:c r="Y390" s="3"/>
      <x:c r="Z390" s="2"/>
      <x:c r="AA390" s="2" t="s">
        <x:v>232</x:v>
      </x:c>
      <x:c r="AB390" s="2" t="s">
        <x:v>292</x:v>
      </x:c>
      <x:c r="AC390" s="2"/>
      <x:c r="AD390" s="2"/>
      <x:c r="AE390" s="2"/>
      <x:c r="AF390" s="2"/>
      <x:c r="AG390" s="2"/>
      <x:c r="AH390" s="2"/>
      <x:c r="AI390" s="4"/>
      <x:c r="AJ390" s="2"/>
      <x:c r="AK390" s="2" t="s">
        <x:v>234</x:v>
      </x:c>
      <x:c r="AL390" s="2" t="s">
        <x:v>3061</x:v>
      </x:c>
      <x:c r="AM390" s="2">
        <x:v>90</x:v>
      </x:c>
      <x:c r="AN390" s="2">
        <x:v>90</x:v>
      </x:c>
    </x:row>
    <x:row r="391" ht="52">
      <x:c r="A391" s="2" t="s">
        <x:v>6</x:v>
      </x:c>
      <x:c r="B391" s="2" t="s">
        <x:v>15</x:v>
      </x:c>
      <x:c r="C391" s="3">
        <x:v>89</x:v>
      </x:c>
      <x:c r="D391" s="2" t="s">
        <x:v>1335</x:v>
      </x:c>
      <x:c r="E391" s="2" t="s">
        <x:v>1462</x:v>
      </x:c>
      <x:c r="F391" s="2" t="s">
        <x:v>247</x:v>
      </x:c>
      <x:c r="G391" s="2"/>
      <x:c r="H391" s="2" t="s">
        <x:v>618</x:v>
      </x:c>
      <x:c r="I391" s="2" t="s">
        <x:v>1463</x:v>
      </x:c>
      <x:c r="J391" s="2" t="s">
        <x:v>1406</x:v>
      </x:c>
      <x:c r="K391" s="2" t="n">
        <x:v>88</x:v>
      </x:c>
      <x:c r="L391" s="2"/>
      <x:c r="M391" s="2"/>
      <x:c r="N391" s="2" t="s">
        <x:v>1455</x:v>
      </x:c>
      <x:c r="O391" s="2" t="s">
        <x:v>1355</x:v>
      </x:c>
      <x:c r="P391" s="2" t="s">
        <x:v>1352</x:v>
      </x:c>
      <x:c r="Q391" s="2"/>
      <x:c r="R391" s="3">
        <x:v>3</x:v>
      </x:c>
      <x:c r="S391" s="3"/>
      <x:c r="T391" s="2"/>
      <x:c r="U391" s="2"/>
      <x:c r="V391" s="2"/>
      <x:c r="W391" s="2" t="s">
        <x:v>1463</x:v>
      </x:c>
      <x:c r="X391" s="3"/>
      <x:c r="Y391" s="3"/>
      <x:c r="Z391" s="2"/>
      <x:c r="AA391" s="2" t="s">
        <x:v>275</x:v>
      </x:c>
      <x:c r="AB391" s="2" t="s">
        <x:v>276</x:v>
      </x:c>
      <x:c r="AC391" s="2"/>
      <x:c r="AD391" s="2"/>
      <x:c r="AE391" s="2"/>
      <x:c r="AF391" s="2"/>
      <x:c r="AG391" s="2"/>
      <x:c r="AH391" s="2"/>
      <x:c r="AI391" s="4"/>
      <x:c r="AJ391" s="2"/>
      <x:c r="AK391" s="2" t="s">
        <x:v>234</x:v>
      </x:c>
      <x:c r="AL391" s="2" t="s">
        <x:v>3061</x:v>
      </x:c>
      <x:c r="AM391" s="2">
        <x:v>91</x:v>
      </x:c>
      <x:c r="AN391" s="2">
        <x:v>91</x:v>
      </x:c>
    </x:row>
    <x:row r="392" ht="52">
      <x:c r="A392" s="2" t="s">
        <x:v>6</x:v>
      </x:c>
      <x:c r="B392" s="2" t="s">
        <x:v>15</x:v>
      </x:c>
      <x:c r="C392" s="3">
        <x:v>90</x:v>
      </x:c>
      <x:c r="D392" s="2" t="s">
        <x:v>1439</x:v>
      </x:c>
      <x:c r="E392" s="2" t="s">
        <x:v>1317</x:v>
      </x:c>
      <x:c r="F392" s="2" t="s">
        <x:v>254</x:v>
      </x:c>
      <x:c r="G392" s="2"/>
      <x:c r="H392" s="2" t="s">
        <x:v>618</x:v>
      </x:c>
      <x:c r="I392" s="2" t="s">
        <x:v>1465</x:v>
      </x:c>
      <x:c r="J392" s="2" t="s">
        <x:v>1442</x:v>
      </x:c>
      <x:c r="K392" s="2"/>
      <x:c r="L392" s="2"/>
      <x:c r="M392" s="2"/>
      <x:c r="N392" s="2" t="s">
        <x:v>1455</x:v>
      </x:c>
      <x:c r="O392" s="2" t="s">
        <x:v>1351</x:v>
      </x:c>
      <x:c r="P392" s="2" t="s">
        <x:v>1352</x:v>
      </x:c>
      <x:c r="Q392" s="2"/>
      <x:c r="R392" s="3">
        <x:v>4</x:v>
      </x:c>
      <x:c r="S392" s="3"/>
      <x:c r="T392" s="2"/>
      <x:c r="U392" s="2"/>
      <x:c r="V392" s="2"/>
      <x:c r="W392" s="2" t="s">
        <x:v>1465</x:v>
      </x:c>
      <x:c r="X392" s="3"/>
      <x:c r="Y392" s="3"/>
      <x:c r="Z392" s="2"/>
      <x:c r="AA392" s="2" t="s">
        <x:v>1314</x:v>
      </x:c>
      <x:c r="AB392" s="2" t="s">
        <x:v>1315</x:v>
      </x:c>
      <x:c r="AC392" s="2"/>
      <x:c r="AD392" s="2"/>
      <x:c r="AE392" s="2"/>
      <x:c r="AF392" s="2"/>
      <x:c r="AG392" s="2"/>
      <x:c r="AH392" s="2"/>
      <x:c r="AI392" s="4"/>
      <x:c r="AJ392" s="2"/>
      <x:c r="AK392" s="2" t="s">
        <x:v>234</x:v>
      </x:c>
      <x:c r="AL392" s="2" t="s">
        <x:v>3061</x:v>
      </x:c>
      <x:c r="AM392" s="2">
        <x:v>92</x:v>
      </x:c>
      <x:c r="AN392" s="2">
        <x:v>92</x:v>
      </x:c>
    </x:row>
    <x:row r="393" ht="52">
      <x:c r="A393" s="2" t="s">
        <x:v>6</x:v>
      </x:c>
      <x:c r="B393" s="2" t="s">
        <x:v>15</x:v>
      </x:c>
      <x:c r="C393" s="3">
        <x:v>91</x:v>
      </x:c>
      <x:c r="D393" s="2" t="s">
        <x:v>1466</x:v>
      </x:c>
      <x:c r="E393" s="2" t="s">
        <x:v>1317</x:v>
      </x:c>
      <x:c r="F393" s="2" t="s">
        <x:v>224</x:v>
      </x:c>
      <x:c r="G393" s="2"/>
      <x:c r="H393" s="2" t="s">
        <x:v>618</x:v>
      </x:c>
      <x:c r="I393" s="2" t="s">
        <x:v>1465</x:v>
      </x:c>
      <x:c r="J393" s="2" t="s">
        <x:v>1427</x:v>
      </x:c>
      <x:c r="K393" s="2" t="n">
        <x:v>90</x:v>
      </x:c>
      <x:c r="L393" s="2"/>
      <x:c r="M393" s="2"/>
      <x:c r="N393" s="2" t="s">
        <x:v>1455</x:v>
      </x:c>
      <x:c r="O393" s="2" t="s">
        <x:v>1355</x:v>
      </x:c>
      <x:c r="P393" s="2" t="s">
        <x:v>1352</x:v>
      </x:c>
      <x:c r="Q393" s="2"/>
      <x:c r="R393" s="3">
        <x:v>4</x:v>
      </x:c>
      <x:c r="S393" s="3"/>
      <x:c r="T393" s="2"/>
      <x:c r="U393" s="2"/>
      <x:c r="V393" s="2"/>
      <x:c r="W393" s="2" t="s">
        <x:v>1465</x:v>
      </x:c>
      <x:c r="X393" s="3"/>
      <x:c r="Y393" s="3"/>
      <x:c r="Z393" s="2"/>
      <x:c r="AA393" s="2" t="s">
        <x:v>243</x:v>
      </x:c>
      <x:c r="AB393" s="2" t="s">
        <x:v>267</x:v>
      </x:c>
      <x:c r="AC393" s="2"/>
      <x:c r="AD393" s="2"/>
      <x:c r="AE393" s="2"/>
      <x:c r="AF393" s="2"/>
      <x:c r="AG393" s="2"/>
      <x:c r="AH393" s="2"/>
      <x:c r="AI393" s="4"/>
      <x:c r="AJ393" s="2"/>
      <x:c r="AK393" s="2" t="s">
        <x:v>234</x:v>
      </x:c>
      <x:c r="AL393" s="2" t="s">
        <x:v>3061</x:v>
      </x:c>
      <x:c r="AM393" s="2">
        <x:v>93</x:v>
      </x:c>
      <x:c r="AN393" s="2">
        <x:v>93</x:v>
      </x:c>
    </x:row>
    <x:row r="394" ht="52">
      <x:c r="A394" s="2" t="s">
        <x:v>91</x:v>
      </x:c>
      <x:c r="B394" s="2" t="s">
        <x:v>15</x:v>
      </x:c>
      <x:c r="C394" s="3">
        <x:v>92</x:v>
      </x:c>
      <x:c r="D394" s="2" t="s">
        <x:v>1388</x:v>
      </x:c>
      <x:c r="E394" s="2" t="s">
        <x:v>1428</x:v>
      </x:c>
      <x:c r="F394" s="2" t="s">
        <x:v>247</x:v>
      </x:c>
      <x:c r="G394" s="2" t="s">
        <x:v>1415</x:v>
      </x:c>
      <x:c r="H394" s="2" t="s">
        <x:v>618</x:v>
      </x:c>
      <x:c r="I394" s="2" t="s">
        <x:v>1467</x:v>
      </x:c>
      <x:c r="J394" s="2" t="s">
        <x:v>1391</x:v>
      </x:c>
      <x:c r="K394" s="2"/>
      <x:c r="L394" s="2"/>
      <x:c r="M394" s="2"/>
      <x:c r="N394" s="2" t="s">
        <x:v>1455</x:v>
      </x:c>
      <x:c r="O394" s="2" t="s">
        <x:v>1351</x:v>
      </x:c>
      <x:c r="P394" s="2" t="s">
        <x:v>1352</x:v>
      </x:c>
      <x:c r="Q394" s="2"/>
      <x:c r="R394" s="3">
        <x:v>2</x:v>
      </x:c>
      <x:c r="S394" s="3"/>
      <x:c r="T394" s="2"/>
      <x:c r="U394" s="2"/>
      <x:c r="V394" s="2"/>
      <x:c r="W394" s="2" t="s">
        <x:v>1467</x:v>
      </x:c>
      <x:c r="X394" s="3"/>
      <x:c r="Y394" s="3"/>
      <x:c r="Z394" s="2"/>
      <x:c r="AA394" s="2" t="s">
        <x:v>232</x:v>
      </x:c>
      <x:c r="AB394" s="2" t="s">
        <x:v>233</x:v>
      </x:c>
      <x:c r="AC394" s="2"/>
      <x:c r="AD394" s="2"/>
      <x:c r="AE394" s="2"/>
      <x:c r="AF394" s="2"/>
      <x:c r="AG394" s="2"/>
      <x:c r="AH394" s="2"/>
      <x:c r="AI394" s="4"/>
      <x:c r="AJ394" s="2"/>
      <x:c r="AK394" s="2" t="s">
        <x:v>234</x:v>
      </x:c>
      <x:c r="AL394" s="2" t="s">
        <x:v>3061</x:v>
      </x:c>
      <x:c r="AM394" s="2">
        <x:v>94</x:v>
      </x:c>
      <x:c r="AN394" s="2">
        <x:v>94</x:v>
      </x:c>
    </x:row>
    <x:row r="395" ht="52">
      <x:c r="A395" s="2" t="s">
        <x:v>6</x:v>
      </x:c>
      <x:c r="B395" s="2" t="s">
        <x:v>15</x:v>
      </x:c>
      <x:c r="C395" s="3">
        <x:v>93</x:v>
      </x:c>
      <x:c r="D395" s="2" t="s">
        <x:v>1335</x:v>
      </x:c>
      <x:c r="E395" s="2" t="s">
        <x:v>1428</x:v>
      </x:c>
      <x:c r="F395" s="2" t="s">
        <x:v>224</x:v>
      </x:c>
      <x:c r="G395" s="2"/>
      <x:c r="H395" s="2" t="s">
        <x:v>618</x:v>
      </x:c>
      <x:c r="I395" s="2" t="s">
        <x:v>1467</x:v>
      </x:c>
      <x:c r="J395" s="2" t="s">
        <x:v>1371</x:v>
      </x:c>
      <x:c r="K395" s="2" t="n">
        <x:v>92</x:v>
      </x:c>
      <x:c r="L395" s="2"/>
      <x:c r="M395" s="2"/>
      <x:c r="N395" s="2" t="s">
        <x:v>1455</x:v>
      </x:c>
      <x:c r="O395" s="2" t="s">
        <x:v>1355</x:v>
      </x:c>
      <x:c r="P395" s="2" t="s">
        <x:v>1352</x:v>
      </x:c>
      <x:c r="Q395" s="2"/>
      <x:c r="R395" s="3">
        <x:v>2</x:v>
      </x:c>
      <x:c r="S395" s="3"/>
      <x:c r="T395" s="2"/>
      <x:c r="U395" s="2"/>
      <x:c r="V395" s="2"/>
      <x:c r="W395" s="2" t="s">
        <x:v>1467</x:v>
      </x:c>
      <x:c r="X395" s="3"/>
      <x:c r="Y395" s="3"/>
      <x:c r="Z395" s="2"/>
      <x:c r="AA395" s="2" t="s">
        <x:v>243</x:v>
      </x:c>
      <x:c r="AB395" s="2" t="s">
        <x:v>276</x:v>
      </x:c>
      <x:c r="AC395" s="2"/>
      <x:c r="AD395" s="2"/>
      <x:c r="AE395" s="2"/>
      <x:c r="AF395" s="2"/>
      <x:c r="AG395" s="2"/>
      <x:c r="AH395" s="2"/>
      <x:c r="AI395" s="4"/>
      <x:c r="AJ395" s="2"/>
      <x:c r="AK395" s="2" t="s">
        <x:v>234</x:v>
      </x:c>
      <x:c r="AL395" s="2" t="s">
        <x:v>3061</x:v>
      </x:c>
      <x:c r="AM395" s="2">
        <x:v>95</x:v>
      </x:c>
      <x:c r="AN395" s="2">
        <x:v>95</x:v>
      </x:c>
    </x:row>
    <x:row r="396" ht="52">
      <x:c r="A396" s="2" t="s">
        <x:v>6</x:v>
      </x:c>
      <x:c r="B396" s="2" t="s">
        <x:v>15</x:v>
      </x:c>
      <x:c r="C396" s="3">
        <x:v>94</x:v>
      </x:c>
      <x:c r="D396" s="2" t="s">
        <x:v>1335</x:v>
      </x:c>
      <x:c r="E396" s="2" t="s">
        <x:v>1468</x:v>
      </x:c>
      <x:c r="F396" s="2" t="s">
        <x:v>237</x:v>
      </x:c>
      <x:c r="G396" s="2"/>
      <x:c r="H396" s="2" t="s">
        <x:v>618</x:v>
      </x:c>
      <x:c r="I396" s="2" t="s">
        <x:v>1469</x:v>
      </x:c>
      <x:c r="J396" s="2" t="s">
        <x:v>1375</x:v>
      </x:c>
      <x:c r="K396" s="2"/>
      <x:c r="L396" s="2"/>
      <x:c r="M396" s="2"/>
      <x:c r="N396" s="2" t="s">
        <x:v>1455</x:v>
      </x:c>
      <x:c r="O396" s="2" t="s">
        <x:v>1351</x:v>
      </x:c>
      <x:c r="P396" s="2" t="s">
        <x:v>1352</x:v>
      </x:c>
      <x:c r="Q396" s="2"/>
      <x:c r="R396" s="3">
        <x:v>3</x:v>
      </x:c>
      <x:c r="S396" s="3"/>
      <x:c r="T396" s="2"/>
      <x:c r="U396" s="2"/>
      <x:c r="V396" s="2"/>
      <x:c r="W396" s="2" t="s">
        <x:v>1469</x:v>
      </x:c>
      <x:c r="X396" s="3"/>
      <x:c r="Y396" s="3"/>
      <x:c r="Z396" s="2"/>
      <x:c r="AA396" s="2" t="s">
        <x:v>275</x:v>
      </x:c>
      <x:c r="AB396" s="2" t="s">
        <x:v>276</x:v>
      </x:c>
      <x:c r="AC396" s="2"/>
      <x:c r="AD396" s="2"/>
      <x:c r="AE396" s="2"/>
      <x:c r="AF396" s="2"/>
      <x:c r="AG396" s="2"/>
      <x:c r="AH396" s="2"/>
      <x:c r="AI396" s="4"/>
      <x:c r="AJ396" s="2"/>
      <x:c r="AK396" s="2" t="s">
        <x:v>234</x:v>
      </x:c>
      <x:c r="AL396" s="2" t="s">
        <x:v>3061</x:v>
      </x:c>
      <x:c r="AM396" s="2">
        <x:v>96</x:v>
      </x:c>
      <x:c r="AN396" s="2">
        <x:v>96</x:v>
      </x:c>
    </x:row>
    <x:row r="397" ht="52">
      <x:c r="A397" s="2" t="s">
        <x:v>91</x:v>
      </x:c>
      <x:c r="B397" s="2" t="s">
        <x:v>15</x:v>
      </x:c>
      <x:c r="C397" s="3">
        <x:v>95</x:v>
      </x:c>
      <x:c r="D397" s="2" t="s">
        <x:v>1466</x:v>
      </x:c>
      <x:c r="E397" s="2" t="s">
        <x:v>1468</x:v>
      </x:c>
      <x:c r="F397" s="2" t="s">
        <x:v>254</x:v>
      </x:c>
      <x:c r="G397" s="2" t="s">
        <x:v>1290</x:v>
      </x:c>
      <x:c r="H397" s="2" t="s">
        <x:v>618</x:v>
      </x:c>
      <x:c r="I397" s="2" t="s">
        <x:v>1469</x:v>
      </x:c>
      <x:c r="J397" s="2" t="s">
        <x:v>1414</x:v>
      </x:c>
      <x:c r="K397" s="2" t="n">
        <x:v>94</x:v>
      </x:c>
      <x:c r="L397" s="2"/>
      <x:c r="M397" s="2"/>
      <x:c r="N397" s="2" t="s">
        <x:v>1455</x:v>
      </x:c>
      <x:c r="O397" s="2" t="s">
        <x:v>1355</x:v>
      </x:c>
      <x:c r="P397" s="2" t="s">
        <x:v>1352</x:v>
      </x:c>
      <x:c r="Q397" s="2"/>
      <x:c r="R397" s="3">
        <x:v>3</x:v>
      </x:c>
      <x:c r="S397" s="3"/>
      <x:c r="T397" s="2"/>
      <x:c r="U397" s="2"/>
      <x:c r="V397" s="2"/>
      <x:c r="W397" s="2" t="s">
        <x:v>1469</x:v>
      </x:c>
      <x:c r="X397" s="3"/>
      <x:c r="Y397" s="3"/>
      <x:c r="Z397" s="2"/>
      <x:c r="AA397" s="2" t="s">
        <x:v>232</x:v>
      </x:c>
      <x:c r="AB397" s="2" t="s">
        <x:v>267</x:v>
      </x:c>
      <x:c r="AC397" s="2"/>
      <x:c r="AD397" s="2"/>
      <x:c r="AE397" s="2"/>
      <x:c r="AF397" s="2"/>
      <x:c r="AG397" s="2"/>
      <x:c r="AH397" s="2"/>
      <x:c r="AI397" s="4"/>
      <x:c r="AJ397" s="2"/>
      <x:c r="AK397" s="2" t="s">
        <x:v>234</x:v>
      </x:c>
      <x:c r="AL397" s="2" t="s">
        <x:v>3061</x:v>
      </x:c>
      <x:c r="AM397" s="2">
        <x:v>97</x:v>
      </x:c>
      <x:c r="AN397" s="2">
        <x:v>97</x:v>
      </x:c>
    </x:row>
    <x:row r="398" ht="52">
      <x:c r="A398" s="2" t="s">
        <x:v>6</x:v>
      </x:c>
      <x:c r="B398" s="2" t="s">
        <x:v>15</x:v>
      </x:c>
      <x:c r="C398" s="3">
        <x:v>96</x:v>
      </x:c>
      <x:c r="D398" s="2" t="s">
        <x:v>1288</x:v>
      </x:c>
      <x:c r="E398" s="2" t="s">
        <x:v>1470</x:v>
      </x:c>
      <x:c r="F398" s="2" t="s">
        <x:v>237</x:v>
      </x:c>
      <x:c r="G398" s="2"/>
      <x:c r="H398" s="2" t="s">
        <x:v>618</x:v>
      </x:c>
      <x:c r="I398" s="2" t="s">
        <x:v>1471</x:v>
      </x:c>
      <x:c r="J398" s="2" t="s">
        <x:v>1417</x:v>
      </x:c>
      <x:c r="K398" s="2"/>
      <x:c r="L398" s="2"/>
      <x:c r="M398" s="2"/>
      <x:c r="N398" s="2" t="s">
        <x:v>1455</x:v>
      </x:c>
      <x:c r="O398" s="2" t="s">
        <x:v>1351</x:v>
      </x:c>
      <x:c r="P398" s="2" t="s">
        <x:v>1352</x:v>
      </x:c>
      <x:c r="Q398" s="2"/>
      <x:c r="R398" s="3">
        <x:v>4</x:v>
      </x:c>
      <x:c r="S398" s="3"/>
      <x:c r="T398" s="2"/>
      <x:c r="U398" s="2"/>
      <x:c r="V398" s="2"/>
      <x:c r="W398" s="2" t="s">
        <x:v>1471</x:v>
      </x:c>
      <x:c r="X398" s="3"/>
      <x:c r="Y398" s="3"/>
      <x:c r="Z398" s="2"/>
      <x:c r="AA398" s="2" t="s">
        <x:v>232</x:v>
      </x:c>
      <x:c r="AB398" s="2" t="s">
        <x:v>300</x:v>
      </x:c>
      <x:c r="AC398" s="2"/>
      <x:c r="AD398" s="2"/>
      <x:c r="AE398" s="2"/>
      <x:c r="AF398" s="2"/>
      <x:c r="AG398" s="2"/>
      <x:c r="AH398" s="2"/>
      <x:c r="AI398" s="4"/>
      <x:c r="AJ398" s="2"/>
      <x:c r="AK398" s="2" t="s">
        <x:v>234</x:v>
      </x:c>
      <x:c r="AL398" s="2" t="s">
        <x:v>3061</x:v>
      </x:c>
      <x:c r="AM398" s="2">
        <x:v>98</x:v>
      </x:c>
      <x:c r="AN398" s="2">
        <x:v>98</x:v>
      </x:c>
    </x:row>
    <x:row r="399" ht="52">
      <x:c r="A399" s="2" t="s">
        <x:v>91</x:v>
      </x:c>
      <x:c r="B399" s="2" t="s">
        <x:v>15</x:v>
      </x:c>
      <x:c r="C399" s="3">
        <x:v>97</x:v>
      </x:c>
      <x:c r="D399" s="2" t="s">
        <x:v>1439</x:v>
      </x:c>
      <x:c r="E399" s="2" t="s">
        <x:v>1470</x:v>
      </x:c>
      <x:c r="F399" s="2" t="s">
        <x:v>254</x:v>
      </x:c>
      <x:c r="G399" s="2" t="s">
        <x:v>1373</x:v>
      </x:c>
      <x:c r="H399" s="2" t="s">
        <x:v>618</x:v>
      </x:c>
      <x:c r="I399" s="2" t="s">
        <x:v>1471</x:v>
      </x:c>
      <x:c r="J399" s="2" t="s">
        <x:v>1442</x:v>
      </x:c>
      <x:c r="K399" s="2" t="n">
        <x:v>96</x:v>
      </x:c>
      <x:c r="L399" s="2"/>
      <x:c r="M399" s="2"/>
      <x:c r="N399" s="2" t="s">
        <x:v>1455</x:v>
      </x:c>
      <x:c r="O399" s="2" t="s">
        <x:v>1355</x:v>
      </x:c>
      <x:c r="P399" s="2" t="s">
        <x:v>1352</x:v>
      </x:c>
      <x:c r="Q399" s="2"/>
      <x:c r="R399" s="3">
        <x:v>4</x:v>
      </x:c>
      <x:c r="S399" s="3"/>
      <x:c r="T399" s="2"/>
      <x:c r="U399" s="2"/>
      <x:c r="V399" s="2"/>
      <x:c r="W399" s="2" t="s">
        <x:v>1471</x:v>
      </x:c>
      <x:c r="X399" s="3"/>
      <x:c r="Y399" s="3"/>
      <x:c r="Z399" s="2"/>
      <x:c r="AA399" s="2" t="s">
        <x:v>1314</x:v>
      </x:c>
      <x:c r="AB399" s="2" t="s">
        <x:v>1315</x:v>
      </x:c>
      <x:c r="AC399" s="2"/>
      <x:c r="AD399" s="2"/>
      <x:c r="AE399" s="2"/>
      <x:c r="AF399" s="2"/>
      <x:c r="AG399" s="2"/>
      <x:c r="AH399" s="2"/>
      <x:c r="AI399" s="4"/>
      <x:c r="AJ399" s="2"/>
      <x:c r="AK399" s="2" t="s">
        <x:v>234</x:v>
      </x:c>
      <x:c r="AL399" s="2" t="s">
        <x:v>3061</x:v>
      </x:c>
      <x:c r="AM399" s="2">
        <x:v>99</x:v>
      </x:c>
      <x:c r="AN399" s="2">
        <x:v>99</x:v>
      </x:c>
    </x:row>
    <x:row r="400" ht="52">
      <x:c r="A400" s="2" t="s">
        <x:v>6</x:v>
      </x:c>
      <x:c r="B400" s="2" t="s">
        <x:v>15</x:v>
      </x:c>
      <x:c r="C400" s="3">
        <x:v>98</x:v>
      </x:c>
      <x:c r="D400" s="2" t="s">
        <x:v>1335</x:v>
      </x:c>
      <x:c r="E400" s="2" t="s">
        <x:v>1389</x:v>
      </x:c>
      <x:c r="F400" s="2" t="s">
        <x:v>254</x:v>
      </x:c>
      <x:c r="G400" s="2"/>
      <x:c r="H400" s="2" t="s">
        <x:v>618</x:v>
      </x:c>
      <x:c r="I400" s="2" t="s">
        <x:v>1473</x:v>
      </x:c>
      <x:c r="J400" s="2" t="s">
        <x:v>1403</x:v>
      </x:c>
      <x:c r="K400" s="2"/>
      <x:c r="L400" s="2"/>
      <x:c r="M400" s="2"/>
      <x:c r="N400" s="2" t="s">
        <x:v>1455</x:v>
      </x:c>
      <x:c r="O400" s="2" t="s">
        <x:v>1351</x:v>
      </x:c>
      <x:c r="P400" s="2" t="s">
        <x:v>1352</x:v>
      </x:c>
      <x:c r="Q400" s="2"/>
      <x:c r="R400" s="3">
        <x:v>2</x:v>
      </x:c>
      <x:c r="S400" s="3"/>
      <x:c r="T400" s="2"/>
      <x:c r="U400" s="2"/>
      <x:c r="V400" s="2"/>
      <x:c r="W400" s="2" t="s">
        <x:v>1473</x:v>
      </x:c>
      <x:c r="X400" s="3"/>
      <x:c r="Y400" s="3"/>
      <x:c r="Z400" s="2"/>
      <x:c r="AA400" s="2" t="s">
        <x:v>243</x:v>
      </x:c>
      <x:c r="AB400" s="2" t="s">
        <x:v>276</x:v>
      </x:c>
      <x:c r="AC400" s="2"/>
      <x:c r="AD400" s="2"/>
      <x:c r="AE400" s="2"/>
      <x:c r="AF400" s="2"/>
      <x:c r="AG400" s="2"/>
      <x:c r="AH400" s="2"/>
      <x:c r="AI400" s="4"/>
      <x:c r="AJ400" s="2"/>
      <x:c r="AK400" s="2" t="s">
        <x:v>234</x:v>
      </x:c>
      <x:c r="AL400" s="2" t="s">
        <x:v>3061</x:v>
      </x:c>
      <x:c r="AM400" s="2">
        <x:v>100</x:v>
      </x:c>
      <x:c r="AN400" s="2">
        <x:v>100</x:v>
      </x:c>
    </x:row>
    <x:row r="401" ht="52">
      <x:c r="A401" s="2" t="s">
        <x:v>91</x:v>
      </x:c>
      <x:c r="B401" s="2" t="s">
        <x:v>15</x:v>
      </x:c>
      <x:c r="C401" s="3">
        <x:v>99</x:v>
      </x:c>
      <x:c r="D401" s="2" t="s">
        <x:v>1388</x:v>
      </x:c>
      <x:c r="E401" s="2" t="s">
        <x:v>1389</x:v>
      </x:c>
      <x:c r="F401" s="2" t="s">
        <x:v>247</x:v>
      </x:c>
      <x:c r="G401" s="2"/>
      <x:c r="H401" s="2" t="s">
        <x:v>618</x:v>
      </x:c>
      <x:c r="I401" s="2" t="s">
        <x:v>1473</x:v>
      </x:c>
      <x:c r="J401" s="2" t="s">
        <x:v>1391</x:v>
      </x:c>
      <x:c r="K401" s="2" t="n">
        <x:v>98</x:v>
      </x:c>
      <x:c r="L401" s="2"/>
      <x:c r="M401" s="2"/>
      <x:c r="N401" s="2" t="s">
        <x:v>1455</x:v>
      </x:c>
      <x:c r="O401" s="2" t="s">
        <x:v>1355</x:v>
      </x:c>
      <x:c r="P401" s="2" t="s">
        <x:v>1352</x:v>
      </x:c>
      <x:c r="Q401" s="2"/>
      <x:c r="R401" s="3">
        <x:v>2</x:v>
      </x:c>
      <x:c r="S401" s="3"/>
      <x:c r="T401" s="2"/>
      <x:c r="U401" s="2"/>
      <x:c r="V401" s="2"/>
      <x:c r="W401" s="2" t="s">
        <x:v>1473</x:v>
      </x:c>
      <x:c r="X401" s="3"/>
      <x:c r="Y401" s="3"/>
      <x:c r="Z401" s="2"/>
      <x:c r="AA401" s="2" t="s">
        <x:v>232</x:v>
      </x:c>
      <x:c r="AB401" s="2" t="s">
        <x:v>233</x:v>
      </x:c>
      <x:c r="AC401" s="2"/>
      <x:c r="AD401" s="2"/>
      <x:c r="AE401" s="2"/>
      <x:c r="AF401" s="2"/>
      <x:c r="AG401" s="2"/>
      <x:c r="AH401" s="2"/>
      <x:c r="AI401" s="4"/>
      <x:c r="AJ401" s="2"/>
      <x:c r="AK401" s="2" t="s">
        <x:v>234</x:v>
      </x:c>
      <x:c r="AL401" s="2" t="s">
        <x:v>3061</x:v>
      </x:c>
      <x:c r="AM401" s="2">
        <x:v>101</x:v>
      </x:c>
      <x:c r="AN401" s="2">
        <x:v>101</x:v>
      </x:c>
    </x:row>
    <x:row r="402" ht="52">
      <x:c r="A402" s="2" t="s">
        <x:v>6</x:v>
      </x:c>
      <x:c r="B402" s="2" t="s">
        <x:v>15</x:v>
      </x:c>
      <x:c r="C402" s="3">
        <x:v>100</x:v>
      </x:c>
      <x:c r="D402" s="2" t="s">
        <x:v>1466</x:v>
      </x:c>
      <x:c r="E402" s="2" t="s">
        <x:v>1474</x:v>
      </x:c>
      <x:c r="F402" s="2" t="s">
        <x:v>254</x:v>
      </x:c>
      <x:c r="G402" s="2"/>
      <x:c r="H402" s="2" t="s">
        <x:v>618</x:v>
      </x:c>
      <x:c r="I402" s="2" t="s">
        <x:v>1475</x:v>
      </x:c>
      <x:c r="J402" s="2" t="s">
        <x:v>1414</x:v>
      </x:c>
      <x:c r="K402" s="2"/>
      <x:c r="L402" s="2"/>
      <x:c r="M402" s="2"/>
      <x:c r="N402" s="2" t="s">
        <x:v>1455</x:v>
      </x:c>
      <x:c r="O402" s="2" t="s">
        <x:v>1351</x:v>
      </x:c>
      <x:c r="P402" s="2" t="s">
        <x:v>1352</x:v>
      </x:c>
      <x:c r="Q402" s="2"/>
      <x:c r="R402" s="3">
        <x:v>3</x:v>
      </x:c>
      <x:c r="S402" s="3"/>
      <x:c r="T402" s="2"/>
      <x:c r="U402" s="2"/>
      <x:c r="V402" s="2"/>
      <x:c r="W402" s="2" t="s">
        <x:v>1475</x:v>
      </x:c>
      <x:c r="X402" s="3"/>
      <x:c r="Y402" s="3"/>
      <x:c r="Z402" s="2"/>
      <x:c r="AA402" s="2" t="s">
        <x:v>232</x:v>
      </x:c>
      <x:c r="AB402" s="2" t="s">
        <x:v>267</x:v>
      </x:c>
      <x:c r="AC402" s="2"/>
      <x:c r="AD402" s="2"/>
      <x:c r="AE402" s="2"/>
      <x:c r="AF402" s="2"/>
      <x:c r="AG402" s="2"/>
      <x:c r="AH402" s="2"/>
      <x:c r="AI402" s="4"/>
      <x:c r="AJ402" s="2"/>
      <x:c r="AK402" s="2" t="s">
        <x:v>234</x:v>
      </x:c>
      <x:c r="AL402" s="2" t="s">
        <x:v>3061</x:v>
      </x:c>
      <x:c r="AM402" s="2">
        <x:v>102</x:v>
      </x:c>
      <x:c r="AN402" s="2">
        <x:v>102</x:v>
      </x:c>
    </x:row>
    <x:row r="403" ht="52">
      <x:c r="A403" s="2" t="s">
        <x:v>91</x:v>
      </x:c>
      <x:c r="B403" s="2" t="s">
        <x:v>15</x:v>
      </x:c>
      <x:c r="C403" s="3">
        <x:v>101</x:v>
      </x:c>
      <x:c r="D403" s="2" t="s">
        <x:v>1335</x:v>
      </x:c>
      <x:c r="E403" s="2" t="s">
        <x:v>1474</x:v>
      </x:c>
      <x:c r="F403" s="2" t="s">
        <x:v>247</x:v>
      </x:c>
      <x:c r="G403" s="2" t="s">
        <x:v>1276</x:v>
      </x:c>
      <x:c r="H403" s="2" t="s">
        <x:v>618</x:v>
      </x:c>
      <x:c r="I403" s="2" t="s">
        <x:v>1475</x:v>
      </x:c>
      <x:c r="J403" s="2" t="s">
        <x:v>1406</x:v>
      </x:c>
      <x:c r="K403" s="2" t="n">
        <x:v>100</x:v>
      </x:c>
      <x:c r="L403" s="2"/>
      <x:c r="M403" s="2"/>
      <x:c r="N403" s="2" t="s">
        <x:v>1455</x:v>
      </x:c>
      <x:c r="O403" s="2" t="s">
        <x:v>1355</x:v>
      </x:c>
      <x:c r="P403" s="2" t="s">
        <x:v>1352</x:v>
      </x:c>
      <x:c r="Q403" s="2"/>
      <x:c r="R403" s="3">
        <x:v>3</x:v>
      </x:c>
      <x:c r="S403" s="3"/>
      <x:c r="T403" s="2"/>
      <x:c r="U403" s="2"/>
      <x:c r="V403" s="2"/>
      <x:c r="W403" s="2" t="s">
        <x:v>1475</x:v>
      </x:c>
      <x:c r="X403" s="3"/>
      <x:c r="Y403" s="3"/>
      <x:c r="Z403" s="2"/>
      <x:c r="AA403" s="2" t="s">
        <x:v>275</x:v>
      </x:c>
      <x:c r="AB403" s="2" t="s">
        <x:v>276</x:v>
      </x:c>
      <x:c r="AC403" s="2"/>
      <x:c r="AD403" s="2"/>
      <x:c r="AE403" s="2"/>
      <x:c r="AF403" s="2"/>
      <x:c r="AG403" s="2"/>
      <x:c r="AH403" s="2"/>
      <x:c r="AI403" s="4"/>
      <x:c r="AJ403" s="2"/>
      <x:c r="AK403" s="2" t="s">
        <x:v>234</x:v>
      </x:c>
      <x:c r="AL403" s="2" t="s">
        <x:v>3061</x:v>
      </x:c>
      <x:c r="AM403" s="2">
        <x:v>103</x:v>
      </x:c>
      <x:c r="AN403" s="2">
        <x:v>103</x:v>
      </x:c>
    </x:row>
    <x:row r="404" ht="52">
      <x:c r="A404" s="2" t="s">
        <x:v>91</x:v>
      </x:c>
      <x:c r="B404" s="2" t="s">
        <x:v>15</x:v>
      </x:c>
      <x:c r="C404" s="3">
        <x:v>102</x:v>
      </x:c>
      <x:c r="D404" s="2" t="s">
        <x:v>1340</x:v>
      </x:c>
      <x:c r="E404" s="2" t="s">
        <x:v>1476</x:v>
      </x:c>
      <x:c r="F404" s="2" t="s">
        <x:v>247</x:v>
      </x:c>
      <x:c r="G404" s="2" t="s">
        <x:v>1290</x:v>
      </x:c>
      <x:c r="H404" s="2" t="s">
        <x:v>618</x:v>
      </x:c>
      <x:c r="I404" s="2" t="s">
        <x:v>1477</x:v>
      </x:c>
      <x:c r="J404" s="2" t="s">
        <x:v>1446</x:v>
      </x:c>
      <x:c r="K404" s="2"/>
      <x:c r="L404" s="2"/>
      <x:c r="M404" s="2"/>
      <x:c r="N404" s="2" t="s">
        <x:v>1455</x:v>
      </x:c>
      <x:c r="O404" s="2" t="s">
        <x:v>1351</x:v>
      </x:c>
      <x:c r="P404" s="2" t="s">
        <x:v>1352</x:v>
      </x:c>
      <x:c r="Q404" s="2"/>
      <x:c r="R404" s="3">
        <x:v>4</x:v>
      </x:c>
      <x:c r="S404" s="3"/>
      <x:c r="T404" s="2"/>
      <x:c r="U404" s="2"/>
      <x:c r="V404" s="2"/>
      <x:c r="W404" s="2" t="s">
        <x:v>1477</x:v>
      </x:c>
      <x:c r="X404" s="3"/>
      <x:c r="Y404" s="3"/>
      <x:c r="Z404" s="2"/>
      <x:c r="AA404" s="2" t="s">
        <x:v>275</x:v>
      </x:c>
      <x:c r="AB404" s="2" t="s">
        <x:v>284</x:v>
      </x:c>
      <x:c r="AC404" s="2"/>
      <x:c r="AD404" s="2"/>
      <x:c r="AE404" s="2"/>
      <x:c r="AF404" s="2"/>
      <x:c r="AG404" s="2"/>
      <x:c r="AH404" s="2"/>
      <x:c r="AI404" s="4"/>
      <x:c r="AJ404" s="2"/>
      <x:c r="AK404" s="2" t="s">
        <x:v>234</x:v>
      </x:c>
      <x:c r="AL404" s="2" t="s">
        <x:v>3061</x:v>
      </x:c>
      <x:c r="AM404" s="2">
        <x:v>104</x:v>
      </x:c>
      <x:c r="AN404" s="2">
        <x:v>104</x:v>
      </x:c>
    </x:row>
    <x:row r="405" ht="52">
      <x:c r="A405" s="2" t="s">
        <x:v>91</x:v>
      </x:c>
      <x:c r="B405" s="2" t="s">
        <x:v>15</x:v>
      </x:c>
      <x:c r="C405" s="3">
        <x:v>103</x:v>
      </x:c>
      <x:c r="D405" s="2" t="s">
        <x:v>1466</x:v>
      </x:c>
      <x:c r="E405" s="2" t="s">
        <x:v>1476</x:v>
      </x:c>
      <x:c r="F405" s="2" t="s">
        <x:v>224</x:v>
      </x:c>
      <x:c r="G405" s="2" t="s">
        <x:v>1290</x:v>
      </x:c>
      <x:c r="H405" s="2" t="s">
        <x:v>618</x:v>
      </x:c>
      <x:c r="I405" s="2" t="s">
        <x:v>1477</x:v>
      </x:c>
      <x:c r="J405" s="2" t="s">
        <x:v>1427</x:v>
      </x:c>
      <x:c r="K405" s="2" t="n">
        <x:v>102</x:v>
      </x:c>
      <x:c r="L405" s="2"/>
      <x:c r="M405" s="2"/>
      <x:c r="N405" s="2" t="s">
        <x:v>1455</x:v>
      </x:c>
      <x:c r="O405" s="2" t="s">
        <x:v>1355</x:v>
      </x:c>
      <x:c r="P405" s="2" t="s">
        <x:v>1352</x:v>
      </x:c>
      <x:c r="Q405" s="2"/>
      <x:c r="R405" s="3">
        <x:v>4</x:v>
      </x:c>
      <x:c r="S405" s="3"/>
      <x:c r="T405" s="2"/>
      <x:c r="U405" s="2"/>
      <x:c r="V405" s="2"/>
      <x:c r="W405" s="2" t="s">
        <x:v>1477</x:v>
      </x:c>
      <x:c r="X405" s="3"/>
      <x:c r="Y405" s="3"/>
      <x:c r="Z405" s="2"/>
      <x:c r="AA405" s="2" t="s">
        <x:v>243</x:v>
      </x:c>
      <x:c r="AB405" s="2" t="s">
        <x:v>267</x:v>
      </x:c>
      <x:c r="AC405" s="2"/>
      <x:c r="AD405" s="2"/>
      <x:c r="AE405" s="2"/>
      <x:c r="AF405" s="2"/>
      <x:c r="AG405" s="2"/>
      <x:c r="AH405" s="2"/>
      <x:c r="AI405" s="4"/>
      <x:c r="AJ405" s="2"/>
      <x:c r="AK405" s="2" t="s">
        <x:v>234</x:v>
      </x:c>
      <x:c r="AL405" s="2" t="s">
        <x:v>3061</x:v>
      </x:c>
      <x:c r="AM405" s="2">
        <x:v>105</x:v>
      </x:c>
      <x:c r="AN405" s="2">
        <x:v>105</x:v>
      </x:c>
    </x:row>
    <x:row r="406" ht="52">
      <x:c r="A406" s="2" t="s">
        <x:v>6</x:v>
      </x:c>
      <x:c r="B406" s="2" t="s">
        <x:v>15</x:v>
      </x:c>
      <x:c r="C406" s="3">
        <x:v>104</x:v>
      </x:c>
      <x:c r="D406" s="2" t="s">
        <x:v>1288</x:v>
      </x:c>
      <x:c r="E406" s="2" t="s">
        <x:v>1478</x:v>
      </x:c>
      <x:c r="F406" s="2" t="s">
        <x:v>237</x:v>
      </x:c>
      <x:c r="G406" s="2"/>
      <x:c r="H406" s="2" t="s">
        <x:v>618</x:v>
      </x:c>
      <x:c r="I406" s="2" t="s">
        <x:v>1479</x:v>
      </x:c>
      <x:c r="J406" s="2" t="s">
        <x:v>1417</x:v>
      </x:c>
      <x:c r="K406" s="2"/>
      <x:c r="L406" s="2"/>
      <x:c r="M406" s="2"/>
      <x:c r="N406" s="2" t="s">
        <x:v>1455</x:v>
      </x:c>
      <x:c r="O406" s="2" t="s">
        <x:v>1351</x:v>
      </x:c>
      <x:c r="P406" s="2" t="s">
        <x:v>1352</x:v>
      </x:c>
      <x:c r="Q406" s="2"/>
      <x:c r="R406" s="3">
        <x:v>4</x:v>
      </x:c>
      <x:c r="S406" s="3"/>
      <x:c r="T406" s="2"/>
      <x:c r="U406" s="2"/>
      <x:c r="V406" s="2"/>
      <x:c r="W406" s="2" t="s">
        <x:v>1479</x:v>
      </x:c>
      <x:c r="X406" s="3"/>
      <x:c r="Y406" s="3"/>
      <x:c r="Z406" s="2"/>
      <x:c r="AA406" s="2" t="s">
        <x:v>232</x:v>
      </x:c>
      <x:c r="AB406" s="2" t="s">
        <x:v>300</x:v>
      </x:c>
      <x:c r="AC406" s="2"/>
      <x:c r="AD406" s="2"/>
      <x:c r="AE406" s="2"/>
      <x:c r="AF406" s="2"/>
      <x:c r="AG406" s="2"/>
      <x:c r="AH406" s="2"/>
      <x:c r="AI406" s="4"/>
      <x:c r="AJ406" s="2"/>
      <x:c r="AK406" s="2" t="s">
        <x:v>234</x:v>
      </x:c>
      <x:c r="AL406" s="2" t="s">
        <x:v>3061</x:v>
      </x:c>
      <x:c r="AM406" s="2">
        <x:v>106</x:v>
      </x:c>
      <x:c r="AN406" s="2">
        <x:v>106</x:v>
      </x:c>
    </x:row>
    <x:row r="407" ht="52">
      <x:c r="A407" s="2" t="s">
        <x:v>91</x:v>
      </x:c>
      <x:c r="B407" s="2" t="s">
        <x:v>15</x:v>
      </x:c>
      <x:c r="C407" s="3">
        <x:v>105</x:v>
      </x:c>
      <x:c r="D407" s="2" t="s">
        <x:v>1466</x:v>
      </x:c>
      <x:c r="E407" s="2" t="s">
        <x:v>1478</x:v>
      </x:c>
      <x:c r="F407" s="2" t="s">
        <x:v>224</x:v>
      </x:c>
      <x:c r="G407" s="2" t="s">
        <x:v>1290</x:v>
      </x:c>
      <x:c r="H407" s="2" t="s">
        <x:v>618</x:v>
      </x:c>
      <x:c r="I407" s="2" t="s">
        <x:v>1479</x:v>
      </x:c>
      <x:c r="J407" s="2" t="s">
        <x:v>1427</x:v>
      </x:c>
      <x:c r="K407" s="2" t="n">
        <x:v>104</x:v>
      </x:c>
      <x:c r="L407" s="2"/>
      <x:c r="M407" s="2"/>
      <x:c r="N407" s="2" t="s">
        <x:v>1455</x:v>
      </x:c>
      <x:c r="O407" s="2" t="s">
        <x:v>1355</x:v>
      </x:c>
      <x:c r="P407" s="2" t="s">
        <x:v>1352</x:v>
      </x:c>
      <x:c r="Q407" s="2"/>
      <x:c r="R407" s="3">
        <x:v>4</x:v>
      </x:c>
      <x:c r="S407" s="3"/>
      <x:c r="T407" s="2"/>
      <x:c r="U407" s="2"/>
      <x:c r="V407" s="2"/>
      <x:c r="W407" s="2" t="s">
        <x:v>1479</x:v>
      </x:c>
      <x:c r="X407" s="3"/>
      <x:c r="Y407" s="3"/>
      <x:c r="Z407" s="2"/>
      <x:c r="AA407" s="2" t="s">
        <x:v>243</x:v>
      </x:c>
      <x:c r="AB407" s="2" t="s">
        <x:v>267</x:v>
      </x:c>
      <x:c r="AC407" s="2"/>
      <x:c r="AD407" s="2"/>
      <x:c r="AE407" s="2"/>
      <x:c r="AF407" s="2"/>
      <x:c r="AG407" s="2"/>
      <x:c r="AH407" s="2"/>
      <x:c r="AI407" s="4"/>
      <x:c r="AJ407" s="2"/>
      <x:c r="AK407" s="2" t="s">
        <x:v>234</x:v>
      </x:c>
      <x:c r="AL407" s="2" t="s">
        <x:v>3061</x:v>
      </x:c>
      <x:c r="AM407" s="2">
        <x:v>107</x:v>
      </x:c>
      <x:c r="AN407" s="2">
        <x:v>107</x:v>
      </x:c>
    </x:row>
    <x:row r="408" ht="52">
      <x:c r="A408" s="2" t="s">
        <x:v>6</x:v>
      </x:c>
      <x:c r="B408" s="2" t="s">
        <x:v>15</x:v>
      </x:c>
      <x:c r="C408" s="3">
        <x:v>106</x:v>
      </x:c>
      <x:c r="D408" s="2" t="s">
        <x:v>1340</x:v>
      </x:c>
      <x:c r="E408" s="2" t="s">
        <x:v>1478</x:v>
      </x:c>
      <x:c r="F408" s="2" t="s">
        <x:v>247</x:v>
      </x:c>
      <x:c r="G408" s="2"/>
      <x:c r="H408" s="2" t="s">
        <x:v>618</x:v>
      </x:c>
      <x:c r="I408" s="2" t="s">
        <x:v>1480</x:v>
      </x:c>
      <x:c r="J408" s="2" t="s">
        <x:v>1446</x:v>
      </x:c>
      <x:c r="K408" s="2"/>
      <x:c r="L408" s="2"/>
      <x:c r="M408" s="2"/>
      <x:c r="N408" s="2" t="s">
        <x:v>1455</x:v>
      </x:c>
      <x:c r="O408" s="2" t="s">
        <x:v>1351</x:v>
      </x:c>
      <x:c r="P408" s="2" t="s">
        <x:v>1352</x:v>
      </x:c>
      <x:c r="Q408" s="2"/>
      <x:c r="R408" s="3">
        <x:v>4</x:v>
      </x:c>
      <x:c r="S408" s="3"/>
      <x:c r="T408" s="2"/>
      <x:c r="U408" s="2"/>
      <x:c r="V408" s="2"/>
      <x:c r="W408" s="2" t="s">
        <x:v>1480</x:v>
      </x:c>
      <x:c r="X408" s="3"/>
      <x:c r="Y408" s="3"/>
      <x:c r="Z408" s="2"/>
      <x:c r="AA408" s="2" t="s">
        <x:v>275</x:v>
      </x:c>
      <x:c r="AB408" s="2" t="s">
        <x:v>284</x:v>
      </x:c>
      <x:c r="AC408" s="2"/>
      <x:c r="AD408" s="2"/>
      <x:c r="AE408" s="2"/>
      <x:c r="AF408" s="2"/>
      <x:c r="AG408" s="2"/>
      <x:c r="AH408" s="2"/>
      <x:c r="AI408" s="4"/>
      <x:c r="AJ408" s="2"/>
      <x:c r="AK408" s="2" t="s">
        <x:v>234</x:v>
      </x:c>
      <x:c r="AL408" s="2" t="s">
        <x:v>3061</x:v>
      </x:c>
      <x:c r="AM408" s="2">
        <x:v>108</x:v>
      </x:c>
      <x:c r="AN408" s="2">
        <x:v>108</x:v>
      </x:c>
    </x:row>
    <x:row r="409" ht="52">
      <x:c r="A409" s="2" t="s">
        <x:v>91</x:v>
      </x:c>
      <x:c r="B409" s="2" t="s">
        <x:v>15</x:v>
      </x:c>
      <x:c r="C409" s="3">
        <x:v>107</x:v>
      </x:c>
      <x:c r="D409" s="2" t="s">
        <x:v>1288</x:v>
      </x:c>
      <x:c r="E409" s="2" t="s">
        <x:v>1478</x:v>
      </x:c>
      <x:c r="F409" s="2" t="s">
        <x:v>237</x:v>
      </x:c>
      <x:c r="G409" s="2" t="s">
        <x:v>1373</x:v>
      </x:c>
      <x:c r="H409" s="2" t="s">
        <x:v>618</x:v>
      </x:c>
      <x:c r="I409" s="2" t="s">
        <x:v>1480</x:v>
      </x:c>
      <x:c r="J409" s="2" t="s">
        <x:v>1417</x:v>
      </x:c>
      <x:c r="K409" s="2" t="n">
        <x:v>106</x:v>
      </x:c>
      <x:c r="L409" s="2"/>
      <x:c r="M409" s="2"/>
      <x:c r="N409" s="2" t="s">
        <x:v>1455</x:v>
      </x:c>
      <x:c r="O409" s="2" t="s">
        <x:v>1355</x:v>
      </x:c>
      <x:c r="P409" s="2" t="s">
        <x:v>1352</x:v>
      </x:c>
      <x:c r="Q409" s="2"/>
      <x:c r="R409" s="3">
        <x:v>4</x:v>
      </x:c>
      <x:c r="S409" s="3"/>
      <x:c r="T409" s="2"/>
      <x:c r="U409" s="2"/>
      <x:c r="V409" s="2"/>
      <x:c r="W409" s="2" t="s">
        <x:v>1480</x:v>
      </x:c>
      <x:c r="X409" s="3"/>
      <x:c r="Y409" s="3"/>
      <x:c r="Z409" s="2"/>
      <x:c r="AA409" s="2" t="s">
        <x:v>232</x:v>
      </x:c>
      <x:c r="AB409" s="2" t="s">
        <x:v>300</x:v>
      </x:c>
      <x:c r="AC409" s="2"/>
      <x:c r="AD409" s="2"/>
      <x:c r="AE409" s="2"/>
      <x:c r="AF409" s="2"/>
      <x:c r="AG409" s="2"/>
      <x:c r="AH409" s="2"/>
      <x:c r="AI409" s="4"/>
      <x:c r="AJ409" s="2"/>
      <x:c r="AK409" s="2" t="s">
        <x:v>234</x:v>
      </x:c>
      <x:c r="AL409" s="2" t="s">
        <x:v>3061</x:v>
      </x:c>
      <x:c r="AM409" s="2">
        <x:v>109</x:v>
      </x:c>
      <x:c r="AN409" s="2">
        <x:v>109</x:v>
      </x:c>
    </x:row>
    <x:row r="410" ht="52">
      <x:c r="A410" s="2" t="s">
        <x:v>91</x:v>
      </x:c>
      <x:c r="B410" s="2" t="s">
        <x:v>15</x:v>
      </x:c>
      <x:c r="C410" s="3">
        <x:v>108</x:v>
      </x:c>
      <x:c r="D410" s="2" t="s">
        <x:v>1466</x:v>
      </x:c>
      <x:c r="E410" s="2" t="s">
        <x:v>1478</x:v>
      </x:c>
      <x:c r="F410" s="2" t="s">
        <x:v>224</x:v>
      </x:c>
      <x:c r="G410" s="2" t="s">
        <x:v>1290</x:v>
      </x:c>
      <x:c r="H410" s="2" t="s">
        <x:v>618</x:v>
      </x:c>
      <x:c r="I410" s="2" t="s">
        <x:v>1481</x:v>
      </x:c>
      <x:c r="J410" s="2" t="s">
        <x:v>1427</x:v>
      </x:c>
      <x:c r="K410" s="2"/>
      <x:c r="L410" s="2"/>
      <x:c r="M410" s="2"/>
      <x:c r="N410" s="2" t="s">
        <x:v>1455</x:v>
      </x:c>
      <x:c r="O410" s="2" t="s">
        <x:v>1351</x:v>
      </x:c>
      <x:c r="P410" s="2" t="s">
        <x:v>1352</x:v>
      </x:c>
      <x:c r="Q410" s="2"/>
      <x:c r="R410" s="3">
        <x:v>4</x:v>
      </x:c>
      <x:c r="S410" s="3"/>
      <x:c r="T410" s="2"/>
      <x:c r="U410" s="2"/>
      <x:c r="V410" s="2"/>
      <x:c r="W410" s="2" t="s">
        <x:v>1481</x:v>
      </x:c>
      <x:c r="X410" s="3"/>
      <x:c r="Y410" s="3"/>
      <x:c r="Z410" s="2"/>
      <x:c r="AA410" s="2" t="s">
        <x:v>243</x:v>
      </x:c>
      <x:c r="AB410" s="2" t="s">
        <x:v>267</x:v>
      </x:c>
      <x:c r="AC410" s="2"/>
      <x:c r="AD410" s="2"/>
      <x:c r="AE410" s="2"/>
      <x:c r="AF410" s="2"/>
      <x:c r="AG410" s="2"/>
      <x:c r="AH410" s="2"/>
      <x:c r="AI410" s="4"/>
      <x:c r="AJ410" s="2"/>
      <x:c r="AK410" s="2" t="s">
        <x:v>234</x:v>
      </x:c>
      <x:c r="AL410" s="2" t="s">
        <x:v>3061</x:v>
      </x:c>
      <x:c r="AM410" s="2">
        <x:v>110</x:v>
      </x:c>
      <x:c r="AN410" s="2">
        <x:v>110</x:v>
      </x:c>
    </x:row>
    <x:row r="411" ht="52">
      <x:c r="A411" s="2" t="s">
        <x:v>91</x:v>
      </x:c>
      <x:c r="B411" s="2" t="s">
        <x:v>15</x:v>
      </x:c>
      <x:c r="C411" s="3">
        <x:v>109</x:v>
      </x:c>
      <x:c r="D411" s="2" t="s">
        <x:v>1439</x:v>
      </x:c>
      <x:c r="E411" s="2" t="s">
        <x:v>1478</x:v>
      </x:c>
      <x:c r="F411" s="2" t="s">
        <x:v>254</x:v>
      </x:c>
      <x:c r="G411" s="2" t="s">
        <x:v>1290</x:v>
      </x:c>
      <x:c r="H411" s="2" t="s">
        <x:v>618</x:v>
      </x:c>
      <x:c r="I411" s="2" t="s">
        <x:v>1481</x:v>
      </x:c>
      <x:c r="J411" s="2" t="s">
        <x:v>1442</x:v>
      </x:c>
      <x:c r="K411" s="2" t="n">
        <x:v>108</x:v>
      </x:c>
      <x:c r="L411" s="2"/>
      <x:c r="M411" s="2"/>
      <x:c r="N411" s="2" t="s">
        <x:v>1455</x:v>
      </x:c>
      <x:c r="O411" s="2" t="s">
        <x:v>1355</x:v>
      </x:c>
      <x:c r="P411" s="2" t="s">
        <x:v>1352</x:v>
      </x:c>
      <x:c r="Q411" s="2"/>
      <x:c r="R411" s="3">
        <x:v>4</x:v>
      </x:c>
      <x:c r="S411" s="3"/>
      <x:c r="T411" s="2"/>
      <x:c r="U411" s="2"/>
      <x:c r="V411" s="2"/>
      <x:c r="W411" s="2" t="s">
        <x:v>1481</x:v>
      </x:c>
      <x:c r="X411" s="3"/>
      <x:c r="Y411" s="3"/>
      <x:c r="Z411" s="2"/>
      <x:c r="AA411" s="2" t="s">
        <x:v>1314</x:v>
      </x:c>
      <x:c r="AB411" s="2" t="s">
        <x:v>1315</x:v>
      </x:c>
      <x:c r="AC411" s="2"/>
      <x:c r="AD411" s="2"/>
      <x:c r="AE411" s="2"/>
      <x:c r="AF411" s="2"/>
      <x:c r="AG411" s="2"/>
      <x:c r="AH411" s="2"/>
      <x:c r="AI411" s="4"/>
      <x:c r="AJ411" s="2"/>
      <x:c r="AK411" s="2" t="s">
        <x:v>234</x:v>
      </x:c>
      <x:c r="AL411" s="2" t="s">
        <x:v>3061</x:v>
      </x:c>
      <x:c r="AM411" s="2">
        <x:v>111</x:v>
      </x:c>
      <x:c r="AN411" s="2">
        <x:v>111</x:v>
      </x:c>
    </x:row>
    <x:row r="412" ht="52">
      <x:c r="A412" s="2" t="s">
        <x:v>91</x:v>
      </x:c>
      <x:c r="B412" s="2" t="s">
        <x:v>15</x:v>
      </x:c>
      <x:c r="C412" s="3">
        <x:v>110</x:v>
      </x:c>
      <x:c r="D412" s="2" t="s">
        <x:v>1346</x:v>
      </x:c>
      <x:c r="E412" s="2" t="s">
        <x:v>1483</x:v>
      </x:c>
      <x:c r="F412" s="2" t="s">
        <x:v>368</x:v>
      </x:c>
      <x:c r="G412" s="2" t="s">
        <x:v>1290</x:v>
      </x:c>
      <x:c r="H412" s="2" t="s">
        <x:v>1484</x:v>
      </x:c>
      <x:c r="I412" s="2" t="s">
        <x:v>1485</x:v>
      </x:c>
      <x:c r="J412" s="2" t="s">
        <x:v>1486</x:v>
      </x:c>
      <x:c r="K412" s="2"/>
      <x:c r="L412" s="2"/>
      <x:c r="M412" s="2"/>
      <x:c r="N412" s="2" t="s">
        <x:v>1487</x:v>
      </x:c>
      <x:c r="O412" s="2" t="s">
        <x:v>1351</x:v>
      </x:c>
      <x:c r="P412" s="2" t="s">
        <x:v>1488</x:v>
      </x:c>
      <x:c r="Q412" s="2"/>
      <x:c r="R412" s="3">
        <x:v>2</x:v>
      </x:c>
      <x:c r="S412" s="3"/>
      <x:c r="T412" s="2"/>
      <x:c r="U412" s="2"/>
      <x:c r="V412" s="2"/>
      <x:c r="W412" s="2" t="s">
        <x:v>1485</x:v>
      </x:c>
      <x:c r="X412" s="3"/>
      <x:c r="Y412" s="3"/>
      <x:c r="Z412" s="2"/>
      <x:c r="AA412" s="2" t="s">
        <x:v>232</x:v>
      </x:c>
      <x:c r="AB412" s="2" t="s">
        <x:v>292</x:v>
      </x:c>
      <x:c r="AC412" s="2"/>
      <x:c r="AD412" s="2"/>
      <x:c r="AE412" s="2"/>
      <x:c r="AF412" s="2"/>
      <x:c r="AG412" s="2"/>
      <x:c r="AH412" s="2"/>
      <x:c r="AI412" s="4"/>
      <x:c r="AJ412" s="2"/>
      <x:c r="AK412" s="2" t="s">
        <x:v>234</x:v>
      </x:c>
      <x:c r="AL412" s="2" t="s">
        <x:v>3061</x:v>
      </x:c>
      <x:c r="AM412" s="2">
        <x:v>112</x:v>
      </x:c>
      <x:c r="AN412" s="2">
        <x:v>112</x:v>
      </x:c>
    </x:row>
    <x:row r="413" ht="52">
      <x:c r="A413" s="2" t="s">
        <x:v>6</x:v>
      </x:c>
      <x:c r="B413" s="2" t="s">
        <x:v>15</x:v>
      </x:c>
      <x:c r="C413" s="3">
        <x:v>111</x:v>
      </x:c>
      <x:c r="D413" s="2" t="s">
        <x:v>1281</x:v>
      </x:c>
      <x:c r="E413" s="2" t="s">
        <x:v>1483</x:v>
      </x:c>
      <x:c r="F413" s="2" t="s">
        <x:v>237</x:v>
      </x:c>
      <x:c r="G413" s="2"/>
      <x:c r="H413" s="2" t="s">
        <x:v>1489</x:v>
      </x:c>
      <x:c r="I413" s="2" t="s">
        <x:v>1485</x:v>
      </x:c>
      <x:c r="J413" s="2" t="s">
        <x:v>1490</x:v>
      </x:c>
      <x:c r="K413" s="2" t="n">
        <x:v>110</x:v>
      </x:c>
      <x:c r="L413" s="2"/>
      <x:c r="M413" s="2"/>
      <x:c r="N413" s="2" t="s">
        <x:v>1487</x:v>
      </x:c>
      <x:c r="O413" s="2" t="s">
        <x:v>1355</x:v>
      </x:c>
      <x:c r="P413" s="2" t="s">
        <x:v>1491</x:v>
      </x:c>
      <x:c r="Q413" s="2"/>
      <x:c r="R413" s="3">
        <x:v>2</x:v>
      </x:c>
      <x:c r="S413" s="3"/>
      <x:c r="T413" s="2"/>
      <x:c r="U413" s="2"/>
      <x:c r="V413" s="2"/>
      <x:c r="W413" s="2" t="s">
        <x:v>1485</x:v>
      </x:c>
      <x:c r="X413" s="3"/>
      <x:c r="Y413" s="3"/>
      <x:c r="Z413" s="2"/>
      <x:c r="AA413" s="2" t="s">
        <x:v>243</x:v>
      </x:c>
      <x:c r="AB413" s="2" t="s">
        <x:v>244</x:v>
      </x:c>
      <x:c r="AC413" s="2"/>
      <x:c r="AD413" s="2"/>
      <x:c r="AE413" s="2"/>
      <x:c r="AF413" s="2"/>
      <x:c r="AG413" s="2"/>
      <x:c r="AH413" s="2"/>
      <x:c r="AI413" s="4"/>
      <x:c r="AJ413" s="2"/>
      <x:c r="AK413" s="2" t="s">
        <x:v>234</x:v>
      </x:c>
      <x:c r="AL413" s="2" t="s">
        <x:v>3061</x:v>
      </x:c>
      <x:c r="AM413" s="2">
        <x:v>113</x:v>
      </x:c>
      <x:c r="AN413" s="2">
        <x:v>113</x:v>
      </x:c>
    </x:row>
    <x:row r="414" ht="52">
      <x:c r="A414" s="2" t="s">
        <x:v>91</x:v>
      </x:c>
      <x:c r="B414" s="2" t="s">
        <x:v>15</x:v>
      </x:c>
      <x:c r="C414" s="3">
        <x:v>112</x:v>
      </x:c>
      <x:c r="D414" s="2" t="s">
        <x:v>1388</x:v>
      </x:c>
      <x:c r="E414" s="2" t="s">
        <x:v>1492</x:v>
      </x:c>
      <x:c r="F414" s="2" t="s">
        <x:v>224</x:v>
      </x:c>
      <x:c r="G414" s="2" t="s">
        <x:v>1493</x:v>
      </x:c>
      <x:c r="H414" s="2" t="s">
        <x:v>1489</x:v>
      </x:c>
      <x:c r="I414" s="2" t="s">
        <x:v>1494</x:v>
      </x:c>
      <x:c r="J414" s="2" t="s">
        <x:v>1495</x:v>
      </x:c>
      <x:c r="K414" s="2"/>
      <x:c r="L414" s="2"/>
      <x:c r="M414" s="2"/>
      <x:c r="N414" s="2" t="s">
        <x:v>1487</x:v>
      </x:c>
      <x:c r="O414" s="2" t="s">
        <x:v>1351</x:v>
      </x:c>
      <x:c r="P414" s="2" t="s">
        <x:v>1491</x:v>
      </x:c>
      <x:c r="Q414" s="2"/>
      <x:c r="R414" s="3">
        <x:v>2</x:v>
      </x:c>
      <x:c r="S414" s="3"/>
      <x:c r="T414" s="2"/>
      <x:c r="U414" s="2"/>
      <x:c r="V414" s="2"/>
      <x:c r="W414" s="2" t="s">
        <x:v>1494</x:v>
      </x:c>
      <x:c r="X414" s="3"/>
      <x:c r="Y414" s="3"/>
      <x:c r="Z414" s="2"/>
      <x:c r="AA414" s="2" t="s">
        <x:v>232</x:v>
      </x:c>
      <x:c r="AB414" s="2" t="s">
        <x:v>233</x:v>
      </x:c>
      <x:c r="AC414" s="2"/>
      <x:c r="AD414" s="2"/>
      <x:c r="AE414" s="2"/>
      <x:c r="AF414" s="2"/>
      <x:c r="AG414" s="2"/>
      <x:c r="AH414" s="2"/>
      <x:c r="AI414" s="4"/>
      <x:c r="AJ414" s="2"/>
      <x:c r="AK414" s="2" t="s">
        <x:v>234</x:v>
      </x:c>
      <x:c r="AL414" s="2" t="s">
        <x:v>3061</x:v>
      </x:c>
      <x:c r="AM414" s="2">
        <x:v>114</x:v>
      </x:c>
      <x:c r="AN414" s="2">
        <x:v>114</x:v>
      </x:c>
    </x:row>
    <x:row r="415" ht="52">
      <x:c r="A415" s="2" t="s">
        <x:v>6</x:v>
      </x:c>
      <x:c r="B415" s="2" t="s">
        <x:v>15</x:v>
      </x:c>
      <x:c r="C415" s="3">
        <x:v>113</x:v>
      </x:c>
      <x:c r="D415" s="2" t="s">
        <x:v>1335</x:v>
      </x:c>
      <x:c r="E415" s="2" t="s">
        <x:v>1492</x:v>
      </x:c>
      <x:c r="F415" s="2" t="s">
        <x:v>368</x:v>
      </x:c>
      <x:c r="G415" s="2"/>
      <x:c r="H415" s="2" t="s">
        <x:v>1484</x:v>
      </x:c>
      <x:c r="I415" s="2" t="s">
        <x:v>1494</x:v>
      </x:c>
      <x:c r="J415" s="2" t="s">
        <x:v>1486</x:v>
      </x:c>
      <x:c r="K415" s="2" t="n">
        <x:v>112</x:v>
      </x:c>
      <x:c r="L415" s="2"/>
      <x:c r="M415" s="2"/>
      <x:c r="N415" s="2" t="s">
        <x:v>1487</x:v>
      </x:c>
      <x:c r="O415" s="2" t="s">
        <x:v>1355</x:v>
      </x:c>
      <x:c r="P415" s="2" t="s">
        <x:v>1488</x:v>
      </x:c>
      <x:c r="Q415" s="2"/>
      <x:c r="R415" s="3">
        <x:v>2</x:v>
      </x:c>
      <x:c r="S415" s="3"/>
      <x:c r="T415" s="2"/>
      <x:c r="U415" s="2"/>
      <x:c r="V415" s="2"/>
      <x:c r="W415" s="2" t="s">
        <x:v>1494</x:v>
      </x:c>
      <x:c r="X415" s="3"/>
      <x:c r="Y415" s="3"/>
      <x:c r="Z415" s="2"/>
      <x:c r="AA415" s="2" t="s">
        <x:v>243</x:v>
      </x:c>
      <x:c r="AB415" s="2" t="s">
        <x:v>276</x:v>
      </x:c>
      <x:c r="AC415" s="2"/>
      <x:c r="AD415" s="2"/>
      <x:c r="AE415" s="2"/>
      <x:c r="AF415" s="2"/>
      <x:c r="AG415" s="2"/>
      <x:c r="AH415" s="2"/>
      <x:c r="AI415" s="4"/>
      <x:c r="AJ415" s="2"/>
      <x:c r="AK415" s="2" t="s">
        <x:v>234</x:v>
      </x:c>
      <x:c r="AL415" s="2" t="s">
        <x:v>3061</x:v>
      </x:c>
      <x:c r="AM415" s="2">
        <x:v>115</x:v>
      </x:c>
      <x:c r="AN415" s="2">
        <x:v>115</x:v>
      </x:c>
    </x:row>
    <x:row r="416" ht="52">
      <x:c r="A416" s="2" t="s">
        <x:v>91</x:v>
      </x:c>
      <x:c r="B416" s="2" t="s">
        <x:v>15</x:v>
      </x:c>
      <x:c r="C416" s="3">
        <x:v>114</x:v>
      </x:c>
      <x:c r="D416" s="2" t="s">
        <x:v>1466</x:v>
      </x:c>
      <x:c r="E416" s="2" t="s">
        <x:v>1496</x:v>
      </x:c>
      <x:c r="F416" s="2" t="s">
        <x:v>368</x:v>
      </x:c>
      <x:c r="G416" s="2" t="s">
        <x:v>1373</x:v>
      </x:c>
      <x:c r="H416" s="2" t="s">
        <x:v>1484</x:v>
      </x:c>
      <x:c r="I416" s="2" t="s">
        <x:v>1498</x:v>
      </x:c>
      <x:c r="J416" s="2" t="s">
        <x:v>1486</x:v>
      </x:c>
      <x:c r="K416" s="2"/>
      <x:c r="L416" s="2"/>
      <x:c r="M416" s="2"/>
      <x:c r="N416" s="2" t="s">
        <x:v>1487</x:v>
      </x:c>
      <x:c r="O416" s="2" t="s">
        <x:v>1351</x:v>
      </x:c>
      <x:c r="P416" s="2" t="s">
        <x:v>1488</x:v>
      </x:c>
      <x:c r="Q416" s="2"/>
      <x:c r="R416" s="3">
        <x:v>3</x:v>
      </x:c>
      <x:c r="S416" s="3"/>
      <x:c r="T416" s="2"/>
      <x:c r="U416" s="2"/>
      <x:c r="V416" s="2"/>
      <x:c r="W416" s="2" t="s">
        <x:v>1498</x:v>
      </x:c>
      <x:c r="X416" s="3"/>
      <x:c r="Y416" s="3"/>
      <x:c r="Z416" s="2"/>
      <x:c r="AA416" s="2" t="s">
        <x:v>232</x:v>
      </x:c>
      <x:c r="AB416" s="2" t="s">
        <x:v>267</x:v>
      </x:c>
      <x:c r="AC416" s="2"/>
      <x:c r="AD416" s="2"/>
      <x:c r="AE416" s="2"/>
      <x:c r="AF416" s="2"/>
      <x:c r="AG416" s="2"/>
      <x:c r="AH416" s="2"/>
      <x:c r="AI416" s="4"/>
      <x:c r="AJ416" s="2"/>
      <x:c r="AK416" s="2" t="s">
        <x:v>234</x:v>
      </x:c>
      <x:c r="AL416" s="2" t="s">
        <x:v>3061</x:v>
      </x:c>
      <x:c r="AM416" s="2">
        <x:v>116</x:v>
      </x:c>
      <x:c r="AN416" s="2">
        <x:v>116</x:v>
      </x:c>
    </x:row>
    <x:row r="417" ht="52">
      <x:c r="A417" s="2" t="s">
        <x:v>6</x:v>
      </x:c>
      <x:c r="B417" s="2" t="s">
        <x:v>15</x:v>
      </x:c>
      <x:c r="C417" s="3">
        <x:v>115</x:v>
      </x:c>
      <x:c r="D417" s="2" t="s">
        <x:v>1335</x:v>
      </x:c>
      <x:c r="E417" s="2" t="s">
        <x:v>1496</x:v>
      </x:c>
      <x:c r="F417" s="2" t="s">
        <x:v>224</x:v>
      </x:c>
      <x:c r="G417" s="2"/>
      <x:c r="H417" s="2" t="s">
        <x:v>1489</x:v>
      </x:c>
      <x:c r="I417" s="2" t="s">
        <x:v>1498</x:v>
      </x:c>
      <x:c r="J417" s="2" t="s">
        <x:v>1499</x:v>
      </x:c>
      <x:c r="K417" s="2" t="n">
        <x:v>114</x:v>
      </x:c>
      <x:c r="L417" s="2"/>
      <x:c r="M417" s="2"/>
      <x:c r="N417" s="2" t="s">
        <x:v>1487</x:v>
      </x:c>
      <x:c r="O417" s="2" t="s">
        <x:v>1355</x:v>
      </x:c>
      <x:c r="P417" s="2" t="s">
        <x:v>1491</x:v>
      </x:c>
      <x:c r="Q417" s="2"/>
      <x:c r="R417" s="3">
        <x:v>3</x:v>
      </x:c>
      <x:c r="S417" s="3"/>
      <x:c r="T417" s="2"/>
      <x:c r="U417" s="2"/>
      <x:c r="V417" s="2"/>
      <x:c r="W417" s="2" t="s">
        <x:v>1498</x:v>
      </x:c>
      <x:c r="X417" s="3"/>
      <x:c r="Y417" s="3"/>
      <x:c r="Z417" s="2"/>
      <x:c r="AA417" s="2" t="s">
        <x:v>275</x:v>
      </x:c>
      <x:c r="AB417" s="2" t="s">
        <x:v>276</x:v>
      </x:c>
      <x:c r="AC417" s="2"/>
      <x:c r="AD417" s="2"/>
      <x:c r="AE417" s="2"/>
      <x:c r="AF417" s="2"/>
      <x:c r="AG417" s="2"/>
      <x:c r="AH417" s="2"/>
      <x:c r="AI417" s="4"/>
      <x:c r="AJ417" s="2"/>
      <x:c r="AK417" s="2" t="s">
        <x:v>234</x:v>
      </x:c>
      <x:c r="AL417" s="2" t="s">
        <x:v>3061</x:v>
      </x:c>
      <x:c r="AM417" s="2">
        <x:v>117</x:v>
      </x:c>
      <x:c r="AN417" s="2">
        <x:v>117</x:v>
      </x:c>
    </x:row>
    <x:row r="418" ht="52">
      <x:c r="A418" s="2" t="s">
        <x:v>91</x:v>
      </x:c>
      <x:c r="B418" s="2" t="s">
        <x:v>15</x:v>
      </x:c>
      <x:c r="C418" s="3">
        <x:v>116</x:v>
      </x:c>
      <x:c r="D418" s="2" t="s">
        <x:v>1466</x:v>
      </x:c>
      <x:c r="E418" s="2" t="s">
        <x:v>1500</x:v>
      </x:c>
      <x:c r="F418" s="2" t="s">
        <x:v>237</x:v>
      </x:c>
      <x:c r="G418" s="2" t="s">
        <x:v>1493</x:v>
      </x:c>
      <x:c r="H418" s="2" t="s">
        <x:v>1489</x:v>
      </x:c>
      <x:c r="I418" s="2" t="s">
        <x:v>1501</x:v>
      </x:c>
      <x:c r="J418" s="2" t="s">
        <x:v>1502</x:v>
      </x:c>
      <x:c r="K418" s="2"/>
      <x:c r="L418" s="2"/>
      <x:c r="M418" s="2"/>
      <x:c r="N418" s="2" t="s">
        <x:v>1487</x:v>
      </x:c>
      <x:c r="O418" s="2" t="s">
        <x:v>1351</x:v>
      </x:c>
      <x:c r="P418" s="2" t="s">
        <x:v>1491</x:v>
      </x:c>
      <x:c r="Q418" s="2"/>
      <x:c r="R418" s="3">
        <x:v>3</x:v>
      </x:c>
      <x:c r="S418" s="3"/>
      <x:c r="T418" s="2"/>
      <x:c r="U418" s="2"/>
      <x:c r="V418" s="2"/>
      <x:c r="W418" s="2" t="s">
        <x:v>1501</x:v>
      </x:c>
      <x:c r="X418" s="3"/>
      <x:c r="Y418" s="3"/>
      <x:c r="Z418" s="2"/>
      <x:c r="AA418" s="2" t="s">
        <x:v>232</x:v>
      </x:c>
      <x:c r="AB418" s="2" t="s">
        <x:v>267</x:v>
      </x:c>
      <x:c r="AC418" s="2"/>
      <x:c r="AD418" s="2"/>
      <x:c r="AE418" s="2"/>
      <x:c r="AF418" s="2"/>
      <x:c r="AG418" s="2"/>
      <x:c r="AH418" s="2"/>
      <x:c r="AI418" s="4"/>
      <x:c r="AJ418" s="2"/>
      <x:c r="AK418" s="2" t="s">
        <x:v>234</x:v>
      </x:c>
      <x:c r="AL418" s="2" t="s">
        <x:v>3061</x:v>
      </x:c>
      <x:c r="AM418" s="2">
        <x:v>118</x:v>
      </x:c>
      <x:c r="AN418" s="2">
        <x:v>118</x:v>
      </x:c>
    </x:row>
    <x:row r="419" ht="52">
      <x:c r="A419" s="2" t="s">
        <x:v>6</x:v>
      </x:c>
      <x:c r="B419" s="2" t="s">
        <x:v>15</x:v>
      </x:c>
      <x:c r="C419" s="3">
        <x:v>117</x:v>
      </x:c>
      <x:c r="D419" s="2" t="s">
        <x:v>1340</x:v>
      </x:c>
      <x:c r="E419" s="2" t="s">
        <x:v>1500</x:v>
      </x:c>
      <x:c r="F419" s="2" t="s">
        <x:v>368</x:v>
      </x:c>
      <x:c r="G419" s="2"/>
      <x:c r="H419" s="2" t="s">
        <x:v>1484</x:v>
      </x:c>
      <x:c r="I419" s="2" t="s">
        <x:v>1501</x:v>
      </x:c>
      <x:c r="J419" s="2" t="s">
        <x:v>1486</x:v>
      </x:c>
      <x:c r="K419" s="2" t="n">
        <x:v>116</x:v>
      </x:c>
      <x:c r="L419" s="2"/>
      <x:c r="M419" s="2"/>
      <x:c r="N419" s="2" t="s">
        <x:v>1487</x:v>
      </x:c>
      <x:c r="O419" s="2" t="s">
        <x:v>1355</x:v>
      </x:c>
      <x:c r="P419" s="2" t="s">
        <x:v>1488</x:v>
      </x:c>
      <x:c r="Q419" s="2"/>
      <x:c r="R419" s="3">
        <x:v>3</x:v>
      </x:c>
      <x:c r="S419" s="3"/>
      <x:c r="T419" s="2"/>
      <x:c r="U419" s="2"/>
      <x:c r="V419" s="2"/>
      <x:c r="W419" s="2" t="s">
        <x:v>1501</x:v>
      </x:c>
      <x:c r="X419" s="3"/>
      <x:c r="Y419" s="3"/>
      <x:c r="Z419" s="2"/>
      <x:c r="AA419" s="2" t="s">
        <x:v>275</x:v>
      </x:c>
      <x:c r="AB419" s="2" t="s">
        <x:v>284</x:v>
      </x:c>
      <x:c r="AC419" s="2"/>
      <x:c r="AD419" s="2"/>
      <x:c r="AE419" s="2"/>
      <x:c r="AF419" s="2"/>
      <x:c r="AG419" s="2"/>
      <x:c r="AH419" s="2"/>
      <x:c r="AI419" s="4"/>
      <x:c r="AJ419" s="2"/>
      <x:c r="AK419" s="2" t="s">
        <x:v>234</x:v>
      </x:c>
      <x:c r="AL419" s="2" t="s">
        <x:v>3061</x:v>
      </x:c>
      <x:c r="AM419" s="2">
        <x:v>119</x:v>
      </x:c>
      <x:c r="AN419" s="2">
        <x:v>119</x:v>
      </x:c>
    </x:row>
    <x:row r="420" ht="52">
      <x:c r="A420" s="2" t="s">
        <x:v>91</x:v>
      </x:c>
      <x:c r="B420" s="2" t="s">
        <x:v>15</x:v>
      </x:c>
      <x:c r="C420" s="3">
        <x:v>118</x:v>
      </x:c>
      <x:c r="D420" s="2" t="s">
        <x:v>1346</x:v>
      </x:c>
      <x:c r="E420" s="2" t="s">
        <x:v>1503</x:v>
      </x:c>
      <x:c r="F420" s="2" t="s">
        <x:v>368</x:v>
      </x:c>
      <x:c r="G420" s="2" t="s">
        <x:v>1415</x:v>
      </x:c>
      <x:c r="H420" s="2" t="s">
        <x:v>1484</x:v>
      </x:c>
      <x:c r="I420" s="2" t="s">
        <x:v>1504</x:v>
      </x:c>
      <x:c r="J420" s="2" t="s">
        <x:v>1486</x:v>
      </x:c>
      <x:c r="K420" s="2"/>
      <x:c r="L420" s="2"/>
      <x:c r="M420" s="2"/>
      <x:c r="N420" s="2" t="s">
        <x:v>1487</x:v>
      </x:c>
      <x:c r="O420" s="2" t="s">
        <x:v>1351</x:v>
      </x:c>
      <x:c r="P420" s="2" t="s">
        <x:v>1488</x:v>
      </x:c>
      <x:c r="Q420" s="2"/>
      <x:c r="R420" s="3">
        <x:v>4</x:v>
      </x:c>
      <x:c r="S420" s="3"/>
      <x:c r="T420" s="2"/>
      <x:c r="U420" s="2"/>
      <x:c r="V420" s="2"/>
      <x:c r="W420" s="2" t="s">
        <x:v>1504</x:v>
      </x:c>
      <x:c r="X420" s="3"/>
      <x:c r="Y420" s="3"/>
      <x:c r="Z420" s="2"/>
      <x:c r="AA420" s="2" t="s">
        <x:v>232</x:v>
      </x:c>
      <x:c r="AB420" s="2" t="s">
        <x:v>292</x:v>
      </x:c>
      <x:c r="AC420" s="2"/>
      <x:c r="AD420" s="2"/>
      <x:c r="AE420" s="2"/>
      <x:c r="AF420" s="2"/>
      <x:c r="AG420" s="2"/>
      <x:c r="AH420" s="2"/>
      <x:c r="AI420" s="4"/>
      <x:c r="AJ420" s="2"/>
      <x:c r="AK420" s="2" t="s">
        <x:v>234</x:v>
      </x:c>
      <x:c r="AL420" s="2" t="s">
        <x:v>3061</x:v>
      </x:c>
      <x:c r="AM420" s="2">
        <x:v>120</x:v>
      </x:c>
      <x:c r="AN420" s="2">
        <x:v>120</x:v>
      </x:c>
    </x:row>
    <x:row r="421" ht="52">
      <x:c r="A421" s="2" t="s">
        <x:v>91</x:v>
      </x:c>
      <x:c r="B421" s="2" t="s">
        <x:v>15</x:v>
      </x:c>
      <x:c r="C421" s="3">
        <x:v>119</x:v>
      </x:c>
      <x:c r="D421" s="2" t="s">
        <x:v>1466</x:v>
      </x:c>
      <x:c r="E421" s="2" t="s">
        <x:v>1503</x:v>
      </x:c>
      <x:c r="F421" s="2" t="s">
        <x:v>247</x:v>
      </x:c>
      <x:c r="G421" s="2" t="s">
        <x:v>1415</x:v>
      </x:c>
      <x:c r="H421" s="2" t="s">
        <x:v>1489</x:v>
      </x:c>
      <x:c r="I421" s="2" t="s">
        <x:v>1504</x:v>
      </x:c>
      <x:c r="J421" s="2" t="s">
        <x:v>1505</x:v>
      </x:c>
      <x:c r="K421" s="2" t="n">
        <x:v>118</x:v>
      </x:c>
      <x:c r="L421" s="2"/>
      <x:c r="M421" s="2"/>
      <x:c r="N421" s="2" t="s">
        <x:v>1487</x:v>
      </x:c>
      <x:c r="O421" s="2" t="s">
        <x:v>1355</x:v>
      </x:c>
      <x:c r="P421" s="2" t="s">
        <x:v>1491</x:v>
      </x:c>
      <x:c r="Q421" s="2"/>
      <x:c r="R421" s="3">
        <x:v>4</x:v>
      </x:c>
      <x:c r="S421" s="3"/>
      <x:c r="T421" s="2"/>
      <x:c r="U421" s="2"/>
      <x:c r="V421" s="2"/>
      <x:c r="W421" s="2" t="s">
        <x:v>1504</x:v>
      </x:c>
      <x:c r="X421" s="3"/>
      <x:c r="Y421" s="3"/>
      <x:c r="Z421" s="2"/>
      <x:c r="AA421" s="2" t="s">
        <x:v>243</x:v>
      </x:c>
      <x:c r="AB421" s="2" t="s">
        <x:v>267</x:v>
      </x:c>
      <x:c r="AC421" s="2"/>
      <x:c r="AD421" s="2"/>
      <x:c r="AE421" s="2"/>
      <x:c r="AF421" s="2"/>
      <x:c r="AG421" s="2"/>
      <x:c r="AH421" s="2"/>
      <x:c r="AI421" s="4"/>
      <x:c r="AJ421" s="2"/>
      <x:c r="AK421" s="2" t="s">
        <x:v>234</x:v>
      </x:c>
      <x:c r="AL421" s="2" t="s">
        <x:v>3061</x:v>
      </x:c>
      <x:c r="AM421" s="2">
        <x:v>121</x:v>
      </x:c>
      <x:c r="AN421" s="2">
        <x:v>121</x:v>
      </x:c>
    </x:row>
    <x:row r="422" ht="52">
      <x:c r="A422" s="2" t="s">
        <x:v>6</x:v>
      </x:c>
      <x:c r="B422" s="2" t="s">
        <x:v>15</x:v>
      </x:c>
      <x:c r="C422" s="3">
        <x:v>120</x:v>
      </x:c>
      <x:c r="D422" s="2" t="s">
        <x:v>1340</x:v>
      </x:c>
      <x:c r="E422" s="2" t="s">
        <x:v>1506</x:v>
      </x:c>
      <x:c r="F422" s="2" t="s">
        <x:v>237</x:v>
      </x:c>
      <x:c r="G422" s="2"/>
      <x:c r="H422" s="2" t="s">
        <x:v>1489</x:v>
      </x:c>
      <x:c r="I422" s="2" t="s">
        <x:v>1507</x:v>
      </x:c>
      <x:c r="J422" s="2" t="s">
        <x:v>1508</x:v>
      </x:c>
      <x:c r="K422" s="2"/>
      <x:c r="L422" s="2"/>
      <x:c r="M422" s="2"/>
      <x:c r="N422" s="2" t="s">
        <x:v>1487</x:v>
      </x:c>
      <x:c r="O422" s="2" t="s">
        <x:v>1351</x:v>
      </x:c>
      <x:c r="P422" s="2" t="s">
        <x:v>1491</x:v>
      </x:c>
      <x:c r="Q422" s="2"/>
      <x:c r="R422" s="3">
        <x:v>4</x:v>
      </x:c>
      <x:c r="S422" s="3"/>
      <x:c r="T422" s="2"/>
      <x:c r="U422" s="2"/>
      <x:c r="V422" s="2"/>
      <x:c r="W422" s="2" t="s">
        <x:v>1507</x:v>
      </x:c>
      <x:c r="X422" s="3"/>
      <x:c r="Y422" s="3"/>
      <x:c r="Z422" s="2"/>
      <x:c r="AA422" s="2" t="s">
        <x:v>275</x:v>
      </x:c>
      <x:c r="AB422" s="2" t="s">
        <x:v>284</x:v>
      </x:c>
      <x:c r="AC422" s="2"/>
      <x:c r="AD422" s="2"/>
      <x:c r="AE422" s="2"/>
      <x:c r="AF422" s="2"/>
      <x:c r="AG422" s="2"/>
      <x:c r="AH422" s="2"/>
      <x:c r="AI422" s="4"/>
      <x:c r="AJ422" s="2"/>
      <x:c r="AK422" s="2" t="s">
        <x:v>234</x:v>
      </x:c>
      <x:c r="AL422" s="2" t="s">
        <x:v>3061</x:v>
      </x:c>
      <x:c r="AM422" s="2">
        <x:v>122</x:v>
      </x:c>
      <x:c r="AN422" s="2">
        <x:v>122</x:v>
      </x:c>
    </x:row>
    <x:row r="423" ht="52">
      <x:c r="A423" s="2" t="s">
        <x:v>91</x:v>
      </x:c>
      <x:c r="B423" s="2" t="s">
        <x:v>15</x:v>
      </x:c>
      <x:c r="C423" s="3">
        <x:v>121</x:v>
      </x:c>
      <x:c r="D423" s="2" t="s">
        <x:v>1466</x:v>
      </x:c>
      <x:c r="E423" s="2" t="s">
        <x:v>1506</x:v>
      </x:c>
      <x:c r="F423" s="2" t="s">
        <x:v>368</x:v>
      </x:c>
      <x:c r="G423" s="2" t="s">
        <x:v>1415</x:v>
      </x:c>
      <x:c r="H423" s="2" t="s">
        <x:v>1484</x:v>
      </x:c>
      <x:c r="I423" s="2" t="s">
        <x:v>1507</x:v>
      </x:c>
      <x:c r="J423" s="2" t="s">
        <x:v>1486</x:v>
      </x:c>
      <x:c r="K423" s="2" t="n">
        <x:v>120</x:v>
      </x:c>
      <x:c r="L423" s="2"/>
      <x:c r="M423" s="2"/>
      <x:c r="N423" s="2" t="s">
        <x:v>1487</x:v>
      </x:c>
      <x:c r="O423" s="2" t="s">
        <x:v>1355</x:v>
      </x:c>
      <x:c r="P423" s="2" t="s">
        <x:v>1488</x:v>
      </x:c>
      <x:c r="Q423" s="2"/>
      <x:c r="R423" s="3">
        <x:v>4</x:v>
      </x:c>
      <x:c r="S423" s="3"/>
      <x:c r="T423" s="2"/>
      <x:c r="U423" s="2"/>
      <x:c r="V423" s="2"/>
      <x:c r="W423" s="2" t="s">
        <x:v>1507</x:v>
      </x:c>
      <x:c r="X423" s="3"/>
      <x:c r="Y423" s="3"/>
      <x:c r="Z423" s="2"/>
      <x:c r="AA423" s="2" t="s">
        <x:v>243</x:v>
      </x:c>
      <x:c r="AB423" s="2" t="s">
        <x:v>267</x:v>
      </x:c>
      <x:c r="AC423" s="2"/>
      <x:c r="AD423" s="2"/>
      <x:c r="AE423" s="2"/>
      <x:c r="AF423" s="2"/>
      <x:c r="AG423" s="2"/>
      <x:c r="AH423" s="2"/>
      <x:c r="AI423" s="4"/>
      <x:c r="AJ423" s="2"/>
      <x:c r="AK423" s="2" t="s">
        <x:v>234</x:v>
      </x:c>
      <x:c r="AL423" s="2" t="s">
        <x:v>3061</x:v>
      </x:c>
      <x:c r="AM423" s="2">
        <x:v>123</x:v>
      </x:c>
      <x:c r="AN423" s="2">
        <x:v>123</x:v>
      </x:c>
    </x:row>
    <x:row r="424" ht="52">
      <x:c r="A424" s="2" t="s">
        <x:v>91</x:v>
      </x:c>
      <x:c r="B424" s="2" t="s">
        <x:v>15</x:v>
      </x:c>
      <x:c r="C424" s="3">
        <x:v>122</x:v>
      </x:c>
      <x:c r="D424" s="2" t="s">
        <x:v>1281</x:v>
      </x:c>
      <x:c r="E424" s="2" t="s">
        <x:v>1509</x:v>
      </x:c>
      <x:c r="F424" s="2" t="s">
        <x:v>368</x:v>
      </x:c>
      <x:c r="G424" s="2" t="s">
        <x:v>1415</x:v>
      </x:c>
      <x:c r="H424" s="2" t="s">
        <x:v>1484</x:v>
      </x:c>
      <x:c r="I424" s="2" t="s">
        <x:v>1510</x:v>
      </x:c>
      <x:c r="J424" s="2" t="s">
        <x:v>1486</x:v>
      </x:c>
      <x:c r="K424" s="2"/>
      <x:c r="L424" s="2"/>
      <x:c r="M424" s="2"/>
      <x:c r="N424" s="2" t="s">
        <x:v>1487</x:v>
      </x:c>
      <x:c r="O424" s="2" t="s">
        <x:v>1351</x:v>
      </x:c>
      <x:c r="P424" s="2" t="s">
        <x:v>1488</x:v>
      </x:c>
      <x:c r="Q424" s="2"/>
      <x:c r="R424" s="3">
        <x:v>4</x:v>
      </x:c>
      <x:c r="S424" s="3"/>
      <x:c r="T424" s="2"/>
      <x:c r="U424" s="2"/>
      <x:c r="V424" s="2"/>
      <x:c r="W424" s="2" t="s">
        <x:v>1510</x:v>
      </x:c>
      <x:c r="X424" s="3"/>
      <x:c r="Y424" s="3"/>
      <x:c r="Z424" s="2"/>
      <x:c r="AA424" s="2" t="s">
        <x:v>243</x:v>
      </x:c>
      <x:c r="AB424" s="2" t="s">
        <x:v>244</x:v>
      </x:c>
      <x:c r="AC424" s="2"/>
      <x:c r="AD424" s="2"/>
      <x:c r="AE424" s="2"/>
      <x:c r="AF424" s="2"/>
      <x:c r="AG424" s="2"/>
      <x:c r="AH424" s="2"/>
      <x:c r="AI424" s="4"/>
      <x:c r="AJ424" s="2"/>
      <x:c r="AK424" s="2" t="s">
        <x:v>234</x:v>
      </x:c>
      <x:c r="AL424" s="2" t="s">
        <x:v>3061</x:v>
      </x:c>
      <x:c r="AM424" s="2">
        <x:v>124</x:v>
      </x:c>
      <x:c r="AN424" s="2">
        <x:v>124</x:v>
      </x:c>
    </x:row>
    <x:row r="425" ht="52">
      <x:c r="A425" s="2" t="s">
        <x:v>6</x:v>
      </x:c>
      <x:c r="B425" s="2" t="s">
        <x:v>15</x:v>
      </x:c>
      <x:c r="C425" s="3">
        <x:v>123</x:v>
      </x:c>
      <x:c r="D425" s="2" t="s">
        <x:v>1335</x:v>
      </x:c>
      <x:c r="E425" s="2" t="s">
        <x:v>1509</x:v>
      </x:c>
      <x:c r="F425" s="2" t="s">
        <x:v>224</x:v>
      </x:c>
      <x:c r="G425" s="2"/>
      <x:c r="H425" s="2" t="s">
        <x:v>1489</x:v>
      </x:c>
      <x:c r="I425" s="2" t="s">
        <x:v>1510</x:v>
      </x:c>
      <x:c r="J425" s="2" t="s">
        <x:v>1511</x:v>
      </x:c>
      <x:c r="K425" s="2" t="n">
        <x:v>122</x:v>
      </x:c>
      <x:c r="L425" s="2"/>
      <x:c r="M425" s="2"/>
      <x:c r="N425" s="2" t="s">
        <x:v>1487</x:v>
      </x:c>
      <x:c r="O425" s="2" t="s">
        <x:v>1355</x:v>
      </x:c>
      <x:c r="P425" s="2" t="s">
        <x:v>1491</x:v>
      </x:c>
      <x:c r="Q425" s="2"/>
      <x:c r="R425" s="3">
        <x:v>4</x:v>
      </x:c>
      <x:c r="S425" s="3"/>
      <x:c r="T425" s="2"/>
      <x:c r="U425" s="2"/>
      <x:c r="V425" s="2"/>
      <x:c r="W425" s="2" t="s">
        <x:v>1510</x:v>
      </x:c>
      <x:c r="X425" s="3"/>
      <x:c r="Y425" s="3"/>
      <x:c r="Z425" s="2"/>
      <x:c r="AA425" s="2" t="s">
        <x:v>1314</x:v>
      </x:c>
      <x:c r="AB425" s="2" t="s">
        <x:v>276</x:v>
      </x:c>
      <x:c r="AC425" s="2"/>
      <x:c r="AD425" s="2"/>
      <x:c r="AE425" s="2"/>
      <x:c r="AF425" s="2"/>
      <x:c r="AG425" s="2"/>
      <x:c r="AH425" s="2"/>
      <x:c r="AI425" s="4"/>
      <x:c r="AJ425" s="2"/>
      <x:c r="AK425" s="2" t="s">
        <x:v>234</x:v>
      </x:c>
      <x:c r="AL425" s="2" t="s">
        <x:v>3061</x:v>
      </x:c>
      <x:c r="AM425" s="2">
        <x:v>125</x:v>
      </x:c>
      <x:c r="AN425" s="2">
        <x:v>125</x:v>
      </x:c>
    </x:row>
    <x:row r="426" ht="52">
      <x:c r="A426" s="2" t="s">
        <x:v>91</x:v>
      </x:c>
      <x:c r="B426" s="2" t="s">
        <x:v>15</x:v>
      </x:c>
      <x:c r="C426" s="3">
        <x:v>124</x:v>
      </x:c>
      <x:c r="D426" s="2" t="s">
        <x:v>1281</x:v>
      </x:c>
      <x:c r="E426" s="2" t="s">
        <x:v>1512</x:v>
      </x:c>
      <x:c r="F426" s="2" t="s">
        <x:v>254</x:v>
      </x:c>
      <x:c r="G426" s="2" t="s">
        <x:v>1493</x:v>
      </x:c>
      <x:c r="H426" s="2" t="s">
        <x:v>1489</x:v>
      </x:c>
      <x:c r="I426" s="2" t="s">
        <x:v>1514</x:v>
      </x:c>
      <x:c r="J426" s="2" t="s">
        <x:v>1515</x:v>
      </x:c>
      <x:c r="K426" s="2"/>
      <x:c r="L426" s="2"/>
      <x:c r="M426" s="2"/>
      <x:c r="N426" s="2" t="s">
        <x:v>1487</x:v>
      </x:c>
      <x:c r="O426" s="2" t="s">
        <x:v>1351</x:v>
      </x:c>
      <x:c r="P426" s="2" t="s">
        <x:v>1491</x:v>
      </x:c>
      <x:c r="Q426" s="2"/>
      <x:c r="R426" s="3">
        <x:v>4</x:v>
      </x:c>
      <x:c r="S426" s="3"/>
      <x:c r="T426" s="2"/>
      <x:c r="U426" s="2"/>
      <x:c r="V426" s="2"/>
      <x:c r="W426" s="2" t="s">
        <x:v>1514</x:v>
      </x:c>
      <x:c r="X426" s="3"/>
      <x:c r="Y426" s="3"/>
      <x:c r="Z426" s="2"/>
      <x:c r="AA426" s="2" t="s">
        <x:v>243</x:v>
      </x:c>
      <x:c r="AB426" s="2" t="s">
        <x:v>244</x:v>
      </x:c>
      <x:c r="AC426" s="2"/>
      <x:c r="AD426" s="2"/>
      <x:c r="AE426" s="2"/>
      <x:c r="AF426" s="2"/>
      <x:c r="AG426" s="2"/>
      <x:c r="AH426" s="2"/>
      <x:c r="AI426" s="4"/>
      <x:c r="AJ426" s="2"/>
      <x:c r="AK426" s="2" t="s">
        <x:v>234</x:v>
      </x:c>
      <x:c r="AL426" s="2" t="s">
        <x:v>3061</x:v>
      </x:c>
      <x:c r="AM426" s="2">
        <x:v>126</x:v>
      </x:c>
      <x:c r="AN426" s="2">
        <x:v>126</x:v>
      </x:c>
    </x:row>
    <x:row r="427" ht="52">
      <x:c r="A427" s="2" t="s">
        <x:v>91</x:v>
      </x:c>
      <x:c r="B427" s="2" t="s">
        <x:v>15</x:v>
      </x:c>
      <x:c r="C427" s="3">
        <x:v>125</x:v>
      </x:c>
      <x:c r="D427" s="2" t="s">
        <x:v>1388</x:v>
      </x:c>
      <x:c r="E427" s="2" t="s">
        <x:v>1512</x:v>
      </x:c>
      <x:c r="F427" s="2" t="s">
        <x:v>368</x:v>
      </x:c>
      <x:c r="G427" s="2" t="s">
        <x:v>1276</x:v>
      </x:c>
      <x:c r="H427" s="2" t="s">
        <x:v>1484</x:v>
      </x:c>
      <x:c r="I427" s="2" t="s">
        <x:v>1514</x:v>
      </x:c>
      <x:c r="J427" s="2" t="s">
        <x:v>1486</x:v>
      </x:c>
      <x:c r="K427" s="2" t="n">
        <x:v>124</x:v>
      </x:c>
      <x:c r="L427" s="2"/>
      <x:c r="M427" s="2"/>
      <x:c r="N427" s="2" t="s">
        <x:v>1487</x:v>
      </x:c>
      <x:c r="O427" s="2" t="s">
        <x:v>1355</x:v>
      </x:c>
      <x:c r="P427" s="2" t="s">
        <x:v>1488</x:v>
      </x:c>
      <x:c r="Q427" s="2"/>
      <x:c r="R427" s="3">
        <x:v>4</x:v>
      </x:c>
      <x:c r="S427" s="3"/>
      <x:c r="T427" s="2"/>
      <x:c r="U427" s="2"/>
      <x:c r="V427" s="2"/>
      <x:c r="W427" s="2" t="s">
        <x:v>1514</x:v>
      </x:c>
      <x:c r="X427" s="3"/>
      <x:c r="Y427" s="3"/>
      <x:c r="Z427" s="2"/>
      <x:c r="AA427" s="2" t="s">
        <x:v>275</x:v>
      </x:c>
      <x:c r="AB427" s="2" t="s">
        <x:v>233</x:v>
      </x:c>
      <x:c r="AC427" s="2"/>
      <x:c r="AD427" s="2"/>
      <x:c r="AE427" s="2"/>
      <x:c r="AF427" s="2"/>
      <x:c r="AG427" s="2"/>
      <x:c r="AH427" s="2"/>
      <x:c r="AI427" s="4"/>
      <x:c r="AJ427" s="2"/>
      <x:c r="AK427" s="2" t="s">
        <x:v>234</x:v>
      </x:c>
      <x:c r="AL427" s="2" t="s">
        <x:v>3061</x:v>
      </x:c>
      <x:c r="AM427" s="2">
        <x:v>127</x:v>
      </x:c>
      <x:c r="AN427" s="2">
        <x:v>127</x:v>
      </x:c>
    </x:row>
    <x:row r="428" ht="52">
      <x:c r="A428" s="2" t="s">
        <x:v>91</x:v>
      </x:c>
      <x:c r="B428" s="2" t="s">
        <x:v>15</x:v>
      </x:c>
      <x:c r="C428" s="3">
        <x:v>126</x:v>
      </x:c>
      <x:c r="D428" s="2" t="s">
        <x:v>1335</x:v>
      </x:c>
      <x:c r="E428" s="2" t="s">
        <x:v>1516</x:v>
      </x:c>
      <x:c r="F428" s="2" t="s">
        <x:v>368</x:v>
      </x:c>
      <x:c r="G428" s="2" t="s">
        <x:v>1290</x:v>
      </x:c>
      <x:c r="H428" s="2" t="s">
        <x:v>1484</x:v>
      </x:c>
      <x:c r="I428" s="2" t="s">
        <x:v>1517</x:v>
      </x:c>
      <x:c r="J428" s="2" t="s">
        <x:v>1486</x:v>
      </x:c>
      <x:c r="K428" s="2"/>
      <x:c r="L428" s="2"/>
      <x:c r="M428" s="2"/>
      <x:c r="N428" s="2" t="s">
        <x:v>1487</x:v>
      </x:c>
      <x:c r="O428" s="2" t="s">
        <x:v>1351</x:v>
      </x:c>
      <x:c r="P428" s="2" t="s">
        <x:v>1488</x:v>
      </x:c>
      <x:c r="Q428" s="2"/>
      <x:c r="R428" s="3">
        <x:v>4</x:v>
      </x:c>
      <x:c r="S428" s="3"/>
      <x:c r="T428" s="2"/>
      <x:c r="U428" s="2"/>
      <x:c r="V428" s="2"/>
      <x:c r="W428" s="2" t="s">
        <x:v>1517</x:v>
      </x:c>
      <x:c r="X428" s="3"/>
      <x:c r="Y428" s="3"/>
      <x:c r="Z428" s="2"/>
      <x:c r="AA428" s="2" t="s">
        <x:v>1314</x:v>
      </x:c>
      <x:c r="AB428" s="2" t="s">
        <x:v>276</x:v>
      </x:c>
      <x:c r="AC428" s="2"/>
      <x:c r="AD428" s="2"/>
      <x:c r="AE428" s="2"/>
      <x:c r="AF428" s="2"/>
      <x:c r="AG428" s="2"/>
      <x:c r="AH428" s="2"/>
      <x:c r="AI428" s="4"/>
      <x:c r="AJ428" s="2"/>
      <x:c r="AK428" s="2" t="s">
        <x:v>234</x:v>
      </x:c>
      <x:c r="AL428" s="2" t="s">
        <x:v>3061</x:v>
      </x:c>
      <x:c r="AM428" s="2">
        <x:v>128</x:v>
      </x:c>
      <x:c r="AN428" s="2">
        <x:v>128</x:v>
      </x:c>
    </x:row>
    <x:row r="429" ht="52">
      <x:c r="A429" s="2" t="s">
        <x:v>91</x:v>
      </x:c>
      <x:c r="B429" s="2" t="s">
        <x:v>15</x:v>
      </x:c>
      <x:c r="C429" s="3">
        <x:v>127</x:v>
      </x:c>
      <x:c r="D429" s="2" t="s">
        <x:v>1281</x:v>
      </x:c>
      <x:c r="E429" s="2" t="s">
        <x:v>1516</x:v>
      </x:c>
      <x:c r="F429" s="2" t="s">
        <x:v>247</x:v>
      </x:c>
      <x:c r="G429" s="2" t="s">
        <x:v>1493</x:v>
      </x:c>
      <x:c r="H429" s="2" t="s">
        <x:v>1489</x:v>
      </x:c>
      <x:c r="I429" s="2" t="s">
        <x:v>1517</x:v>
      </x:c>
      <x:c r="J429" s="2" t="s">
        <x:v>1519</x:v>
      </x:c>
      <x:c r="K429" s="2" t="n">
        <x:v>126</x:v>
      </x:c>
      <x:c r="L429" s="2"/>
      <x:c r="M429" s="2"/>
      <x:c r="N429" s="2" t="s">
        <x:v>1487</x:v>
      </x:c>
      <x:c r="O429" s="2" t="s">
        <x:v>1355</x:v>
      </x:c>
      <x:c r="P429" s="2" t="s">
        <x:v>1491</x:v>
      </x:c>
      <x:c r="Q429" s="2"/>
      <x:c r="R429" s="3">
        <x:v>4</x:v>
      </x:c>
      <x:c r="S429" s="3"/>
      <x:c r="T429" s="2"/>
      <x:c r="U429" s="2"/>
      <x:c r="V429" s="2"/>
      <x:c r="W429" s="2" t="s">
        <x:v>1517</x:v>
      </x:c>
      <x:c r="X429" s="3"/>
      <x:c r="Y429" s="3"/>
      <x:c r="Z429" s="2"/>
      <x:c r="AA429" s="2" t="s">
        <x:v>243</x:v>
      </x:c>
      <x:c r="AB429" s="2" t="s">
        <x:v>244</x:v>
      </x:c>
      <x:c r="AC429" s="2"/>
      <x:c r="AD429" s="2"/>
      <x:c r="AE429" s="2"/>
      <x:c r="AF429" s="2"/>
      <x:c r="AG429" s="2"/>
      <x:c r="AH429" s="2"/>
      <x:c r="AI429" s="4"/>
      <x:c r="AJ429" s="2"/>
      <x:c r="AK429" s="2" t="s">
        <x:v>234</x:v>
      </x:c>
      <x:c r="AL429" s="2" t="s">
        <x:v>3061</x:v>
      </x:c>
      <x:c r="AM429" s="2">
        <x:v>129</x:v>
      </x:c>
      <x:c r="AN429" s="2">
        <x:v>129</x:v>
      </x:c>
    </x:row>
    <x:row r="430" ht="52">
      <x:c r="A430" s="2" t="s">
        <x:v>91</x:v>
      </x:c>
      <x:c r="B430" s="2" t="s">
        <x:v>15</x:v>
      </x:c>
      <x:c r="C430" s="3">
        <x:v>128</x:v>
      </x:c>
      <x:c r="D430" s="2" t="s">
        <x:v>1340</x:v>
      </x:c>
      <x:c r="E430" s="2" t="s">
        <x:v>1520</x:v>
      </x:c>
      <x:c r="F430" s="2" t="s">
        <x:v>254</x:v>
      </x:c>
      <x:c r="G430" s="2" t="s">
        <x:v>1290</x:v>
      </x:c>
      <x:c r="H430" s="2" t="s">
        <x:v>1489</x:v>
      </x:c>
      <x:c r="I430" s="2" t="s">
        <x:v>1521</x:v>
      </x:c>
      <x:c r="J430" s="2" t="s">
        <x:v>1522</x:v>
      </x:c>
      <x:c r="K430" s="2"/>
      <x:c r="L430" s="2"/>
      <x:c r="M430" s="2"/>
      <x:c r="N430" s="2" t="s">
        <x:v>1487</x:v>
      </x:c>
      <x:c r="O430" s="2" t="s">
        <x:v>1351</x:v>
      </x:c>
      <x:c r="P430" s="2" t="s">
        <x:v>1491</x:v>
      </x:c>
      <x:c r="Q430" s="2"/>
      <x:c r="R430" s="3">
        <x:v>4</x:v>
      </x:c>
      <x:c r="S430" s="3"/>
      <x:c r="T430" s="2"/>
      <x:c r="U430" s="2"/>
      <x:c r="V430" s="2"/>
      <x:c r="W430" s="2" t="s">
        <x:v>1521</x:v>
      </x:c>
      <x:c r="X430" s="3"/>
      <x:c r="Y430" s="3"/>
      <x:c r="Z430" s="2"/>
      <x:c r="AA430" s="2" t="s">
        <x:v>275</x:v>
      </x:c>
      <x:c r="AB430" s="2" t="s">
        <x:v>284</x:v>
      </x:c>
      <x:c r="AC430" s="2"/>
      <x:c r="AD430" s="2"/>
      <x:c r="AE430" s="2"/>
      <x:c r="AF430" s="2"/>
      <x:c r="AG430" s="2"/>
      <x:c r="AH430" s="2"/>
      <x:c r="AI430" s="4"/>
      <x:c r="AJ430" s="2"/>
      <x:c r="AK430" s="2" t="s">
        <x:v>234</x:v>
      </x:c>
      <x:c r="AL430" s="2" t="s">
        <x:v>3061</x:v>
      </x:c>
      <x:c r="AM430" s="2">
        <x:v>130</x:v>
      </x:c>
      <x:c r="AN430" s="2">
        <x:v>130</x:v>
      </x:c>
    </x:row>
    <x:row r="431" ht="52">
      <x:c r="A431" s="2" t="s">
        <x:v>6</x:v>
      </x:c>
      <x:c r="B431" s="2" t="s">
        <x:v>15</x:v>
      </x:c>
      <x:c r="C431" s="3">
        <x:v>129</x:v>
      </x:c>
      <x:c r="D431" s="2" t="s">
        <x:v>1439</x:v>
      </x:c>
      <x:c r="E431" s="2" t="s">
        <x:v>1520</x:v>
      </x:c>
      <x:c r="F431" s="2" t="s">
        <x:v>368</x:v>
      </x:c>
      <x:c r="G431" s="2"/>
      <x:c r="H431" s="2" t="s">
        <x:v>1484</x:v>
      </x:c>
      <x:c r="I431" s="2" t="s">
        <x:v>1521</x:v>
      </x:c>
      <x:c r="J431" s="2" t="s">
        <x:v>1486</x:v>
      </x:c>
      <x:c r="K431" s="2" t="n">
        <x:v>128</x:v>
      </x:c>
      <x:c r="L431" s="2"/>
      <x:c r="M431" s="2"/>
      <x:c r="N431" s="2" t="s">
        <x:v>1487</x:v>
      </x:c>
      <x:c r="O431" s="2" t="s">
        <x:v>1355</x:v>
      </x:c>
      <x:c r="P431" s="2" t="s">
        <x:v>1488</x:v>
      </x:c>
      <x:c r="Q431" s="2"/>
      <x:c r="R431" s="3">
        <x:v>4</x:v>
      </x:c>
      <x:c r="S431" s="3"/>
      <x:c r="T431" s="2"/>
      <x:c r="U431" s="2"/>
      <x:c r="V431" s="2"/>
      <x:c r="W431" s="2" t="s">
        <x:v>1521</x:v>
      </x:c>
      <x:c r="X431" s="3"/>
      <x:c r="Y431" s="3"/>
      <x:c r="Z431" s="2"/>
      <x:c r="AA431" s="2" t="s">
        <x:v>1314</x:v>
      </x:c>
      <x:c r="AB431" s="2" t="s">
        <x:v>1315</x:v>
      </x:c>
      <x:c r="AC431" s="2"/>
      <x:c r="AD431" s="2"/>
      <x:c r="AE431" s="2"/>
      <x:c r="AF431" s="2"/>
      <x:c r="AG431" s="2"/>
      <x:c r="AH431" s="2"/>
      <x:c r="AI431" s="4"/>
      <x:c r="AJ431" s="2"/>
      <x:c r="AK431" s="2" t="s">
        <x:v>234</x:v>
      </x:c>
      <x:c r="AL431" s="2" t="s">
        <x:v>3061</x:v>
      </x:c>
      <x:c r="AM431" s="2">
        <x:v>131</x:v>
      </x:c>
      <x:c r="AN431" s="2">
        <x:v>131</x:v>
      </x:c>
    </x:row>
    <x:row r="432" ht="39">
      <x:c r="A432" s="2" t="s">
        <x:v>91</x:v>
      </x:c>
      <x:c r="B432" s="2" t="s">
        <x:v>15</x:v>
      </x:c>
      <x:c r="C432" s="3">
        <x:v>130</x:v>
      </x:c>
      <x:c r="D432" s="2" t="s">
        <x:v>1439</x:v>
      </x:c>
      <x:c r="E432" s="2" t="s">
        <x:v>1523</x:v>
      </x:c>
      <x:c r="F432" s="2" t="s">
        <x:v>1524</x:v>
      </x:c>
      <x:c r="G432" s="2" t="s">
        <x:v>1290</x:v>
      </x:c>
      <x:c r="H432" s="2" t="s">
        <x:v>1525</x:v>
      </x:c>
      <x:c r="I432" s="2" t="s">
        <x:v>1526</x:v>
      </x:c>
      <x:c r="J432" s="2" t="s">
        <x:v>1527</x:v>
      </x:c>
      <x:c r="K432" s="2"/>
      <x:c r="L432" s="2"/>
      <x:c r="M432" s="2"/>
      <x:c r="N432" s="2" t="s">
        <x:v>1528</x:v>
      </x:c>
      <x:c r="O432" s="2" t="s">
        <x:v>1351</x:v>
      </x:c>
      <x:c r="P432" s="2" t="s">
        <x:v>1529</x:v>
      </x:c>
      <x:c r="Q432" s="2"/>
      <x:c r="R432" s="3">
        <x:v>3</x:v>
      </x:c>
      <x:c r="S432" s="3"/>
      <x:c r="T432" s="2"/>
      <x:c r="U432" s="2"/>
      <x:c r="V432" s="2"/>
      <x:c r="W432" s="2" t="s">
        <x:v>1526</x:v>
      </x:c>
      <x:c r="X432" s="3"/>
      <x:c r="Y432" s="3"/>
      <x:c r="Z432" s="2"/>
      <x:c r="AA432" s="2" t="s">
        <x:v>632</x:v>
      </x:c>
      <x:c r="AB432" s="2" t="s">
        <x:v>1315</x:v>
      </x:c>
      <x:c r="AC432" s="2"/>
      <x:c r="AD432" s="2"/>
      <x:c r="AE432" s="2"/>
      <x:c r="AF432" s="2"/>
      <x:c r="AG432" s="2"/>
      <x:c r="AH432" s="2"/>
      <x:c r="AI432" s="4"/>
      <x:c r="AJ432" s="2"/>
      <x:c r="AK432" s="2" t="s">
        <x:v>234</x:v>
      </x:c>
      <x:c r="AL432" s="2" t="s">
        <x:v>3061</x:v>
      </x:c>
      <x:c r="AM432" s="2">
        <x:v>132</x:v>
      </x:c>
      <x:c r="AN432" s="2">
        <x:v>132</x:v>
      </x:c>
    </x:row>
    <x:row r="433" ht="39">
      <x:c r="A433" s="2" t="s">
        <x:v>91</x:v>
      </x:c>
      <x:c r="B433" s="2" t="s">
        <x:v>15</x:v>
      </x:c>
      <x:c r="C433" s="3">
        <x:v>131</x:v>
      </x:c>
      <x:c r="D433" s="2" t="s">
        <x:v>1288</x:v>
      </x:c>
      <x:c r="E433" s="2" t="s">
        <x:v>1523</x:v>
      </x:c>
      <x:c r="F433" s="2" t="s">
        <x:v>1524</x:v>
      </x:c>
      <x:c r="G433" s="2" t="s">
        <x:v>1290</x:v>
      </x:c>
      <x:c r="H433" s="2" t="s">
        <x:v>1525</x:v>
      </x:c>
      <x:c r="I433" s="2" t="s">
        <x:v>1526</x:v>
      </x:c>
      <x:c r="J433" s="2" t="s">
        <x:v>1527</x:v>
      </x:c>
      <x:c r="K433" s="2" t="n">
        <x:v>130</x:v>
      </x:c>
      <x:c r="L433" s="2"/>
      <x:c r="M433" s="2"/>
      <x:c r="N433" s="2" t="s">
        <x:v>1528</x:v>
      </x:c>
      <x:c r="O433" s="2" t="s">
        <x:v>1530</x:v>
      </x:c>
      <x:c r="P433" s="2" t="s">
        <x:v>1529</x:v>
      </x:c>
      <x:c r="Q433" s="2"/>
      <x:c r="R433" s="3">
        <x:v>3</x:v>
      </x:c>
      <x:c r="S433" s="3"/>
      <x:c r="T433" s="2"/>
      <x:c r="U433" s="2"/>
      <x:c r="V433" s="2"/>
      <x:c r="W433" s="2" t="s">
        <x:v>1526</x:v>
      </x:c>
      <x:c r="X433" s="3"/>
      <x:c r="Y433" s="3"/>
      <x:c r="Z433" s="2"/>
      <x:c r="AA433" s="2" t="s">
        <x:v>632</x:v>
      </x:c>
      <x:c r="AB433" s="2" t="s">
        <x:v>300</x:v>
      </x:c>
      <x:c r="AC433" s="2"/>
      <x:c r="AD433" s="2"/>
      <x:c r="AE433" s="2"/>
      <x:c r="AF433" s="2"/>
      <x:c r="AG433" s="2"/>
      <x:c r="AH433" s="2"/>
      <x:c r="AI433" s="4"/>
      <x:c r="AJ433" s="2"/>
      <x:c r="AK433" s="2" t="s">
        <x:v>234</x:v>
      </x:c>
      <x:c r="AL433" s="2" t="s">
        <x:v>3061</x:v>
      </x:c>
      <x:c r="AM433" s="2">
        <x:v>133</x:v>
      </x:c>
      <x:c r="AN433" s="2">
        <x:v>133</x:v>
      </x:c>
    </x:row>
    <x:row r="434" ht="39">
      <x:c r="A434" s="2" t="s">
        <x:v>91</x:v>
      </x:c>
      <x:c r="B434" s="2" t="s">
        <x:v>15</x:v>
      </x:c>
      <x:c r="C434" s="3">
        <x:v>132</x:v>
      </x:c>
      <x:c r="D434" s="2" t="s">
        <x:v>1288</x:v>
      </x:c>
      <x:c r="E434" s="2" t="s">
        <x:v>1531</x:v>
      </x:c>
      <x:c r="F434" s="2" t="s">
        <x:v>1524</x:v>
      </x:c>
      <x:c r="G434" s="2" t="s">
        <x:v>1277</x:v>
      </x:c>
      <x:c r="H434" s="2" t="s">
        <x:v>1525</x:v>
      </x:c>
      <x:c r="I434" s="2" t="s">
        <x:v>1532</x:v>
      </x:c>
      <x:c r="J434" s="2" t="s">
        <x:v>1527</x:v>
      </x:c>
      <x:c r="K434" s="2"/>
      <x:c r="L434" s="2"/>
      <x:c r="M434" s="2"/>
      <x:c r="N434" s="2" t="s">
        <x:v>1528</x:v>
      </x:c>
      <x:c r="O434" s="2" t="s">
        <x:v>1351</x:v>
      </x:c>
      <x:c r="P434" s="2" t="s">
        <x:v>1529</x:v>
      </x:c>
      <x:c r="Q434" s="2"/>
      <x:c r="R434" s="3">
        <x:v>3</x:v>
      </x:c>
      <x:c r="S434" s="3"/>
      <x:c r="T434" s="2"/>
      <x:c r="U434" s="2"/>
      <x:c r="V434" s="2"/>
      <x:c r="W434" s="2" t="s">
        <x:v>1532</x:v>
      </x:c>
      <x:c r="X434" s="3"/>
      <x:c r="Y434" s="3"/>
      <x:c r="Z434" s="2"/>
      <x:c r="AA434" s="2" t="s">
        <x:v>632</x:v>
      </x:c>
      <x:c r="AB434" s="2" t="s">
        <x:v>300</x:v>
      </x:c>
      <x:c r="AC434" s="2"/>
      <x:c r="AD434" s="2"/>
      <x:c r="AE434" s="2"/>
      <x:c r="AF434" s="2"/>
      <x:c r="AG434" s="2"/>
      <x:c r="AH434" s="2"/>
      <x:c r="AI434" s="4"/>
      <x:c r="AJ434" s="2"/>
      <x:c r="AK434" s="2" t="s">
        <x:v>234</x:v>
      </x:c>
      <x:c r="AL434" s="2" t="s">
        <x:v>3061</x:v>
      </x:c>
      <x:c r="AM434" s="2">
        <x:v>134</x:v>
      </x:c>
      <x:c r="AN434" s="2">
        <x:v>134</x:v>
      </x:c>
    </x:row>
    <x:row r="435" ht="39">
      <x:c r="A435" s="2" t="s">
        <x:v>91</x:v>
      </x:c>
      <x:c r="B435" s="2" t="s">
        <x:v>15</x:v>
      </x:c>
      <x:c r="C435" s="3">
        <x:v>133</x:v>
      </x:c>
      <x:c r="D435" s="2" t="s">
        <x:v>1439</x:v>
      </x:c>
      <x:c r="E435" s="2" t="s">
        <x:v>1531</x:v>
      </x:c>
      <x:c r="F435" s="2" t="s">
        <x:v>1524</x:v>
      </x:c>
      <x:c r="G435" s="2" t="s">
        <x:v>1277</x:v>
      </x:c>
      <x:c r="H435" s="2" t="s">
        <x:v>1525</x:v>
      </x:c>
      <x:c r="I435" s="2" t="s">
        <x:v>1532</x:v>
      </x:c>
      <x:c r="J435" s="2" t="s">
        <x:v>1527</x:v>
      </x:c>
      <x:c r="K435" s="2" t="n">
        <x:v>132</x:v>
      </x:c>
      <x:c r="L435" s="2"/>
      <x:c r="M435" s="2"/>
      <x:c r="N435" s="2" t="s">
        <x:v>1528</x:v>
      </x:c>
      <x:c r="O435" s="2" t="s">
        <x:v>1530</x:v>
      </x:c>
      <x:c r="P435" s="2" t="s">
        <x:v>1529</x:v>
      </x:c>
      <x:c r="Q435" s="2"/>
      <x:c r="R435" s="3">
        <x:v>3</x:v>
      </x:c>
      <x:c r="S435" s="3"/>
      <x:c r="T435" s="2"/>
      <x:c r="U435" s="2"/>
      <x:c r="V435" s="2"/>
      <x:c r="W435" s="2" t="s">
        <x:v>1532</x:v>
      </x:c>
      <x:c r="X435" s="3"/>
      <x:c r="Y435" s="3"/>
      <x:c r="Z435" s="2"/>
      <x:c r="AA435" s="2" t="s">
        <x:v>632</x:v>
      </x:c>
      <x:c r="AB435" s="2" t="s">
        <x:v>1315</x:v>
      </x:c>
      <x:c r="AC435" s="2"/>
      <x:c r="AD435" s="2"/>
      <x:c r="AE435" s="2"/>
      <x:c r="AF435" s="2"/>
      <x:c r="AG435" s="2"/>
      <x:c r="AH435" s="2"/>
      <x:c r="AI435" s="4"/>
      <x:c r="AJ435" s="2"/>
      <x:c r="AK435" s="2" t="s">
        <x:v>234</x:v>
      </x:c>
      <x:c r="AL435" s="2" t="s">
        <x:v>3061</x:v>
      </x:c>
      <x:c r="AM435" s="2">
        <x:v>135</x:v>
      </x:c>
      <x:c r="AN435" s="2">
        <x:v>135</x:v>
      </x:c>
    </x:row>
    <x:row r="436" ht="39">
      <x:c r="A436" s="2" t="s">
        <x:v>91</x:v>
      </x:c>
      <x:c r="B436" s="2" t="s">
        <x:v>15</x:v>
      </x:c>
      <x:c r="C436" s="3">
        <x:v>134</x:v>
      </x:c>
      <x:c r="D436" s="2" t="s">
        <x:v>1439</x:v>
      </x:c>
      <x:c r="E436" s="2" t="s">
        <x:v>1533</x:v>
      </x:c>
      <x:c r="F436" s="2" t="s">
        <x:v>1524</x:v>
      </x:c>
      <x:c r="G436" s="2" t="s">
        <x:v>1290</x:v>
      </x:c>
      <x:c r="H436" s="2" t="s">
        <x:v>1525</x:v>
      </x:c>
      <x:c r="I436" s="2" t="s">
        <x:v>1534</x:v>
      </x:c>
      <x:c r="J436" s="2" t="s">
        <x:v>1527</x:v>
      </x:c>
      <x:c r="K436" s="2"/>
      <x:c r="L436" s="2"/>
      <x:c r="M436" s="2"/>
      <x:c r="N436" s="2" t="s">
        <x:v>1528</x:v>
      </x:c>
      <x:c r="O436" s="2" t="s">
        <x:v>1351</x:v>
      </x:c>
      <x:c r="P436" s="2" t="s">
        <x:v>1529</x:v>
      </x:c>
      <x:c r="Q436" s="2"/>
      <x:c r="R436" s="3">
        <x:v>3</x:v>
      </x:c>
      <x:c r="S436" s="3"/>
      <x:c r="T436" s="2"/>
      <x:c r="U436" s="2"/>
      <x:c r="V436" s="2"/>
      <x:c r="W436" s="2" t="s">
        <x:v>1534</x:v>
      </x:c>
      <x:c r="X436" s="3"/>
      <x:c r="Y436" s="3"/>
      <x:c r="Z436" s="2"/>
      <x:c r="AA436" s="2" t="s">
        <x:v>632</x:v>
      </x:c>
      <x:c r="AB436" s="2" t="s">
        <x:v>1315</x:v>
      </x:c>
      <x:c r="AC436" s="2"/>
      <x:c r="AD436" s="2"/>
      <x:c r="AE436" s="2"/>
      <x:c r="AF436" s="2"/>
      <x:c r="AG436" s="2"/>
      <x:c r="AH436" s="2"/>
      <x:c r="AI436" s="4"/>
      <x:c r="AJ436" s="2"/>
      <x:c r="AK436" s="2" t="s">
        <x:v>234</x:v>
      </x:c>
      <x:c r="AL436" s="2" t="s">
        <x:v>3061</x:v>
      </x:c>
      <x:c r="AM436" s="2">
        <x:v>136</x:v>
      </x:c>
      <x:c r="AN436" s="2">
        <x:v>136</x:v>
      </x:c>
    </x:row>
    <x:row r="437" ht="39">
      <x:c r="A437" s="2" t="s">
        <x:v>91</x:v>
      </x:c>
      <x:c r="B437" s="2" t="s">
        <x:v>15</x:v>
      </x:c>
      <x:c r="C437" s="3">
        <x:v>135</x:v>
      </x:c>
      <x:c r="D437" s="2" t="s">
        <x:v>1288</x:v>
      </x:c>
      <x:c r="E437" s="2" t="s">
        <x:v>1533</x:v>
      </x:c>
      <x:c r="F437" s="2" t="s">
        <x:v>1524</x:v>
      </x:c>
      <x:c r="G437" s="2" t="s">
        <x:v>1290</x:v>
      </x:c>
      <x:c r="H437" s="2" t="s">
        <x:v>1525</x:v>
      </x:c>
      <x:c r="I437" s="2" t="s">
        <x:v>1534</x:v>
      </x:c>
      <x:c r="J437" s="2" t="s">
        <x:v>1527</x:v>
      </x:c>
      <x:c r="K437" s="2" t="n">
        <x:v>134</x:v>
      </x:c>
      <x:c r="L437" s="2"/>
      <x:c r="M437" s="2"/>
      <x:c r="N437" s="2" t="s">
        <x:v>1528</x:v>
      </x:c>
      <x:c r="O437" s="2" t="s">
        <x:v>1530</x:v>
      </x:c>
      <x:c r="P437" s="2" t="s">
        <x:v>1529</x:v>
      </x:c>
      <x:c r="Q437" s="2"/>
      <x:c r="R437" s="3">
        <x:v>3</x:v>
      </x:c>
      <x:c r="S437" s="3"/>
      <x:c r="T437" s="2"/>
      <x:c r="U437" s="2"/>
      <x:c r="V437" s="2"/>
      <x:c r="W437" s="2" t="s">
        <x:v>1534</x:v>
      </x:c>
      <x:c r="X437" s="3"/>
      <x:c r="Y437" s="3"/>
      <x:c r="Z437" s="2"/>
      <x:c r="AA437" s="2" t="s">
        <x:v>632</x:v>
      </x:c>
      <x:c r="AB437" s="2" t="s">
        <x:v>300</x:v>
      </x:c>
      <x:c r="AC437" s="2"/>
      <x:c r="AD437" s="2"/>
      <x:c r="AE437" s="2"/>
      <x:c r="AF437" s="2"/>
      <x:c r="AG437" s="2"/>
      <x:c r="AH437" s="2"/>
      <x:c r="AI437" s="4"/>
      <x:c r="AJ437" s="2"/>
      <x:c r="AK437" s="2" t="s">
        <x:v>234</x:v>
      </x:c>
      <x:c r="AL437" s="2" t="s">
        <x:v>3061</x:v>
      </x:c>
      <x:c r="AM437" s="2">
        <x:v>137</x:v>
      </x:c>
      <x:c r="AN437" s="2">
        <x:v>137</x:v>
      </x:c>
    </x:row>
    <x:row r="438" ht="39">
      <x:c r="A438" s="2" t="s">
        <x:v>91</x:v>
      </x:c>
      <x:c r="B438" s="2" t="s">
        <x:v>15</x:v>
      </x:c>
      <x:c r="C438" s="3">
        <x:v>136</x:v>
      </x:c>
      <x:c r="D438" s="2" t="s">
        <x:v>1288</x:v>
      </x:c>
      <x:c r="E438" s="2" t="s">
        <x:v>1535</x:v>
      </x:c>
      <x:c r="F438" s="2" t="s">
        <x:v>1524</x:v>
      </x:c>
      <x:c r="G438" s="2" t="s">
        <x:v>1290</x:v>
      </x:c>
      <x:c r="H438" s="2" t="s">
        <x:v>1525</x:v>
      </x:c>
      <x:c r="I438" s="2" t="s">
        <x:v>1536</x:v>
      </x:c>
      <x:c r="J438" s="2" t="s">
        <x:v>1527</x:v>
      </x:c>
      <x:c r="K438" s="2"/>
      <x:c r="L438" s="2"/>
      <x:c r="M438" s="2"/>
      <x:c r="N438" s="2" t="s">
        <x:v>1528</x:v>
      </x:c>
      <x:c r="O438" s="2" t="s">
        <x:v>1351</x:v>
      </x:c>
      <x:c r="P438" s="2" t="s">
        <x:v>1529</x:v>
      </x:c>
      <x:c r="Q438" s="2"/>
      <x:c r="R438" s="3">
        <x:v>3</x:v>
      </x:c>
      <x:c r="S438" s="3"/>
      <x:c r="T438" s="2"/>
      <x:c r="U438" s="2"/>
      <x:c r="V438" s="2"/>
      <x:c r="W438" s="2" t="s">
        <x:v>1536</x:v>
      </x:c>
      <x:c r="X438" s="3"/>
      <x:c r="Y438" s="3"/>
      <x:c r="Z438" s="2"/>
      <x:c r="AA438" s="2" t="s">
        <x:v>632</x:v>
      </x:c>
      <x:c r="AB438" s="2" t="s">
        <x:v>300</x:v>
      </x:c>
      <x:c r="AC438" s="2"/>
      <x:c r="AD438" s="2"/>
      <x:c r="AE438" s="2"/>
      <x:c r="AF438" s="2"/>
      <x:c r="AG438" s="2"/>
      <x:c r="AH438" s="2"/>
      <x:c r="AI438" s="4"/>
      <x:c r="AJ438" s="2"/>
      <x:c r="AK438" s="2" t="s">
        <x:v>234</x:v>
      </x:c>
      <x:c r="AL438" s="2" t="s">
        <x:v>3061</x:v>
      </x:c>
      <x:c r="AM438" s="2">
        <x:v>138</x:v>
      </x:c>
      <x:c r="AN438" s="2">
        <x:v>138</x:v>
      </x:c>
    </x:row>
    <x:row r="439" ht="39">
      <x:c r="A439" s="2" t="s">
        <x:v>91</x:v>
      </x:c>
      <x:c r="B439" s="2" t="s">
        <x:v>15</x:v>
      </x:c>
      <x:c r="C439" s="3">
        <x:v>137</x:v>
      </x:c>
      <x:c r="D439" s="2" t="s">
        <x:v>1439</x:v>
      </x:c>
      <x:c r="E439" s="2" t="s">
        <x:v>1535</x:v>
      </x:c>
      <x:c r="F439" s="2" t="s">
        <x:v>1524</x:v>
      </x:c>
      <x:c r="G439" s="2" t="s">
        <x:v>3131</x:v>
      </x:c>
      <x:c r="H439" s="2" t="s">
        <x:v>1525</x:v>
      </x:c>
      <x:c r="I439" s="2" t="s">
        <x:v>1536</x:v>
      </x:c>
      <x:c r="J439" s="2" t="s">
        <x:v>1527</x:v>
      </x:c>
      <x:c r="K439" s="2" t="n">
        <x:v>136</x:v>
      </x:c>
      <x:c r="L439" s="2"/>
      <x:c r="M439" s="2"/>
      <x:c r="N439" s="2" t="s">
        <x:v>1528</x:v>
      </x:c>
      <x:c r="O439" s="2" t="s">
        <x:v>1530</x:v>
      </x:c>
      <x:c r="P439" s="2" t="s">
        <x:v>1529</x:v>
      </x:c>
      <x:c r="Q439" s="2"/>
      <x:c r="R439" s="3">
        <x:v>3</x:v>
      </x:c>
      <x:c r="S439" s="3"/>
      <x:c r="T439" s="2"/>
      <x:c r="U439" s="2"/>
      <x:c r="V439" s="2"/>
      <x:c r="W439" s="2" t="s">
        <x:v>1536</x:v>
      </x:c>
      <x:c r="X439" s="3"/>
      <x:c r="Y439" s="3"/>
      <x:c r="Z439" s="2"/>
      <x:c r="AA439" s="2" t="s">
        <x:v>632</x:v>
      </x:c>
      <x:c r="AB439" s="2" t="s">
        <x:v>1315</x:v>
      </x:c>
      <x:c r="AC439" s="2"/>
      <x:c r="AD439" s="2"/>
      <x:c r="AE439" s="2"/>
      <x:c r="AF439" s="2"/>
      <x:c r="AG439" s="2"/>
      <x:c r="AH439" s="2"/>
      <x:c r="AI439" s="4"/>
      <x:c r="AJ439" s="2"/>
      <x:c r="AK439" s="2" t="s">
        <x:v>234</x:v>
      </x:c>
      <x:c r="AL439" s="2" t="s">
        <x:v>3061</x:v>
      </x:c>
      <x:c r="AM439" s="2">
        <x:v>139</x:v>
      </x:c>
      <x:c r="AN439" s="2">
        <x:v>139</x:v>
      </x:c>
    </x:row>
    <x:row r="440" ht="39">
      <x:c r="A440" s="2" t="s">
        <x:v>91</x:v>
      </x:c>
      <x:c r="B440" s="2" t="s">
        <x:v>15</x:v>
      </x:c>
      <x:c r="C440" s="3">
        <x:v>138</x:v>
      </x:c>
      <x:c r="D440" s="2" t="s">
        <x:v>1439</x:v>
      </x:c>
      <x:c r="E440" s="2" t="s">
        <x:v>261</x:v>
      </x:c>
      <x:c r="F440" s="2" t="s">
        <x:v>1524</x:v>
      </x:c>
      <x:c r="G440" s="2" t="s">
        <x:v>1277</x:v>
      </x:c>
      <x:c r="H440" s="2" t="s">
        <x:v>1525</x:v>
      </x:c>
      <x:c r="I440" s="2" t="s">
        <x:v>1538</x:v>
      </x:c>
      <x:c r="J440" s="2" t="s">
        <x:v>1527</x:v>
      </x:c>
      <x:c r="K440" s="2"/>
      <x:c r="L440" s="2"/>
      <x:c r="M440" s="2"/>
      <x:c r="N440" s="2" t="s">
        <x:v>1528</x:v>
      </x:c>
      <x:c r="O440" s="2" t="s">
        <x:v>1351</x:v>
      </x:c>
      <x:c r="P440" s="2" t="s">
        <x:v>1529</x:v>
      </x:c>
      <x:c r="Q440" s="2"/>
      <x:c r="R440" s="3">
        <x:v>3</x:v>
      </x:c>
      <x:c r="S440" s="3"/>
      <x:c r="T440" s="2"/>
      <x:c r="U440" s="2"/>
      <x:c r="V440" s="2"/>
      <x:c r="W440" s="2" t="s">
        <x:v>1538</x:v>
      </x:c>
      <x:c r="X440" s="3"/>
      <x:c r="Y440" s="3"/>
      <x:c r="Z440" s="2"/>
      <x:c r="AA440" s="2" t="s">
        <x:v>632</x:v>
      </x:c>
      <x:c r="AB440" s="2" t="s">
        <x:v>1315</x:v>
      </x:c>
      <x:c r="AC440" s="2"/>
      <x:c r="AD440" s="2"/>
      <x:c r="AE440" s="2"/>
      <x:c r="AF440" s="2"/>
      <x:c r="AG440" s="2"/>
      <x:c r="AH440" s="2"/>
      <x:c r="AI440" s="4"/>
      <x:c r="AJ440" s="2"/>
      <x:c r="AK440" s="2" t="s">
        <x:v>234</x:v>
      </x:c>
      <x:c r="AL440" s="2" t="s">
        <x:v>3061</x:v>
      </x:c>
      <x:c r="AM440" s="2">
        <x:v>140</x:v>
      </x:c>
      <x:c r="AN440" s="2">
        <x:v>140</x:v>
      </x:c>
    </x:row>
    <x:row r="441" ht="39">
      <x:c r="A441" s="2" t="s">
        <x:v>91</x:v>
      </x:c>
      <x:c r="B441" s="2" t="s">
        <x:v>15</x:v>
      </x:c>
      <x:c r="C441" s="3">
        <x:v>139</x:v>
      </x:c>
      <x:c r="D441" s="2" t="s">
        <x:v>1288</x:v>
      </x:c>
      <x:c r="E441" s="2" t="s">
        <x:v>261</x:v>
      </x:c>
      <x:c r="F441" s="2" t="s">
        <x:v>1524</x:v>
      </x:c>
      <x:c r="G441" s="2" t="s">
        <x:v>1277</x:v>
      </x:c>
      <x:c r="H441" s="2" t="s">
        <x:v>1525</x:v>
      </x:c>
      <x:c r="I441" s="2" t="s">
        <x:v>1538</x:v>
      </x:c>
      <x:c r="J441" s="2" t="s">
        <x:v>1527</x:v>
      </x:c>
      <x:c r="K441" s="2" t="n">
        <x:v>138</x:v>
      </x:c>
      <x:c r="L441" s="2"/>
      <x:c r="M441" s="2"/>
      <x:c r="N441" s="2" t="s">
        <x:v>1528</x:v>
      </x:c>
      <x:c r="O441" s="2" t="s">
        <x:v>1530</x:v>
      </x:c>
      <x:c r="P441" s="2" t="s">
        <x:v>1529</x:v>
      </x:c>
      <x:c r="Q441" s="2"/>
      <x:c r="R441" s="3">
        <x:v>3</x:v>
      </x:c>
      <x:c r="S441" s="3"/>
      <x:c r="T441" s="2"/>
      <x:c r="U441" s="2"/>
      <x:c r="V441" s="2"/>
      <x:c r="W441" s="2" t="s">
        <x:v>1538</x:v>
      </x:c>
      <x:c r="X441" s="3"/>
      <x:c r="Y441" s="3"/>
      <x:c r="Z441" s="2"/>
      <x:c r="AA441" s="2" t="s">
        <x:v>632</x:v>
      </x:c>
      <x:c r="AB441" s="2" t="s">
        <x:v>300</x:v>
      </x:c>
      <x:c r="AC441" s="2"/>
      <x:c r="AD441" s="2"/>
      <x:c r="AE441" s="2"/>
      <x:c r="AF441" s="2"/>
      <x:c r="AG441" s="2"/>
      <x:c r="AH441" s="2"/>
      <x:c r="AI441" s="4"/>
      <x:c r="AJ441" s="2"/>
      <x:c r="AK441" s="2" t="s">
        <x:v>234</x:v>
      </x:c>
      <x:c r="AL441" s="2" t="s">
        <x:v>3061</x:v>
      </x:c>
      <x:c r="AM441" s="2">
        <x:v>141</x:v>
      </x:c>
      <x:c r="AN441" s="2">
        <x:v>141</x:v>
      </x:c>
    </x:row>
    <x:row r="442" ht="39">
      <x:c r="A442" s="2" t="s">
        <x:v>91</x:v>
      </x:c>
      <x:c r="B442" s="2" t="s">
        <x:v>15</x:v>
      </x:c>
      <x:c r="C442" s="3">
        <x:v>140</x:v>
      </x:c>
      <x:c r="D442" s="2" t="s">
        <x:v>1466</x:v>
      </x:c>
      <x:c r="E442" s="2" t="s">
        <x:v>1347</x:v>
      </x:c>
      <x:c r="F442" s="2" t="s">
        <x:v>1524</x:v>
      </x:c>
      <x:c r="G442" s="2" t="s">
        <x:v>1290</x:v>
      </x:c>
      <x:c r="H442" s="2" t="s">
        <x:v>1525</x:v>
      </x:c>
      <x:c r="I442" s="2" t="s">
        <x:v>1540</x:v>
      </x:c>
      <x:c r="J442" s="2" t="s">
        <x:v>1541</x:v>
      </x:c>
      <x:c r="K442" s="2"/>
      <x:c r="L442" s="2"/>
      <x:c r="M442" s="2"/>
      <x:c r="N442" s="2" t="s">
        <x:v>1528</x:v>
      </x:c>
      <x:c r="O442" s="2" t="s">
        <x:v>1351</x:v>
      </x:c>
      <x:c r="P442" s="2" t="s">
        <x:v>1529</x:v>
      </x:c>
      <x:c r="Q442" s="2"/>
      <x:c r="R442" s="3">
        <x:v>2</x:v>
      </x:c>
      <x:c r="S442" s="3"/>
      <x:c r="T442" s="2"/>
      <x:c r="U442" s="2"/>
      <x:c r="V442" s="2"/>
      <x:c r="W442" s="2" t="s">
        <x:v>1540</x:v>
      </x:c>
      <x:c r="X442" s="3"/>
      <x:c r="Y442" s="3"/>
      <x:c r="Z442" s="2"/>
      <x:c r="AA442" s="2" t="s">
        <x:v>632</x:v>
      </x:c>
      <x:c r="AB442" s="2" t="s">
        <x:v>267</x:v>
      </x:c>
      <x:c r="AC442" s="2"/>
      <x:c r="AD442" s="2"/>
      <x:c r="AE442" s="2"/>
      <x:c r="AF442" s="2"/>
      <x:c r="AG442" s="2"/>
      <x:c r="AH442" s="2"/>
      <x:c r="AI442" s="4"/>
      <x:c r="AJ442" s="2"/>
      <x:c r="AK442" s="2" t="s">
        <x:v>234</x:v>
      </x:c>
      <x:c r="AL442" s="2" t="s">
        <x:v>3061</x:v>
      </x:c>
      <x:c r="AM442" s="2">
        <x:v>142</x:v>
      </x:c>
      <x:c r="AN442" s="2">
        <x:v>142</x:v>
      </x:c>
    </x:row>
    <x:row r="443" ht="39">
      <x:c r="A443" s="2" t="s">
        <x:v>91</x:v>
      </x:c>
      <x:c r="B443" s="2" t="s">
        <x:v>15</x:v>
      </x:c>
      <x:c r="C443" s="3">
        <x:v>141</x:v>
      </x:c>
      <x:c r="D443" s="2" t="s">
        <x:v>1340</x:v>
      </x:c>
      <x:c r="E443" s="2" t="s">
        <x:v>1347</x:v>
      </x:c>
      <x:c r="F443" s="2" t="s">
        <x:v>1524</x:v>
      </x:c>
      <x:c r="G443" s="2" t="s">
        <x:v>1290</x:v>
      </x:c>
      <x:c r="H443" s="2" t="s">
        <x:v>1525</x:v>
      </x:c>
      <x:c r="I443" s="2" t="s">
        <x:v>1540</x:v>
      </x:c>
      <x:c r="J443" s="2" t="s">
        <x:v>1541</x:v>
      </x:c>
      <x:c r="K443" s="2" t="n">
        <x:v>140</x:v>
      </x:c>
      <x:c r="L443" s="2"/>
      <x:c r="M443" s="2"/>
      <x:c r="N443" s="2" t="s">
        <x:v>1528</x:v>
      </x:c>
      <x:c r="O443" s="2" t="s">
        <x:v>1530</x:v>
      </x:c>
      <x:c r="P443" s="2" t="s">
        <x:v>1529</x:v>
      </x:c>
      <x:c r="Q443" s="2"/>
      <x:c r="R443" s="3">
        <x:v>2</x:v>
      </x:c>
      <x:c r="S443" s="3"/>
      <x:c r="T443" s="2"/>
      <x:c r="U443" s="2"/>
      <x:c r="V443" s="2"/>
      <x:c r="W443" s="2" t="s">
        <x:v>1540</x:v>
      </x:c>
      <x:c r="X443" s="3"/>
      <x:c r="Y443" s="3"/>
      <x:c r="Z443" s="2"/>
      <x:c r="AA443" s="2" t="s">
        <x:v>632</x:v>
      </x:c>
      <x:c r="AB443" s="2" t="s">
        <x:v>284</x:v>
      </x:c>
      <x:c r="AC443" s="2"/>
      <x:c r="AD443" s="2"/>
      <x:c r="AE443" s="2"/>
      <x:c r="AF443" s="2"/>
      <x:c r="AG443" s="2"/>
      <x:c r="AH443" s="2"/>
      <x:c r="AI443" s="4"/>
      <x:c r="AJ443" s="2"/>
      <x:c r="AK443" s="2" t="s">
        <x:v>234</x:v>
      </x:c>
      <x:c r="AL443" s="2" t="s">
        <x:v>3061</x:v>
      </x:c>
      <x:c r="AM443" s="2">
        <x:v>143</x:v>
      </x:c>
      <x:c r="AN443" s="2">
        <x:v>143</x:v>
      </x:c>
    </x:row>
    <x:row r="444" ht="39">
      <x:c r="A444" s="2" t="s">
        <x:v>91</x:v>
      </x:c>
      <x:c r="B444" s="2" t="s">
        <x:v>15</x:v>
      </x:c>
      <x:c r="C444" s="3">
        <x:v>142</x:v>
      </x:c>
      <x:c r="D444" s="2" t="s">
        <x:v>1340</x:v>
      </x:c>
      <x:c r="E444" s="2" t="s">
        <x:v>1389</x:v>
      </x:c>
      <x:c r="F444" s="2" t="s">
        <x:v>1524</x:v>
      </x:c>
      <x:c r="G444" s="2" t="s">
        <x:v>1276</x:v>
      </x:c>
      <x:c r="H444" s="2" t="s">
        <x:v>1525</x:v>
      </x:c>
      <x:c r="I444" s="2" t="s">
        <x:v>1542</x:v>
      </x:c>
      <x:c r="J444" s="2" t="s">
        <x:v>1541</x:v>
      </x:c>
      <x:c r="K444" s="2"/>
      <x:c r="L444" s="2"/>
      <x:c r="M444" s="2"/>
      <x:c r="N444" s="2" t="s">
        <x:v>1528</x:v>
      </x:c>
      <x:c r="O444" s="2" t="s">
        <x:v>1351</x:v>
      </x:c>
      <x:c r="P444" s="2" t="s">
        <x:v>1529</x:v>
      </x:c>
      <x:c r="Q444" s="2"/>
      <x:c r="R444" s="3">
        <x:v>2</x:v>
      </x:c>
      <x:c r="S444" s="3"/>
      <x:c r="T444" s="2"/>
      <x:c r="U444" s="2"/>
      <x:c r="V444" s="2"/>
      <x:c r="W444" s="2" t="s">
        <x:v>1542</x:v>
      </x:c>
      <x:c r="X444" s="3"/>
      <x:c r="Y444" s="3"/>
      <x:c r="Z444" s="2"/>
      <x:c r="AA444" s="2" t="s">
        <x:v>632</x:v>
      </x:c>
      <x:c r="AB444" s="2" t="s">
        <x:v>284</x:v>
      </x:c>
      <x:c r="AC444" s="2"/>
      <x:c r="AD444" s="2"/>
      <x:c r="AE444" s="2"/>
      <x:c r="AF444" s="2"/>
      <x:c r="AG444" s="2"/>
      <x:c r="AH444" s="2"/>
      <x:c r="AI444" s="4"/>
      <x:c r="AJ444" s="2"/>
      <x:c r="AK444" s="2" t="s">
        <x:v>234</x:v>
      </x:c>
      <x:c r="AL444" s="2" t="s">
        <x:v>3061</x:v>
      </x:c>
      <x:c r="AM444" s="2">
        <x:v>144</x:v>
      </x:c>
      <x:c r="AN444" s="2">
        <x:v>144</x:v>
      </x:c>
    </x:row>
    <x:row r="445" ht="39">
      <x:c r="A445" s="2" t="s">
        <x:v>91</x:v>
      </x:c>
      <x:c r="B445" s="2" t="s">
        <x:v>15</x:v>
      </x:c>
      <x:c r="C445" s="3">
        <x:v>143</x:v>
      </x:c>
      <x:c r="D445" s="2" t="s">
        <x:v>1466</x:v>
      </x:c>
      <x:c r="E445" s="2" t="s">
        <x:v>1389</x:v>
      </x:c>
      <x:c r="F445" s="2" t="s">
        <x:v>1524</x:v>
      </x:c>
      <x:c r="G445" s="2" t="s">
        <x:v>1373</x:v>
      </x:c>
      <x:c r="H445" s="2" t="s">
        <x:v>1525</x:v>
      </x:c>
      <x:c r="I445" s="2" t="s">
        <x:v>1542</x:v>
      </x:c>
      <x:c r="J445" s="2" t="s">
        <x:v>1541</x:v>
      </x:c>
      <x:c r="K445" s="2" t="n">
        <x:v>142</x:v>
      </x:c>
      <x:c r="L445" s="2"/>
      <x:c r="M445" s="2"/>
      <x:c r="N445" s="2" t="s">
        <x:v>1528</x:v>
      </x:c>
      <x:c r="O445" s="2" t="s">
        <x:v>1530</x:v>
      </x:c>
      <x:c r="P445" s="2" t="s">
        <x:v>1529</x:v>
      </x:c>
      <x:c r="Q445" s="2"/>
      <x:c r="R445" s="3">
        <x:v>2</x:v>
      </x:c>
      <x:c r="S445" s="3"/>
      <x:c r="T445" s="2"/>
      <x:c r="U445" s="2"/>
      <x:c r="V445" s="2"/>
      <x:c r="W445" s="2" t="s">
        <x:v>1542</x:v>
      </x:c>
      <x:c r="X445" s="3"/>
      <x:c r="Y445" s="3"/>
      <x:c r="Z445" s="2"/>
      <x:c r="AA445" s="2" t="s">
        <x:v>632</x:v>
      </x:c>
      <x:c r="AB445" s="2" t="s">
        <x:v>267</x:v>
      </x:c>
      <x:c r="AC445" s="2"/>
      <x:c r="AD445" s="2"/>
      <x:c r="AE445" s="2"/>
      <x:c r="AF445" s="2"/>
      <x:c r="AG445" s="2"/>
      <x:c r="AH445" s="2"/>
      <x:c r="AI445" s="4"/>
      <x:c r="AJ445" s="2"/>
      <x:c r="AK445" s="2" t="s">
        <x:v>234</x:v>
      </x:c>
      <x:c r="AL445" s="2" t="s">
        <x:v>3061</x:v>
      </x:c>
      <x:c r="AM445" s="2">
        <x:v>145</x:v>
      </x:c>
      <x:c r="AN445" s="2">
        <x:v>145</x:v>
      </x:c>
    </x:row>
    <x:row r="446" ht="39">
      <x:c r="A446" s="2" t="s">
        <x:v>91</x:v>
      </x:c>
      <x:c r="B446" s="2" t="s">
        <x:v>15</x:v>
      </x:c>
      <x:c r="C446" s="3">
        <x:v>144</x:v>
      </x:c>
      <x:c r="D446" s="2" t="s">
        <x:v>1466</x:v>
      </x:c>
      <x:c r="E446" s="2" t="s">
        <x:v>1543</x:v>
      </x:c>
      <x:c r="F446" s="2" t="s">
        <x:v>1524</x:v>
      </x:c>
      <x:c r="G446" s="2" t="s">
        <x:v>1373</x:v>
      </x:c>
      <x:c r="H446" s="2" t="s">
        <x:v>1525</x:v>
      </x:c>
      <x:c r="I446" s="2" t="s">
        <x:v>1544</x:v>
      </x:c>
      <x:c r="J446" s="2" t="s">
        <x:v>1541</x:v>
      </x:c>
      <x:c r="K446" s="2"/>
      <x:c r="L446" s="2"/>
      <x:c r="M446" s="2"/>
      <x:c r="N446" s="2" t="s">
        <x:v>1528</x:v>
      </x:c>
      <x:c r="O446" s="2" t="s">
        <x:v>1351</x:v>
      </x:c>
      <x:c r="P446" s="2" t="s">
        <x:v>1529</x:v>
      </x:c>
      <x:c r="Q446" s="2"/>
      <x:c r="R446" s="3">
        <x:v>2</x:v>
      </x:c>
      <x:c r="S446" s="3"/>
      <x:c r="T446" s="2"/>
      <x:c r="U446" s="2"/>
      <x:c r="V446" s="2"/>
      <x:c r="W446" s="2" t="s">
        <x:v>1544</x:v>
      </x:c>
      <x:c r="X446" s="3"/>
      <x:c r="Y446" s="3"/>
      <x:c r="Z446" s="2"/>
      <x:c r="AA446" s="2" t="s">
        <x:v>632</x:v>
      </x:c>
      <x:c r="AB446" s="2" t="s">
        <x:v>267</x:v>
      </x:c>
      <x:c r="AC446" s="2"/>
      <x:c r="AD446" s="2"/>
      <x:c r="AE446" s="2"/>
      <x:c r="AF446" s="2"/>
      <x:c r="AG446" s="2"/>
      <x:c r="AH446" s="2"/>
      <x:c r="AI446" s="4"/>
      <x:c r="AJ446" s="2"/>
      <x:c r="AK446" s="2" t="s">
        <x:v>234</x:v>
      </x:c>
      <x:c r="AL446" s="2" t="s">
        <x:v>3061</x:v>
      </x:c>
      <x:c r="AM446" s="2">
        <x:v>146</x:v>
      </x:c>
      <x:c r="AN446" s="2">
        <x:v>146</x:v>
      </x:c>
    </x:row>
    <x:row r="447" ht="39">
      <x:c r="A447" s="2" t="s">
        <x:v>91</x:v>
      </x:c>
      <x:c r="B447" s="2" t="s">
        <x:v>15</x:v>
      </x:c>
      <x:c r="C447" s="3">
        <x:v>145</x:v>
      </x:c>
      <x:c r="D447" s="2" t="s">
        <x:v>1340</x:v>
      </x:c>
      <x:c r="E447" s="2" t="s">
        <x:v>1543</x:v>
      </x:c>
      <x:c r="F447" s="2" t="s">
        <x:v>1524</x:v>
      </x:c>
      <x:c r="G447" s="2" t="s">
        <x:v>1373</x:v>
      </x:c>
      <x:c r="H447" s="2" t="s">
        <x:v>1525</x:v>
      </x:c>
      <x:c r="I447" s="2" t="s">
        <x:v>1544</x:v>
      </x:c>
      <x:c r="J447" s="2" t="s">
        <x:v>1541</x:v>
      </x:c>
      <x:c r="K447" s="2" t="n">
        <x:v>144</x:v>
      </x:c>
      <x:c r="L447" s="2"/>
      <x:c r="M447" s="2"/>
      <x:c r="N447" s="2" t="s">
        <x:v>1528</x:v>
      </x:c>
      <x:c r="O447" s="2" t="s">
        <x:v>1530</x:v>
      </x:c>
      <x:c r="P447" s="2" t="s">
        <x:v>1529</x:v>
      </x:c>
      <x:c r="Q447" s="2"/>
      <x:c r="R447" s="3">
        <x:v>2</x:v>
      </x:c>
      <x:c r="S447" s="3"/>
      <x:c r="T447" s="2"/>
      <x:c r="U447" s="2"/>
      <x:c r="V447" s="2"/>
      <x:c r="W447" s="2" t="s">
        <x:v>1544</x:v>
      </x:c>
      <x:c r="X447" s="3"/>
      <x:c r="Y447" s="3"/>
      <x:c r="Z447" s="2"/>
      <x:c r="AA447" s="2" t="s">
        <x:v>632</x:v>
      </x:c>
      <x:c r="AB447" s="2" t="s">
        <x:v>284</x:v>
      </x:c>
      <x:c r="AC447" s="2"/>
      <x:c r="AD447" s="2"/>
      <x:c r="AE447" s="2"/>
      <x:c r="AF447" s="2"/>
      <x:c r="AG447" s="2"/>
      <x:c r="AH447" s="2"/>
      <x:c r="AI447" s="4"/>
      <x:c r="AJ447" s="2"/>
      <x:c r="AK447" s="2" t="s">
        <x:v>234</x:v>
      </x:c>
      <x:c r="AL447" s="2" t="s">
        <x:v>3061</x:v>
      </x:c>
      <x:c r="AM447" s="2">
        <x:v>147</x:v>
      </x:c>
      <x:c r="AN447" s="2">
        <x:v>147</x:v>
      </x:c>
    </x:row>
    <x:row r="448" ht="39">
      <x:c r="A448" s="2" t="s">
        <x:v>91</x:v>
      </x:c>
      <x:c r="B448" s="2" t="s">
        <x:v>15</x:v>
      </x:c>
      <x:c r="C448" s="3">
        <x:v>146</x:v>
      </x:c>
      <x:c r="D448" s="2" t="s">
        <x:v>1340</x:v>
      </x:c>
      <x:c r="E448" s="2" t="s">
        <x:v>253</x:v>
      </x:c>
      <x:c r="F448" s="2" t="s">
        <x:v>1524</x:v>
      </x:c>
      <x:c r="G448" s="2" t="s">
        <x:v>3132</x:v>
      </x:c>
      <x:c r="H448" s="2" t="s">
        <x:v>1525</x:v>
      </x:c>
      <x:c r="I448" s="2" t="s">
        <x:v>1546</x:v>
      </x:c>
      <x:c r="J448" s="2" t="s">
        <x:v>1541</x:v>
      </x:c>
      <x:c r="K448" s="2"/>
      <x:c r="L448" s="2"/>
      <x:c r="M448" s="2"/>
      <x:c r="N448" s="2" t="s">
        <x:v>1528</x:v>
      </x:c>
      <x:c r="O448" s="2" t="s">
        <x:v>1351</x:v>
      </x:c>
      <x:c r="P448" s="2" t="s">
        <x:v>1529</x:v>
      </x:c>
      <x:c r="Q448" s="2"/>
      <x:c r="R448" s="3">
        <x:v>2</x:v>
      </x:c>
      <x:c r="S448" s="3"/>
      <x:c r="T448" s="2"/>
      <x:c r="U448" s="2"/>
      <x:c r="V448" s="2"/>
      <x:c r="W448" s="2" t="s">
        <x:v>1546</x:v>
      </x:c>
      <x:c r="X448" s="3"/>
      <x:c r="Y448" s="3"/>
      <x:c r="Z448" s="2"/>
      <x:c r="AA448" s="2" t="s">
        <x:v>632</x:v>
      </x:c>
      <x:c r="AB448" s="2" t="s">
        <x:v>284</x:v>
      </x:c>
      <x:c r="AC448" s="2"/>
      <x:c r="AD448" s="2"/>
      <x:c r="AE448" s="2"/>
      <x:c r="AF448" s="2"/>
      <x:c r="AG448" s="2"/>
      <x:c r="AH448" s="2"/>
      <x:c r="AI448" s="4"/>
      <x:c r="AJ448" s="2"/>
      <x:c r="AK448" s="2" t="s">
        <x:v>234</x:v>
      </x:c>
      <x:c r="AL448" s="2" t="s">
        <x:v>3061</x:v>
      </x:c>
      <x:c r="AM448" s="2">
        <x:v>148</x:v>
      </x:c>
      <x:c r="AN448" s="2">
        <x:v>148</x:v>
      </x:c>
    </x:row>
    <x:row r="449" ht="39">
      <x:c r="A449" s="2" t="s">
        <x:v>91</x:v>
      </x:c>
      <x:c r="B449" s="2" t="s">
        <x:v>15</x:v>
      </x:c>
      <x:c r="C449" s="3">
        <x:v>147</x:v>
      </x:c>
      <x:c r="D449" s="2" t="s">
        <x:v>1466</x:v>
      </x:c>
      <x:c r="E449" s="2" t="s">
        <x:v>253</x:v>
      </x:c>
      <x:c r="F449" s="2" t="s">
        <x:v>1524</x:v>
      </x:c>
      <x:c r="G449" s="2" t="s">
        <x:v>3132</x:v>
      </x:c>
      <x:c r="H449" s="2" t="s">
        <x:v>1525</x:v>
      </x:c>
      <x:c r="I449" s="2" t="s">
        <x:v>1546</x:v>
      </x:c>
      <x:c r="J449" s="2" t="s">
        <x:v>1541</x:v>
      </x:c>
      <x:c r="K449" s="2" t="n">
        <x:v>146</x:v>
      </x:c>
      <x:c r="L449" s="2"/>
      <x:c r="M449" s="2"/>
      <x:c r="N449" s="2" t="s">
        <x:v>1528</x:v>
      </x:c>
      <x:c r="O449" s="2" t="s">
        <x:v>1530</x:v>
      </x:c>
      <x:c r="P449" s="2" t="s">
        <x:v>1529</x:v>
      </x:c>
      <x:c r="Q449" s="2"/>
      <x:c r="R449" s="3">
        <x:v>2</x:v>
      </x:c>
      <x:c r="S449" s="3"/>
      <x:c r="T449" s="2"/>
      <x:c r="U449" s="2"/>
      <x:c r="V449" s="2"/>
      <x:c r="W449" s="2" t="s">
        <x:v>1546</x:v>
      </x:c>
      <x:c r="X449" s="3"/>
      <x:c r="Y449" s="3"/>
      <x:c r="Z449" s="2"/>
      <x:c r="AA449" s="2" t="s">
        <x:v>632</x:v>
      </x:c>
      <x:c r="AB449" s="2" t="s">
        <x:v>267</x:v>
      </x:c>
      <x:c r="AC449" s="2"/>
      <x:c r="AD449" s="2"/>
      <x:c r="AE449" s="2"/>
      <x:c r="AF449" s="2"/>
      <x:c r="AG449" s="2"/>
      <x:c r="AH449" s="2"/>
      <x:c r="AI449" s="4"/>
      <x:c r="AJ449" s="2"/>
      <x:c r="AK449" s="2" t="s">
        <x:v>234</x:v>
      </x:c>
      <x:c r="AL449" s="2" t="s">
        <x:v>3061</x:v>
      </x:c>
      <x:c r="AM449" s="2">
        <x:v>149</x:v>
      </x:c>
      <x:c r="AN449" s="2">
        <x:v>149</x:v>
      </x:c>
    </x:row>
    <x:row r="450" ht="39">
      <x:c r="A450" s="2" t="s">
        <x:v>91</x:v>
      </x:c>
      <x:c r="B450" s="2" t="s">
        <x:v>15</x:v>
      </x:c>
      <x:c r="C450" s="3">
        <x:v>148</x:v>
      </x:c>
      <x:c r="D450" s="2" t="s">
        <x:v>1466</x:v>
      </x:c>
      <x:c r="E450" s="2" t="s">
        <x:v>246</x:v>
      </x:c>
      <x:c r="F450" s="2" t="s">
        <x:v>1524</x:v>
      </x:c>
      <x:c r="G450" s="2" t="s">
        <x:v>3133</x:v>
      </x:c>
      <x:c r="H450" s="2" t="s">
        <x:v>1525</x:v>
      </x:c>
      <x:c r="I450" s="2" t="s">
        <x:v>1547</x:v>
      </x:c>
      <x:c r="J450" s="2" t="s">
        <x:v>1541</x:v>
      </x:c>
      <x:c r="K450" s="2"/>
      <x:c r="L450" s="2"/>
      <x:c r="M450" s="2"/>
      <x:c r="N450" s="2" t="s">
        <x:v>1528</x:v>
      </x:c>
      <x:c r="O450" s="2" t="s">
        <x:v>1351</x:v>
      </x:c>
      <x:c r="P450" s="2" t="s">
        <x:v>1529</x:v>
      </x:c>
      <x:c r="Q450" s="2"/>
      <x:c r="R450" s="3">
        <x:v>2</x:v>
      </x:c>
      <x:c r="S450" s="3"/>
      <x:c r="T450" s="2"/>
      <x:c r="U450" s="2"/>
      <x:c r="V450" s="2"/>
      <x:c r="W450" s="2" t="s">
        <x:v>1547</x:v>
      </x:c>
      <x:c r="X450" s="3"/>
      <x:c r="Y450" s="3"/>
      <x:c r="Z450" s="2"/>
      <x:c r="AA450" s="2" t="s">
        <x:v>632</x:v>
      </x:c>
      <x:c r="AB450" s="2" t="s">
        <x:v>267</x:v>
      </x:c>
      <x:c r="AC450" s="2"/>
      <x:c r="AD450" s="2"/>
      <x:c r="AE450" s="2"/>
      <x:c r="AF450" s="2"/>
      <x:c r="AG450" s="2"/>
      <x:c r="AH450" s="2"/>
      <x:c r="AI450" s="4"/>
      <x:c r="AJ450" s="2"/>
      <x:c r="AK450" s="2" t="s">
        <x:v>234</x:v>
      </x:c>
      <x:c r="AL450" s="2" t="s">
        <x:v>3061</x:v>
      </x:c>
      <x:c r="AM450" s="2">
        <x:v>150</x:v>
      </x:c>
      <x:c r="AN450" s="2">
        <x:v>150</x:v>
      </x:c>
    </x:row>
    <x:row r="451" ht="39">
      <x:c r="A451" s="2" t="s">
        <x:v>91</x:v>
      </x:c>
      <x:c r="B451" s="2" t="s">
        <x:v>15</x:v>
      </x:c>
      <x:c r="C451" s="3">
        <x:v>149</x:v>
      </x:c>
      <x:c r="D451" s="2" t="s">
        <x:v>1340</x:v>
      </x:c>
      <x:c r="E451" s="2" t="s">
        <x:v>246</x:v>
      </x:c>
      <x:c r="F451" s="2" t="s">
        <x:v>1524</x:v>
      </x:c>
      <x:c r="G451" s="2" t="s">
        <x:v>1290</x:v>
      </x:c>
      <x:c r="H451" s="2" t="s">
        <x:v>1525</x:v>
      </x:c>
      <x:c r="I451" s="2" t="s">
        <x:v>1547</x:v>
      </x:c>
      <x:c r="J451" s="2" t="s">
        <x:v>1541</x:v>
      </x:c>
      <x:c r="K451" s="2" t="n">
        <x:v>148</x:v>
      </x:c>
      <x:c r="L451" s="2"/>
      <x:c r="M451" s="2"/>
      <x:c r="N451" s="2" t="s">
        <x:v>1528</x:v>
      </x:c>
      <x:c r="O451" s="2" t="s">
        <x:v>1530</x:v>
      </x:c>
      <x:c r="P451" s="2" t="s">
        <x:v>1529</x:v>
      </x:c>
      <x:c r="Q451" s="2"/>
      <x:c r="R451" s="3">
        <x:v>2</x:v>
      </x:c>
      <x:c r="S451" s="3"/>
      <x:c r="T451" s="2"/>
      <x:c r="U451" s="2"/>
      <x:c r="V451" s="2"/>
      <x:c r="W451" s="2" t="s">
        <x:v>1547</x:v>
      </x:c>
      <x:c r="X451" s="3"/>
      <x:c r="Y451" s="3"/>
      <x:c r="Z451" s="2"/>
      <x:c r="AA451" s="2" t="s">
        <x:v>632</x:v>
      </x:c>
      <x:c r="AB451" s="2" t="s">
        <x:v>284</x:v>
      </x:c>
      <x:c r="AC451" s="2"/>
      <x:c r="AD451" s="2"/>
      <x:c r="AE451" s="2"/>
      <x:c r="AF451" s="2"/>
      <x:c r="AG451" s="2"/>
      <x:c r="AH451" s="2"/>
      <x:c r="AI451" s="4"/>
      <x:c r="AJ451" s="2"/>
      <x:c r="AK451" s="2" t="s">
        <x:v>234</x:v>
      </x:c>
      <x:c r="AL451" s="2" t="s">
        <x:v>3061</x:v>
      </x:c>
      <x:c r="AM451" s="2">
        <x:v>151</x:v>
      </x:c>
      <x:c r="AN451" s="2">
        <x:v>151</x:v>
      </x:c>
    </x:row>
    <x:row r="452" ht="39">
      <x:c r="A452" s="2" t="s">
        <x:v>91</x:v>
      </x:c>
      <x:c r="B452" s="2" t="s">
        <x:v>16</x:v>
      </x:c>
      <x:c r="C452" s="3">
        <x:v>0</x:v>
      </x:c>
      <x:c r="D452" s="2" t="s">
        <x:v>307</x:v>
      </x:c>
      <x:c r="E452" s="2" t="s">
        <x:v>308</x:v>
      </x:c>
      <x:c r="F452" s="2" t="s">
        <x:v>309</x:v>
      </x:c>
      <x:c r="G452" s="2" t="s">
        <x:v>3134</x:v>
      </x:c>
      <x:c r="H452" s="2" t="s">
        <x:v>96</x:v>
      </x:c>
      <x:c r="I452" s="2" t="s">
        <x:v>311</x:v>
      </x:c>
      <x:c r="J452" s="2" t="s">
        <x:v>312</x:v>
      </x:c>
      <x:c r="K452" s="2"/>
      <x:c r="L452" s="2" t="s">
        <x:v>313</x:v>
      </x:c>
      <x:c r="M452" s="2"/>
      <x:c r="N452" s="2"/>
      <x:c r="O452" s="2" t="s">
        <x:v>314</x:v>
      </x:c>
      <x:c r="P452" s="2" t="s">
        <x:v>315</x:v>
      </x:c>
      <x:c r="Q452" s="2"/>
      <x:c r="R452" s="3">
        <x:v>3</x:v>
      </x:c>
      <x:c r="S452" s="3"/>
      <x:c r="T452" s="2"/>
      <x:c r="U452" s="2"/>
      <x:c r="V452" s="2"/>
      <x:c r="W452" s="2"/>
      <x:c r="X452" s="3"/>
      <x:c r="Y452" s="3"/>
      <x:c r="Z452" s="2"/>
      <x:c r="AA452" s="2"/>
      <x:c r="AB452" s="2"/>
      <x:c r="AC452" s="2" t="s">
        <x:v>316</x:v>
      </x:c>
      <x:c r="AD452" s="2" t="s">
        <x:v>317</x:v>
      </x:c>
      <x:c r="AE452" s="2" t="s">
        <x:v>318</x:v>
      </x:c>
      <x:c r="AF452" s="2" t="s">
        <x:v>319</x:v>
      </x:c>
      <x:c r="AG452" s="2"/>
      <x:c r="AH452" s="2"/>
      <x:c r="AI452" s="4"/>
      <x:c r="AJ452" s="2"/>
      <x:c r="AK452" s="2" t="s">
        <x:v>320</x:v>
      </x:c>
      <x:c r="AL452" s="2" t="s">
        <x:v>3061</x:v>
      </x:c>
      <x:c r="AM452" s="2">
        <x:v>2</x:v>
      </x:c>
      <x:c r="AN452" s="2">
        <x:v>2</x:v>
      </x:c>
    </x:row>
    <x:row r="453" ht="39">
      <x:c r="A453" s="2" t="s">
        <x:v>91</x:v>
      </x:c>
      <x:c r="B453" s="2" t="s">
        <x:v>16</x:v>
      </x:c>
      <x:c r="C453" s="3">
        <x:v>1</x:v>
      </x:c>
      <x:c r="D453" s="2" t="s">
        <x:v>321</x:v>
      </x:c>
      <x:c r="E453" s="2" t="s">
        <x:v>308</x:v>
      </x:c>
      <x:c r="F453" s="2" t="s">
        <x:v>322</x:v>
      </x:c>
      <x:c r="G453" s="2" t="s">
        <x:v>3135</x:v>
      </x:c>
      <x:c r="H453" s="2" t="s">
        <x:v>96</x:v>
      </x:c>
      <x:c r="I453" s="2" t="s">
        <x:v>311</x:v>
      </x:c>
      <x:c r="J453" s="2" t="s">
        <x:v>312</x:v>
      </x:c>
      <x:c r="K453" s="2" t="n">
        <x:v>0</x:v>
      </x:c>
      <x:c r="L453" s="2" t="s">
        <x:v>323</x:v>
      </x:c>
      <x:c r="M453" s="2"/>
      <x:c r="N453" s="2"/>
      <x:c r="O453" s="2" t="s">
        <x:v>324</x:v>
      </x:c>
      <x:c r="P453" s="2" t="s">
        <x:v>325</x:v>
      </x:c>
      <x:c r="Q453" s="2"/>
      <x:c r="R453" s="3">
        <x:v>3</x:v>
      </x:c>
      <x:c r="S453" s="3"/>
      <x:c r="T453" s="2"/>
      <x:c r="U453" s="2"/>
      <x:c r="V453" s="2"/>
      <x:c r="W453" s="2"/>
      <x:c r="X453" s="3"/>
      <x:c r="Y453" s="3"/>
      <x:c r="Z453" s="2"/>
      <x:c r="AA453" s="2"/>
      <x:c r="AB453" s="2"/>
      <x:c r="AC453" s="2" t="s">
        <x:v>326</x:v>
      </x:c>
      <x:c r="AD453" s="2" t="s">
        <x:v>317</x:v>
      </x:c>
      <x:c r="AE453" s="2" t="s">
        <x:v>318</x:v>
      </x:c>
      <x:c r="AF453" s="2" t="s">
        <x:v>319</x:v>
      </x:c>
      <x:c r="AG453" s="2"/>
      <x:c r="AH453" s="2"/>
      <x:c r="AI453" s="4"/>
      <x:c r="AJ453" s="2"/>
      <x:c r="AK453" s="2" t="s">
        <x:v>320</x:v>
      </x:c>
      <x:c r="AL453" s="2" t="s">
        <x:v>3061</x:v>
      </x:c>
      <x:c r="AM453" s="2">
        <x:v>3</x:v>
      </x:c>
      <x:c r="AN453" s="2">
        <x:v>3</x:v>
      </x:c>
    </x:row>
    <x:row r="454" ht="39">
      <x:c r="A454" s="2" t="s">
        <x:v>6</x:v>
      </x:c>
      <x:c r="B454" s="2" t="s">
        <x:v>16</x:v>
      </x:c>
      <x:c r="C454" s="3">
        <x:v>2</x:v>
      </x:c>
      <x:c r="D454" s="2" t="s">
        <x:v>327</x:v>
      </x:c>
      <x:c r="E454" s="2" t="s">
        <x:v>308</x:v>
      </x:c>
      <x:c r="F454" s="2" t="s">
        <x:v>328</x:v>
      </x:c>
      <x:c r="G454" s="2"/>
      <x:c r="H454" s="2" t="s">
        <x:v>96</x:v>
      </x:c>
      <x:c r="I454" s="2" t="s">
        <x:v>311</x:v>
      </x:c>
      <x:c r="J454" s="2" t="s">
        <x:v>312</x:v>
      </x:c>
      <x:c r="K454" s="2" t="n">
        <x:v>0</x:v>
      </x:c>
      <x:c r="L454" s="2" t="s">
        <x:v>330</x:v>
      </x:c>
      <x:c r="M454" s="2"/>
      <x:c r="N454" s="2"/>
      <x:c r="O454" s="2" t="s">
        <x:v>324</x:v>
      </x:c>
      <x:c r="P454" s="2" t="s">
        <x:v>331</x:v>
      </x:c>
      <x:c r="Q454" s="2"/>
      <x:c r="R454" s="3">
        <x:v>3</x:v>
      </x:c>
      <x:c r="S454" s="3"/>
      <x:c r="T454" s="2"/>
      <x:c r="U454" s="2"/>
      <x:c r="V454" s="2"/>
      <x:c r="W454" s="2"/>
      <x:c r="X454" s="3"/>
      <x:c r="Y454" s="3"/>
      <x:c r="Z454" s="2"/>
      <x:c r="AA454" s="2"/>
      <x:c r="AB454" s="2"/>
      <x:c r="AC454" s="2" t="s">
        <x:v>316</x:v>
      </x:c>
      <x:c r="AD454" s="2" t="s">
        <x:v>318</x:v>
      </x:c>
      <x:c r="AE454" s="2" t="s">
        <x:v>317</x:v>
      </x:c>
      <x:c r="AF454" s="2" t="s">
        <x:v>319</x:v>
      </x:c>
      <x:c r="AG454" s="2"/>
      <x:c r="AH454" s="2"/>
      <x:c r="AI454" s="4"/>
      <x:c r="AJ454" s="2"/>
      <x:c r="AK454" s="2" t="s">
        <x:v>320</x:v>
      </x:c>
      <x:c r="AL454" s="2" t="s">
        <x:v>3061</x:v>
      </x:c>
      <x:c r="AM454" s="2">
        <x:v>4</x:v>
      </x:c>
      <x:c r="AN454" s="2">
        <x:v>4</x:v>
      </x:c>
    </x:row>
    <x:row r="455" ht="39">
      <x:c r="A455" s="2" t="s">
        <x:v>6</x:v>
      </x:c>
      <x:c r="B455" s="2" t="s">
        <x:v>16</x:v>
      </x:c>
      <x:c r="C455" s="3">
        <x:v>3</x:v>
      </x:c>
      <x:c r="D455" s="2" t="s">
        <x:v>332</x:v>
      </x:c>
      <x:c r="E455" s="2" t="s">
        <x:v>308</x:v>
      </x:c>
      <x:c r="F455" s="2" t="s">
        <x:v>333</x:v>
      </x:c>
      <x:c r="G455" s="2"/>
      <x:c r="H455" s="2" t="s">
        <x:v>96</x:v>
      </x:c>
      <x:c r="I455" s="2" t="s">
        <x:v>311</x:v>
      </x:c>
      <x:c r="J455" s="2" t="s">
        <x:v>312</x:v>
      </x:c>
      <x:c r="K455" s="2" t="n">
        <x:v>0</x:v>
      </x:c>
      <x:c r="L455" s="2" t="s">
        <x:v>335</x:v>
      </x:c>
      <x:c r="M455" s="2"/>
      <x:c r="N455" s="2"/>
      <x:c r="O455" s="2" t="s">
        <x:v>324</x:v>
      </x:c>
      <x:c r="P455" s="2" t="s">
        <x:v>336</x:v>
      </x:c>
      <x:c r="Q455" s="2"/>
      <x:c r="R455" s="3">
        <x:v>3</x:v>
      </x:c>
      <x:c r="S455" s="3"/>
      <x:c r="T455" s="2"/>
      <x:c r="U455" s="2"/>
      <x:c r="V455" s="2"/>
      <x:c r="W455" s="2"/>
      <x:c r="X455" s="3"/>
      <x:c r="Y455" s="3"/>
      <x:c r="Z455" s="2"/>
      <x:c r="AA455" s="2"/>
      <x:c r="AB455" s="2"/>
      <x:c r="AC455" s="2" t="s">
        <x:v>326</x:v>
      </x:c>
      <x:c r="AD455" s="2" t="s">
        <x:v>318</x:v>
      </x:c>
      <x:c r="AE455" s="2" t="s">
        <x:v>317</x:v>
      </x:c>
      <x:c r="AF455" s="2" t="s">
        <x:v>319</x:v>
      </x:c>
      <x:c r="AG455" s="2"/>
      <x:c r="AH455" s="2"/>
      <x:c r="AI455" s="4"/>
      <x:c r="AJ455" s="2"/>
      <x:c r="AK455" s="2" t="s">
        <x:v>320</x:v>
      </x:c>
      <x:c r="AL455" s="2" t="s">
        <x:v>3061</x:v>
      </x:c>
      <x:c r="AM455" s="2">
        <x:v>5</x:v>
      </x:c>
      <x:c r="AN455" s="2">
        <x:v>5</x:v>
      </x:c>
    </x:row>
    <x:row r="456" ht="39">
      <x:c r="A456" s="2" t="s">
        <x:v>6</x:v>
      </x:c>
      <x:c r="B456" s="2" t="s">
        <x:v>16</x:v>
      </x:c>
      <x:c r="C456" s="3">
        <x:v>4</x:v>
      </x:c>
      <x:c r="D456" s="2" t="s">
        <x:v>337</x:v>
      </x:c>
      <x:c r="E456" s="2" t="s">
        <x:v>338</x:v>
      </x:c>
      <x:c r="F456" s="2" t="s">
        <x:v>339</x:v>
      </x:c>
      <x:c r="G456" s="2" t="s">
        <x:v>3136</x:v>
      </x:c>
      <x:c r="H456" s="2" t="s">
        <x:v>96</x:v>
      </x:c>
      <x:c r="I456" s="2" t="s">
        <x:v>341</x:v>
      </x:c>
      <x:c r="J456" s="2" t="s">
        <x:v>312</x:v>
      </x:c>
      <x:c r="K456" s="2"/>
      <x:c r="L456" s="2" t="s">
        <x:v>342</x:v>
      </x:c>
      <x:c r="M456" s="2"/>
      <x:c r="N456" s="2"/>
      <x:c r="O456" s="2" t="s">
        <x:v>314</x:v>
      </x:c>
      <x:c r="P456" s="2" t="s">
        <x:v>343</x:v>
      </x:c>
      <x:c r="Q456" s="2"/>
      <x:c r="R456" s="3">
        <x:v>4</x:v>
      </x:c>
      <x:c r="S456" s="3"/>
      <x:c r="T456" s="2"/>
      <x:c r="U456" s="2"/>
      <x:c r="V456" s="2"/>
      <x:c r="W456" s="2"/>
      <x:c r="X456" s="3"/>
      <x:c r="Y456" s="3"/>
      <x:c r="Z456" s="2"/>
      <x:c r="AA456" s="2"/>
      <x:c r="AB456" s="2"/>
      <x:c r="AC456" s="2" t="s">
        <x:v>316</x:v>
      </x:c>
      <x:c r="AD456" s="2" t="s">
        <x:v>317</x:v>
      </x:c>
      <x:c r="AE456" s="2" t="s">
        <x:v>344</x:v>
      </x:c>
      <x:c r="AF456" s="2" t="s">
        <x:v>319</x:v>
      </x:c>
      <x:c r="AG456" s="2"/>
      <x:c r="AH456" s="2"/>
      <x:c r="AI456" s="4"/>
      <x:c r="AJ456" s="2"/>
      <x:c r="AK456" s="2" t="s">
        <x:v>320</x:v>
      </x:c>
      <x:c r="AL456" s="2" t="s">
        <x:v>3061</x:v>
      </x:c>
      <x:c r="AM456" s="2">
        <x:v>6</x:v>
      </x:c>
      <x:c r="AN456" s="2">
        <x:v>6</x:v>
      </x:c>
    </x:row>
    <x:row r="457" ht="39">
      <x:c r="A457" s="2" t="s">
        <x:v>6</x:v>
      </x:c>
      <x:c r="B457" s="2" t="s">
        <x:v>16</x:v>
      </x:c>
      <x:c r="C457" s="3">
        <x:v>5</x:v>
      </x:c>
      <x:c r="D457" s="2" t="s">
        <x:v>345</x:v>
      </x:c>
      <x:c r="E457" s="2" t="s">
        <x:v>338</x:v>
      </x:c>
      <x:c r="F457" s="2" t="s">
        <x:v>346</x:v>
      </x:c>
      <x:c r="G457" s="2"/>
      <x:c r="H457" s="2" t="s">
        <x:v>96</x:v>
      </x:c>
      <x:c r="I457" s="2" t="s">
        <x:v>341</x:v>
      </x:c>
      <x:c r="J457" s="2" t="s">
        <x:v>312</x:v>
      </x:c>
      <x:c r="K457" s="2" t="n">
        <x:v>4</x:v>
      </x:c>
      <x:c r="L457" s="2" t="s">
        <x:v>348</x:v>
      </x:c>
      <x:c r="M457" s="2"/>
      <x:c r="N457" s="2"/>
      <x:c r="O457" s="2" t="s">
        <x:v>324</x:v>
      </x:c>
      <x:c r="P457" s="2" t="s">
        <x:v>349</x:v>
      </x:c>
      <x:c r="Q457" s="2"/>
      <x:c r="R457" s="3">
        <x:v>4</x:v>
      </x:c>
      <x:c r="S457" s="3"/>
      <x:c r="T457" s="2"/>
      <x:c r="U457" s="2"/>
      <x:c r="V457" s="2"/>
      <x:c r="W457" s="2"/>
      <x:c r="X457" s="3"/>
      <x:c r="Y457" s="3"/>
      <x:c r="Z457" s="2"/>
      <x:c r="AA457" s="2"/>
      <x:c r="AB457" s="2"/>
      <x:c r="AC457" s="2" t="s">
        <x:v>326</x:v>
      </x:c>
      <x:c r="AD457" s="2" t="s">
        <x:v>317</x:v>
      </x:c>
      <x:c r="AE457" s="2" t="s">
        <x:v>344</x:v>
      </x:c>
      <x:c r="AF457" s="2" t="s">
        <x:v>319</x:v>
      </x:c>
      <x:c r="AG457" s="2"/>
      <x:c r="AH457" s="2"/>
      <x:c r="AI457" s="4"/>
      <x:c r="AJ457" s="2"/>
      <x:c r="AK457" s="2" t="s">
        <x:v>320</x:v>
      </x:c>
      <x:c r="AL457" s="2" t="s">
        <x:v>3061</x:v>
      </x:c>
      <x:c r="AM457" s="2">
        <x:v>7</x:v>
      </x:c>
      <x:c r="AN457" s="2">
        <x:v>7</x:v>
      </x:c>
    </x:row>
    <x:row r="458" ht="39">
      <x:c r="A458" s="2" t="s">
        <x:v>6</x:v>
      </x:c>
      <x:c r="B458" s="2" t="s">
        <x:v>16</x:v>
      </x:c>
      <x:c r="C458" s="3">
        <x:v>6</x:v>
      </x:c>
      <x:c r="D458" s="2" t="s">
        <x:v>350</x:v>
      </x:c>
      <x:c r="E458" s="2" t="s">
        <x:v>338</x:v>
      </x:c>
      <x:c r="F458" s="2" t="s">
        <x:v>351</x:v>
      </x:c>
      <x:c r="G458" s="2"/>
      <x:c r="H458" s="2" t="s">
        <x:v>96</x:v>
      </x:c>
      <x:c r="I458" s="2" t="s">
        <x:v>341</x:v>
      </x:c>
      <x:c r="J458" s="2" t="s">
        <x:v>312</x:v>
      </x:c>
      <x:c r="K458" s="2" t="n">
        <x:v>4</x:v>
      </x:c>
      <x:c r="L458" s="2" t="s">
        <x:v>353</x:v>
      </x:c>
      <x:c r="M458" s="2"/>
      <x:c r="N458" s="2"/>
      <x:c r="O458" s="2" t="s">
        <x:v>324</x:v>
      </x:c>
      <x:c r="P458" s="2" t="s">
        <x:v>354</x:v>
      </x:c>
      <x:c r="Q458" s="2"/>
      <x:c r="R458" s="3">
        <x:v>4</x:v>
      </x:c>
      <x:c r="S458" s="3"/>
      <x:c r="T458" s="2"/>
      <x:c r="U458" s="2"/>
      <x:c r="V458" s="2"/>
      <x:c r="W458" s="2"/>
      <x:c r="X458" s="3"/>
      <x:c r="Y458" s="3"/>
      <x:c r="Z458" s="2"/>
      <x:c r="AA458" s="2"/>
      <x:c r="AB458" s="2"/>
      <x:c r="AC458" s="2" t="s">
        <x:v>316</x:v>
      </x:c>
      <x:c r="AD458" s="2" t="s">
        <x:v>344</x:v>
      </x:c>
      <x:c r="AE458" s="2" t="s">
        <x:v>317</x:v>
      </x:c>
      <x:c r="AF458" s="2" t="s">
        <x:v>319</x:v>
      </x:c>
      <x:c r="AG458" s="2"/>
      <x:c r="AH458" s="2"/>
      <x:c r="AI458" s="4"/>
      <x:c r="AJ458" s="2"/>
      <x:c r="AK458" s="2" t="s">
        <x:v>320</x:v>
      </x:c>
      <x:c r="AL458" s="2" t="s">
        <x:v>3061</x:v>
      </x:c>
      <x:c r="AM458" s="2">
        <x:v>8</x:v>
      </x:c>
      <x:c r="AN458" s="2">
        <x:v>8</x:v>
      </x:c>
    </x:row>
    <x:row r="459" ht="39">
      <x:c r="A459" s="2" t="s">
        <x:v>6</x:v>
      </x:c>
      <x:c r="B459" s="2" t="s">
        <x:v>16</x:v>
      </x:c>
      <x:c r="C459" s="3">
        <x:v>7</x:v>
      </x:c>
      <x:c r="D459" s="2" t="s">
        <x:v>355</x:v>
      </x:c>
      <x:c r="E459" s="2" t="s">
        <x:v>338</x:v>
      </x:c>
      <x:c r="F459" s="2" t="s">
        <x:v>356</x:v>
      </x:c>
      <x:c r="G459" s="2"/>
      <x:c r="H459" s="2" t="s">
        <x:v>96</x:v>
      </x:c>
      <x:c r="I459" s="2" t="s">
        <x:v>341</x:v>
      </x:c>
      <x:c r="J459" s="2" t="s">
        <x:v>312</x:v>
      </x:c>
      <x:c r="K459" s="2" t="n">
        <x:v>4</x:v>
      </x:c>
      <x:c r="L459" s="2" t="s">
        <x:v>357</x:v>
      </x:c>
      <x:c r="M459" s="2"/>
      <x:c r="N459" s="2"/>
      <x:c r="O459" s="2" t="s">
        <x:v>324</x:v>
      </x:c>
      <x:c r="P459" s="2" t="s">
        <x:v>358</x:v>
      </x:c>
      <x:c r="Q459" s="2"/>
      <x:c r="R459" s="3">
        <x:v>4</x:v>
      </x:c>
      <x:c r="S459" s="3"/>
      <x:c r="T459" s="2"/>
      <x:c r="U459" s="2"/>
      <x:c r="V459" s="2"/>
      <x:c r="W459" s="2"/>
      <x:c r="X459" s="3"/>
      <x:c r="Y459" s="3"/>
      <x:c r="Z459" s="2"/>
      <x:c r="AA459" s="2"/>
      <x:c r="AB459" s="2"/>
      <x:c r="AC459" s="2" t="s">
        <x:v>326</x:v>
      </x:c>
      <x:c r="AD459" s="2" t="s">
        <x:v>344</x:v>
      </x:c>
      <x:c r="AE459" s="2" t="s">
        <x:v>317</x:v>
      </x:c>
      <x:c r="AF459" s="2" t="s">
        <x:v>319</x:v>
      </x:c>
      <x:c r="AG459" s="2"/>
      <x:c r="AH459" s="2"/>
      <x:c r="AI459" s="4"/>
      <x:c r="AJ459" s="2"/>
      <x:c r="AK459" s="2" t="s">
        <x:v>320</x:v>
      </x:c>
      <x:c r="AL459" s="2" t="s">
        <x:v>3061</x:v>
      </x:c>
      <x:c r="AM459" s="2">
        <x:v>9</x:v>
      </x:c>
      <x:c r="AN459" s="2">
        <x:v>9</x:v>
      </x:c>
    </x:row>
    <x:row r="460" ht="39">
      <x:c r="A460" s="2" t="s">
        <x:v>6</x:v>
      </x:c>
      <x:c r="B460" s="2" t="s">
        <x:v>16</x:v>
      </x:c>
      <x:c r="C460" s="3">
        <x:v>8</x:v>
      </x:c>
      <x:c r="D460" s="2" t="s">
        <x:v>359</x:v>
      </x:c>
      <x:c r="E460" s="2" t="s">
        <x:v>360</x:v>
      </x:c>
      <x:c r="F460" s="2" t="s">
        <x:v>361</x:v>
      </x:c>
      <x:c r="G460" s="2" t="s">
        <x:v>3137</x:v>
      </x:c>
      <x:c r="H460" s="2" t="s">
        <x:v>96</x:v>
      </x:c>
      <x:c r="I460" s="2" t="s">
        <x:v>363</x:v>
      </x:c>
      <x:c r="J460" s="2" t="s">
        <x:v>364</x:v>
      </x:c>
      <x:c r="K460" s="2"/>
      <x:c r="L460" s="2" t="s">
        <x:v>365</x:v>
      </x:c>
      <x:c r="M460" s="2"/>
      <x:c r="N460" s="2"/>
      <x:c r="O460" s="2" t="s">
        <x:v>314</x:v>
      </x:c>
      <x:c r="P460" s="2" t="s">
        <x:v>366</x:v>
      </x:c>
      <x:c r="Q460" s="2"/>
      <x:c r="R460" s="3">
        <x:v>3</x:v>
      </x:c>
      <x:c r="S460" s="3"/>
      <x:c r="T460" s="2"/>
      <x:c r="U460" s="2"/>
      <x:c r="V460" s="2"/>
      <x:c r="W460" s="2"/>
      <x:c r="X460" s="3"/>
      <x:c r="Y460" s="3"/>
      <x:c r="Z460" s="2"/>
      <x:c r="AA460" s="2"/>
      <x:c r="AB460" s="2"/>
      <x:c r="AC460" s="2" t="s">
        <x:v>367</x:v>
      </x:c>
      <x:c r="AD460" s="2" t="s">
        <x:v>368</x:v>
      </x:c>
      <x:c r="AE460" s="2" t="s">
        <x:v>318</x:v>
      </x:c>
      <x:c r="AF460" s="2" t="s">
        <x:v>319</x:v>
      </x:c>
      <x:c r="AG460" s="2"/>
      <x:c r="AH460" s="2"/>
      <x:c r="AI460" s="4"/>
      <x:c r="AJ460" s="2"/>
      <x:c r="AK460" s="2" t="s">
        <x:v>320</x:v>
      </x:c>
      <x:c r="AL460" s="2" t="s">
        <x:v>3061</x:v>
      </x:c>
      <x:c r="AM460" s="2">
        <x:v>10</x:v>
      </x:c>
      <x:c r="AN460" s="2">
        <x:v>10</x:v>
      </x:c>
    </x:row>
    <x:row r="461" ht="39">
      <x:c r="A461" s="2" t="s">
        <x:v>6</x:v>
      </x:c>
      <x:c r="B461" s="2" t="s">
        <x:v>16</x:v>
      </x:c>
      <x:c r="C461" s="3">
        <x:v>9</x:v>
      </x:c>
      <x:c r="D461" s="2" t="s">
        <x:v>369</x:v>
      </x:c>
      <x:c r="E461" s="2" t="s">
        <x:v>360</x:v>
      </x:c>
      <x:c r="F461" s="2" t="s">
        <x:v>370</x:v>
      </x:c>
      <x:c r="G461" s="2"/>
      <x:c r="H461" s="2" t="s">
        <x:v>96</x:v>
      </x:c>
      <x:c r="I461" s="2" t="s">
        <x:v>363</x:v>
      </x:c>
      <x:c r="J461" s="2" t="s">
        <x:v>364</x:v>
      </x:c>
      <x:c r="K461" s="2" t="n">
        <x:v>8</x:v>
      </x:c>
      <x:c r="L461" s="2" t="s">
        <x:v>372</x:v>
      </x:c>
      <x:c r="M461" s="2"/>
      <x:c r="N461" s="2"/>
      <x:c r="O461" s="2" t="s">
        <x:v>324</x:v>
      </x:c>
      <x:c r="P461" s="2" t="s">
        <x:v>373</x:v>
      </x:c>
      <x:c r="Q461" s="2"/>
      <x:c r="R461" s="3">
        <x:v>3</x:v>
      </x:c>
      <x:c r="S461" s="3"/>
      <x:c r="T461" s="2"/>
      <x:c r="U461" s="2"/>
      <x:c r="V461" s="2"/>
      <x:c r="W461" s="2"/>
      <x:c r="X461" s="3"/>
      <x:c r="Y461" s="3"/>
      <x:c r="Z461" s="2"/>
      <x:c r="AA461" s="2"/>
      <x:c r="AB461" s="2"/>
      <x:c r="AC461" s="2" t="s">
        <x:v>374</x:v>
      </x:c>
      <x:c r="AD461" s="2" t="s">
        <x:v>368</x:v>
      </x:c>
      <x:c r="AE461" s="2" t="s">
        <x:v>318</x:v>
      </x:c>
      <x:c r="AF461" s="2" t="s">
        <x:v>319</x:v>
      </x:c>
      <x:c r="AG461" s="2"/>
      <x:c r="AH461" s="2"/>
      <x:c r="AI461" s="4"/>
      <x:c r="AJ461" s="2"/>
      <x:c r="AK461" s="2" t="s">
        <x:v>320</x:v>
      </x:c>
      <x:c r="AL461" s="2" t="s">
        <x:v>3061</x:v>
      </x:c>
      <x:c r="AM461" s="2">
        <x:v>11</x:v>
      </x:c>
      <x:c r="AN461" s="2">
        <x:v>11</x:v>
      </x:c>
    </x:row>
    <x:row r="462" ht="39">
      <x:c r="A462" s="2" t="s">
        <x:v>6</x:v>
      </x:c>
      <x:c r="B462" s="2" t="s">
        <x:v>16</x:v>
      </x:c>
      <x:c r="C462" s="3">
        <x:v>10</x:v>
      </x:c>
      <x:c r="D462" s="2" t="s">
        <x:v>375</x:v>
      </x:c>
      <x:c r="E462" s="2" t="s">
        <x:v>360</x:v>
      </x:c>
      <x:c r="F462" s="2" t="s">
        <x:v>376</x:v>
      </x:c>
      <x:c r="G462" s="2"/>
      <x:c r="H462" s="2" t="s">
        <x:v>96</x:v>
      </x:c>
      <x:c r="I462" s="2" t="s">
        <x:v>363</x:v>
      </x:c>
      <x:c r="J462" s="2" t="s">
        <x:v>364</x:v>
      </x:c>
      <x:c r="K462" s="2" t="n">
        <x:v>8</x:v>
      </x:c>
      <x:c r="L462" s="2" t="s">
        <x:v>378</x:v>
      </x:c>
      <x:c r="M462" s="2"/>
      <x:c r="N462" s="2"/>
      <x:c r="O462" s="2" t="s">
        <x:v>324</x:v>
      </x:c>
      <x:c r="P462" s="2" t="s">
        <x:v>379</x:v>
      </x:c>
      <x:c r="Q462" s="2"/>
      <x:c r="R462" s="3">
        <x:v>3</x:v>
      </x:c>
      <x:c r="S462" s="3"/>
      <x:c r="T462" s="2"/>
      <x:c r="U462" s="2"/>
      <x:c r="V462" s="2"/>
      <x:c r="W462" s="2"/>
      <x:c r="X462" s="3"/>
      <x:c r="Y462" s="3"/>
      <x:c r="Z462" s="2"/>
      <x:c r="AA462" s="2"/>
      <x:c r="AB462" s="2"/>
      <x:c r="AC462" s="2" t="s">
        <x:v>367</x:v>
      </x:c>
      <x:c r="AD462" s="2" t="s">
        <x:v>318</x:v>
      </x:c>
      <x:c r="AE462" s="2" t="s">
        <x:v>368</x:v>
      </x:c>
      <x:c r="AF462" s="2" t="s">
        <x:v>319</x:v>
      </x:c>
      <x:c r="AG462" s="2"/>
      <x:c r="AH462" s="2"/>
      <x:c r="AI462" s="4"/>
      <x:c r="AJ462" s="2"/>
      <x:c r="AK462" s="2" t="s">
        <x:v>320</x:v>
      </x:c>
      <x:c r="AL462" s="2" t="s">
        <x:v>3061</x:v>
      </x:c>
      <x:c r="AM462" s="2">
        <x:v>12</x:v>
      </x:c>
      <x:c r="AN462" s="2">
        <x:v>12</x:v>
      </x:c>
    </x:row>
    <x:row r="463" ht="39">
      <x:c r="A463" s="2" t="s">
        <x:v>6</x:v>
      </x:c>
      <x:c r="B463" s="2" t="s">
        <x:v>16</x:v>
      </x:c>
      <x:c r="C463" s="3">
        <x:v>11</x:v>
      </x:c>
      <x:c r="D463" s="2" t="s">
        <x:v>380</x:v>
      </x:c>
      <x:c r="E463" s="2" t="s">
        <x:v>360</x:v>
      </x:c>
      <x:c r="F463" s="2" t="s">
        <x:v>381</x:v>
      </x:c>
      <x:c r="G463" s="2" t="s">
        <x:v>3138</x:v>
      </x:c>
      <x:c r="H463" s="2" t="s">
        <x:v>96</x:v>
      </x:c>
      <x:c r="I463" s="2" t="s">
        <x:v>363</x:v>
      </x:c>
      <x:c r="J463" s="2" t="s">
        <x:v>364</x:v>
      </x:c>
      <x:c r="K463" s="2" t="n">
        <x:v>8</x:v>
      </x:c>
      <x:c r="L463" s="2" t="s">
        <x:v>382</x:v>
      </x:c>
      <x:c r="M463" s="2"/>
      <x:c r="N463" s="2"/>
      <x:c r="O463" s="2" t="s">
        <x:v>324</x:v>
      </x:c>
      <x:c r="P463" s="2" t="s">
        <x:v>383</x:v>
      </x:c>
      <x:c r="Q463" s="2"/>
      <x:c r="R463" s="3">
        <x:v>3</x:v>
      </x:c>
      <x:c r="S463" s="3"/>
      <x:c r="T463" s="2"/>
      <x:c r="U463" s="2"/>
      <x:c r="V463" s="2"/>
      <x:c r="W463" s="2"/>
      <x:c r="X463" s="3"/>
      <x:c r="Y463" s="3"/>
      <x:c r="Z463" s="2"/>
      <x:c r="AA463" s="2"/>
      <x:c r="AB463" s="2"/>
      <x:c r="AC463" s="2" t="s">
        <x:v>374</x:v>
      </x:c>
      <x:c r="AD463" s="2" t="s">
        <x:v>318</x:v>
      </x:c>
      <x:c r="AE463" s="2" t="s">
        <x:v>368</x:v>
      </x:c>
      <x:c r="AF463" s="2" t="s">
        <x:v>319</x:v>
      </x:c>
      <x:c r="AG463" s="2"/>
      <x:c r="AH463" s="2"/>
      <x:c r="AI463" s="4"/>
      <x:c r="AJ463" s="2"/>
      <x:c r="AK463" s="2" t="s">
        <x:v>320</x:v>
      </x:c>
      <x:c r="AL463" s="2" t="s">
        <x:v>3061</x:v>
      </x:c>
      <x:c r="AM463" s="2">
        <x:v>13</x:v>
      </x:c>
      <x:c r="AN463" s="2">
        <x:v>13</x:v>
      </x:c>
    </x:row>
    <x:row r="464" ht="39">
      <x:c r="A464" s="2" t="s">
        <x:v>91</x:v>
      </x:c>
      <x:c r="B464" s="2" t="s">
        <x:v>16</x:v>
      </x:c>
      <x:c r="C464" s="3">
        <x:v>12</x:v>
      </x:c>
      <x:c r="D464" s="2" t="s">
        <x:v>1554</x:v>
      </x:c>
      <x:c r="E464" s="2" t="s">
        <x:v>1555</x:v>
      </x:c>
      <x:c r="F464" s="2" t="s">
        <x:v>1556</x:v>
      </x:c>
      <x:c r="G464" s="2" t="s">
        <x:v>1735</x:v>
      </x:c>
      <x:c r="H464" s="2" t="s">
        <x:v>96</x:v>
      </x:c>
      <x:c r="I464" s="2" t="s">
        <x:v>1557</x:v>
      </x:c>
      <x:c r="J464" s="2" t="s">
        <x:v>364</x:v>
      </x:c>
      <x:c r="K464" s="2"/>
      <x:c r="L464" s="2" t="s">
        <x:v>1558</x:v>
      </x:c>
      <x:c r="M464" s="2"/>
      <x:c r="N464" s="2"/>
      <x:c r="O464" s="2" t="s">
        <x:v>314</x:v>
      </x:c>
      <x:c r="P464" s="2" t="s">
        <x:v>1559</x:v>
      </x:c>
      <x:c r="Q464" s="2"/>
      <x:c r="R464" s="3">
        <x:v>4</x:v>
      </x:c>
      <x:c r="S464" s="3"/>
      <x:c r="T464" s="2"/>
      <x:c r="U464" s="2"/>
      <x:c r="V464" s="2"/>
      <x:c r="W464" s="2"/>
      <x:c r="X464" s="3"/>
      <x:c r="Y464" s="3"/>
      <x:c r="Z464" s="2"/>
      <x:c r="AA464" s="2"/>
      <x:c r="AB464" s="2"/>
      <x:c r="AC464" s="2" t="s">
        <x:v>367</x:v>
      </x:c>
      <x:c r="AD464" s="2" t="s">
        <x:v>368</x:v>
      </x:c>
      <x:c r="AE464" s="2" t="s">
        <x:v>344</x:v>
      </x:c>
      <x:c r="AF464" s="2" t="s">
        <x:v>319</x:v>
      </x:c>
      <x:c r="AG464" s="2"/>
      <x:c r="AH464" s="2"/>
      <x:c r="AI464" s="4"/>
      <x:c r="AJ464" s="2"/>
      <x:c r="AK464" s="2" t="s">
        <x:v>320</x:v>
      </x:c>
      <x:c r="AL464" s="2" t="s">
        <x:v>3061</x:v>
      </x:c>
      <x:c r="AM464" s="2">
        <x:v>14</x:v>
      </x:c>
      <x:c r="AN464" s="2">
        <x:v>14</x:v>
      </x:c>
    </x:row>
    <x:row r="465" ht="39">
      <x:c r="A465" s="2" t="s">
        <x:v>91</x:v>
      </x:c>
      <x:c r="B465" s="2" t="s">
        <x:v>16</x:v>
      </x:c>
      <x:c r="C465" s="3">
        <x:v>13</x:v>
      </x:c>
      <x:c r="D465" s="2" t="s">
        <x:v>1560</x:v>
      </x:c>
      <x:c r="E465" s="2" t="s">
        <x:v>1555</x:v>
      </x:c>
      <x:c r="F465" s="2" t="s">
        <x:v>1561</x:v>
      </x:c>
      <x:c r="G465" s="2" t="s">
        <x:v>3139</x:v>
      </x:c>
      <x:c r="H465" s="2" t="s">
        <x:v>96</x:v>
      </x:c>
      <x:c r="I465" s="2" t="s">
        <x:v>1557</x:v>
      </x:c>
      <x:c r="J465" s="2" t="s">
        <x:v>364</x:v>
      </x:c>
      <x:c r="K465" s="2" t="n">
        <x:v>12</x:v>
      </x:c>
      <x:c r="L465" s="2" t="s">
        <x:v>1563</x:v>
      </x:c>
      <x:c r="M465" s="2"/>
      <x:c r="N465" s="2"/>
      <x:c r="O465" s="2" t="s">
        <x:v>324</x:v>
      </x:c>
      <x:c r="P465" s="2" t="s">
        <x:v>1564</x:v>
      </x:c>
      <x:c r="Q465" s="2"/>
      <x:c r="R465" s="3">
        <x:v>4</x:v>
      </x:c>
      <x:c r="S465" s="3"/>
      <x:c r="T465" s="2"/>
      <x:c r="U465" s="2"/>
      <x:c r="V465" s="2"/>
      <x:c r="W465" s="2"/>
      <x:c r="X465" s="3"/>
      <x:c r="Y465" s="3"/>
      <x:c r="Z465" s="2"/>
      <x:c r="AA465" s="2"/>
      <x:c r="AB465" s="2"/>
      <x:c r="AC465" s="2" t="s">
        <x:v>374</x:v>
      </x:c>
      <x:c r="AD465" s="2" t="s">
        <x:v>368</x:v>
      </x:c>
      <x:c r="AE465" s="2" t="s">
        <x:v>344</x:v>
      </x:c>
      <x:c r="AF465" s="2" t="s">
        <x:v>319</x:v>
      </x:c>
      <x:c r="AG465" s="2"/>
      <x:c r="AH465" s="2"/>
      <x:c r="AI465" s="4"/>
      <x:c r="AJ465" s="2"/>
      <x:c r="AK465" s="2" t="s">
        <x:v>320</x:v>
      </x:c>
      <x:c r="AL465" s="2" t="s">
        <x:v>3061</x:v>
      </x:c>
      <x:c r="AM465" s="2">
        <x:v>15</x:v>
      </x:c>
      <x:c r="AN465" s="2">
        <x:v>15</x:v>
      </x:c>
    </x:row>
    <x:row r="466" ht="39">
      <x:c r="A466" s="2" t="s">
        <x:v>6</x:v>
      </x:c>
      <x:c r="B466" s="2" t="s">
        <x:v>16</x:v>
      </x:c>
      <x:c r="C466" s="3">
        <x:v>14</x:v>
      </x:c>
      <x:c r="D466" s="2" t="s">
        <x:v>1565</x:v>
      </x:c>
      <x:c r="E466" s="2" t="s">
        <x:v>1555</x:v>
      </x:c>
      <x:c r="F466" s="2" t="s">
        <x:v>1566</x:v>
      </x:c>
      <x:c r="G466" s="2"/>
      <x:c r="H466" s="2" t="s">
        <x:v>96</x:v>
      </x:c>
      <x:c r="I466" s="2" t="s">
        <x:v>1557</x:v>
      </x:c>
      <x:c r="J466" s="2" t="s">
        <x:v>364</x:v>
      </x:c>
      <x:c r="K466" s="2" t="n">
        <x:v>12</x:v>
      </x:c>
      <x:c r="L466" s="2" t="s">
        <x:v>1568</x:v>
      </x:c>
      <x:c r="M466" s="2"/>
      <x:c r="N466" s="2"/>
      <x:c r="O466" s="2" t="s">
        <x:v>324</x:v>
      </x:c>
      <x:c r="P466" s="2" t="s">
        <x:v>1569</x:v>
      </x:c>
      <x:c r="Q466" s="2"/>
      <x:c r="R466" s="3">
        <x:v>4</x:v>
      </x:c>
      <x:c r="S466" s="3"/>
      <x:c r="T466" s="2"/>
      <x:c r="U466" s="2"/>
      <x:c r="V466" s="2"/>
      <x:c r="W466" s="2"/>
      <x:c r="X466" s="3"/>
      <x:c r="Y466" s="3"/>
      <x:c r="Z466" s="2"/>
      <x:c r="AA466" s="2"/>
      <x:c r="AB466" s="2"/>
      <x:c r="AC466" s="2" t="s">
        <x:v>367</x:v>
      </x:c>
      <x:c r="AD466" s="2" t="s">
        <x:v>344</x:v>
      </x:c>
      <x:c r="AE466" s="2" t="s">
        <x:v>368</x:v>
      </x:c>
      <x:c r="AF466" s="2" t="s">
        <x:v>319</x:v>
      </x:c>
      <x:c r="AG466" s="2"/>
      <x:c r="AH466" s="2"/>
      <x:c r="AI466" s="4"/>
      <x:c r="AJ466" s="2"/>
      <x:c r="AK466" s="2" t="s">
        <x:v>320</x:v>
      </x:c>
      <x:c r="AL466" s="2" t="s">
        <x:v>3061</x:v>
      </x:c>
      <x:c r="AM466" s="2">
        <x:v>16</x:v>
      </x:c>
      <x:c r="AN466" s="2">
        <x:v>16</x:v>
      </x:c>
    </x:row>
    <x:row r="467" ht="39">
      <x:c r="A467" s="2" t="s">
        <x:v>91</x:v>
      </x:c>
      <x:c r="B467" s="2" t="s">
        <x:v>16</x:v>
      </x:c>
      <x:c r="C467" s="3">
        <x:v>15</x:v>
      </x:c>
      <x:c r="D467" s="2" t="s">
        <x:v>1570</x:v>
      </x:c>
      <x:c r="E467" s="2" t="s">
        <x:v>1555</x:v>
      </x:c>
      <x:c r="F467" s="2" t="s">
        <x:v>1571</x:v>
      </x:c>
      <x:c r="G467" s="2" t="s">
        <x:v>3140</x:v>
      </x:c>
      <x:c r="H467" s="2" t="s">
        <x:v>96</x:v>
      </x:c>
      <x:c r="I467" s="2" t="s">
        <x:v>1557</x:v>
      </x:c>
      <x:c r="J467" s="2" t="s">
        <x:v>364</x:v>
      </x:c>
      <x:c r="K467" s="2" t="n">
        <x:v>12</x:v>
      </x:c>
      <x:c r="L467" s="2" t="s">
        <x:v>1572</x:v>
      </x:c>
      <x:c r="M467" s="2"/>
      <x:c r="N467" s="2"/>
      <x:c r="O467" s="2" t="s">
        <x:v>324</x:v>
      </x:c>
      <x:c r="P467" s="2" t="s">
        <x:v>1573</x:v>
      </x:c>
      <x:c r="Q467" s="2"/>
      <x:c r="R467" s="3">
        <x:v>4</x:v>
      </x:c>
      <x:c r="S467" s="3"/>
      <x:c r="T467" s="2"/>
      <x:c r="U467" s="2"/>
      <x:c r="V467" s="2"/>
      <x:c r="W467" s="2"/>
      <x:c r="X467" s="3"/>
      <x:c r="Y467" s="3"/>
      <x:c r="Z467" s="2"/>
      <x:c r="AA467" s="2"/>
      <x:c r="AB467" s="2"/>
      <x:c r="AC467" s="2" t="s">
        <x:v>374</x:v>
      </x:c>
      <x:c r="AD467" s="2" t="s">
        <x:v>344</x:v>
      </x:c>
      <x:c r="AE467" s="2" t="s">
        <x:v>368</x:v>
      </x:c>
      <x:c r="AF467" s="2" t="s">
        <x:v>319</x:v>
      </x:c>
      <x:c r="AG467" s="2"/>
      <x:c r="AH467" s="2"/>
      <x:c r="AI467" s="4"/>
      <x:c r="AJ467" s="2"/>
      <x:c r="AK467" s="2" t="s">
        <x:v>320</x:v>
      </x:c>
      <x:c r="AL467" s="2" t="s">
        <x:v>3061</x:v>
      </x:c>
      <x:c r="AM467" s="2">
        <x:v>17</x:v>
      </x:c>
      <x:c r="AN467" s="2">
        <x:v>17</x:v>
      </x:c>
    </x:row>
    <x:row r="468" ht="39">
      <x:c r="A468" s="2" t="s">
        <x:v>91</x:v>
      </x:c>
      <x:c r="B468" s="2" t="s">
        <x:v>16</x:v>
      </x:c>
      <x:c r="C468" s="3">
        <x:v>16</x:v>
      </x:c>
      <x:c r="D468" s="2" t="s">
        <x:v>1574</x:v>
      </x:c>
      <x:c r="E468" s="2" t="s">
        <x:v>1575</x:v>
      </x:c>
      <x:c r="F468" s="2" t="s">
        <x:v>1576</x:v>
      </x:c>
      <x:c r="G468" s="2" t="s">
        <x:v>3141</x:v>
      </x:c>
      <x:c r="H468" s="2" t="s">
        <x:v>96</x:v>
      </x:c>
      <x:c r="I468" s="2" t="s">
        <x:v>1577</x:v>
      </x:c>
      <x:c r="J468" s="2" t="s">
        <x:v>1578</x:v>
      </x:c>
      <x:c r="K468" s="2"/>
      <x:c r="L468" s="2" t="s">
        <x:v>1579</x:v>
      </x:c>
      <x:c r="M468" s="2"/>
      <x:c r="N468" s="2"/>
      <x:c r="O468" s="2" t="s">
        <x:v>314</x:v>
      </x:c>
      <x:c r="P468" s="2" t="s">
        <x:v>1580</x:v>
      </x:c>
      <x:c r="Q468" s="2"/>
      <x:c r="R468" s="3">
        <x:v>4</x:v>
      </x:c>
      <x:c r="S468" s="3"/>
      <x:c r="T468" s="2"/>
      <x:c r="U468" s="2"/>
      <x:c r="V468" s="2"/>
      <x:c r="W468" s="2"/>
      <x:c r="X468" s="3"/>
      <x:c r="Y468" s="3"/>
      <x:c r="Z468" s="2"/>
      <x:c r="AA468" s="2"/>
      <x:c r="AB468" s="2"/>
      <x:c r="AC468" s="2" t="s">
        <x:v>367</x:v>
      </x:c>
      <x:c r="AD468" s="2" t="s">
        <x:v>317</x:v>
      </x:c>
      <x:c r="AE468" s="2" t="s">
        <x:v>318</x:v>
      </x:c>
      <x:c r="AF468" s="2" t="s">
        <x:v>319</x:v>
      </x:c>
      <x:c r="AG468" s="2"/>
      <x:c r="AH468" s="2"/>
      <x:c r="AI468" s="4"/>
      <x:c r="AJ468" s="2"/>
      <x:c r="AK468" s="2" t="s">
        <x:v>320</x:v>
      </x:c>
      <x:c r="AL468" s="2" t="s">
        <x:v>3061</x:v>
      </x:c>
      <x:c r="AM468" s="2">
        <x:v>18</x:v>
      </x:c>
      <x:c r="AN468" s="2">
        <x:v>18</x:v>
      </x:c>
    </x:row>
    <x:row r="469" ht="39">
      <x:c r="A469" s="2" t="s">
        <x:v>6</x:v>
      </x:c>
      <x:c r="B469" s="2" t="s">
        <x:v>16</x:v>
      </x:c>
      <x:c r="C469" s="3">
        <x:v>17</x:v>
      </x:c>
      <x:c r="D469" s="2" t="s">
        <x:v>1581</x:v>
      </x:c>
      <x:c r="E469" s="2" t="s">
        <x:v>1575</x:v>
      </x:c>
      <x:c r="F469" s="2" t="s">
        <x:v>1582</x:v>
      </x:c>
      <x:c r="G469" s="2"/>
      <x:c r="H469" s="2" t="s">
        <x:v>96</x:v>
      </x:c>
      <x:c r="I469" s="2" t="s">
        <x:v>1577</x:v>
      </x:c>
      <x:c r="J469" s="2" t="s">
        <x:v>1578</x:v>
      </x:c>
      <x:c r="K469" s="2" t="n">
        <x:v>16</x:v>
      </x:c>
      <x:c r="L469" s="2" t="s">
        <x:v>1583</x:v>
      </x:c>
      <x:c r="M469" s="2"/>
      <x:c r="N469" s="2"/>
      <x:c r="O469" s="2" t="s">
        <x:v>324</x:v>
      </x:c>
      <x:c r="P469" s="2" t="s">
        <x:v>1584</x:v>
      </x:c>
      <x:c r="Q469" s="2"/>
      <x:c r="R469" s="3">
        <x:v>4</x:v>
      </x:c>
      <x:c r="S469" s="3"/>
      <x:c r="T469" s="2"/>
      <x:c r="U469" s="2"/>
      <x:c r="V469" s="2"/>
      <x:c r="W469" s="2"/>
      <x:c r="X469" s="3"/>
      <x:c r="Y469" s="3"/>
      <x:c r="Z469" s="2"/>
      <x:c r="AA469" s="2"/>
      <x:c r="AB469" s="2"/>
      <x:c r="AC469" s="2" t="s">
        <x:v>374</x:v>
      </x:c>
      <x:c r="AD469" s="2" t="s">
        <x:v>318</x:v>
      </x:c>
      <x:c r="AE469" s="2" t="s">
        <x:v>317</x:v>
      </x:c>
      <x:c r="AF469" s="2" t="s">
        <x:v>319</x:v>
      </x:c>
      <x:c r="AG469" s="2"/>
      <x:c r="AH469" s="2"/>
      <x:c r="AI469" s="4"/>
      <x:c r="AJ469" s="2"/>
      <x:c r="AK469" s="2" t="s">
        <x:v>320</x:v>
      </x:c>
      <x:c r="AL469" s="2" t="s">
        <x:v>3061</x:v>
      </x:c>
      <x:c r="AM469" s="2">
        <x:v>19</x:v>
      </x:c>
      <x:c r="AN469" s="2">
        <x:v>19</x:v>
      </x:c>
    </x:row>
    <x:row r="470" ht="39">
      <x:c r="A470" s="2" t="s">
        <x:v>6</x:v>
      </x:c>
      <x:c r="B470" s="2" t="s">
        <x:v>16</x:v>
      </x:c>
      <x:c r="C470" s="3">
        <x:v>18</x:v>
      </x:c>
      <x:c r="D470" s="2" t="s">
        <x:v>1585</x:v>
      </x:c>
      <x:c r="E470" s="2" t="s">
        <x:v>1575</x:v>
      </x:c>
      <x:c r="F470" s="2" t="s">
        <x:v>1586</x:v>
      </x:c>
      <x:c r="G470" s="2"/>
      <x:c r="H470" s="2" t="s">
        <x:v>96</x:v>
      </x:c>
      <x:c r="I470" s="2" t="s">
        <x:v>1577</x:v>
      </x:c>
      <x:c r="J470" s="2" t="s">
        <x:v>1578</x:v>
      </x:c>
      <x:c r="K470" s="2" t="n">
        <x:v>16</x:v>
      </x:c>
      <x:c r="L470" s="2" t="s">
        <x:v>1587</x:v>
      </x:c>
      <x:c r="M470" s="2"/>
      <x:c r="N470" s="2"/>
      <x:c r="O470" s="2" t="s">
        <x:v>324</x:v>
      </x:c>
      <x:c r="P470" s="2" t="s">
        <x:v>1588</x:v>
      </x:c>
      <x:c r="Q470" s="2"/>
      <x:c r="R470" s="3">
        <x:v>4</x:v>
      </x:c>
      <x:c r="S470" s="3"/>
      <x:c r="T470" s="2"/>
      <x:c r="U470" s="2"/>
      <x:c r="V470" s="2"/>
      <x:c r="W470" s="2"/>
      <x:c r="X470" s="3"/>
      <x:c r="Y470" s="3"/>
      <x:c r="Z470" s="2"/>
      <x:c r="AA470" s="2"/>
      <x:c r="AB470" s="2"/>
      <x:c r="AC470" s="2" t="s">
        <x:v>316</x:v>
      </x:c>
      <x:c r="AD470" s="2" t="s">
        <x:v>368</x:v>
      </x:c>
      <x:c r="AE470" s="2" t="s">
        <x:v>344</x:v>
      </x:c>
      <x:c r="AF470" s="2" t="s">
        <x:v>319</x:v>
      </x:c>
      <x:c r="AG470" s="2"/>
      <x:c r="AH470" s="2"/>
      <x:c r="AI470" s="4"/>
      <x:c r="AJ470" s="2"/>
      <x:c r="AK470" s="2" t="s">
        <x:v>320</x:v>
      </x:c>
      <x:c r="AL470" s="2" t="s">
        <x:v>3061</x:v>
      </x:c>
      <x:c r="AM470" s="2">
        <x:v>20</x:v>
      </x:c>
      <x:c r="AN470" s="2">
        <x:v>20</x:v>
      </x:c>
    </x:row>
    <x:row r="471" ht="39">
      <x:c r="A471" s="2" t="s">
        <x:v>91</x:v>
      </x:c>
      <x:c r="B471" s="2" t="s">
        <x:v>16</x:v>
      </x:c>
      <x:c r="C471" s="3">
        <x:v>19</x:v>
      </x:c>
      <x:c r="D471" s="2" t="s">
        <x:v>1589</x:v>
      </x:c>
      <x:c r="E471" s="2" t="s">
        <x:v>1575</x:v>
      </x:c>
      <x:c r="F471" s="2" t="s">
        <x:v>1590</x:v>
      </x:c>
      <x:c r="G471" s="2" t="s">
        <x:v>1742</x:v>
      </x:c>
      <x:c r="H471" s="2" t="s">
        <x:v>96</x:v>
      </x:c>
      <x:c r="I471" s="2" t="s">
        <x:v>1577</x:v>
      </x:c>
      <x:c r="J471" s="2" t="s">
        <x:v>1578</x:v>
      </x:c>
      <x:c r="K471" s="2" t="n">
        <x:v>16</x:v>
      </x:c>
      <x:c r="L471" s="2" t="s">
        <x:v>1591</x:v>
      </x:c>
      <x:c r="M471" s="2"/>
      <x:c r="N471" s="2"/>
      <x:c r="O471" s="2" t="s">
        <x:v>324</x:v>
      </x:c>
      <x:c r="P471" s="2" t="s">
        <x:v>1592</x:v>
      </x:c>
      <x:c r="Q471" s="2"/>
      <x:c r="R471" s="3">
        <x:v>4</x:v>
      </x:c>
      <x:c r="S471" s="3"/>
      <x:c r="T471" s="2"/>
      <x:c r="U471" s="2"/>
      <x:c r="V471" s="2"/>
      <x:c r="W471" s="2"/>
      <x:c r="X471" s="3"/>
      <x:c r="Y471" s="3"/>
      <x:c r="Z471" s="2"/>
      <x:c r="AA471" s="2"/>
      <x:c r="AB471" s="2"/>
      <x:c r="AC471" s="2" t="s">
        <x:v>326</x:v>
      </x:c>
      <x:c r="AD471" s="2" t="s">
        <x:v>344</x:v>
      </x:c>
      <x:c r="AE471" s="2" t="s">
        <x:v>368</x:v>
      </x:c>
      <x:c r="AF471" s="2" t="s">
        <x:v>319</x:v>
      </x:c>
      <x:c r="AG471" s="2"/>
      <x:c r="AH471" s="2"/>
      <x:c r="AI471" s="4"/>
      <x:c r="AJ471" s="2"/>
      <x:c r="AK471" s="2" t="s">
        <x:v>320</x:v>
      </x:c>
      <x:c r="AL471" s="2" t="s">
        <x:v>3061</x:v>
      </x:c>
      <x:c r="AM471" s="2">
        <x:v>21</x:v>
      </x:c>
      <x:c r="AN471" s="2">
        <x:v>21</x:v>
      </x:c>
    </x:row>
    <x:row r="472" ht="52">
      <x:c r="A472" s="2" t="s">
        <x:v>6</x:v>
      </x:c>
      <x:c r="B472" s="2" t="s">
        <x:v>16</x:v>
      </x:c>
      <x:c r="C472" s="3">
        <x:v>20</x:v>
      </x:c>
      <x:c r="D472" s="2" t="s">
        <x:v>1593</x:v>
      </x:c>
      <x:c r="E472" s="2" t="s">
        <x:v>1594</x:v>
      </x:c>
      <x:c r="F472" s="2" t="s">
        <x:v>1595</x:v>
      </x:c>
      <x:c r="G472" s="2"/>
      <x:c r="H472" s="2" t="s">
        <x:v>618</x:v>
      </x:c>
      <x:c r="I472" s="2" t="s">
        <x:v>1597</x:v>
      </x:c>
      <x:c r="J472" s="2" t="s">
        <x:v>1598</x:v>
      </x:c>
      <x:c r="K472" s="2"/>
      <x:c r="L472" s="2" t="s">
        <x:v>1599</x:v>
      </x:c>
      <x:c r="M472" s="2"/>
      <x:c r="N472" s="2"/>
      <x:c r="O472" s="2" t="s">
        <x:v>1600</x:v>
      </x:c>
      <x:c r="P472" s="2" t="s">
        <x:v>1601</x:v>
      </x:c>
      <x:c r="Q472" s="2"/>
      <x:c r="R472" s="3">
        <x:v>3</x:v>
      </x:c>
      <x:c r="S472" s="3"/>
      <x:c r="T472" s="2"/>
      <x:c r="U472" s="2"/>
      <x:c r="V472" s="2"/>
      <x:c r="W472" s="2"/>
      <x:c r="X472" s="3"/>
      <x:c r="Y472" s="3"/>
      <x:c r="Z472" s="2"/>
      <x:c r="AA472" s="2"/>
      <x:c r="AB472" s="2"/>
      <x:c r="AC472" s="2" t="s">
        <x:v>316</x:v>
      </x:c>
      <x:c r="AD472" s="2" t="s">
        <x:v>317</x:v>
      </x:c>
      <x:c r="AE472" s="2" t="s">
        <x:v>368</x:v>
      </x:c>
      <x:c r="AF472" s="2" t="s">
        <x:v>319</x:v>
      </x:c>
      <x:c r="AG472" s="2"/>
      <x:c r="AH472" s="2"/>
      <x:c r="AI472" s="4"/>
      <x:c r="AJ472" s="2"/>
      <x:c r="AK472" s="2" t="s">
        <x:v>320</x:v>
      </x:c>
      <x:c r="AL472" s="2" t="s">
        <x:v>3061</x:v>
      </x:c>
      <x:c r="AM472" s="2">
        <x:v>22</x:v>
      </x:c>
      <x:c r="AN472" s="2">
        <x:v>22</x:v>
      </x:c>
    </x:row>
    <x:row r="473" ht="52">
      <x:c r="A473" s="2" t="s">
        <x:v>91</x:v>
      </x:c>
      <x:c r="B473" s="2" t="s">
        <x:v>16</x:v>
      </x:c>
      <x:c r="C473" s="3">
        <x:v>21</x:v>
      </x:c>
      <x:c r="D473" s="2" t="s">
        <x:v>1602</x:v>
      </x:c>
      <x:c r="E473" s="2" t="s">
        <x:v>1594</x:v>
      </x:c>
      <x:c r="F473" s="2" t="s">
        <x:v>1603</x:v>
      </x:c>
      <x:c r="G473" s="2" t="s">
        <x:v>2975</x:v>
      </x:c>
      <x:c r="H473" s="2" t="s">
        <x:v>618</x:v>
      </x:c>
      <x:c r="I473" s="2" t="s">
        <x:v>1597</x:v>
      </x:c>
      <x:c r="J473" s="2" t="s">
        <x:v>1598</x:v>
      </x:c>
      <x:c r="K473" s="2" t="n">
        <x:v>20</x:v>
      </x:c>
      <x:c r="L473" s="2" t="s">
        <x:v>1604</x:v>
      </x:c>
      <x:c r="M473" s="2"/>
      <x:c r="N473" s="2"/>
      <x:c r="O473" s="2" t="s">
        <x:v>1605</x:v>
      </x:c>
      <x:c r="P473" s="2" t="s">
        <x:v>1606</x:v>
      </x:c>
      <x:c r="Q473" s="2"/>
      <x:c r="R473" s="3">
        <x:v>3</x:v>
      </x:c>
      <x:c r="S473" s="3"/>
      <x:c r="T473" s="2"/>
      <x:c r="U473" s="2"/>
      <x:c r="V473" s="2"/>
      <x:c r="W473" s="2"/>
      <x:c r="X473" s="3"/>
      <x:c r="Y473" s="3"/>
      <x:c r="Z473" s="2"/>
      <x:c r="AA473" s="2"/>
      <x:c r="AB473" s="2"/>
      <x:c r="AC473" s="2" t="s">
        <x:v>326</x:v>
      </x:c>
      <x:c r="AD473" s="2" t="s">
        <x:v>317</x:v>
      </x:c>
      <x:c r="AE473" s="2" t="s">
        <x:v>368</x:v>
      </x:c>
      <x:c r="AF473" s="2" t="s">
        <x:v>319</x:v>
      </x:c>
      <x:c r="AG473" s="2"/>
      <x:c r="AH473" s="2"/>
      <x:c r="AI473" s="4"/>
      <x:c r="AJ473" s="2"/>
      <x:c r="AK473" s="2" t="s">
        <x:v>320</x:v>
      </x:c>
      <x:c r="AL473" s="2" t="s">
        <x:v>3061</x:v>
      </x:c>
      <x:c r="AM473" s="2">
        <x:v>23</x:v>
      </x:c>
      <x:c r="AN473" s="2">
        <x:v>23</x:v>
      </x:c>
    </x:row>
    <x:row r="474" ht="52">
      <x:c r="A474" s="2" t="s">
        <x:v>6</x:v>
      </x:c>
      <x:c r="B474" s="2" t="s">
        <x:v>16</x:v>
      </x:c>
      <x:c r="C474" s="3">
        <x:v>22</x:v>
      </x:c>
      <x:c r="D474" s="2" t="s">
        <x:v>1607</x:v>
      </x:c>
      <x:c r="E474" s="2" t="s">
        <x:v>1594</x:v>
      </x:c>
      <x:c r="F474" s="2" t="s">
        <x:v>1608</x:v>
      </x:c>
      <x:c r="G474" s="2"/>
      <x:c r="H474" s="2" t="s">
        <x:v>618</x:v>
      </x:c>
      <x:c r="I474" s="2" t="s">
        <x:v>1597</x:v>
      </x:c>
      <x:c r="J474" s="2" t="s">
        <x:v>1598</x:v>
      </x:c>
      <x:c r="K474" s="2" t="n">
        <x:v>20</x:v>
      </x:c>
      <x:c r="L474" s="2" t="s">
        <x:v>1609</x:v>
      </x:c>
      <x:c r="M474" s="2"/>
      <x:c r="N474" s="2"/>
      <x:c r="O474" s="2" t="s">
        <x:v>1605</x:v>
      </x:c>
      <x:c r="P474" s="2" t="s">
        <x:v>1610</x:v>
      </x:c>
      <x:c r="Q474" s="2"/>
      <x:c r="R474" s="3">
        <x:v>3</x:v>
      </x:c>
      <x:c r="S474" s="3"/>
      <x:c r="T474" s="2"/>
      <x:c r="U474" s="2"/>
      <x:c r="V474" s="2"/>
      <x:c r="W474" s="2"/>
      <x:c r="X474" s="3"/>
      <x:c r="Y474" s="3"/>
      <x:c r="Z474" s="2"/>
      <x:c r="AA474" s="2"/>
      <x:c r="AB474" s="2"/>
      <x:c r="AC474" s="2" t="s">
        <x:v>316</x:v>
      </x:c>
      <x:c r="AD474" s="2" t="s">
        <x:v>368</x:v>
      </x:c>
      <x:c r="AE474" s="2" t="s">
        <x:v>317</x:v>
      </x:c>
      <x:c r="AF474" s="2" t="s">
        <x:v>319</x:v>
      </x:c>
      <x:c r="AG474" s="2"/>
      <x:c r="AH474" s="2"/>
      <x:c r="AI474" s="4"/>
      <x:c r="AJ474" s="2"/>
      <x:c r="AK474" s="2" t="s">
        <x:v>320</x:v>
      </x:c>
      <x:c r="AL474" s="2" t="s">
        <x:v>3061</x:v>
      </x:c>
      <x:c r="AM474" s="2">
        <x:v>24</x:v>
      </x:c>
      <x:c r="AN474" s="2">
        <x:v>24</x:v>
      </x:c>
    </x:row>
    <x:row r="475" ht="52">
      <x:c r="A475" s="2" t="s">
        <x:v>6</x:v>
      </x:c>
      <x:c r="B475" s="2" t="s">
        <x:v>16</x:v>
      </x:c>
      <x:c r="C475" s="3">
        <x:v>23</x:v>
      </x:c>
      <x:c r="D475" s="2" t="s">
        <x:v>1611</x:v>
      </x:c>
      <x:c r="E475" s="2" t="s">
        <x:v>1594</x:v>
      </x:c>
      <x:c r="F475" s="2" t="s">
        <x:v>1612</x:v>
      </x:c>
      <x:c r="G475" s="2"/>
      <x:c r="H475" s="2" t="s">
        <x:v>618</x:v>
      </x:c>
      <x:c r="I475" s="2" t="s">
        <x:v>1597</x:v>
      </x:c>
      <x:c r="J475" s="2" t="s">
        <x:v>1598</x:v>
      </x:c>
      <x:c r="K475" s="2" t="n">
        <x:v>20</x:v>
      </x:c>
      <x:c r="L475" s="2" t="s">
        <x:v>1613</x:v>
      </x:c>
      <x:c r="M475" s="2"/>
      <x:c r="N475" s="2"/>
      <x:c r="O475" s="2" t="s">
        <x:v>1605</x:v>
      </x:c>
      <x:c r="P475" s="2" t="s">
        <x:v>1614</x:v>
      </x:c>
      <x:c r="Q475" s="2"/>
      <x:c r="R475" s="3">
        <x:v>3</x:v>
      </x:c>
      <x:c r="S475" s="3"/>
      <x:c r="T475" s="2"/>
      <x:c r="U475" s="2"/>
      <x:c r="V475" s="2"/>
      <x:c r="W475" s="2"/>
      <x:c r="X475" s="3"/>
      <x:c r="Y475" s="3"/>
      <x:c r="Z475" s="2"/>
      <x:c r="AA475" s="2"/>
      <x:c r="AB475" s="2"/>
      <x:c r="AC475" s="2" t="s">
        <x:v>326</x:v>
      </x:c>
      <x:c r="AD475" s="2" t="s">
        <x:v>368</x:v>
      </x:c>
      <x:c r="AE475" s="2" t="s">
        <x:v>317</x:v>
      </x:c>
      <x:c r="AF475" s="2" t="s">
        <x:v>319</x:v>
      </x:c>
      <x:c r="AG475" s="2"/>
      <x:c r="AH475" s="2"/>
      <x:c r="AI475" s="4"/>
      <x:c r="AJ475" s="2"/>
      <x:c r="AK475" s="2" t="s">
        <x:v>320</x:v>
      </x:c>
      <x:c r="AL475" s="2" t="s">
        <x:v>3061</x:v>
      </x:c>
      <x:c r="AM475" s="2">
        <x:v>25</x:v>
      </x:c>
      <x:c r="AN475" s="2">
        <x:v>25</x:v>
      </x:c>
    </x:row>
    <x:row r="476" ht="52">
      <x:c r="A476" s="2" t="s">
        <x:v>6</x:v>
      </x:c>
      <x:c r="B476" s="2" t="s">
        <x:v>16</x:v>
      </x:c>
      <x:c r="C476" s="3">
        <x:v>24</x:v>
      </x:c>
      <x:c r="D476" s="2" t="s">
        <x:v>1593</x:v>
      </x:c>
      <x:c r="E476" s="2" t="s">
        <x:v>1615</x:v>
      </x:c>
      <x:c r="F476" s="2" t="s">
        <x:v>1595</x:v>
      </x:c>
      <x:c r="G476" s="2"/>
      <x:c r="H476" s="2" t="s">
        <x:v>618</x:v>
      </x:c>
      <x:c r="I476" s="2" t="s">
        <x:v>1616</x:v>
      </x:c>
      <x:c r="J476" s="2" t="s">
        <x:v>1598</x:v>
      </x:c>
      <x:c r="K476" s="2"/>
      <x:c r="L476" s="2" t="s">
        <x:v>1617</x:v>
      </x:c>
      <x:c r="M476" s="2"/>
      <x:c r="N476" s="2"/>
      <x:c r="O476" s="2" t="s">
        <x:v>1600</x:v>
      </x:c>
      <x:c r="P476" s="2" t="s">
        <x:v>1618</x:v>
      </x:c>
      <x:c r="Q476" s="2"/>
      <x:c r="R476" s="3">
        <x:v>4</x:v>
      </x:c>
      <x:c r="S476" s="3"/>
      <x:c r="T476" s="2"/>
      <x:c r="U476" s="2"/>
      <x:c r="V476" s="2"/>
      <x:c r="W476" s="2"/>
      <x:c r="X476" s="3"/>
      <x:c r="Y476" s="3"/>
      <x:c r="Z476" s="2"/>
      <x:c r="AA476" s="2"/>
      <x:c r="AB476" s="2"/>
      <x:c r="AC476" s="2" t="s">
        <x:v>316</x:v>
      </x:c>
      <x:c r="AD476" s="2" t="s">
        <x:v>317</x:v>
      </x:c>
      <x:c r="AE476" s="2" t="s">
        <x:v>368</x:v>
      </x:c>
      <x:c r="AF476" s="2" t="s">
        <x:v>319</x:v>
      </x:c>
      <x:c r="AG476" s="2"/>
      <x:c r="AH476" s="2"/>
      <x:c r="AI476" s="4"/>
      <x:c r="AJ476" s="2"/>
      <x:c r="AK476" s="2" t="s">
        <x:v>320</x:v>
      </x:c>
      <x:c r="AL476" s="2" t="s">
        <x:v>3061</x:v>
      </x:c>
      <x:c r="AM476" s="2">
        <x:v>26</x:v>
      </x:c>
      <x:c r="AN476" s="2">
        <x:v>26</x:v>
      </x:c>
    </x:row>
    <x:row r="477" ht="52">
      <x:c r="A477" s="2" t="s">
        <x:v>6</x:v>
      </x:c>
      <x:c r="B477" s="2" t="s">
        <x:v>16</x:v>
      </x:c>
      <x:c r="C477" s="3">
        <x:v>25</x:v>
      </x:c>
      <x:c r="D477" s="2" t="s">
        <x:v>1602</x:v>
      </x:c>
      <x:c r="E477" s="2" t="s">
        <x:v>1615</x:v>
      </x:c>
      <x:c r="F477" s="2" t="s">
        <x:v>1603</x:v>
      </x:c>
      <x:c r="G477" s="2" t="s">
        <x:v>3142</x:v>
      </x:c>
      <x:c r="H477" s="2" t="s">
        <x:v>618</x:v>
      </x:c>
      <x:c r="I477" s="2" t="s">
        <x:v>1616</x:v>
      </x:c>
      <x:c r="J477" s="2" t="s">
        <x:v>1598</x:v>
      </x:c>
      <x:c r="K477" s="2" t="n">
        <x:v>24</x:v>
      </x:c>
      <x:c r="L477" s="2" t="s">
        <x:v>1619</x:v>
      </x:c>
      <x:c r="M477" s="2"/>
      <x:c r="N477" s="2"/>
      <x:c r="O477" s="2" t="s">
        <x:v>1605</x:v>
      </x:c>
      <x:c r="P477" s="2" t="s">
        <x:v>1620</x:v>
      </x:c>
      <x:c r="Q477" s="2"/>
      <x:c r="R477" s="3">
        <x:v>4</x:v>
      </x:c>
      <x:c r="S477" s="3"/>
      <x:c r="T477" s="2"/>
      <x:c r="U477" s="2"/>
      <x:c r="V477" s="2"/>
      <x:c r="W477" s="2"/>
      <x:c r="X477" s="3"/>
      <x:c r="Y477" s="3"/>
      <x:c r="Z477" s="2"/>
      <x:c r="AA477" s="2"/>
      <x:c r="AB477" s="2"/>
      <x:c r="AC477" s="2" t="s">
        <x:v>326</x:v>
      </x:c>
      <x:c r="AD477" s="2" t="s">
        <x:v>317</x:v>
      </x:c>
      <x:c r="AE477" s="2" t="s">
        <x:v>368</x:v>
      </x:c>
      <x:c r="AF477" s="2" t="s">
        <x:v>319</x:v>
      </x:c>
      <x:c r="AG477" s="2"/>
      <x:c r="AH477" s="2"/>
      <x:c r="AI477" s="4"/>
      <x:c r="AJ477" s="2"/>
      <x:c r="AK477" s="2" t="s">
        <x:v>320</x:v>
      </x:c>
      <x:c r="AL477" s="2" t="s">
        <x:v>3061</x:v>
      </x:c>
      <x:c r="AM477" s="2">
        <x:v>27</x:v>
      </x:c>
      <x:c r="AN477" s="2">
        <x:v>27</x:v>
      </x:c>
    </x:row>
    <x:row r="478" ht="52">
      <x:c r="A478" s="2" t="s">
        <x:v>6</x:v>
      </x:c>
      <x:c r="B478" s="2" t="s">
        <x:v>16</x:v>
      </x:c>
      <x:c r="C478" s="3">
        <x:v>26</x:v>
      </x:c>
      <x:c r="D478" s="2" t="s">
        <x:v>1607</x:v>
      </x:c>
      <x:c r="E478" s="2" t="s">
        <x:v>1615</x:v>
      </x:c>
      <x:c r="F478" s="2" t="s">
        <x:v>1608</x:v>
      </x:c>
      <x:c r="G478" s="2"/>
      <x:c r="H478" s="2" t="s">
        <x:v>618</x:v>
      </x:c>
      <x:c r="I478" s="2" t="s">
        <x:v>1616</x:v>
      </x:c>
      <x:c r="J478" s="2" t="s">
        <x:v>1598</x:v>
      </x:c>
      <x:c r="K478" s="2" t="n">
        <x:v>24</x:v>
      </x:c>
      <x:c r="L478" s="2" t="s">
        <x:v>1621</x:v>
      </x:c>
      <x:c r="M478" s="2"/>
      <x:c r="N478" s="2"/>
      <x:c r="O478" s="2" t="s">
        <x:v>1605</x:v>
      </x:c>
      <x:c r="P478" s="2" t="s">
        <x:v>1622</x:v>
      </x:c>
      <x:c r="Q478" s="2"/>
      <x:c r="R478" s="3">
        <x:v>4</x:v>
      </x:c>
      <x:c r="S478" s="3"/>
      <x:c r="T478" s="2"/>
      <x:c r="U478" s="2"/>
      <x:c r="V478" s="2"/>
      <x:c r="W478" s="2"/>
      <x:c r="X478" s="3"/>
      <x:c r="Y478" s="3"/>
      <x:c r="Z478" s="2"/>
      <x:c r="AA478" s="2"/>
      <x:c r="AB478" s="2"/>
      <x:c r="AC478" s="2" t="s">
        <x:v>316</x:v>
      </x:c>
      <x:c r="AD478" s="2" t="s">
        <x:v>368</x:v>
      </x:c>
      <x:c r="AE478" s="2" t="s">
        <x:v>317</x:v>
      </x:c>
      <x:c r="AF478" s="2" t="s">
        <x:v>319</x:v>
      </x:c>
      <x:c r="AG478" s="2"/>
      <x:c r="AH478" s="2"/>
      <x:c r="AI478" s="4"/>
      <x:c r="AJ478" s="2"/>
      <x:c r="AK478" s="2" t="s">
        <x:v>320</x:v>
      </x:c>
      <x:c r="AL478" s="2" t="s">
        <x:v>3061</x:v>
      </x:c>
      <x:c r="AM478" s="2">
        <x:v>28</x:v>
      </x:c>
      <x:c r="AN478" s="2">
        <x:v>28</x:v>
      </x:c>
    </x:row>
    <x:row r="479" ht="52">
      <x:c r="A479" s="2" t="s">
        <x:v>6</x:v>
      </x:c>
      <x:c r="B479" s="2" t="s">
        <x:v>16</x:v>
      </x:c>
      <x:c r="C479" s="3">
        <x:v>27</x:v>
      </x:c>
      <x:c r="D479" s="2" t="s">
        <x:v>1611</x:v>
      </x:c>
      <x:c r="E479" s="2" t="s">
        <x:v>1615</x:v>
      </x:c>
      <x:c r="F479" s="2" t="s">
        <x:v>1612</x:v>
      </x:c>
      <x:c r="G479" s="2"/>
      <x:c r="H479" s="2" t="s">
        <x:v>618</x:v>
      </x:c>
      <x:c r="I479" s="2" t="s">
        <x:v>1616</x:v>
      </x:c>
      <x:c r="J479" s="2" t="s">
        <x:v>1598</x:v>
      </x:c>
      <x:c r="K479" s="2" t="n">
        <x:v>24</x:v>
      </x:c>
      <x:c r="L479" s="2" t="s">
        <x:v>1624</x:v>
      </x:c>
      <x:c r="M479" s="2"/>
      <x:c r="N479" s="2"/>
      <x:c r="O479" s="2" t="s">
        <x:v>1605</x:v>
      </x:c>
      <x:c r="P479" s="2" t="s">
        <x:v>1625</x:v>
      </x:c>
      <x:c r="Q479" s="2"/>
      <x:c r="R479" s="3">
        <x:v>4</x:v>
      </x:c>
      <x:c r="S479" s="3"/>
      <x:c r="T479" s="2"/>
      <x:c r="U479" s="2"/>
      <x:c r="V479" s="2"/>
      <x:c r="W479" s="2"/>
      <x:c r="X479" s="3"/>
      <x:c r="Y479" s="3"/>
      <x:c r="Z479" s="2"/>
      <x:c r="AA479" s="2"/>
      <x:c r="AB479" s="2"/>
      <x:c r="AC479" s="2" t="s">
        <x:v>326</x:v>
      </x:c>
      <x:c r="AD479" s="2" t="s">
        <x:v>368</x:v>
      </x:c>
      <x:c r="AE479" s="2" t="s">
        <x:v>317</x:v>
      </x:c>
      <x:c r="AF479" s="2" t="s">
        <x:v>319</x:v>
      </x:c>
      <x:c r="AG479" s="2"/>
      <x:c r="AH479" s="2"/>
      <x:c r="AI479" s="4"/>
      <x:c r="AJ479" s="2"/>
      <x:c r="AK479" s="2" t="s">
        <x:v>320</x:v>
      </x:c>
      <x:c r="AL479" s="2" t="s">
        <x:v>3061</x:v>
      </x:c>
      <x:c r="AM479" s="2">
        <x:v>29</x:v>
      </x:c>
      <x:c r="AN479" s="2">
        <x:v>29</x:v>
      </x:c>
    </x:row>
    <x:row r="480" ht="52">
      <x:c r="A480" s="2" t="s">
        <x:v>6</x:v>
      </x:c>
      <x:c r="B480" s="2" t="s">
        <x:v>16</x:v>
      </x:c>
      <x:c r="C480" s="3">
        <x:v>28</x:v>
      </x:c>
      <x:c r="D480" s="2" t="s">
        <x:v>1593</x:v>
      </x:c>
      <x:c r="E480" s="2" t="s">
        <x:v>1594</x:v>
      </x:c>
      <x:c r="F480" s="2" t="s">
        <x:v>1595</x:v>
      </x:c>
      <x:c r="G480" s="2" t="s">
        <x:v>2958</x:v>
      </x:c>
      <x:c r="H480" s="2" t="s">
        <x:v>618</x:v>
      </x:c>
      <x:c r="I480" s="2" t="s">
        <x:v>1626</x:v>
      </x:c>
      <x:c r="J480" s="2" t="s">
        <x:v>1598</x:v>
      </x:c>
      <x:c r="K480" s="2"/>
      <x:c r="L480" s="2" t="s">
        <x:v>1627</x:v>
      </x:c>
      <x:c r="M480" s="2"/>
      <x:c r="N480" s="2"/>
      <x:c r="O480" s="2" t="s">
        <x:v>1600</x:v>
      </x:c>
      <x:c r="P480" s="2" t="s">
        <x:v>1628</x:v>
      </x:c>
      <x:c r="Q480" s="2"/>
      <x:c r="R480" s="3">
        <x:v>3</x:v>
      </x:c>
      <x:c r="S480" s="3"/>
      <x:c r="T480" s="2"/>
      <x:c r="U480" s="2"/>
      <x:c r="V480" s="2"/>
      <x:c r="W480" s="2"/>
      <x:c r="X480" s="3"/>
      <x:c r="Y480" s="3"/>
      <x:c r="Z480" s="2"/>
      <x:c r="AA480" s="2"/>
      <x:c r="AB480" s="2"/>
      <x:c r="AC480" s="2" t="s">
        <x:v>316</x:v>
      </x:c>
      <x:c r="AD480" s="2" t="s">
        <x:v>317</x:v>
      </x:c>
      <x:c r="AE480" s="2" t="s">
        <x:v>368</x:v>
      </x:c>
      <x:c r="AF480" s="2" t="s">
        <x:v>319</x:v>
      </x:c>
      <x:c r="AG480" s="2"/>
      <x:c r="AH480" s="2"/>
      <x:c r="AI480" s="4"/>
      <x:c r="AJ480" s="2"/>
      <x:c r="AK480" s="2" t="s">
        <x:v>320</x:v>
      </x:c>
      <x:c r="AL480" s="2" t="s">
        <x:v>3061</x:v>
      </x:c>
      <x:c r="AM480" s="2">
        <x:v>30</x:v>
      </x:c>
      <x:c r="AN480" s="2">
        <x:v>30</x:v>
      </x:c>
    </x:row>
    <x:row r="481" ht="52">
      <x:c r="A481" s="2" t="s">
        <x:v>91</x:v>
      </x:c>
      <x:c r="B481" s="2" t="s">
        <x:v>16</x:v>
      </x:c>
      <x:c r="C481" s="3">
        <x:v>29</x:v>
      </x:c>
      <x:c r="D481" s="2" t="s">
        <x:v>1602</x:v>
      </x:c>
      <x:c r="E481" s="2" t="s">
        <x:v>1594</x:v>
      </x:c>
      <x:c r="F481" s="2" t="s">
        <x:v>1603</x:v>
      </x:c>
      <x:c r="G481" s="2" t="s">
        <x:v>2958</x:v>
      </x:c>
      <x:c r="H481" s="2" t="s">
        <x:v>618</x:v>
      </x:c>
      <x:c r="I481" s="2" t="s">
        <x:v>1626</x:v>
      </x:c>
      <x:c r="J481" s="2" t="s">
        <x:v>1598</x:v>
      </x:c>
      <x:c r="K481" s="2" t="n">
        <x:v>28</x:v>
      </x:c>
      <x:c r="L481" s="2" t="s">
        <x:v>1630</x:v>
      </x:c>
      <x:c r="M481" s="2"/>
      <x:c r="N481" s="2"/>
      <x:c r="O481" s="2" t="s">
        <x:v>1605</x:v>
      </x:c>
      <x:c r="P481" s="2" t="s">
        <x:v>1631</x:v>
      </x:c>
      <x:c r="Q481" s="2"/>
      <x:c r="R481" s="3">
        <x:v>3</x:v>
      </x:c>
      <x:c r="S481" s="3"/>
      <x:c r="T481" s="2"/>
      <x:c r="U481" s="2"/>
      <x:c r="V481" s="2"/>
      <x:c r="W481" s="2"/>
      <x:c r="X481" s="3"/>
      <x:c r="Y481" s="3"/>
      <x:c r="Z481" s="2"/>
      <x:c r="AA481" s="2"/>
      <x:c r="AB481" s="2"/>
      <x:c r="AC481" s="2" t="s">
        <x:v>326</x:v>
      </x:c>
      <x:c r="AD481" s="2" t="s">
        <x:v>317</x:v>
      </x:c>
      <x:c r="AE481" s="2" t="s">
        <x:v>368</x:v>
      </x:c>
      <x:c r="AF481" s="2" t="s">
        <x:v>319</x:v>
      </x:c>
      <x:c r="AG481" s="2"/>
      <x:c r="AH481" s="2"/>
      <x:c r="AI481" s="4"/>
      <x:c r="AJ481" s="2"/>
      <x:c r="AK481" s="2" t="s">
        <x:v>320</x:v>
      </x:c>
      <x:c r="AL481" s="2" t="s">
        <x:v>3061</x:v>
      </x:c>
      <x:c r="AM481" s="2">
        <x:v>31</x:v>
      </x:c>
      <x:c r="AN481" s="2">
        <x:v>31</x:v>
      </x:c>
    </x:row>
    <x:row r="482" ht="52">
      <x:c r="A482" s="2" t="s">
        <x:v>6</x:v>
      </x:c>
      <x:c r="B482" s="2" t="s">
        <x:v>16</x:v>
      </x:c>
      <x:c r="C482" s="3">
        <x:v>30</x:v>
      </x:c>
      <x:c r="D482" s="2" t="s">
        <x:v>1607</x:v>
      </x:c>
      <x:c r="E482" s="2" t="s">
        <x:v>1594</x:v>
      </x:c>
      <x:c r="F482" s="2" t="s">
        <x:v>1608</x:v>
      </x:c>
      <x:c r="G482" s="2"/>
      <x:c r="H482" s="2" t="s">
        <x:v>618</x:v>
      </x:c>
      <x:c r="I482" s="2" t="s">
        <x:v>1626</x:v>
      </x:c>
      <x:c r="J482" s="2" t="s">
        <x:v>1598</x:v>
      </x:c>
      <x:c r="K482" s="2" t="n">
        <x:v>28</x:v>
      </x:c>
      <x:c r="L482" s="2" t="s">
        <x:v>1632</x:v>
      </x:c>
      <x:c r="M482" s="2"/>
      <x:c r="N482" s="2"/>
      <x:c r="O482" s="2" t="s">
        <x:v>1605</x:v>
      </x:c>
      <x:c r="P482" s="2" t="s">
        <x:v>1633</x:v>
      </x:c>
      <x:c r="Q482" s="2"/>
      <x:c r="R482" s="3">
        <x:v>3</x:v>
      </x:c>
      <x:c r="S482" s="3"/>
      <x:c r="T482" s="2"/>
      <x:c r="U482" s="2"/>
      <x:c r="V482" s="2"/>
      <x:c r="W482" s="2"/>
      <x:c r="X482" s="3"/>
      <x:c r="Y482" s="3"/>
      <x:c r="Z482" s="2"/>
      <x:c r="AA482" s="2"/>
      <x:c r="AB482" s="2"/>
      <x:c r="AC482" s="2" t="s">
        <x:v>316</x:v>
      </x:c>
      <x:c r="AD482" s="2" t="s">
        <x:v>368</x:v>
      </x:c>
      <x:c r="AE482" s="2" t="s">
        <x:v>317</x:v>
      </x:c>
      <x:c r="AF482" s="2" t="s">
        <x:v>319</x:v>
      </x:c>
      <x:c r="AG482" s="2"/>
      <x:c r="AH482" s="2"/>
      <x:c r="AI482" s="4"/>
      <x:c r="AJ482" s="2"/>
      <x:c r="AK482" s="2" t="s">
        <x:v>320</x:v>
      </x:c>
      <x:c r="AL482" s="2" t="s">
        <x:v>3061</x:v>
      </x:c>
      <x:c r="AM482" s="2">
        <x:v>32</x:v>
      </x:c>
      <x:c r="AN482" s="2">
        <x:v>32</x:v>
      </x:c>
    </x:row>
    <x:row r="483" ht="52">
      <x:c r="A483" s="2" t="s">
        <x:v>91</x:v>
      </x:c>
      <x:c r="B483" s="2" t="s">
        <x:v>16</x:v>
      </x:c>
      <x:c r="C483" s="3">
        <x:v>31</x:v>
      </x:c>
      <x:c r="D483" s="2" t="s">
        <x:v>1611</x:v>
      </x:c>
      <x:c r="E483" s="2" t="s">
        <x:v>1594</x:v>
      </x:c>
      <x:c r="F483" s="2" t="s">
        <x:v>1612</x:v>
      </x:c>
      <x:c r="G483" s="2" t="s">
        <x:v>3143</x:v>
      </x:c>
      <x:c r="H483" s="2" t="s">
        <x:v>618</x:v>
      </x:c>
      <x:c r="I483" s="2" t="s">
        <x:v>1626</x:v>
      </x:c>
      <x:c r="J483" s="2" t="s">
        <x:v>1598</x:v>
      </x:c>
      <x:c r="K483" s="2" t="n">
        <x:v>28</x:v>
      </x:c>
      <x:c r="L483" s="2" t="s">
        <x:v>1634</x:v>
      </x:c>
      <x:c r="M483" s="2"/>
      <x:c r="N483" s="2"/>
      <x:c r="O483" s="2" t="s">
        <x:v>1605</x:v>
      </x:c>
      <x:c r="P483" s="2" t="s">
        <x:v>1635</x:v>
      </x:c>
      <x:c r="Q483" s="2"/>
      <x:c r="R483" s="3">
        <x:v>3</x:v>
      </x:c>
      <x:c r="S483" s="3"/>
      <x:c r="T483" s="2"/>
      <x:c r="U483" s="2"/>
      <x:c r="V483" s="2"/>
      <x:c r="W483" s="2"/>
      <x:c r="X483" s="3"/>
      <x:c r="Y483" s="3"/>
      <x:c r="Z483" s="2"/>
      <x:c r="AA483" s="2"/>
      <x:c r="AB483" s="2"/>
      <x:c r="AC483" s="2" t="s">
        <x:v>326</x:v>
      </x:c>
      <x:c r="AD483" s="2" t="s">
        <x:v>368</x:v>
      </x:c>
      <x:c r="AE483" s="2" t="s">
        <x:v>317</x:v>
      </x:c>
      <x:c r="AF483" s="2" t="s">
        <x:v>319</x:v>
      </x:c>
      <x:c r="AG483" s="2"/>
      <x:c r="AH483" s="2"/>
      <x:c r="AI483" s="4"/>
      <x:c r="AJ483" s="2"/>
      <x:c r="AK483" s="2" t="s">
        <x:v>320</x:v>
      </x:c>
      <x:c r="AL483" s="2" t="s">
        <x:v>3061</x:v>
      </x:c>
      <x:c r="AM483" s="2">
        <x:v>33</x:v>
      </x:c>
      <x:c r="AN483" s="2">
        <x:v>33</x:v>
      </x:c>
    </x:row>
    <x:row r="484" ht="52">
      <x:c r="A484" s="2" t="s">
        <x:v>91</x:v>
      </x:c>
      <x:c r="B484" s="2" t="s">
        <x:v>16</x:v>
      </x:c>
      <x:c r="C484" s="3">
        <x:v>32</x:v>
      </x:c>
      <x:c r="D484" s="2" t="s">
        <x:v>1636</x:v>
      </x:c>
      <x:c r="E484" s="2" t="s">
        <x:v>1615</x:v>
      </x:c>
      <x:c r="F484" s="2" t="s">
        <x:v>1637</x:v>
      </x:c>
      <x:c r="G484" s="2" t="s">
        <x:v>3144</x:v>
      </x:c>
      <x:c r="H484" s="2" t="s">
        <x:v>618</x:v>
      </x:c>
      <x:c r="I484" s="2" t="s">
        <x:v>1639</x:v>
      </x:c>
      <x:c r="J484" s="2" t="s">
        <x:v>1598</x:v>
      </x:c>
      <x:c r="K484" s="2"/>
      <x:c r="L484" s="2" t="s">
        <x:v>1640</x:v>
      </x:c>
      <x:c r="M484" s="2"/>
      <x:c r="N484" s="2"/>
      <x:c r="O484" s="2" t="s">
        <x:v>1600</x:v>
      </x:c>
      <x:c r="P484" s="2" t="s">
        <x:v>1641</x:v>
      </x:c>
      <x:c r="Q484" s="2"/>
      <x:c r="R484" s="3">
        <x:v>4</x:v>
      </x:c>
      <x:c r="S484" s="3"/>
      <x:c r="T484" s="2"/>
      <x:c r="U484" s="2"/>
      <x:c r="V484" s="2"/>
      <x:c r="W484" s="2"/>
      <x:c r="X484" s="3"/>
      <x:c r="Y484" s="3"/>
      <x:c r="Z484" s="2"/>
      <x:c r="AA484" s="2"/>
      <x:c r="AB484" s="2"/>
      <x:c r="AC484" s="2" t="s">
        <x:v>367</x:v>
      </x:c>
      <x:c r="AD484" s="2" t="s">
        <x:v>317</x:v>
      </x:c>
      <x:c r="AE484" s="2" t="s">
        <x:v>368</x:v>
      </x:c>
      <x:c r="AF484" s="2" t="s">
        <x:v>319</x:v>
      </x:c>
      <x:c r="AG484" s="2"/>
      <x:c r="AH484" s="2"/>
      <x:c r="AI484" s="4"/>
      <x:c r="AJ484" s="2"/>
      <x:c r="AK484" s="2" t="s">
        <x:v>320</x:v>
      </x:c>
      <x:c r="AL484" s="2" t="s">
        <x:v>3061</x:v>
      </x:c>
      <x:c r="AM484" s="2">
        <x:v>34</x:v>
      </x:c>
      <x:c r="AN484" s="2">
        <x:v>34</x:v>
      </x:c>
    </x:row>
    <x:row r="485" ht="52">
      <x:c r="A485" s="2" t="s">
        <x:v>91</x:v>
      </x:c>
      <x:c r="B485" s="2" t="s">
        <x:v>16</x:v>
      </x:c>
      <x:c r="C485" s="3">
        <x:v>33</x:v>
      </x:c>
      <x:c r="D485" s="2" t="s">
        <x:v>1642</x:v>
      </x:c>
      <x:c r="E485" s="2" t="s">
        <x:v>1615</x:v>
      </x:c>
      <x:c r="F485" s="2" t="s">
        <x:v>1643</x:v>
      </x:c>
      <x:c r="G485" s="2" t="s">
        <x:v>3145</x:v>
      </x:c>
      <x:c r="H485" s="2" t="s">
        <x:v>618</x:v>
      </x:c>
      <x:c r="I485" s="2" t="s">
        <x:v>1639</x:v>
      </x:c>
      <x:c r="J485" s="2" t="s">
        <x:v>1598</x:v>
      </x:c>
      <x:c r="K485" s="2" t="n">
        <x:v>32</x:v>
      </x:c>
      <x:c r="L485" s="2" t="s">
        <x:v>1644</x:v>
      </x:c>
      <x:c r="M485" s="2"/>
      <x:c r="N485" s="2"/>
      <x:c r="O485" s="2" t="s">
        <x:v>1605</x:v>
      </x:c>
      <x:c r="P485" s="2" t="s">
        <x:v>1645</x:v>
      </x:c>
      <x:c r="Q485" s="2"/>
      <x:c r="R485" s="3">
        <x:v>4</x:v>
      </x:c>
      <x:c r="S485" s="3"/>
      <x:c r="T485" s="2"/>
      <x:c r="U485" s="2"/>
      <x:c r="V485" s="2"/>
      <x:c r="W485" s="2"/>
      <x:c r="X485" s="3"/>
      <x:c r="Y485" s="3"/>
      <x:c r="Z485" s="2"/>
      <x:c r="AA485" s="2"/>
      <x:c r="AB485" s="2"/>
      <x:c r="AC485" s="2" t="s">
        <x:v>374</x:v>
      </x:c>
      <x:c r="AD485" s="2" t="s">
        <x:v>317</x:v>
      </x:c>
      <x:c r="AE485" s="2" t="s">
        <x:v>368</x:v>
      </x:c>
      <x:c r="AF485" s="2" t="s">
        <x:v>319</x:v>
      </x:c>
      <x:c r="AG485" s="2"/>
      <x:c r="AH485" s="2"/>
      <x:c r="AI485" s="4"/>
      <x:c r="AJ485" s="2"/>
      <x:c r="AK485" s="2" t="s">
        <x:v>320</x:v>
      </x:c>
      <x:c r="AL485" s="2" t="s">
        <x:v>3061</x:v>
      </x:c>
      <x:c r="AM485" s="2">
        <x:v>35</x:v>
      </x:c>
      <x:c r="AN485" s="2">
        <x:v>35</x:v>
      </x:c>
    </x:row>
    <x:row r="486" ht="52">
      <x:c r="A486" s="2" t="s">
        <x:v>91</x:v>
      </x:c>
      <x:c r="B486" s="2" t="s">
        <x:v>16</x:v>
      </x:c>
      <x:c r="C486" s="3">
        <x:v>34</x:v>
      </x:c>
      <x:c r="D486" s="2" t="s">
        <x:v>1646</x:v>
      </x:c>
      <x:c r="E486" s="2" t="s">
        <x:v>1615</x:v>
      </x:c>
      <x:c r="F486" s="2" t="s">
        <x:v>1647</x:v>
      </x:c>
      <x:c r="G486" s="2" t="s">
        <x:v>3146</x:v>
      </x:c>
      <x:c r="H486" s="2" t="s">
        <x:v>618</x:v>
      </x:c>
      <x:c r="I486" s="2" t="s">
        <x:v>1639</x:v>
      </x:c>
      <x:c r="J486" s="2" t="s">
        <x:v>1598</x:v>
      </x:c>
      <x:c r="K486" s="2" t="n">
        <x:v>32</x:v>
      </x:c>
      <x:c r="L486" s="2" t="s">
        <x:v>1649</x:v>
      </x:c>
      <x:c r="M486" s="2"/>
      <x:c r="N486" s="2"/>
      <x:c r="O486" s="2" t="s">
        <x:v>1605</x:v>
      </x:c>
      <x:c r="P486" s="2" t="s">
        <x:v>1650</x:v>
      </x:c>
      <x:c r="Q486" s="2"/>
      <x:c r="R486" s="3">
        <x:v>4</x:v>
      </x:c>
      <x:c r="S486" s="3"/>
      <x:c r="T486" s="2"/>
      <x:c r="U486" s="2"/>
      <x:c r="V486" s="2"/>
      <x:c r="W486" s="2"/>
      <x:c r="X486" s="3"/>
      <x:c r="Y486" s="3"/>
      <x:c r="Z486" s="2"/>
      <x:c r="AA486" s="2"/>
      <x:c r="AB486" s="2"/>
      <x:c r="AC486" s="2" t="s">
        <x:v>367</x:v>
      </x:c>
      <x:c r="AD486" s="2" t="s">
        <x:v>368</x:v>
      </x:c>
      <x:c r="AE486" s="2" t="s">
        <x:v>317</x:v>
      </x:c>
      <x:c r="AF486" s="2" t="s">
        <x:v>319</x:v>
      </x:c>
      <x:c r="AG486" s="2"/>
      <x:c r="AH486" s="2"/>
      <x:c r="AI486" s="4"/>
      <x:c r="AJ486" s="2"/>
      <x:c r="AK486" s="2" t="s">
        <x:v>320</x:v>
      </x:c>
      <x:c r="AL486" s="2" t="s">
        <x:v>3061</x:v>
      </x:c>
      <x:c r="AM486" s="2">
        <x:v>36</x:v>
      </x:c>
      <x:c r="AN486" s="2">
        <x:v>36</x:v>
      </x:c>
    </x:row>
    <x:row r="487" ht="52">
      <x:c r="A487" s="2" t="s">
        <x:v>6</x:v>
      </x:c>
      <x:c r="B487" s="2" t="s">
        <x:v>16</x:v>
      </x:c>
      <x:c r="C487" s="3">
        <x:v>35</x:v>
      </x:c>
      <x:c r="D487" s="2" t="s">
        <x:v>1651</x:v>
      </x:c>
      <x:c r="E487" s="2" t="s">
        <x:v>1615</x:v>
      </x:c>
      <x:c r="F487" s="2" t="s">
        <x:v>1652</x:v>
      </x:c>
      <x:c r="G487" s="2"/>
      <x:c r="H487" s="2" t="s">
        <x:v>618</x:v>
      </x:c>
      <x:c r="I487" s="2" t="s">
        <x:v>1639</x:v>
      </x:c>
      <x:c r="J487" s="2" t="s">
        <x:v>1598</x:v>
      </x:c>
      <x:c r="K487" s="2" t="n">
        <x:v>32</x:v>
      </x:c>
      <x:c r="L487" s="2" t="s">
        <x:v>1653</x:v>
      </x:c>
      <x:c r="M487" s="2"/>
      <x:c r="N487" s="2"/>
      <x:c r="O487" s="2" t="s">
        <x:v>1605</x:v>
      </x:c>
      <x:c r="P487" s="2" t="s">
        <x:v>1654</x:v>
      </x:c>
      <x:c r="Q487" s="2"/>
      <x:c r="R487" s="3">
        <x:v>4</x:v>
      </x:c>
      <x:c r="S487" s="3"/>
      <x:c r="T487" s="2"/>
      <x:c r="U487" s="2"/>
      <x:c r="V487" s="2"/>
      <x:c r="W487" s="2"/>
      <x:c r="X487" s="3"/>
      <x:c r="Y487" s="3"/>
      <x:c r="Z487" s="2"/>
      <x:c r="AA487" s="2"/>
      <x:c r="AB487" s="2"/>
      <x:c r="AC487" s="2" t="s">
        <x:v>374</x:v>
      </x:c>
      <x:c r="AD487" s="2" t="s">
        <x:v>368</x:v>
      </x:c>
      <x:c r="AE487" s="2" t="s">
        <x:v>317</x:v>
      </x:c>
      <x:c r="AF487" s="2" t="s">
        <x:v>319</x:v>
      </x:c>
      <x:c r="AG487" s="2"/>
      <x:c r="AH487" s="2"/>
      <x:c r="AI487" s="4"/>
      <x:c r="AJ487" s="2"/>
      <x:c r="AK487" s="2" t="s">
        <x:v>320</x:v>
      </x:c>
      <x:c r="AL487" s="2" t="s">
        <x:v>3061</x:v>
      </x:c>
      <x:c r="AM487" s="2">
        <x:v>37</x:v>
      </x:c>
      <x:c r="AN487" s="2">
        <x:v>37</x:v>
      </x:c>
    </x:row>
    <x:row r="488" ht="52">
      <x:c r="A488" s="2" t="s">
        <x:v>6</x:v>
      </x:c>
      <x:c r="B488" s="2" t="s">
        <x:v>16</x:v>
      </x:c>
      <x:c r="C488" s="3">
        <x:v>36</x:v>
      </x:c>
      <x:c r="D488" s="2" t="s">
        <x:v>1636</x:v>
      </x:c>
      <x:c r="E488" s="2" t="s">
        <x:v>1594</x:v>
      </x:c>
      <x:c r="F488" s="2" t="s">
        <x:v>1637</x:v>
      </x:c>
      <x:c r="G488" s="2"/>
      <x:c r="H488" s="2" t="s">
        <x:v>618</x:v>
      </x:c>
      <x:c r="I488" s="2" t="s">
        <x:v>1655</x:v>
      </x:c>
      <x:c r="J488" s="2" t="s">
        <x:v>1598</x:v>
      </x:c>
      <x:c r="K488" s="2"/>
      <x:c r="L488" s="2" t="s">
        <x:v>1656</x:v>
      </x:c>
      <x:c r="M488" s="2"/>
      <x:c r="N488" s="2"/>
      <x:c r="O488" s="2" t="s">
        <x:v>1600</x:v>
      </x:c>
      <x:c r="P488" s="2" t="s">
        <x:v>1657</x:v>
      </x:c>
      <x:c r="Q488" s="2"/>
      <x:c r="R488" s="3">
        <x:v>3</x:v>
      </x:c>
      <x:c r="S488" s="3"/>
      <x:c r="T488" s="2"/>
      <x:c r="U488" s="2"/>
      <x:c r="V488" s="2"/>
      <x:c r="W488" s="2"/>
      <x:c r="X488" s="3"/>
      <x:c r="Y488" s="3"/>
      <x:c r="Z488" s="2"/>
      <x:c r="AA488" s="2"/>
      <x:c r="AB488" s="2"/>
      <x:c r="AC488" s="2" t="s">
        <x:v>367</x:v>
      </x:c>
      <x:c r="AD488" s="2" t="s">
        <x:v>317</x:v>
      </x:c>
      <x:c r="AE488" s="2" t="s">
        <x:v>368</x:v>
      </x:c>
      <x:c r="AF488" s="2" t="s">
        <x:v>319</x:v>
      </x:c>
      <x:c r="AG488" s="2"/>
      <x:c r="AH488" s="2"/>
      <x:c r="AI488" s="4"/>
      <x:c r="AJ488" s="2"/>
      <x:c r="AK488" s="2" t="s">
        <x:v>320</x:v>
      </x:c>
      <x:c r="AL488" s="2" t="s">
        <x:v>3061</x:v>
      </x:c>
      <x:c r="AM488" s="2">
        <x:v>38</x:v>
      </x:c>
      <x:c r="AN488" s="2">
        <x:v>38</x:v>
      </x:c>
    </x:row>
    <x:row r="489" ht="52">
      <x:c r="A489" s="2" t="s">
        <x:v>91</x:v>
      </x:c>
      <x:c r="B489" s="2" t="s">
        <x:v>16</x:v>
      </x:c>
      <x:c r="C489" s="3">
        <x:v>37</x:v>
      </x:c>
      <x:c r="D489" s="2" t="s">
        <x:v>1642</x:v>
      </x:c>
      <x:c r="E489" s="2" t="s">
        <x:v>1594</x:v>
      </x:c>
      <x:c r="F489" s="2" t="s">
        <x:v>1643</x:v>
      </x:c>
      <x:c r="G489" s="2" t="s">
        <x:v>3147</x:v>
      </x:c>
      <x:c r="H489" s="2" t="s">
        <x:v>618</x:v>
      </x:c>
      <x:c r="I489" s="2" t="s">
        <x:v>1655</x:v>
      </x:c>
      <x:c r="J489" s="2" t="s">
        <x:v>1598</x:v>
      </x:c>
      <x:c r="K489" s="2" t="n">
        <x:v>36</x:v>
      </x:c>
      <x:c r="L489" s="2" t="s">
        <x:v>1658</x:v>
      </x:c>
      <x:c r="M489" s="2"/>
      <x:c r="N489" s="2"/>
      <x:c r="O489" s="2" t="s">
        <x:v>1605</x:v>
      </x:c>
      <x:c r="P489" s="2" t="s">
        <x:v>1659</x:v>
      </x:c>
      <x:c r="Q489" s="2"/>
      <x:c r="R489" s="3">
        <x:v>3</x:v>
      </x:c>
      <x:c r="S489" s="3"/>
      <x:c r="T489" s="2"/>
      <x:c r="U489" s="2"/>
      <x:c r="V489" s="2"/>
      <x:c r="W489" s="2"/>
      <x:c r="X489" s="3"/>
      <x:c r="Y489" s="3"/>
      <x:c r="Z489" s="2"/>
      <x:c r="AA489" s="2"/>
      <x:c r="AB489" s="2"/>
      <x:c r="AC489" s="2" t="s">
        <x:v>374</x:v>
      </x:c>
      <x:c r="AD489" s="2" t="s">
        <x:v>317</x:v>
      </x:c>
      <x:c r="AE489" s="2" t="s">
        <x:v>368</x:v>
      </x:c>
      <x:c r="AF489" s="2" t="s">
        <x:v>319</x:v>
      </x:c>
      <x:c r="AG489" s="2"/>
      <x:c r="AH489" s="2"/>
      <x:c r="AI489" s="4"/>
      <x:c r="AJ489" s="2"/>
      <x:c r="AK489" s="2" t="s">
        <x:v>320</x:v>
      </x:c>
      <x:c r="AL489" s="2" t="s">
        <x:v>3061</x:v>
      </x:c>
      <x:c r="AM489" s="2">
        <x:v>39</x:v>
      </x:c>
      <x:c r="AN489" s="2">
        <x:v>39</x:v>
      </x:c>
    </x:row>
    <x:row r="490" ht="52">
      <x:c r="A490" s="2" t="s">
        <x:v>6</x:v>
      </x:c>
      <x:c r="B490" s="2" t="s">
        <x:v>16</x:v>
      </x:c>
      <x:c r="C490" s="3">
        <x:v>38</x:v>
      </x:c>
      <x:c r="D490" s="2" t="s">
        <x:v>1646</x:v>
      </x:c>
      <x:c r="E490" s="2" t="s">
        <x:v>1594</x:v>
      </x:c>
      <x:c r="F490" s="2" t="s">
        <x:v>1647</x:v>
      </x:c>
      <x:c r="G490" s="2" t="s">
        <x:v>3148</x:v>
      </x:c>
      <x:c r="H490" s="2" t="s">
        <x:v>618</x:v>
      </x:c>
      <x:c r="I490" s="2" t="s">
        <x:v>1655</x:v>
      </x:c>
      <x:c r="J490" s="2" t="s">
        <x:v>1598</x:v>
      </x:c>
      <x:c r="K490" s="2" t="n">
        <x:v>36</x:v>
      </x:c>
      <x:c r="L490" s="2" t="s">
        <x:v>1660</x:v>
      </x:c>
      <x:c r="M490" s="2"/>
      <x:c r="N490" s="2"/>
      <x:c r="O490" s="2" t="s">
        <x:v>1605</x:v>
      </x:c>
      <x:c r="P490" s="2" t="s">
        <x:v>1661</x:v>
      </x:c>
      <x:c r="Q490" s="2"/>
      <x:c r="R490" s="3">
        <x:v>3</x:v>
      </x:c>
      <x:c r="S490" s="3"/>
      <x:c r="T490" s="2"/>
      <x:c r="U490" s="2"/>
      <x:c r="V490" s="2"/>
      <x:c r="W490" s="2"/>
      <x:c r="X490" s="3"/>
      <x:c r="Y490" s="3"/>
      <x:c r="Z490" s="2"/>
      <x:c r="AA490" s="2"/>
      <x:c r="AB490" s="2"/>
      <x:c r="AC490" s="2" t="s">
        <x:v>367</x:v>
      </x:c>
      <x:c r="AD490" s="2" t="s">
        <x:v>368</x:v>
      </x:c>
      <x:c r="AE490" s="2" t="s">
        <x:v>317</x:v>
      </x:c>
      <x:c r="AF490" s="2" t="s">
        <x:v>319</x:v>
      </x:c>
      <x:c r="AG490" s="2"/>
      <x:c r="AH490" s="2"/>
      <x:c r="AI490" s="4"/>
      <x:c r="AJ490" s="2"/>
      <x:c r="AK490" s="2" t="s">
        <x:v>320</x:v>
      </x:c>
      <x:c r="AL490" s="2" t="s">
        <x:v>3061</x:v>
      </x:c>
      <x:c r="AM490" s="2">
        <x:v>40</x:v>
      </x:c>
      <x:c r="AN490" s="2">
        <x:v>40</x:v>
      </x:c>
    </x:row>
    <x:row r="491" ht="52">
      <x:c r="A491" s="2" t="s">
        <x:v>6</x:v>
      </x:c>
      <x:c r="B491" s="2" t="s">
        <x:v>16</x:v>
      </x:c>
      <x:c r="C491" s="3">
        <x:v>39</x:v>
      </x:c>
      <x:c r="D491" s="2" t="s">
        <x:v>1651</x:v>
      </x:c>
      <x:c r="E491" s="2" t="s">
        <x:v>1594</x:v>
      </x:c>
      <x:c r="F491" s="2" t="s">
        <x:v>1652</x:v>
      </x:c>
      <x:c r="G491" s="2"/>
      <x:c r="H491" s="2" t="s">
        <x:v>618</x:v>
      </x:c>
      <x:c r="I491" s="2" t="s">
        <x:v>1655</x:v>
      </x:c>
      <x:c r="J491" s="2" t="s">
        <x:v>1598</x:v>
      </x:c>
      <x:c r="K491" s="2" t="n">
        <x:v>36</x:v>
      </x:c>
      <x:c r="L491" s="2" t="s">
        <x:v>1662</x:v>
      </x:c>
      <x:c r="M491" s="2"/>
      <x:c r="N491" s="2"/>
      <x:c r="O491" s="2" t="s">
        <x:v>1605</x:v>
      </x:c>
      <x:c r="P491" s="2" t="s">
        <x:v>1663</x:v>
      </x:c>
      <x:c r="Q491" s="2"/>
      <x:c r="R491" s="3">
        <x:v>3</x:v>
      </x:c>
      <x:c r="S491" s="3"/>
      <x:c r="T491" s="2"/>
      <x:c r="U491" s="2"/>
      <x:c r="V491" s="2"/>
      <x:c r="W491" s="2"/>
      <x:c r="X491" s="3"/>
      <x:c r="Y491" s="3"/>
      <x:c r="Z491" s="2"/>
      <x:c r="AA491" s="2"/>
      <x:c r="AB491" s="2"/>
      <x:c r="AC491" s="2" t="s">
        <x:v>374</x:v>
      </x:c>
      <x:c r="AD491" s="2" t="s">
        <x:v>368</x:v>
      </x:c>
      <x:c r="AE491" s="2" t="s">
        <x:v>317</x:v>
      </x:c>
      <x:c r="AF491" s="2" t="s">
        <x:v>319</x:v>
      </x:c>
      <x:c r="AG491" s="2"/>
      <x:c r="AH491" s="2"/>
      <x:c r="AI491" s="4"/>
      <x:c r="AJ491" s="2"/>
      <x:c r="AK491" s="2" t="s">
        <x:v>320</x:v>
      </x:c>
      <x:c r="AL491" s="2" t="s">
        <x:v>3061</x:v>
      </x:c>
      <x:c r="AM491" s="2">
        <x:v>41</x:v>
      </x:c>
      <x:c r="AN491" s="2">
        <x:v>41</x:v>
      </x:c>
    </x:row>
    <x:row r="492" ht="52">
      <x:c r="A492" s="2" t="s">
        <x:v>91</x:v>
      </x:c>
      <x:c r="B492" s="2" t="s">
        <x:v>16</x:v>
      </x:c>
      <x:c r="C492" s="3">
        <x:v>40</x:v>
      </x:c>
      <x:c r="D492" s="2" t="s">
        <x:v>1636</x:v>
      </x:c>
      <x:c r="E492" s="2" t="s">
        <x:v>1615</x:v>
      </x:c>
      <x:c r="F492" s="2" t="s">
        <x:v>1637</x:v>
      </x:c>
      <x:c r="G492" s="2" t="s">
        <x:v>1686</x:v>
      </x:c>
      <x:c r="H492" s="2" t="s">
        <x:v>618</x:v>
      </x:c>
      <x:c r="I492" s="2" t="s">
        <x:v>1664</x:v>
      </x:c>
      <x:c r="J492" s="2" t="s">
        <x:v>1598</x:v>
      </x:c>
      <x:c r="K492" s="2"/>
      <x:c r="L492" s="2" t="s">
        <x:v>1640</x:v>
      </x:c>
      <x:c r="M492" s="2"/>
      <x:c r="N492" s="2"/>
      <x:c r="O492" s="2" t="s">
        <x:v>1600</x:v>
      </x:c>
      <x:c r="P492" s="2" t="s">
        <x:v>1641</x:v>
      </x:c>
      <x:c r="Q492" s="2"/>
      <x:c r="R492" s="3">
        <x:v>4</x:v>
      </x:c>
      <x:c r="S492" s="3"/>
      <x:c r="T492" s="2"/>
      <x:c r="U492" s="2"/>
      <x:c r="V492" s="2"/>
      <x:c r="W492" s="2"/>
      <x:c r="X492" s="3"/>
      <x:c r="Y492" s="3"/>
      <x:c r="Z492" s="2"/>
      <x:c r="AA492" s="2"/>
      <x:c r="AB492" s="2"/>
      <x:c r="AC492" s="2" t="s">
        <x:v>367</x:v>
      </x:c>
      <x:c r="AD492" s="2" t="s">
        <x:v>317</x:v>
      </x:c>
      <x:c r="AE492" s="2" t="s">
        <x:v>368</x:v>
      </x:c>
      <x:c r="AF492" s="2" t="s">
        <x:v>319</x:v>
      </x:c>
      <x:c r="AG492" s="2"/>
      <x:c r="AH492" s="2"/>
      <x:c r="AI492" s="4"/>
      <x:c r="AJ492" s="2"/>
      <x:c r="AK492" s="2" t="s">
        <x:v>320</x:v>
      </x:c>
      <x:c r="AL492" s="2" t="s">
        <x:v>3061</x:v>
      </x:c>
      <x:c r="AM492" s="2">
        <x:v>42</x:v>
      </x:c>
      <x:c r="AN492" s="2">
        <x:v>42</x:v>
      </x:c>
    </x:row>
    <x:row r="493" ht="52">
      <x:c r="A493" s="2" t="s">
        <x:v>6</x:v>
      </x:c>
      <x:c r="B493" s="2" t="s">
        <x:v>16</x:v>
      </x:c>
      <x:c r="C493" s="3">
        <x:v>41</x:v>
      </x:c>
      <x:c r="D493" s="2" t="s">
        <x:v>1642</x:v>
      </x:c>
      <x:c r="E493" s="2" t="s">
        <x:v>1615</x:v>
      </x:c>
      <x:c r="F493" s="2" t="s">
        <x:v>1643</x:v>
      </x:c>
      <x:c r="G493" s="2"/>
      <x:c r="H493" s="2" t="s">
        <x:v>618</x:v>
      </x:c>
      <x:c r="I493" s="2" t="s">
        <x:v>1664</x:v>
      </x:c>
      <x:c r="J493" s="2" t="s">
        <x:v>1598</x:v>
      </x:c>
      <x:c r="K493" s="2" t="n">
        <x:v>40</x:v>
      </x:c>
      <x:c r="L493" s="2" t="s">
        <x:v>1665</x:v>
      </x:c>
      <x:c r="M493" s="2"/>
      <x:c r="N493" s="2"/>
      <x:c r="O493" s="2" t="s">
        <x:v>1605</x:v>
      </x:c>
      <x:c r="P493" s="2" t="s">
        <x:v>1666</x:v>
      </x:c>
      <x:c r="Q493" s="2"/>
      <x:c r="R493" s="3">
        <x:v>4</x:v>
      </x:c>
      <x:c r="S493" s="3"/>
      <x:c r="T493" s="2"/>
      <x:c r="U493" s="2"/>
      <x:c r="V493" s="2"/>
      <x:c r="W493" s="2"/>
      <x:c r="X493" s="3"/>
      <x:c r="Y493" s="3"/>
      <x:c r="Z493" s="2"/>
      <x:c r="AA493" s="2"/>
      <x:c r="AB493" s="2"/>
      <x:c r="AC493" s="2" t="s">
        <x:v>374</x:v>
      </x:c>
      <x:c r="AD493" s="2" t="s">
        <x:v>317</x:v>
      </x:c>
      <x:c r="AE493" s="2" t="s">
        <x:v>368</x:v>
      </x:c>
      <x:c r="AF493" s="2" t="s">
        <x:v>319</x:v>
      </x:c>
      <x:c r="AG493" s="2"/>
      <x:c r="AH493" s="2"/>
      <x:c r="AI493" s="4"/>
      <x:c r="AJ493" s="2"/>
      <x:c r="AK493" s="2" t="s">
        <x:v>320</x:v>
      </x:c>
      <x:c r="AL493" s="2" t="s">
        <x:v>3061</x:v>
      </x:c>
      <x:c r="AM493" s="2">
        <x:v>43</x:v>
      </x:c>
      <x:c r="AN493" s="2">
        <x:v>43</x:v>
      </x:c>
    </x:row>
    <x:row r="494" ht="52">
      <x:c r="A494" s="2" t="s">
        <x:v>91</x:v>
      </x:c>
      <x:c r="B494" s="2" t="s">
        <x:v>16</x:v>
      </x:c>
      <x:c r="C494" s="3">
        <x:v>42</x:v>
      </x:c>
      <x:c r="D494" s="2" t="s">
        <x:v>1646</x:v>
      </x:c>
      <x:c r="E494" s="2" t="s">
        <x:v>1615</x:v>
      </x:c>
      <x:c r="F494" s="2" t="s">
        <x:v>1647</x:v>
      </x:c>
      <x:c r="G494" s="2" t="s">
        <x:v>1735</x:v>
      </x:c>
      <x:c r="H494" s="2" t="s">
        <x:v>618</x:v>
      </x:c>
      <x:c r="I494" s="2" t="s">
        <x:v>1664</x:v>
      </x:c>
      <x:c r="J494" s="2" t="s">
        <x:v>1598</x:v>
      </x:c>
      <x:c r="K494" s="2" t="n">
        <x:v>40</x:v>
      </x:c>
      <x:c r="L494" s="2" t="s">
        <x:v>1649</x:v>
      </x:c>
      <x:c r="M494" s="2"/>
      <x:c r="N494" s="2"/>
      <x:c r="O494" s="2" t="s">
        <x:v>1605</x:v>
      </x:c>
      <x:c r="P494" s="2" t="s">
        <x:v>1650</x:v>
      </x:c>
      <x:c r="Q494" s="2"/>
      <x:c r="R494" s="3">
        <x:v>4</x:v>
      </x:c>
      <x:c r="S494" s="3"/>
      <x:c r="T494" s="2"/>
      <x:c r="U494" s="2"/>
      <x:c r="V494" s="2"/>
      <x:c r="W494" s="2"/>
      <x:c r="X494" s="3"/>
      <x:c r="Y494" s="3"/>
      <x:c r="Z494" s="2"/>
      <x:c r="AA494" s="2"/>
      <x:c r="AB494" s="2"/>
      <x:c r="AC494" s="2" t="s">
        <x:v>367</x:v>
      </x:c>
      <x:c r="AD494" s="2" t="s">
        <x:v>368</x:v>
      </x:c>
      <x:c r="AE494" s="2" t="s">
        <x:v>317</x:v>
      </x:c>
      <x:c r="AF494" s="2" t="s">
        <x:v>319</x:v>
      </x:c>
      <x:c r="AG494" s="2"/>
      <x:c r="AH494" s="2"/>
      <x:c r="AI494" s="4"/>
      <x:c r="AJ494" s="2"/>
      <x:c r="AK494" s="2" t="s">
        <x:v>320</x:v>
      </x:c>
      <x:c r="AL494" s="2" t="s">
        <x:v>3061</x:v>
      </x:c>
      <x:c r="AM494" s="2">
        <x:v>44</x:v>
      </x:c>
      <x:c r="AN494" s="2">
        <x:v>44</x:v>
      </x:c>
    </x:row>
    <x:row r="495" ht="52">
      <x:c r="A495" s="2" t="s">
        <x:v>6</x:v>
      </x:c>
      <x:c r="B495" s="2" t="s">
        <x:v>16</x:v>
      </x:c>
      <x:c r="C495" s="3">
        <x:v>43</x:v>
      </x:c>
      <x:c r="D495" s="2" t="s">
        <x:v>1651</x:v>
      </x:c>
      <x:c r="E495" s="2" t="s">
        <x:v>1615</x:v>
      </x:c>
      <x:c r="F495" s="2" t="s">
        <x:v>1652</x:v>
      </x:c>
      <x:c r="G495" s="2" t="s">
        <x:v>3149</x:v>
      </x:c>
      <x:c r="H495" s="2" t="s">
        <x:v>618</x:v>
      </x:c>
      <x:c r="I495" s="2" t="s">
        <x:v>1664</x:v>
      </x:c>
      <x:c r="J495" s="2" t="s">
        <x:v>1598</x:v>
      </x:c>
      <x:c r="K495" s="2" t="n">
        <x:v>40</x:v>
      </x:c>
      <x:c r="L495" s="2" t="s">
        <x:v>1653</x:v>
      </x:c>
      <x:c r="M495" s="2"/>
      <x:c r="N495" s="2"/>
      <x:c r="O495" s="2" t="s">
        <x:v>1605</x:v>
      </x:c>
      <x:c r="P495" s="2" t="s">
        <x:v>1654</x:v>
      </x:c>
      <x:c r="Q495" s="2"/>
      <x:c r="R495" s="3">
        <x:v>4</x:v>
      </x:c>
      <x:c r="S495" s="3"/>
      <x:c r="T495" s="2"/>
      <x:c r="U495" s="2"/>
      <x:c r="V495" s="2"/>
      <x:c r="W495" s="2"/>
      <x:c r="X495" s="3"/>
      <x:c r="Y495" s="3"/>
      <x:c r="Z495" s="2"/>
      <x:c r="AA495" s="2"/>
      <x:c r="AB495" s="2"/>
      <x:c r="AC495" s="2" t="s">
        <x:v>374</x:v>
      </x:c>
      <x:c r="AD495" s="2" t="s">
        <x:v>368</x:v>
      </x:c>
      <x:c r="AE495" s="2" t="s">
        <x:v>317</x:v>
      </x:c>
      <x:c r="AF495" s="2" t="s">
        <x:v>319</x:v>
      </x:c>
      <x:c r="AG495" s="2"/>
      <x:c r="AH495" s="2"/>
      <x:c r="AI495" s="4"/>
      <x:c r="AJ495" s="2"/>
      <x:c r="AK495" s="2" t="s">
        <x:v>320</x:v>
      </x:c>
      <x:c r="AL495" s="2" t="s">
        <x:v>3061</x:v>
      </x:c>
      <x:c r="AM495" s="2">
        <x:v>45</x:v>
      </x:c>
      <x:c r="AN495" s="2">
        <x:v>45</x:v>
      </x:c>
    </x:row>
    <x:row r="496" ht="52">
      <x:c r="A496" s="2" t="s">
        <x:v>6</x:v>
      </x:c>
      <x:c r="B496" s="2" t="s">
        <x:v>16</x:v>
      </x:c>
      <x:c r="C496" s="3">
        <x:v>44</x:v>
      </x:c>
      <x:c r="D496" s="2" t="s">
        <x:v>1593</x:v>
      </x:c>
      <x:c r="E496" s="2" t="s">
        <x:v>1594</x:v>
      </x:c>
      <x:c r="F496" s="2" t="s">
        <x:v>1595</x:v>
      </x:c>
      <x:c r="G496" s="2" t="s">
        <x:v>3150</x:v>
      </x:c>
      <x:c r="H496" s="2" t="s">
        <x:v>618</x:v>
      </x:c>
      <x:c r="I496" s="2" t="s">
        <x:v>1667</x:v>
      </x:c>
      <x:c r="J496" s="2" t="s">
        <x:v>1668</x:v>
      </x:c>
      <x:c r="K496" s="2"/>
      <x:c r="L496" s="2" t="s">
        <x:v>1599</x:v>
      </x:c>
      <x:c r="M496" s="2"/>
      <x:c r="N496" s="2"/>
      <x:c r="O496" s="2" t="s">
        <x:v>1600</x:v>
      </x:c>
      <x:c r="P496" s="2" t="s">
        <x:v>1669</x:v>
      </x:c>
      <x:c r="Q496" s="2"/>
      <x:c r="R496" s="3">
        <x:v>3</x:v>
      </x:c>
      <x:c r="S496" s="3"/>
      <x:c r="T496" s="2"/>
      <x:c r="U496" s="2"/>
      <x:c r="V496" s="2"/>
      <x:c r="W496" s="2"/>
      <x:c r="X496" s="3"/>
      <x:c r="Y496" s="3"/>
      <x:c r="Z496" s="2"/>
      <x:c r="AA496" s="2"/>
      <x:c r="AB496" s="2"/>
      <x:c r="AC496" s="2" t="s">
        <x:v>316</x:v>
      </x:c>
      <x:c r="AD496" s="2" t="s">
        <x:v>317</x:v>
      </x:c>
      <x:c r="AE496" s="2" t="s">
        <x:v>368</x:v>
      </x:c>
      <x:c r="AF496" s="2" t="s">
        <x:v>319</x:v>
      </x:c>
      <x:c r="AG496" s="2"/>
      <x:c r="AH496" s="2"/>
      <x:c r="AI496" s="4"/>
      <x:c r="AJ496" s="2"/>
      <x:c r="AK496" s="2" t="s">
        <x:v>320</x:v>
      </x:c>
      <x:c r="AL496" s="2" t="s">
        <x:v>3061</x:v>
      </x:c>
      <x:c r="AM496" s="2">
        <x:v>46</x:v>
      </x:c>
      <x:c r="AN496" s="2">
        <x:v>46</x:v>
      </x:c>
    </x:row>
    <x:row r="497" ht="39">
      <x:c r="A497" s="2" t="s">
        <x:v>6</x:v>
      </x:c>
      <x:c r="B497" s="2" t="s">
        <x:v>16</x:v>
      </x:c>
      <x:c r="C497" s="3">
        <x:v>45</x:v>
      </x:c>
      <x:c r="D497" s="2" t="s">
        <x:v>1670</x:v>
      </x:c>
      <x:c r="E497" s="2" t="s">
        <x:v>1594</x:v>
      </x:c>
      <x:c r="F497" s="2" t="s">
        <x:v>1671</x:v>
      </x:c>
      <x:c r="G497" s="2" t="s">
        <x:v>1735</x:v>
      </x:c>
      <x:c r="H497" s="2" t="s">
        <x:v>627</x:v>
      </x:c>
      <x:c r="I497" s="2" t="s">
        <x:v>1667</x:v>
      </x:c>
      <x:c r="J497" s="2" t="s">
        <x:v>1673</x:v>
      </x:c>
      <x:c r="K497" s="2" t="n">
        <x:v>44</x:v>
      </x:c>
      <x:c r="L497" s="2" t="s">
        <x:v>1599</x:v>
      </x:c>
      <x:c r="M497" s="2"/>
      <x:c r="N497" s="2"/>
      <x:c r="O497" s="2" t="s">
        <x:v>1674</x:v>
      </x:c>
      <x:c r="P497" s="2" t="s">
        <x:v>1675</x:v>
      </x:c>
      <x:c r="Q497" s="2"/>
      <x:c r="R497" s="3">
        <x:v>3</x:v>
      </x:c>
      <x:c r="S497" s="3"/>
      <x:c r="T497" s="2"/>
      <x:c r="U497" s="2"/>
      <x:c r="V497" s="2"/>
      <x:c r="W497" s="2"/>
      <x:c r="X497" s="3"/>
      <x:c r="Y497" s="3"/>
      <x:c r="Z497" s="2"/>
      <x:c r="AA497" s="2"/>
      <x:c r="AB497" s="2"/>
      <x:c r="AC497" s="2" t="s">
        <x:v>316</x:v>
      </x:c>
      <x:c r="AD497" s="2" t="s">
        <x:v>317</x:v>
      </x:c>
      <x:c r="AE497" s="2" t="s">
        <x:v>368</x:v>
      </x:c>
      <x:c r="AF497" s="2" t="s">
        <x:v>319</x:v>
      </x:c>
      <x:c r="AG497" s="2"/>
      <x:c r="AH497" s="2"/>
      <x:c r="AI497" s="4"/>
      <x:c r="AJ497" s="2"/>
      <x:c r="AK497" s="2" t="s">
        <x:v>320</x:v>
      </x:c>
      <x:c r="AL497" s="2" t="s">
        <x:v>3061</x:v>
      </x:c>
      <x:c r="AM497" s="2">
        <x:v>47</x:v>
      </x:c>
      <x:c r="AN497" s="2">
        <x:v>47</x:v>
      </x:c>
    </x:row>
    <x:row r="498" ht="26">
      <x:c r="A498" s="2" t="s">
        <x:v>6</x:v>
      </x:c>
      <x:c r="B498" s="2" t="s">
        <x:v>16</x:v>
      </x:c>
      <x:c r="C498" s="3">
        <x:v>46</x:v>
      </x:c>
      <x:c r="D498" s="2" t="s">
        <x:v>1676</x:v>
      </x:c>
      <x:c r="E498" s="2" t="s">
        <x:v>1594</x:v>
      </x:c>
      <x:c r="F498" s="2" t="s">
        <x:v>1595</x:v>
      </x:c>
      <x:c r="G498" s="2"/>
      <x:c r="H498" s="2" t="s">
        <x:v>634</x:v>
      </x:c>
      <x:c r="I498" s="2" t="s">
        <x:v>1667</x:v>
      </x:c>
      <x:c r="J498" s="2" t="s">
        <x:v>1677</x:v>
      </x:c>
      <x:c r="K498" s="2" t="n">
        <x:v>44</x:v>
      </x:c>
      <x:c r="L498" s="2" t="s">
        <x:v>1599</x:v>
      </x:c>
      <x:c r="M498" s="2"/>
      <x:c r="N498" s="2"/>
      <x:c r="O498" s="2" t="s">
        <x:v>1678</x:v>
      </x:c>
      <x:c r="P498" s="2" t="s">
        <x:v>1679</x:v>
      </x:c>
      <x:c r="Q498" s="2"/>
      <x:c r="R498" s="3">
        <x:v>3</x:v>
      </x:c>
      <x:c r="S498" s="3"/>
      <x:c r="T498" s="2"/>
      <x:c r="U498" s="2"/>
      <x:c r="V498" s="2"/>
      <x:c r="W498" s="2"/>
      <x:c r="X498" s="3"/>
      <x:c r="Y498" s="3"/>
      <x:c r="Z498" s="2"/>
      <x:c r="AA498" s="2"/>
      <x:c r="AB498" s="2"/>
      <x:c r="AC498" s="2" t="s">
        <x:v>316</x:v>
      </x:c>
      <x:c r="AD498" s="2" t="s">
        <x:v>317</x:v>
      </x:c>
      <x:c r="AE498" s="2" t="s">
        <x:v>368</x:v>
      </x:c>
      <x:c r="AF498" s="2" t="s">
        <x:v>319</x:v>
      </x:c>
      <x:c r="AG498" s="2"/>
      <x:c r="AH498" s="2"/>
      <x:c r="AI498" s="4"/>
      <x:c r="AJ498" s="2"/>
      <x:c r="AK498" s="2" t="s">
        <x:v>320</x:v>
      </x:c>
      <x:c r="AL498" s="2" t="s">
        <x:v>3061</x:v>
      </x:c>
      <x:c r="AM498" s="2">
        <x:v>48</x:v>
      </x:c>
      <x:c r="AN498" s="2">
        <x:v>48</x:v>
      </x:c>
    </x:row>
    <x:row r="499" ht="39">
      <x:c r="A499" s="2" t="s">
        <x:v>6</x:v>
      </x:c>
      <x:c r="B499" s="2" t="s">
        <x:v>16</x:v>
      </x:c>
      <x:c r="C499" s="3">
        <x:v>47</x:v>
      </x:c>
      <x:c r="D499" s="2" t="s">
        <x:v>1680</x:v>
      </x:c>
      <x:c r="E499" s="2" t="s">
        <x:v>1594</x:v>
      </x:c>
      <x:c r="F499" s="2" t="s">
        <x:v>1671</x:v>
      </x:c>
      <x:c r="G499" s="2" t="s">
        <x:v>3151</x:v>
      </x:c>
      <x:c r="H499" s="2" t="s">
        <x:v>634</x:v>
      </x:c>
      <x:c r="I499" s="2" t="s">
        <x:v>1667</x:v>
      </x:c>
      <x:c r="J499" s="2" t="s">
        <x:v>1363</x:v>
      </x:c>
      <x:c r="K499" s="2" t="n">
        <x:v>44</x:v>
      </x:c>
      <x:c r="L499" s="2" t="s">
        <x:v>1599</x:v>
      </x:c>
      <x:c r="M499" s="2"/>
      <x:c r="N499" s="2"/>
      <x:c r="O499" s="2" t="s">
        <x:v>1681</x:v>
      </x:c>
      <x:c r="P499" s="2" t="s">
        <x:v>1682</x:v>
      </x:c>
      <x:c r="Q499" s="2"/>
      <x:c r="R499" s="3">
        <x:v>3</x:v>
      </x:c>
      <x:c r="S499" s="3"/>
      <x:c r="T499" s="2"/>
      <x:c r="U499" s="2"/>
      <x:c r="V499" s="2"/>
      <x:c r="W499" s="2"/>
      <x:c r="X499" s="3"/>
      <x:c r="Y499" s="3"/>
      <x:c r="Z499" s="2"/>
      <x:c r="AA499" s="2"/>
      <x:c r="AB499" s="2"/>
      <x:c r="AC499" s="2" t="s">
        <x:v>316</x:v>
      </x:c>
      <x:c r="AD499" s="2" t="s">
        <x:v>317</x:v>
      </x:c>
      <x:c r="AE499" s="2" t="s">
        <x:v>368</x:v>
      </x:c>
      <x:c r="AF499" s="2" t="s">
        <x:v>319</x:v>
      </x:c>
      <x:c r="AG499" s="2"/>
      <x:c r="AH499" s="2"/>
      <x:c r="AI499" s="4"/>
      <x:c r="AJ499" s="2"/>
      <x:c r="AK499" s="2" t="s">
        <x:v>320</x:v>
      </x:c>
      <x:c r="AL499" s="2" t="s">
        <x:v>3061</x:v>
      </x:c>
      <x:c r="AM499" s="2">
        <x:v>49</x:v>
      </x:c>
      <x:c r="AN499" s="2">
        <x:v>49</x:v>
      </x:c>
    </x:row>
    <x:row r="500" ht="52">
      <x:c r="A500" s="2" t="s">
        <x:v>6</x:v>
      </x:c>
      <x:c r="B500" s="2" t="s">
        <x:v>16</x:v>
      </x:c>
      <x:c r="C500" s="3">
        <x:v>48</x:v>
      </x:c>
      <x:c r="D500" s="2" t="s">
        <x:v>1593</x:v>
      </x:c>
      <x:c r="E500" s="2" t="s">
        <x:v>1615</x:v>
      </x:c>
      <x:c r="F500" s="2" t="s">
        <x:v>1595</x:v>
      </x:c>
      <x:c r="G500" s="2" t="s">
        <x:v>3152</x:v>
      </x:c>
      <x:c r="H500" s="2" t="s">
        <x:v>618</x:v>
      </x:c>
      <x:c r="I500" s="2" t="s">
        <x:v>1683</x:v>
      </x:c>
      <x:c r="J500" s="2" t="s">
        <x:v>1668</x:v>
      </x:c>
      <x:c r="K500" s="2"/>
      <x:c r="L500" s="2" t="s">
        <x:v>1617</x:v>
      </x:c>
      <x:c r="M500" s="2"/>
      <x:c r="N500" s="2"/>
      <x:c r="O500" s="2" t="s">
        <x:v>1600</x:v>
      </x:c>
      <x:c r="P500" s="2" t="s">
        <x:v>1684</x:v>
      </x:c>
      <x:c r="Q500" s="2"/>
      <x:c r="R500" s="3">
        <x:v>4</x:v>
      </x:c>
      <x:c r="S500" s="3"/>
      <x:c r="T500" s="2"/>
      <x:c r="U500" s="2"/>
      <x:c r="V500" s="2"/>
      <x:c r="W500" s="2"/>
      <x:c r="X500" s="3"/>
      <x:c r="Y500" s="3"/>
      <x:c r="Z500" s="2"/>
      <x:c r="AA500" s="2"/>
      <x:c r="AB500" s="2"/>
      <x:c r="AC500" s="2" t="s">
        <x:v>316</x:v>
      </x:c>
      <x:c r="AD500" s="2" t="s">
        <x:v>317</x:v>
      </x:c>
      <x:c r="AE500" s="2" t="s">
        <x:v>368</x:v>
      </x:c>
      <x:c r="AF500" s="2" t="s">
        <x:v>319</x:v>
      </x:c>
      <x:c r="AG500" s="2"/>
      <x:c r="AH500" s="2"/>
      <x:c r="AI500" s="4"/>
      <x:c r="AJ500" s="2"/>
      <x:c r="AK500" s="2" t="s">
        <x:v>320</x:v>
      </x:c>
      <x:c r="AL500" s="2" t="s">
        <x:v>3061</x:v>
      </x:c>
      <x:c r="AM500" s="2">
        <x:v>50</x:v>
      </x:c>
      <x:c r="AN500" s="2">
        <x:v>50</x:v>
      </x:c>
    </x:row>
    <x:row r="501" ht="39">
      <x:c r="A501" s="2" t="s">
        <x:v>6</x:v>
      </x:c>
      <x:c r="B501" s="2" t="s">
        <x:v>16</x:v>
      </x:c>
      <x:c r="C501" s="3">
        <x:v>49</x:v>
      </x:c>
      <x:c r="D501" s="2" t="s">
        <x:v>1685</x:v>
      </x:c>
      <x:c r="E501" s="2" t="s">
        <x:v>1615</x:v>
      </x:c>
      <x:c r="F501" s="2" t="s">
        <x:v>1671</x:v>
      </x:c>
      <x:c r="G501" s="2" t="s">
        <x:v>2958</x:v>
      </x:c>
      <x:c r="H501" s="2" t="s">
        <x:v>627</x:v>
      </x:c>
      <x:c r="I501" s="2" t="s">
        <x:v>1683</x:v>
      </x:c>
      <x:c r="J501" s="2" t="s">
        <x:v>1673</x:v>
      </x:c>
      <x:c r="K501" s="2" t="n">
        <x:v>48</x:v>
      </x:c>
      <x:c r="L501" s="2" t="s">
        <x:v>1617</x:v>
      </x:c>
      <x:c r="M501" s="2"/>
      <x:c r="N501" s="2"/>
      <x:c r="O501" s="2" t="s">
        <x:v>1674</x:v>
      </x:c>
      <x:c r="P501" s="2" t="s">
        <x:v>1687</x:v>
      </x:c>
      <x:c r="Q501" s="2"/>
      <x:c r="R501" s="3">
        <x:v>4</x:v>
      </x:c>
      <x:c r="S501" s="3"/>
      <x:c r="T501" s="2"/>
      <x:c r="U501" s="2"/>
      <x:c r="V501" s="2"/>
      <x:c r="W501" s="2"/>
      <x:c r="X501" s="3"/>
      <x:c r="Y501" s="3"/>
      <x:c r="Z501" s="2"/>
      <x:c r="AA501" s="2"/>
      <x:c r="AB501" s="2"/>
      <x:c r="AC501" s="2" t="s">
        <x:v>316</x:v>
      </x:c>
      <x:c r="AD501" s="2" t="s">
        <x:v>317</x:v>
      </x:c>
      <x:c r="AE501" s="2" t="s">
        <x:v>368</x:v>
      </x:c>
      <x:c r="AF501" s="2" t="s">
        <x:v>319</x:v>
      </x:c>
      <x:c r="AG501" s="2"/>
      <x:c r="AH501" s="2"/>
      <x:c r="AI501" s="4"/>
      <x:c r="AJ501" s="2"/>
      <x:c r="AK501" s="2" t="s">
        <x:v>320</x:v>
      </x:c>
      <x:c r="AL501" s="2" t="s">
        <x:v>3061</x:v>
      </x:c>
      <x:c r="AM501" s="2">
        <x:v>51</x:v>
      </x:c>
      <x:c r="AN501" s="2">
        <x:v>51</x:v>
      </x:c>
    </x:row>
    <x:row r="502" ht="26">
      <x:c r="A502" s="2" t="s">
        <x:v>91</x:v>
      </x:c>
      <x:c r="B502" s="2" t="s">
        <x:v>16</x:v>
      </x:c>
      <x:c r="C502" s="3">
        <x:v>50</x:v>
      </x:c>
      <x:c r="D502" s="2" t="s">
        <x:v>1676</x:v>
      </x:c>
      <x:c r="E502" s="2" t="s">
        <x:v>1615</x:v>
      </x:c>
      <x:c r="F502" s="2" t="s">
        <x:v>1595</x:v>
      </x:c>
      <x:c r="G502" s="2" t="s">
        <x:v>2958</x:v>
      </x:c>
      <x:c r="H502" s="2" t="s">
        <x:v>634</x:v>
      </x:c>
      <x:c r="I502" s="2" t="s">
        <x:v>1683</x:v>
      </x:c>
      <x:c r="J502" s="2" t="s">
        <x:v>1677</x:v>
      </x:c>
      <x:c r="K502" s="2" t="n">
        <x:v>48</x:v>
      </x:c>
      <x:c r="L502" s="2" t="s">
        <x:v>1617</x:v>
      </x:c>
      <x:c r="M502" s="2"/>
      <x:c r="N502" s="2"/>
      <x:c r="O502" s="2" t="s">
        <x:v>1678</x:v>
      </x:c>
      <x:c r="P502" s="2" t="s">
        <x:v>1679</x:v>
      </x:c>
      <x:c r="Q502" s="2"/>
      <x:c r="R502" s="3">
        <x:v>4</x:v>
      </x:c>
      <x:c r="S502" s="3"/>
      <x:c r="T502" s="2"/>
      <x:c r="U502" s="2"/>
      <x:c r="V502" s="2"/>
      <x:c r="W502" s="2"/>
      <x:c r="X502" s="3"/>
      <x:c r="Y502" s="3"/>
      <x:c r="Z502" s="2"/>
      <x:c r="AA502" s="2"/>
      <x:c r="AB502" s="2"/>
      <x:c r="AC502" s="2" t="s">
        <x:v>316</x:v>
      </x:c>
      <x:c r="AD502" s="2" t="s">
        <x:v>317</x:v>
      </x:c>
      <x:c r="AE502" s="2" t="s">
        <x:v>368</x:v>
      </x:c>
      <x:c r="AF502" s="2" t="s">
        <x:v>319</x:v>
      </x:c>
      <x:c r="AG502" s="2"/>
      <x:c r="AH502" s="2"/>
      <x:c r="AI502" s="4"/>
      <x:c r="AJ502" s="2"/>
      <x:c r="AK502" s="2" t="s">
        <x:v>320</x:v>
      </x:c>
      <x:c r="AL502" s="2" t="s">
        <x:v>3061</x:v>
      </x:c>
      <x:c r="AM502" s="2">
        <x:v>52</x:v>
      </x:c>
      <x:c r="AN502" s="2">
        <x:v>52</x:v>
      </x:c>
    </x:row>
    <x:row r="503" ht="39">
      <x:c r="A503" s="2" t="s">
        <x:v>6</x:v>
      </x:c>
      <x:c r="B503" s="2" t="s">
        <x:v>16</x:v>
      </x:c>
      <x:c r="C503" s="3">
        <x:v>51</x:v>
      </x:c>
      <x:c r="D503" s="2" t="s">
        <x:v>1680</x:v>
      </x:c>
      <x:c r="E503" s="2" t="s">
        <x:v>1615</x:v>
      </x:c>
      <x:c r="F503" s="2" t="s">
        <x:v>1671</x:v>
      </x:c>
      <x:c r="G503" s="2" t="s">
        <x:v>2958</x:v>
      </x:c>
      <x:c r="H503" s="2" t="s">
        <x:v>634</x:v>
      </x:c>
      <x:c r="I503" s="2" t="s">
        <x:v>1683</x:v>
      </x:c>
      <x:c r="J503" s="2" t="s">
        <x:v>1363</x:v>
      </x:c>
      <x:c r="K503" s="2" t="n">
        <x:v>48</x:v>
      </x:c>
      <x:c r="L503" s="2" t="s">
        <x:v>1617</x:v>
      </x:c>
      <x:c r="M503" s="2"/>
      <x:c r="N503" s="2"/>
      <x:c r="O503" s="2" t="s">
        <x:v>1681</x:v>
      </x:c>
      <x:c r="P503" s="2" t="s">
        <x:v>1690</x:v>
      </x:c>
      <x:c r="Q503" s="2"/>
      <x:c r="R503" s="3">
        <x:v>4</x:v>
      </x:c>
      <x:c r="S503" s="3"/>
      <x:c r="T503" s="2"/>
      <x:c r="U503" s="2"/>
      <x:c r="V503" s="2"/>
      <x:c r="W503" s="2"/>
      <x:c r="X503" s="3"/>
      <x:c r="Y503" s="3"/>
      <x:c r="Z503" s="2"/>
      <x:c r="AA503" s="2"/>
      <x:c r="AB503" s="2"/>
      <x:c r="AC503" s="2" t="s">
        <x:v>316</x:v>
      </x:c>
      <x:c r="AD503" s="2" t="s">
        <x:v>317</x:v>
      </x:c>
      <x:c r="AE503" s="2" t="s">
        <x:v>368</x:v>
      </x:c>
      <x:c r="AF503" s="2" t="s">
        <x:v>319</x:v>
      </x:c>
      <x:c r="AG503" s="2"/>
      <x:c r="AH503" s="2"/>
      <x:c r="AI503" s="4"/>
      <x:c r="AJ503" s="2"/>
      <x:c r="AK503" s="2" t="s">
        <x:v>320</x:v>
      </x:c>
      <x:c r="AL503" s="2" t="s">
        <x:v>3061</x:v>
      </x:c>
      <x:c r="AM503" s="2">
        <x:v>53</x:v>
      </x:c>
      <x:c r="AN503" s="2">
        <x:v>53</x:v>
      </x:c>
    </x:row>
    <x:row r="504" ht="52">
      <x:c r="A504" s="2" t="s">
        <x:v>6</x:v>
      </x:c>
      <x:c r="B504" s="2" t="s">
        <x:v>16</x:v>
      </x:c>
      <x:c r="C504" s="3">
        <x:v>52</x:v>
      </x:c>
      <x:c r="D504" s="2" t="s">
        <x:v>1607</x:v>
      </x:c>
      <x:c r="E504" s="2" t="s">
        <x:v>1691</x:v>
      </x:c>
      <x:c r="F504" s="2" t="s">
        <x:v>1608</x:v>
      </x:c>
      <x:c r="G504" s="2"/>
      <x:c r="H504" s="2" t="s">
        <x:v>618</x:v>
      </x:c>
      <x:c r="I504" s="2" t="s">
        <x:v>1693</x:v>
      </x:c>
      <x:c r="J504" s="2" t="s">
        <x:v>1668</x:v>
      </x:c>
      <x:c r="K504" s="2"/>
      <x:c r="L504" s="2" t="s">
        <x:v>1609</x:v>
      </x:c>
      <x:c r="M504" s="2"/>
      <x:c r="N504" s="2"/>
      <x:c r="O504" s="2" t="s">
        <x:v>1600</x:v>
      </x:c>
      <x:c r="P504" s="2" t="s">
        <x:v>1694</x:v>
      </x:c>
      <x:c r="Q504" s="2"/>
      <x:c r="R504" s="3">
        <x:v>3</x:v>
      </x:c>
      <x:c r="S504" s="3"/>
      <x:c r="T504" s="2"/>
      <x:c r="U504" s="2"/>
      <x:c r="V504" s="2"/>
      <x:c r="W504" s="2"/>
      <x:c r="X504" s="3"/>
      <x:c r="Y504" s="3"/>
      <x:c r="Z504" s="2"/>
      <x:c r="AA504" s="2"/>
      <x:c r="AB504" s="2"/>
      <x:c r="AC504" s="2" t="s">
        <x:v>316</x:v>
      </x:c>
      <x:c r="AD504" s="2" t="s">
        <x:v>368</x:v>
      </x:c>
      <x:c r="AE504" s="2" t="s">
        <x:v>317</x:v>
      </x:c>
      <x:c r="AF504" s="2" t="s">
        <x:v>319</x:v>
      </x:c>
      <x:c r="AG504" s="2"/>
      <x:c r="AH504" s="2"/>
      <x:c r="AI504" s="4"/>
      <x:c r="AJ504" s="2"/>
      <x:c r="AK504" s="2" t="s">
        <x:v>320</x:v>
      </x:c>
      <x:c r="AL504" s="2" t="s">
        <x:v>3061</x:v>
      </x:c>
      <x:c r="AM504" s="2">
        <x:v>54</x:v>
      </x:c>
      <x:c r="AN504" s="2">
        <x:v>54</x:v>
      </x:c>
    </x:row>
    <x:row r="505" ht="39">
      <x:c r="A505" s="2" t="s">
        <x:v>6</x:v>
      </x:c>
      <x:c r="B505" s="2" t="s">
        <x:v>16</x:v>
      </x:c>
      <x:c r="C505" s="3">
        <x:v>53</x:v>
      </x:c>
      <x:c r="D505" s="2" t="s">
        <x:v>1695</x:v>
      </x:c>
      <x:c r="E505" s="2" t="s">
        <x:v>1691</x:v>
      </x:c>
      <x:c r="F505" s="2" t="s">
        <x:v>1696</x:v>
      </x:c>
      <x:c r="G505" s="2" t="s">
        <x:v>1735</x:v>
      </x:c>
      <x:c r="H505" s="2" t="s">
        <x:v>627</x:v>
      </x:c>
      <x:c r="I505" s="2" t="s">
        <x:v>1693</x:v>
      </x:c>
      <x:c r="J505" s="2" t="s">
        <x:v>1673</x:v>
      </x:c>
      <x:c r="K505" s="2" t="n">
        <x:v>52</x:v>
      </x:c>
      <x:c r="L505" s="2" t="s">
        <x:v>1609</x:v>
      </x:c>
      <x:c r="M505" s="2"/>
      <x:c r="N505" s="2"/>
      <x:c r="O505" s="2" t="s">
        <x:v>1674</x:v>
      </x:c>
      <x:c r="P505" s="2" t="s">
        <x:v>1698</x:v>
      </x:c>
      <x:c r="Q505" s="2"/>
      <x:c r="R505" s="3">
        <x:v>3</x:v>
      </x:c>
      <x:c r="S505" s="3"/>
      <x:c r="T505" s="2"/>
      <x:c r="U505" s="2"/>
      <x:c r="V505" s="2"/>
      <x:c r="W505" s="2"/>
      <x:c r="X505" s="3"/>
      <x:c r="Y505" s="3"/>
      <x:c r="Z505" s="2"/>
      <x:c r="AA505" s="2"/>
      <x:c r="AB505" s="2"/>
      <x:c r="AC505" s="2" t="s">
        <x:v>316</x:v>
      </x:c>
      <x:c r="AD505" s="2" t="s">
        <x:v>368</x:v>
      </x:c>
      <x:c r="AE505" s="2" t="s">
        <x:v>317</x:v>
      </x:c>
      <x:c r="AF505" s="2" t="s">
        <x:v>319</x:v>
      </x:c>
      <x:c r="AG505" s="2"/>
      <x:c r="AH505" s="2"/>
      <x:c r="AI505" s="4"/>
      <x:c r="AJ505" s="2"/>
      <x:c r="AK505" s="2" t="s">
        <x:v>320</x:v>
      </x:c>
      <x:c r="AL505" s="2" t="s">
        <x:v>3061</x:v>
      </x:c>
      <x:c r="AM505" s="2">
        <x:v>55</x:v>
      </x:c>
      <x:c r="AN505" s="2">
        <x:v>55</x:v>
      </x:c>
    </x:row>
    <x:row r="506" ht="26">
      <x:c r="A506" s="2" t="s">
        <x:v>6</x:v>
      </x:c>
      <x:c r="B506" s="2" t="s">
        <x:v>16</x:v>
      </x:c>
      <x:c r="C506" s="3">
        <x:v>54</x:v>
      </x:c>
      <x:c r="D506" s="2" t="s">
        <x:v>1699</x:v>
      </x:c>
      <x:c r="E506" s="2" t="s">
        <x:v>1691</x:v>
      </x:c>
      <x:c r="F506" s="2" t="s">
        <x:v>1608</x:v>
      </x:c>
      <x:c r="G506" s="2" t="s">
        <x:v>1735</x:v>
      </x:c>
      <x:c r="H506" s="2" t="s">
        <x:v>634</x:v>
      </x:c>
      <x:c r="I506" s="2" t="s">
        <x:v>1693</x:v>
      </x:c>
      <x:c r="J506" s="2" t="s">
        <x:v>1677</x:v>
      </x:c>
      <x:c r="K506" s="2" t="n">
        <x:v>52</x:v>
      </x:c>
      <x:c r="L506" s="2" t="s">
        <x:v>1609</x:v>
      </x:c>
      <x:c r="M506" s="2"/>
      <x:c r="N506" s="2"/>
      <x:c r="O506" s="2" t="s">
        <x:v>1678</x:v>
      </x:c>
      <x:c r="P506" s="2" t="s">
        <x:v>1679</x:v>
      </x:c>
      <x:c r="Q506" s="2"/>
      <x:c r="R506" s="3">
        <x:v>3</x:v>
      </x:c>
      <x:c r="S506" s="3"/>
      <x:c r="T506" s="2"/>
      <x:c r="U506" s="2"/>
      <x:c r="V506" s="2"/>
      <x:c r="W506" s="2"/>
      <x:c r="X506" s="3"/>
      <x:c r="Y506" s="3"/>
      <x:c r="Z506" s="2"/>
      <x:c r="AA506" s="2"/>
      <x:c r="AB506" s="2"/>
      <x:c r="AC506" s="2" t="s">
        <x:v>316</x:v>
      </x:c>
      <x:c r="AD506" s="2" t="s">
        <x:v>368</x:v>
      </x:c>
      <x:c r="AE506" s="2" t="s">
        <x:v>317</x:v>
      </x:c>
      <x:c r="AF506" s="2" t="s">
        <x:v>319</x:v>
      </x:c>
      <x:c r="AG506" s="2"/>
      <x:c r="AH506" s="2"/>
      <x:c r="AI506" s="4"/>
      <x:c r="AJ506" s="2"/>
      <x:c r="AK506" s="2" t="s">
        <x:v>320</x:v>
      </x:c>
      <x:c r="AL506" s="2" t="s">
        <x:v>3061</x:v>
      </x:c>
      <x:c r="AM506" s="2">
        <x:v>56</x:v>
      </x:c>
      <x:c r="AN506" s="2">
        <x:v>56</x:v>
      </x:c>
    </x:row>
    <x:row r="507" ht="39">
      <x:c r="A507" s="2" t="s">
        <x:v>6</x:v>
      </x:c>
      <x:c r="B507" s="2" t="s">
        <x:v>16</x:v>
      </x:c>
      <x:c r="C507" s="3">
        <x:v>55</x:v>
      </x:c>
      <x:c r="D507" s="2" t="s">
        <x:v>1700</x:v>
      </x:c>
      <x:c r="E507" s="2" t="s">
        <x:v>1691</x:v>
      </x:c>
      <x:c r="F507" s="2" t="s">
        <x:v>1696</x:v>
      </x:c>
      <x:c r="G507" s="2" t="s">
        <x:v>1735</x:v>
      </x:c>
      <x:c r="H507" s="2" t="s">
        <x:v>634</x:v>
      </x:c>
      <x:c r="I507" s="2" t="s">
        <x:v>1693</x:v>
      </x:c>
      <x:c r="J507" s="2" t="s">
        <x:v>1363</x:v>
      </x:c>
      <x:c r="K507" s="2" t="n">
        <x:v>52</x:v>
      </x:c>
      <x:c r="L507" s="2" t="s">
        <x:v>1609</x:v>
      </x:c>
      <x:c r="M507" s="2"/>
      <x:c r="N507" s="2"/>
      <x:c r="O507" s="2" t="s">
        <x:v>1681</x:v>
      </x:c>
      <x:c r="P507" s="2" t="s">
        <x:v>1701</x:v>
      </x:c>
      <x:c r="Q507" s="2"/>
      <x:c r="R507" s="3">
        <x:v>3</x:v>
      </x:c>
      <x:c r="S507" s="3"/>
      <x:c r="T507" s="2"/>
      <x:c r="U507" s="2"/>
      <x:c r="V507" s="2"/>
      <x:c r="W507" s="2"/>
      <x:c r="X507" s="3"/>
      <x:c r="Y507" s="3"/>
      <x:c r="Z507" s="2"/>
      <x:c r="AA507" s="2"/>
      <x:c r="AB507" s="2"/>
      <x:c r="AC507" s="2" t="s">
        <x:v>316</x:v>
      </x:c>
      <x:c r="AD507" s="2" t="s">
        <x:v>368</x:v>
      </x:c>
      <x:c r="AE507" s="2" t="s">
        <x:v>317</x:v>
      </x:c>
      <x:c r="AF507" s="2" t="s">
        <x:v>319</x:v>
      </x:c>
      <x:c r="AG507" s="2"/>
      <x:c r="AH507" s="2"/>
      <x:c r="AI507" s="4"/>
      <x:c r="AJ507" s="2"/>
      <x:c r="AK507" s="2" t="s">
        <x:v>320</x:v>
      </x:c>
      <x:c r="AL507" s="2" t="s">
        <x:v>3061</x:v>
      </x:c>
      <x:c r="AM507" s="2">
        <x:v>57</x:v>
      </x:c>
      <x:c r="AN507" s="2">
        <x:v>57</x:v>
      </x:c>
    </x:row>
    <x:row r="508" ht="52">
      <x:c r="A508" s="2" t="s">
        <x:v>6</x:v>
      </x:c>
      <x:c r="B508" s="2" t="s">
        <x:v>16</x:v>
      </x:c>
      <x:c r="C508" s="3">
        <x:v>56</x:v>
      </x:c>
      <x:c r="D508" s="2" t="s">
        <x:v>1602</x:v>
      </x:c>
      <x:c r="E508" s="2" t="s">
        <x:v>1615</x:v>
      </x:c>
      <x:c r="F508" s="2" t="s">
        <x:v>1603</x:v>
      </x:c>
      <x:c r="G508" s="2"/>
      <x:c r="H508" s="2" t="s">
        <x:v>618</x:v>
      </x:c>
      <x:c r="I508" s="2" t="s">
        <x:v>1703</x:v>
      </x:c>
      <x:c r="J508" s="2" t="s">
        <x:v>1668</x:v>
      </x:c>
      <x:c r="K508" s="2"/>
      <x:c r="L508" s="2" t="s">
        <x:v>1704</x:v>
      </x:c>
      <x:c r="M508" s="2"/>
      <x:c r="N508" s="2"/>
      <x:c r="O508" s="2" t="s">
        <x:v>1600</x:v>
      </x:c>
      <x:c r="P508" s="2" t="s">
        <x:v>1705</x:v>
      </x:c>
      <x:c r="Q508" s="2"/>
      <x:c r="R508" s="3">
        <x:v>4</x:v>
      </x:c>
      <x:c r="S508" s="3"/>
      <x:c r="T508" s="2"/>
      <x:c r="U508" s="2"/>
      <x:c r="V508" s="2"/>
      <x:c r="W508" s="2"/>
      <x:c r="X508" s="3"/>
      <x:c r="Y508" s="3"/>
      <x:c r="Z508" s="2"/>
      <x:c r="AA508" s="2"/>
      <x:c r="AB508" s="2"/>
      <x:c r="AC508" s="2" t="s">
        <x:v>326</x:v>
      </x:c>
      <x:c r="AD508" s="2" t="s">
        <x:v>317</x:v>
      </x:c>
      <x:c r="AE508" s="2" t="s">
        <x:v>368</x:v>
      </x:c>
      <x:c r="AF508" s="2" t="s">
        <x:v>319</x:v>
      </x:c>
      <x:c r="AG508" s="2"/>
      <x:c r="AH508" s="2"/>
      <x:c r="AI508" s="4"/>
      <x:c r="AJ508" s="2"/>
      <x:c r="AK508" s="2" t="s">
        <x:v>320</x:v>
      </x:c>
      <x:c r="AL508" s="2" t="s">
        <x:v>3061</x:v>
      </x:c>
      <x:c r="AM508" s="2">
        <x:v>58</x:v>
      </x:c>
      <x:c r="AN508" s="2">
        <x:v>58</x:v>
      </x:c>
    </x:row>
    <x:row r="509" ht="39">
      <x:c r="A509" s="2" t="s">
        <x:v>91</x:v>
      </x:c>
      <x:c r="B509" s="2" t="s">
        <x:v>16</x:v>
      </x:c>
      <x:c r="C509" s="3">
        <x:v>57</x:v>
      </x:c>
      <x:c r="D509" s="2" t="s">
        <x:v>1670</x:v>
      </x:c>
      <x:c r="E509" s="2" t="s">
        <x:v>1615</x:v>
      </x:c>
      <x:c r="F509" s="2" t="s">
        <x:v>1671</x:v>
      </x:c>
      <x:c r="G509" s="2" t="s">
        <x:v>3153</x:v>
      </x:c>
      <x:c r="H509" s="2" t="s">
        <x:v>627</x:v>
      </x:c>
      <x:c r="I509" s="2" t="s">
        <x:v>1703</x:v>
      </x:c>
      <x:c r="J509" s="2" t="s">
        <x:v>1673</x:v>
      </x:c>
      <x:c r="K509" s="2" t="n">
        <x:v>56</x:v>
      </x:c>
      <x:c r="L509" s="2" t="s">
        <x:v>1704</x:v>
      </x:c>
      <x:c r="M509" s="2"/>
      <x:c r="N509" s="2"/>
      <x:c r="O509" s="2" t="s">
        <x:v>1674</x:v>
      </x:c>
      <x:c r="P509" s="2" t="s">
        <x:v>1707</x:v>
      </x:c>
      <x:c r="Q509" s="2"/>
      <x:c r="R509" s="3">
        <x:v>4</x:v>
      </x:c>
      <x:c r="S509" s="3"/>
      <x:c r="T509" s="2"/>
      <x:c r="U509" s="2"/>
      <x:c r="V509" s="2"/>
      <x:c r="W509" s="2"/>
      <x:c r="X509" s="3"/>
      <x:c r="Y509" s="3"/>
      <x:c r="Z509" s="2"/>
      <x:c r="AA509" s="2"/>
      <x:c r="AB509" s="2"/>
      <x:c r="AC509" s="2" t="s">
        <x:v>326</x:v>
      </x:c>
      <x:c r="AD509" s="2" t="s">
        <x:v>317</x:v>
      </x:c>
      <x:c r="AE509" s="2" t="s">
        <x:v>368</x:v>
      </x:c>
      <x:c r="AF509" s="2" t="s">
        <x:v>319</x:v>
      </x:c>
      <x:c r="AG509" s="2"/>
      <x:c r="AH509" s="2"/>
      <x:c r="AI509" s="4"/>
      <x:c r="AJ509" s="2"/>
      <x:c r="AK509" s="2" t="s">
        <x:v>320</x:v>
      </x:c>
      <x:c r="AL509" s="2" t="s">
        <x:v>3061</x:v>
      </x:c>
      <x:c r="AM509" s="2">
        <x:v>59</x:v>
      </x:c>
      <x:c r="AN509" s="2">
        <x:v>59</x:v>
      </x:c>
    </x:row>
    <x:row r="510" ht="26">
      <x:c r="A510" s="2" t="s">
        <x:v>6</x:v>
      </x:c>
      <x:c r="B510" s="2" t="s">
        <x:v>16</x:v>
      </x:c>
      <x:c r="C510" s="3">
        <x:v>58</x:v>
      </x:c>
      <x:c r="D510" s="2" t="s">
        <x:v>1708</x:v>
      </x:c>
      <x:c r="E510" s="2" t="s">
        <x:v>1615</x:v>
      </x:c>
      <x:c r="F510" s="2" t="s">
        <x:v>1603</x:v>
      </x:c>
      <x:c r="G510" s="2"/>
      <x:c r="H510" s="2" t="s">
        <x:v>634</x:v>
      </x:c>
      <x:c r="I510" s="2" t="s">
        <x:v>1703</x:v>
      </x:c>
      <x:c r="J510" s="2" t="s">
        <x:v>1677</x:v>
      </x:c>
      <x:c r="K510" s="2" t="n">
        <x:v>56</x:v>
      </x:c>
      <x:c r="L510" s="2" t="s">
        <x:v>1704</x:v>
      </x:c>
      <x:c r="M510" s="2"/>
      <x:c r="N510" s="2"/>
      <x:c r="O510" s="2" t="s">
        <x:v>1678</x:v>
      </x:c>
      <x:c r="P510" s="2" t="s">
        <x:v>1679</x:v>
      </x:c>
      <x:c r="Q510" s="2"/>
      <x:c r="R510" s="3">
        <x:v>4</x:v>
      </x:c>
      <x:c r="S510" s="3"/>
      <x:c r="T510" s="2"/>
      <x:c r="U510" s="2"/>
      <x:c r="V510" s="2"/>
      <x:c r="W510" s="2"/>
      <x:c r="X510" s="3"/>
      <x:c r="Y510" s="3"/>
      <x:c r="Z510" s="2"/>
      <x:c r="AA510" s="2"/>
      <x:c r="AB510" s="2"/>
      <x:c r="AC510" s="2" t="s">
        <x:v>326</x:v>
      </x:c>
      <x:c r="AD510" s="2" t="s">
        <x:v>317</x:v>
      </x:c>
      <x:c r="AE510" s="2" t="s">
        <x:v>368</x:v>
      </x:c>
      <x:c r="AF510" s="2" t="s">
        <x:v>319</x:v>
      </x:c>
      <x:c r="AG510" s="2"/>
      <x:c r="AH510" s="2"/>
      <x:c r="AI510" s="4"/>
      <x:c r="AJ510" s="2"/>
      <x:c r="AK510" s="2" t="s">
        <x:v>320</x:v>
      </x:c>
      <x:c r="AL510" s="2" t="s">
        <x:v>3061</x:v>
      </x:c>
      <x:c r="AM510" s="2">
        <x:v>60</x:v>
      </x:c>
      <x:c r="AN510" s="2">
        <x:v>60</x:v>
      </x:c>
    </x:row>
    <x:row r="511" ht="39">
      <x:c r="A511" s="2" t="s">
        <x:v>6</x:v>
      </x:c>
      <x:c r="B511" s="2" t="s">
        <x:v>16</x:v>
      </x:c>
      <x:c r="C511" s="3">
        <x:v>59</x:v>
      </x:c>
      <x:c r="D511" s="2" t="s">
        <x:v>1680</x:v>
      </x:c>
      <x:c r="E511" s="2" t="s">
        <x:v>1615</x:v>
      </x:c>
      <x:c r="F511" s="2" t="s">
        <x:v>1671</x:v>
      </x:c>
      <x:c r="G511" s="2" t="s">
        <x:v>3154</x:v>
      </x:c>
      <x:c r="H511" s="2" t="s">
        <x:v>634</x:v>
      </x:c>
      <x:c r="I511" s="2" t="s">
        <x:v>1703</x:v>
      </x:c>
      <x:c r="J511" s="2" t="s">
        <x:v>1363</x:v>
      </x:c>
      <x:c r="K511" s="2" t="n">
        <x:v>56</x:v>
      </x:c>
      <x:c r="L511" s="2" t="s">
        <x:v>1704</x:v>
      </x:c>
      <x:c r="M511" s="2"/>
      <x:c r="N511" s="2"/>
      <x:c r="O511" s="2" t="s">
        <x:v>1681</x:v>
      </x:c>
      <x:c r="P511" s="2" t="s">
        <x:v>1711</x:v>
      </x:c>
      <x:c r="Q511" s="2"/>
      <x:c r="R511" s="3">
        <x:v>4</x:v>
      </x:c>
      <x:c r="S511" s="3"/>
      <x:c r="T511" s="2"/>
      <x:c r="U511" s="2"/>
      <x:c r="V511" s="2"/>
      <x:c r="W511" s="2"/>
      <x:c r="X511" s="3"/>
      <x:c r="Y511" s="3"/>
      <x:c r="Z511" s="2"/>
      <x:c r="AA511" s="2"/>
      <x:c r="AB511" s="2"/>
      <x:c r="AC511" s="2" t="s">
        <x:v>326</x:v>
      </x:c>
      <x:c r="AD511" s="2" t="s">
        <x:v>317</x:v>
      </x:c>
      <x:c r="AE511" s="2" t="s">
        <x:v>368</x:v>
      </x:c>
      <x:c r="AF511" s="2" t="s">
        <x:v>319</x:v>
      </x:c>
      <x:c r="AG511" s="2"/>
      <x:c r="AH511" s="2"/>
      <x:c r="AI511" s="4"/>
      <x:c r="AJ511" s="2"/>
      <x:c r="AK511" s="2" t="s">
        <x:v>320</x:v>
      </x:c>
      <x:c r="AL511" s="2" t="s">
        <x:v>3061</x:v>
      </x:c>
      <x:c r="AM511" s="2">
        <x:v>61</x:v>
      </x:c>
      <x:c r="AN511" s="2">
        <x:v>61</x:v>
      </x:c>
    </x:row>
    <x:row r="512" ht="52">
      <x:c r="A512" s="2" t="s">
        <x:v>6</x:v>
      </x:c>
      <x:c r="B512" s="2" t="s">
        <x:v>16</x:v>
      </x:c>
      <x:c r="C512" s="3">
        <x:v>60</x:v>
      </x:c>
      <x:c r="D512" s="2" t="s">
        <x:v>1611</x:v>
      </x:c>
      <x:c r="E512" s="2" t="s">
        <x:v>1691</x:v>
      </x:c>
      <x:c r="F512" s="2" t="s">
        <x:v>1612</x:v>
      </x:c>
      <x:c r="G512" s="2"/>
      <x:c r="H512" s="2" t="s">
        <x:v>618</x:v>
      </x:c>
      <x:c r="I512" s="2" t="s">
        <x:v>1713</x:v>
      </x:c>
      <x:c r="J512" s="2" t="s">
        <x:v>1668</x:v>
      </x:c>
      <x:c r="K512" s="2"/>
      <x:c r="L512" s="2" t="s">
        <x:v>1613</x:v>
      </x:c>
      <x:c r="M512" s="2"/>
      <x:c r="N512" s="2"/>
      <x:c r="O512" s="2" t="s">
        <x:v>1600</x:v>
      </x:c>
      <x:c r="P512" s="2" t="s">
        <x:v>1714</x:v>
      </x:c>
      <x:c r="Q512" s="2"/>
      <x:c r="R512" s="3">
        <x:v>3</x:v>
      </x:c>
      <x:c r="S512" s="3"/>
      <x:c r="T512" s="2"/>
      <x:c r="U512" s="2"/>
      <x:c r="V512" s="2"/>
      <x:c r="W512" s="2"/>
      <x:c r="X512" s="3"/>
      <x:c r="Y512" s="3"/>
      <x:c r="Z512" s="2"/>
      <x:c r="AA512" s="2"/>
      <x:c r="AB512" s="2"/>
      <x:c r="AC512" s="2" t="s">
        <x:v>326</x:v>
      </x:c>
      <x:c r="AD512" s="2" t="s">
        <x:v>368</x:v>
      </x:c>
      <x:c r="AE512" s="2" t="s">
        <x:v>317</x:v>
      </x:c>
      <x:c r="AF512" s="2" t="s">
        <x:v>319</x:v>
      </x:c>
      <x:c r="AG512" s="2"/>
      <x:c r="AH512" s="2"/>
      <x:c r="AI512" s="4"/>
      <x:c r="AJ512" s="2"/>
      <x:c r="AK512" s="2" t="s">
        <x:v>320</x:v>
      </x:c>
      <x:c r="AL512" s="2" t="s">
        <x:v>3061</x:v>
      </x:c>
      <x:c r="AM512" s="2">
        <x:v>62</x:v>
      </x:c>
      <x:c r="AN512" s="2">
        <x:v>62</x:v>
      </x:c>
    </x:row>
    <x:row r="513" ht="39">
      <x:c r="A513" s="2" t="s">
        <x:v>6</x:v>
      </x:c>
      <x:c r="B513" s="2" t="s">
        <x:v>16</x:v>
      </x:c>
      <x:c r="C513" s="3">
        <x:v>61</x:v>
      </x:c>
      <x:c r="D513" s="2" t="s">
        <x:v>1715</x:v>
      </x:c>
      <x:c r="E513" s="2" t="s">
        <x:v>1691</x:v>
      </x:c>
      <x:c r="F513" s="2" t="s">
        <x:v>1696</x:v>
      </x:c>
      <x:c r="G513" s="2" t="s">
        <x:v>1686</x:v>
      </x:c>
      <x:c r="H513" s="2" t="s">
        <x:v>627</x:v>
      </x:c>
      <x:c r="I513" s="2" t="s">
        <x:v>1713</x:v>
      </x:c>
      <x:c r="J513" s="2" t="s">
        <x:v>1673</x:v>
      </x:c>
      <x:c r="K513" s="2" t="n">
        <x:v>60</x:v>
      </x:c>
      <x:c r="L513" s="2" t="s">
        <x:v>1613</x:v>
      </x:c>
      <x:c r="M513" s="2"/>
      <x:c r="N513" s="2"/>
      <x:c r="O513" s="2" t="s">
        <x:v>1674</x:v>
      </x:c>
      <x:c r="P513" s="2" t="s">
        <x:v>1717</x:v>
      </x:c>
      <x:c r="Q513" s="2"/>
      <x:c r="R513" s="3">
        <x:v>3</x:v>
      </x:c>
      <x:c r="S513" s="3"/>
      <x:c r="T513" s="2"/>
      <x:c r="U513" s="2"/>
      <x:c r="V513" s="2"/>
      <x:c r="W513" s="2"/>
      <x:c r="X513" s="3"/>
      <x:c r="Y513" s="3"/>
      <x:c r="Z513" s="2"/>
      <x:c r="AA513" s="2"/>
      <x:c r="AB513" s="2"/>
      <x:c r="AC513" s="2" t="s">
        <x:v>326</x:v>
      </x:c>
      <x:c r="AD513" s="2" t="s">
        <x:v>368</x:v>
      </x:c>
      <x:c r="AE513" s="2" t="s">
        <x:v>317</x:v>
      </x:c>
      <x:c r="AF513" s="2" t="s">
        <x:v>319</x:v>
      </x:c>
      <x:c r="AG513" s="2"/>
      <x:c r="AH513" s="2"/>
      <x:c r="AI513" s="4"/>
      <x:c r="AJ513" s="2"/>
      <x:c r="AK513" s="2" t="s">
        <x:v>320</x:v>
      </x:c>
      <x:c r="AL513" s="2" t="s">
        <x:v>3061</x:v>
      </x:c>
      <x:c r="AM513" s="2">
        <x:v>63</x:v>
      </x:c>
      <x:c r="AN513" s="2">
        <x:v>63</x:v>
      </x:c>
    </x:row>
    <x:row r="514" ht="26">
      <x:c r="A514" s="2" t="s">
        <x:v>6</x:v>
      </x:c>
      <x:c r="B514" s="2" t="s">
        <x:v>16</x:v>
      </x:c>
      <x:c r="C514" s="3">
        <x:v>62</x:v>
      </x:c>
      <x:c r="D514" s="2" t="s">
        <x:v>1718</x:v>
      </x:c>
      <x:c r="E514" s="2" t="s">
        <x:v>1691</x:v>
      </x:c>
      <x:c r="F514" s="2" t="s">
        <x:v>1612</x:v>
      </x:c>
      <x:c r="G514" s="2"/>
      <x:c r="H514" s="2" t="s">
        <x:v>634</x:v>
      </x:c>
      <x:c r="I514" s="2" t="s">
        <x:v>1713</x:v>
      </x:c>
      <x:c r="J514" s="2" t="s">
        <x:v>1677</x:v>
      </x:c>
      <x:c r="K514" s="2" t="n">
        <x:v>60</x:v>
      </x:c>
      <x:c r="L514" s="2" t="s">
        <x:v>1613</x:v>
      </x:c>
      <x:c r="M514" s="2"/>
      <x:c r="N514" s="2"/>
      <x:c r="O514" s="2" t="s">
        <x:v>1678</x:v>
      </x:c>
      <x:c r="P514" s="2" t="s">
        <x:v>1679</x:v>
      </x:c>
      <x:c r="Q514" s="2"/>
      <x:c r="R514" s="3">
        <x:v>3</x:v>
      </x:c>
      <x:c r="S514" s="3"/>
      <x:c r="T514" s="2"/>
      <x:c r="U514" s="2"/>
      <x:c r="V514" s="2"/>
      <x:c r="W514" s="2"/>
      <x:c r="X514" s="3"/>
      <x:c r="Y514" s="3"/>
      <x:c r="Z514" s="2"/>
      <x:c r="AA514" s="2"/>
      <x:c r="AB514" s="2"/>
      <x:c r="AC514" s="2" t="s">
        <x:v>326</x:v>
      </x:c>
      <x:c r="AD514" s="2" t="s">
        <x:v>368</x:v>
      </x:c>
      <x:c r="AE514" s="2" t="s">
        <x:v>317</x:v>
      </x:c>
      <x:c r="AF514" s="2" t="s">
        <x:v>319</x:v>
      </x:c>
      <x:c r="AG514" s="2"/>
      <x:c r="AH514" s="2"/>
      <x:c r="AI514" s="4"/>
      <x:c r="AJ514" s="2"/>
      <x:c r="AK514" s="2" t="s">
        <x:v>320</x:v>
      </x:c>
      <x:c r="AL514" s="2" t="s">
        <x:v>3061</x:v>
      </x:c>
      <x:c r="AM514" s="2">
        <x:v>64</x:v>
      </x:c>
      <x:c r="AN514" s="2">
        <x:v>64</x:v>
      </x:c>
    </x:row>
    <x:row r="515" ht="39">
      <x:c r="A515" s="2" t="s">
        <x:v>6</x:v>
      </x:c>
      <x:c r="B515" s="2" t="s">
        <x:v>16</x:v>
      </x:c>
      <x:c r="C515" s="3">
        <x:v>63</x:v>
      </x:c>
      <x:c r="D515" s="2" t="s">
        <x:v>1700</x:v>
      </x:c>
      <x:c r="E515" s="2" t="s">
        <x:v>1691</x:v>
      </x:c>
      <x:c r="F515" s="2" t="s">
        <x:v>1696</x:v>
      </x:c>
      <x:c r="G515" s="2" t="s">
        <x:v>1735</x:v>
      </x:c>
      <x:c r="H515" s="2" t="s">
        <x:v>634</x:v>
      </x:c>
      <x:c r="I515" s="2" t="s">
        <x:v>1713</x:v>
      </x:c>
      <x:c r="J515" s="2" t="s">
        <x:v>1363</x:v>
      </x:c>
      <x:c r="K515" s="2" t="n">
        <x:v>60</x:v>
      </x:c>
      <x:c r="L515" s="2" t="s">
        <x:v>1613</x:v>
      </x:c>
      <x:c r="M515" s="2"/>
      <x:c r="N515" s="2"/>
      <x:c r="O515" s="2" t="s">
        <x:v>1681</x:v>
      </x:c>
      <x:c r="P515" s="2" t="s">
        <x:v>1720</x:v>
      </x:c>
      <x:c r="Q515" s="2"/>
      <x:c r="R515" s="3">
        <x:v>3</x:v>
      </x:c>
      <x:c r="S515" s="3"/>
      <x:c r="T515" s="2"/>
      <x:c r="U515" s="2"/>
      <x:c r="V515" s="2"/>
      <x:c r="W515" s="2"/>
      <x:c r="X515" s="3"/>
      <x:c r="Y515" s="3"/>
      <x:c r="Z515" s="2"/>
      <x:c r="AA515" s="2"/>
      <x:c r="AB515" s="2"/>
      <x:c r="AC515" s="2" t="s">
        <x:v>326</x:v>
      </x:c>
      <x:c r="AD515" s="2" t="s">
        <x:v>368</x:v>
      </x:c>
      <x:c r="AE515" s="2" t="s">
        <x:v>317</x:v>
      </x:c>
      <x:c r="AF515" s="2" t="s">
        <x:v>319</x:v>
      </x:c>
      <x:c r="AG515" s="2"/>
      <x:c r="AH515" s="2"/>
      <x:c r="AI515" s="4"/>
      <x:c r="AJ515" s="2"/>
      <x:c r="AK515" s="2" t="s">
        <x:v>320</x:v>
      </x:c>
      <x:c r="AL515" s="2" t="s">
        <x:v>3061</x:v>
      </x:c>
      <x:c r="AM515" s="2">
        <x:v>65</x:v>
      </x:c>
      <x:c r="AN515" s="2">
        <x:v>65</x:v>
      </x:c>
    </x:row>
    <x:row r="516" ht="52">
      <x:c r="A516" s="2" t="s">
        <x:v>6</x:v>
      </x:c>
      <x:c r="B516" s="2" t="s">
        <x:v>16</x:v>
      </x:c>
      <x:c r="C516" s="3">
        <x:v>64</x:v>
      </x:c>
      <x:c r="D516" s="2" t="s">
        <x:v>1611</x:v>
      </x:c>
      <x:c r="E516" s="2" t="s">
        <x:v>1721</x:v>
      </x:c>
      <x:c r="F516" s="2" t="s">
        <x:v>1612</x:v>
      </x:c>
      <x:c r="G516" s="2"/>
      <x:c r="H516" s="2" t="s">
        <x:v>618</x:v>
      </x:c>
      <x:c r="I516" s="2" t="s">
        <x:v>1723</x:v>
      </x:c>
      <x:c r="J516" s="2" t="s">
        <x:v>1668</x:v>
      </x:c>
      <x:c r="K516" s="2"/>
      <x:c r="L516" s="2" t="s">
        <x:v>1624</x:v>
      </x:c>
      <x:c r="M516" s="2"/>
      <x:c r="N516" s="2"/>
      <x:c r="O516" s="2" t="s">
        <x:v>1600</x:v>
      </x:c>
      <x:c r="P516" s="2" t="s">
        <x:v>1724</x:v>
      </x:c>
      <x:c r="Q516" s="2"/>
      <x:c r="R516" s="3">
        <x:v>4</x:v>
      </x:c>
      <x:c r="S516" s="3"/>
      <x:c r="T516" s="2"/>
      <x:c r="U516" s="2"/>
      <x:c r="V516" s="2"/>
      <x:c r="W516" s="2"/>
      <x:c r="X516" s="3"/>
      <x:c r="Y516" s="3"/>
      <x:c r="Z516" s="2"/>
      <x:c r="AA516" s="2"/>
      <x:c r="AB516" s="2"/>
      <x:c r="AC516" s="2" t="s">
        <x:v>326</x:v>
      </x:c>
      <x:c r="AD516" s="2" t="s">
        <x:v>368</x:v>
      </x:c>
      <x:c r="AE516" s="2" t="s">
        <x:v>317</x:v>
      </x:c>
      <x:c r="AF516" s="2" t="s">
        <x:v>319</x:v>
      </x:c>
      <x:c r="AG516" s="2"/>
      <x:c r="AH516" s="2"/>
      <x:c r="AI516" s="4"/>
      <x:c r="AJ516" s="2"/>
      <x:c r="AK516" s="2" t="s">
        <x:v>320</x:v>
      </x:c>
      <x:c r="AL516" s="2" t="s">
        <x:v>3061</x:v>
      </x:c>
      <x:c r="AM516" s="2">
        <x:v>66</x:v>
      </x:c>
      <x:c r="AN516" s="2">
        <x:v>66</x:v>
      </x:c>
    </x:row>
    <x:row r="517" ht="39">
      <x:c r="A517" s="2" t="s">
        <x:v>6</x:v>
      </x:c>
      <x:c r="B517" s="2" t="s">
        <x:v>16</x:v>
      </x:c>
      <x:c r="C517" s="3">
        <x:v>65</x:v>
      </x:c>
      <x:c r="D517" s="2" t="s">
        <x:v>1725</x:v>
      </x:c>
      <x:c r="E517" s="2" t="s">
        <x:v>1721</x:v>
      </x:c>
      <x:c r="F517" s="2" t="s">
        <x:v>1696</x:v>
      </x:c>
      <x:c r="G517" s="2" t="s">
        <x:v>3155</x:v>
      </x:c>
      <x:c r="H517" s="2" t="s">
        <x:v>627</x:v>
      </x:c>
      <x:c r="I517" s="2" t="s">
        <x:v>1723</x:v>
      </x:c>
      <x:c r="J517" s="2" t="s">
        <x:v>1673</x:v>
      </x:c>
      <x:c r="K517" s="2" t="n">
        <x:v>64</x:v>
      </x:c>
      <x:c r="L517" s="2" t="s">
        <x:v>1624</x:v>
      </x:c>
      <x:c r="M517" s="2"/>
      <x:c r="N517" s="2"/>
      <x:c r="O517" s="2" t="s">
        <x:v>1674</x:v>
      </x:c>
      <x:c r="P517" s="2" t="s">
        <x:v>1727</x:v>
      </x:c>
      <x:c r="Q517" s="2"/>
      <x:c r="R517" s="3">
        <x:v>4</x:v>
      </x:c>
      <x:c r="S517" s="3"/>
      <x:c r="T517" s="2"/>
      <x:c r="U517" s="2"/>
      <x:c r="V517" s="2"/>
      <x:c r="W517" s="2"/>
      <x:c r="X517" s="3"/>
      <x:c r="Y517" s="3"/>
      <x:c r="Z517" s="2"/>
      <x:c r="AA517" s="2"/>
      <x:c r="AB517" s="2"/>
      <x:c r="AC517" s="2" t="s">
        <x:v>326</x:v>
      </x:c>
      <x:c r="AD517" s="2" t="s">
        <x:v>368</x:v>
      </x:c>
      <x:c r="AE517" s="2" t="s">
        <x:v>317</x:v>
      </x:c>
      <x:c r="AF517" s="2" t="s">
        <x:v>319</x:v>
      </x:c>
      <x:c r="AG517" s="2"/>
      <x:c r="AH517" s="2"/>
      <x:c r="AI517" s="4"/>
      <x:c r="AJ517" s="2"/>
      <x:c r="AK517" s="2" t="s">
        <x:v>320</x:v>
      </x:c>
      <x:c r="AL517" s="2" t="s">
        <x:v>3061</x:v>
      </x:c>
      <x:c r="AM517" s="2">
        <x:v>67</x:v>
      </x:c>
      <x:c r="AN517" s="2">
        <x:v>67</x:v>
      </x:c>
    </x:row>
    <x:row r="518" ht="26">
      <x:c r="A518" s="2" t="s">
        <x:v>6</x:v>
      </x:c>
      <x:c r="B518" s="2" t="s">
        <x:v>16</x:v>
      </x:c>
      <x:c r="C518" s="3">
        <x:v>66</x:v>
      </x:c>
      <x:c r="D518" s="2" t="s">
        <x:v>1718</x:v>
      </x:c>
      <x:c r="E518" s="2" t="s">
        <x:v>1721</x:v>
      </x:c>
      <x:c r="F518" s="2" t="s">
        <x:v>1612</x:v>
      </x:c>
      <x:c r="G518" s="2"/>
      <x:c r="H518" s="2" t="s">
        <x:v>634</x:v>
      </x:c>
      <x:c r="I518" s="2" t="s">
        <x:v>1723</x:v>
      </x:c>
      <x:c r="J518" s="2" t="s">
        <x:v>1677</x:v>
      </x:c>
      <x:c r="K518" s="2" t="n">
        <x:v>64</x:v>
      </x:c>
      <x:c r="L518" s="2" t="s">
        <x:v>1624</x:v>
      </x:c>
      <x:c r="M518" s="2"/>
      <x:c r="N518" s="2"/>
      <x:c r="O518" s="2" t="s">
        <x:v>1678</x:v>
      </x:c>
      <x:c r="P518" s="2" t="s">
        <x:v>1679</x:v>
      </x:c>
      <x:c r="Q518" s="2"/>
      <x:c r="R518" s="3">
        <x:v>4</x:v>
      </x:c>
      <x:c r="S518" s="3"/>
      <x:c r="T518" s="2"/>
      <x:c r="U518" s="2"/>
      <x:c r="V518" s="2"/>
      <x:c r="W518" s="2"/>
      <x:c r="X518" s="3"/>
      <x:c r="Y518" s="3"/>
      <x:c r="Z518" s="2"/>
      <x:c r="AA518" s="2"/>
      <x:c r="AB518" s="2"/>
      <x:c r="AC518" s="2" t="s">
        <x:v>326</x:v>
      </x:c>
      <x:c r="AD518" s="2" t="s">
        <x:v>368</x:v>
      </x:c>
      <x:c r="AE518" s="2" t="s">
        <x:v>317</x:v>
      </x:c>
      <x:c r="AF518" s="2" t="s">
        <x:v>319</x:v>
      </x:c>
      <x:c r="AG518" s="2"/>
      <x:c r="AH518" s="2"/>
      <x:c r="AI518" s="4"/>
      <x:c r="AJ518" s="2"/>
      <x:c r="AK518" s="2" t="s">
        <x:v>320</x:v>
      </x:c>
      <x:c r="AL518" s="2" t="s">
        <x:v>3061</x:v>
      </x:c>
      <x:c r="AM518" s="2">
        <x:v>68</x:v>
      </x:c>
      <x:c r="AN518" s="2">
        <x:v>68</x:v>
      </x:c>
    </x:row>
    <x:row r="519" ht="39">
      <x:c r="A519" s="2" t="s">
        <x:v>6</x:v>
      </x:c>
      <x:c r="B519" s="2" t="s">
        <x:v>16</x:v>
      </x:c>
      <x:c r="C519" s="3">
        <x:v>67</x:v>
      </x:c>
      <x:c r="D519" s="2" t="s">
        <x:v>1700</x:v>
      </x:c>
      <x:c r="E519" s="2" t="s">
        <x:v>1721</x:v>
      </x:c>
      <x:c r="F519" s="2" t="s">
        <x:v>1696</x:v>
      </x:c>
      <x:c r="G519" s="2" t="s">
        <x:v>1735</x:v>
      </x:c>
      <x:c r="H519" s="2" t="s">
        <x:v>634</x:v>
      </x:c>
      <x:c r="I519" s="2" t="s">
        <x:v>1723</x:v>
      </x:c>
      <x:c r="J519" s="2" t="s">
        <x:v>1363</x:v>
      </x:c>
      <x:c r="K519" s="2" t="n">
        <x:v>64</x:v>
      </x:c>
      <x:c r="L519" s="2" t="s">
        <x:v>1624</x:v>
      </x:c>
      <x:c r="M519" s="2"/>
      <x:c r="N519" s="2"/>
      <x:c r="O519" s="2" t="s">
        <x:v>1681</x:v>
      </x:c>
      <x:c r="P519" s="2" t="s">
        <x:v>1729</x:v>
      </x:c>
      <x:c r="Q519" s="2"/>
      <x:c r="R519" s="3">
        <x:v>4</x:v>
      </x:c>
      <x:c r="S519" s="3"/>
      <x:c r="T519" s="2"/>
      <x:c r="U519" s="2"/>
      <x:c r="V519" s="2"/>
      <x:c r="W519" s="2"/>
      <x:c r="X519" s="3"/>
      <x:c r="Y519" s="3"/>
      <x:c r="Z519" s="2"/>
      <x:c r="AA519" s="2"/>
      <x:c r="AB519" s="2"/>
      <x:c r="AC519" s="2" t="s">
        <x:v>326</x:v>
      </x:c>
      <x:c r="AD519" s="2" t="s">
        <x:v>368</x:v>
      </x:c>
      <x:c r="AE519" s="2" t="s">
        <x:v>317</x:v>
      </x:c>
      <x:c r="AF519" s="2" t="s">
        <x:v>319</x:v>
      </x:c>
      <x:c r="AG519" s="2"/>
      <x:c r="AH519" s="2"/>
      <x:c r="AI519" s="4"/>
      <x:c r="AJ519" s="2"/>
      <x:c r="AK519" s="2" t="s">
        <x:v>320</x:v>
      </x:c>
      <x:c r="AL519" s="2" t="s">
        <x:v>3061</x:v>
      </x:c>
      <x:c r="AM519" s="2">
        <x:v>69</x:v>
      </x:c>
      <x:c r="AN519" s="2">
        <x:v>69</x:v>
      </x:c>
    </x:row>
    <x:row r="520" ht="52">
      <x:c r="A520" s="2" t="s">
        <x:v>6</x:v>
      </x:c>
      <x:c r="B520" s="2" t="s">
        <x:v>16</x:v>
      </x:c>
      <x:c r="C520" s="3">
        <x:v>68</x:v>
      </x:c>
      <x:c r="D520" s="2" t="s">
        <x:v>1636</x:v>
      </x:c>
      <x:c r="E520" s="2" t="s">
        <x:v>1594</x:v>
      </x:c>
      <x:c r="F520" s="2" t="s">
        <x:v>1637</x:v>
      </x:c>
      <x:c r="G520" s="2"/>
      <x:c r="H520" s="2" t="s">
        <x:v>618</x:v>
      </x:c>
      <x:c r="I520" s="2" t="s">
        <x:v>1730</x:v>
      </x:c>
      <x:c r="J520" s="2" t="s">
        <x:v>1668</x:v>
      </x:c>
      <x:c r="K520" s="2"/>
      <x:c r="L520" s="2" t="s">
        <x:v>1731</x:v>
      </x:c>
      <x:c r="M520" s="2"/>
      <x:c r="N520" s="2"/>
      <x:c r="O520" s="2" t="s">
        <x:v>1600</x:v>
      </x:c>
      <x:c r="P520" s="2" t="s">
        <x:v>1732</x:v>
      </x:c>
      <x:c r="Q520" s="2"/>
      <x:c r="R520" s="3">
        <x:v>3</x:v>
      </x:c>
      <x:c r="S520" s="3"/>
      <x:c r="T520" s="2"/>
      <x:c r="U520" s="2"/>
      <x:c r="V520" s="2"/>
      <x:c r="W520" s="2"/>
      <x:c r="X520" s="3"/>
      <x:c r="Y520" s="3"/>
      <x:c r="Z520" s="2"/>
      <x:c r="AA520" s="2"/>
      <x:c r="AB520" s="2"/>
      <x:c r="AC520" s="2" t="s">
        <x:v>367</x:v>
      </x:c>
      <x:c r="AD520" s="2" t="s">
        <x:v>317</x:v>
      </x:c>
      <x:c r="AE520" s="2" t="s">
        <x:v>368</x:v>
      </x:c>
      <x:c r="AF520" s="2" t="s">
        <x:v>319</x:v>
      </x:c>
      <x:c r="AG520" s="2"/>
      <x:c r="AH520" s="2"/>
      <x:c r="AI520" s="4"/>
      <x:c r="AJ520" s="2"/>
      <x:c r="AK520" s="2" t="s">
        <x:v>320</x:v>
      </x:c>
      <x:c r="AL520" s="2" t="s">
        <x:v>3061</x:v>
      </x:c>
      <x:c r="AM520" s="2">
        <x:v>70</x:v>
      </x:c>
      <x:c r="AN520" s="2">
        <x:v>70</x:v>
      </x:c>
    </x:row>
    <x:row r="521" ht="39">
      <x:c r="A521" s="2" t="s">
        <x:v>6</x:v>
      </x:c>
      <x:c r="B521" s="2" t="s">
        <x:v>16</x:v>
      </x:c>
      <x:c r="C521" s="3">
        <x:v>69</x:v>
      </x:c>
      <x:c r="D521" s="2" t="s">
        <x:v>1670</x:v>
      </x:c>
      <x:c r="E521" s="2" t="s">
        <x:v>1594</x:v>
      </x:c>
      <x:c r="F521" s="2" t="s">
        <x:v>1671</x:v>
      </x:c>
      <x:c r="G521" s="2" t="s">
        <x:v>3156</x:v>
      </x:c>
      <x:c r="H521" s="2" t="s">
        <x:v>627</x:v>
      </x:c>
      <x:c r="I521" s="2" t="s">
        <x:v>1730</x:v>
      </x:c>
      <x:c r="J521" s="2" t="s">
        <x:v>1673</x:v>
      </x:c>
      <x:c r="K521" s="2" t="n">
        <x:v>68</x:v>
      </x:c>
      <x:c r="L521" s="2" t="s">
        <x:v>1731</x:v>
      </x:c>
      <x:c r="M521" s="2"/>
      <x:c r="N521" s="2"/>
      <x:c r="O521" s="2" t="s">
        <x:v>1674</x:v>
      </x:c>
      <x:c r="P521" s="2" t="s">
        <x:v>1733</x:v>
      </x:c>
      <x:c r="Q521" s="2"/>
      <x:c r="R521" s="3">
        <x:v>3</x:v>
      </x:c>
      <x:c r="S521" s="3"/>
      <x:c r="T521" s="2"/>
      <x:c r="U521" s="2"/>
      <x:c r="V521" s="2"/>
      <x:c r="W521" s="2"/>
      <x:c r="X521" s="3"/>
      <x:c r="Y521" s="3"/>
      <x:c r="Z521" s="2"/>
      <x:c r="AA521" s="2"/>
      <x:c r="AB521" s="2"/>
      <x:c r="AC521" s="2" t="s">
        <x:v>367</x:v>
      </x:c>
      <x:c r="AD521" s="2" t="s">
        <x:v>317</x:v>
      </x:c>
      <x:c r="AE521" s="2" t="s">
        <x:v>368</x:v>
      </x:c>
      <x:c r="AF521" s="2" t="s">
        <x:v>319</x:v>
      </x:c>
      <x:c r="AG521" s="2"/>
      <x:c r="AH521" s="2"/>
      <x:c r="AI521" s="4"/>
      <x:c r="AJ521" s="2"/>
      <x:c r="AK521" s="2" t="s">
        <x:v>320</x:v>
      </x:c>
      <x:c r="AL521" s="2" t="s">
        <x:v>3061</x:v>
      </x:c>
      <x:c r="AM521" s="2">
        <x:v>71</x:v>
      </x:c>
      <x:c r="AN521" s="2">
        <x:v>71</x:v>
      </x:c>
    </x:row>
    <x:row r="522" ht="26">
      <x:c r="A522" s="2" t="s">
        <x:v>6</x:v>
      </x:c>
      <x:c r="B522" s="2" t="s">
        <x:v>16</x:v>
      </x:c>
      <x:c r="C522" s="3">
        <x:v>70</x:v>
      </x:c>
      <x:c r="D522" s="2" t="s">
        <x:v>1734</x:v>
      </x:c>
      <x:c r="E522" s="2" t="s">
        <x:v>1594</x:v>
      </x:c>
      <x:c r="F522" s="2" t="s">
        <x:v>1637</x:v>
      </x:c>
      <x:c r="G522" s="2"/>
      <x:c r="H522" s="2" t="s">
        <x:v>634</x:v>
      </x:c>
      <x:c r="I522" s="2" t="s">
        <x:v>1730</x:v>
      </x:c>
      <x:c r="J522" s="2" t="s">
        <x:v>1677</x:v>
      </x:c>
      <x:c r="K522" s="2" t="n">
        <x:v>68</x:v>
      </x:c>
      <x:c r="L522" s="2" t="s">
        <x:v>1731</x:v>
      </x:c>
      <x:c r="M522" s="2"/>
      <x:c r="N522" s="2"/>
      <x:c r="O522" s="2" t="s">
        <x:v>1678</x:v>
      </x:c>
      <x:c r="P522" s="2" t="s">
        <x:v>1679</x:v>
      </x:c>
      <x:c r="Q522" s="2"/>
      <x:c r="R522" s="3">
        <x:v>3</x:v>
      </x:c>
      <x:c r="S522" s="3"/>
      <x:c r="T522" s="2"/>
      <x:c r="U522" s="2"/>
      <x:c r="V522" s="2"/>
      <x:c r="W522" s="2"/>
      <x:c r="X522" s="3"/>
      <x:c r="Y522" s="3"/>
      <x:c r="Z522" s="2"/>
      <x:c r="AA522" s="2"/>
      <x:c r="AB522" s="2"/>
      <x:c r="AC522" s="2" t="s">
        <x:v>367</x:v>
      </x:c>
      <x:c r="AD522" s="2" t="s">
        <x:v>317</x:v>
      </x:c>
      <x:c r="AE522" s="2" t="s">
        <x:v>368</x:v>
      </x:c>
      <x:c r="AF522" s="2" t="s">
        <x:v>319</x:v>
      </x:c>
      <x:c r="AG522" s="2"/>
      <x:c r="AH522" s="2"/>
      <x:c r="AI522" s="4"/>
      <x:c r="AJ522" s="2"/>
      <x:c r="AK522" s="2" t="s">
        <x:v>320</x:v>
      </x:c>
      <x:c r="AL522" s="2" t="s">
        <x:v>3061</x:v>
      </x:c>
      <x:c r="AM522" s="2">
        <x:v>72</x:v>
      </x:c>
      <x:c r="AN522" s="2">
        <x:v>72</x:v>
      </x:c>
    </x:row>
    <x:row r="523" ht="39">
      <x:c r="A523" s="2" t="s">
        <x:v>6</x:v>
      </x:c>
      <x:c r="B523" s="2" t="s">
        <x:v>16</x:v>
      </x:c>
      <x:c r="C523" s="3">
        <x:v>71</x:v>
      </x:c>
      <x:c r="D523" s="2" t="s">
        <x:v>1680</x:v>
      </x:c>
      <x:c r="E523" s="2" t="s">
        <x:v>1594</x:v>
      </x:c>
      <x:c r="F523" s="2" t="s">
        <x:v>1671</x:v>
      </x:c>
      <x:c r="G523" s="2" t="s">
        <x:v>3157</x:v>
      </x:c>
      <x:c r="H523" s="2" t="s">
        <x:v>634</x:v>
      </x:c>
      <x:c r="I523" s="2" t="s">
        <x:v>1730</x:v>
      </x:c>
      <x:c r="J523" s="2" t="s">
        <x:v>1363</x:v>
      </x:c>
      <x:c r="K523" s="2" t="n">
        <x:v>68</x:v>
      </x:c>
      <x:c r="L523" s="2" t="s">
        <x:v>1731</x:v>
      </x:c>
      <x:c r="M523" s="2"/>
      <x:c r="N523" s="2"/>
      <x:c r="O523" s="2" t="s">
        <x:v>1681</x:v>
      </x:c>
      <x:c r="P523" s="2" t="s">
        <x:v>1736</x:v>
      </x:c>
      <x:c r="Q523" s="2"/>
      <x:c r="R523" s="3">
        <x:v>3</x:v>
      </x:c>
      <x:c r="S523" s="3"/>
      <x:c r="T523" s="2"/>
      <x:c r="U523" s="2"/>
      <x:c r="V523" s="2"/>
      <x:c r="W523" s="2"/>
      <x:c r="X523" s="3"/>
      <x:c r="Y523" s="3"/>
      <x:c r="Z523" s="2"/>
      <x:c r="AA523" s="2"/>
      <x:c r="AB523" s="2"/>
      <x:c r="AC523" s="2" t="s">
        <x:v>367</x:v>
      </x:c>
      <x:c r="AD523" s="2" t="s">
        <x:v>317</x:v>
      </x:c>
      <x:c r="AE523" s="2" t="s">
        <x:v>368</x:v>
      </x:c>
      <x:c r="AF523" s="2" t="s">
        <x:v>319</x:v>
      </x:c>
      <x:c r="AG523" s="2"/>
      <x:c r="AH523" s="2"/>
      <x:c r="AI523" s="4"/>
      <x:c r="AJ523" s="2"/>
      <x:c r="AK523" s="2" t="s">
        <x:v>320</x:v>
      </x:c>
      <x:c r="AL523" s="2" t="s">
        <x:v>3061</x:v>
      </x:c>
      <x:c r="AM523" s="2">
        <x:v>73</x:v>
      </x:c>
      <x:c r="AN523" s="2">
        <x:v>73</x:v>
      </x:c>
    </x:row>
    <x:row r="524" ht="52">
      <x:c r="A524" s="2" t="s">
        <x:v>91</x:v>
      </x:c>
      <x:c r="B524" s="2" t="s">
        <x:v>16</x:v>
      </x:c>
      <x:c r="C524" s="3">
        <x:v>72</x:v>
      </x:c>
      <x:c r="D524" s="2" t="s">
        <x:v>1646</x:v>
      </x:c>
      <x:c r="E524" s="2" t="s">
        <x:v>1721</x:v>
      </x:c>
      <x:c r="F524" s="2" t="s">
        <x:v>1647</x:v>
      </x:c>
      <x:c r="G524" s="2" t="s">
        <x:v>3158</x:v>
      </x:c>
      <x:c r="H524" s="2" t="s">
        <x:v>618</x:v>
      </x:c>
      <x:c r="I524" s="2" t="s">
        <x:v>1737</x:v>
      </x:c>
      <x:c r="J524" s="2" t="s">
        <x:v>1668</x:v>
      </x:c>
      <x:c r="K524" s="2"/>
      <x:c r="L524" s="2" t="s">
        <x:v>1649</x:v>
      </x:c>
      <x:c r="M524" s="2"/>
      <x:c r="N524" s="2"/>
      <x:c r="O524" s="2" t="s">
        <x:v>1600</x:v>
      </x:c>
      <x:c r="P524" s="2" t="s">
        <x:v>1738</x:v>
      </x:c>
      <x:c r="Q524" s="2"/>
      <x:c r="R524" s="3">
        <x:v>4</x:v>
      </x:c>
      <x:c r="S524" s="3"/>
      <x:c r="T524" s="2"/>
      <x:c r="U524" s="2"/>
      <x:c r="V524" s="2"/>
      <x:c r="W524" s="2"/>
      <x:c r="X524" s="3"/>
      <x:c r="Y524" s="3"/>
      <x:c r="Z524" s="2"/>
      <x:c r="AA524" s="2"/>
      <x:c r="AB524" s="2"/>
      <x:c r="AC524" s="2" t="s">
        <x:v>367</x:v>
      </x:c>
      <x:c r="AD524" s="2" t="s">
        <x:v>368</x:v>
      </x:c>
      <x:c r="AE524" s="2" t="s">
        <x:v>317</x:v>
      </x:c>
      <x:c r="AF524" s="2" t="s">
        <x:v>319</x:v>
      </x:c>
      <x:c r="AG524" s="2"/>
      <x:c r="AH524" s="2"/>
      <x:c r="AI524" s="4"/>
      <x:c r="AJ524" s="2"/>
      <x:c r="AK524" s="2" t="s">
        <x:v>320</x:v>
      </x:c>
      <x:c r="AL524" s="2" t="s">
        <x:v>3061</x:v>
      </x:c>
      <x:c r="AM524" s="2">
        <x:v>74</x:v>
      </x:c>
      <x:c r="AN524" s="2">
        <x:v>74</x:v>
      </x:c>
    </x:row>
    <x:row r="525" ht="39">
      <x:c r="A525" s="2" t="s">
        <x:v>6</x:v>
      </x:c>
      <x:c r="B525" s="2" t="s">
        <x:v>16</x:v>
      </x:c>
      <x:c r="C525" s="3">
        <x:v>73</x:v>
      </x:c>
      <x:c r="D525" s="2" t="s">
        <x:v>1725</x:v>
      </x:c>
      <x:c r="E525" s="2" t="s">
        <x:v>1721</x:v>
      </x:c>
      <x:c r="F525" s="2" t="s">
        <x:v>1696</x:v>
      </x:c>
      <x:c r="G525" s="2" t="s">
        <x:v>2960</x:v>
      </x:c>
      <x:c r="H525" s="2" t="s">
        <x:v>627</x:v>
      </x:c>
      <x:c r="I525" s="2" t="s">
        <x:v>1737</x:v>
      </x:c>
      <x:c r="J525" s="2" t="s">
        <x:v>1673</x:v>
      </x:c>
      <x:c r="K525" s="2" t="n">
        <x:v>72</x:v>
      </x:c>
      <x:c r="L525" s="2" t="s">
        <x:v>1649</x:v>
      </x:c>
      <x:c r="M525" s="2"/>
      <x:c r="N525" s="2"/>
      <x:c r="O525" s="2" t="s">
        <x:v>1674</x:v>
      </x:c>
      <x:c r="P525" s="2" t="s">
        <x:v>1740</x:v>
      </x:c>
      <x:c r="Q525" s="2"/>
      <x:c r="R525" s="3">
        <x:v>4</x:v>
      </x:c>
      <x:c r="S525" s="3"/>
      <x:c r="T525" s="2"/>
      <x:c r="U525" s="2"/>
      <x:c r="V525" s="2"/>
      <x:c r="W525" s="2"/>
      <x:c r="X525" s="3"/>
      <x:c r="Y525" s="3"/>
      <x:c r="Z525" s="2"/>
      <x:c r="AA525" s="2"/>
      <x:c r="AB525" s="2"/>
      <x:c r="AC525" s="2" t="s">
        <x:v>367</x:v>
      </x:c>
      <x:c r="AD525" s="2" t="s">
        <x:v>368</x:v>
      </x:c>
      <x:c r="AE525" s="2" t="s">
        <x:v>317</x:v>
      </x:c>
      <x:c r="AF525" s="2" t="s">
        <x:v>319</x:v>
      </x:c>
      <x:c r="AG525" s="2"/>
      <x:c r="AH525" s="2"/>
      <x:c r="AI525" s="4"/>
      <x:c r="AJ525" s="2"/>
      <x:c r="AK525" s="2" t="s">
        <x:v>320</x:v>
      </x:c>
      <x:c r="AL525" s="2" t="s">
        <x:v>3061</x:v>
      </x:c>
      <x:c r="AM525" s="2">
        <x:v>75</x:v>
      </x:c>
      <x:c r="AN525" s="2">
        <x:v>75</x:v>
      </x:c>
    </x:row>
    <x:row r="526" ht="26">
      <x:c r="A526" s="2" t="s">
        <x:v>6</x:v>
      </x:c>
      <x:c r="B526" s="2" t="s">
        <x:v>16</x:v>
      </x:c>
      <x:c r="C526" s="3">
        <x:v>74</x:v>
      </x:c>
      <x:c r="D526" s="2" t="s">
        <x:v>1741</x:v>
      </x:c>
      <x:c r="E526" s="2" t="s">
        <x:v>1721</x:v>
      </x:c>
      <x:c r="F526" s="2" t="s">
        <x:v>1647</x:v>
      </x:c>
      <x:c r="G526" s="2"/>
      <x:c r="H526" s="2" t="s">
        <x:v>634</x:v>
      </x:c>
      <x:c r="I526" s="2" t="s">
        <x:v>1737</x:v>
      </x:c>
      <x:c r="J526" s="2" t="s">
        <x:v>1677</x:v>
      </x:c>
      <x:c r="K526" s="2" t="n">
        <x:v>72</x:v>
      </x:c>
      <x:c r="L526" s="2" t="s">
        <x:v>1649</x:v>
      </x:c>
      <x:c r="M526" s="2"/>
      <x:c r="N526" s="2"/>
      <x:c r="O526" s="2" t="s">
        <x:v>1678</x:v>
      </x:c>
      <x:c r="P526" s="2" t="s">
        <x:v>1679</x:v>
      </x:c>
      <x:c r="Q526" s="2"/>
      <x:c r="R526" s="3">
        <x:v>4</x:v>
      </x:c>
      <x:c r="S526" s="3"/>
      <x:c r="T526" s="2"/>
      <x:c r="U526" s="2"/>
      <x:c r="V526" s="2"/>
      <x:c r="W526" s="2"/>
      <x:c r="X526" s="3"/>
      <x:c r="Y526" s="3"/>
      <x:c r="Z526" s="2"/>
      <x:c r="AA526" s="2"/>
      <x:c r="AB526" s="2"/>
      <x:c r="AC526" s="2" t="s">
        <x:v>367</x:v>
      </x:c>
      <x:c r="AD526" s="2" t="s">
        <x:v>368</x:v>
      </x:c>
      <x:c r="AE526" s="2" t="s">
        <x:v>317</x:v>
      </x:c>
      <x:c r="AF526" s="2" t="s">
        <x:v>319</x:v>
      </x:c>
      <x:c r="AG526" s="2"/>
      <x:c r="AH526" s="2"/>
      <x:c r="AI526" s="4"/>
      <x:c r="AJ526" s="2"/>
      <x:c r="AK526" s="2" t="s">
        <x:v>320</x:v>
      </x:c>
      <x:c r="AL526" s="2" t="s">
        <x:v>3061</x:v>
      </x:c>
      <x:c r="AM526" s="2">
        <x:v>76</x:v>
      </x:c>
      <x:c r="AN526" s="2">
        <x:v>76</x:v>
      </x:c>
    </x:row>
    <x:row r="527" ht="39">
      <x:c r="A527" s="2" t="s">
        <x:v>6</x:v>
      </x:c>
      <x:c r="B527" s="2" t="s">
        <x:v>16</x:v>
      </x:c>
      <x:c r="C527" s="3">
        <x:v>75</x:v>
      </x:c>
      <x:c r="D527" s="2" t="s">
        <x:v>1700</x:v>
      </x:c>
      <x:c r="E527" s="2" t="s">
        <x:v>1721</x:v>
      </x:c>
      <x:c r="F527" s="2" t="s">
        <x:v>1696</x:v>
      </x:c>
      <x:c r="G527" s="2" t="s">
        <x:v>3159</x:v>
      </x:c>
      <x:c r="H527" s="2" t="s">
        <x:v>634</x:v>
      </x:c>
      <x:c r="I527" s="2" t="s">
        <x:v>1737</x:v>
      </x:c>
      <x:c r="J527" s="2" t="s">
        <x:v>1363</x:v>
      </x:c>
      <x:c r="K527" s="2" t="n">
        <x:v>72</x:v>
      </x:c>
      <x:c r="L527" s="2" t="s">
        <x:v>1649</x:v>
      </x:c>
      <x:c r="M527" s="2"/>
      <x:c r="N527" s="2"/>
      <x:c r="O527" s="2" t="s">
        <x:v>1681</x:v>
      </x:c>
      <x:c r="P527" s="2" t="s">
        <x:v>1743</x:v>
      </x:c>
      <x:c r="Q527" s="2"/>
      <x:c r="R527" s="3">
        <x:v>4</x:v>
      </x:c>
      <x:c r="S527" s="3"/>
      <x:c r="T527" s="2"/>
      <x:c r="U527" s="2"/>
      <x:c r="V527" s="2"/>
      <x:c r="W527" s="2"/>
      <x:c r="X527" s="3"/>
      <x:c r="Y527" s="3"/>
      <x:c r="Z527" s="2"/>
      <x:c r="AA527" s="2"/>
      <x:c r="AB527" s="2"/>
      <x:c r="AC527" s="2" t="s">
        <x:v>367</x:v>
      </x:c>
      <x:c r="AD527" s="2" t="s">
        <x:v>368</x:v>
      </x:c>
      <x:c r="AE527" s="2" t="s">
        <x:v>317</x:v>
      </x:c>
      <x:c r="AF527" s="2" t="s">
        <x:v>319</x:v>
      </x:c>
      <x:c r="AG527" s="2"/>
      <x:c r="AH527" s="2"/>
      <x:c r="AI527" s="4"/>
      <x:c r="AJ527" s="2"/>
      <x:c r="AK527" s="2" t="s">
        <x:v>320</x:v>
      </x:c>
      <x:c r="AL527" s="2" t="s">
        <x:v>3061</x:v>
      </x:c>
      <x:c r="AM527" s="2">
        <x:v>77</x:v>
      </x:c>
      <x:c r="AN527" s="2">
        <x:v>77</x:v>
      </x:c>
    </x:row>
    <x:row r="528" ht="52">
      <x:c r="A528" s="2" t="s">
        <x:v>91</x:v>
      </x:c>
      <x:c r="B528" s="2" t="s">
        <x:v>16</x:v>
      </x:c>
      <x:c r="C528" s="3">
        <x:v>76</x:v>
      </x:c>
      <x:c r="D528" s="2" t="s">
        <x:v>1642</x:v>
      </x:c>
      <x:c r="E528" s="2" t="s">
        <x:v>1594</x:v>
      </x:c>
      <x:c r="F528" s="2" t="s">
        <x:v>1643</x:v>
      </x:c>
      <x:c r="G528" s="2" t="s">
        <x:v>1735</x:v>
      </x:c>
      <x:c r="H528" s="2" t="s">
        <x:v>618</x:v>
      </x:c>
      <x:c r="I528" s="2" t="s">
        <x:v>1744</x:v>
      </x:c>
      <x:c r="J528" s="2" t="s">
        <x:v>1668</x:v>
      </x:c>
      <x:c r="K528" s="2"/>
      <x:c r="L528" s="2" t="s">
        <x:v>1745</x:v>
      </x:c>
      <x:c r="M528" s="2"/>
      <x:c r="N528" s="2"/>
      <x:c r="O528" s="2" t="s">
        <x:v>1600</x:v>
      </x:c>
      <x:c r="P528" s="2" t="s">
        <x:v>1746</x:v>
      </x:c>
      <x:c r="Q528" s="2"/>
      <x:c r="R528" s="3">
        <x:v>3</x:v>
      </x:c>
      <x:c r="S528" s="3"/>
      <x:c r="T528" s="2"/>
      <x:c r="U528" s="2"/>
      <x:c r="V528" s="2"/>
      <x:c r="W528" s="2"/>
      <x:c r="X528" s="3"/>
      <x:c r="Y528" s="3"/>
      <x:c r="Z528" s="2"/>
      <x:c r="AA528" s="2"/>
      <x:c r="AB528" s="2"/>
      <x:c r="AC528" s="2" t="s">
        <x:v>374</x:v>
      </x:c>
      <x:c r="AD528" s="2" t="s">
        <x:v>317</x:v>
      </x:c>
      <x:c r="AE528" s="2" t="s">
        <x:v>368</x:v>
      </x:c>
      <x:c r="AF528" s="2" t="s">
        <x:v>319</x:v>
      </x:c>
      <x:c r="AG528" s="2"/>
      <x:c r="AH528" s="2"/>
      <x:c r="AI528" s="4"/>
      <x:c r="AJ528" s="2"/>
      <x:c r="AK528" s="2" t="s">
        <x:v>320</x:v>
      </x:c>
      <x:c r="AL528" s="2" t="s">
        <x:v>3061</x:v>
      </x:c>
      <x:c r="AM528" s="2">
        <x:v>78</x:v>
      </x:c>
      <x:c r="AN528" s="2">
        <x:v>78</x:v>
      </x:c>
    </x:row>
    <x:row r="529" ht="39">
      <x:c r="A529" s="2" t="s">
        <x:v>6</x:v>
      </x:c>
      <x:c r="B529" s="2" t="s">
        <x:v>16</x:v>
      </x:c>
      <x:c r="C529" s="3">
        <x:v>77</x:v>
      </x:c>
      <x:c r="D529" s="2" t="s">
        <x:v>1670</x:v>
      </x:c>
      <x:c r="E529" s="2" t="s">
        <x:v>1594</x:v>
      </x:c>
      <x:c r="F529" s="2" t="s">
        <x:v>1671</x:v>
      </x:c>
      <x:c r="G529" s="2" t="s">
        <x:v>3160</x:v>
      </x:c>
      <x:c r="H529" s="2" t="s">
        <x:v>627</x:v>
      </x:c>
      <x:c r="I529" s="2" t="s">
        <x:v>1744</x:v>
      </x:c>
      <x:c r="J529" s="2" t="s">
        <x:v>1673</x:v>
      </x:c>
      <x:c r="K529" s="2" t="n">
        <x:v>76</x:v>
      </x:c>
      <x:c r="L529" s="2" t="s">
        <x:v>1745</x:v>
      </x:c>
      <x:c r="M529" s="2"/>
      <x:c r="N529" s="2"/>
      <x:c r="O529" s="2" t="s">
        <x:v>1674</x:v>
      </x:c>
      <x:c r="P529" s="2" t="s">
        <x:v>1747</x:v>
      </x:c>
      <x:c r="Q529" s="2"/>
      <x:c r="R529" s="3">
        <x:v>3</x:v>
      </x:c>
      <x:c r="S529" s="3"/>
      <x:c r="T529" s="2"/>
      <x:c r="U529" s="2"/>
      <x:c r="V529" s="2"/>
      <x:c r="W529" s="2"/>
      <x:c r="X529" s="3"/>
      <x:c r="Y529" s="3"/>
      <x:c r="Z529" s="2"/>
      <x:c r="AA529" s="2"/>
      <x:c r="AB529" s="2"/>
      <x:c r="AC529" s="2" t="s">
        <x:v>374</x:v>
      </x:c>
      <x:c r="AD529" s="2" t="s">
        <x:v>317</x:v>
      </x:c>
      <x:c r="AE529" s="2" t="s">
        <x:v>368</x:v>
      </x:c>
      <x:c r="AF529" s="2" t="s">
        <x:v>319</x:v>
      </x:c>
      <x:c r="AG529" s="2"/>
      <x:c r="AH529" s="2"/>
      <x:c r="AI529" s="4"/>
      <x:c r="AJ529" s="2"/>
      <x:c r="AK529" s="2" t="s">
        <x:v>320</x:v>
      </x:c>
      <x:c r="AL529" s="2" t="s">
        <x:v>3061</x:v>
      </x:c>
      <x:c r="AM529" s="2">
        <x:v>79</x:v>
      </x:c>
      <x:c r="AN529" s="2">
        <x:v>79</x:v>
      </x:c>
    </x:row>
    <x:row r="530" ht="26">
      <x:c r="A530" s="2" t="s">
        <x:v>91</x:v>
      </x:c>
      <x:c r="B530" s="2" t="s">
        <x:v>16</x:v>
      </x:c>
      <x:c r="C530" s="3">
        <x:v>78</x:v>
      </x:c>
      <x:c r="D530" s="2" t="s">
        <x:v>1748</x:v>
      </x:c>
      <x:c r="E530" s="2" t="s">
        <x:v>1594</x:v>
      </x:c>
      <x:c r="F530" s="2" t="s">
        <x:v>1643</x:v>
      </x:c>
      <x:c r="G530" s="2" t="s">
        <x:v>2965</x:v>
      </x:c>
      <x:c r="H530" s="2" t="s">
        <x:v>634</x:v>
      </x:c>
      <x:c r="I530" s="2" t="s">
        <x:v>1744</x:v>
      </x:c>
      <x:c r="J530" s="2" t="s">
        <x:v>1677</x:v>
      </x:c>
      <x:c r="K530" s="2" t="n">
        <x:v>76</x:v>
      </x:c>
      <x:c r="L530" s="2" t="s">
        <x:v>1745</x:v>
      </x:c>
      <x:c r="M530" s="2"/>
      <x:c r="N530" s="2"/>
      <x:c r="O530" s="2" t="s">
        <x:v>1678</x:v>
      </x:c>
      <x:c r="P530" s="2" t="s">
        <x:v>1679</x:v>
      </x:c>
      <x:c r="Q530" s="2"/>
      <x:c r="R530" s="3">
        <x:v>3</x:v>
      </x:c>
      <x:c r="S530" s="3"/>
      <x:c r="T530" s="2"/>
      <x:c r="U530" s="2"/>
      <x:c r="V530" s="2"/>
      <x:c r="W530" s="2"/>
      <x:c r="X530" s="3"/>
      <x:c r="Y530" s="3"/>
      <x:c r="Z530" s="2"/>
      <x:c r="AA530" s="2"/>
      <x:c r="AB530" s="2"/>
      <x:c r="AC530" s="2" t="s">
        <x:v>374</x:v>
      </x:c>
      <x:c r="AD530" s="2" t="s">
        <x:v>317</x:v>
      </x:c>
      <x:c r="AE530" s="2" t="s">
        <x:v>368</x:v>
      </x:c>
      <x:c r="AF530" s="2" t="s">
        <x:v>319</x:v>
      </x:c>
      <x:c r="AG530" s="2"/>
      <x:c r="AH530" s="2"/>
      <x:c r="AI530" s="4"/>
      <x:c r="AJ530" s="2"/>
      <x:c r="AK530" s="2" t="s">
        <x:v>320</x:v>
      </x:c>
      <x:c r="AL530" s="2" t="s">
        <x:v>3061</x:v>
      </x:c>
      <x:c r="AM530" s="2">
        <x:v>80</x:v>
      </x:c>
      <x:c r="AN530" s="2">
        <x:v>80</x:v>
      </x:c>
    </x:row>
    <x:row r="531" ht="39">
      <x:c r="A531" s="2" t="s">
        <x:v>6</x:v>
      </x:c>
      <x:c r="B531" s="2" t="s">
        <x:v>16</x:v>
      </x:c>
      <x:c r="C531" s="3">
        <x:v>79</x:v>
      </x:c>
      <x:c r="D531" s="2" t="s">
        <x:v>1680</x:v>
      </x:c>
      <x:c r="E531" s="2" t="s">
        <x:v>1594</x:v>
      </x:c>
      <x:c r="F531" s="2" t="s">
        <x:v>1671</x:v>
      </x:c>
      <x:c r="G531" s="2" t="s">
        <x:v>1735</x:v>
      </x:c>
      <x:c r="H531" s="2" t="s">
        <x:v>634</x:v>
      </x:c>
      <x:c r="I531" s="2" t="s">
        <x:v>1744</x:v>
      </x:c>
      <x:c r="J531" s="2" t="s">
        <x:v>1363</x:v>
      </x:c>
      <x:c r="K531" s="2" t="n">
        <x:v>76</x:v>
      </x:c>
      <x:c r="L531" s="2" t="s">
        <x:v>1745</x:v>
      </x:c>
      <x:c r="M531" s="2"/>
      <x:c r="N531" s="2"/>
      <x:c r="O531" s="2" t="s">
        <x:v>1681</x:v>
      </x:c>
      <x:c r="P531" s="2" t="s">
        <x:v>1750</x:v>
      </x:c>
      <x:c r="Q531" s="2"/>
      <x:c r="R531" s="3">
        <x:v>3</x:v>
      </x:c>
      <x:c r="S531" s="3"/>
      <x:c r="T531" s="2"/>
      <x:c r="U531" s="2"/>
      <x:c r="V531" s="2"/>
      <x:c r="W531" s="2"/>
      <x:c r="X531" s="3"/>
      <x:c r="Y531" s="3"/>
      <x:c r="Z531" s="2"/>
      <x:c r="AA531" s="2"/>
      <x:c r="AB531" s="2"/>
      <x:c r="AC531" s="2" t="s">
        <x:v>374</x:v>
      </x:c>
      <x:c r="AD531" s="2" t="s">
        <x:v>317</x:v>
      </x:c>
      <x:c r="AE531" s="2" t="s">
        <x:v>368</x:v>
      </x:c>
      <x:c r="AF531" s="2" t="s">
        <x:v>319</x:v>
      </x:c>
      <x:c r="AG531" s="2"/>
      <x:c r="AH531" s="2"/>
      <x:c r="AI531" s="4"/>
      <x:c r="AJ531" s="2"/>
      <x:c r="AK531" s="2" t="s">
        <x:v>320</x:v>
      </x:c>
      <x:c r="AL531" s="2" t="s">
        <x:v>3061</x:v>
      </x:c>
      <x:c r="AM531" s="2">
        <x:v>81</x:v>
      </x:c>
      <x:c r="AN531" s="2">
        <x:v>81</x:v>
      </x:c>
    </x:row>
    <x:row r="532" ht="52">
      <x:c r="A532" s="2" t="s">
        <x:v>6</x:v>
      </x:c>
      <x:c r="B532" s="2" t="s">
        <x:v>16</x:v>
      </x:c>
      <x:c r="C532" s="3">
        <x:v>80</x:v>
      </x:c>
      <x:c r="D532" s="2" t="s">
        <x:v>1651</x:v>
      </x:c>
      <x:c r="E532" s="2" t="s">
        <x:v>1721</x:v>
      </x:c>
      <x:c r="F532" s="2" t="s">
        <x:v>1652</x:v>
      </x:c>
      <x:c r="G532" s="2"/>
      <x:c r="H532" s="2" t="s">
        <x:v>618</x:v>
      </x:c>
      <x:c r="I532" s="2" t="s">
        <x:v>1752</x:v>
      </x:c>
      <x:c r="J532" s="2" t="s">
        <x:v>1668</x:v>
      </x:c>
      <x:c r="K532" s="2"/>
      <x:c r="L532" s="2" t="s">
        <x:v>1653</x:v>
      </x:c>
      <x:c r="M532" s="2"/>
      <x:c r="N532" s="2"/>
      <x:c r="O532" s="2" t="s">
        <x:v>1600</x:v>
      </x:c>
      <x:c r="P532" s="2" t="s">
        <x:v>1753</x:v>
      </x:c>
      <x:c r="Q532" s="2"/>
      <x:c r="R532" s="3">
        <x:v>4</x:v>
      </x:c>
      <x:c r="S532" s="3"/>
      <x:c r="T532" s="2"/>
      <x:c r="U532" s="2"/>
      <x:c r="V532" s="2"/>
      <x:c r="W532" s="2"/>
      <x:c r="X532" s="3"/>
      <x:c r="Y532" s="3"/>
      <x:c r="Z532" s="2"/>
      <x:c r="AA532" s="2"/>
      <x:c r="AB532" s="2"/>
      <x:c r="AC532" s="2" t="s">
        <x:v>374</x:v>
      </x:c>
      <x:c r="AD532" s="2" t="s">
        <x:v>368</x:v>
      </x:c>
      <x:c r="AE532" s="2" t="s">
        <x:v>317</x:v>
      </x:c>
      <x:c r="AF532" s="2" t="s">
        <x:v>319</x:v>
      </x:c>
      <x:c r="AG532" s="2"/>
      <x:c r="AH532" s="2"/>
      <x:c r="AI532" s="4"/>
      <x:c r="AJ532" s="2"/>
      <x:c r="AK532" s="2" t="s">
        <x:v>320</x:v>
      </x:c>
      <x:c r="AL532" s="2" t="s">
        <x:v>3061</x:v>
      </x:c>
      <x:c r="AM532" s="2">
        <x:v>82</x:v>
      </x:c>
      <x:c r="AN532" s="2">
        <x:v>82</x:v>
      </x:c>
    </x:row>
    <x:row r="533" ht="39">
      <x:c r="A533" s="2" t="s">
        <x:v>6</x:v>
      </x:c>
      <x:c r="B533" s="2" t="s">
        <x:v>16</x:v>
      </x:c>
      <x:c r="C533" s="3">
        <x:v>81</x:v>
      </x:c>
      <x:c r="D533" s="2" t="s">
        <x:v>1695</x:v>
      </x:c>
      <x:c r="E533" s="2" t="s">
        <x:v>1721</x:v>
      </x:c>
      <x:c r="F533" s="2" t="s">
        <x:v>1696</x:v>
      </x:c>
      <x:c r="G533" s="2" t="s">
        <x:v>3161</x:v>
      </x:c>
      <x:c r="H533" s="2" t="s">
        <x:v>627</x:v>
      </x:c>
      <x:c r="I533" s="2" t="s">
        <x:v>1752</x:v>
      </x:c>
      <x:c r="J533" s="2" t="s">
        <x:v>1673</x:v>
      </x:c>
      <x:c r="K533" s="2" t="n">
        <x:v>80</x:v>
      </x:c>
      <x:c r="L533" s="2" t="s">
        <x:v>1653</x:v>
      </x:c>
      <x:c r="M533" s="2"/>
      <x:c r="N533" s="2"/>
      <x:c r="O533" s="2" t="s">
        <x:v>1674</x:v>
      </x:c>
      <x:c r="P533" s="2" t="s">
        <x:v>1754</x:v>
      </x:c>
      <x:c r="Q533" s="2"/>
      <x:c r="R533" s="3">
        <x:v>4</x:v>
      </x:c>
      <x:c r="S533" s="3"/>
      <x:c r="T533" s="2"/>
      <x:c r="U533" s="2"/>
      <x:c r="V533" s="2"/>
      <x:c r="W533" s="2"/>
      <x:c r="X533" s="3"/>
      <x:c r="Y533" s="3"/>
      <x:c r="Z533" s="2"/>
      <x:c r="AA533" s="2"/>
      <x:c r="AB533" s="2"/>
      <x:c r="AC533" s="2" t="s">
        <x:v>374</x:v>
      </x:c>
      <x:c r="AD533" s="2" t="s">
        <x:v>368</x:v>
      </x:c>
      <x:c r="AE533" s="2" t="s">
        <x:v>317</x:v>
      </x:c>
      <x:c r="AF533" s="2" t="s">
        <x:v>319</x:v>
      </x:c>
      <x:c r="AG533" s="2"/>
      <x:c r="AH533" s="2"/>
      <x:c r="AI533" s="4"/>
      <x:c r="AJ533" s="2"/>
      <x:c r="AK533" s="2" t="s">
        <x:v>320</x:v>
      </x:c>
      <x:c r="AL533" s="2" t="s">
        <x:v>3061</x:v>
      </x:c>
      <x:c r="AM533" s="2">
        <x:v>83</x:v>
      </x:c>
      <x:c r="AN533" s="2">
        <x:v>83</x:v>
      </x:c>
    </x:row>
    <x:row r="534" ht="26">
      <x:c r="A534" s="2" t="s">
        <x:v>91</x:v>
      </x:c>
      <x:c r="B534" s="2" t="s">
        <x:v>16</x:v>
      </x:c>
      <x:c r="C534" s="3">
        <x:v>82</x:v>
      </x:c>
      <x:c r="D534" s="2" t="s">
        <x:v>1755</x:v>
      </x:c>
      <x:c r="E534" s="2" t="s">
        <x:v>1721</x:v>
      </x:c>
      <x:c r="F534" s="2" t="s">
        <x:v>1652</x:v>
      </x:c>
      <x:c r="G534" s="2" t="s">
        <x:v>1756</x:v>
      </x:c>
      <x:c r="H534" s="2" t="s">
        <x:v>634</x:v>
      </x:c>
      <x:c r="I534" s="2" t="s">
        <x:v>1752</x:v>
      </x:c>
      <x:c r="J534" s="2" t="s">
        <x:v>1677</x:v>
      </x:c>
      <x:c r="K534" s="2" t="n">
        <x:v>80</x:v>
      </x:c>
      <x:c r="L534" s="2" t="s">
        <x:v>1653</x:v>
      </x:c>
      <x:c r="M534" s="2"/>
      <x:c r="N534" s="2"/>
      <x:c r="O534" s="2" t="s">
        <x:v>1678</x:v>
      </x:c>
      <x:c r="P534" s="2" t="s">
        <x:v>1679</x:v>
      </x:c>
      <x:c r="Q534" s="2"/>
      <x:c r="R534" s="3">
        <x:v>4</x:v>
      </x:c>
      <x:c r="S534" s="3"/>
      <x:c r="T534" s="2"/>
      <x:c r="U534" s="2"/>
      <x:c r="V534" s="2"/>
      <x:c r="W534" s="2"/>
      <x:c r="X534" s="3"/>
      <x:c r="Y534" s="3"/>
      <x:c r="Z534" s="2"/>
      <x:c r="AA534" s="2"/>
      <x:c r="AB534" s="2"/>
      <x:c r="AC534" s="2" t="s">
        <x:v>374</x:v>
      </x:c>
      <x:c r="AD534" s="2" t="s">
        <x:v>368</x:v>
      </x:c>
      <x:c r="AE534" s="2" t="s">
        <x:v>317</x:v>
      </x:c>
      <x:c r="AF534" s="2" t="s">
        <x:v>319</x:v>
      </x:c>
      <x:c r="AG534" s="2"/>
      <x:c r="AH534" s="2"/>
      <x:c r="AI534" s="4"/>
      <x:c r="AJ534" s="2"/>
      <x:c r="AK534" s="2" t="s">
        <x:v>320</x:v>
      </x:c>
      <x:c r="AL534" s="2" t="s">
        <x:v>3061</x:v>
      </x:c>
      <x:c r="AM534" s="2">
        <x:v>84</x:v>
      </x:c>
      <x:c r="AN534" s="2">
        <x:v>84</x:v>
      </x:c>
    </x:row>
    <x:row r="535" ht="39">
      <x:c r="A535" s="2" t="s">
        <x:v>6</x:v>
      </x:c>
      <x:c r="B535" s="2" t="s">
        <x:v>16</x:v>
      </x:c>
      <x:c r="C535" s="3">
        <x:v>83</x:v>
      </x:c>
      <x:c r="D535" s="2" t="s">
        <x:v>1700</x:v>
      </x:c>
      <x:c r="E535" s="2" t="s">
        <x:v>1721</x:v>
      </x:c>
      <x:c r="F535" s="2" t="s">
        <x:v>1696</x:v>
      </x:c>
      <x:c r="G535" s="2" t="s">
        <x:v>1756</x:v>
      </x:c>
      <x:c r="H535" s="2" t="s">
        <x:v>634</x:v>
      </x:c>
      <x:c r="I535" s="2" t="s">
        <x:v>1752</x:v>
      </x:c>
      <x:c r="J535" s="2" t="s">
        <x:v>1363</x:v>
      </x:c>
      <x:c r="K535" s="2" t="n">
        <x:v>80</x:v>
      </x:c>
      <x:c r="L535" s="2" t="s">
        <x:v>1653</x:v>
      </x:c>
      <x:c r="M535" s="2"/>
      <x:c r="N535" s="2"/>
      <x:c r="O535" s="2" t="s">
        <x:v>1681</x:v>
      </x:c>
      <x:c r="P535" s="2" t="s">
        <x:v>1757</x:v>
      </x:c>
      <x:c r="Q535" s="2"/>
      <x:c r="R535" s="3">
        <x:v>4</x:v>
      </x:c>
      <x:c r="S535" s="3"/>
      <x:c r="T535" s="2"/>
      <x:c r="U535" s="2"/>
      <x:c r="V535" s="2"/>
      <x:c r="W535" s="2"/>
      <x:c r="X535" s="3"/>
      <x:c r="Y535" s="3"/>
      <x:c r="Z535" s="2"/>
      <x:c r="AA535" s="2"/>
      <x:c r="AB535" s="2"/>
      <x:c r="AC535" s="2" t="s">
        <x:v>374</x:v>
      </x:c>
      <x:c r="AD535" s="2" t="s">
        <x:v>368</x:v>
      </x:c>
      <x:c r="AE535" s="2" t="s">
        <x:v>317</x:v>
      </x:c>
      <x:c r="AF535" s="2" t="s">
        <x:v>319</x:v>
      </x:c>
      <x:c r="AG535" s="2"/>
      <x:c r="AH535" s="2"/>
      <x:c r="AI535" s="4"/>
      <x:c r="AJ535" s="2"/>
      <x:c r="AK535" s="2" t="s">
        <x:v>320</x:v>
      </x:c>
      <x:c r="AL535" s="2" t="s">
        <x:v>3061</x:v>
      </x:c>
      <x:c r="AM535" s="2">
        <x:v>85</x:v>
      </x:c>
      <x:c r="AN535" s="2">
        <x:v>85</x:v>
      </x:c>
    </x:row>
    <x:row r="536" ht="52">
      <x:c r="A536" s="2" t="s">
        <x:v>6</x:v>
      </x:c>
      <x:c r="B536" s="2" t="s">
        <x:v>16</x:v>
      </x:c>
      <x:c r="C536" s="3">
        <x:v>84</x:v>
      </x:c>
      <x:c r="D536" s="2" t="s">
        <x:v>1593</x:v>
      </x:c>
      <x:c r="E536" s="2" t="s">
        <x:v>1758</x:v>
      </x:c>
      <x:c r="F536" s="2" t="s">
        <x:v>1595</x:v>
      </x:c>
      <x:c r="G536" s="2"/>
      <x:c r="H536" s="2" t="s">
        <x:v>618</x:v>
      </x:c>
      <x:c r="I536" s="2" t="s">
        <x:v>1760</x:v>
      </x:c>
      <x:c r="J536" s="2" t="s">
        <x:v>1668</x:v>
      </x:c>
      <x:c r="K536" s="2"/>
      <x:c r="L536" s="2" t="s">
        <x:v>1617</x:v>
      </x:c>
      <x:c r="M536" s="2"/>
      <x:c r="N536" s="2"/>
      <x:c r="O536" s="2" t="s">
        <x:v>1600</x:v>
      </x:c>
      <x:c r="P536" s="2" t="s">
        <x:v>1684</x:v>
      </x:c>
      <x:c r="Q536" s="2"/>
      <x:c r="R536" s="3">
        <x:v>4</x:v>
      </x:c>
      <x:c r="S536" s="3"/>
      <x:c r="T536" s="2"/>
      <x:c r="U536" s="2"/>
      <x:c r="V536" s="2"/>
      <x:c r="W536" s="2"/>
      <x:c r="X536" s="3"/>
      <x:c r="Y536" s="3"/>
      <x:c r="Z536" s="2"/>
      <x:c r="AA536" s="2"/>
      <x:c r="AB536" s="2"/>
      <x:c r="AC536" s="2" t="s">
        <x:v>316</x:v>
      </x:c>
      <x:c r="AD536" s="2" t="s">
        <x:v>317</x:v>
      </x:c>
      <x:c r="AE536" s="2" t="s">
        <x:v>368</x:v>
      </x:c>
      <x:c r="AF536" s="2" t="s">
        <x:v>319</x:v>
      </x:c>
      <x:c r="AG536" s="2"/>
      <x:c r="AH536" s="2"/>
      <x:c r="AI536" s="4"/>
      <x:c r="AJ536" s="2"/>
      <x:c r="AK536" s="2" t="s">
        <x:v>320</x:v>
      </x:c>
      <x:c r="AL536" s="2" t="s">
        <x:v>3061</x:v>
      </x:c>
      <x:c r="AM536" s="2">
        <x:v>86</x:v>
      </x:c>
      <x:c r="AN536" s="2">
        <x:v>86</x:v>
      </x:c>
    </x:row>
    <x:row r="537" ht="39">
      <x:c r="A537" s="2" t="s">
        <x:v>6</x:v>
      </x:c>
      <x:c r="B537" s="2" t="s">
        <x:v>16</x:v>
      </x:c>
      <x:c r="C537" s="3">
        <x:v>85</x:v>
      </x:c>
      <x:c r="D537" s="2" t="s">
        <x:v>1685</x:v>
      </x:c>
      <x:c r="E537" s="2" t="s">
        <x:v>1758</x:v>
      </x:c>
      <x:c r="F537" s="2" t="s">
        <x:v>1671</x:v>
      </x:c>
      <x:c r="G537" s="2" t="s">
        <x:v>3162</x:v>
      </x:c>
      <x:c r="H537" s="2" t="s">
        <x:v>627</x:v>
      </x:c>
      <x:c r="I537" s="2" t="s">
        <x:v>1760</x:v>
      </x:c>
      <x:c r="J537" s="2" t="s">
        <x:v>1673</x:v>
      </x:c>
      <x:c r="K537" s="2" t="n">
        <x:v>84</x:v>
      </x:c>
      <x:c r="L537" s="2" t="s">
        <x:v>1617</x:v>
      </x:c>
      <x:c r="M537" s="2"/>
      <x:c r="N537" s="2"/>
      <x:c r="O537" s="2" t="s">
        <x:v>1674</x:v>
      </x:c>
      <x:c r="P537" s="2" t="s">
        <x:v>1687</x:v>
      </x:c>
      <x:c r="Q537" s="2"/>
      <x:c r="R537" s="3">
        <x:v>4</x:v>
      </x:c>
      <x:c r="S537" s="3"/>
      <x:c r="T537" s="2"/>
      <x:c r="U537" s="2"/>
      <x:c r="V537" s="2"/>
      <x:c r="W537" s="2"/>
      <x:c r="X537" s="3"/>
      <x:c r="Y537" s="3"/>
      <x:c r="Z537" s="2"/>
      <x:c r="AA537" s="2"/>
      <x:c r="AB537" s="2"/>
      <x:c r="AC537" s="2" t="s">
        <x:v>316</x:v>
      </x:c>
      <x:c r="AD537" s="2" t="s">
        <x:v>317</x:v>
      </x:c>
      <x:c r="AE537" s="2" t="s">
        <x:v>368</x:v>
      </x:c>
      <x:c r="AF537" s="2" t="s">
        <x:v>319</x:v>
      </x:c>
      <x:c r="AG537" s="2"/>
      <x:c r="AH537" s="2"/>
      <x:c r="AI537" s="4"/>
      <x:c r="AJ537" s="2"/>
      <x:c r="AK537" s="2" t="s">
        <x:v>320</x:v>
      </x:c>
      <x:c r="AL537" s="2" t="s">
        <x:v>3061</x:v>
      </x:c>
      <x:c r="AM537" s="2">
        <x:v>87</x:v>
      </x:c>
      <x:c r="AN537" s="2">
        <x:v>87</x:v>
      </x:c>
    </x:row>
    <x:row r="538" ht="52">
      <x:c r="A538" s="2" t="s">
        <x:v>6</x:v>
      </x:c>
      <x:c r="B538" s="2" t="s">
        <x:v>16</x:v>
      </x:c>
      <x:c r="C538" s="3">
        <x:v>86</x:v>
      </x:c>
      <x:c r="D538" s="2" t="s">
        <x:v>1607</x:v>
      </x:c>
      <x:c r="E538" s="2" t="s">
        <x:v>1762</x:v>
      </x:c>
      <x:c r="F538" s="2" t="s">
        <x:v>1608</x:v>
      </x:c>
      <x:c r="G538" s="2"/>
      <x:c r="H538" s="2" t="s">
        <x:v>618</x:v>
      </x:c>
      <x:c r="I538" s="2" t="s">
        <x:v>1764</x:v>
      </x:c>
      <x:c r="J538" s="2" t="s">
        <x:v>1668</x:v>
      </x:c>
      <x:c r="K538" s="2"/>
      <x:c r="L538" s="2" t="s">
        <x:v>1632</x:v>
      </x:c>
      <x:c r="M538" s="2"/>
      <x:c r="N538" s="2"/>
      <x:c r="O538" s="2" t="s">
        <x:v>1600</x:v>
      </x:c>
      <x:c r="P538" s="2" t="s">
        <x:v>1765</x:v>
      </x:c>
      <x:c r="Q538" s="2"/>
      <x:c r="R538" s="3">
        <x:v>3</x:v>
      </x:c>
      <x:c r="S538" s="3"/>
      <x:c r="T538" s="2"/>
      <x:c r="U538" s="2"/>
      <x:c r="V538" s="2"/>
      <x:c r="W538" s="2"/>
      <x:c r="X538" s="3"/>
      <x:c r="Y538" s="3"/>
      <x:c r="Z538" s="2"/>
      <x:c r="AA538" s="2"/>
      <x:c r="AB538" s="2"/>
      <x:c r="AC538" s="2" t="s">
        <x:v>316</x:v>
      </x:c>
      <x:c r="AD538" s="2" t="s">
        <x:v>368</x:v>
      </x:c>
      <x:c r="AE538" s="2" t="s">
        <x:v>317</x:v>
      </x:c>
      <x:c r="AF538" s="2" t="s">
        <x:v>319</x:v>
      </x:c>
      <x:c r="AG538" s="2"/>
      <x:c r="AH538" s="2"/>
      <x:c r="AI538" s="4"/>
      <x:c r="AJ538" s="2"/>
      <x:c r="AK538" s="2" t="s">
        <x:v>320</x:v>
      </x:c>
      <x:c r="AL538" s="2" t="s">
        <x:v>3061</x:v>
      </x:c>
      <x:c r="AM538" s="2">
        <x:v>88</x:v>
      </x:c>
      <x:c r="AN538" s="2">
        <x:v>88</x:v>
      </x:c>
    </x:row>
    <x:row r="539" ht="39">
      <x:c r="A539" s="2" t="s">
        <x:v>6</x:v>
      </x:c>
      <x:c r="B539" s="2" t="s">
        <x:v>16</x:v>
      </x:c>
      <x:c r="C539" s="3">
        <x:v>87</x:v>
      </x:c>
      <x:c r="D539" s="2" t="s">
        <x:v>1725</x:v>
      </x:c>
      <x:c r="E539" s="2" t="s">
        <x:v>1762</x:v>
      </x:c>
      <x:c r="F539" s="2" t="s">
        <x:v>1696</x:v>
      </x:c>
      <x:c r="G539" s="2" t="s">
        <x:v>3163</x:v>
      </x:c>
      <x:c r="H539" s="2" t="s">
        <x:v>627</x:v>
      </x:c>
      <x:c r="I539" s="2" t="s">
        <x:v>1764</x:v>
      </x:c>
      <x:c r="J539" s="2" t="s">
        <x:v>1673</x:v>
      </x:c>
      <x:c r="K539" s="2" t="n">
        <x:v>86</x:v>
      </x:c>
      <x:c r="L539" s="2" t="s">
        <x:v>1632</x:v>
      </x:c>
      <x:c r="M539" s="2"/>
      <x:c r="N539" s="2"/>
      <x:c r="O539" s="2" t="s">
        <x:v>1674</x:v>
      </x:c>
      <x:c r="P539" s="2" t="s">
        <x:v>1767</x:v>
      </x:c>
      <x:c r="Q539" s="2"/>
      <x:c r="R539" s="3">
        <x:v>3</x:v>
      </x:c>
      <x:c r="S539" s="3"/>
      <x:c r="T539" s="2"/>
      <x:c r="U539" s="2"/>
      <x:c r="V539" s="2"/>
      <x:c r="W539" s="2"/>
      <x:c r="X539" s="3"/>
      <x:c r="Y539" s="3"/>
      <x:c r="Z539" s="2"/>
      <x:c r="AA539" s="2"/>
      <x:c r="AB539" s="2"/>
      <x:c r="AC539" s="2" t="s">
        <x:v>316</x:v>
      </x:c>
      <x:c r="AD539" s="2" t="s">
        <x:v>368</x:v>
      </x:c>
      <x:c r="AE539" s="2" t="s">
        <x:v>317</x:v>
      </x:c>
      <x:c r="AF539" s="2" t="s">
        <x:v>319</x:v>
      </x:c>
      <x:c r="AG539" s="2"/>
      <x:c r="AH539" s="2"/>
      <x:c r="AI539" s="4"/>
      <x:c r="AJ539" s="2"/>
      <x:c r="AK539" s="2" t="s">
        <x:v>320</x:v>
      </x:c>
      <x:c r="AL539" s="2" t="s">
        <x:v>3061</x:v>
      </x:c>
      <x:c r="AM539" s="2">
        <x:v>89</x:v>
      </x:c>
      <x:c r="AN539" s="2">
        <x:v>89</x:v>
      </x:c>
    </x:row>
    <x:row r="540" ht="52">
      <x:c r="A540" s="2" t="s">
        <x:v>6</x:v>
      </x:c>
      <x:c r="B540" s="2" t="s">
        <x:v>16</x:v>
      </x:c>
      <x:c r="C540" s="3">
        <x:v>88</x:v>
      </x:c>
      <x:c r="D540" s="2" t="s">
        <x:v>1602</x:v>
      </x:c>
      <x:c r="E540" s="2" t="s">
        <x:v>1594</x:v>
      </x:c>
      <x:c r="F540" s="2" t="s">
        <x:v>1603</x:v>
      </x:c>
      <x:c r="G540" s="2"/>
      <x:c r="H540" s="2" t="s">
        <x:v>618</x:v>
      </x:c>
      <x:c r="I540" s="2" t="s">
        <x:v>1769</x:v>
      </x:c>
      <x:c r="J540" s="2" t="s">
        <x:v>1668</x:v>
      </x:c>
      <x:c r="K540" s="2"/>
      <x:c r="L540" s="2" t="s">
        <x:v>1604</x:v>
      </x:c>
      <x:c r="M540" s="2"/>
      <x:c r="N540" s="2"/>
      <x:c r="O540" s="2" t="s">
        <x:v>1600</x:v>
      </x:c>
      <x:c r="P540" s="2" t="s">
        <x:v>1770</x:v>
      </x:c>
      <x:c r="Q540" s="2"/>
      <x:c r="R540" s="3">
        <x:v>3</x:v>
      </x:c>
      <x:c r="S540" s="3"/>
      <x:c r="T540" s="2"/>
      <x:c r="U540" s="2"/>
      <x:c r="V540" s="2"/>
      <x:c r="W540" s="2"/>
      <x:c r="X540" s="3"/>
      <x:c r="Y540" s="3"/>
      <x:c r="Z540" s="2"/>
      <x:c r="AA540" s="2"/>
      <x:c r="AB540" s="2"/>
      <x:c r="AC540" s="2" t="s">
        <x:v>326</x:v>
      </x:c>
      <x:c r="AD540" s="2" t="s">
        <x:v>317</x:v>
      </x:c>
      <x:c r="AE540" s="2" t="s">
        <x:v>368</x:v>
      </x:c>
      <x:c r="AF540" s="2" t="s">
        <x:v>319</x:v>
      </x:c>
      <x:c r="AG540" s="2"/>
      <x:c r="AH540" s="2"/>
      <x:c r="AI540" s="4"/>
      <x:c r="AJ540" s="2"/>
      <x:c r="AK540" s="2" t="s">
        <x:v>320</x:v>
      </x:c>
      <x:c r="AL540" s="2" t="s">
        <x:v>3061</x:v>
      </x:c>
      <x:c r="AM540" s="2">
        <x:v>90</x:v>
      </x:c>
      <x:c r="AN540" s="2">
        <x:v>90</x:v>
      </x:c>
    </x:row>
    <x:row r="541" ht="39">
      <x:c r="A541" s="2" t="s">
        <x:v>6</x:v>
      </x:c>
      <x:c r="B541" s="2" t="s">
        <x:v>16</x:v>
      </x:c>
      <x:c r="C541" s="3">
        <x:v>89</x:v>
      </x:c>
      <x:c r="D541" s="2" t="s">
        <x:v>1670</x:v>
      </x:c>
      <x:c r="E541" s="2" t="s">
        <x:v>1594</x:v>
      </x:c>
      <x:c r="F541" s="2" t="s">
        <x:v>1671</x:v>
      </x:c>
      <x:c r="G541" s="2" t="s">
        <x:v>1686</x:v>
      </x:c>
      <x:c r="H541" s="2" t="s">
        <x:v>627</x:v>
      </x:c>
      <x:c r="I541" s="2" t="s">
        <x:v>1769</x:v>
      </x:c>
      <x:c r="J541" s="2" t="s">
        <x:v>1673</x:v>
      </x:c>
      <x:c r="K541" s="2" t="n">
        <x:v>88</x:v>
      </x:c>
      <x:c r="L541" s="2" t="s">
        <x:v>1604</x:v>
      </x:c>
      <x:c r="M541" s="2"/>
      <x:c r="N541" s="2"/>
      <x:c r="O541" s="2" t="s">
        <x:v>1674</x:v>
      </x:c>
      <x:c r="P541" s="2" t="s">
        <x:v>1772</x:v>
      </x:c>
      <x:c r="Q541" s="2"/>
      <x:c r="R541" s="3">
        <x:v>3</x:v>
      </x:c>
      <x:c r="S541" s="3"/>
      <x:c r="T541" s="2"/>
      <x:c r="U541" s="2"/>
      <x:c r="V541" s="2"/>
      <x:c r="W541" s="2"/>
      <x:c r="X541" s="3"/>
      <x:c r="Y541" s="3"/>
      <x:c r="Z541" s="2"/>
      <x:c r="AA541" s="2"/>
      <x:c r="AB541" s="2"/>
      <x:c r="AC541" s="2" t="s">
        <x:v>326</x:v>
      </x:c>
      <x:c r="AD541" s="2" t="s">
        <x:v>317</x:v>
      </x:c>
      <x:c r="AE541" s="2" t="s">
        <x:v>368</x:v>
      </x:c>
      <x:c r="AF541" s="2" t="s">
        <x:v>319</x:v>
      </x:c>
      <x:c r="AG541" s="2"/>
      <x:c r="AH541" s="2"/>
      <x:c r="AI541" s="4"/>
      <x:c r="AJ541" s="2"/>
      <x:c r="AK541" s="2" t="s">
        <x:v>320</x:v>
      </x:c>
      <x:c r="AL541" s="2" t="s">
        <x:v>3061</x:v>
      </x:c>
      <x:c r="AM541" s="2">
        <x:v>91</x:v>
      </x:c>
      <x:c r="AN541" s="2">
        <x:v>91</x:v>
      </x:c>
    </x:row>
    <x:row r="542" ht="52">
      <x:c r="A542" s="2" t="s">
        <x:v>6</x:v>
      </x:c>
      <x:c r="B542" s="2" t="s">
        <x:v>16</x:v>
      </x:c>
      <x:c r="C542" s="3">
        <x:v>90</x:v>
      </x:c>
      <x:c r="D542" s="2" t="s">
        <x:v>1611</x:v>
      </x:c>
      <x:c r="E542" s="2" t="s">
        <x:v>1721</x:v>
      </x:c>
      <x:c r="F542" s="2" t="s">
        <x:v>1612</x:v>
      </x:c>
      <x:c r="G542" s="2"/>
      <x:c r="H542" s="2" t="s">
        <x:v>618</x:v>
      </x:c>
      <x:c r="I542" s="2" t="s">
        <x:v>1774</x:v>
      </x:c>
      <x:c r="J542" s="2" t="s">
        <x:v>1668</x:v>
      </x:c>
      <x:c r="K542" s="2"/>
      <x:c r="L542" s="2" t="s">
        <x:v>1624</x:v>
      </x:c>
      <x:c r="M542" s="2"/>
      <x:c r="N542" s="2"/>
      <x:c r="O542" s="2" t="s">
        <x:v>1600</x:v>
      </x:c>
      <x:c r="P542" s="2" t="s">
        <x:v>1724</x:v>
      </x:c>
      <x:c r="Q542" s="2"/>
      <x:c r="R542" s="3">
        <x:v>4</x:v>
      </x:c>
      <x:c r="S542" s="3"/>
      <x:c r="T542" s="2"/>
      <x:c r="U542" s="2"/>
      <x:c r="V542" s="2"/>
      <x:c r="W542" s="2"/>
      <x:c r="X542" s="3"/>
      <x:c r="Y542" s="3"/>
      <x:c r="Z542" s="2"/>
      <x:c r="AA542" s="2"/>
      <x:c r="AB542" s="2"/>
      <x:c r="AC542" s="2" t="s">
        <x:v>326</x:v>
      </x:c>
      <x:c r="AD542" s="2" t="s">
        <x:v>368</x:v>
      </x:c>
      <x:c r="AE542" s="2" t="s">
        <x:v>317</x:v>
      </x:c>
      <x:c r="AF542" s="2" t="s">
        <x:v>319</x:v>
      </x:c>
      <x:c r="AG542" s="2"/>
      <x:c r="AH542" s="2"/>
      <x:c r="AI542" s="4"/>
      <x:c r="AJ542" s="2"/>
      <x:c r="AK542" s="2" t="s">
        <x:v>320</x:v>
      </x:c>
      <x:c r="AL542" s="2" t="s">
        <x:v>3061</x:v>
      </x:c>
      <x:c r="AM542" s="2">
        <x:v>92</x:v>
      </x:c>
      <x:c r="AN542" s="2">
        <x:v>92</x:v>
      </x:c>
    </x:row>
    <x:row r="543" ht="39">
      <x:c r="A543" s="2" t="s">
        <x:v>6</x:v>
      </x:c>
      <x:c r="B543" s="2" t="s">
        <x:v>16</x:v>
      </x:c>
      <x:c r="C543" s="3">
        <x:v>91</x:v>
      </x:c>
      <x:c r="D543" s="2" t="s">
        <x:v>1725</x:v>
      </x:c>
      <x:c r="E543" s="2" t="s">
        <x:v>1721</x:v>
      </x:c>
      <x:c r="F543" s="2" t="s">
        <x:v>1696</x:v>
      </x:c>
      <x:c r="G543" s="2" t="s">
        <x:v>1735</x:v>
      </x:c>
      <x:c r="H543" s="2" t="s">
        <x:v>627</x:v>
      </x:c>
      <x:c r="I543" s="2" t="s">
        <x:v>1774</x:v>
      </x:c>
      <x:c r="J543" s="2" t="s">
        <x:v>1673</x:v>
      </x:c>
      <x:c r="K543" s="2" t="n">
        <x:v>90</x:v>
      </x:c>
      <x:c r="L543" s="2" t="s">
        <x:v>1624</x:v>
      </x:c>
      <x:c r="M543" s="2"/>
      <x:c r="N543" s="2"/>
      <x:c r="O543" s="2" t="s">
        <x:v>1674</x:v>
      </x:c>
      <x:c r="P543" s="2" t="s">
        <x:v>1727</x:v>
      </x:c>
      <x:c r="Q543" s="2"/>
      <x:c r="R543" s="3">
        <x:v>4</x:v>
      </x:c>
      <x:c r="S543" s="3"/>
      <x:c r="T543" s="2"/>
      <x:c r="U543" s="2"/>
      <x:c r="V543" s="2"/>
      <x:c r="W543" s="2"/>
      <x:c r="X543" s="3"/>
      <x:c r="Y543" s="3"/>
      <x:c r="Z543" s="2"/>
      <x:c r="AA543" s="2"/>
      <x:c r="AB543" s="2"/>
      <x:c r="AC543" s="2" t="s">
        <x:v>326</x:v>
      </x:c>
      <x:c r="AD543" s="2" t="s">
        <x:v>368</x:v>
      </x:c>
      <x:c r="AE543" s="2" t="s">
        <x:v>317</x:v>
      </x:c>
      <x:c r="AF543" s="2" t="s">
        <x:v>319</x:v>
      </x:c>
      <x:c r="AG543" s="2"/>
      <x:c r="AH543" s="2"/>
      <x:c r="AI543" s="4"/>
      <x:c r="AJ543" s="2"/>
      <x:c r="AK543" s="2" t="s">
        <x:v>320</x:v>
      </x:c>
      <x:c r="AL543" s="2" t="s">
        <x:v>3061</x:v>
      </x:c>
      <x:c r="AM543" s="2">
        <x:v>93</x:v>
      </x:c>
      <x:c r="AN543" s="2">
        <x:v>93</x:v>
      </x:c>
    </x:row>
    <x:row r="544" ht="52">
      <x:c r="A544" s="2" t="s">
        <x:v>6</x:v>
      </x:c>
      <x:c r="B544" s="2" t="s">
        <x:v>16</x:v>
      </x:c>
      <x:c r="C544" s="3">
        <x:v>92</x:v>
      </x:c>
      <x:c r="D544" s="2" t="s">
        <x:v>1636</x:v>
      </x:c>
      <x:c r="E544" s="2" t="s">
        <x:v>1758</x:v>
      </x:c>
      <x:c r="F544" s="2" t="s">
        <x:v>1637</x:v>
      </x:c>
      <x:c r="G544" s="2"/>
      <x:c r="H544" s="2" t="s">
        <x:v>618</x:v>
      </x:c>
      <x:c r="I544" s="2" t="s">
        <x:v>1776</x:v>
      </x:c>
      <x:c r="J544" s="2" t="s">
        <x:v>1668</x:v>
      </x:c>
      <x:c r="K544" s="2"/>
      <x:c r="L544" s="2" t="s">
        <x:v>1640</x:v>
      </x:c>
      <x:c r="M544" s="2"/>
      <x:c r="N544" s="2"/>
      <x:c r="O544" s="2" t="s">
        <x:v>1600</x:v>
      </x:c>
      <x:c r="P544" s="2" t="s">
        <x:v>1777</x:v>
      </x:c>
      <x:c r="Q544" s="2"/>
      <x:c r="R544" s="3">
        <x:v>4</x:v>
      </x:c>
      <x:c r="S544" s="3"/>
      <x:c r="T544" s="2"/>
      <x:c r="U544" s="2"/>
      <x:c r="V544" s="2"/>
      <x:c r="W544" s="2"/>
      <x:c r="X544" s="3"/>
      <x:c r="Y544" s="3"/>
      <x:c r="Z544" s="2"/>
      <x:c r="AA544" s="2"/>
      <x:c r="AB544" s="2"/>
      <x:c r="AC544" s="2" t="s">
        <x:v>367</x:v>
      </x:c>
      <x:c r="AD544" s="2" t="s">
        <x:v>317</x:v>
      </x:c>
      <x:c r="AE544" s="2" t="s">
        <x:v>368</x:v>
      </x:c>
      <x:c r="AF544" s="2" t="s">
        <x:v>319</x:v>
      </x:c>
      <x:c r="AG544" s="2"/>
      <x:c r="AH544" s="2"/>
      <x:c r="AI544" s="4"/>
      <x:c r="AJ544" s="2"/>
      <x:c r="AK544" s="2" t="s">
        <x:v>320</x:v>
      </x:c>
      <x:c r="AL544" s="2" t="s">
        <x:v>3061</x:v>
      </x:c>
      <x:c r="AM544" s="2">
        <x:v>94</x:v>
      </x:c>
      <x:c r="AN544" s="2">
        <x:v>94</x:v>
      </x:c>
    </x:row>
    <x:row r="545" ht="39">
      <x:c r="A545" s="2" t="s">
        <x:v>91</x:v>
      </x:c>
      <x:c r="B545" s="2" t="s">
        <x:v>16</x:v>
      </x:c>
      <x:c r="C545" s="3">
        <x:v>93</x:v>
      </x:c>
      <x:c r="D545" s="2" t="s">
        <x:v>1778</x:v>
      </x:c>
      <x:c r="E545" s="2" t="s">
        <x:v>1758</x:v>
      </x:c>
      <x:c r="F545" s="2" t="s">
        <x:v>1671</x:v>
      </x:c>
      <x:c r="G545" s="2" t="s">
        <x:v>1686</x:v>
      </x:c>
      <x:c r="H545" s="2" t="s">
        <x:v>627</x:v>
      </x:c>
      <x:c r="I545" s="2" t="s">
        <x:v>1776</x:v>
      </x:c>
      <x:c r="J545" s="2" t="s">
        <x:v>1673</x:v>
      </x:c>
      <x:c r="K545" s="2" t="n">
        <x:v>92</x:v>
      </x:c>
      <x:c r="L545" s="2" t="s">
        <x:v>1640</x:v>
      </x:c>
      <x:c r="M545" s="2"/>
      <x:c r="N545" s="2"/>
      <x:c r="O545" s="2" t="s">
        <x:v>1674</x:v>
      </x:c>
      <x:c r="P545" s="2" t="s">
        <x:v>1780</x:v>
      </x:c>
      <x:c r="Q545" s="2"/>
      <x:c r="R545" s="3">
        <x:v>4</x:v>
      </x:c>
      <x:c r="S545" s="3"/>
      <x:c r="T545" s="2"/>
      <x:c r="U545" s="2"/>
      <x:c r="V545" s="2"/>
      <x:c r="W545" s="2"/>
      <x:c r="X545" s="3"/>
      <x:c r="Y545" s="3"/>
      <x:c r="Z545" s="2"/>
      <x:c r="AA545" s="2"/>
      <x:c r="AB545" s="2"/>
      <x:c r="AC545" s="2" t="s">
        <x:v>367</x:v>
      </x:c>
      <x:c r="AD545" s="2" t="s">
        <x:v>317</x:v>
      </x:c>
      <x:c r="AE545" s="2" t="s">
        <x:v>368</x:v>
      </x:c>
      <x:c r="AF545" s="2" t="s">
        <x:v>319</x:v>
      </x:c>
      <x:c r="AG545" s="2"/>
      <x:c r="AH545" s="2"/>
      <x:c r="AI545" s="4"/>
      <x:c r="AJ545" s="2"/>
      <x:c r="AK545" s="2" t="s">
        <x:v>320</x:v>
      </x:c>
      <x:c r="AL545" s="2" t="s">
        <x:v>3061</x:v>
      </x:c>
      <x:c r="AM545" s="2">
        <x:v>95</x:v>
      </x:c>
      <x:c r="AN545" s="2">
        <x:v>95</x:v>
      </x:c>
    </x:row>
    <x:row r="546" ht="52">
      <x:c r="A546" s="2" t="s">
        <x:v>6</x:v>
      </x:c>
      <x:c r="B546" s="2" t="s">
        <x:v>16</x:v>
      </x:c>
      <x:c r="C546" s="3">
        <x:v>94</x:v>
      </x:c>
      <x:c r="D546" s="2" t="s">
        <x:v>1646</x:v>
      </x:c>
      <x:c r="E546" s="2" t="s">
        <x:v>1762</x:v>
      </x:c>
      <x:c r="F546" s="2" t="s">
        <x:v>1647</x:v>
      </x:c>
      <x:c r="G546" s="2"/>
      <x:c r="H546" s="2" t="s">
        <x:v>618</x:v>
      </x:c>
      <x:c r="I546" s="2" t="s">
        <x:v>1782</x:v>
      </x:c>
      <x:c r="J546" s="2" t="s">
        <x:v>1668</x:v>
      </x:c>
      <x:c r="K546" s="2"/>
      <x:c r="L546" s="2" t="s">
        <x:v>1783</x:v>
      </x:c>
      <x:c r="M546" s="2"/>
      <x:c r="N546" s="2"/>
      <x:c r="O546" s="2" t="s">
        <x:v>1600</x:v>
      </x:c>
      <x:c r="P546" s="2" t="s">
        <x:v>1784</x:v>
      </x:c>
      <x:c r="Q546" s="2"/>
      <x:c r="R546" s="3">
        <x:v>3</x:v>
      </x:c>
      <x:c r="S546" s="3"/>
      <x:c r="T546" s="2"/>
      <x:c r="U546" s="2"/>
      <x:c r="V546" s="2"/>
      <x:c r="W546" s="2"/>
      <x:c r="X546" s="3"/>
      <x:c r="Y546" s="3"/>
      <x:c r="Z546" s="2"/>
      <x:c r="AA546" s="2"/>
      <x:c r="AB546" s="2"/>
      <x:c r="AC546" s="2" t="s">
        <x:v>367</x:v>
      </x:c>
      <x:c r="AD546" s="2" t="s">
        <x:v>368</x:v>
      </x:c>
      <x:c r="AE546" s="2" t="s">
        <x:v>317</x:v>
      </x:c>
      <x:c r="AF546" s="2" t="s">
        <x:v>319</x:v>
      </x:c>
      <x:c r="AG546" s="2"/>
      <x:c r="AH546" s="2"/>
      <x:c r="AI546" s="4"/>
      <x:c r="AJ546" s="2"/>
      <x:c r="AK546" s="2" t="s">
        <x:v>320</x:v>
      </x:c>
      <x:c r="AL546" s="2" t="s">
        <x:v>3061</x:v>
      </x:c>
      <x:c r="AM546" s="2">
        <x:v>96</x:v>
      </x:c>
      <x:c r="AN546" s="2">
        <x:v>96</x:v>
      </x:c>
    </x:row>
    <x:row r="547" ht="39">
      <x:c r="A547" s="2" t="s">
        <x:v>6</x:v>
      </x:c>
      <x:c r="B547" s="2" t="s">
        <x:v>16</x:v>
      </x:c>
      <x:c r="C547" s="3">
        <x:v>95</x:v>
      </x:c>
      <x:c r="D547" s="2" t="s">
        <x:v>1695</x:v>
      </x:c>
      <x:c r="E547" s="2" t="s">
        <x:v>1762</x:v>
      </x:c>
      <x:c r="F547" s="2" t="s">
        <x:v>1696</x:v>
      </x:c>
      <x:c r="G547" s="2" t="s">
        <x:v>2958</x:v>
      </x:c>
      <x:c r="H547" s="2" t="s">
        <x:v>627</x:v>
      </x:c>
      <x:c r="I547" s="2" t="s">
        <x:v>1782</x:v>
      </x:c>
      <x:c r="J547" s="2" t="s">
        <x:v>1673</x:v>
      </x:c>
      <x:c r="K547" s="2" t="n">
        <x:v>94</x:v>
      </x:c>
      <x:c r="L547" s="2" t="s">
        <x:v>1783</x:v>
      </x:c>
      <x:c r="M547" s="2"/>
      <x:c r="N547" s="2"/>
      <x:c r="O547" s="2" t="s">
        <x:v>1674</x:v>
      </x:c>
      <x:c r="P547" s="2" t="s">
        <x:v>1785</x:v>
      </x:c>
      <x:c r="Q547" s="2"/>
      <x:c r="R547" s="3">
        <x:v>3</x:v>
      </x:c>
      <x:c r="S547" s="3"/>
      <x:c r="T547" s="2"/>
      <x:c r="U547" s="2"/>
      <x:c r="V547" s="2"/>
      <x:c r="W547" s="2"/>
      <x:c r="X547" s="3"/>
      <x:c r="Y547" s="3"/>
      <x:c r="Z547" s="2"/>
      <x:c r="AA547" s="2"/>
      <x:c r="AB547" s="2"/>
      <x:c r="AC547" s="2" t="s">
        <x:v>367</x:v>
      </x:c>
      <x:c r="AD547" s="2" t="s">
        <x:v>368</x:v>
      </x:c>
      <x:c r="AE547" s="2" t="s">
        <x:v>317</x:v>
      </x:c>
      <x:c r="AF547" s="2" t="s">
        <x:v>319</x:v>
      </x:c>
      <x:c r="AG547" s="2"/>
      <x:c r="AH547" s="2"/>
      <x:c r="AI547" s="4"/>
      <x:c r="AJ547" s="2"/>
      <x:c r="AK547" s="2" t="s">
        <x:v>320</x:v>
      </x:c>
      <x:c r="AL547" s="2" t="s">
        <x:v>3061</x:v>
      </x:c>
      <x:c r="AM547" s="2">
        <x:v>97</x:v>
      </x:c>
      <x:c r="AN547" s="2">
        <x:v>97</x:v>
      </x:c>
    </x:row>
    <x:row r="548" ht="52">
      <x:c r="A548" s="2" t="s">
        <x:v>91</x:v>
      </x:c>
      <x:c r="B548" s="2" t="s">
        <x:v>16</x:v>
      </x:c>
      <x:c r="C548" s="3">
        <x:v>96</x:v>
      </x:c>
      <x:c r="D548" s="2" t="s">
        <x:v>1646</x:v>
      </x:c>
      <x:c r="E548" s="2" t="s">
        <x:v>1786</x:v>
      </x:c>
      <x:c r="F548" s="2" t="s">
        <x:v>1647</x:v>
      </x:c>
      <x:c r="G548" s="2" t="s">
        <x:v>3164</x:v>
      </x:c>
      <x:c r="H548" s="2" t="s">
        <x:v>618</x:v>
      </x:c>
      <x:c r="I548" s="2" t="s">
        <x:v>1787</x:v>
      </x:c>
      <x:c r="J548" s="2" t="s">
        <x:v>1668</x:v>
      </x:c>
      <x:c r="K548" s="2"/>
      <x:c r="L548" s="2" t="s">
        <x:v>1649</x:v>
      </x:c>
      <x:c r="M548" s="2"/>
      <x:c r="N548" s="2"/>
      <x:c r="O548" s="2" t="s">
        <x:v>1600</x:v>
      </x:c>
      <x:c r="P548" s="2" t="s">
        <x:v>1738</x:v>
      </x:c>
      <x:c r="Q548" s="2"/>
      <x:c r="R548" s="3">
        <x:v>4</x:v>
      </x:c>
      <x:c r="S548" s="3"/>
      <x:c r="T548" s="2"/>
      <x:c r="U548" s="2"/>
      <x:c r="V548" s="2"/>
      <x:c r="W548" s="2"/>
      <x:c r="X548" s="3"/>
      <x:c r="Y548" s="3"/>
      <x:c r="Z548" s="2"/>
      <x:c r="AA548" s="2"/>
      <x:c r="AB548" s="2"/>
      <x:c r="AC548" s="2" t="s">
        <x:v>367</x:v>
      </x:c>
      <x:c r="AD548" s="2" t="s">
        <x:v>368</x:v>
      </x:c>
      <x:c r="AE548" s="2" t="s">
        <x:v>317</x:v>
      </x:c>
      <x:c r="AF548" s="2" t="s">
        <x:v>319</x:v>
      </x:c>
      <x:c r="AG548" s="2"/>
      <x:c r="AH548" s="2"/>
      <x:c r="AI548" s="4"/>
      <x:c r="AJ548" s="2"/>
      <x:c r="AK548" s="2" t="s">
        <x:v>320</x:v>
      </x:c>
      <x:c r="AL548" s="2" t="s">
        <x:v>3061</x:v>
      </x:c>
      <x:c r="AM548" s="2">
        <x:v>98</x:v>
      </x:c>
      <x:c r="AN548" s="2">
        <x:v>98</x:v>
      </x:c>
    </x:row>
    <x:row r="549" ht="39">
      <x:c r="A549" s="2" t="s">
        <x:v>6</x:v>
      </x:c>
      <x:c r="B549" s="2" t="s">
        <x:v>16</x:v>
      </x:c>
      <x:c r="C549" s="3">
        <x:v>97</x:v>
      </x:c>
      <x:c r="D549" s="2" t="s">
        <x:v>1725</x:v>
      </x:c>
      <x:c r="E549" s="2" t="s">
        <x:v>1786</x:v>
      </x:c>
      <x:c r="F549" s="2" t="s">
        <x:v>1696</x:v>
      </x:c>
      <x:c r="G549" s="2" t="s">
        <x:v>3161</x:v>
      </x:c>
      <x:c r="H549" s="2" t="s">
        <x:v>627</x:v>
      </x:c>
      <x:c r="I549" s="2" t="s">
        <x:v>1787</x:v>
      </x:c>
      <x:c r="J549" s="2" t="s">
        <x:v>1673</x:v>
      </x:c>
      <x:c r="K549" s="2" t="n">
        <x:v>96</x:v>
      </x:c>
      <x:c r="L549" s="2" t="s">
        <x:v>1649</x:v>
      </x:c>
      <x:c r="M549" s="2"/>
      <x:c r="N549" s="2"/>
      <x:c r="O549" s="2" t="s">
        <x:v>1674</x:v>
      </x:c>
      <x:c r="P549" s="2" t="s">
        <x:v>1740</x:v>
      </x:c>
      <x:c r="Q549" s="2"/>
      <x:c r="R549" s="3">
        <x:v>4</x:v>
      </x:c>
      <x:c r="S549" s="3"/>
      <x:c r="T549" s="2"/>
      <x:c r="U549" s="2"/>
      <x:c r="V549" s="2"/>
      <x:c r="W549" s="2"/>
      <x:c r="X549" s="3"/>
      <x:c r="Y549" s="3"/>
      <x:c r="Z549" s="2"/>
      <x:c r="AA549" s="2"/>
      <x:c r="AB549" s="2"/>
      <x:c r="AC549" s="2" t="s">
        <x:v>367</x:v>
      </x:c>
      <x:c r="AD549" s="2" t="s">
        <x:v>368</x:v>
      </x:c>
      <x:c r="AE549" s="2" t="s">
        <x:v>317</x:v>
      </x:c>
      <x:c r="AF549" s="2" t="s">
        <x:v>319</x:v>
      </x:c>
      <x:c r="AG549" s="2"/>
      <x:c r="AH549" s="2"/>
      <x:c r="AI549" s="4"/>
      <x:c r="AJ549" s="2"/>
      <x:c r="AK549" s="2" t="s">
        <x:v>320</x:v>
      </x:c>
      <x:c r="AL549" s="2" t="s">
        <x:v>3061</x:v>
      </x:c>
      <x:c r="AM549" s="2">
        <x:v>99</x:v>
      </x:c>
      <x:c r="AN549" s="2">
        <x:v>99</x:v>
      </x:c>
    </x:row>
    <x:row r="550" ht="52">
      <x:c r="A550" s="2" t="s">
        <x:v>6</x:v>
      </x:c>
      <x:c r="B550" s="2" t="s">
        <x:v>16</x:v>
      </x:c>
      <x:c r="C550" s="3">
        <x:v>98</x:v>
      </x:c>
      <x:c r="D550" s="2" t="s">
        <x:v>1642</x:v>
      </x:c>
      <x:c r="E550" s="2" t="s">
        <x:v>1789</x:v>
      </x:c>
      <x:c r="F550" s="2" t="s">
        <x:v>1643</x:v>
      </x:c>
      <x:c r="G550" s="2"/>
      <x:c r="H550" s="2" t="s">
        <x:v>618</x:v>
      </x:c>
      <x:c r="I550" s="2" t="s">
        <x:v>1790</x:v>
      </x:c>
      <x:c r="J550" s="2" t="s">
        <x:v>1668</x:v>
      </x:c>
      <x:c r="K550" s="2"/>
      <x:c r="L550" s="2" t="s">
        <x:v>1658</x:v>
      </x:c>
      <x:c r="M550" s="2"/>
      <x:c r="N550" s="2"/>
      <x:c r="O550" s="2" t="s">
        <x:v>1600</x:v>
      </x:c>
      <x:c r="P550" s="2" t="s">
        <x:v>1791</x:v>
      </x:c>
      <x:c r="Q550" s="2"/>
      <x:c r="R550" s="3">
        <x:v>3</x:v>
      </x:c>
      <x:c r="S550" s="3"/>
      <x:c r="T550" s="2"/>
      <x:c r="U550" s="2"/>
      <x:c r="V550" s="2"/>
      <x:c r="W550" s="2"/>
      <x:c r="X550" s="3"/>
      <x:c r="Y550" s="3"/>
      <x:c r="Z550" s="2"/>
      <x:c r="AA550" s="2"/>
      <x:c r="AB550" s="2"/>
      <x:c r="AC550" s="2" t="s">
        <x:v>374</x:v>
      </x:c>
      <x:c r="AD550" s="2" t="s">
        <x:v>317</x:v>
      </x:c>
      <x:c r="AE550" s="2" t="s">
        <x:v>368</x:v>
      </x:c>
      <x:c r="AF550" s="2" t="s">
        <x:v>319</x:v>
      </x:c>
      <x:c r="AG550" s="2"/>
      <x:c r="AH550" s="2"/>
      <x:c r="AI550" s="4"/>
      <x:c r="AJ550" s="2"/>
      <x:c r="AK550" s="2" t="s">
        <x:v>320</x:v>
      </x:c>
      <x:c r="AL550" s="2" t="s">
        <x:v>3061</x:v>
      </x:c>
      <x:c r="AM550" s="2">
        <x:v>100</x:v>
      </x:c>
      <x:c r="AN550" s="2">
        <x:v>100</x:v>
      </x:c>
    </x:row>
    <x:row r="551" ht="39">
      <x:c r="A551" s="2" t="s">
        <x:v>6</x:v>
      </x:c>
      <x:c r="B551" s="2" t="s">
        <x:v>16</x:v>
      </x:c>
      <x:c r="C551" s="3">
        <x:v>99</x:v>
      </x:c>
      <x:c r="D551" s="2" t="s">
        <x:v>1685</x:v>
      </x:c>
      <x:c r="E551" s="2" t="s">
        <x:v>1789</x:v>
      </x:c>
      <x:c r="F551" s="2" t="s">
        <x:v>1671</x:v>
      </x:c>
      <x:c r="G551" s="2" t="s">
        <x:v>3165</x:v>
      </x:c>
      <x:c r="H551" s="2" t="s">
        <x:v>627</x:v>
      </x:c>
      <x:c r="I551" s="2" t="s">
        <x:v>1790</x:v>
      </x:c>
      <x:c r="J551" s="2" t="s">
        <x:v>1673</x:v>
      </x:c>
      <x:c r="K551" s="2" t="n">
        <x:v>98</x:v>
      </x:c>
      <x:c r="L551" s="2" t="s">
        <x:v>1658</x:v>
      </x:c>
      <x:c r="M551" s="2"/>
      <x:c r="N551" s="2"/>
      <x:c r="O551" s="2" t="s">
        <x:v>1674</x:v>
      </x:c>
      <x:c r="P551" s="2" t="s">
        <x:v>1792</x:v>
      </x:c>
      <x:c r="Q551" s="2"/>
      <x:c r="R551" s="3">
        <x:v>3</x:v>
      </x:c>
      <x:c r="S551" s="3"/>
      <x:c r="T551" s="2"/>
      <x:c r="U551" s="2"/>
      <x:c r="V551" s="2"/>
      <x:c r="W551" s="2"/>
      <x:c r="X551" s="3"/>
      <x:c r="Y551" s="3"/>
      <x:c r="Z551" s="2"/>
      <x:c r="AA551" s="2"/>
      <x:c r="AB551" s="2"/>
      <x:c r="AC551" s="2" t="s">
        <x:v>374</x:v>
      </x:c>
      <x:c r="AD551" s="2" t="s">
        <x:v>317</x:v>
      </x:c>
      <x:c r="AE551" s="2" t="s">
        <x:v>368</x:v>
      </x:c>
      <x:c r="AF551" s="2" t="s">
        <x:v>319</x:v>
      </x:c>
      <x:c r="AG551" s="2"/>
      <x:c r="AH551" s="2"/>
      <x:c r="AI551" s="4"/>
      <x:c r="AJ551" s="2"/>
      <x:c r="AK551" s="2" t="s">
        <x:v>320</x:v>
      </x:c>
      <x:c r="AL551" s="2" t="s">
        <x:v>3061</x:v>
      </x:c>
      <x:c r="AM551" s="2">
        <x:v>101</x:v>
      </x:c>
      <x:c r="AN551" s="2">
        <x:v>101</x:v>
      </x:c>
    </x:row>
    <x:row r="552" ht="52">
      <x:c r="A552" s="2" t="s">
        <x:v>6</x:v>
      </x:c>
      <x:c r="B552" s="2" t="s">
        <x:v>16</x:v>
      </x:c>
      <x:c r="C552" s="3">
        <x:v>100</x:v>
      </x:c>
      <x:c r="D552" s="2" t="s">
        <x:v>1642</x:v>
      </x:c>
      <x:c r="E552" s="2" t="s">
        <x:v>1758</x:v>
      </x:c>
      <x:c r="F552" s="2" t="s">
        <x:v>1643</x:v>
      </x:c>
      <x:c r="G552" s="2"/>
      <x:c r="H552" s="2" t="s">
        <x:v>618</x:v>
      </x:c>
      <x:c r="I552" s="2" t="s">
        <x:v>1794</x:v>
      </x:c>
      <x:c r="J552" s="2" t="s">
        <x:v>1668</x:v>
      </x:c>
      <x:c r="K552" s="2"/>
      <x:c r="L552" s="2" t="s">
        <x:v>1644</x:v>
      </x:c>
      <x:c r="M552" s="2"/>
      <x:c r="N552" s="2"/>
      <x:c r="O552" s="2" t="s">
        <x:v>1600</x:v>
      </x:c>
      <x:c r="P552" s="2" t="s">
        <x:v>1795</x:v>
      </x:c>
      <x:c r="Q552" s="2"/>
      <x:c r="R552" s="3">
        <x:v>4</x:v>
      </x:c>
      <x:c r="S552" s="3"/>
      <x:c r="T552" s="2"/>
      <x:c r="U552" s="2"/>
      <x:c r="V552" s="2"/>
      <x:c r="W552" s="2"/>
      <x:c r="X552" s="3"/>
      <x:c r="Y552" s="3"/>
      <x:c r="Z552" s="2"/>
      <x:c r="AA552" s="2"/>
      <x:c r="AB552" s="2"/>
      <x:c r="AC552" s="2" t="s">
        <x:v>374</x:v>
      </x:c>
      <x:c r="AD552" s="2" t="s">
        <x:v>317</x:v>
      </x:c>
      <x:c r="AE552" s="2" t="s">
        <x:v>368</x:v>
      </x:c>
      <x:c r="AF552" s="2" t="s">
        <x:v>319</x:v>
      </x:c>
      <x:c r="AG552" s="2"/>
      <x:c r="AH552" s="2"/>
      <x:c r="AI552" s="4"/>
      <x:c r="AJ552" s="2"/>
      <x:c r="AK552" s="2" t="s">
        <x:v>320</x:v>
      </x:c>
      <x:c r="AL552" s="2" t="s">
        <x:v>3061</x:v>
      </x:c>
      <x:c r="AM552" s="2">
        <x:v>102</x:v>
      </x:c>
      <x:c r="AN552" s="2">
        <x:v>102</x:v>
      </x:c>
    </x:row>
    <x:row r="553" ht="39">
      <x:c r="A553" s="2" t="s">
        <x:v>6</x:v>
      </x:c>
      <x:c r="B553" s="2" t="s">
        <x:v>16</x:v>
      </x:c>
      <x:c r="C553" s="3">
        <x:v>101</x:v>
      </x:c>
      <x:c r="D553" s="2" t="s">
        <x:v>1778</x:v>
      </x:c>
      <x:c r="E553" s="2" t="s">
        <x:v>1758</x:v>
      </x:c>
      <x:c r="F553" s="2" t="s">
        <x:v>1671</x:v>
      </x:c>
      <x:c r="G553" s="2" t="s">
        <x:v>1735</x:v>
      </x:c>
      <x:c r="H553" s="2" t="s">
        <x:v>627</x:v>
      </x:c>
      <x:c r="I553" s="2" t="s">
        <x:v>1794</x:v>
      </x:c>
      <x:c r="J553" s="2" t="s">
        <x:v>1673</x:v>
      </x:c>
      <x:c r="K553" s="2" t="n">
        <x:v>100</x:v>
      </x:c>
      <x:c r="L553" s="2" t="s">
        <x:v>1644</x:v>
      </x:c>
      <x:c r="M553" s="2"/>
      <x:c r="N553" s="2"/>
      <x:c r="O553" s="2" t="s">
        <x:v>1674</x:v>
      </x:c>
      <x:c r="P553" s="2" t="s">
        <x:v>1797</x:v>
      </x:c>
      <x:c r="Q553" s="2"/>
      <x:c r="R553" s="3">
        <x:v>4</x:v>
      </x:c>
      <x:c r="S553" s="3"/>
      <x:c r="T553" s="2"/>
      <x:c r="U553" s="2"/>
      <x:c r="V553" s="2"/>
      <x:c r="W553" s="2"/>
      <x:c r="X553" s="3"/>
      <x:c r="Y553" s="3"/>
      <x:c r="Z553" s="2"/>
      <x:c r="AA553" s="2"/>
      <x:c r="AB553" s="2"/>
      <x:c r="AC553" s="2" t="s">
        <x:v>374</x:v>
      </x:c>
      <x:c r="AD553" s="2" t="s">
        <x:v>317</x:v>
      </x:c>
      <x:c r="AE553" s="2" t="s">
        <x:v>368</x:v>
      </x:c>
      <x:c r="AF553" s="2" t="s">
        <x:v>319</x:v>
      </x:c>
      <x:c r="AG553" s="2"/>
      <x:c r="AH553" s="2"/>
      <x:c r="AI553" s="4"/>
      <x:c r="AJ553" s="2"/>
      <x:c r="AK553" s="2" t="s">
        <x:v>320</x:v>
      </x:c>
      <x:c r="AL553" s="2" t="s">
        <x:v>3061</x:v>
      </x:c>
      <x:c r="AM553" s="2">
        <x:v>103</x:v>
      </x:c>
      <x:c r="AN553" s="2">
        <x:v>103</x:v>
      </x:c>
    </x:row>
    <x:row r="554" ht="52">
      <x:c r="A554" s="2" t="s">
        <x:v>6</x:v>
      </x:c>
      <x:c r="B554" s="2" t="s">
        <x:v>16</x:v>
      </x:c>
      <x:c r="C554" s="3">
        <x:v>102</x:v>
      </x:c>
      <x:c r="D554" s="2" t="s">
        <x:v>1651</x:v>
      </x:c>
      <x:c r="E554" s="2" t="s">
        <x:v>1762</x:v>
      </x:c>
      <x:c r="F554" s="2" t="s">
        <x:v>1652</x:v>
      </x:c>
      <x:c r="G554" s="2"/>
      <x:c r="H554" s="2" t="s">
        <x:v>618</x:v>
      </x:c>
      <x:c r="I554" s="2" t="s">
        <x:v>1798</x:v>
      </x:c>
      <x:c r="J554" s="2" t="s">
        <x:v>1668</x:v>
      </x:c>
      <x:c r="K554" s="2"/>
      <x:c r="L554" s="2" t="s">
        <x:v>1799</x:v>
      </x:c>
      <x:c r="M554" s="2"/>
      <x:c r="N554" s="2"/>
      <x:c r="O554" s="2" t="s">
        <x:v>1600</x:v>
      </x:c>
      <x:c r="P554" s="2" t="s">
        <x:v>1800</x:v>
      </x:c>
      <x:c r="Q554" s="2"/>
      <x:c r="R554" s="3">
        <x:v>3</x:v>
      </x:c>
      <x:c r="S554" s="3"/>
      <x:c r="T554" s="2"/>
      <x:c r="U554" s="2"/>
      <x:c r="V554" s="2"/>
      <x:c r="W554" s="2"/>
      <x:c r="X554" s="3"/>
      <x:c r="Y554" s="3"/>
      <x:c r="Z554" s="2"/>
      <x:c r="AA554" s="2"/>
      <x:c r="AB554" s="2"/>
      <x:c r="AC554" s="2" t="s">
        <x:v>374</x:v>
      </x:c>
      <x:c r="AD554" s="2" t="s">
        <x:v>368</x:v>
      </x:c>
      <x:c r="AE554" s="2" t="s">
        <x:v>317</x:v>
      </x:c>
      <x:c r="AF554" s="2" t="s">
        <x:v>319</x:v>
      </x:c>
      <x:c r="AG554" s="2"/>
      <x:c r="AH554" s="2"/>
      <x:c r="AI554" s="4"/>
      <x:c r="AJ554" s="2"/>
      <x:c r="AK554" s="2" t="s">
        <x:v>320</x:v>
      </x:c>
      <x:c r="AL554" s="2" t="s">
        <x:v>3061</x:v>
      </x:c>
      <x:c r="AM554" s="2">
        <x:v>104</x:v>
      </x:c>
      <x:c r="AN554" s="2">
        <x:v>104</x:v>
      </x:c>
    </x:row>
    <x:row r="555" ht="39">
      <x:c r="A555" s="2" t="s">
        <x:v>6</x:v>
      </x:c>
      <x:c r="B555" s="2" t="s">
        <x:v>16</x:v>
      </x:c>
      <x:c r="C555" s="3">
        <x:v>103</x:v>
      </x:c>
      <x:c r="D555" s="2" t="s">
        <x:v>1715</x:v>
      </x:c>
      <x:c r="E555" s="2" t="s">
        <x:v>1762</x:v>
      </x:c>
      <x:c r="F555" s="2" t="s">
        <x:v>1696</x:v>
      </x:c>
      <x:c r="G555" s="2" t="s">
        <x:v>3161</x:v>
      </x:c>
      <x:c r="H555" s="2" t="s">
        <x:v>627</x:v>
      </x:c>
      <x:c r="I555" s="2" t="s">
        <x:v>1798</x:v>
      </x:c>
      <x:c r="J555" s="2" t="s">
        <x:v>1673</x:v>
      </x:c>
      <x:c r="K555" s="2" t="n">
        <x:v>102</x:v>
      </x:c>
      <x:c r="L555" s="2" t="s">
        <x:v>1799</x:v>
      </x:c>
      <x:c r="M555" s="2"/>
      <x:c r="N555" s="2"/>
      <x:c r="O555" s="2" t="s">
        <x:v>1674</x:v>
      </x:c>
      <x:c r="P555" s="2" t="s">
        <x:v>1802</x:v>
      </x:c>
      <x:c r="Q555" s="2"/>
      <x:c r="R555" s="3">
        <x:v>3</x:v>
      </x:c>
      <x:c r="S555" s="3"/>
      <x:c r="T555" s="2"/>
      <x:c r="U555" s="2"/>
      <x:c r="V555" s="2"/>
      <x:c r="W555" s="2"/>
      <x:c r="X555" s="3"/>
      <x:c r="Y555" s="3"/>
      <x:c r="Z555" s="2"/>
      <x:c r="AA555" s="2"/>
      <x:c r="AB555" s="2"/>
      <x:c r="AC555" s="2" t="s">
        <x:v>374</x:v>
      </x:c>
      <x:c r="AD555" s="2" t="s">
        <x:v>368</x:v>
      </x:c>
      <x:c r="AE555" s="2" t="s">
        <x:v>317</x:v>
      </x:c>
      <x:c r="AF555" s="2" t="s">
        <x:v>319</x:v>
      </x:c>
      <x:c r="AG555" s="2"/>
      <x:c r="AH555" s="2"/>
      <x:c r="AI555" s="4"/>
      <x:c r="AJ555" s="2"/>
      <x:c r="AK555" s="2" t="s">
        <x:v>320</x:v>
      </x:c>
      <x:c r="AL555" s="2" t="s">
        <x:v>3061</x:v>
      </x:c>
      <x:c r="AM555" s="2">
        <x:v>105</x:v>
      </x:c>
      <x:c r="AN555" s="2">
        <x:v>105</x:v>
      </x:c>
    </x:row>
    <x:row r="556" ht="52">
      <x:c r="A556" s="2" t="s">
        <x:v>6</x:v>
      </x:c>
      <x:c r="B556" s="2" t="s">
        <x:v>16</x:v>
      </x:c>
      <x:c r="C556" s="3">
        <x:v>104</x:v>
      </x:c>
      <x:c r="D556" s="2" t="s">
        <x:v>1593</x:v>
      </x:c>
      <x:c r="E556" s="2" t="s">
        <x:v>1594</x:v>
      </x:c>
      <x:c r="F556" s="2" t="s">
        <x:v>1595</x:v>
      </x:c>
      <x:c r="G556" s="2"/>
      <x:c r="H556" s="2" t="s">
        <x:v>618</x:v>
      </x:c>
      <x:c r="I556" s="2" t="s">
        <x:v>1804</x:v>
      </x:c>
      <x:c r="J556" s="2" t="s">
        <x:v>1668</x:v>
      </x:c>
      <x:c r="K556" s="2"/>
      <x:c r="L556" s="2" t="s">
        <x:v>1627</x:v>
      </x:c>
      <x:c r="M556" s="2"/>
      <x:c r="N556" s="2"/>
      <x:c r="O556" s="2" t="s">
        <x:v>1600</x:v>
      </x:c>
      <x:c r="P556" s="2" t="s">
        <x:v>1805</x:v>
      </x:c>
      <x:c r="Q556" s="2"/>
      <x:c r="R556" s="3">
        <x:v>3</x:v>
      </x:c>
      <x:c r="S556" s="3"/>
      <x:c r="T556" s="2"/>
      <x:c r="U556" s="2"/>
      <x:c r="V556" s="2"/>
      <x:c r="W556" s="2"/>
      <x:c r="X556" s="3"/>
      <x:c r="Y556" s="3"/>
      <x:c r="Z556" s="2"/>
      <x:c r="AA556" s="2"/>
      <x:c r="AB556" s="2"/>
      <x:c r="AC556" s="2" t="s">
        <x:v>316</x:v>
      </x:c>
      <x:c r="AD556" s="2" t="s">
        <x:v>317</x:v>
      </x:c>
      <x:c r="AE556" s="2" t="s">
        <x:v>368</x:v>
      </x:c>
      <x:c r="AF556" s="2" t="s">
        <x:v>319</x:v>
      </x:c>
      <x:c r="AG556" s="2"/>
      <x:c r="AH556" s="2"/>
      <x:c r="AI556" s="4"/>
      <x:c r="AJ556" s="2"/>
      <x:c r="AK556" s="2" t="s">
        <x:v>320</x:v>
      </x:c>
      <x:c r="AL556" s="2" t="s">
        <x:v>3061</x:v>
      </x:c>
      <x:c r="AM556" s="2">
        <x:v>106</x:v>
      </x:c>
      <x:c r="AN556" s="2">
        <x:v>106</x:v>
      </x:c>
    </x:row>
    <x:row r="557" ht="52">
      <x:c r="A557" s="2" t="s">
        <x:v>91</x:v>
      </x:c>
      <x:c r="B557" s="2" t="s">
        <x:v>16</x:v>
      </x:c>
      <x:c r="C557" s="3">
        <x:v>105</x:v>
      </x:c>
      <x:c r="D557" s="2" t="s">
        <x:v>1607</x:v>
      </x:c>
      <x:c r="E557" s="2" t="s">
        <x:v>1721</x:v>
      </x:c>
      <x:c r="F557" s="2" t="s">
        <x:v>1608</x:v>
      </x:c>
      <x:c r="G557" s="2" t="s">
        <x:v>3166</x:v>
      </x:c>
      <x:c r="H557" s="2" t="s">
        <x:v>618</x:v>
      </x:c>
      <x:c r="I557" s="2" t="s">
        <x:v>1806</x:v>
      </x:c>
      <x:c r="J557" s="2" t="s">
        <x:v>1668</x:v>
      </x:c>
      <x:c r="K557" s="2"/>
      <x:c r="L557" s="2" t="s">
        <x:v>1621</x:v>
      </x:c>
      <x:c r="M557" s="2"/>
      <x:c r="N557" s="2"/>
      <x:c r="O557" s="2" t="s">
        <x:v>1600</x:v>
      </x:c>
      <x:c r="P557" s="2" t="s">
        <x:v>1807</x:v>
      </x:c>
      <x:c r="Q557" s="2"/>
      <x:c r="R557" s="3">
        <x:v>4</x:v>
      </x:c>
      <x:c r="S557" s="3"/>
      <x:c r="T557" s="2"/>
      <x:c r="U557" s="2"/>
      <x:c r="V557" s="2"/>
      <x:c r="W557" s="2"/>
      <x:c r="X557" s="3"/>
      <x:c r="Y557" s="3"/>
      <x:c r="Z557" s="2"/>
      <x:c r="AA557" s="2"/>
      <x:c r="AB557" s="2"/>
      <x:c r="AC557" s="2" t="s">
        <x:v>316</x:v>
      </x:c>
      <x:c r="AD557" s="2" t="s">
        <x:v>368</x:v>
      </x:c>
      <x:c r="AE557" s="2" t="s">
        <x:v>317</x:v>
      </x:c>
      <x:c r="AF557" s="2" t="s">
        <x:v>319</x:v>
      </x:c>
      <x:c r="AG557" s="2"/>
      <x:c r="AH557" s="2"/>
      <x:c r="AI557" s="4"/>
      <x:c r="AJ557" s="2"/>
      <x:c r="AK557" s="2" t="s">
        <x:v>320</x:v>
      </x:c>
      <x:c r="AL557" s="2" t="s">
        <x:v>3061</x:v>
      </x:c>
      <x:c r="AM557" s="2">
        <x:v>107</x:v>
      </x:c>
      <x:c r="AN557" s="2">
        <x:v>107</x:v>
      </x:c>
    </x:row>
    <x:row r="558" ht="52">
      <x:c r="A558" s="2" t="s">
        <x:v>91</x:v>
      </x:c>
      <x:c r="B558" s="2" t="s">
        <x:v>16</x:v>
      </x:c>
      <x:c r="C558" s="3">
        <x:v>106</x:v>
      </x:c>
      <x:c r="D558" s="2" t="s">
        <x:v>1602</x:v>
      </x:c>
      <x:c r="E558" s="2" t="s">
        <x:v>1758</x:v>
      </x:c>
      <x:c r="F558" s="2" t="s">
        <x:v>1603</x:v>
      </x:c>
      <x:c r="G558" s="2" t="s">
        <x:v>3167</x:v>
      </x:c>
      <x:c r="H558" s="2" t="s">
        <x:v>618</x:v>
      </x:c>
      <x:c r="I558" s="2" t="s">
        <x:v>1808</x:v>
      </x:c>
      <x:c r="J558" s="2" t="s">
        <x:v>1668</x:v>
      </x:c>
      <x:c r="K558" s="2"/>
      <x:c r="L558" s="2" t="s">
        <x:v>1619</x:v>
      </x:c>
      <x:c r="M558" s="2"/>
      <x:c r="N558" s="2"/>
      <x:c r="O558" s="2" t="s">
        <x:v>1600</x:v>
      </x:c>
      <x:c r="P558" s="2" t="s">
        <x:v>1809</x:v>
      </x:c>
      <x:c r="Q558" s="2"/>
      <x:c r="R558" s="3">
        <x:v>4</x:v>
      </x:c>
      <x:c r="S558" s="3"/>
      <x:c r="T558" s="2"/>
      <x:c r="U558" s="2"/>
      <x:c r="V558" s="2"/>
      <x:c r="W558" s="2"/>
      <x:c r="X558" s="3"/>
      <x:c r="Y558" s="3"/>
      <x:c r="Z558" s="2"/>
      <x:c r="AA558" s="2"/>
      <x:c r="AB558" s="2"/>
      <x:c r="AC558" s="2" t="s">
        <x:v>326</x:v>
      </x:c>
      <x:c r="AD558" s="2" t="s">
        <x:v>317</x:v>
      </x:c>
      <x:c r="AE558" s="2" t="s">
        <x:v>368</x:v>
      </x:c>
      <x:c r="AF558" s="2" t="s">
        <x:v>319</x:v>
      </x:c>
      <x:c r="AG558" s="2"/>
      <x:c r="AH558" s="2"/>
      <x:c r="AI558" s="4"/>
      <x:c r="AJ558" s="2"/>
      <x:c r="AK558" s="2" t="s">
        <x:v>320</x:v>
      </x:c>
      <x:c r="AL558" s="2" t="s">
        <x:v>3061</x:v>
      </x:c>
      <x:c r="AM558" s="2">
        <x:v>108</x:v>
      </x:c>
      <x:c r="AN558" s="2">
        <x:v>108</x:v>
      </x:c>
    </x:row>
    <x:row r="559" ht="52">
      <x:c r="A559" s="2" t="s">
        <x:v>6</x:v>
      </x:c>
      <x:c r="B559" s="2" t="s">
        <x:v>16</x:v>
      </x:c>
      <x:c r="C559" s="3">
        <x:v>107</x:v>
      </x:c>
      <x:c r="D559" s="2" t="s">
        <x:v>1611</x:v>
      </x:c>
      <x:c r="E559" s="2" t="s">
        <x:v>1762</x:v>
      </x:c>
      <x:c r="F559" s="2" t="s">
        <x:v>1612</x:v>
      </x:c>
      <x:c r="G559" s="2"/>
      <x:c r="H559" s="2" t="s">
        <x:v>618</x:v>
      </x:c>
      <x:c r="I559" s="2" t="s">
        <x:v>1810</x:v>
      </x:c>
      <x:c r="J559" s="2" t="s">
        <x:v>1668</x:v>
      </x:c>
      <x:c r="K559" s="2"/>
      <x:c r="L559" s="2" t="s">
        <x:v>1634</x:v>
      </x:c>
      <x:c r="M559" s="2"/>
      <x:c r="N559" s="2"/>
      <x:c r="O559" s="2" t="s">
        <x:v>1600</x:v>
      </x:c>
      <x:c r="P559" s="2" t="s">
        <x:v>1811</x:v>
      </x:c>
      <x:c r="Q559" s="2"/>
      <x:c r="R559" s="3">
        <x:v>3</x:v>
      </x:c>
      <x:c r="S559" s="3"/>
      <x:c r="T559" s="2"/>
      <x:c r="U559" s="2"/>
      <x:c r="V559" s="2"/>
      <x:c r="W559" s="2"/>
      <x:c r="X559" s="3"/>
      <x:c r="Y559" s="3"/>
      <x:c r="Z559" s="2"/>
      <x:c r="AA559" s="2"/>
      <x:c r="AB559" s="2"/>
      <x:c r="AC559" s="2" t="s">
        <x:v>326</x:v>
      </x:c>
      <x:c r="AD559" s="2" t="s">
        <x:v>368</x:v>
      </x:c>
      <x:c r="AE559" s="2" t="s">
        <x:v>317</x:v>
      </x:c>
      <x:c r="AF559" s="2" t="s">
        <x:v>319</x:v>
      </x:c>
      <x:c r="AG559" s="2"/>
      <x:c r="AH559" s="2"/>
      <x:c r="AI559" s="4"/>
      <x:c r="AJ559" s="2"/>
      <x:c r="AK559" s="2" t="s">
        <x:v>320</x:v>
      </x:c>
      <x:c r="AL559" s="2" t="s">
        <x:v>3061</x:v>
      </x:c>
      <x:c r="AM559" s="2">
        <x:v>109</x:v>
      </x:c>
      <x:c r="AN559" s="2">
        <x:v>109</x:v>
      </x:c>
    </x:row>
    <x:row r="560" ht="52">
      <x:c r="A560" s="2" t="s">
        <x:v>6</x:v>
      </x:c>
      <x:c r="B560" s="2" t="s">
        <x:v>16</x:v>
      </x:c>
      <x:c r="C560" s="3">
        <x:v>108</x:v>
      </x:c>
      <x:c r="D560" s="2" t="s">
        <x:v>1636</x:v>
      </x:c>
      <x:c r="E560" s="2" t="s">
        <x:v>1594</x:v>
      </x:c>
      <x:c r="F560" s="2" t="s">
        <x:v>1637</x:v>
      </x:c>
      <x:c r="G560" s="2"/>
      <x:c r="H560" s="2" t="s">
        <x:v>618</x:v>
      </x:c>
      <x:c r="I560" s="2" t="s">
        <x:v>1812</x:v>
      </x:c>
      <x:c r="J560" s="2" t="s">
        <x:v>1668</x:v>
      </x:c>
      <x:c r="K560" s="2"/>
      <x:c r="L560" s="2" t="s">
        <x:v>1656</x:v>
      </x:c>
      <x:c r="M560" s="2"/>
      <x:c r="N560" s="2"/>
      <x:c r="O560" s="2" t="s">
        <x:v>1600</x:v>
      </x:c>
      <x:c r="P560" s="2" t="s">
        <x:v>1813</x:v>
      </x:c>
      <x:c r="Q560" s="2"/>
      <x:c r="R560" s="3">
        <x:v>3</x:v>
      </x:c>
      <x:c r="S560" s="3"/>
      <x:c r="T560" s="2"/>
      <x:c r="U560" s="2"/>
      <x:c r="V560" s="2"/>
      <x:c r="W560" s="2"/>
      <x:c r="X560" s="3"/>
      <x:c r="Y560" s="3"/>
      <x:c r="Z560" s="2"/>
      <x:c r="AA560" s="2"/>
      <x:c r="AB560" s="2"/>
      <x:c r="AC560" s="2" t="s">
        <x:v>367</x:v>
      </x:c>
      <x:c r="AD560" s="2" t="s">
        <x:v>317</x:v>
      </x:c>
      <x:c r="AE560" s="2" t="s">
        <x:v>368</x:v>
      </x:c>
      <x:c r="AF560" s="2" t="s">
        <x:v>319</x:v>
      </x:c>
      <x:c r="AG560" s="2"/>
      <x:c r="AH560" s="2"/>
      <x:c r="AI560" s="4"/>
      <x:c r="AJ560" s="2"/>
      <x:c r="AK560" s="2" t="s">
        <x:v>320</x:v>
      </x:c>
      <x:c r="AL560" s="2" t="s">
        <x:v>3061</x:v>
      </x:c>
      <x:c r="AM560" s="2">
        <x:v>110</x:v>
      </x:c>
      <x:c r="AN560" s="2">
        <x:v>110</x:v>
      </x:c>
    </x:row>
    <x:row r="561" ht="52">
      <x:c r="A561" s="2" t="s">
        <x:v>6</x:v>
      </x:c>
      <x:c r="B561" s="2" t="s">
        <x:v>16</x:v>
      </x:c>
      <x:c r="C561" s="3">
        <x:v>109</x:v>
      </x:c>
      <x:c r="D561" s="2" t="s">
        <x:v>1651</x:v>
      </x:c>
      <x:c r="E561" s="2" t="s">
        <x:v>1721</x:v>
      </x:c>
      <x:c r="F561" s="2" t="s">
        <x:v>1652</x:v>
      </x:c>
      <x:c r="G561" s="2" t="s">
        <x:v>3168</x:v>
      </x:c>
      <x:c r="H561" s="2" t="s">
        <x:v>618</x:v>
      </x:c>
      <x:c r="I561" s="2" t="s">
        <x:v>1815</x:v>
      </x:c>
      <x:c r="J561" s="2" t="s">
        <x:v>1668</x:v>
      </x:c>
      <x:c r="K561" s="2"/>
      <x:c r="L561" s="2" t="s">
        <x:v>1653</x:v>
      </x:c>
      <x:c r="M561" s="2"/>
      <x:c r="N561" s="2"/>
      <x:c r="O561" s="2" t="s">
        <x:v>1600</x:v>
      </x:c>
      <x:c r="P561" s="2" t="s">
        <x:v>1753</x:v>
      </x:c>
      <x:c r="Q561" s="2"/>
      <x:c r="R561" s="3">
        <x:v>4</x:v>
      </x:c>
      <x:c r="S561" s="3"/>
      <x:c r="T561" s="2"/>
      <x:c r="U561" s="2"/>
      <x:c r="V561" s="2"/>
      <x:c r="W561" s="2"/>
      <x:c r="X561" s="3"/>
      <x:c r="Y561" s="3"/>
      <x:c r="Z561" s="2"/>
      <x:c r="AA561" s="2"/>
      <x:c r="AB561" s="2"/>
      <x:c r="AC561" s="2" t="s">
        <x:v>374</x:v>
      </x:c>
      <x:c r="AD561" s="2" t="s">
        <x:v>368</x:v>
      </x:c>
      <x:c r="AE561" s="2" t="s">
        <x:v>317</x:v>
      </x:c>
      <x:c r="AF561" s="2" t="s">
        <x:v>319</x:v>
      </x:c>
      <x:c r="AG561" s="2"/>
      <x:c r="AH561" s="2"/>
      <x:c r="AI561" s="4"/>
      <x:c r="AJ561" s="2"/>
      <x:c r="AK561" s="2" t="s">
        <x:v>320</x:v>
      </x:c>
      <x:c r="AL561" s="2" t="s">
        <x:v>3061</x:v>
      </x:c>
      <x:c r="AM561" s="2">
        <x:v>111</x:v>
      </x:c>
      <x:c r="AN561" s="2">
        <x:v>111</x:v>
      </x:c>
    </x:row>
    <x:row r="562" ht="39">
      <x:c r="A562" s="2" t="s">
        <x:v>6</x:v>
      </x:c>
      <x:c r="B562" s="2" t="s">
        <x:v>16</x:v>
      </x:c>
      <x:c r="C562" s="3">
        <x:v>110</x:v>
      </x:c>
      <x:c r="D562" s="2" t="s">
        <x:v>1816</x:v>
      </x:c>
      <x:c r="E562" s="2" t="s">
        <x:v>1817</x:v>
      </x:c>
      <x:c r="F562" s="2" t="s">
        <x:v>1818</x:v>
      </x:c>
      <x:c r="G562" s="2"/>
      <x:c r="H562" s="2" t="s">
        <x:v>1819</x:v>
      </x:c>
      <x:c r="I562" s="2" t="s">
        <x:v>1820</x:v>
      </x:c>
      <x:c r="J562" s="2" t="s">
        <x:v>1821</x:v>
      </x:c>
      <x:c r="K562" s="2"/>
      <x:c r="L562" s="2" t="s">
        <x:v>1822</x:v>
      </x:c>
      <x:c r="M562" s="2"/>
      <x:c r="N562" s="2"/>
      <x:c r="O562" s="2" t="s">
        <x:v>1600</x:v>
      </x:c>
      <x:c r="P562" s="2" t="s">
        <x:v>1823</x:v>
      </x:c>
      <x:c r="Q562" s="2"/>
      <x:c r="R562" s="3">
        <x:v>3</x:v>
      </x:c>
      <x:c r="S562" s="3"/>
      <x:c r="T562" s="2"/>
      <x:c r="U562" s="2"/>
      <x:c r="V562" s="2"/>
      <x:c r="W562" s="2"/>
      <x:c r="X562" s="3"/>
      <x:c r="Y562" s="3"/>
      <x:c r="Z562" s="2"/>
      <x:c r="AA562" s="2"/>
      <x:c r="AB562" s="2"/>
      <x:c r="AC562" s="2" t="s">
        <x:v>316</x:v>
      </x:c>
      <x:c r="AD562" s="2" t="s">
        <x:v>480</x:v>
      </x:c>
      <x:c r="AE562" s="2" t="s">
        <x:v>318</x:v>
      </x:c>
      <x:c r="AF562" s="2" t="s">
        <x:v>1824</x:v>
      </x:c>
      <x:c r="AG562" s="2"/>
      <x:c r="AH562" s="2"/>
      <x:c r="AI562" s="4"/>
      <x:c r="AJ562" s="2"/>
      <x:c r="AK562" s="2" t="s">
        <x:v>320</x:v>
      </x:c>
      <x:c r="AL562" s="2" t="s">
        <x:v>3061</x:v>
      </x:c>
      <x:c r="AM562" s="2">
        <x:v>112</x:v>
      </x:c>
      <x:c r="AN562" s="2">
        <x:v>112</x:v>
      </x:c>
    </x:row>
    <x:row r="563" ht="39">
      <x:c r="A563" s="2" t="s">
        <x:v>6</x:v>
      </x:c>
      <x:c r="B563" s="2" t="s">
        <x:v>16</x:v>
      </x:c>
      <x:c r="C563" s="3">
        <x:v>111</x:v>
      </x:c>
      <x:c r="D563" s="2" t="s">
        <x:v>1825</x:v>
      </x:c>
      <x:c r="E563" s="2" t="s">
        <x:v>1817</x:v>
      </x:c>
      <x:c r="F563" s="2" t="s">
        <x:v>1826</x:v>
      </x:c>
      <x:c r="G563" s="2" t="s">
        <x:v>3169</x:v>
      </x:c>
      <x:c r="H563" s="2" t="s">
        <x:v>1819</x:v>
      </x:c>
      <x:c r="I563" s="2" t="s">
        <x:v>1820</x:v>
      </x:c>
      <x:c r="J563" s="2" t="s">
        <x:v>1821</x:v>
      </x:c>
      <x:c r="K563" s="2" t="n">
        <x:v>110</x:v>
      </x:c>
      <x:c r="L563" s="2" t="s">
        <x:v>1828</x:v>
      </x:c>
      <x:c r="M563" s="2"/>
      <x:c r="N563" s="2"/>
      <x:c r="O563" s="2" t="s">
        <x:v>1829</x:v>
      </x:c>
      <x:c r="P563" s="2" t="s">
        <x:v>1823</x:v>
      </x:c>
      <x:c r="Q563" s="2"/>
      <x:c r="R563" s="3">
        <x:v>3</x:v>
      </x:c>
      <x:c r="S563" s="3"/>
      <x:c r="T563" s="2"/>
      <x:c r="U563" s="2"/>
      <x:c r="V563" s="2"/>
      <x:c r="W563" s="2"/>
      <x:c r="X563" s="3"/>
      <x:c r="Y563" s="3"/>
      <x:c r="Z563" s="2"/>
      <x:c r="AA563" s="2"/>
      <x:c r="AB563" s="2"/>
      <x:c r="AC563" s="2" t="s">
        <x:v>326</x:v>
      </x:c>
      <x:c r="AD563" s="2" t="s">
        <x:v>480</x:v>
      </x:c>
      <x:c r="AE563" s="2" t="s">
        <x:v>318</x:v>
      </x:c>
      <x:c r="AF563" s="2" t="s">
        <x:v>1824</x:v>
      </x:c>
      <x:c r="AG563" s="2"/>
      <x:c r="AH563" s="2"/>
      <x:c r="AI563" s="4"/>
      <x:c r="AJ563" s="2"/>
      <x:c r="AK563" s="2" t="s">
        <x:v>320</x:v>
      </x:c>
      <x:c r="AL563" s="2" t="s">
        <x:v>3061</x:v>
      </x:c>
      <x:c r="AM563" s="2">
        <x:v>113</x:v>
      </x:c>
      <x:c r="AN563" s="2">
        <x:v>113</x:v>
      </x:c>
    </x:row>
    <x:row r="564" ht="52">
      <x:c r="A564" s="2" t="s">
        <x:v>91</x:v>
      </x:c>
      <x:c r="B564" s="2" t="s">
        <x:v>16</x:v>
      </x:c>
      <x:c r="C564" s="3">
        <x:v>112</x:v>
      </x:c>
      <x:c r="D564" s="2" t="s">
        <x:v>1830</x:v>
      </x:c>
      <x:c r="E564" s="2" t="s">
        <x:v>1817</x:v>
      </x:c>
      <x:c r="F564" s="2" t="s">
        <x:v>1831</x:v>
      </x:c>
      <x:c r="G564" s="2" t="s">
        <x:v>3170</x:v>
      </x:c>
      <x:c r="H564" s="2" t="s">
        <x:v>1819</x:v>
      </x:c>
      <x:c r="I564" s="2" t="s">
        <x:v>1820</x:v>
      </x:c>
      <x:c r="J564" s="2" t="s">
        <x:v>1821</x:v>
      </x:c>
      <x:c r="K564" s="2" t="n">
        <x:v>110</x:v>
      </x:c>
      <x:c r="L564" s="2" t="s">
        <x:v>1833</x:v>
      </x:c>
      <x:c r="M564" s="2"/>
      <x:c r="N564" s="2"/>
      <x:c r="O564" s="2" t="s">
        <x:v>1829</x:v>
      </x:c>
      <x:c r="P564" s="2" t="s">
        <x:v>1834</x:v>
      </x:c>
      <x:c r="Q564" s="2"/>
      <x:c r="R564" s="3">
        <x:v>3</x:v>
      </x:c>
      <x:c r="S564" s="3"/>
      <x:c r="T564" s="2"/>
      <x:c r="U564" s="2"/>
      <x:c r="V564" s="2"/>
      <x:c r="W564" s="2"/>
      <x:c r="X564" s="3"/>
      <x:c r="Y564" s="3"/>
      <x:c r="Z564" s="2"/>
      <x:c r="AA564" s="2"/>
      <x:c r="AB564" s="2"/>
      <x:c r="AC564" s="2" t="s">
        <x:v>316</x:v>
      </x:c>
      <x:c r="AD564" s="2" t="s">
        <x:v>318</x:v>
      </x:c>
      <x:c r="AE564" s="2" t="s">
        <x:v>480</x:v>
      </x:c>
      <x:c r="AF564" s="2" t="s">
        <x:v>1835</x:v>
      </x:c>
      <x:c r="AG564" s="2"/>
      <x:c r="AH564" s="2"/>
      <x:c r="AI564" s="4"/>
      <x:c r="AJ564" s="2"/>
      <x:c r="AK564" s="2" t="s">
        <x:v>320</x:v>
      </x:c>
      <x:c r="AL564" s="2" t="s">
        <x:v>3061</x:v>
      </x:c>
      <x:c r="AM564" s="2">
        <x:v>114</x:v>
      </x:c>
      <x:c r="AN564" s="2">
        <x:v>114</x:v>
      </x:c>
    </x:row>
    <x:row r="565" ht="52">
      <x:c r="A565" s="2" t="s">
        <x:v>91</x:v>
      </x:c>
      <x:c r="B565" s="2" t="s">
        <x:v>16</x:v>
      </x:c>
      <x:c r="C565" s="3">
        <x:v>113</x:v>
      </x:c>
      <x:c r="D565" s="2" t="s">
        <x:v>1836</x:v>
      </x:c>
      <x:c r="E565" s="2" t="s">
        <x:v>1817</x:v>
      </x:c>
      <x:c r="F565" s="2" t="s">
        <x:v>1837</x:v>
      </x:c>
      <x:c r="G565" s="2" t="s">
        <x:v>3171</x:v>
      </x:c>
      <x:c r="H565" s="2" t="s">
        <x:v>1819</x:v>
      </x:c>
      <x:c r="I565" s="2" t="s">
        <x:v>1820</x:v>
      </x:c>
      <x:c r="J565" s="2" t="s">
        <x:v>1821</x:v>
      </x:c>
      <x:c r="K565" s="2" t="n">
        <x:v>110</x:v>
      </x:c>
      <x:c r="L565" s="2" t="s">
        <x:v>1839</x:v>
      </x:c>
      <x:c r="M565" s="2"/>
      <x:c r="N565" s="2"/>
      <x:c r="O565" s="2" t="s">
        <x:v>1829</x:v>
      </x:c>
      <x:c r="P565" s="2" t="s">
        <x:v>1834</x:v>
      </x:c>
      <x:c r="Q565" s="2"/>
      <x:c r="R565" s="3">
        <x:v>3</x:v>
      </x:c>
      <x:c r="S565" s="3"/>
      <x:c r="T565" s="2"/>
      <x:c r="U565" s="2"/>
      <x:c r="V565" s="2"/>
      <x:c r="W565" s="2"/>
      <x:c r="X565" s="3"/>
      <x:c r="Y565" s="3"/>
      <x:c r="Z565" s="2"/>
      <x:c r="AA565" s="2"/>
      <x:c r="AB565" s="2"/>
      <x:c r="AC565" s="2" t="s">
        <x:v>326</x:v>
      </x:c>
      <x:c r="AD565" s="2" t="s">
        <x:v>318</x:v>
      </x:c>
      <x:c r="AE565" s="2" t="s">
        <x:v>480</x:v>
      </x:c>
      <x:c r="AF565" s="2" t="s">
        <x:v>1835</x:v>
      </x:c>
      <x:c r="AG565" s="2"/>
      <x:c r="AH565" s="2"/>
      <x:c r="AI565" s="4"/>
      <x:c r="AJ565" s="2"/>
      <x:c r="AK565" s="2" t="s">
        <x:v>320</x:v>
      </x:c>
      <x:c r="AL565" s="2" t="s">
        <x:v>3061</x:v>
      </x:c>
      <x:c r="AM565" s="2">
        <x:v>115</x:v>
      </x:c>
      <x:c r="AN565" s="2">
        <x:v>115</x:v>
      </x:c>
    </x:row>
    <x:row r="566" ht="39">
      <x:c r="A566" s="2" t="s">
        <x:v>91</x:v>
      </x:c>
      <x:c r="B566" s="2" t="s">
        <x:v>16</x:v>
      </x:c>
      <x:c r="C566" s="3">
        <x:v>114</x:v>
      </x:c>
      <x:c r="D566" s="2" t="s">
        <x:v>1840</x:v>
      </x:c>
      <x:c r="E566" s="2" t="s">
        <x:v>1841</x:v>
      </x:c>
      <x:c r="F566" s="2" t="s">
        <x:v>1842</x:v>
      </x:c>
      <x:c r="G566" s="2" t="s">
        <x:v>3172</x:v>
      </x:c>
      <x:c r="H566" s="2" t="s">
        <x:v>1819</x:v>
      </x:c>
      <x:c r="I566" s="2" t="s">
        <x:v>1843</x:v>
      </x:c>
      <x:c r="J566" s="2" t="s">
        <x:v>1821</x:v>
      </x:c>
      <x:c r="K566" s="2"/>
      <x:c r="L566" s="2" t="s">
        <x:v>1844</x:v>
      </x:c>
      <x:c r="M566" s="2"/>
      <x:c r="N566" s="2"/>
      <x:c r="O566" s="2" t="s">
        <x:v>1600</x:v>
      </x:c>
      <x:c r="P566" s="2" t="s">
        <x:v>1823</x:v>
      </x:c>
      <x:c r="Q566" s="2"/>
      <x:c r="R566" s="3">
        <x:v>4</x:v>
      </x:c>
      <x:c r="S566" s="3"/>
      <x:c r="T566" s="2"/>
      <x:c r="U566" s="2"/>
      <x:c r="V566" s="2"/>
      <x:c r="W566" s="2"/>
      <x:c r="X566" s="3"/>
      <x:c r="Y566" s="3"/>
      <x:c r="Z566" s="2"/>
      <x:c r="AA566" s="2"/>
      <x:c r="AB566" s="2"/>
      <x:c r="AC566" s="2" t="s">
        <x:v>316</x:v>
      </x:c>
      <x:c r="AD566" s="2" t="s">
        <x:v>480</x:v>
      </x:c>
      <x:c r="AE566" s="2" t="s">
        <x:v>344</x:v>
      </x:c>
      <x:c r="AF566" s="2" t="s">
        <x:v>1824</x:v>
      </x:c>
      <x:c r="AG566" s="2"/>
      <x:c r="AH566" s="2"/>
      <x:c r="AI566" s="4"/>
      <x:c r="AJ566" s="2"/>
      <x:c r="AK566" s="2" t="s">
        <x:v>320</x:v>
      </x:c>
      <x:c r="AL566" s="2" t="s">
        <x:v>3061</x:v>
      </x:c>
      <x:c r="AM566" s="2">
        <x:v>116</x:v>
      </x:c>
      <x:c r="AN566" s="2">
        <x:v>116</x:v>
      </x:c>
    </x:row>
    <x:row r="567" ht="39">
      <x:c r="A567" s="2" t="s">
        <x:v>6</x:v>
      </x:c>
      <x:c r="B567" s="2" t="s">
        <x:v>16</x:v>
      </x:c>
      <x:c r="C567" s="3">
        <x:v>115</x:v>
      </x:c>
      <x:c r="D567" s="2" t="s">
        <x:v>1845</x:v>
      </x:c>
      <x:c r="E567" s="2" t="s">
        <x:v>1841</x:v>
      </x:c>
      <x:c r="F567" s="2" t="s">
        <x:v>1846</x:v>
      </x:c>
      <x:c r="G567" s="2"/>
      <x:c r="H567" s="2" t="s">
        <x:v>1819</x:v>
      </x:c>
      <x:c r="I567" s="2" t="s">
        <x:v>1843</x:v>
      </x:c>
      <x:c r="J567" s="2" t="s">
        <x:v>1821</x:v>
      </x:c>
      <x:c r="K567" s="2" t="n">
        <x:v>114</x:v>
      </x:c>
      <x:c r="L567" s="2" t="s">
        <x:v>1847</x:v>
      </x:c>
      <x:c r="M567" s="2"/>
      <x:c r="N567" s="2"/>
      <x:c r="O567" s="2" t="s">
        <x:v>1829</x:v>
      </x:c>
      <x:c r="P567" s="2" t="s">
        <x:v>1823</x:v>
      </x:c>
      <x:c r="Q567" s="2"/>
      <x:c r="R567" s="3">
        <x:v>4</x:v>
      </x:c>
      <x:c r="S567" s="3"/>
      <x:c r="T567" s="2"/>
      <x:c r="U567" s="2"/>
      <x:c r="V567" s="2"/>
      <x:c r="W567" s="2"/>
      <x:c r="X567" s="3"/>
      <x:c r="Y567" s="3"/>
      <x:c r="Z567" s="2"/>
      <x:c r="AA567" s="2"/>
      <x:c r="AB567" s="2"/>
      <x:c r="AC567" s="2" t="s">
        <x:v>326</x:v>
      </x:c>
      <x:c r="AD567" s="2" t="s">
        <x:v>480</x:v>
      </x:c>
      <x:c r="AE567" s="2" t="s">
        <x:v>344</x:v>
      </x:c>
      <x:c r="AF567" s="2" t="s">
        <x:v>1824</x:v>
      </x:c>
      <x:c r="AG567" s="2"/>
      <x:c r="AH567" s="2"/>
      <x:c r="AI567" s="4"/>
      <x:c r="AJ567" s="2"/>
      <x:c r="AK567" s="2" t="s">
        <x:v>320</x:v>
      </x:c>
      <x:c r="AL567" s="2" t="s">
        <x:v>3061</x:v>
      </x:c>
      <x:c r="AM567" s="2">
        <x:v>117</x:v>
      </x:c>
      <x:c r="AN567" s="2">
        <x:v>117</x:v>
      </x:c>
    </x:row>
    <x:row r="568" ht="52">
      <x:c r="A568" s="2" t="s">
        <x:v>6</x:v>
      </x:c>
      <x:c r="B568" s="2" t="s">
        <x:v>16</x:v>
      </x:c>
      <x:c r="C568" s="3">
        <x:v>116</x:v>
      </x:c>
      <x:c r="D568" s="2" t="s">
        <x:v>1848</x:v>
      </x:c>
      <x:c r="E568" s="2" t="s">
        <x:v>1841</x:v>
      </x:c>
      <x:c r="F568" s="2" t="s">
        <x:v>1849</x:v>
      </x:c>
      <x:c r="G568" s="2" t="s">
        <x:v>3173</x:v>
      </x:c>
      <x:c r="H568" s="2" t="s">
        <x:v>1819</x:v>
      </x:c>
      <x:c r="I568" s="2" t="s">
        <x:v>1843</x:v>
      </x:c>
      <x:c r="J568" s="2" t="s">
        <x:v>1821</x:v>
      </x:c>
      <x:c r="K568" s="2" t="n">
        <x:v>114</x:v>
      </x:c>
      <x:c r="L568" s="2" t="s">
        <x:v>1850</x:v>
      </x:c>
      <x:c r="M568" s="2"/>
      <x:c r="N568" s="2"/>
      <x:c r="O568" s="2" t="s">
        <x:v>1829</x:v>
      </x:c>
      <x:c r="P568" s="2" t="s">
        <x:v>1834</x:v>
      </x:c>
      <x:c r="Q568" s="2"/>
      <x:c r="R568" s="3">
        <x:v>4</x:v>
      </x:c>
      <x:c r="S568" s="3"/>
      <x:c r="T568" s="2"/>
      <x:c r="U568" s="2"/>
      <x:c r="V568" s="2"/>
      <x:c r="W568" s="2"/>
      <x:c r="X568" s="3"/>
      <x:c r="Y568" s="3"/>
      <x:c r="Z568" s="2"/>
      <x:c r="AA568" s="2"/>
      <x:c r="AB568" s="2"/>
      <x:c r="AC568" s="2" t="s">
        <x:v>316</x:v>
      </x:c>
      <x:c r="AD568" s="2" t="s">
        <x:v>344</x:v>
      </x:c>
      <x:c r="AE568" s="2" t="s">
        <x:v>480</x:v>
      </x:c>
      <x:c r="AF568" s="2" t="s">
        <x:v>1835</x:v>
      </x:c>
      <x:c r="AG568" s="2"/>
      <x:c r="AH568" s="2"/>
      <x:c r="AI568" s="4"/>
      <x:c r="AJ568" s="2"/>
      <x:c r="AK568" s="2" t="s">
        <x:v>320</x:v>
      </x:c>
      <x:c r="AL568" s="2" t="s">
        <x:v>3061</x:v>
      </x:c>
      <x:c r="AM568" s="2">
        <x:v>118</x:v>
      </x:c>
      <x:c r="AN568" s="2">
        <x:v>118</x:v>
      </x:c>
    </x:row>
    <x:row r="569" ht="52">
      <x:c r="A569" s="2" t="s">
        <x:v>6</x:v>
      </x:c>
      <x:c r="B569" s="2" t="s">
        <x:v>16</x:v>
      </x:c>
      <x:c r="C569" s="3">
        <x:v>117</x:v>
      </x:c>
      <x:c r="D569" s="2" t="s">
        <x:v>1851</x:v>
      </x:c>
      <x:c r="E569" s="2" t="s">
        <x:v>1841</x:v>
      </x:c>
      <x:c r="F569" s="2" t="s">
        <x:v>1852</x:v>
      </x:c>
      <x:c r="G569" s="2"/>
      <x:c r="H569" s="2" t="s">
        <x:v>1819</x:v>
      </x:c>
      <x:c r="I569" s="2" t="s">
        <x:v>1843</x:v>
      </x:c>
      <x:c r="J569" s="2" t="s">
        <x:v>1821</x:v>
      </x:c>
      <x:c r="K569" s="2" t="n">
        <x:v>114</x:v>
      </x:c>
      <x:c r="L569" s="2" t="s">
        <x:v>1854</x:v>
      </x:c>
      <x:c r="M569" s="2"/>
      <x:c r="N569" s="2"/>
      <x:c r="O569" s="2" t="s">
        <x:v>1829</x:v>
      </x:c>
      <x:c r="P569" s="2" t="s">
        <x:v>1834</x:v>
      </x:c>
      <x:c r="Q569" s="2"/>
      <x:c r="R569" s="3">
        <x:v>4</x:v>
      </x:c>
      <x:c r="S569" s="3"/>
      <x:c r="T569" s="2"/>
      <x:c r="U569" s="2"/>
      <x:c r="V569" s="2"/>
      <x:c r="W569" s="2"/>
      <x:c r="X569" s="3"/>
      <x:c r="Y569" s="3"/>
      <x:c r="Z569" s="2"/>
      <x:c r="AA569" s="2"/>
      <x:c r="AB569" s="2"/>
      <x:c r="AC569" s="2" t="s">
        <x:v>326</x:v>
      </x:c>
      <x:c r="AD569" s="2" t="s">
        <x:v>344</x:v>
      </x:c>
      <x:c r="AE569" s="2" t="s">
        <x:v>480</x:v>
      </x:c>
      <x:c r="AF569" s="2" t="s">
        <x:v>1835</x:v>
      </x:c>
      <x:c r="AG569" s="2"/>
      <x:c r="AH569" s="2"/>
      <x:c r="AI569" s="4"/>
      <x:c r="AJ569" s="2"/>
      <x:c r="AK569" s="2" t="s">
        <x:v>320</x:v>
      </x:c>
      <x:c r="AL569" s="2" t="s">
        <x:v>3061</x:v>
      </x:c>
      <x:c r="AM569" s="2">
        <x:v>119</x:v>
      </x:c>
      <x:c r="AN569" s="2">
        <x:v>119</x:v>
      </x:c>
    </x:row>
    <x:row r="570" ht="39">
      <x:c r="A570" s="2" t="s">
        <x:v>6</x:v>
      </x:c>
      <x:c r="B570" s="2" t="s">
        <x:v>16</x:v>
      </x:c>
      <x:c r="C570" s="3">
        <x:v>118</x:v>
      </x:c>
      <x:c r="D570" s="2" t="s">
        <x:v>1855</x:v>
      </x:c>
      <x:c r="E570" s="2" t="s">
        <x:v>1856</x:v>
      </x:c>
      <x:c r="F570" s="2" t="s">
        <x:v>1857</x:v>
      </x:c>
      <x:c r="G570" s="2"/>
      <x:c r="H570" s="2" t="s">
        <x:v>1819</x:v>
      </x:c>
      <x:c r="I570" s="2" t="s">
        <x:v>1858</x:v>
      </x:c>
      <x:c r="J570" s="2" t="s">
        <x:v>1859</x:v>
      </x:c>
      <x:c r="K570" s="2"/>
      <x:c r="L570" s="2" t="s">
        <x:v>1860</x:v>
      </x:c>
      <x:c r="M570" s="2"/>
      <x:c r="N570" s="2"/>
      <x:c r="O570" s="2" t="s">
        <x:v>1600</x:v>
      </x:c>
      <x:c r="P570" s="2" t="s">
        <x:v>1823</x:v>
      </x:c>
      <x:c r="Q570" s="2"/>
      <x:c r="R570" s="3">
        <x:v>3</x:v>
      </x:c>
      <x:c r="S570" s="3"/>
      <x:c r="T570" s="2"/>
      <x:c r="U570" s="2"/>
      <x:c r="V570" s="2"/>
      <x:c r="W570" s="2"/>
      <x:c r="X570" s="3"/>
      <x:c r="Y570" s="3"/>
      <x:c r="Z570" s="2"/>
      <x:c r="AA570" s="2"/>
      <x:c r="AB570" s="2"/>
      <x:c r="AC570" s="2" t="s">
        <x:v>367</x:v>
      </x:c>
      <x:c r="AD570" s="2" t="s">
        <x:v>480</x:v>
      </x:c>
      <x:c r="AE570" s="2" t="s">
        <x:v>317</x:v>
      </x:c>
      <x:c r="AF570" s="2" t="s">
        <x:v>1824</x:v>
      </x:c>
      <x:c r="AG570" s="2"/>
      <x:c r="AH570" s="2"/>
      <x:c r="AI570" s="4"/>
      <x:c r="AJ570" s="2"/>
      <x:c r="AK570" s="2" t="s">
        <x:v>320</x:v>
      </x:c>
      <x:c r="AL570" s="2" t="s">
        <x:v>3061</x:v>
      </x:c>
      <x:c r="AM570" s="2">
        <x:v>120</x:v>
      </x:c>
      <x:c r="AN570" s="2">
        <x:v>120</x:v>
      </x:c>
    </x:row>
    <x:row r="571" ht="39">
      <x:c r="A571" s="2" t="s">
        <x:v>6</x:v>
      </x:c>
      <x:c r="B571" s="2" t="s">
        <x:v>16</x:v>
      </x:c>
      <x:c r="C571" s="3">
        <x:v>119</x:v>
      </x:c>
      <x:c r="D571" s="2" t="s">
        <x:v>1861</x:v>
      </x:c>
      <x:c r="E571" s="2" t="s">
        <x:v>1856</x:v>
      </x:c>
      <x:c r="F571" s="2" t="s">
        <x:v>1862</x:v>
      </x:c>
      <x:c r="G571" s="2"/>
      <x:c r="H571" s="2" t="s">
        <x:v>1819</x:v>
      </x:c>
      <x:c r="I571" s="2" t="s">
        <x:v>1858</x:v>
      </x:c>
      <x:c r="J571" s="2" t="s">
        <x:v>1859</x:v>
      </x:c>
      <x:c r="K571" s="2" t="n">
        <x:v>118</x:v>
      </x:c>
      <x:c r="L571" s="2" t="s">
        <x:v>1863</x:v>
      </x:c>
      <x:c r="M571" s="2"/>
      <x:c r="N571" s="2"/>
      <x:c r="O571" s="2" t="s">
        <x:v>1829</x:v>
      </x:c>
      <x:c r="P571" s="2" t="s">
        <x:v>1823</x:v>
      </x:c>
      <x:c r="Q571" s="2"/>
      <x:c r="R571" s="3">
        <x:v>3</x:v>
      </x:c>
      <x:c r="S571" s="3"/>
      <x:c r="T571" s="2"/>
      <x:c r="U571" s="2"/>
      <x:c r="V571" s="2"/>
      <x:c r="W571" s="2"/>
      <x:c r="X571" s="3"/>
      <x:c r="Y571" s="3"/>
      <x:c r="Z571" s="2"/>
      <x:c r="AA571" s="2"/>
      <x:c r="AB571" s="2"/>
      <x:c r="AC571" s="2" t="s">
        <x:v>374</x:v>
      </x:c>
      <x:c r="AD571" s="2" t="s">
        <x:v>480</x:v>
      </x:c>
      <x:c r="AE571" s="2" t="s">
        <x:v>317</x:v>
      </x:c>
      <x:c r="AF571" s="2" t="s">
        <x:v>1824</x:v>
      </x:c>
      <x:c r="AG571" s="2"/>
      <x:c r="AH571" s="2"/>
      <x:c r="AI571" s="4"/>
      <x:c r="AJ571" s="2"/>
      <x:c r="AK571" s="2" t="s">
        <x:v>320</x:v>
      </x:c>
      <x:c r="AL571" s="2" t="s">
        <x:v>3061</x:v>
      </x:c>
      <x:c r="AM571" s="2">
        <x:v>121</x:v>
      </x:c>
      <x:c r="AN571" s="2">
        <x:v>121</x:v>
      </x:c>
    </x:row>
    <x:row r="572" ht="39">
      <x:c r="A572" s="2" t="s">
        <x:v>91</x:v>
      </x:c>
      <x:c r="B572" s="2" t="s">
        <x:v>16</x:v>
      </x:c>
      <x:c r="C572" s="3">
        <x:v>120</x:v>
      </x:c>
      <x:c r="D572" s="2" t="s">
        <x:v>1864</x:v>
      </x:c>
      <x:c r="E572" s="2" t="s">
        <x:v>1856</x:v>
      </x:c>
      <x:c r="F572" s="2" t="s">
        <x:v>1865</x:v>
      </x:c>
      <x:c r="G572" s="2" t="s">
        <x:v>3174</x:v>
      </x:c>
      <x:c r="H572" s="2" t="s">
        <x:v>1819</x:v>
      </x:c>
      <x:c r="I572" s="2" t="s">
        <x:v>1858</x:v>
      </x:c>
      <x:c r="J572" s="2" t="s">
        <x:v>1859</x:v>
      </x:c>
      <x:c r="K572" s="2" t="n">
        <x:v>118</x:v>
      </x:c>
      <x:c r="L572" s="2" t="s">
        <x:v>1867</x:v>
      </x:c>
      <x:c r="M572" s="2"/>
      <x:c r="N572" s="2"/>
      <x:c r="O572" s="2" t="s">
        <x:v>1829</x:v>
      </x:c>
      <x:c r="P572" s="2" t="s">
        <x:v>1834</x:v>
      </x:c>
      <x:c r="Q572" s="2"/>
      <x:c r="R572" s="3">
        <x:v>3</x:v>
      </x:c>
      <x:c r="S572" s="3"/>
      <x:c r="T572" s="2"/>
      <x:c r="U572" s="2"/>
      <x:c r="V572" s="2"/>
      <x:c r="W572" s="2"/>
      <x:c r="X572" s="3"/>
      <x:c r="Y572" s="3"/>
      <x:c r="Z572" s="2"/>
      <x:c r="AA572" s="2"/>
      <x:c r="AB572" s="2"/>
      <x:c r="AC572" s="2" t="s">
        <x:v>367</x:v>
      </x:c>
      <x:c r="AD572" s="2" t="s">
        <x:v>317</x:v>
      </x:c>
      <x:c r="AE572" s="2" t="s">
        <x:v>480</x:v>
      </x:c>
      <x:c r="AF572" s="2" t="s">
        <x:v>1835</x:v>
      </x:c>
      <x:c r="AG572" s="2"/>
      <x:c r="AH572" s="2"/>
      <x:c r="AI572" s="4"/>
      <x:c r="AJ572" s="2"/>
      <x:c r="AK572" s="2" t="s">
        <x:v>320</x:v>
      </x:c>
      <x:c r="AL572" s="2" t="s">
        <x:v>3061</x:v>
      </x:c>
      <x:c r="AM572" s="2">
        <x:v>122</x:v>
      </x:c>
      <x:c r="AN572" s="2">
        <x:v>122</x:v>
      </x:c>
    </x:row>
    <x:row r="573" ht="52">
      <x:c r="A573" s="2" t="s">
        <x:v>91</x:v>
      </x:c>
      <x:c r="B573" s="2" t="s">
        <x:v>16</x:v>
      </x:c>
      <x:c r="C573" s="3">
        <x:v>121</x:v>
      </x:c>
      <x:c r="D573" s="2" t="s">
        <x:v>1868</x:v>
      </x:c>
      <x:c r="E573" s="2" t="s">
        <x:v>1856</x:v>
      </x:c>
      <x:c r="F573" s="2" t="s">
        <x:v>1869</x:v>
      </x:c>
      <x:c r="G573" s="2" t="s">
        <x:v>3174</x:v>
      </x:c>
      <x:c r="H573" s="2" t="s">
        <x:v>1819</x:v>
      </x:c>
      <x:c r="I573" s="2" t="s">
        <x:v>1858</x:v>
      </x:c>
      <x:c r="J573" s="2" t="s">
        <x:v>1859</x:v>
      </x:c>
      <x:c r="K573" s="2" t="n">
        <x:v>118</x:v>
      </x:c>
      <x:c r="L573" s="2" t="s">
        <x:v>1870</x:v>
      </x:c>
      <x:c r="M573" s="2"/>
      <x:c r="N573" s="2"/>
      <x:c r="O573" s="2" t="s">
        <x:v>1829</x:v>
      </x:c>
      <x:c r="P573" s="2" t="s">
        <x:v>1834</x:v>
      </x:c>
      <x:c r="Q573" s="2"/>
      <x:c r="R573" s="3">
        <x:v>3</x:v>
      </x:c>
      <x:c r="S573" s="3"/>
      <x:c r="T573" s="2"/>
      <x:c r="U573" s="2"/>
      <x:c r="V573" s="2"/>
      <x:c r="W573" s="2"/>
      <x:c r="X573" s="3"/>
      <x:c r="Y573" s="3"/>
      <x:c r="Z573" s="2"/>
      <x:c r="AA573" s="2"/>
      <x:c r="AB573" s="2"/>
      <x:c r="AC573" s="2" t="s">
        <x:v>374</x:v>
      </x:c>
      <x:c r="AD573" s="2" t="s">
        <x:v>317</x:v>
      </x:c>
      <x:c r="AE573" s="2" t="s">
        <x:v>480</x:v>
      </x:c>
      <x:c r="AF573" s="2" t="s">
        <x:v>1835</x:v>
      </x:c>
      <x:c r="AG573" s="2"/>
      <x:c r="AH573" s="2"/>
      <x:c r="AI573" s="4"/>
      <x:c r="AJ573" s="2"/>
      <x:c r="AK573" s="2" t="s">
        <x:v>320</x:v>
      </x:c>
      <x:c r="AL573" s="2" t="s">
        <x:v>3061</x:v>
      </x:c>
      <x:c r="AM573" s="2">
        <x:v>123</x:v>
      </x:c>
      <x:c r="AN573" s="2">
        <x:v>123</x:v>
      </x:c>
    </x:row>
    <x:row r="574" ht="39">
      <x:c r="A574" s="2" t="s">
        <x:v>91</x:v>
      </x:c>
      <x:c r="B574" s="2" t="s">
        <x:v>16</x:v>
      </x:c>
      <x:c r="C574" s="3">
        <x:v>122</x:v>
      </x:c>
      <x:c r="D574" s="2" t="s">
        <x:v>1871</x:v>
      </x:c>
      <x:c r="E574" s="2" t="s">
        <x:v>1872</x:v>
      </x:c>
      <x:c r="F574" s="2" t="s">
        <x:v>1873</x:v>
      </x:c>
      <x:c r="G574" s="2" t="s">
        <x:v>3175</x:v>
      </x:c>
      <x:c r="H574" s="2" t="s">
        <x:v>1819</x:v>
      </x:c>
      <x:c r="I574" s="2" t="s">
        <x:v>1874</x:v>
      </x:c>
      <x:c r="J574" s="2" t="s">
        <x:v>1859</x:v>
      </x:c>
      <x:c r="K574" s="2"/>
      <x:c r="L574" s="2" t="s">
        <x:v>1875</x:v>
      </x:c>
      <x:c r="M574" s="2"/>
      <x:c r="N574" s="2"/>
      <x:c r="O574" s="2" t="s">
        <x:v>1600</x:v>
      </x:c>
      <x:c r="P574" s="2" t="s">
        <x:v>1823</x:v>
      </x:c>
      <x:c r="Q574" s="2"/>
      <x:c r="R574" s="3">
        <x:v>4</x:v>
      </x:c>
      <x:c r="S574" s="3"/>
      <x:c r="T574" s="2"/>
      <x:c r="U574" s="2"/>
      <x:c r="V574" s="2"/>
      <x:c r="W574" s="2"/>
      <x:c r="X574" s="3"/>
      <x:c r="Y574" s="3"/>
      <x:c r="Z574" s="2"/>
      <x:c r="AA574" s="2"/>
      <x:c r="AB574" s="2"/>
      <x:c r="AC574" s="2" t="s">
        <x:v>367</x:v>
      </x:c>
      <x:c r="AD574" s="2" t="s">
        <x:v>480</x:v>
      </x:c>
      <x:c r="AE574" s="2" t="s">
        <x:v>368</x:v>
      </x:c>
      <x:c r="AF574" s="2" t="s">
        <x:v>1824</x:v>
      </x:c>
      <x:c r="AG574" s="2"/>
      <x:c r="AH574" s="2"/>
      <x:c r="AI574" s="4"/>
      <x:c r="AJ574" s="2"/>
      <x:c r="AK574" s="2" t="s">
        <x:v>320</x:v>
      </x:c>
      <x:c r="AL574" s="2" t="s">
        <x:v>3061</x:v>
      </x:c>
      <x:c r="AM574" s="2">
        <x:v>124</x:v>
      </x:c>
      <x:c r="AN574" s="2">
        <x:v>124</x:v>
      </x:c>
    </x:row>
    <x:row r="575" ht="39">
      <x:c r="A575" s="2" t="s">
        <x:v>6</x:v>
      </x:c>
      <x:c r="B575" s="2" t="s">
        <x:v>16</x:v>
      </x:c>
      <x:c r="C575" s="3">
        <x:v>123</x:v>
      </x:c>
      <x:c r="D575" s="2" t="s">
        <x:v>1876</x:v>
      </x:c>
      <x:c r="E575" s="2" t="s">
        <x:v>1872</x:v>
      </x:c>
      <x:c r="F575" s="2" t="s">
        <x:v>1877</x:v>
      </x:c>
      <x:c r="G575" s="2" t="s">
        <x:v>3176</x:v>
      </x:c>
      <x:c r="H575" s="2" t="s">
        <x:v>1819</x:v>
      </x:c>
      <x:c r="I575" s="2" t="s">
        <x:v>1874</x:v>
      </x:c>
      <x:c r="J575" s="2" t="s">
        <x:v>1859</x:v>
      </x:c>
      <x:c r="K575" s="2" t="n">
        <x:v>122</x:v>
      </x:c>
      <x:c r="L575" s="2" t="s">
        <x:v>1879</x:v>
      </x:c>
      <x:c r="M575" s="2"/>
      <x:c r="N575" s="2"/>
      <x:c r="O575" s="2" t="s">
        <x:v>1829</x:v>
      </x:c>
      <x:c r="P575" s="2" t="s">
        <x:v>1823</x:v>
      </x:c>
      <x:c r="Q575" s="2"/>
      <x:c r="R575" s="3">
        <x:v>4</x:v>
      </x:c>
      <x:c r="S575" s="3"/>
      <x:c r="T575" s="2"/>
      <x:c r="U575" s="2"/>
      <x:c r="V575" s="2"/>
      <x:c r="W575" s="2"/>
      <x:c r="X575" s="3"/>
      <x:c r="Y575" s="3"/>
      <x:c r="Z575" s="2"/>
      <x:c r="AA575" s="2"/>
      <x:c r="AB575" s="2"/>
      <x:c r="AC575" s="2" t="s">
        <x:v>374</x:v>
      </x:c>
      <x:c r="AD575" s="2" t="s">
        <x:v>480</x:v>
      </x:c>
      <x:c r="AE575" s="2" t="s">
        <x:v>368</x:v>
      </x:c>
      <x:c r="AF575" s="2" t="s">
        <x:v>1824</x:v>
      </x:c>
      <x:c r="AG575" s="2"/>
      <x:c r="AH575" s="2"/>
      <x:c r="AI575" s="4"/>
      <x:c r="AJ575" s="2"/>
      <x:c r="AK575" s="2" t="s">
        <x:v>320</x:v>
      </x:c>
      <x:c r="AL575" s="2" t="s">
        <x:v>3061</x:v>
      </x:c>
      <x:c r="AM575" s="2">
        <x:v>125</x:v>
      </x:c>
      <x:c r="AN575" s="2">
        <x:v>125</x:v>
      </x:c>
    </x:row>
    <x:row r="576" ht="39">
      <x:c r="A576" s="2" t="s">
        <x:v>91</x:v>
      </x:c>
      <x:c r="B576" s="2" t="s">
        <x:v>16</x:v>
      </x:c>
      <x:c r="C576" s="3">
        <x:v>124</x:v>
      </x:c>
      <x:c r="D576" s="2" t="s">
        <x:v>1880</x:v>
      </x:c>
      <x:c r="E576" s="2" t="s">
        <x:v>1872</x:v>
      </x:c>
      <x:c r="F576" s="2" t="s">
        <x:v>1881</x:v>
      </x:c>
      <x:c r="G576" s="2" t="s">
        <x:v>3177</x:v>
      </x:c>
      <x:c r="H576" s="2" t="s">
        <x:v>1819</x:v>
      </x:c>
      <x:c r="I576" s="2" t="s">
        <x:v>1874</x:v>
      </x:c>
      <x:c r="J576" s="2" t="s">
        <x:v>1859</x:v>
      </x:c>
      <x:c r="K576" s="2" t="n">
        <x:v>122</x:v>
      </x:c>
      <x:c r="L576" s="2" t="s">
        <x:v>1883</x:v>
      </x:c>
      <x:c r="M576" s="2"/>
      <x:c r="N576" s="2"/>
      <x:c r="O576" s="2" t="s">
        <x:v>1829</x:v>
      </x:c>
      <x:c r="P576" s="2" t="s">
        <x:v>1834</x:v>
      </x:c>
      <x:c r="Q576" s="2"/>
      <x:c r="R576" s="3">
        <x:v>4</x:v>
      </x:c>
      <x:c r="S576" s="3"/>
      <x:c r="T576" s="2"/>
      <x:c r="U576" s="2"/>
      <x:c r="V576" s="2"/>
      <x:c r="W576" s="2"/>
      <x:c r="X576" s="3"/>
      <x:c r="Y576" s="3"/>
      <x:c r="Z576" s="2"/>
      <x:c r="AA576" s="2"/>
      <x:c r="AB576" s="2"/>
      <x:c r="AC576" s="2" t="s">
        <x:v>367</x:v>
      </x:c>
      <x:c r="AD576" s="2" t="s">
        <x:v>368</x:v>
      </x:c>
      <x:c r="AE576" s="2" t="s">
        <x:v>480</x:v>
      </x:c>
      <x:c r="AF576" s="2" t="s">
        <x:v>1835</x:v>
      </x:c>
      <x:c r="AG576" s="2"/>
      <x:c r="AH576" s="2"/>
      <x:c r="AI576" s="4"/>
      <x:c r="AJ576" s="2"/>
      <x:c r="AK576" s="2" t="s">
        <x:v>320</x:v>
      </x:c>
      <x:c r="AL576" s="2" t="s">
        <x:v>3061</x:v>
      </x:c>
      <x:c r="AM576" s="2">
        <x:v>126</x:v>
      </x:c>
      <x:c r="AN576" s="2">
        <x:v>126</x:v>
      </x:c>
    </x:row>
    <x:row r="577" ht="52">
      <x:c r="A577" s="2" t="s">
        <x:v>91</x:v>
      </x:c>
      <x:c r="B577" s="2" t="s">
        <x:v>16</x:v>
      </x:c>
      <x:c r="C577" s="3">
        <x:v>125</x:v>
      </x:c>
      <x:c r="D577" s="2" t="s">
        <x:v>1884</x:v>
      </x:c>
      <x:c r="E577" s="2" t="s">
        <x:v>1872</x:v>
      </x:c>
      <x:c r="F577" s="2" t="s">
        <x:v>1885</x:v>
      </x:c>
      <x:c r="G577" s="2" t="s">
        <x:v>3178</x:v>
      </x:c>
      <x:c r="H577" s="2" t="s">
        <x:v>1819</x:v>
      </x:c>
      <x:c r="I577" s="2" t="s">
        <x:v>1874</x:v>
      </x:c>
      <x:c r="J577" s="2" t="s">
        <x:v>1859</x:v>
      </x:c>
      <x:c r="K577" s="2" t="n">
        <x:v>122</x:v>
      </x:c>
      <x:c r="L577" s="2" t="s">
        <x:v>1887</x:v>
      </x:c>
      <x:c r="M577" s="2"/>
      <x:c r="N577" s="2"/>
      <x:c r="O577" s="2" t="s">
        <x:v>1829</x:v>
      </x:c>
      <x:c r="P577" s="2" t="s">
        <x:v>1834</x:v>
      </x:c>
      <x:c r="Q577" s="2"/>
      <x:c r="R577" s="3">
        <x:v>4</x:v>
      </x:c>
      <x:c r="S577" s="3"/>
      <x:c r="T577" s="2"/>
      <x:c r="U577" s="2"/>
      <x:c r="V577" s="2"/>
      <x:c r="W577" s="2"/>
      <x:c r="X577" s="3"/>
      <x:c r="Y577" s="3"/>
      <x:c r="Z577" s="2"/>
      <x:c r="AA577" s="2"/>
      <x:c r="AB577" s="2"/>
      <x:c r="AC577" s="2" t="s">
        <x:v>374</x:v>
      </x:c>
      <x:c r="AD577" s="2" t="s">
        <x:v>368</x:v>
      </x:c>
      <x:c r="AE577" s="2" t="s">
        <x:v>480</x:v>
      </x:c>
      <x:c r="AF577" s="2" t="s">
        <x:v>1835</x:v>
      </x:c>
      <x:c r="AG577" s="2"/>
      <x:c r="AH577" s="2"/>
      <x:c r="AI577" s="4"/>
      <x:c r="AJ577" s="2"/>
      <x:c r="AK577" s="2" t="s">
        <x:v>320</x:v>
      </x:c>
      <x:c r="AL577" s="2" t="s">
        <x:v>3061</x:v>
      </x:c>
      <x:c r="AM577" s="2">
        <x:v>127</x:v>
      </x:c>
      <x:c r="AN577" s="2">
        <x:v>127</x:v>
      </x:c>
    </x:row>
    <x:row r="578" ht="39">
      <x:c r="A578" s="2" t="s">
        <x:v>6</x:v>
      </x:c>
      <x:c r="B578" s="2" t="s">
        <x:v>16</x:v>
      </x:c>
      <x:c r="C578" s="3">
        <x:v>126</x:v>
      </x:c>
      <x:c r="D578" s="2" t="s">
        <x:v>1888</x:v>
      </x:c>
      <x:c r="E578" s="2" t="s">
        <x:v>1889</x:v>
      </x:c>
      <x:c r="F578" s="2" t="s">
        <x:v>1890</x:v>
      </x:c>
      <x:c r="G578" s="2"/>
      <x:c r="H578" s="2" t="s">
        <x:v>1819</x:v>
      </x:c>
      <x:c r="I578" s="2" t="s">
        <x:v>1891</x:v>
      </x:c>
      <x:c r="J578" s="2" t="s">
        <x:v>1892</x:v>
      </x:c>
      <x:c r="K578" s="2"/>
      <x:c r="L578" s="2" t="s">
        <x:v>1893</x:v>
      </x:c>
      <x:c r="M578" s="2"/>
      <x:c r="N578" s="2"/>
      <x:c r="O578" s="2" t="s">
        <x:v>1600</x:v>
      </x:c>
      <x:c r="P578" s="2" t="s">
        <x:v>1823</x:v>
      </x:c>
      <x:c r="Q578" s="2"/>
      <x:c r="R578" s="3">
        <x:v>4</x:v>
      </x:c>
      <x:c r="S578" s="3"/>
      <x:c r="T578" s="2"/>
      <x:c r="U578" s="2"/>
      <x:c r="V578" s="2"/>
      <x:c r="W578" s="2"/>
      <x:c r="X578" s="3"/>
      <x:c r="Y578" s="3"/>
      <x:c r="Z578" s="2"/>
      <x:c r="AA578" s="2"/>
      <x:c r="AB578" s="2"/>
      <x:c r="AC578" s="2" t="s">
        <x:v>316</x:v>
      </x:c>
      <x:c r="AD578" s="2" t="s">
        <x:v>480</x:v>
      </x:c>
      <x:c r="AE578" s="2" t="s">
        <x:v>368</x:v>
      </x:c>
      <x:c r="AF578" s="2" t="s">
        <x:v>1824</x:v>
      </x:c>
      <x:c r="AG578" s="2"/>
      <x:c r="AH578" s="2"/>
      <x:c r="AI578" s="4"/>
      <x:c r="AJ578" s="2"/>
      <x:c r="AK578" s="2" t="s">
        <x:v>320</x:v>
      </x:c>
      <x:c r="AL578" s="2" t="s">
        <x:v>3061</x:v>
      </x:c>
      <x:c r="AM578" s="2">
        <x:v>128</x:v>
      </x:c>
      <x:c r="AN578" s="2">
        <x:v>128</x:v>
      </x:c>
    </x:row>
    <x:row r="579" ht="52">
      <x:c r="A579" s="2" t="s">
        <x:v>6</x:v>
      </x:c>
      <x:c r="B579" s="2" t="s">
        <x:v>16</x:v>
      </x:c>
      <x:c r="C579" s="3">
        <x:v>127</x:v>
      </x:c>
      <x:c r="D579" s="2" t="s">
        <x:v>1894</x:v>
      </x:c>
      <x:c r="E579" s="2" t="s">
        <x:v>1889</x:v>
      </x:c>
      <x:c r="F579" s="2" t="s">
        <x:v>1895</x:v>
      </x:c>
      <x:c r="G579" s="2"/>
      <x:c r="H579" s="2" t="s">
        <x:v>1819</x:v>
      </x:c>
      <x:c r="I579" s="2" t="s">
        <x:v>1891</x:v>
      </x:c>
      <x:c r="J579" s="2" t="s">
        <x:v>1892</x:v>
      </x:c>
      <x:c r="K579" s="2" t="n">
        <x:v>126</x:v>
      </x:c>
      <x:c r="L579" s="2" t="s">
        <x:v>1897</x:v>
      </x:c>
      <x:c r="M579" s="2"/>
      <x:c r="N579" s="2"/>
      <x:c r="O579" s="2" t="s">
        <x:v>1829</x:v>
      </x:c>
      <x:c r="P579" s="2" t="s">
        <x:v>1834</x:v>
      </x:c>
      <x:c r="Q579" s="2"/>
      <x:c r="R579" s="3">
        <x:v>4</x:v>
      </x:c>
      <x:c r="S579" s="3"/>
      <x:c r="T579" s="2"/>
      <x:c r="U579" s="2"/>
      <x:c r="V579" s="2"/>
      <x:c r="W579" s="2"/>
      <x:c r="X579" s="3"/>
      <x:c r="Y579" s="3"/>
      <x:c r="Z579" s="2"/>
      <x:c r="AA579" s="2"/>
      <x:c r="AB579" s="2"/>
      <x:c r="AC579" s="2" t="s">
        <x:v>326</x:v>
      </x:c>
      <x:c r="AD579" s="2" t="s">
        <x:v>368</x:v>
      </x:c>
      <x:c r="AE579" s="2" t="s">
        <x:v>480</x:v>
      </x:c>
      <x:c r="AF579" s="2" t="s">
        <x:v>1835</x:v>
      </x:c>
      <x:c r="AG579" s="2"/>
      <x:c r="AH579" s="2"/>
      <x:c r="AI579" s="4"/>
      <x:c r="AJ579" s="2"/>
      <x:c r="AK579" s="2" t="s">
        <x:v>320</x:v>
      </x:c>
      <x:c r="AL579" s="2" t="s">
        <x:v>3061</x:v>
      </x:c>
      <x:c r="AM579" s="2">
        <x:v>129</x:v>
      </x:c>
      <x:c r="AN579" s="2">
        <x:v>129</x:v>
      </x:c>
    </x:row>
    <x:row r="580" ht="39">
      <x:c r="A580" s="2" t="s">
        <x:v>91</x:v>
      </x:c>
      <x:c r="B580" s="2" t="s">
        <x:v>16</x:v>
      </x:c>
      <x:c r="C580" s="3">
        <x:v>128</x:v>
      </x:c>
      <x:c r="D580" s="2" t="s">
        <x:v>1855</x:v>
      </x:c>
      <x:c r="E580" s="2" t="s">
        <x:v>1889</x:v>
      </x:c>
      <x:c r="F580" s="2" t="s">
        <x:v>1857</x:v>
      </x:c>
      <x:c r="G580" s="2" t="s">
        <x:v>3179</x:v>
      </x:c>
      <x:c r="H580" s="2" t="s">
        <x:v>1819</x:v>
      </x:c>
      <x:c r="I580" s="2" t="s">
        <x:v>1891</x:v>
      </x:c>
      <x:c r="J580" s="2" t="s">
        <x:v>1892</x:v>
      </x:c>
      <x:c r="K580" s="2" t="n">
        <x:v>126</x:v>
      </x:c>
      <x:c r="L580" s="2" t="s">
        <x:v>1898</x:v>
      </x:c>
      <x:c r="M580" s="2"/>
      <x:c r="N580" s="2"/>
      <x:c r="O580" s="2" t="s">
        <x:v>1829</x:v>
      </x:c>
      <x:c r="P580" s="2" t="s">
        <x:v>1823</x:v>
      </x:c>
      <x:c r="Q580" s="2"/>
      <x:c r="R580" s="3">
        <x:v>4</x:v>
      </x:c>
      <x:c r="S580" s="3"/>
      <x:c r="T580" s="2"/>
      <x:c r="U580" s="2"/>
      <x:c r="V580" s="2"/>
      <x:c r="W580" s="2"/>
      <x:c r="X580" s="3"/>
      <x:c r="Y580" s="3"/>
      <x:c r="Z580" s="2"/>
      <x:c r="AA580" s="2"/>
      <x:c r="AB580" s="2"/>
      <x:c r="AC580" s="2" t="s">
        <x:v>367</x:v>
      </x:c>
      <x:c r="AD580" s="2" t="s">
        <x:v>480</x:v>
      </x:c>
      <x:c r="AE580" s="2" t="s">
        <x:v>317</x:v>
      </x:c>
      <x:c r="AF580" s="2" t="s">
        <x:v>1824</x:v>
      </x:c>
      <x:c r="AG580" s="2"/>
      <x:c r="AH580" s="2"/>
      <x:c r="AI580" s="4"/>
      <x:c r="AJ580" s="2"/>
      <x:c r="AK580" s="2" t="s">
        <x:v>320</x:v>
      </x:c>
      <x:c r="AL580" s="2" t="s">
        <x:v>3061</x:v>
      </x:c>
      <x:c r="AM580" s="2">
        <x:v>130</x:v>
      </x:c>
      <x:c r="AN580" s="2">
        <x:v>130</x:v>
      </x:c>
    </x:row>
    <x:row r="581" ht="52">
      <x:c r="A581" s="2" t="s">
        <x:v>6</x:v>
      </x:c>
      <x:c r="B581" s="2" t="s">
        <x:v>16</x:v>
      </x:c>
      <x:c r="C581" s="3">
        <x:v>129</x:v>
      </x:c>
      <x:c r="D581" s="2" t="s">
        <x:v>1868</x:v>
      </x:c>
      <x:c r="E581" s="2" t="s">
        <x:v>1889</x:v>
      </x:c>
      <x:c r="F581" s="2" t="s">
        <x:v>1869</x:v>
      </x:c>
      <x:c r="G581" s="2"/>
      <x:c r="H581" s="2" t="s">
        <x:v>1819</x:v>
      </x:c>
      <x:c r="I581" s="2" t="s">
        <x:v>1891</x:v>
      </x:c>
      <x:c r="J581" s="2" t="s">
        <x:v>1892</x:v>
      </x:c>
      <x:c r="K581" s="2" t="n">
        <x:v>126</x:v>
      </x:c>
      <x:c r="L581" s="2" t="s">
        <x:v>1900</x:v>
      </x:c>
      <x:c r="M581" s="2"/>
      <x:c r="N581" s="2"/>
      <x:c r="O581" s="2" t="s">
        <x:v>1829</x:v>
      </x:c>
      <x:c r="P581" s="2" t="s">
        <x:v>1834</x:v>
      </x:c>
      <x:c r="Q581" s="2"/>
      <x:c r="R581" s="3">
        <x:v>4</x:v>
      </x:c>
      <x:c r="S581" s="3"/>
      <x:c r="T581" s="2"/>
      <x:c r="U581" s="2"/>
      <x:c r="V581" s="2"/>
      <x:c r="W581" s="2"/>
      <x:c r="X581" s="3"/>
      <x:c r="Y581" s="3"/>
      <x:c r="Z581" s="2"/>
      <x:c r="AA581" s="2"/>
      <x:c r="AB581" s="2"/>
      <x:c r="AC581" s="2" t="s">
        <x:v>374</x:v>
      </x:c>
      <x:c r="AD581" s="2" t="s">
        <x:v>317</x:v>
      </x:c>
      <x:c r="AE581" s="2" t="s">
        <x:v>480</x:v>
      </x:c>
      <x:c r="AF581" s="2" t="s">
        <x:v>1835</x:v>
      </x:c>
      <x:c r="AG581" s="2"/>
      <x:c r="AH581" s="2"/>
      <x:c r="AI581" s="4"/>
      <x:c r="AJ581" s="2"/>
      <x:c r="AK581" s="2" t="s">
        <x:v>320</x:v>
      </x:c>
      <x:c r="AL581" s="2" t="s">
        <x:v>3061</x:v>
      </x:c>
      <x:c r="AM581" s="2">
        <x:v>131</x:v>
      </x:c>
      <x:c r="AN581" s="2">
        <x:v>131</x:v>
      </x:c>
    </x:row>
    <x:row r="582" ht="52">
      <x:c r="A582" s="2" t="s">
        <x:v>6</x:v>
      </x:c>
      <x:c r="B582" s="2" t="s">
        <x:v>16</x:v>
      </x:c>
      <x:c r="C582" s="3">
        <x:v>130</x:v>
      </x:c>
      <x:c r="D582" s="2" t="s">
        <x:v>1574</x:v>
      </x:c>
      <x:c r="E582" s="2" t="s">
        <x:v>1901</x:v>
      </x:c>
      <x:c r="F582" s="2" t="s">
        <x:v>1902</x:v>
      </x:c>
      <x:c r="G582" s="2"/>
      <x:c r="H582" s="2" t="s">
        <x:v>1077</x:v>
      </x:c>
      <x:c r="I582" s="2" t="s">
        <x:v>1903</x:v>
      </x:c>
      <x:c r="J582" s="2" t="s">
        <x:v>1904</x:v>
      </x:c>
      <x:c r="K582" s="2"/>
      <x:c r="L582" s="2" t="s">
        <x:v>1905</x:v>
      </x:c>
      <x:c r="M582" s="2"/>
      <x:c r="N582" s="2"/>
      <x:c r="O582" s="2" t="s">
        <x:v>1906</x:v>
      </x:c>
      <x:c r="P582" s="2" t="s">
        <x:v>1907</x:v>
      </x:c>
      <x:c r="Q582" s="2"/>
      <x:c r="R582" s="3">
        <x:v>3</x:v>
      </x:c>
      <x:c r="S582" s="3"/>
      <x:c r="T582" s="2"/>
      <x:c r="U582" s="2"/>
      <x:c r="V582" s="2"/>
      <x:c r="W582" s="2"/>
      <x:c r="X582" s="3"/>
      <x:c r="Y582" s="3"/>
      <x:c r="Z582" s="2"/>
      <x:c r="AA582" s="2"/>
      <x:c r="AB582" s="2"/>
      <x:c r="AC582" s="2" t="s">
        <x:v>367</x:v>
      </x:c>
      <x:c r="AD582" s="2" t="s">
        <x:v>317</x:v>
      </x:c>
      <x:c r="AE582" s="2" t="s">
        <x:v>318</x:v>
      </x:c>
      <x:c r="AF582" s="2" t="s">
        <x:v>319</x:v>
      </x:c>
      <x:c r="AG582" s="2"/>
      <x:c r="AH582" s="2"/>
      <x:c r="AI582" s="4"/>
      <x:c r="AJ582" s="2"/>
      <x:c r="AK582" s="2" t="s">
        <x:v>320</x:v>
      </x:c>
      <x:c r="AL582" s="2" t="s">
        <x:v>3061</x:v>
      </x:c>
      <x:c r="AM582" s="2">
        <x:v>132</x:v>
      </x:c>
      <x:c r="AN582" s="2">
        <x:v>132</x:v>
      </x:c>
    </x:row>
    <x:row r="583" ht="52">
      <x:c r="A583" s="2" t="s">
        <x:v>91</x:v>
      </x:c>
      <x:c r="B583" s="2" t="s">
        <x:v>16</x:v>
      </x:c>
      <x:c r="C583" s="3">
        <x:v>131</x:v>
      </x:c>
      <x:c r="D583" s="2" t="s">
        <x:v>1581</x:v>
      </x:c>
      <x:c r="E583" s="2" t="s">
        <x:v>1901</x:v>
      </x:c>
      <x:c r="F583" s="2" t="s">
        <x:v>1908</x:v>
      </x:c>
      <x:c r="G583" s="2" t="s">
        <x:v>3180</x:v>
      </x:c>
      <x:c r="H583" s="2" t="s">
        <x:v>1077</x:v>
      </x:c>
      <x:c r="I583" s="2" t="s">
        <x:v>1903</x:v>
      </x:c>
      <x:c r="J583" s="2" t="s">
        <x:v>1904</x:v>
      </x:c>
      <x:c r="K583" s="2" t="n">
        <x:v>130</x:v>
      </x:c>
      <x:c r="L583" s="2" t="s">
        <x:v>1909</x:v>
      </x:c>
      <x:c r="M583" s="2"/>
      <x:c r="N583" s="2"/>
      <x:c r="O583" s="2" t="s">
        <x:v>1910</x:v>
      </x:c>
      <x:c r="P583" s="2" t="s">
        <x:v>1911</x:v>
      </x:c>
      <x:c r="Q583" s="2"/>
      <x:c r="R583" s="3">
        <x:v>3</x:v>
      </x:c>
      <x:c r="S583" s="3"/>
      <x:c r="T583" s="2"/>
      <x:c r="U583" s="2"/>
      <x:c r="V583" s="2"/>
      <x:c r="W583" s="2"/>
      <x:c r="X583" s="3"/>
      <x:c r="Y583" s="3"/>
      <x:c r="Z583" s="2"/>
      <x:c r="AA583" s="2"/>
      <x:c r="AB583" s="2"/>
      <x:c r="AC583" s="2" t="s">
        <x:v>374</x:v>
      </x:c>
      <x:c r="AD583" s="2" t="s">
        <x:v>318</x:v>
      </x:c>
      <x:c r="AE583" s="2" t="s">
        <x:v>317</x:v>
      </x:c>
      <x:c r="AF583" s="2" t="s">
        <x:v>319</x:v>
      </x:c>
      <x:c r="AG583" s="2"/>
      <x:c r="AH583" s="2"/>
      <x:c r="AI583" s="4"/>
      <x:c r="AJ583" s="2"/>
      <x:c r="AK583" s="2" t="s">
        <x:v>320</x:v>
      </x:c>
      <x:c r="AL583" s="2" t="s">
        <x:v>3061</x:v>
      </x:c>
      <x:c r="AM583" s="2">
        <x:v>133</x:v>
      </x:c>
      <x:c r="AN583" s="2">
        <x:v>133</x:v>
      </x:c>
    </x:row>
    <x:row r="584" ht="39">
      <x:c r="A584" s="2" t="s">
        <x:v>91</x:v>
      </x:c>
      <x:c r="B584" s="2" t="s">
        <x:v>16</x:v>
      </x:c>
      <x:c r="C584" s="3">
        <x:v>132</x:v>
      </x:c>
      <x:c r="D584" s="2" t="s">
        <x:v>1574</x:v>
      </x:c>
      <x:c r="E584" s="2" t="s">
        <x:v>1901</x:v>
      </x:c>
      <x:c r="F584" s="2" t="s">
        <x:v>1576</x:v>
      </x:c>
      <x:c r="G584" s="2" t="s">
        <x:v>2854</x:v>
      </x:c>
      <x:c r="H584" s="2" t="s">
        <x:v>1912</x:v>
      </x:c>
      <x:c r="I584" s="2" t="s">
        <x:v>1903</x:v>
      </x:c>
      <x:c r="J584" s="2" t="s">
        <x:v>1913</x:v>
      </x:c>
      <x:c r="K584" s="2"/>
      <x:c r="L584" s="2" t="s">
        <x:v>1905</x:v>
      </x:c>
      <x:c r="M584" s="2"/>
      <x:c r="N584" s="2"/>
      <x:c r="O584" s="2" t="s">
        <x:v>1914</x:v>
      </x:c>
      <x:c r="P584" s="2" t="s">
        <x:v>1915</x:v>
      </x:c>
      <x:c r="Q584" s="2"/>
      <x:c r="R584" s="3">
        <x:v>3</x:v>
      </x:c>
      <x:c r="S584" s="3"/>
      <x:c r="T584" s="2"/>
      <x:c r="U584" s="2"/>
      <x:c r="V584" s="2"/>
      <x:c r="W584" s="2"/>
      <x:c r="X584" s="3"/>
      <x:c r="Y584" s="3"/>
      <x:c r="Z584" s="2"/>
      <x:c r="AA584" s="2"/>
      <x:c r="AB584" s="2"/>
      <x:c r="AC584" s="2" t="s">
        <x:v>367</x:v>
      </x:c>
      <x:c r="AD584" s="2" t="s">
        <x:v>317</x:v>
      </x:c>
      <x:c r="AE584" s="2" t="s">
        <x:v>318</x:v>
      </x:c>
      <x:c r="AF584" s="2" t="s">
        <x:v>319</x:v>
      </x:c>
      <x:c r="AG584" s="2"/>
      <x:c r="AH584" s="2"/>
      <x:c r="AI584" s="4"/>
      <x:c r="AJ584" s="2"/>
      <x:c r="AK584" s="2" t="s">
        <x:v>320</x:v>
      </x:c>
      <x:c r="AL584" s="2" t="s">
        <x:v>3061</x:v>
      </x:c>
      <x:c r="AM584" s="2">
        <x:v>134</x:v>
      </x:c>
      <x:c r="AN584" s="2">
        <x:v>134</x:v>
      </x:c>
    </x:row>
    <x:row r="585" ht="26">
      <x:c r="A585" s="2" t="s">
        <x:v>91</x:v>
      </x:c>
      <x:c r="B585" s="2" t="s">
        <x:v>16</x:v>
      </x:c>
      <x:c r="C585" s="3">
        <x:v>133</x:v>
      </x:c>
      <x:c r="D585" s="2" t="s">
        <x:v>1581</x:v>
      </x:c>
      <x:c r="E585" s="2" t="s">
        <x:v>1901</x:v>
      </x:c>
      <x:c r="F585" s="2" t="s">
        <x:v>1582</x:v>
      </x:c>
      <x:c r="G585" s="2" t="s">
        <x:v>1735</x:v>
      </x:c>
      <x:c r="H585" s="2" t="s">
        <x:v>1912</x:v>
      </x:c>
      <x:c r="I585" s="2" t="s">
        <x:v>1903</x:v>
      </x:c>
      <x:c r="J585" s="2" t="s">
        <x:v>1913</x:v>
      </x:c>
      <x:c r="K585" s="2" t="n">
        <x:v>132</x:v>
      </x:c>
      <x:c r="L585" s="2" t="s">
        <x:v>1909</x:v>
      </x:c>
      <x:c r="M585" s="2"/>
      <x:c r="N585" s="2"/>
      <x:c r="O585" s="2" t="s">
        <x:v>1910</x:v>
      </x:c>
      <x:c r="P585" s="2" t="s">
        <x:v>1916</x:v>
      </x:c>
      <x:c r="Q585" s="2"/>
      <x:c r="R585" s="3">
        <x:v>3</x:v>
      </x:c>
      <x:c r="S585" s="3"/>
      <x:c r="T585" s="2"/>
      <x:c r="U585" s="2"/>
      <x:c r="V585" s="2"/>
      <x:c r="W585" s="2"/>
      <x:c r="X585" s="3"/>
      <x:c r="Y585" s="3"/>
      <x:c r="Z585" s="2"/>
      <x:c r="AA585" s="2"/>
      <x:c r="AB585" s="2"/>
      <x:c r="AC585" s="2" t="s">
        <x:v>374</x:v>
      </x:c>
      <x:c r="AD585" s="2" t="s">
        <x:v>318</x:v>
      </x:c>
      <x:c r="AE585" s="2" t="s">
        <x:v>317</x:v>
      </x:c>
      <x:c r="AF585" s="2" t="s">
        <x:v>319</x:v>
      </x:c>
      <x:c r="AG585" s="2"/>
      <x:c r="AH585" s="2"/>
      <x:c r="AI585" s="4"/>
      <x:c r="AJ585" s="2"/>
      <x:c r="AK585" s="2" t="s">
        <x:v>320</x:v>
      </x:c>
      <x:c r="AL585" s="2" t="s">
        <x:v>3061</x:v>
      </x:c>
      <x:c r="AM585" s="2">
        <x:v>135</x:v>
      </x:c>
      <x:c r="AN585" s="2">
        <x:v>135</x:v>
      </x:c>
    </x:row>
    <x:row r="586" ht="39">
      <x:c r="A586" s="2" t="s">
        <x:v>91</x:v>
      </x:c>
      <x:c r="B586" s="2" t="s">
        <x:v>16</x:v>
      </x:c>
      <x:c r="C586" s="3">
        <x:v>134</x:v>
      </x:c>
      <x:c r="D586" s="2" t="s">
        <x:v>1917</x:v>
      </x:c>
      <x:c r="E586" s="2" t="s">
        <x:v>1575</x:v>
      </x:c>
      <x:c r="F586" s="2" t="s">
        <x:v>1918</x:v>
      </x:c>
      <x:c r="G586" s="2" t="s">
        <x:v>3181</x:v>
      </x:c>
      <x:c r="H586" s="2" t="s">
        <x:v>1912</x:v>
      </x:c>
      <x:c r="I586" s="2" t="s">
        <x:v>1919</x:v>
      </x:c>
      <x:c r="J586" s="2" t="s">
        <x:v>1913</x:v>
      </x:c>
      <x:c r="K586" s="2"/>
      <x:c r="L586" s="2" t="s">
        <x:v>1920</x:v>
      </x:c>
      <x:c r="M586" s="2"/>
      <x:c r="N586" s="2"/>
      <x:c r="O586" s="2" t="s">
        <x:v>1921</x:v>
      </x:c>
      <x:c r="P586" s="2" t="s">
        <x:v>1922</x:v>
      </x:c>
      <x:c r="Q586" s="2"/>
      <x:c r="R586" s="3">
        <x:v>4</x:v>
      </x:c>
      <x:c r="S586" s="3"/>
      <x:c r="T586" s="2"/>
      <x:c r="U586" s="2"/>
      <x:c r="V586" s="2"/>
      <x:c r="W586" s="2"/>
      <x:c r="X586" s="3"/>
      <x:c r="Y586" s="3"/>
      <x:c r="Z586" s="2"/>
      <x:c r="AA586" s="2"/>
      <x:c r="AB586" s="2"/>
      <x:c r="AC586" s="2" t="s">
        <x:v>374</x:v>
      </x:c>
      <x:c r="AD586" s="2" t="s">
        <x:v>317</x:v>
      </x:c>
      <x:c r="AE586" s="2" t="s">
        <x:v>318</x:v>
      </x:c>
      <x:c r="AF586" s="2" t="s">
        <x:v>319</x:v>
      </x:c>
      <x:c r="AG586" s="2"/>
      <x:c r="AH586" s="2"/>
      <x:c r="AI586" s="4"/>
      <x:c r="AJ586" s="2"/>
      <x:c r="AK586" s="2" t="s">
        <x:v>320</x:v>
      </x:c>
      <x:c r="AL586" s="2" t="s">
        <x:v>3061</x:v>
      </x:c>
      <x:c r="AM586" s="2">
        <x:v>136</x:v>
      </x:c>
      <x:c r="AN586" s="2">
        <x:v>136</x:v>
      </x:c>
    </x:row>
    <x:row r="587" ht="26">
      <x:c r="A587" s="2" t="s">
        <x:v>91</x:v>
      </x:c>
      <x:c r="B587" s="2" t="s">
        <x:v>16</x:v>
      </x:c>
      <x:c r="C587" s="3">
        <x:v>135</x:v>
      </x:c>
      <x:c r="D587" s="2" t="s">
        <x:v>1923</x:v>
      </x:c>
      <x:c r="E587" s="2" t="s">
        <x:v>1575</x:v>
      </x:c>
      <x:c r="F587" s="2" t="s">
        <x:v>1924</x:v>
      </x:c>
      <x:c r="G587" s="2" t="s">
        <x:v>158</x:v>
      </x:c>
      <x:c r="H587" s="2" t="s">
        <x:v>1912</x:v>
      </x:c>
      <x:c r="I587" s="2" t="s">
        <x:v>1919</x:v>
      </x:c>
      <x:c r="J587" s="2" t="s">
        <x:v>1913</x:v>
      </x:c>
      <x:c r="K587" s="2" t="n">
        <x:v>134</x:v>
      </x:c>
      <x:c r="L587" s="2" t="s">
        <x:v>1925</x:v>
      </x:c>
      <x:c r="M587" s="2"/>
      <x:c r="N587" s="2"/>
      <x:c r="O587" s="2" t="s">
        <x:v>1910</x:v>
      </x:c>
      <x:c r="P587" s="2" t="s">
        <x:v>1926</x:v>
      </x:c>
      <x:c r="Q587" s="2"/>
      <x:c r="R587" s="3">
        <x:v>4</x:v>
      </x:c>
      <x:c r="S587" s="3"/>
      <x:c r="T587" s="2"/>
      <x:c r="U587" s="2"/>
      <x:c r="V587" s="2"/>
      <x:c r="W587" s="2"/>
      <x:c r="X587" s="3"/>
      <x:c r="Y587" s="3"/>
      <x:c r="Z587" s="2"/>
      <x:c r="AA587" s="2"/>
      <x:c r="AB587" s="2"/>
      <x:c r="AC587" s="2" t="s">
        <x:v>367</x:v>
      </x:c>
      <x:c r="AD587" s="2" t="s">
        <x:v>318</x:v>
      </x:c>
      <x:c r="AE587" s="2" t="s">
        <x:v>317</x:v>
      </x:c>
      <x:c r="AF587" s="2" t="s">
        <x:v>319</x:v>
      </x:c>
      <x:c r="AG587" s="2"/>
      <x:c r="AH587" s="2"/>
      <x:c r="AI587" s="4"/>
      <x:c r="AJ587" s="2"/>
      <x:c r="AK587" s="2" t="s">
        <x:v>320</x:v>
      </x:c>
      <x:c r="AL587" s="2" t="s">
        <x:v>3061</x:v>
      </x:c>
      <x:c r="AM587" s="2">
        <x:v>137</x:v>
      </x:c>
      <x:c r="AN587" s="2">
        <x:v>137</x:v>
      </x:c>
    </x:row>
    <x:row r="588" ht="52">
      <x:c r="A588" s="2" t="s">
        <x:v>6</x:v>
      </x:c>
      <x:c r="B588" s="2" t="s">
        <x:v>16</x:v>
      </x:c>
      <x:c r="C588" s="3">
        <x:v>136</x:v>
      </x:c>
      <x:c r="D588" s="2" t="s">
        <x:v>1917</x:v>
      </x:c>
      <x:c r="E588" s="2" t="s">
        <x:v>1575</x:v>
      </x:c>
      <x:c r="F588" s="2" t="s">
        <x:v>1927</x:v>
      </x:c>
      <x:c r="G588" s="2"/>
      <x:c r="H588" s="2" t="s">
        <x:v>1077</x:v>
      </x:c>
      <x:c r="I588" s="2" t="s">
        <x:v>1919</x:v>
      </x:c>
      <x:c r="J588" s="2" t="s">
        <x:v>1904</x:v>
      </x:c>
      <x:c r="K588" s="2"/>
      <x:c r="L588" s="2" t="s">
        <x:v>1920</x:v>
      </x:c>
      <x:c r="M588" s="2"/>
      <x:c r="N588" s="2"/>
      <x:c r="O588" s="2" t="s">
        <x:v>1928</x:v>
      </x:c>
      <x:c r="P588" s="2" t="s">
        <x:v>1929</x:v>
      </x:c>
      <x:c r="Q588" s="2"/>
      <x:c r="R588" s="3">
        <x:v>4</x:v>
      </x:c>
      <x:c r="S588" s="3"/>
      <x:c r="T588" s="2"/>
      <x:c r="U588" s="2"/>
      <x:c r="V588" s="2"/>
      <x:c r="W588" s="2"/>
      <x:c r="X588" s="3"/>
      <x:c r="Y588" s="3"/>
      <x:c r="Z588" s="2"/>
      <x:c r="AA588" s="2"/>
      <x:c r="AB588" s="2"/>
      <x:c r="AC588" s="2" t="s">
        <x:v>374</x:v>
      </x:c>
      <x:c r="AD588" s="2" t="s">
        <x:v>317</x:v>
      </x:c>
      <x:c r="AE588" s="2" t="s">
        <x:v>318</x:v>
      </x:c>
      <x:c r="AF588" s="2" t="s">
        <x:v>319</x:v>
      </x:c>
      <x:c r="AG588" s="2"/>
      <x:c r="AH588" s="2"/>
      <x:c r="AI588" s="4"/>
      <x:c r="AJ588" s="2"/>
      <x:c r="AK588" s="2" t="s">
        <x:v>320</x:v>
      </x:c>
      <x:c r="AL588" s="2" t="s">
        <x:v>3061</x:v>
      </x:c>
      <x:c r="AM588" s="2">
        <x:v>138</x:v>
      </x:c>
      <x:c r="AN588" s="2">
        <x:v>138</x:v>
      </x:c>
    </x:row>
    <x:row r="589" ht="52">
      <x:c r="A589" s="2" t="s">
        <x:v>6</x:v>
      </x:c>
      <x:c r="B589" s="2" t="s">
        <x:v>16</x:v>
      </x:c>
      <x:c r="C589" s="3">
        <x:v>137</x:v>
      </x:c>
      <x:c r="D589" s="2" t="s">
        <x:v>1923</x:v>
      </x:c>
      <x:c r="E589" s="2" t="s">
        <x:v>1575</x:v>
      </x:c>
      <x:c r="F589" s="2" t="s">
        <x:v>1930</x:v>
      </x:c>
      <x:c r="G589" s="2"/>
      <x:c r="H589" s="2" t="s">
        <x:v>1077</x:v>
      </x:c>
      <x:c r="I589" s="2" t="s">
        <x:v>1919</x:v>
      </x:c>
      <x:c r="J589" s="2" t="s">
        <x:v>1904</x:v>
      </x:c>
      <x:c r="K589" s="2" t="n">
        <x:v>136</x:v>
      </x:c>
      <x:c r="L589" s="2" t="s">
        <x:v>1925</x:v>
      </x:c>
      <x:c r="M589" s="2"/>
      <x:c r="N589" s="2"/>
      <x:c r="O589" s="2" t="s">
        <x:v>1910</x:v>
      </x:c>
      <x:c r="P589" s="2" t="s">
        <x:v>1931</x:v>
      </x:c>
      <x:c r="Q589" s="2"/>
      <x:c r="R589" s="3">
        <x:v>4</x:v>
      </x:c>
      <x:c r="S589" s="3"/>
      <x:c r="T589" s="2"/>
      <x:c r="U589" s="2"/>
      <x:c r="V589" s="2"/>
      <x:c r="W589" s="2"/>
      <x:c r="X589" s="3"/>
      <x:c r="Y589" s="3"/>
      <x:c r="Z589" s="2"/>
      <x:c r="AA589" s="2"/>
      <x:c r="AB589" s="2"/>
      <x:c r="AC589" s="2" t="s">
        <x:v>367</x:v>
      </x:c>
      <x:c r="AD589" s="2" t="s">
        <x:v>318</x:v>
      </x:c>
      <x:c r="AE589" s="2" t="s">
        <x:v>317</x:v>
      </x:c>
      <x:c r="AF589" s="2" t="s">
        <x:v>319</x:v>
      </x:c>
      <x:c r="AG589" s="2"/>
      <x:c r="AH589" s="2"/>
      <x:c r="AI589" s="4"/>
      <x:c r="AJ589" s="2"/>
      <x:c r="AK589" s="2" t="s">
        <x:v>320</x:v>
      </x:c>
      <x:c r="AL589" s="2" t="s">
        <x:v>3061</x:v>
      </x:c>
      <x:c r="AM589" s="2">
        <x:v>139</x:v>
      </x:c>
      <x:c r="AN589" s="2">
        <x:v>139</x:v>
      </x:c>
    </x:row>
    <x:row r="590" ht="52">
      <x:c r="A590" s="2" t="s">
        <x:v>91</x:v>
      </x:c>
      <x:c r="B590" s="2" t="s">
        <x:v>16</x:v>
      </x:c>
      <x:c r="C590" s="3">
        <x:v>138</x:v>
      </x:c>
      <x:c r="D590" s="2" t="s">
        <x:v>1932</x:v>
      </x:c>
      <x:c r="E590" s="2" t="s">
        <x:v>1933</x:v>
      </x:c>
      <x:c r="F590" s="2" t="s">
        <x:v>1934</x:v>
      </x:c>
      <x:c r="G590" s="2" t="s">
        <x:v>3182</x:v>
      </x:c>
      <x:c r="H590" s="2" t="s">
        <x:v>1077</x:v>
      </x:c>
      <x:c r="I590" s="2" t="s">
        <x:v>1935</x:v>
      </x:c>
      <x:c r="J590" s="2" t="s">
        <x:v>1904</x:v>
      </x:c>
      <x:c r="K590" s="2"/>
      <x:c r="L590" s="2" t="s">
        <x:v>1936</x:v>
      </x:c>
      <x:c r="M590" s="2"/>
      <x:c r="N590" s="2"/>
      <x:c r="O590" s="2" t="s">
        <x:v>1906</x:v>
      </x:c>
      <x:c r="P590" s="2" t="s">
        <x:v>1937</x:v>
      </x:c>
      <x:c r="Q590" s="2"/>
      <x:c r="R590" s="3">
        <x:v>3</x:v>
      </x:c>
      <x:c r="S590" s="3"/>
      <x:c r="T590" s="2"/>
      <x:c r="U590" s="2"/>
      <x:c r="V590" s="2"/>
      <x:c r="W590" s="2"/>
      <x:c r="X590" s="3"/>
      <x:c r="Y590" s="3"/>
      <x:c r="Z590" s="2"/>
      <x:c r="AA590" s="2"/>
      <x:c r="AB590" s="2"/>
      <x:c r="AC590" s="2" t="s">
        <x:v>367</x:v>
      </x:c>
      <x:c r="AD590" s="2" t="s">
        <x:v>317</x:v>
      </x:c>
      <x:c r="AE590" s="2" t="s">
        <x:v>344</x:v>
      </x:c>
      <x:c r="AF590" s="2" t="s">
        <x:v>319</x:v>
      </x:c>
      <x:c r="AG590" s="2"/>
      <x:c r="AH590" s="2"/>
      <x:c r="AI590" s="4"/>
      <x:c r="AJ590" s="2"/>
      <x:c r="AK590" s="2" t="s">
        <x:v>320</x:v>
      </x:c>
      <x:c r="AL590" s="2" t="s">
        <x:v>3061</x:v>
      </x:c>
      <x:c r="AM590" s="2">
        <x:v>140</x:v>
      </x:c>
      <x:c r="AN590" s="2">
        <x:v>140</x:v>
      </x:c>
    </x:row>
    <x:row r="591" ht="52">
      <x:c r="A591" s="2" t="s">
        <x:v>91</x:v>
      </x:c>
      <x:c r="B591" s="2" t="s">
        <x:v>16</x:v>
      </x:c>
      <x:c r="C591" s="3">
        <x:v>139</x:v>
      </x:c>
      <x:c r="D591" s="2" t="s">
        <x:v>1938</x:v>
      </x:c>
      <x:c r="E591" s="2" t="s">
        <x:v>1933</x:v>
      </x:c>
      <x:c r="F591" s="2" t="s">
        <x:v>1939</x:v>
      </x:c>
      <x:c r="G591" s="2" t="s">
        <x:v>3183</x:v>
      </x:c>
      <x:c r="H591" s="2" t="s">
        <x:v>1077</x:v>
      </x:c>
      <x:c r="I591" s="2" t="s">
        <x:v>1935</x:v>
      </x:c>
      <x:c r="J591" s="2" t="s">
        <x:v>1904</x:v>
      </x:c>
      <x:c r="K591" s="2" t="n">
        <x:v>138</x:v>
      </x:c>
      <x:c r="L591" s="2" t="s">
        <x:v>1941</x:v>
      </x:c>
      <x:c r="M591" s="2"/>
      <x:c r="N591" s="2"/>
      <x:c r="O591" s="2" t="s">
        <x:v>1910</x:v>
      </x:c>
      <x:c r="P591" s="2" t="s">
        <x:v>1942</x:v>
      </x:c>
      <x:c r="Q591" s="2"/>
      <x:c r="R591" s="3">
        <x:v>3</x:v>
      </x:c>
      <x:c r="S591" s="3"/>
      <x:c r="T591" s="2"/>
      <x:c r="U591" s="2"/>
      <x:c r="V591" s="2"/>
      <x:c r="W591" s="2"/>
      <x:c r="X591" s="3"/>
      <x:c r="Y591" s="3"/>
      <x:c r="Z591" s="2"/>
      <x:c r="AA591" s="2"/>
      <x:c r="AB591" s="2"/>
      <x:c r="AC591" s="2" t="s">
        <x:v>374</x:v>
      </x:c>
      <x:c r="AD591" s="2" t="s">
        <x:v>344</x:v>
      </x:c>
      <x:c r="AE591" s="2" t="s">
        <x:v>317</x:v>
      </x:c>
      <x:c r="AF591" s="2" t="s">
        <x:v>319</x:v>
      </x:c>
      <x:c r="AG591" s="2"/>
      <x:c r="AH591" s="2"/>
      <x:c r="AI591" s="4"/>
      <x:c r="AJ591" s="2"/>
      <x:c r="AK591" s="2" t="s">
        <x:v>320</x:v>
      </x:c>
      <x:c r="AL591" s="2" t="s">
        <x:v>3061</x:v>
      </x:c>
      <x:c r="AM591" s="2">
        <x:v>141</x:v>
      </x:c>
      <x:c r="AN591" s="2">
        <x:v>141</x:v>
      </x:c>
    </x:row>
    <x:row r="592" ht="39">
      <x:c r="A592" s="2" t="s">
        <x:v>91</x:v>
      </x:c>
      <x:c r="B592" s="2" t="s">
        <x:v>16</x:v>
      </x:c>
      <x:c r="C592" s="3">
        <x:v>140</x:v>
      </x:c>
      <x:c r="D592" s="2" t="s">
        <x:v>1932</x:v>
      </x:c>
      <x:c r="E592" s="2" t="s">
        <x:v>1933</x:v>
      </x:c>
      <x:c r="F592" s="2" t="s">
        <x:v>1943</x:v>
      </x:c>
      <x:c r="G592" s="2" t="s">
        <x:v>158</x:v>
      </x:c>
      <x:c r="H592" s="2" t="s">
        <x:v>1912</x:v>
      </x:c>
      <x:c r="I592" s="2" t="s">
        <x:v>1935</x:v>
      </x:c>
      <x:c r="J592" s="2" t="s">
        <x:v>1913</x:v>
      </x:c>
      <x:c r="K592" s="2"/>
      <x:c r="L592" s="2" t="s">
        <x:v>1936</x:v>
      </x:c>
      <x:c r="M592" s="2"/>
      <x:c r="N592" s="2"/>
      <x:c r="O592" s="2" t="s">
        <x:v>1914</x:v>
      </x:c>
      <x:c r="P592" s="2" t="s">
        <x:v>1944</x:v>
      </x:c>
      <x:c r="Q592" s="2"/>
      <x:c r="R592" s="3">
        <x:v>3</x:v>
      </x:c>
      <x:c r="S592" s="3"/>
      <x:c r="T592" s="2"/>
      <x:c r="U592" s="2"/>
      <x:c r="V592" s="2"/>
      <x:c r="W592" s="2"/>
      <x:c r="X592" s="3"/>
      <x:c r="Y592" s="3"/>
      <x:c r="Z592" s="2"/>
      <x:c r="AA592" s="2"/>
      <x:c r="AB592" s="2"/>
      <x:c r="AC592" s="2" t="s">
        <x:v>367</x:v>
      </x:c>
      <x:c r="AD592" s="2" t="s">
        <x:v>317</x:v>
      </x:c>
      <x:c r="AE592" s="2" t="s">
        <x:v>344</x:v>
      </x:c>
      <x:c r="AF592" s="2" t="s">
        <x:v>319</x:v>
      </x:c>
      <x:c r="AG592" s="2"/>
      <x:c r="AH592" s="2"/>
      <x:c r="AI592" s="4"/>
      <x:c r="AJ592" s="2"/>
      <x:c r="AK592" s="2" t="s">
        <x:v>320</x:v>
      </x:c>
      <x:c r="AL592" s="2" t="s">
        <x:v>3061</x:v>
      </x:c>
      <x:c r="AM592" s="2">
        <x:v>142</x:v>
      </x:c>
      <x:c r="AN592" s="2">
        <x:v>142</x:v>
      </x:c>
    </x:row>
    <x:row r="593" ht="26">
      <x:c r="A593" s="2" t="s">
        <x:v>91</x:v>
      </x:c>
      <x:c r="B593" s="2" t="s">
        <x:v>16</x:v>
      </x:c>
      <x:c r="C593" s="3">
        <x:v>141</x:v>
      </x:c>
      <x:c r="D593" s="2" t="s">
        <x:v>1938</x:v>
      </x:c>
      <x:c r="E593" s="2" t="s">
        <x:v>1933</x:v>
      </x:c>
      <x:c r="F593" s="2" t="s">
        <x:v>1945</x:v>
      </x:c>
      <x:c r="G593" s="2" t="s">
        <x:v>158</x:v>
      </x:c>
      <x:c r="H593" s="2" t="s">
        <x:v>1912</x:v>
      </x:c>
      <x:c r="I593" s="2" t="s">
        <x:v>1935</x:v>
      </x:c>
      <x:c r="J593" s="2" t="s">
        <x:v>1913</x:v>
      </x:c>
      <x:c r="K593" s="2" t="n">
        <x:v>140</x:v>
      </x:c>
      <x:c r="L593" s="2" t="s">
        <x:v>1941</x:v>
      </x:c>
      <x:c r="M593" s="2"/>
      <x:c r="N593" s="2"/>
      <x:c r="O593" s="2" t="s">
        <x:v>1910</x:v>
      </x:c>
      <x:c r="P593" s="2" t="s">
        <x:v>1946</x:v>
      </x:c>
      <x:c r="Q593" s="2"/>
      <x:c r="R593" s="3">
        <x:v>3</x:v>
      </x:c>
      <x:c r="S593" s="3"/>
      <x:c r="T593" s="2"/>
      <x:c r="U593" s="2"/>
      <x:c r="V593" s="2"/>
      <x:c r="W593" s="2"/>
      <x:c r="X593" s="3"/>
      <x:c r="Y593" s="3"/>
      <x:c r="Z593" s="2"/>
      <x:c r="AA593" s="2"/>
      <x:c r="AB593" s="2"/>
      <x:c r="AC593" s="2" t="s">
        <x:v>374</x:v>
      </x:c>
      <x:c r="AD593" s="2" t="s">
        <x:v>344</x:v>
      </x:c>
      <x:c r="AE593" s="2" t="s">
        <x:v>317</x:v>
      </x:c>
      <x:c r="AF593" s="2" t="s">
        <x:v>319</x:v>
      </x:c>
      <x:c r="AG593" s="2"/>
      <x:c r="AH593" s="2"/>
      <x:c r="AI593" s="4"/>
      <x:c r="AJ593" s="2"/>
      <x:c r="AK593" s="2" t="s">
        <x:v>320</x:v>
      </x:c>
      <x:c r="AL593" s="2" t="s">
        <x:v>3061</x:v>
      </x:c>
      <x:c r="AM593" s="2">
        <x:v>143</x:v>
      </x:c>
      <x:c r="AN593" s="2">
        <x:v>143</x:v>
      </x:c>
    </x:row>
    <x:row r="594" ht="39">
      <x:c r="A594" s="2" t="s">
        <x:v>6</x:v>
      </x:c>
      <x:c r="B594" s="2" t="s">
        <x:v>16</x:v>
      </x:c>
      <x:c r="C594" s="3">
        <x:v>142</x:v>
      </x:c>
      <x:c r="D594" s="2" t="s">
        <x:v>369</x:v>
      </x:c>
      <x:c r="E594" s="2" t="s">
        <x:v>1947</x:v>
      </x:c>
      <x:c r="F594" s="2" t="s">
        <x:v>370</x:v>
      </x:c>
      <x:c r="G594" s="2"/>
      <x:c r="H594" s="2" t="s">
        <x:v>1912</x:v>
      </x:c>
      <x:c r="I594" s="2" t="s">
        <x:v>1948</x:v>
      </x:c>
      <x:c r="J594" s="2" t="s">
        <x:v>1913</x:v>
      </x:c>
      <x:c r="K594" s="2"/>
      <x:c r="L594" s="2" t="s">
        <x:v>1949</x:v>
      </x:c>
      <x:c r="M594" s="2"/>
      <x:c r="N594" s="2"/>
      <x:c r="O594" s="2" t="s">
        <x:v>1921</x:v>
      </x:c>
      <x:c r="P594" s="2" t="s">
        <x:v>1950</x:v>
      </x:c>
      <x:c r="Q594" s="2"/>
      <x:c r="R594" s="3">
        <x:v>4</x:v>
      </x:c>
      <x:c r="S594" s="3"/>
      <x:c r="T594" s="2"/>
      <x:c r="U594" s="2"/>
      <x:c r="V594" s="2"/>
      <x:c r="W594" s="2"/>
      <x:c r="X594" s="3"/>
      <x:c r="Y594" s="3"/>
      <x:c r="Z594" s="2"/>
      <x:c r="AA594" s="2"/>
      <x:c r="AB594" s="2"/>
      <x:c r="AC594" s="2" t="s">
        <x:v>374</x:v>
      </x:c>
      <x:c r="AD594" s="2" t="s">
        <x:v>368</x:v>
      </x:c>
      <x:c r="AE594" s="2" t="s">
        <x:v>318</x:v>
      </x:c>
      <x:c r="AF594" s="2" t="s">
        <x:v>319</x:v>
      </x:c>
      <x:c r="AG594" s="2"/>
      <x:c r="AH594" s="2"/>
      <x:c r="AI594" s="4"/>
      <x:c r="AJ594" s="2"/>
      <x:c r="AK594" s="2" t="s">
        <x:v>320</x:v>
      </x:c>
      <x:c r="AL594" s="2" t="s">
        <x:v>3061</x:v>
      </x:c>
      <x:c r="AM594" s="2">
        <x:v>144</x:v>
      </x:c>
      <x:c r="AN594" s="2">
        <x:v>144</x:v>
      </x:c>
    </x:row>
    <x:row r="595" ht="26">
      <x:c r="A595" s="2" t="s">
        <x:v>91</x:v>
      </x:c>
      <x:c r="B595" s="2" t="s">
        <x:v>16</x:v>
      </x:c>
      <x:c r="C595" s="3">
        <x:v>143</x:v>
      </x:c>
      <x:c r="D595" s="2" t="s">
        <x:v>375</x:v>
      </x:c>
      <x:c r="E595" s="2" t="s">
        <x:v>1947</x:v>
      </x:c>
      <x:c r="F595" s="2" t="s">
        <x:v>376</x:v>
      </x:c>
      <x:c r="G595" s="2" t="s">
        <x:v>158</x:v>
      </x:c>
      <x:c r="H595" s="2" t="s">
        <x:v>1912</x:v>
      </x:c>
      <x:c r="I595" s="2" t="s">
        <x:v>1948</x:v>
      </x:c>
      <x:c r="J595" s="2" t="s">
        <x:v>1913</x:v>
      </x:c>
      <x:c r="K595" s="2" t="n">
        <x:v>142</x:v>
      </x:c>
      <x:c r="L595" s="2" t="s">
        <x:v>1951</x:v>
      </x:c>
      <x:c r="M595" s="2"/>
      <x:c r="N595" s="2"/>
      <x:c r="O595" s="2" t="s">
        <x:v>1910</x:v>
      </x:c>
      <x:c r="P595" s="2" t="s">
        <x:v>1952</x:v>
      </x:c>
      <x:c r="Q595" s="2"/>
      <x:c r="R595" s="3">
        <x:v>4</x:v>
      </x:c>
      <x:c r="S595" s="3"/>
      <x:c r="T595" s="2"/>
      <x:c r="U595" s="2"/>
      <x:c r="V595" s="2"/>
      <x:c r="W595" s="2"/>
      <x:c r="X595" s="3"/>
      <x:c r="Y595" s="3"/>
      <x:c r="Z595" s="2"/>
      <x:c r="AA595" s="2"/>
      <x:c r="AB595" s="2"/>
      <x:c r="AC595" s="2" t="s">
        <x:v>367</x:v>
      </x:c>
      <x:c r="AD595" s="2" t="s">
        <x:v>318</x:v>
      </x:c>
      <x:c r="AE595" s="2" t="s">
        <x:v>368</x:v>
      </x:c>
      <x:c r="AF595" s="2" t="s">
        <x:v>319</x:v>
      </x:c>
      <x:c r="AG595" s="2"/>
      <x:c r="AH595" s="2"/>
      <x:c r="AI595" s="4"/>
      <x:c r="AJ595" s="2"/>
      <x:c r="AK595" s="2" t="s">
        <x:v>320</x:v>
      </x:c>
      <x:c r="AL595" s="2" t="s">
        <x:v>3061</x:v>
      </x:c>
      <x:c r="AM595" s="2">
        <x:v>145</x:v>
      </x:c>
      <x:c r="AN595" s="2">
        <x:v>145</x:v>
      </x:c>
    </x:row>
    <x:row r="596" ht="52">
      <x:c r="A596" s="2" t="s">
        <x:v>6</x:v>
      </x:c>
      <x:c r="B596" s="2" t="s">
        <x:v>16</x:v>
      </x:c>
      <x:c r="C596" s="3">
        <x:v>144</x:v>
      </x:c>
      <x:c r="D596" s="2" t="s">
        <x:v>369</x:v>
      </x:c>
      <x:c r="E596" s="2" t="s">
        <x:v>1947</x:v>
      </x:c>
      <x:c r="F596" s="2" t="s">
        <x:v>1953</x:v>
      </x:c>
      <x:c r="G596" s="2"/>
      <x:c r="H596" s="2" t="s">
        <x:v>1077</x:v>
      </x:c>
      <x:c r="I596" s="2" t="s">
        <x:v>1948</x:v>
      </x:c>
      <x:c r="J596" s="2" t="s">
        <x:v>1904</x:v>
      </x:c>
      <x:c r="K596" s="2"/>
      <x:c r="L596" s="2" t="s">
        <x:v>1949</x:v>
      </x:c>
      <x:c r="M596" s="2"/>
      <x:c r="N596" s="2"/>
      <x:c r="O596" s="2" t="s">
        <x:v>1928</x:v>
      </x:c>
      <x:c r="P596" s="2" t="s">
        <x:v>1954</x:v>
      </x:c>
      <x:c r="Q596" s="2"/>
      <x:c r="R596" s="3">
        <x:v>4</x:v>
      </x:c>
      <x:c r="S596" s="3"/>
      <x:c r="T596" s="2"/>
      <x:c r="U596" s="2"/>
      <x:c r="V596" s="2"/>
      <x:c r="W596" s="2"/>
      <x:c r="X596" s="3"/>
      <x:c r="Y596" s="3"/>
      <x:c r="Z596" s="2"/>
      <x:c r="AA596" s="2"/>
      <x:c r="AB596" s="2"/>
      <x:c r="AC596" s="2" t="s">
        <x:v>374</x:v>
      </x:c>
      <x:c r="AD596" s="2" t="s">
        <x:v>368</x:v>
      </x:c>
      <x:c r="AE596" s="2" t="s">
        <x:v>318</x:v>
      </x:c>
      <x:c r="AF596" s="2" t="s">
        <x:v>319</x:v>
      </x:c>
      <x:c r="AG596" s="2"/>
      <x:c r="AH596" s="2"/>
      <x:c r="AI596" s="4"/>
      <x:c r="AJ596" s="2"/>
      <x:c r="AK596" s="2" t="s">
        <x:v>320</x:v>
      </x:c>
      <x:c r="AL596" s="2" t="s">
        <x:v>3061</x:v>
      </x:c>
      <x:c r="AM596" s="2">
        <x:v>146</x:v>
      </x:c>
      <x:c r="AN596" s="2">
        <x:v>146</x:v>
      </x:c>
    </x:row>
    <x:row r="597" ht="52">
      <x:c r="A597" s="2" t="s">
        <x:v>6</x:v>
      </x:c>
      <x:c r="B597" s="2" t="s">
        <x:v>16</x:v>
      </x:c>
      <x:c r="C597" s="3">
        <x:v>145</x:v>
      </x:c>
      <x:c r="D597" s="2" t="s">
        <x:v>375</x:v>
      </x:c>
      <x:c r="E597" s="2" t="s">
        <x:v>1947</x:v>
      </x:c>
      <x:c r="F597" s="2" t="s">
        <x:v>1955</x:v>
      </x:c>
      <x:c r="G597" s="2"/>
      <x:c r="H597" s="2" t="s">
        <x:v>1077</x:v>
      </x:c>
      <x:c r="I597" s="2" t="s">
        <x:v>1948</x:v>
      </x:c>
      <x:c r="J597" s="2" t="s">
        <x:v>1904</x:v>
      </x:c>
      <x:c r="K597" s="2" t="n">
        <x:v>144</x:v>
      </x:c>
      <x:c r="L597" s="2" t="s">
        <x:v>1951</x:v>
      </x:c>
      <x:c r="M597" s="2"/>
      <x:c r="N597" s="2"/>
      <x:c r="O597" s="2" t="s">
        <x:v>1910</x:v>
      </x:c>
      <x:c r="P597" s="2" t="s">
        <x:v>1956</x:v>
      </x:c>
      <x:c r="Q597" s="2"/>
      <x:c r="R597" s="3">
        <x:v>4</x:v>
      </x:c>
      <x:c r="S597" s="3"/>
      <x:c r="T597" s="2"/>
      <x:c r="U597" s="2"/>
      <x:c r="V597" s="2"/>
      <x:c r="W597" s="2"/>
      <x:c r="X597" s="3"/>
      <x:c r="Y597" s="3"/>
      <x:c r="Z597" s="2"/>
      <x:c r="AA597" s="2"/>
      <x:c r="AB597" s="2"/>
      <x:c r="AC597" s="2" t="s">
        <x:v>367</x:v>
      </x:c>
      <x:c r="AD597" s="2" t="s">
        <x:v>318</x:v>
      </x:c>
      <x:c r="AE597" s="2" t="s">
        <x:v>368</x:v>
      </x:c>
      <x:c r="AF597" s="2" t="s">
        <x:v>319</x:v>
      </x:c>
      <x:c r="AG597" s="2"/>
      <x:c r="AH597" s="2"/>
      <x:c r="AI597" s="4"/>
      <x:c r="AJ597" s="2"/>
      <x:c r="AK597" s="2" t="s">
        <x:v>320</x:v>
      </x:c>
      <x:c r="AL597" s="2" t="s">
        <x:v>3061</x:v>
      </x:c>
      <x:c r="AM597" s="2">
        <x:v>147</x:v>
      </x:c>
      <x:c r="AN597" s="2">
        <x:v>147</x:v>
      </x:c>
    </x:row>
    <x:row r="598" ht="52">
      <x:c r="A598" s="2" t="s">
        <x:v>6</x:v>
      </x:c>
      <x:c r="B598" s="2" t="s">
        <x:v>16</x:v>
      </x:c>
      <x:c r="C598" s="3">
        <x:v>146</x:v>
      </x:c>
      <x:c r="D598" s="2" t="s">
        <x:v>1554</x:v>
      </x:c>
      <x:c r="E598" s="2" t="s">
        <x:v>1957</x:v>
      </x:c>
      <x:c r="F598" s="2" t="s">
        <x:v>1958</x:v>
      </x:c>
      <x:c r="G598" s="2"/>
      <x:c r="H598" s="2" t="s">
        <x:v>1077</x:v>
      </x:c>
      <x:c r="I598" s="2" t="s">
        <x:v>1959</x:v>
      </x:c>
      <x:c r="J598" s="2" t="s">
        <x:v>1904</x:v>
      </x:c>
      <x:c r="K598" s="2"/>
      <x:c r="L598" s="2" t="s">
        <x:v>1960</x:v>
      </x:c>
      <x:c r="M598" s="2"/>
      <x:c r="N598" s="2"/>
      <x:c r="O598" s="2" t="s">
        <x:v>1906</x:v>
      </x:c>
      <x:c r="P598" s="2" t="s">
        <x:v>1961</x:v>
      </x:c>
      <x:c r="Q598" s="2"/>
      <x:c r="R598" s="3">
        <x:v>3</x:v>
      </x:c>
      <x:c r="S598" s="3"/>
      <x:c r="T598" s="2"/>
      <x:c r="U598" s="2"/>
      <x:c r="V598" s="2"/>
      <x:c r="W598" s="2"/>
      <x:c r="X598" s="3"/>
      <x:c r="Y598" s="3"/>
      <x:c r="Z598" s="2"/>
      <x:c r="AA598" s="2"/>
      <x:c r="AB598" s="2"/>
      <x:c r="AC598" s="2" t="s">
        <x:v>367</x:v>
      </x:c>
      <x:c r="AD598" s="2" t="s">
        <x:v>368</x:v>
      </x:c>
      <x:c r="AE598" s="2" t="s">
        <x:v>344</x:v>
      </x:c>
      <x:c r="AF598" s="2" t="s">
        <x:v>319</x:v>
      </x:c>
      <x:c r="AG598" s="2"/>
      <x:c r="AH598" s="2"/>
      <x:c r="AI598" s="4"/>
      <x:c r="AJ598" s="2"/>
      <x:c r="AK598" s="2" t="s">
        <x:v>320</x:v>
      </x:c>
      <x:c r="AL598" s="2" t="s">
        <x:v>3061</x:v>
      </x:c>
      <x:c r="AM598" s="2">
        <x:v>148</x:v>
      </x:c>
      <x:c r="AN598" s="2">
        <x:v>148</x:v>
      </x:c>
    </x:row>
    <x:row r="599" ht="52">
      <x:c r="A599" s="2" t="s">
        <x:v>6</x:v>
      </x:c>
      <x:c r="B599" s="2" t="s">
        <x:v>16</x:v>
      </x:c>
      <x:c r="C599" s="3">
        <x:v>147</x:v>
      </x:c>
      <x:c r="D599" s="2" t="s">
        <x:v>1570</x:v>
      </x:c>
      <x:c r="E599" s="2" t="s">
        <x:v>1957</x:v>
      </x:c>
      <x:c r="F599" s="2" t="s">
        <x:v>1962</x:v>
      </x:c>
      <x:c r="G599" s="2"/>
      <x:c r="H599" s="2" t="s">
        <x:v>1077</x:v>
      </x:c>
      <x:c r="I599" s="2" t="s">
        <x:v>1959</x:v>
      </x:c>
      <x:c r="J599" s="2" t="s">
        <x:v>1904</x:v>
      </x:c>
      <x:c r="K599" s="2" t="n">
        <x:v>146</x:v>
      </x:c>
      <x:c r="L599" s="2" t="s">
        <x:v>1963</x:v>
      </x:c>
      <x:c r="M599" s="2"/>
      <x:c r="N599" s="2"/>
      <x:c r="O599" s="2" t="s">
        <x:v>1910</x:v>
      </x:c>
      <x:c r="P599" s="2" t="s">
        <x:v>1964</x:v>
      </x:c>
      <x:c r="Q599" s="2"/>
      <x:c r="R599" s="3">
        <x:v>3</x:v>
      </x:c>
      <x:c r="S599" s="3"/>
      <x:c r="T599" s="2"/>
      <x:c r="U599" s="2"/>
      <x:c r="V599" s="2"/>
      <x:c r="W599" s="2"/>
      <x:c r="X599" s="3"/>
      <x:c r="Y599" s="3"/>
      <x:c r="Z599" s="2"/>
      <x:c r="AA599" s="2"/>
      <x:c r="AB599" s="2"/>
      <x:c r="AC599" s="2" t="s">
        <x:v>374</x:v>
      </x:c>
      <x:c r="AD599" s="2" t="s">
        <x:v>344</x:v>
      </x:c>
      <x:c r="AE599" s="2" t="s">
        <x:v>368</x:v>
      </x:c>
      <x:c r="AF599" s="2" t="s">
        <x:v>319</x:v>
      </x:c>
      <x:c r="AG599" s="2"/>
      <x:c r="AH599" s="2"/>
      <x:c r="AI599" s="4"/>
      <x:c r="AJ599" s="2"/>
      <x:c r="AK599" s="2" t="s">
        <x:v>320</x:v>
      </x:c>
      <x:c r="AL599" s="2" t="s">
        <x:v>3061</x:v>
      </x:c>
      <x:c r="AM599" s="2">
        <x:v>149</x:v>
      </x:c>
      <x:c r="AN599" s="2">
        <x:v>149</x:v>
      </x:c>
    </x:row>
    <x:row r="600" ht="39">
      <x:c r="A600" s="2" t="s">
        <x:v>91</x:v>
      </x:c>
      <x:c r="B600" s="2" t="s">
        <x:v>16</x:v>
      </x:c>
      <x:c r="C600" s="3">
        <x:v>148</x:v>
      </x:c>
      <x:c r="D600" s="2" t="s">
        <x:v>1554</x:v>
      </x:c>
      <x:c r="E600" s="2" t="s">
        <x:v>1957</x:v>
      </x:c>
      <x:c r="F600" s="2" t="s">
        <x:v>1556</x:v>
      </x:c>
      <x:c r="G600" s="2" t="s">
        <x:v>158</x:v>
      </x:c>
      <x:c r="H600" s="2" t="s">
        <x:v>1912</x:v>
      </x:c>
      <x:c r="I600" s="2" t="s">
        <x:v>1959</x:v>
      </x:c>
      <x:c r="J600" s="2" t="s">
        <x:v>1913</x:v>
      </x:c>
      <x:c r="K600" s="2"/>
      <x:c r="L600" s="2" t="s">
        <x:v>1960</x:v>
      </x:c>
      <x:c r="M600" s="2"/>
      <x:c r="N600" s="2"/>
      <x:c r="O600" s="2" t="s">
        <x:v>1914</x:v>
      </x:c>
      <x:c r="P600" s="2" t="s">
        <x:v>1965</x:v>
      </x:c>
      <x:c r="Q600" s="2"/>
      <x:c r="R600" s="3">
        <x:v>3</x:v>
      </x:c>
      <x:c r="S600" s="3"/>
      <x:c r="T600" s="2"/>
      <x:c r="U600" s="2"/>
      <x:c r="V600" s="2"/>
      <x:c r="W600" s="2"/>
      <x:c r="X600" s="3"/>
      <x:c r="Y600" s="3"/>
      <x:c r="Z600" s="2"/>
      <x:c r="AA600" s="2"/>
      <x:c r="AB600" s="2"/>
      <x:c r="AC600" s="2" t="s">
        <x:v>367</x:v>
      </x:c>
      <x:c r="AD600" s="2" t="s">
        <x:v>368</x:v>
      </x:c>
      <x:c r="AE600" s="2" t="s">
        <x:v>344</x:v>
      </x:c>
      <x:c r="AF600" s="2" t="s">
        <x:v>319</x:v>
      </x:c>
      <x:c r="AG600" s="2"/>
      <x:c r="AH600" s="2"/>
      <x:c r="AI600" s="4"/>
      <x:c r="AJ600" s="2"/>
      <x:c r="AK600" s="2" t="s">
        <x:v>320</x:v>
      </x:c>
      <x:c r="AL600" s="2" t="s">
        <x:v>3061</x:v>
      </x:c>
      <x:c r="AM600" s="2">
        <x:v>150</x:v>
      </x:c>
      <x:c r="AN600" s="2">
        <x:v>150</x:v>
      </x:c>
    </x:row>
    <x:row r="601" ht="26">
      <x:c r="A601" s="2" t="s">
        <x:v>91</x:v>
      </x:c>
      <x:c r="B601" s="2" t="s">
        <x:v>16</x:v>
      </x:c>
      <x:c r="C601" s="3">
        <x:v>149</x:v>
      </x:c>
      <x:c r="D601" s="2" t="s">
        <x:v>1570</x:v>
      </x:c>
      <x:c r="E601" s="2" t="s">
        <x:v>1957</x:v>
      </x:c>
      <x:c r="F601" s="2" t="s">
        <x:v>1571</x:v>
      </x:c>
      <x:c r="G601" s="2" t="s">
        <x:v>158</x:v>
      </x:c>
      <x:c r="H601" s="2" t="s">
        <x:v>1912</x:v>
      </x:c>
      <x:c r="I601" s="2" t="s">
        <x:v>1959</x:v>
      </x:c>
      <x:c r="J601" s="2" t="s">
        <x:v>1913</x:v>
      </x:c>
      <x:c r="K601" s="2" t="n">
        <x:v>148</x:v>
      </x:c>
      <x:c r="L601" s="2" t="s">
        <x:v>1963</x:v>
      </x:c>
      <x:c r="M601" s="2"/>
      <x:c r="N601" s="2"/>
      <x:c r="O601" s="2" t="s">
        <x:v>1910</x:v>
      </x:c>
      <x:c r="P601" s="2" t="s">
        <x:v>1967</x:v>
      </x:c>
      <x:c r="Q601" s="2"/>
      <x:c r="R601" s="3">
        <x:v>3</x:v>
      </x:c>
      <x:c r="S601" s="3"/>
      <x:c r="T601" s="2"/>
      <x:c r="U601" s="2"/>
      <x:c r="V601" s="2"/>
      <x:c r="W601" s="2"/>
      <x:c r="X601" s="3"/>
      <x:c r="Y601" s="3"/>
      <x:c r="Z601" s="2"/>
      <x:c r="AA601" s="2"/>
      <x:c r="AB601" s="2"/>
      <x:c r="AC601" s="2" t="s">
        <x:v>374</x:v>
      </x:c>
      <x:c r="AD601" s="2" t="s">
        <x:v>344</x:v>
      </x:c>
      <x:c r="AE601" s="2" t="s">
        <x:v>368</x:v>
      </x:c>
      <x:c r="AF601" s="2" t="s">
        <x:v>319</x:v>
      </x:c>
      <x:c r="AG601" s="2"/>
      <x:c r="AH601" s="2"/>
      <x:c r="AI601" s="4"/>
      <x:c r="AJ601" s="2"/>
      <x:c r="AK601" s="2" t="s">
        <x:v>320</x:v>
      </x:c>
      <x:c r="AL601" s="2" t="s">
        <x:v>3061</x:v>
      </x:c>
      <x:c r="AM601" s="2">
        <x:v>151</x:v>
      </x:c>
      <x:c r="AN601" s="2">
        <x:v>151</x:v>
      </x:c>
    </x:row>
    <x:row r="602" ht="39">
      <x:c r="A602" s="2" t="s">
        <x:v>91</x:v>
      </x:c>
      <x:c r="B602" s="2" t="s">
        <x:v>16</x:v>
      </x:c>
      <x:c r="C602" s="3">
        <x:v>150</x:v>
      </x:c>
      <x:c r="D602" s="2" t="s">
        <x:v>1968</x:v>
      </x:c>
      <x:c r="E602" s="2" t="s">
        <x:v>1575</x:v>
      </x:c>
      <x:c r="F602" s="2" t="s">
        <x:v>309</x:v>
      </x:c>
      <x:c r="G602" s="2" t="s">
        <x:v>158</x:v>
      </x:c>
      <x:c r="H602" s="2" t="s">
        <x:v>1912</x:v>
      </x:c>
      <x:c r="I602" s="2" t="s">
        <x:v>1970</x:v>
      </x:c>
      <x:c r="J602" s="2" t="s">
        <x:v>1913</x:v>
      </x:c>
      <x:c r="K602" s="2"/>
      <x:c r="L602" s="2" t="s">
        <x:v>1971</x:v>
      </x:c>
      <x:c r="M602" s="2"/>
      <x:c r="N602" s="2"/>
      <x:c r="O602" s="2" t="s">
        <x:v>1921</x:v>
      </x:c>
      <x:c r="P602" s="2" t="s">
        <x:v>1972</x:v>
      </x:c>
      <x:c r="Q602" s="2"/>
      <x:c r="R602" s="3">
        <x:v>4</x:v>
      </x:c>
      <x:c r="S602" s="3"/>
      <x:c r="T602" s="2"/>
      <x:c r="U602" s="2"/>
      <x:c r="V602" s="2"/>
      <x:c r="W602" s="2"/>
      <x:c r="X602" s="3"/>
      <x:c r="Y602" s="3"/>
      <x:c r="Z602" s="2"/>
      <x:c r="AA602" s="2"/>
      <x:c r="AB602" s="2"/>
      <x:c r="AC602" s="2" t="s">
        <x:v>316</x:v>
      </x:c>
      <x:c r="AD602" s="2" t="s">
        <x:v>317</x:v>
      </x:c>
      <x:c r="AE602" s="2" t="s">
        <x:v>318</x:v>
      </x:c>
      <x:c r="AF602" s="2" t="s">
        <x:v>319</x:v>
      </x:c>
      <x:c r="AG602" s="2"/>
      <x:c r="AH602" s="2"/>
      <x:c r="AI602" s="4"/>
      <x:c r="AJ602" s="2"/>
      <x:c r="AK602" s="2" t="s">
        <x:v>320</x:v>
      </x:c>
      <x:c r="AL602" s="2" t="s">
        <x:v>3061</x:v>
      </x:c>
      <x:c r="AM602" s="2">
        <x:v>152</x:v>
      </x:c>
      <x:c r="AN602" s="2">
        <x:v>152</x:v>
      </x:c>
    </x:row>
    <x:row r="603" ht="26">
      <x:c r="A603" s="2" t="s">
        <x:v>91</x:v>
      </x:c>
      <x:c r="B603" s="2" t="s">
        <x:v>16</x:v>
      </x:c>
      <x:c r="C603" s="3">
        <x:v>151</x:v>
      </x:c>
      <x:c r="D603" s="2" t="s">
        <x:v>332</x:v>
      </x:c>
      <x:c r="E603" s="2" t="s">
        <x:v>1575</x:v>
      </x:c>
      <x:c r="F603" s="2" t="s">
        <x:v>333</x:v>
      </x:c>
      <x:c r="G603" s="2" t="s">
        <x:v>3184</x:v>
      </x:c>
      <x:c r="H603" s="2" t="s">
        <x:v>1912</x:v>
      </x:c>
      <x:c r="I603" s="2" t="s">
        <x:v>1970</x:v>
      </x:c>
      <x:c r="J603" s="2" t="s">
        <x:v>1913</x:v>
      </x:c>
      <x:c r="K603" s="2" t="n">
        <x:v>150</x:v>
      </x:c>
      <x:c r="L603" s="2" t="s">
        <x:v>1973</x:v>
      </x:c>
      <x:c r="M603" s="2"/>
      <x:c r="N603" s="2"/>
      <x:c r="O603" s="2" t="s">
        <x:v>1910</x:v>
      </x:c>
      <x:c r="P603" s="2" t="s">
        <x:v>1974</x:v>
      </x:c>
      <x:c r="Q603" s="2"/>
      <x:c r="R603" s="3">
        <x:v>4</x:v>
      </x:c>
      <x:c r="S603" s="3"/>
      <x:c r="T603" s="2"/>
      <x:c r="U603" s="2"/>
      <x:c r="V603" s="2"/>
      <x:c r="W603" s="2"/>
      <x:c r="X603" s="3"/>
      <x:c r="Y603" s="3"/>
      <x:c r="Z603" s="2"/>
      <x:c r="AA603" s="2"/>
      <x:c r="AB603" s="2"/>
      <x:c r="AC603" s="2" t="s">
        <x:v>326</x:v>
      </x:c>
      <x:c r="AD603" s="2" t="s">
        <x:v>318</x:v>
      </x:c>
      <x:c r="AE603" s="2" t="s">
        <x:v>317</x:v>
      </x:c>
      <x:c r="AF603" s="2" t="s">
        <x:v>319</x:v>
      </x:c>
      <x:c r="AG603" s="2"/>
      <x:c r="AH603" s="2"/>
      <x:c r="AI603" s="4"/>
      <x:c r="AJ603" s="2"/>
      <x:c r="AK603" s="2" t="s">
        <x:v>320</x:v>
      </x:c>
      <x:c r="AL603" s="2" t="s">
        <x:v>3061</x:v>
      </x:c>
      <x:c r="AM603" s="2">
        <x:v>153</x:v>
      </x:c>
      <x:c r="AN603" s="2">
        <x:v>153</x:v>
      </x:c>
    </x:row>
    <x:row r="604" ht="52">
      <x:c r="A604" s="2" t="s">
        <x:v>6</x:v>
      </x:c>
      <x:c r="B604" s="2" t="s">
        <x:v>16</x:v>
      </x:c>
      <x:c r="C604" s="3">
        <x:v>152</x:v>
      </x:c>
      <x:c r="D604" s="2" t="s">
        <x:v>1968</x:v>
      </x:c>
      <x:c r="E604" s="2" t="s">
        <x:v>1575</x:v>
      </x:c>
      <x:c r="F604" s="2" t="s">
        <x:v>1975</x:v>
      </x:c>
      <x:c r="G604" s="2"/>
      <x:c r="H604" s="2" t="s">
        <x:v>1077</x:v>
      </x:c>
      <x:c r="I604" s="2" t="s">
        <x:v>1970</x:v>
      </x:c>
      <x:c r="J604" s="2" t="s">
        <x:v>1904</x:v>
      </x:c>
      <x:c r="K604" s="2"/>
      <x:c r="L604" s="2" t="s">
        <x:v>1971</x:v>
      </x:c>
      <x:c r="M604" s="2"/>
      <x:c r="N604" s="2"/>
      <x:c r="O604" s="2" t="s">
        <x:v>1928</x:v>
      </x:c>
      <x:c r="P604" s="2" t="s">
        <x:v>1976</x:v>
      </x:c>
      <x:c r="Q604" s="2"/>
      <x:c r="R604" s="3">
        <x:v>4</x:v>
      </x:c>
      <x:c r="S604" s="3"/>
      <x:c r="T604" s="2"/>
      <x:c r="U604" s="2"/>
      <x:c r="V604" s="2"/>
      <x:c r="W604" s="2"/>
      <x:c r="X604" s="3"/>
      <x:c r="Y604" s="3"/>
      <x:c r="Z604" s="2"/>
      <x:c r="AA604" s="2"/>
      <x:c r="AB604" s="2"/>
      <x:c r="AC604" s="2" t="s">
        <x:v>316</x:v>
      </x:c>
      <x:c r="AD604" s="2" t="s">
        <x:v>317</x:v>
      </x:c>
      <x:c r="AE604" s="2" t="s">
        <x:v>318</x:v>
      </x:c>
      <x:c r="AF604" s="2" t="s">
        <x:v>319</x:v>
      </x:c>
      <x:c r="AG604" s="2"/>
      <x:c r="AH604" s="2"/>
      <x:c r="AI604" s="4"/>
      <x:c r="AJ604" s="2"/>
      <x:c r="AK604" s="2" t="s">
        <x:v>320</x:v>
      </x:c>
      <x:c r="AL604" s="2" t="s">
        <x:v>3061</x:v>
      </x:c>
      <x:c r="AM604" s="2">
        <x:v>154</x:v>
      </x:c>
      <x:c r="AN604" s="2">
        <x:v>154</x:v>
      </x:c>
    </x:row>
    <x:row r="605" ht="52">
      <x:c r="A605" s="2" t="s">
        <x:v>6</x:v>
      </x:c>
      <x:c r="B605" s="2" t="s">
        <x:v>16</x:v>
      </x:c>
      <x:c r="C605" s="3">
        <x:v>153</x:v>
      </x:c>
      <x:c r="D605" s="2" t="s">
        <x:v>332</x:v>
      </x:c>
      <x:c r="E605" s="2" t="s">
        <x:v>1575</x:v>
      </x:c>
      <x:c r="F605" s="2" t="s">
        <x:v>1977</x:v>
      </x:c>
      <x:c r="G605" s="2"/>
      <x:c r="H605" s="2" t="s">
        <x:v>1077</x:v>
      </x:c>
      <x:c r="I605" s="2" t="s">
        <x:v>1970</x:v>
      </x:c>
      <x:c r="J605" s="2" t="s">
        <x:v>1904</x:v>
      </x:c>
      <x:c r="K605" s="2" t="n">
        <x:v>152</x:v>
      </x:c>
      <x:c r="L605" s="2" t="s">
        <x:v>1973</x:v>
      </x:c>
      <x:c r="M605" s="2"/>
      <x:c r="N605" s="2"/>
      <x:c r="O605" s="2" t="s">
        <x:v>1910</x:v>
      </x:c>
      <x:c r="P605" s="2" t="s">
        <x:v>1978</x:v>
      </x:c>
      <x:c r="Q605" s="2"/>
      <x:c r="R605" s="3">
        <x:v>4</x:v>
      </x:c>
      <x:c r="S605" s="3"/>
      <x:c r="T605" s="2"/>
      <x:c r="U605" s="2"/>
      <x:c r="V605" s="2"/>
      <x:c r="W605" s="2"/>
      <x:c r="X605" s="3"/>
      <x:c r="Y605" s="3"/>
      <x:c r="Z605" s="2"/>
      <x:c r="AA605" s="2"/>
      <x:c r="AB605" s="2"/>
      <x:c r="AC605" s="2" t="s">
        <x:v>326</x:v>
      </x:c>
      <x:c r="AD605" s="2" t="s">
        <x:v>318</x:v>
      </x:c>
      <x:c r="AE605" s="2" t="s">
        <x:v>317</x:v>
      </x:c>
      <x:c r="AF605" s="2" t="s">
        <x:v>319</x:v>
      </x:c>
      <x:c r="AG605" s="2"/>
      <x:c r="AH605" s="2"/>
      <x:c r="AI605" s="4"/>
      <x:c r="AJ605" s="2"/>
      <x:c r="AK605" s="2" t="s">
        <x:v>320</x:v>
      </x:c>
      <x:c r="AL605" s="2" t="s">
        <x:v>3061</x:v>
      </x:c>
      <x:c r="AM605" s="2">
        <x:v>155</x:v>
      </x:c>
      <x:c r="AN605" s="2">
        <x:v>155</x:v>
      </x:c>
    </x:row>
    <x:row r="606" ht="52">
      <x:c r="A606" s="2" t="s">
        <x:v>6</x:v>
      </x:c>
      <x:c r="B606" s="2" t="s">
        <x:v>16</x:v>
      </x:c>
      <x:c r="C606" s="3">
        <x:v>154</x:v>
      </x:c>
      <x:c r="D606" s="2" t="s">
        <x:v>1979</x:v>
      </x:c>
      <x:c r="E606" s="2" t="s">
        <x:v>1933</x:v>
      </x:c>
      <x:c r="F606" s="2" t="s">
        <x:v>1980</x:v>
      </x:c>
      <x:c r="G606" s="2"/>
      <x:c r="H606" s="2" t="s">
        <x:v>1077</x:v>
      </x:c>
      <x:c r="I606" s="2" t="s">
        <x:v>1981</x:v>
      </x:c>
      <x:c r="J606" s="2" t="s">
        <x:v>1904</x:v>
      </x:c>
      <x:c r="K606" s="2"/>
      <x:c r="L606" s="2" t="s">
        <x:v>1982</x:v>
      </x:c>
      <x:c r="M606" s="2"/>
      <x:c r="N606" s="2"/>
      <x:c r="O606" s="2" t="s">
        <x:v>1906</x:v>
      </x:c>
      <x:c r="P606" s="2" t="s">
        <x:v>1983</x:v>
      </x:c>
      <x:c r="Q606" s="2"/>
      <x:c r="R606" s="3">
        <x:v>3</x:v>
      </x:c>
      <x:c r="S606" s="3"/>
      <x:c r="T606" s="2"/>
      <x:c r="U606" s="2"/>
      <x:c r="V606" s="2"/>
      <x:c r="W606" s="2"/>
      <x:c r="X606" s="3"/>
      <x:c r="Y606" s="3"/>
      <x:c r="Z606" s="2"/>
      <x:c r="AA606" s="2"/>
      <x:c r="AB606" s="2"/>
      <x:c r="AC606" s="2" t="s">
        <x:v>326</x:v>
      </x:c>
      <x:c r="AD606" s="2" t="s">
        <x:v>317</x:v>
      </x:c>
      <x:c r="AE606" s="2" t="s">
        <x:v>344</x:v>
      </x:c>
      <x:c r="AF606" s="2" t="s">
        <x:v>319</x:v>
      </x:c>
      <x:c r="AG606" s="2"/>
      <x:c r="AH606" s="2"/>
      <x:c r="AI606" s="4"/>
      <x:c r="AJ606" s="2"/>
      <x:c r="AK606" s="2" t="s">
        <x:v>320</x:v>
      </x:c>
      <x:c r="AL606" s="2" t="s">
        <x:v>3061</x:v>
      </x:c>
      <x:c r="AM606" s="2">
        <x:v>156</x:v>
      </x:c>
      <x:c r="AN606" s="2">
        <x:v>156</x:v>
      </x:c>
    </x:row>
    <x:row r="607" ht="52">
      <x:c r="A607" s="2" t="s">
        <x:v>6</x:v>
      </x:c>
      <x:c r="B607" s="2" t="s">
        <x:v>16</x:v>
      </x:c>
      <x:c r="C607" s="3">
        <x:v>155</x:v>
      </x:c>
      <x:c r="D607" s="2" t="s">
        <x:v>1984</x:v>
      </x:c>
      <x:c r="E607" s="2" t="s">
        <x:v>1933</x:v>
      </x:c>
      <x:c r="F607" s="2" t="s">
        <x:v>1985</x:v>
      </x:c>
      <x:c r="G607" s="2"/>
      <x:c r="H607" s="2" t="s">
        <x:v>1077</x:v>
      </x:c>
      <x:c r="I607" s="2" t="s">
        <x:v>1981</x:v>
      </x:c>
      <x:c r="J607" s="2" t="s">
        <x:v>1904</x:v>
      </x:c>
      <x:c r="K607" s="2" t="n">
        <x:v>154</x:v>
      </x:c>
      <x:c r="L607" s="2" t="s">
        <x:v>1986</x:v>
      </x:c>
      <x:c r="M607" s="2"/>
      <x:c r="N607" s="2"/>
      <x:c r="O607" s="2" t="s">
        <x:v>1910</x:v>
      </x:c>
      <x:c r="P607" s="2" t="s">
        <x:v>1987</x:v>
      </x:c>
      <x:c r="Q607" s="2"/>
      <x:c r="R607" s="3">
        <x:v>3</x:v>
      </x:c>
      <x:c r="S607" s="3"/>
      <x:c r="T607" s="2"/>
      <x:c r="U607" s="2"/>
      <x:c r="V607" s="2"/>
      <x:c r="W607" s="2"/>
      <x:c r="X607" s="3"/>
      <x:c r="Y607" s="3"/>
      <x:c r="Z607" s="2"/>
      <x:c r="AA607" s="2"/>
      <x:c r="AB607" s="2"/>
      <x:c r="AC607" s="2" t="s">
        <x:v>316</x:v>
      </x:c>
      <x:c r="AD607" s="2" t="s">
        <x:v>344</x:v>
      </x:c>
      <x:c r="AE607" s="2" t="s">
        <x:v>317</x:v>
      </x:c>
      <x:c r="AF607" s="2" t="s">
        <x:v>319</x:v>
      </x:c>
      <x:c r="AG607" s="2"/>
      <x:c r="AH607" s="2"/>
      <x:c r="AI607" s="4"/>
      <x:c r="AJ607" s="2"/>
      <x:c r="AK607" s="2" t="s">
        <x:v>320</x:v>
      </x:c>
      <x:c r="AL607" s="2" t="s">
        <x:v>3061</x:v>
      </x:c>
      <x:c r="AM607" s="2">
        <x:v>157</x:v>
      </x:c>
      <x:c r="AN607" s="2">
        <x:v>157</x:v>
      </x:c>
    </x:row>
    <x:row r="608" ht="39">
      <x:c r="A608" s="2" t="s">
        <x:v>91</x:v>
      </x:c>
      <x:c r="B608" s="2" t="s">
        <x:v>16</x:v>
      </x:c>
      <x:c r="C608" s="3">
        <x:v>156</x:v>
      </x:c>
      <x:c r="D608" s="2" t="s">
        <x:v>1979</x:v>
      </x:c>
      <x:c r="E608" s="2" t="s">
        <x:v>1933</x:v>
      </x:c>
      <x:c r="F608" s="2" t="s">
        <x:v>346</x:v>
      </x:c>
      <x:c r="G608" s="2" t="s">
        <x:v>158</x:v>
      </x:c>
      <x:c r="H608" s="2" t="s">
        <x:v>1912</x:v>
      </x:c>
      <x:c r="I608" s="2" t="s">
        <x:v>1981</x:v>
      </x:c>
      <x:c r="J608" s="2" t="s">
        <x:v>1913</x:v>
      </x:c>
      <x:c r="K608" s="2"/>
      <x:c r="L608" s="2" t="s">
        <x:v>1982</x:v>
      </x:c>
      <x:c r="M608" s="2"/>
      <x:c r="N608" s="2"/>
      <x:c r="O608" s="2" t="s">
        <x:v>1914</x:v>
      </x:c>
      <x:c r="P608" s="2" t="s">
        <x:v>1988</x:v>
      </x:c>
      <x:c r="Q608" s="2"/>
      <x:c r="R608" s="3">
        <x:v>3</x:v>
      </x:c>
      <x:c r="S608" s="3"/>
      <x:c r="T608" s="2"/>
      <x:c r="U608" s="2"/>
      <x:c r="V608" s="2"/>
      <x:c r="W608" s="2"/>
      <x:c r="X608" s="3"/>
      <x:c r="Y608" s="3"/>
      <x:c r="Z608" s="2"/>
      <x:c r="AA608" s="2"/>
      <x:c r="AB608" s="2"/>
      <x:c r="AC608" s="2" t="s">
        <x:v>326</x:v>
      </x:c>
      <x:c r="AD608" s="2" t="s">
        <x:v>317</x:v>
      </x:c>
      <x:c r="AE608" s="2" t="s">
        <x:v>344</x:v>
      </x:c>
      <x:c r="AF608" s="2" t="s">
        <x:v>319</x:v>
      </x:c>
      <x:c r="AG608" s="2"/>
      <x:c r="AH608" s="2"/>
      <x:c r="AI608" s="4"/>
      <x:c r="AJ608" s="2"/>
      <x:c r="AK608" s="2" t="s">
        <x:v>320</x:v>
      </x:c>
      <x:c r="AL608" s="2" t="s">
        <x:v>3061</x:v>
      </x:c>
      <x:c r="AM608" s="2">
        <x:v>158</x:v>
      </x:c>
      <x:c r="AN608" s="2">
        <x:v>158</x:v>
      </x:c>
    </x:row>
    <x:row r="609" ht="39">
      <x:c r="A609" s="2" t="s">
        <x:v>6</x:v>
      </x:c>
      <x:c r="B609" s="2" t="s">
        <x:v>16</x:v>
      </x:c>
      <x:c r="C609" s="3">
        <x:v>157</x:v>
      </x:c>
      <x:c r="D609" s="2" t="s">
        <x:v>1984</x:v>
      </x:c>
      <x:c r="E609" s="2" t="s">
        <x:v>1933</x:v>
      </x:c>
      <x:c r="F609" s="2" t="s">
        <x:v>351</x:v>
      </x:c>
      <x:c r="G609" s="2" t="s">
        <x:v>3185</x:v>
      </x:c>
      <x:c r="H609" s="2" t="s">
        <x:v>1912</x:v>
      </x:c>
      <x:c r="I609" s="2" t="s">
        <x:v>1981</x:v>
      </x:c>
      <x:c r="J609" s="2" t="s">
        <x:v>1913</x:v>
      </x:c>
      <x:c r="K609" s="2" t="n">
        <x:v>156</x:v>
      </x:c>
      <x:c r="L609" s="2" t="s">
        <x:v>1986</x:v>
      </x:c>
      <x:c r="M609" s="2"/>
      <x:c r="N609" s="2"/>
      <x:c r="O609" s="2" t="s">
        <x:v>1910</x:v>
      </x:c>
      <x:c r="P609" s="2" t="s">
        <x:v>1989</x:v>
      </x:c>
      <x:c r="Q609" s="2"/>
      <x:c r="R609" s="3">
        <x:v>3</x:v>
      </x:c>
      <x:c r="S609" s="3"/>
      <x:c r="T609" s="2"/>
      <x:c r="U609" s="2"/>
      <x:c r="V609" s="2"/>
      <x:c r="W609" s="2"/>
      <x:c r="X609" s="3"/>
      <x:c r="Y609" s="3"/>
      <x:c r="Z609" s="2"/>
      <x:c r="AA609" s="2"/>
      <x:c r="AB609" s="2"/>
      <x:c r="AC609" s="2" t="s">
        <x:v>316</x:v>
      </x:c>
      <x:c r="AD609" s="2" t="s">
        <x:v>344</x:v>
      </x:c>
      <x:c r="AE609" s="2" t="s">
        <x:v>317</x:v>
      </x:c>
      <x:c r="AF609" s="2" t="s">
        <x:v>319</x:v>
      </x:c>
      <x:c r="AG609" s="2"/>
      <x:c r="AH609" s="2"/>
      <x:c r="AI609" s="4"/>
      <x:c r="AJ609" s="2"/>
      <x:c r="AK609" s="2" t="s">
        <x:v>320</x:v>
      </x:c>
      <x:c r="AL609" s="2" t="s">
        <x:v>3061</x:v>
      </x:c>
      <x:c r="AM609" s="2">
        <x:v>159</x:v>
      </x:c>
      <x:c r="AN609" s="2">
        <x:v>159</x:v>
      </x:c>
    </x:row>
    <x:row r="610" ht="39">
      <x:c r="A610" s="2" t="s">
        <x:v>6</x:v>
      </x:c>
      <x:c r="B610" s="2" t="s">
        <x:v>16</x:v>
      </x:c>
      <x:c r="C610" s="3">
        <x:v>158</x:v>
      </x:c>
      <x:c r="D610" s="2" t="s">
        <x:v>1990</x:v>
      </x:c>
      <x:c r="E610" s="2" t="s">
        <x:v>1947</x:v>
      </x:c>
      <x:c r="F610" s="2" t="s">
        <x:v>1991</x:v>
      </x:c>
      <x:c r="G610" s="2"/>
      <x:c r="H610" s="2" t="s">
        <x:v>1912</x:v>
      </x:c>
      <x:c r="I610" s="2" t="s">
        <x:v>1992</x:v>
      </x:c>
      <x:c r="J610" s="2" t="s">
        <x:v>1913</x:v>
      </x:c>
      <x:c r="K610" s="2"/>
      <x:c r="L610" s="2" t="s">
        <x:v>1993</x:v>
      </x:c>
      <x:c r="M610" s="2"/>
      <x:c r="N610" s="2"/>
      <x:c r="O610" s="2" t="s">
        <x:v>1921</x:v>
      </x:c>
      <x:c r="P610" s="2" t="s">
        <x:v>1994</x:v>
      </x:c>
      <x:c r="Q610" s="2"/>
      <x:c r="R610" s="3">
        <x:v>4</x:v>
      </x:c>
      <x:c r="S610" s="3"/>
      <x:c r="T610" s="2"/>
      <x:c r="U610" s="2"/>
      <x:c r="V610" s="2"/>
      <x:c r="W610" s="2"/>
      <x:c r="X610" s="3"/>
      <x:c r="Y610" s="3"/>
      <x:c r="Z610" s="2"/>
      <x:c r="AA610" s="2"/>
      <x:c r="AB610" s="2"/>
      <x:c r="AC610" s="2" t="s">
        <x:v>316</x:v>
      </x:c>
      <x:c r="AD610" s="2" t="s">
        <x:v>368</x:v>
      </x:c>
      <x:c r="AE610" s="2" t="s">
        <x:v>318</x:v>
      </x:c>
      <x:c r="AF610" s="2" t="s">
        <x:v>319</x:v>
      </x:c>
      <x:c r="AG610" s="2"/>
      <x:c r="AH610" s="2"/>
      <x:c r="AI610" s="4"/>
      <x:c r="AJ610" s="2"/>
      <x:c r="AK610" s="2" t="s">
        <x:v>320</x:v>
      </x:c>
      <x:c r="AL610" s="2" t="s">
        <x:v>3061</x:v>
      </x:c>
      <x:c r="AM610" s="2">
        <x:v>160</x:v>
      </x:c>
      <x:c r="AN610" s="2">
        <x:v>160</x:v>
      </x:c>
    </x:row>
    <x:row r="611" ht="26">
      <x:c r="A611" s="2" t="s">
        <x:v>91</x:v>
      </x:c>
      <x:c r="B611" s="2" t="s">
        <x:v>16</x:v>
      </x:c>
      <x:c r="C611" s="3">
        <x:v>159</x:v>
      </x:c>
      <x:c r="D611" s="2" t="s">
        <x:v>1995</x:v>
      </x:c>
      <x:c r="E611" s="2" t="s">
        <x:v>1947</x:v>
      </x:c>
      <x:c r="F611" s="2" t="s">
        <x:v>1996</x:v>
      </x:c>
      <x:c r="G611" s="2" t="s">
        <x:v>158</x:v>
      </x:c>
      <x:c r="H611" s="2" t="s">
        <x:v>1912</x:v>
      </x:c>
      <x:c r="I611" s="2" t="s">
        <x:v>1992</x:v>
      </x:c>
      <x:c r="J611" s="2" t="s">
        <x:v>1913</x:v>
      </x:c>
      <x:c r="K611" s="2" t="n">
        <x:v>158</x:v>
      </x:c>
      <x:c r="L611" s="2" t="s">
        <x:v>1997</x:v>
      </x:c>
      <x:c r="M611" s="2"/>
      <x:c r="N611" s="2"/>
      <x:c r="O611" s="2" t="s">
        <x:v>1910</x:v>
      </x:c>
      <x:c r="P611" s="2" t="s">
        <x:v>1998</x:v>
      </x:c>
      <x:c r="Q611" s="2"/>
      <x:c r="R611" s="3">
        <x:v>4</x:v>
      </x:c>
      <x:c r="S611" s="3"/>
      <x:c r="T611" s="2"/>
      <x:c r="U611" s="2"/>
      <x:c r="V611" s="2"/>
      <x:c r="W611" s="2"/>
      <x:c r="X611" s="3"/>
      <x:c r="Y611" s="3"/>
      <x:c r="Z611" s="2"/>
      <x:c r="AA611" s="2"/>
      <x:c r="AB611" s="2"/>
      <x:c r="AC611" s="2" t="s">
        <x:v>326</x:v>
      </x:c>
      <x:c r="AD611" s="2" t="s">
        <x:v>318</x:v>
      </x:c>
      <x:c r="AE611" s="2" t="s">
        <x:v>368</x:v>
      </x:c>
      <x:c r="AF611" s="2" t="s">
        <x:v>319</x:v>
      </x:c>
      <x:c r="AG611" s="2"/>
      <x:c r="AH611" s="2"/>
      <x:c r="AI611" s="4"/>
      <x:c r="AJ611" s="2"/>
      <x:c r="AK611" s="2" t="s">
        <x:v>320</x:v>
      </x:c>
      <x:c r="AL611" s="2" t="s">
        <x:v>3061</x:v>
      </x:c>
      <x:c r="AM611" s="2">
        <x:v>161</x:v>
      </x:c>
      <x:c r="AN611" s="2">
        <x:v>161</x:v>
      </x:c>
    </x:row>
    <x:row r="612" ht="52">
      <x:c r="A612" s="2" t="s">
        <x:v>6</x:v>
      </x:c>
      <x:c r="B612" s="2" t="s">
        <x:v>16</x:v>
      </x:c>
      <x:c r="C612" s="3">
        <x:v>160</x:v>
      </x:c>
      <x:c r="D612" s="2" t="s">
        <x:v>1990</x:v>
      </x:c>
      <x:c r="E612" s="2" t="s">
        <x:v>1947</x:v>
      </x:c>
      <x:c r="F612" s="2" t="s">
        <x:v>1999</x:v>
      </x:c>
      <x:c r="G612" s="2"/>
      <x:c r="H612" s="2" t="s">
        <x:v>1077</x:v>
      </x:c>
      <x:c r="I612" s="2" t="s">
        <x:v>1992</x:v>
      </x:c>
      <x:c r="J612" s="2" t="s">
        <x:v>1904</x:v>
      </x:c>
      <x:c r="K612" s="2"/>
      <x:c r="L612" s="2" t="s">
        <x:v>1993</x:v>
      </x:c>
      <x:c r="M612" s="2"/>
      <x:c r="N612" s="2"/>
      <x:c r="O612" s="2" t="s">
        <x:v>1928</x:v>
      </x:c>
      <x:c r="P612" s="2" t="s">
        <x:v>2000</x:v>
      </x:c>
      <x:c r="Q612" s="2"/>
      <x:c r="R612" s="3">
        <x:v>4</x:v>
      </x:c>
      <x:c r="S612" s="3"/>
      <x:c r="T612" s="2"/>
      <x:c r="U612" s="2"/>
      <x:c r="V612" s="2"/>
      <x:c r="W612" s="2"/>
      <x:c r="X612" s="3"/>
      <x:c r="Y612" s="3"/>
      <x:c r="Z612" s="2"/>
      <x:c r="AA612" s="2"/>
      <x:c r="AB612" s="2"/>
      <x:c r="AC612" s="2" t="s">
        <x:v>316</x:v>
      </x:c>
      <x:c r="AD612" s="2" t="s">
        <x:v>368</x:v>
      </x:c>
      <x:c r="AE612" s="2" t="s">
        <x:v>318</x:v>
      </x:c>
      <x:c r="AF612" s="2" t="s">
        <x:v>319</x:v>
      </x:c>
      <x:c r="AG612" s="2"/>
      <x:c r="AH612" s="2"/>
      <x:c r="AI612" s="4"/>
      <x:c r="AJ612" s="2"/>
      <x:c r="AK612" s="2" t="s">
        <x:v>320</x:v>
      </x:c>
      <x:c r="AL612" s="2" t="s">
        <x:v>3061</x:v>
      </x:c>
      <x:c r="AM612" s="2">
        <x:v>162</x:v>
      </x:c>
      <x:c r="AN612" s="2">
        <x:v>162</x:v>
      </x:c>
    </x:row>
    <x:row r="613" ht="52">
      <x:c r="A613" s="2" t="s">
        <x:v>91</x:v>
      </x:c>
      <x:c r="B613" s="2" t="s">
        <x:v>16</x:v>
      </x:c>
      <x:c r="C613" s="3">
        <x:v>161</x:v>
      </x:c>
      <x:c r="D613" s="2" t="s">
        <x:v>1995</x:v>
      </x:c>
      <x:c r="E613" s="2" t="s">
        <x:v>1947</x:v>
      </x:c>
      <x:c r="F613" s="2" t="s">
        <x:v>2001</x:v>
      </x:c>
      <x:c r="G613" s="2" t="s">
        <x:v>3186</x:v>
      </x:c>
      <x:c r="H613" s="2" t="s">
        <x:v>1077</x:v>
      </x:c>
      <x:c r="I613" s="2" t="s">
        <x:v>1992</x:v>
      </x:c>
      <x:c r="J613" s="2" t="s">
        <x:v>1904</x:v>
      </x:c>
      <x:c r="K613" s="2" t="n">
        <x:v>160</x:v>
      </x:c>
      <x:c r="L613" s="2" t="s">
        <x:v>1997</x:v>
      </x:c>
      <x:c r="M613" s="2"/>
      <x:c r="N613" s="2"/>
      <x:c r="O613" s="2" t="s">
        <x:v>1910</x:v>
      </x:c>
      <x:c r="P613" s="2" t="s">
        <x:v>2002</x:v>
      </x:c>
      <x:c r="Q613" s="2"/>
      <x:c r="R613" s="3">
        <x:v>4</x:v>
      </x:c>
      <x:c r="S613" s="3"/>
      <x:c r="T613" s="2"/>
      <x:c r="U613" s="2"/>
      <x:c r="V613" s="2"/>
      <x:c r="W613" s="2"/>
      <x:c r="X613" s="3"/>
      <x:c r="Y613" s="3"/>
      <x:c r="Z613" s="2"/>
      <x:c r="AA613" s="2"/>
      <x:c r="AB613" s="2"/>
      <x:c r="AC613" s="2" t="s">
        <x:v>326</x:v>
      </x:c>
      <x:c r="AD613" s="2" t="s">
        <x:v>318</x:v>
      </x:c>
      <x:c r="AE613" s="2" t="s">
        <x:v>368</x:v>
      </x:c>
      <x:c r="AF613" s="2" t="s">
        <x:v>319</x:v>
      </x:c>
      <x:c r="AG613" s="2"/>
      <x:c r="AH613" s="2"/>
      <x:c r="AI613" s="4"/>
      <x:c r="AJ613" s="2"/>
      <x:c r="AK613" s="2" t="s">
        <x:v>320</x:v>
      </x:c>
      <x:c r="AL613" s="2" t="s">
        <x:v>3061</x:v>
      </x:c>
      <x:c r="AM613" s="2">
        <x:v>163</x:v>
      </x:c>
      <x:c r="AN613" s="2">
        <x:v>163</x:v>
      </x:c>
    </x:row>
    <x:row r="614" ht="52">
      <x:c r="A614" s="2" t="s">
        <x:v>6</x:v>
      </x:c>
      <x:c r="B614" s="2" t="s">
        <x:v>16</x:v>
      </x:c>
      <x:c r="C614" s="3">
        <x:v>162</x:v>
      </x:c>
      <x:c r="D614" s="2" t="s">
        <x:v>2003</x:v>
      </x:c>
      <x:c r="E614" s="2" t="s">
        <x:v>1957</x:v>
      </x:c>
      <x:c r="F614" s="2" t="s">
        <x:v>2004</x:v>
      </x:c>
      <x:c r="G614" s="2"/>
      <x:c r="H614" s="2" t="s">
        <x:v>1077</x:v>
      </x:c>
      <x:c r="I614" s="2" t="s">
        <x:v>2005</x:v>
      </x:c>
      <x:c r="J614" s="2" t="s">
        <x:v>1904</x:v>
      </x:c>
      <x:c r="K614" s="2"/>
      <x:c r="L614" s="2" t="s">
        <x:v>2006</x:v>
      </x:c>
      <x:c r="M614" s="2"/>
      <x:c r="N614" s="2"/>
      <x:c r="O614" s="2" t="s">
        <x:v>1906</x:v>
      </x:c>
      <x:c r="P614" s="2" t="s">
        <x:v>2007</x:v>
      </x:c>
      <x:c r="Q614" s="2"/>
      <x:c r="R614" s="3">
        <x:v>3</x:v>
      </x:c>
      <x:c r="S614" s="3"/>
      <x:c r="T614" s="2"/>
      <x:c r="U614" s="2"/>
      <x:c r="V614" s="2"/>
      <x:c r="W614" s="2"/>
      <x:c r="X614" s="3"/>
      <x:c r="Y614" s="3"/>
      <x:c r="Z614" s="2"/>
      <x:c r="AA614" s="2"/>
      <x:c r="AB614" s="2"/>
      <x:c r="AC614" s="2" t="s">
        <x:v>326</x:v>
      </x:c>
      <x:c r="AD614" s="2" t="s">
        <x:v>368</x:v>
      </x:c>
      <x:c r="AE614" s="2" t="s">
        <x:v>344</x:v>
      </x:c>
      <x:c r="AF614" s="2" t="s">
        <x:v>319</x:v>
      </x:c>
      <x:c r="AG614" s="2"/>
      <x:c r="AH614" s="2"/>
      <x:c r="AI614" s="4"/>
      <x:c r="AJ614" s="2"/>
      <x:c r="AK614" s="2" t="s">
        <x:v>320</x:v>
      </x:c>
      <x:c r="AL614" s="2" t="s">
        <x:v>3061</x:v>
      </x:c>
      <x:c r="AM614" s="2">
        <x:v>164</x:v>
      </x:c>
      <x:c r="AN614" s="2">
        <x:v>164</x:v>
      </x:c>
    </x:row>
    <x:row r="615" ht="52">
      <x:c r="A615" s="2" t="s">
        <x:v>6</x:v>
      </x:c>
      <x:c r="B615" s="2" t="s">
        <x:v>16</x:v>
      </x:c>
      <x:c r="C615" s="3">
        <x:v>163</x:v>
      </x:c>
      <x:c r="D615" s="2" t="s">
        <x:v>2008</x:v>
      </x:c>
      <x:c r="E615" s="2" t="s">
        <x:v>1957</x:v>
      </x:c>
      <x:c r="F615" s="2" t="s">
        <x:v>2009</x:v>
      </x:c>
      <x:c r="G615" s="2"/>
      <x:c r="H615" s="2" t="s">
        <x:v>1077</x:v>
      </x:c>
      <x:c r="I615" s="2" t="s">
        <x:v>2005</x:v>
      </x:c>
      <x:c r="J615" s="2" t="s">
        <x:v>1904</x:v>
      </x:c>
      <x:c r="K615" s="2" t="n">
        <x:v>162</x:v>
      </x:c>
      <x:c r="L615" s="2" t="s">
        <x:v>2010</x:v>
      </x:c>
      <x:c r="M615" s="2"/>
      <x:c r="N615" s="2"/>
      <x:c r="O615" s="2" t="s">
        <x:v>1910</x:v>
      </x:c>
      <x:c r="P615" s="2" t="s">
        <x:v>2011</x:v>
      </x:c>
      <x:c r="Q615" s="2"/>
      <x:c r="R615" s="3">
        <x:v>3</x:v>
      </x:c>
      <x:c r="S615" s="3"/>
      <x:c r="T615" s="2"/>
      <x:c r="U615" s="2"/>
      <x:c r="V615" s="2"/>
      <x:c r="W615" s="2"/>
      <x:c r="X615" s="3"/>
      <x:c r="Y615" s="3"/>
      <x:c r="Z615" s="2"/>
      <x:c r="AA615" s="2"/>
      <x:c r="AB615" s="2"/>
      <x:c r="AC615" s="2" t="s">
        <x:v>316</x:v>
      </x:c>
      <x:c r="AD615" s="2" t="s">
        <x:v>344</x:v>
      </x:c>
      <x:c r="AE615" s="2" t="s">
        <x:v>368</x:v>
      </x:c>
      <x:c r="AF615" s="2" t="s">
        <x:v>319</x:v>
      </x:c>
      <x:c r="AG615" s="2"/>
      <x:c r="AH615" s="2"/>
      <x:c r="AI615" s="4"/>
      <x:c r="AJ615" s="2"/>
      <x:c r="AK615" s="2" t="s">
        <x:v>320</x:v>
      </x:c>
      <x:c r="AL615" s="2" t="s">
        <x:v>3061</x:v>
      </x:c>
      <x:c r="AM615" s="2">
        <x:v>165</x:v>
      </x:c>
      <x:c r="AN615" s="2">
        <x:v>165</x:v>
      </x:c>
    </x:row>
    <x:row r="616" ht="39">
      <x:c r="A616" s="2" t="s">
        <x:v>91</x:v>
      </x:c>
      <x:c r="B616" s="2" t="s">
        <x:v>16</x:v>
      </x:c>
      <x:c r="C616" s="3">
        <x:v>164</x:v>
      </x:c>
      <x:c r="D616" s="2" t="s">
        <x:v>2003</x:v>
      </x:c>
      <x:c r="E616" s="2" t="s">
        <x:v>1957</x:v>
      </x:c>
      <x:c r="F616" s="2" t="s">
        <x:v>2012</x:v>
      </x:c>
      <x:c r="G616" s="2" t="s">
        <x:v>158</x:v>
      </x:c>
      <x:c r="H616" s="2" t="s">
        <x:v>1912</x:v>
      </x:c>
      <x:c r="I616" s="2" t="s">
        <x:v>2005</x:v>
      </x:c>
      <x:c r="J616" s="2" t="s">
        <x:v>1913</x:v>
      </x:c>
      <x:c r="K616" s="2"/>
      <x:c r="L616" s="2" t="s">
        <x:v>2006</x:v>
      </x:c>
      <x:c r="M616" s="2"/>
      <x:c r="N616" s="2"/>
      <x:c r="O616" s="2" t="s">
        <x:v>1914</x:v>
      </x:c>
      <x:c r="P616" s="2" t="s">
        <x:v>2013</x:v>
      </x:c>
      <x:c r="Q616" s="2"/>
      <x:c r="R616" s="3">
        <x:v>3</x:v>
      </x:c>
      <x:c r="S616" s="3"/>
      <x:c r="T616" s="2"/>
      <x:c r="U616" s="2"/>
      <x:c r="V616" s="2"/>
      <x:c r="W616" s="2"/>
      <x:c r="X616" s="3"/>
      <x:c r="Y616" s="3"/>
      <x:c r="Z616" s="2"/>
      <x:c r="AA616" s="2"/>
      <x:c r="AB616" s="2"/>
      <x:c r="AC616" s="2" t="s">
        <x:v>326</x:v>
      </x:c>
      <x:c r="AD616" s="2" t="s">
        <x:v>368</x:v>
      </x:c>
      <x:c r="AE616" s="2" t="s">
        <x:v>344</x:v>
      </x:c>
      <x:c r="AF616" s="2" t="s">
        <x:v>319</x:v>
      </x:c>
      <x:c r="AG616" s="2"/>
      <x:c r="AH616" s="2"/>
      <x:c r="AI616" s="4"/>
      <x:c r="AJ616" s="2"/>
      <x:c r="AK616" s="2" t="s">
        <x:v>320</x:v>
      </x:c>
      <x:c r="AL616" s="2" t="s">
        <x:v>3061</x:v>
      </x:c>
      <x:c r="AM616" s="2">
        <x:v>166</x:v>
      </x:c>
      <x:c r="AN616" s="2">
        <x:v>166</x:v>
      </x:c>
    </x:row>
    <x:row r="617" ht="26">
      <x:c r="A617" s="2" t="s">
        <x:v>91</x:v>
      </x:c>
      <x:c r="B617" s="2" t="s">
        <x:v>16</x:v>
      </x:c>
      <x:c r="C617" s="3">
        <x:v>165</x:v>
      </x:c>
      <x:c r="D617" s="2" t="s">
        <x:v>2008</x:v>
      </x:c>
      <x:c r="E617" s="2" t="s">
        <x:v>1957</x:v>
      </x:c>
      <x:c r="F617" s="2" t="s">
        <x:v>2014</x:v>
      </x:c>
      <x:c r="G617" s="2"/>
      <x:c r="H617" s="2" t="s">
        <x:v>1912</x:v>
      </x:c>
      <x:c r="I617" s="2" t="s">
        <x:v>2005</x:v>
      </x:c>
      <x:c r="J617" s="2" t="s">
        <x:v>1913</x:v>
      </x:c>
      <x:c r="K617" s="2" t="n">
        <x:v>164</x:v>
      </x:c>
      <x:c r="L617" s="2" t="s">
        <x:v>2010</x:v>
      </x:c>
      <x:c r="M617" s="2"/>
      <x:c r="N617" s="2"/>
      <x:c r="O617" s="2" t="s">
        <x:v>1910</x:v>
      </x:c>
      <x:c r="P617" s="2" t="s">
        <x:v>2015</x:v>
      </x:c>
      <x:c r="Q617" s="2"/>
      <x:c r="R617" s="3">
        <x:v>3</x:v>
      </x:c>
      <x:c r="S617" s="3"/>
      <x:c r="T617" s="2"/>
      <x:c r="U617" s="2"/>
      <x:c r="V617" s="2"/>
      <x:c r="W617" s="2"/>
      <x:c r="X617" s="3"/>
      <x:c r="Y617" s="3"/>
      <x:c r="Z617" s="2"/>
      <x:c r="AA617" s="2"/>
      <x:c r="AB617" s="2"/>
      <x:c r="AC617" s="2" t="s">
        <x:v>316</x:v>
      </x:c>
      <x:c r="AD617" s="2" t="s">
        <x:v>344</x:v>
      </x:c>
      <x:c r="AE617" s="2" t="s">
        <x:v>368</x:v>
      </x:c>
      <x:c r="AF617" s="2" t="s">
        <x:v>319</x:v>
      </x:c>
      <x:c r="AG617" s="2"/>
      <x:c r="AH617" s="2"/>
      <x:c r="AI617" s="4"/>
      <x:c r="AJ617" s="2"/>
      <x:c r="AK617" s="2" t="s">
        <x:v>320</x:v>
      </x:c>
      <x:c r="AL617" s="2" t="s">
        <x:v>3061</x:v>
      </x:c>
      <x:c r="AM617" s="2">
        <x:v>167</x:v>
      </x:c>
      <x:c r="AN617" s="2">
        <x:v>167</x:v>
      </x:c>
    </x:row>
    <x:row r="618" ht="39">
      <x:c r="A618" s="2" t="s">
        <x:v>91</x:v>
      </x:c>
      <x:c r="B618" s="2" t="s">
        <x:v>16</x:v>
      </x:c>
      <x:c r="C618" s="3">
        <x:v>166</x:v>
      </x:c>
      <x:c r="D618" s="2" t="s">
        <x:v>2016</x:v>
      </x:c>
      <x:c r="E618" s="2" t="s">
        <x:v>1555</x:v>
      </x:c>
      <x:c r="F618" s="2" t="s">
        <x:v>1586</x:v>
      </x:c>
      <x:c r="G618" s="2" t="s">
        <x:v>158</x:v>
      </x:c>
      <x:c r="H618" s="2" t="s">
        <x:v>1912</x:v>
      </x:c>
      <x:c r="I618" s="2" t="s">
        <x:v>2018</x:v>
      </x:c>
      <x:c r="J618" s="2" t="s">
        <x:v>1913</x:v>
      </x:c>
      <x:c r="K618" s="2"/>
      <x:c r="L618" s="2" t="s">
        <x:v>2019</x:v>
      </x:c>
      <x:c r="M618" s="2"/>
      <x:c r="N618" s="2"/>
      <x:c r="O618" s="2" t="s">
        <x:v>1921</x:v>
      </x:c>
      <x:c r="P618" s="2" t="s">
        <x:v>2020</x:v>
      </x:c>
      <x:c r="Q618" s="2"/>
      <x:c r="R618" s="3">
        <x:v>4</x:v>
      </x:c>
      <x:c r="S618" s="3"/>
      <x:c r="T618" s="2"/>
      <x:c r="U618" s="2"/>
      <x:c r="V618" s="2"/>
      <x:c r="W618" s="2"/>
      <x:c r="X618" s="3"/>
      <x:c r="Y618" s="3"/>
      <x:c r="Z618" s="2"/>
      <x:c r="AA618" s="2"/>
      <x:c r="AB618" s="2"/>
      <x:c r="AC618" s="2" t="s">
        <x:v>316</x:v>
      </x:c>
      <x:c r="AD618" s="2" t="s">
        <x:v>368</x:v>
      </x:c>
      <x:c r="AE618" s="2" t="s">
        <x:v>344</x:v>
      </x:c>
      <x:c r="AF618" s="2" t="s">
        <x:v>319</x:v>
      </x:c>
      <x:c r="AG618" s="2"/>
      <x:c r="AH618" s="2"/>
      <x:c r="AI618" s="4"/>
      <x:c r="AJ618" s="2"/>
      <x:c r="AK618" s="2" t="s">
        <x:v>320</x:v>
      </x:c>
      <x:c r="AL618" s="2" t="s">
        <x:v>3061</x:v>
      </x:c>
      <x:c r="AM618" s="2">
        <x:v>168</x:v>
      </x:c>
      <x:c r="AN618" s="2">
        <x:v>168</x:v>
      </x:c>
    </x:row>
    <x:row r="619" ht="26">
      <x:c r="A619" s="2" t="s">
        <x:v>91</x:v>
      </x:c>
      <x:c r="B619" s="2" t="s">
        <x:v>16</x:v>
      </x:c>
      <x:c r="C619" s="3">
        <x:v>167</x:v>
      </x:c>
      <x:c r="D619" s="2" t="s">
        <x:v>2021</x:v>
      </x:c>
      <x:c r="E619" s="2" t="s">
        <x:v>1555</x:v>
      </x:c>
      <x:c r="F619" s="2" t="s">
        <x:v>1590</x:v>
      </x:c>
      <x:c r="G619" s="2"/>
      <x:c r="H619" s="2" t="s">
        <x:v>1912</x:v>
      </x:c>
      <x:c r="I619" s="2" t="s">
        <x:v>2018</x:v>
      </x:c>
      <x:c r="J619" s="2" t="s">
        <x:v>1913</x:v>
      </x:c>
      <x:c r="K619" s="2" t="n">
        <x:v>166</x:v>
      </x:c>
      <x:c r="L619" s="2" t="s">
        <x:v>2022</x:v>
      </x:c>
      <x:c r="M619" s="2"/>
      <x:c r="N619" s="2"/>
      <x:c r="O619" s="2" t="s">
        <x:v>1910</x:v>
      </x:c>
      <x:c r="P619" s="2" t="s">
        <x:v>2023</x:v>
      </x:c>
      <x:c r="Q619" s="2"/>
      <x:c r="R619" s="3">
        <x:v>4</x:v>
      </x:c>
      <x:c r="S619" s="3"/>
      <x:c r="T619" s="2"/>
      <x:c r="U619" s="2"/>
      <x:c r="V619" s="2"/>
      <x:c r="W619" s="2"/>
      <x:c r="X619" s="3"/>
      <x:c r="Y619" s="3"/>
      <x:c r="Z619" s="2"/>
      <x:c r="AA619" s="2"/>
      <x:c r="AB619" s="2"/>
      <x:c r="AC619" s="2" t="s">
        <x:v>326</x:v>
      </x:c>
      <x:c r="AD619" s="2" t="s">
        <x:v>344</x:v>
      </x:c>
      <x:c r="AE619" s="2" t="s">
        <x:v>368</x:v>
      </x:c>
      <x:c r="AF619" s="2" t="s">
        <x:v>319</x:v>
      </x:c>
      <x:c r="AG619" s="2"/>
      <x:c r="AH619" s="2"/>
      <x:c r="AI619" s="4"/>
      <x:c r="AJ619" s="2"/>
      <x:c r="AK619" s="2" t="s">
        <x:v>320</x:v>
      </x:c>
      <x:c r="AL619" s="2" t="s">
        <x:v>3061</x:v>
      </x:c>
      <x:c r="AM619" s="2">
        <x:v>169</x:v>
      </x:c>
      <x:c r="AN619" s="2">
        <x:v>169</x:v>
      </x:c>
    </x:row>
    <x:row r="620" ht="52">
      <x:c r="A620" s="2" t="s">
        <x:v>6</x:v>
      </x:c>
      <x:c r="B620" s="2" t="s">
        <x:v>16</x:v>
      </x:c>
      <x:c r="C620" s="3">
        <x:v>168</x:v>
      </x:c>
      <x:c r="D620" s="2" t="s">
        <x:v>2016</x:v>
      </x:c>
      <x:c r="E620" s="2" t="s">
        <x:v>1555</x:v>
      </x:c>
      <x:c r="F620" s="2" t="s">
        <x:v>2024</x:v>
      </x:c>
      <x:c r="G620" s="2"/>
      <x:c r="H620" s="2" t="s">
        <x:v>1077</x:v>
      </x:c>
      <x:c r="I620" s="2" t="s">
        <x:v>2018</x:v>
      </x:c>
      <x:c r="J620" s="2" t="s">
        <x:v>1904</x:v>
      </x:c>
      <x:c r="K620" s="2"/>
      <x:c r="L620" s="2" t="s">
        <x:v>2019</x:v>
      </x:c>
      <x:c r="M620" s="2"/>
      <x:c r="N620" s="2"/>
      <x:c r="O620" s="2" t="s">
        <x:v>1928</x:v>
      </x:c>
      <x:c r="P620" s="2" t="s">
        <x:v>2025</x:v>
      </x:c>
      <x:c r="Q620" s="2"/>
      <x:c r="R620" s="3">
        <x:v>4</x:v>
      </x:c>
      <x:c r="S620" s="3"/>
      <x:c r="T620" s="2"/>
      <x:c r="U620" s="2"/>
      <x:c r="V620" s="2"/>
      <x:c r="W620" s="2"/>
      <x:c r="X620" s="3"/>
      <x:c r="Y620" s="3"/>
      <x:c r="Z620" s="2"/>
      <x:c r="AA620" s="2"/>
      <x:c r="AB620" s="2"/>
      <x:c r="AC620" s="2" t="s">
        <x:v>316</x:v>
      </x:c>
      <x:c r="AD620" s="2" t="s">
        <x:v>368</x:v>
      </x:c>
      <x:c r="AE620" s="2" t="s">
        <x:v>344</x:v>
      </x:c>
      <x:c r="AF620" s="2" t="s">
        <x:v>319</x:v>
      </x:c>
      <x:c r="AG620" s="2"/>
      <x:c r="AH620" s="2"/>
      <x:c r="AI620" s="4"/>
      <x:c r="AJ620" s="2"/>
      <x:c r="AK620" s="2" t="s">
        <x:v>320</x:v>
      </x:c>
      <x:c r="AL620" s="2" t="s">
        <x:v>3061</x:v>
      </x:c>
      <x:c r="AM620" s="2">
        <x:v>170</x:v>
      </x:c>
      <x:c r="AN620" s="2">
        <x:v>170</x:v>
      </x:c>
    </x:row>
    <x:row r="621" ht="52">
      <x:c r="A621" s="2" t="s">
        <x:v>6</x:v>
      </x:c>
      <x:c r="B621" s="2" t="s">
        <x:v>16</x:v>
      </x:c>
      <x:c r="C621" s="3">
        <x:v>169</x:v>
      </x:c>
      <x:c r="D621" s="2" t="s">
        <x:v>2021</x:v>
      </x:c>
      <x:c r="E621" s="2" t="s">
        <x:v>1555</x:v>
      </x:c>
      <x:c r="F621" s="2" t="s">
        <x:v>2026</x:v>
      </x:c>
      <x:c r="G621" s="2"/>
      <x:c r="H621" s="2" t="s">
        <x:v>1077</x:v>
      </x:c>
      <x:c r="I621" s="2" t="s">
        <x:v>2018</x:v>
      </x:c>
      <x:c r="J621" s="2" t="s">
        <x:v>1904</x:v>
      </x:c>
      <x:c r="K621" s="2" t="n">
        <x:v>168</x:v>
      </x:c>
      <x:c r="L621" s="2" t="s">
        <x:v>2022</x:v>
      </x:c>
      <x:c r="M621" s="2"/>
      <x:c r="N621" s="2"/>
      <x:c r="O621" s="2" t="s">
        <x:v>1910</x:v>
      </x:c>
      <x:c r="P621" s="2" t="s">
        <x:v>2027</x:v>
      </x:c>
      <x:c r="Q621" s="2"/>
      <x:c r="R621" s="3">
        <x:v>4</x:v>
      </x:c>
      <x:c r="S621" s="3"/>
      <x:c r="T621" s="2"/>
      <x:c r="U621" s="2"/>
      <x:c r="V621" s="2"/>
      <x:c r="W621" s="2"/>
      <x:c r="X621" s="3"/>
      <x:c r="Y621" s="3"/>
      <x:c r="Z621" s="2"/>
      <x:c r="AA621" s="2"/>
      <x:c r="AB621" s="2"/>
      <x:c r="AC621" s="2" t="s">
        <x:v>326</x:v>
      </x:c>
      <x:c r="AD621" s="2" t="s">
        <x:v>344</x:v>
      </x:c>
      <x:c r="AE621" s="2" t="s">
        <x:v>368</x:v>
      </x:c>
      <x:c r="AF621" s="2" t="s">
        <x:v>319</x:v>
      </x:c>
      <x:c r="AG621" s="2"/>
      <x:c r="AH621" s="2"/>
      <x:c r="AI621" s="4"/>
      <x:c r="AJ621" s="2"/>
      <x:c r="AK621" s="2" t="s">
        <x:v>320</x:v>
      </x:c>
      <x:c r="AL621" s="2" t="s">
        <x:v>3061</x:v>
      </x:c>
      <x:c r="AM621" s="2">
        <x:v>171</x:v>
      </x:c>
      <x:c r="AN621" s="2">
        <x:v>171</x:v>
      </x:c>
    </x:row>
    <x:row r="622" ht="52">
      <x:c r="A622" s="2" t="s">
        <x:v>6</x:v>
      </x:c>
      <x:c r="B622" s="2" t="s">
        <x:v>17</x:v>
      </x:c>
      <x:c r="C622" s="3">
        <x:v>0</x:v>
      </x:c>
      <x:c r="D622" s="2" t="s">
        <x:v>384</x:v>
      </x:c>
      <x:c r="E622" s="2" t="s">
        <x:v>385</x:v>
      </x:c>
      <x:c r="F622" s="2" t="s">
        <x:v>386</x:v>
      </x:c>
      <x:c r="G622" s="2"/>
      <x:c r="H622" s="2" t="s">
        <x:v>96</x:v>
      </x:c>
      <x:c r="I622" s="2" t="s">
        <x:v>388</x:v>
      </x:c>
      <x:c r="J622" s="2" t="s">
        <x:v>389</x:v>
      </x:c>
      <x:c r="K622" s="2"/>
      <x:c r="L622" s="2" t="s">
        <x:v>390</x:v>
      </x:c>
      <x:c r="M622" s="2" t="s">
        <x:v>391</x:v>
      </x:c>
      <x:c r="N622" s="2">
        <x:v>1</x:v>
      </x:c>
      <x:c r="O622" s="2" t="s">
        <x:v>392</x:v>
      </x:c>
      <x:c r="P622" s="2" t="s">
        <x:v>393</x:v>
      </x:c>
      <x:c r="Q622" s="2"/>
      <x:c r="R622" s="3">
        <x:v>4</x:v>
      </x:c>
      <x:c r="S622" s="3">
        <x:v>1</x:v>
      </x:c>
      <x:c r="T622" s="2" t="s">
        <x:v>103</x:v>
      </x:c>
      <x:c r="U622" s="2"/>
      <x:c r="V622" s="2"/>
      <x:c r="W622" s="2"/>
      <x:c r="X622" s="3"/>
      <x:c r="Y622" s="3"/>
      <x:c r="Z622" s="2"/>
      <x:c r="AA622" s="2"/>
      <x:c r="AB622" s="2" t="s">
        <x:v>394</x:v>
      </x:c>
      <x:c r="AC622" s="2"/>
      <x:c r="AD622" s="2"/>
      <x:c r="AE622" s="2"/>
      <x:c r="AF622" s="2"/>
      <x:c r="AG622" s="2" t="s">
        <x:v>395</x:v>
      </x:c>
      <x:c r="AH622" s="2"/>
      <x:c r="AI622" s="4"/>
      <x:c r="AJ622" s="2"/>
      <x:c r="AK622" s="2" t="s">
        <x:v>396</x:v>
      </x:c>
      <x:c r="AL622" s="2" t="s">
        <x:v>3061</x:v>
      </x:c>
      <x:c r="AM622" s="2">
        <x:v>2</x:v>
      </x:c>
      <x:c r="AN622" s="2">
        <x:v>2</x:v>
      </x:c>
    </x:row>
    <x:row r="623" ht="52">
      <x:c r="A623" s="2" t="s">
        <x:v>6</x:v>
      </x:c>
      <x:c r="B623" s="2" t="s">
        <x:v>17</x:v>
      </x:c>
      <x:c r="C623" s="3">
        <x:v>1</x:v>
      </x:c>
      <x:c r="D623" s="2" t="s">
        <x:v>397</x:v>
      </x:c>
      <x:c r="E623" s="2" t="s">
        <x:v>398</x:v>
      </x:c>
      <x:c r="F623" s="2" t="s">
        <x:v>386</x:v>
      </x:c>
      <x:c r="G623" s="2"/>
      <x:c r="H623" s="2" t="s">
        <x:v>96</x:v>
      </x:c>
      <x:c r="I623" s="2" t="s">
        <x:v>400</x:v>
      </x:c>
      <x:c r="J623" s="2" t="s">
        <x:v>389</x:v>
      </x:c>
      <x:c r="K623" s="2"/>
      <x:c r="L623" s="2" t="s">
        <x:v>401</x:v>
      </x:c>
      <x:c r="M623" s="2" t="s">
        <x:v>391</x:v>
      </x:c>
      <x:c r="N623" s="2">
        <x:v>1</x:v>
      </x:c>
      <x:c r="O623" s="2" t="s">
        <x:v>402</x:v>
      </x:c>
      <x:c r="P623" s="2" t="s">
        <x:v>393</x:v>
      </x:c>
      <x:c r="Q623" s="2"/>
      <x:c r="R623" s="3">
        <x:v>5</x:v>
      </x:c>
      <x:c r="S623" s="3">
        <x:v>1</x:v>
      </x:c>
      <x:c r="T623" s="2" t="s">
        <x:v>103</x:v>
      </x:c>
      <x:c r="U623" s="2"/>
      <x:c r="V623" s="2"/>
      <x:c r="W623" s="2"/>
      <x:c r="X623" s="3"/>
      <x:c r="Y623" s="3"/>
      <x:c r="Z623" s="2"/>
      <x:c r="AA623" s="2"/>
      <x:c r="AB623" s="2" t="s">
        <x:v>394</x:v>
      </x:c>
      <x:c r="AC623" s="2"/>
      <x:c r="AD623" s="2"/>
      <x:c r="AE623" s="2"/>
      <x:c r="AF623" s="2"/>
      <x:c r="AG623" s="2" t="s">
        <x:v>395</x:v>
      </x:c>
      <x:c r="AH623" s="2"/>
      <x:c r="AI623" s="4"/>
      <x:c r="AJ623" s="2"/>
      <x:c r="AK623" s="2" t="s">
        <x:v>396</x:v>
      </x:c>
      <x:c r="AL623" s="2" t="s">
        <x:v>3061</x:v>
      </x:c>
      <x:c r="AM623" s="2">
        <x:v>3</x:v>
      </x:c>
      <x:c r="AN623" s="2">
        <x:v>3</x:v>
      </x:c>
    </x:row>
    <x:row r="624" ht="52">
      <x:c r="A624" s="2" t="s">
        <x:v>6</x:v>
      </x:c>
      <x:c r="B624" s="2" t="s">
        <x:v>17</x:v>
      </x:c>
      <x:c r="C624" s="3">
        <x:v>2</x:v>
      </x:c>
      <x:c r="D624" s="2" t="s">
        <x:v>403</x:v>
      </x:c>
      <x:c r="E624" s="2" t="s">
        <x:v>404</x:v>
      </x:c>
      <x:c r="F624" s="2" t="s">
        <x:v>386</x:v>
      </x:c>
      <x:c r="G624" s="2"/>
      <x:c r="H624" s="2" t="s">
        <x:v>96</x:v>
      </x:c>
      <x:c r="I624" s="2" t="s">
        <x:v>406</x:v>
      </x:c>
      <x:c r="J624" s="2" t="s">
        <x:v>389</x:v>
      </x:c>
      <x:c r="K624" s="2"/>
      <x:c r="L624" s="2" t="s">
        <x:v>407</x:v>
      </x:c>
      <x:c r="M624" s="2" t="s">
        <x:v>391</x:v>
      </x:c>
      <x:c r="N624" s="2">
        <x:v>1</x:v>
      </x:c>
      <x:c r="O624" s="2" t="s">
        <x:v>392</x:v>
      </x:c>
      <x:c r="P624" s="2" t="s">
        <x:v>393</x:v>
      </x:c>
      <x:c r="Q624" s="2"/>
      <x:c r="R624" s="3">
        <x:v>4</x:v>
      </x:c>
      <x:c r="S624" s="3">
        <x:v>1</x:v>
      </x:c>
      <x:c r="T624" s="2" t="s">
        <x:v>103</x:v>
      </x:c>
      <x:c r="U624" s="2"/>
      <x:c r="V624" s="2"/>
      <x:c r="W624" s="2"/>
      <x:c r="X624" s="3"/>
      <x:c r="Y624" s="3"/>
      <x:c r="Z624" s="2"/>
      <x:c r="AA624" s="2"/>
      <x:c r="AB624" s="2" t="s">
        <x:v>394</x:v>
      </x:c>
      <x:c r="AC624" s="2"/>
      <x:c r="AD624" s="2"/>
      <x:c r="AE624" s="2"/>
      <x:c r="AF624" s="2"/>
      <x:c r="AG624" s="2" t="s">
        <x:v>395</x:v>
      </x:c>
      <x:c r="AH624" s="2"/>
      <x:c r="AI624" s="4"/>
      <x:c r="AJ624" s="2"/>
      <x:c r="AK624" s="2" t="s">
        <x:v>396</x:v>
      </x:c>
      <x:c r="AL624" s="2" t="s">
        <x:v>3061</x:v>
      </x:c>
      <x:c r="AM624" s="2">
        <x:v>4</x:v>
      </x:c>
      <x:c r="AN624" s="2">
        <x:v>4</x:v>
      </x:c>
    </x:row>
    <x:row r="625" ht="52">
      <x:c r="A625" s="2" t="s">
        <x:v>6</x:v>
      </x:c>
      <x:c r="B625" s="2" t="s">
        <x:v>17</x:v>
      </x:c>
      <x:c r="C625" s="3">
        <x:v>3</x:v>
      </x:c>
      <x:c r="D625" s="2" t="s">
        <x:v>408</x:v>
      </x:c>
      <x:c r="E625" s="2" t="s">
        <x:v>409</x:v>
      </x:c>
      <x:c r="F625" s="2" t="s">
        <x:v>410</x:v>
      </x:c>
      <x:c r="G625" s="2"/>
      <x:c r="H625" s="2" t="s">
        <x:v>96</x:v>
      </x:c>
      <x:c r="I625" s="2" t="s">
        <x:v>412</x:v>
      </x:c>
      <x:c r="J625" s="2" t="s">
        <x:v>389</x:v>
      </x:c>
      <x:c r="K625" s="2"/>
      <x:c r="L625" s="2" t="s">
        <x:v>413</x:v>
      </x:c>
      <x:c r="M625" s="2" t="s">
        <x:v>391</x:v>
      </x:c>
      <x:c r="N625" s="2">
        <x:v>1</x:v>
      </x:c>
      <x:c r="O625" s="2" t="s">
        <x:v>414</x:v>
      </x:c>
      <x:c r="P625" s="2" t="s">
        <x:v>393</x:v>
      </x:c>
      <x:c r="Q625" s="2"/>
      <x:c r="R625" s="3">
        <x:v>3</x:v>
      </x:c>
      <x:c r="S625" s="3">
        <x:v>1</x:v>
      </x:c>
      <x:c r="T625" s="2" t="s">
        <x:v>103</x:v>
      </x:c>
      <x:c r="U625" s="2"/>
      <x:c r="V625" s="2"/>
      <x:c r="W625" s="2"/>
      <x:c r="X625" s="3"/>
      <x:c r="Y625" s="3"/>
      <x:c r="Z625" s="2"/>
      <x:c r="AA625" s="2"/>
      <x:c r="AB625" s="2" t="s">
        <x:v>415</x:v>
      </x:c>
      <x:c r="AC625" s="2"/>
      <x:c r="AD625" s="2"/>
      <x:c r="AE625" s="2"/>
      <x:c r="AF625" s="2"/>
      <x:c r="AG625" s="2" t="s">
        <x:v>395</x:v>
      </x:c>
      <x:c r="AH625" s="2"/>
      <x:c r="AI625" s="4"/>
      <x:c r="AJ625" s="2"/>
      <x:c r="AK625" s="2" t="s">
        <x:v>396</x:v>
      </x:c>
      <x:c r="AL625" s="2" t="s">
        <x:v>3061</x:v>
      </x:c>
      <x:c r="AM625" s="2">
        <x:v>5</x:v>
      </x:c>
      <x:c r="AN625" s="2">
        <x:v>5</x:v>
      </x:c>
    </x:row>
    <x:row r="626" ht="52">
      <x:c r="A626" s="2" t="s">
        <x:v>91</x:v>
      </x:c>
      <x:c r="B626" s="2" t="s">
        <x:v>17</x:v>
      </x:c>
      <x:c r="C626" s="3">
        <x:v>4</x:v>
      </x:c>
      <x:c r="D626" s="2" t="s">
        <x:v>416</x:v>
      </x:c>
      <x:c r="E626" s="2" t="s">
        <x:v>417</x:v>
      </x:c>
      <x:c r="F626" s="2" t="s">
        <x:v>386</x:v>
      </x:c>
      <x:c r="G626" s="2" t="s">
        <x:v>2028</x:v>
      </x:c>
      <x:c r="H626" s="2" t="s">
        <x:v>96</x:v>
      </x:c>
      <x:c r="I626" s="2" t="s">
        <x:v>419</x:v>
      </x:c>
      <x:c r="J626" s="2" t="s">
        <x:v>389</x:v>
      </x:c>
      <x:c r="K626" s="2"/>
      <x:c r="L626" s="2" t="s">
        <x:v>420</x:v>
      </x:c>
      <x:c r="M626" s="2" t="s">
        <x:v>391</x:v>
      </x:c>
      <x:c r="N626" s="2">
        <x:v>1</x:v>
      </x:c>
      <x:c r="O626" s="2" t="s">
        <x:v>392</x:v>
      </x:c>
      <x:c r="P626" s="2" t="s">
        <x:v>393</x:v>
      </x:c>
      <x:c r="Q626" s="2"/>
      <x:c r="R626" s="3">
        <x:v>4</x:v>
      </x:c>
      <x:c r="S626" s="3">
        <x:v>1</x:v>
      </x:c>
      <x:c r="T626" s="2" t="s">
        <x:v>103</x:v>
      </x:c>
      <x:c r="U626" s="2"/>
      <x:c r="V626" s="2"/>
      <x:c r="W626" s="2"/>
      <x:c r="X626" s="3"/>
      <x:c r="Y626" s="3"/>
      <x:c r="Z626" s="2"/>
      <x:c r="AA626" s="2"/>
      <x:c r="AB626" s="2" t="s">
        <x:v>415</x:v>
      </x:c>
      <x:c r="AC626" s="2"/>
      <x:c r="AD626" s="2"/>
      <x:c r="AE626" s="2"/>
      <x:c r="AF626" s="2"/>
      <x:c r="AG626" s="2" t="s">
        <x:v>395</x:v>
      </x:c>
      <x:c r="AH626" s="2"/>
      <x:c r="AI626" s="4"/>
      <x:c r="AJ626" s="2"/>
      <x:c r="AK626" s="2" t="s">
        <x:v>396</x:v>
      </x:c>
      <x:c r="AL626" s="2" t="s">
        <x:v>3061</x:v>
      </x:c>
      <x:c r="AM626" s="2">
        <x:v>6</x:v>
      </x:c>
      <x:c r="AN626" s="2">
        <x:v>6</x:v>
      </x:c>
    </x:row>
    <x:row r="627" ht="52">
      <x:c r="A627" s="2" t="s">
        <x:v>6</x:v>
      </x:c>
      <x:c r="B627" s="2" t="s">
        <x:v>17</x:v>
      </x:c>
      <x:c r="C627" s="3">
        <x:v>5</x:v>
      </x:c>
      <x:c r="D627" s="2" t="s">
        <x:v>421</x:v>
      </x:c>
      <x:c r="E627" s="2" t="s">
        <x:v>422</x:v>
      </x:c>
      <x:c r="F627" s="2" t="s">
        <x:v>423</x:v>
      </x:c>
      <x:c r="G627" s="2"/>
      <x:c r="H627" s="2" t="s">
        <x:v>96</x:v>
      </x:c>
      <x:c r="I627" s="2" t="s">
        <x:v>425</x:v>
      </x:c>
      <x:c r="J627" s="2" t="s">
        <x:v>389</x:v>
      </x:c>
      <x:c r="K627" s="2"/>
      <x:c r="L627" s="2" t="s">
        <x:v>426</x:v>
      </x:c>
      <x:c r="M627" s="2" t="s">
        <x:v>391</x:v>
      </x:c>
      <x:c r="N627" s="2">
        <x:v>1</x:v>
      </x:c>
      <x:c r="O627" s="2" t="s">
        <x:v>414</x:v>
      </x:c>
      <x:c r="P627" s="2" t="s">
        <x:v>393</x:v>
      </x:c>
      <x:c r="Q627" s="2"/>
      <x:c r="R627" s="3">
        <x:v>3</x:v>
      </x:c>
      <x:c r="S627" s="3">
        <x:v>1</x:v>
      </x:c>
      <x:c r="T627" s="2" t="s">
        <x:v>103</x:v>
      </x:c>
      <x:c r="U627" s="2"/>
      <x:c r="V627" s="2"/>
      <x:c r="W627" s="2"/>
      <x:c r="X627" s="3"/>
      <x:c r="Y627" s="3"/>
      <x:c r="Z627" s="2"/>
      <x:c r="AA627" s="2"/>
      <x:c r="AB627" s="2" t="s">
        <x:v>427</x:v>
      </x:c>
      <x:c r="AC627" s="2"/>
      <x:c r="AD627" s="2"/>
      <x:c r="AE627" s="2"/>
      <x:c r="AF627" s="2"/>
      <x:c r="AG627" s="2" t="s">
        <x:v>428</x:v>
      </x:c>
      <x:c r="AH627" s="2"/>
      <x:c r="AI627" s="4"/>
      <x:c r="AJ627" s="2"/>
      <x:c r="AK627" s="2" t="s">
        <x:v>396</x:v>
      </x:c>
      <x:c r="AL627" s="2" t="s">
        <x:v>3061</x:v>
      </x:c>
      <x:c r="AM627" s="2">
        <x:v>7</x:v>
      </x:c>
      <x:c r="AN627" s="2">
        <x:v>7</x:v>
      </x:c>
    </x:row>
    <x:row r="628" ht="52">
      <x:c r="A628" s="2" t="s">
        <x:v>6</x:v>
      </x:c>
      <x:c r="B628" s="2" t="s">
        <x:v>17</x:v>
      </x:c>
      <x:c r="C628" s="3">
        <x:v>6</x:v>
      </x:c>
      <x:c r="D628" s="2" t="s">
        <x:v>429</x:v>
      </x:c>
      <x:c r="E628" s="2" t="s">
        <x:v>430</x:v>
      </x:c>
      <x:c r="F628" s="2" t="s">
        <x:v>431</x:v>
      </x:c>
      <x:c r="G628" s="2"/>
      <x:c r="H628" s="2" t="s">
        <x:v>96</x:v>
      </x:c>
      <x:c r="I628" s="2" t="s">
        <x:v>433</x:v>
      </x:c>
      <x:c r="J628" s="2" t="s">
        <x:v>389</x:v>
      </x:c>
      <x:c r="K628" s="2"/>
      <x:c r="L628" s="2" t="s">
        <x:v>434</x:v>
      </x:c>
      <x:c r="M628" s="2" t="s">
        <x:v>391</x:v>
      </x:c>
      <x:c r="N628" s="2">
        <x:v>1</x:v>
      </x:c>
      <x:c r="O628" s="2" t="s">
        <x:v>392</x:v>
      </x:c>
      <x:c r="P628" s="2" t="s">
        <x:v>393</x:v>
      </x:c>
      <x:c r="Q628" s="2"/>
      <x:c r="R628" s="3">
        <x:v>4</x:v>
      </x:c>
      <x:c r="S628" s="3">
        <x:v>1</x:v>
      </x:c>
      <x:c r="T628" s="2" t="s">
        <x:v>103</x:v>
      </x:c>
      <x:c r="U628" s="2"/>
      <x:c r="V628" s="2"/>
      <x:c r="W628" s="2"/>
      <x:c r="X628" s="3"/>
      <x:c r="Y628" s="3"/>
      <x:c r="Z628" s="2"/>
      <x:c r="AA628" s="2"/>
      <x:c r="AB628" s="2" t="s">
        <x:v>427</x:v>
      </x:c>
      <x:c r="AC628" s="2"/>
      <x:c r="AD628" s="2"/>
      <x:c r="AE628" s="2"/>
      <x:c r="AF628" s="2"/>
      <x:c r="AG628" s="2" t="s">
        <x:v>428</x:v>
      </x:c>
      <x:c r="AH628" s="2"/>
      <x:c r="AI628" s="4"/>
      <x:c r="AJ628" s="2"/>
      <x:c r="AK628" s="2" t="s">
        <x:v>396</x:v>
      </x:c>
      <x:c r="AL628" s="2" t="s">
        <x:v>3061</x:v>
      </x:c>
      <x:c r="AM628" s="2">
        <x:v>8</x:v>
      </x:c>
      <x:c r="AN628" s="2">
        <x:v>8</x:v>
      </x:c>
    </x:row>
    <x:row r="629" ht="52">
      <x:c r="A629" s="2" t="s">
        <x:v>6</x:v>
      </x:c>
      <x:c r="B629" s="2" t="s">
        <x:v>17</x:v>
      </x:c>
      <x:c r="C629" s="3">
        <x:v>7</x:v>
      </x:c>
      <x:c r="D629" s="2" t="s">
        <x:v>435</x:v>
      </x:c>
      <x:c r="E629" s="2" t="s">
        <x:v>436</x:v>
      </x:c>
      <x:c r="F629" s="2" t="s">
        <x:v>423</x:v>
      </x:c>
      <x:c r="G629" s="2"/>
      <x:c r="H629" s="2" t="s">
        <x:v>96</x:v>
      </x:c>
      <x:c r="I629" s="2" t="s">
        <x:v>438</x:v>
      </x:c>
      <x:c r="J629" s="2" t="s">
        <x:v>389</x:v>
      </x:c>
      <x:c r="K629" s="2"/>
      <x:c r="L629" s="2" t="s">
        <x:v>439</x:v>
      </x:c>
      <x:c r="M629" s="2" t="s">
        <x:v>391</x:v>
      </x:c>
      <x:c r="N629" s="2">
        <x:v>1</x:v>
      </x:c>
      <x:c r="O629" s="2" t="s">
        <x:v>414</x:v>
      </x:c>
      <x:c r="P629" s="2" t="s">
        <x:v>393</x:v>
      </x:c>
      <x:c r="Q629" s="2"/>
      <x:c r="R629" s="3">
        <x:v>3</x:v>
      </x:c>
      <x:c r="S629" s="3">
        <x:v>1</x:v>
      </x:c>
      <x:c r="T629" s="2" t="s">
        <x:v>103</x:v>
      </x:c>
      <x:c r="U629" s="2"/>
      <x:c r="V629" s="2"/>
      <x:c r="W629" s="2"/>
      <x:c r="X629" s="3"/>
      <x:c r="Y629" s="3"/>
      <x:c r="Z629" s="2"/>
      <x:c r="AA629" s="2"/>
      <x:c r="AB629" s="2" t="s">
        <x:v>427</x:v>
      </x:c>
      <x:c r="AC629" s="2"/>
      <x:c r="AD629" s="2"/>
      <x:c r="AE629" s="2"/>
      <x:c r="AF629" s="2"/>
      <x:c r="AG629" s="2" t="s">
        <x:v>428</x:v>
      </x:c>
      <x:c r="AH629" s="2"/>
      <x:c r="AI629" s="4"/>
      <x:c r="AJ629" s="2"/>
      <x:c r="AK629" s="2" t="s">
        <x:v>396</x:v>
      </x:c>
      <x:c r="AL629" s="2" t="s">
        <x:v>3061</x:v>
      </x:c>
      <x:c r="AM629" s="2">
        <x:v>9</x:v>
      </x:c>
      <x:c r="AN629" s="2">
        <x:v>9</x:v>
      </x:c>
    </x:row>
    <x:row r="630" ht="52">
      <x:c r="A630" s="2" t="s">
        <x:v>6</x:v>
      </x:c>
      <x:c r="B630" s="2" t="s">
        <x:v>17</x:v>
      </x:c>
      <x:c r="C630" s="3">
        <x:v>8</x:v>
      </x:c>
      <x:c r="D630" s="2" t="s">
        <x:v>440</x:v>
      </x:c>
      <x:c r="E630" s="2" t="s">
        <x:v>441</x:v>
      </x:c>
      <x:c r="F630" s="2" t="s">
        <x:v>423</x:v>
      </x:c>
      <x:c r="G630" s="2"/>
      <x:c r="H630" s="2" t="s">
        <x:v>96</x:v>
      </x:c>
      <x:c r="I630" s="2" t="s">
        <x:v>443</x:v>
      </x:c>
      <x:c r="J630" s="2" t="s">
        <x:v>389</x:v>
      </x:c>
      <x:c r="K630" s="2"/>
      <x:c r="L630" s="2" t="s">
        <x:v>444</x:v>
      </x:c>
      <x:c r="M630" s="2" t="s">
        <x:v>391</x:v>
      </x:c>
      <x:c r="N630" s="2">
        <x:v>1</x:v>
      </x:c>
      <x:c r="O630" s="2" t="s">
        <x:v>392</x:v>
      </x:c>
      <x:c r="P630" s="2" t="s">
        <x:v>393</x:v>
      </x:c>
      <x:c r="Q630" s="2"/>
      <x:c r="R630" s="3">
        <x:v>4</x:v>
      </x:c>
      <x:c r="S630" s="3">
        <x:v>1</x:v>
      </x:c>
      <x:c r="T630" s="2" t="s">
        <x:v>103</x:v>
      </x:c>
      <x:c r="U630" s="2"/>
      <x:c r="V630" s="2"/>
      <x:c r="W630" s="2"/>
      <x:c r="X630" s="3"/>
      <x:c r="Y630" s="3"/>
      <x:c r="Z630" s="2"/>
      <x:c r="AA630" s="2"/>
      <x:c r="AB630" s="2" t="s">
        <x:v>415</x:v>
      </x:c>
      <x:c r="AC630" s="2"/>
      <x:c r="AD630" s="2"/>
      <x:c r="AE630" s="2"/>
      <x:c r="AF630" s="2"/>
      <x:c r="AG630" s="2" t="s">
        <x:v>428</x:v>
      </x:c>
      <x:c r="AH630" s="2"/>
      <x:c r="AI630" s="4"/>
      <x:c r="AJ630" s="2"/>
      <x:c r="AK630" s="2" t="s">
        <x:v>396</x:v>
      </x:c>
      <x:c r="AL630" s="2" t="s">
        <x:v>3061</x:v>
      </x:c>
      <x:c r="AM630" s="2">
        <x:v>10</x:v>
      </x:c>
      <x:c r="AN630" s="2">
        <x:v>10</x:v>
      </x:c>
    </x:row>
    <x:row r="631" ht="52">
      <x:c r="A631" s="2" t="s">
        <x:v>91</x:v>
      </x:c>
      <x:c r="B631" s="2" t="s">
        <x:v>17</x:v>
      </x:c>
      <x:c r="C631" s="3">
        <x:v>9</x:v>
      </x:c>
      <x:c r="D631" s="2" t="s">
        <x:v>445</x:v>
      </x:c>
      <x:c r="E631" s="2" t="s">
        <x:v>436</x:v>
      </x:c>
      <x:c r="F631" s="2" t="s">
        <x:v>431</x:v>
      </x:c>
      <x:c r="G631" s="2" t="s">
        <x:v>3187</x:v>
      </x:c>
      <x:c r="H631" s="2" t="s">
        <x:v>96</x:v>
      </x:c>
      <x:c r="I631" s="2" t="s">
        <x:v>447</x:v>
      </x:c>
      <x:c r="J631" s="2" t="s">
        <x:v>389</x:v>
      </x:c>
      <x:c r="K631" s="2"/>
      <x:c r="L631" s="2" t="s">
        <x:v>448</x:v>
      </x:c>
      <x:c r="M631" s="2" t="s">
        <x:v>391</x:v>
      </x:c>
      <x:c r="N631" s="2">
        <x:v>1</x:v>
      </x:c>
      <x:c r="O631" s="2" t="s">
        <x:v>414</x:v>
      </x:c>
      <x:c r="P631" s="2" t="s">
        <x:v>393</x:v>
      </x:c>
      <x:c r="Q631" s="2"/>
      <x:c r="R631" s="3">
        <x:v>3</x:v>
      </x:c>
      <x:c r="S631" s="3">
        <x:v>1</x:v>
      </x:c>
      <x:c r="T631" s="2" t="s">
        <x:v>103</x:v>
      </x:c>
      <x:c r="U631" s="2"/>
      <x:c r="V631" s="2"/>
      <x:c r="W631" s="2"/>
      <x:c r="X631" s="3"/>
      <x:c r="Y631" s="3"/>
      <x:c r="Z631" s="2"/>
      <x:c r="AA631" s="2"/>
      <x:c r="AB631" s="2" t="s">
        <x:v>415</x:v>
      </x:c>
      <x:c r="AC631" s="2"/>
      <x:c r="AD631" s="2"/>
      <x:c r="AE631" s="2"/>
      <x:c r="AF631" s="2"/>
      <x:c r="AG631" s="2" t="s">
        <x:v>428</x:v>
      </x:c>
      <x:c r="AH631" s="2"/>
      <x:c r="AI631" s="4"/>
      <x:c r="AJ631" s="2"/>
      <x:c r="AK631" s="2" t="s">
        <x:v>396</x:v>
      </x:c>
      <x:c r="AL631" s="2" t="s">
        <x:v>3061</x:v>
      </x:c>
      <x:c r="AM631" s="2">
        <x:v>11</x:v>
      </x:c>
      <x:c r="AN631" s="2">
        <x:v>11</x:v>
      </x:c>
    </x:row>
    <x:row r="632" ht="52">
      <x:c r="A632" s="2" t="s">
        <x:v>6</x:v>
      </x:c>
      <x:c r="B632" s="2" t="s">
        <x:v>17</x:v>
      </x:c>
      <x:c r="C632" s="3">
        <x:v>10</x:v>
      </x:c>
      <x:c r="D632" s="2" t="s">
        <x:v>2032</x:v>
      </x:c>
      <x:c r="E632" s="2" t="s">
        <x:v>2033</x:v>
      </x:c>
      <x:c r="F632" s="2" t="s">
        <x:v>237</x:v>
      </x:c>
      <x:c r="G632" s="2"/>
      <x:c r="H632" s="2" t="s">
        <x:v>96</x:v>
      </x:c>
      <x:c r="I632" s="2" t="s">
        <x:v>2034</x:v>
      </x:c>
      <x:c r="J632" s="2" t="s">
        <x:v>389</x:v>
      </x:c>
      <x:c r="K632" s="2"/>
      <x:c r="L632" s="2" t="s">
        <x:v>2035</x:v>
      </x:c>
      <x:c r="M632" s="2" t="s">
        <x:v>391</x:v>
      </x:c>
      <x:c r="N632" s="2">
        <x:v>1</x:v>
      </x:c>
      <x:c r="O632" s="2" t="s">
        <x:v>392</x:v>
      </x:c>
      <x:c r="P632" s="2" t="s">
        <x:v>393</x:v>
      </x:c>
      <x:c r="Q632" s="2"/>
      <x:c r="R632" s="3">
        <x:v>4</x:v>
      </x:c>
      <x:c r="S632" s="3">
        <x:v>1</x:v>
      </x:c>
      <x:c r="T632" s="2" t="s">
        <x:v>103</x:v>
      </x:c>
      <x:c r="U632" s="2"/>
      <x:c r="V632" s="2"/>
      <x:c r="W632" s="2"/>
      <x:c r="X632" s="3"/>
      <x:c r="Y632" s="3"/>
      <x:c r="Z632" s="2"/>
      <x:c r="AA632" s="2"/>
      <x:c r="AB632" s="2" t="s">
        <x:v>427</x:v>
      </x:c>
      <x:c r="AC632" s="2"/>
      <x:c r="AD632" s="2"/>
      <x:c r="AE632" s="2"/>
      <x:c r="AF632" s="2"/>
      <x:c r="AG632" s="2" t="s">
        <x:v>2036</x:v>
      </x:c>
      <x:c r="AH632" s="2"/>
      <x:c r="AI632" s="4"/>
      <x:c r="AJ632" s="2"/>
      <x:c r="AK632" s="2" t="s">
        <x:v>396</x:v>
      </x:c>
      <x:c r="AL632" s="2" t="s">
        <x:v>3061</x:v>
      </x:c>
      <x:c r="AM632" s="2">
        <x:v>12</x:v>
      </x:c>
      <x:c r="AN632" s="2">
        <x:v>12</x:v>
      </x:c>
    </x:row>
    <x:row r="633" ht="52">
      <x:c r="A633" s="2" t="s">
        <x:v>6</x:v>
      </x:c>
      <x:c r="B633" s="2" t="s">
        <x:v>17</x:v>
      </x:c>
      <x:c r="C633" s="3">
        <x:v>11</x:v>
      </x:c>
      <x:c r="D633" s="2" t="s">
        <x:v>2037</x:v>
      </x:c>
      <x:c r="E633" s="2" t="s">
        <x:v>2038</x:v>
      </x:c>
      <x:c r="F633" s="2" t="s">
        <x:v>237</x:v>
      </x:c>
      <x:c r="G633" s="2"/>
      <x:c r="H633" s="2" t="s">
        <x:v>96</x:v>
      </x:c>
      <x:c r="I633" s="2" t="s">
        <x:v>2039</x:v>
      </x:c>
      <x:c r="J633" s="2" t="s">
        <x:v>389</x:v>
      </x:c>
      <x:c r="K633" s="2"/>
      <x:c r="L633" s="2" t="s">
        <x:v>2040</x:v>
      </x:c>
      <x:c r="M633" s="2" t="s">
        <x:v>391</x:v>
      </x:c>
      <x:c r="N633" s="2">
        <x:v>1</x:v>
      </x:c>
      <x:c r="O633" s="2" t="s">
        <x:v>414</x:v>
      </x:c>
      <x:c r="P633" s="2" t="s">
        <x:v>393</x:v>
      </x:c>
      <x:c r="Q633" s="2"/>
      <x:c r="R633" s="3">
        <x:v>3</x:v>
      </x:c>
      <x:c r="S633" s="3">
        <x:v>1</x:v>
      </x:c>
      <x:c r="T633" s="2" t="s">
        <x:v>103</x:v>
      </x:c>
      <x:c r="U633" s="2"/>
      <x:c r="V633" s="2"/>
      <x:c r="W633" s="2"/>
      <x:c r="X633" s="3"/>
      <x:c r="Y633" s="3"/>
      <x:c r="Z633" s="2"/>
      <x:c r="AA633" s="2"/>
      <x:c r="AB633" s="2" t="s">
        <x:v>427</x:v>
      </x:c>
      <x:c r="AC633" s="2"/>
      <x:c r="AD633" s="2"/>
      <x:c r="AE633" s="2"/>
      <x:c r="AF633" s="2"/>
      <x:c r="AG633" s="2" t="s">
        <x:v>2036</x:v>
      </x:c>
      <x:c r="AH633" s="2"/>
      <x:c r="AI633" s="4"/>
      <x:c r="AJ633" s="2"/>
      <x:c r="AK633" s="2" t="s">
        <x:v>396</x:v>
      </x:c>
      <x:c r="AL633" s="2" t="s">
        <x:v>3061</x:v>
      </x:c>
      <x:c r="AM633" s="2">
        <x:v>13</x:v>
      </x:c>
      <x:c r="AN633" s="2">
        <x:v>13</x:v>
      </x:c>
    </x:row>
    <x:row r="634" ht="52">
      <x:c r="A634" s="2" t="s">
        <x:v>91</x:v>
      </x:c>
      <x:c r="B634" s="2" t="s">
        <x:v>17</x:v>
      </x:c>
      <x:c r="C634" s="3">
        <x:v>12</x:v>
      </x:c>
      <x:c r="D634" s="2" t="s">
        <x:v>2041</x:v>
      </x:c>
      <x:c r="E634" s="2" t="s">
        <x:v>2042</x:v>
      </x:c>
      <x:c r="F634" s="2" t="s">
        <x:v>237</x:v>
      </x:c>
      <x:c r="G634" s="2" t="s">
        <x:v>3188</x:v>
      </x:c>
      <x:c r="H634" s="2" t="s">
        <x:v>96</x:v>
      </x:c>
      <x:c r="I634" s="2" t="s">
        <x:v>2043</x:v>
      </x:c>
      <x:c r="J634" s="2" t="s">
        <x:v>389</x:v>
      </x:c>
      <x:c r="K634" s="2"/>
      <x:c r="L634" s="2" t="s">
        <x:v>2044</x:v>
      </x:c>
      <x:c r="M634" s="2" t="s">
        <x:v>391</x:v>
      </x:c>
      <x:c r="N634" s="2">
        <x:v>1</x:v>
      </x:c>
      <x:c r="O634" s="2" t="s">
        <x:v>402</x:v>
      </x:c>
      <x:c r="P634" s="2" t="s">
        <x:v>393</x:v>
      </x:c>
      <x:c r="Q634" s="2"/>
      <x:c r="R634" s="3">
        <x:v>5</x:v>
      </x:c>
      <x:c r="S634" s="3">
        <x:v>1</x:v>
      </x:c>
      <x:c r="T634" s="2" t="s">
        <x:v>103</x:v>
      </x:c>
      <x:c r="U634" s="2"/>
      <x:c r="V634" s="2"/>
      <x:c r="W634" s="2"/>
      <x:c r="X634" s="3"/>
      <x:c r="Y634" s="3"/>
      <x:c r="Z634" s="2"/>
      <x:c r="AA634" s="2"/>
      <x:c r="AB634" s="2" t="s">
        <x:v>394</x:v>
      </x:c>
      <x:c r="AC634" s="2"/>
      <x:c r="AD634" s="2"/>
      <x:c r="AE634" s="2"/>
      <x:c r="AF634" s="2"/>
      <x:c r="AG634" s="2" t="s">
        <x:v>2036</x:v>
      </x:c>
      <x:c r="AH634" s="2"/>
      <x:c r="AI634" s="4"/>
      <x:c r="AJ634" s="2"/>
      <x:c r="AK634" s="2" t="s">
        <x:v>396</x:v>
      </x:c>
      <x:c r="AL634" s="2" t="s">
        <x:v>3061</x:v>
      </x:c>
      <x:c r="AM634" s="2">
        <x:v>14</x:v>
      </x:c>
      <x:c r="AN634" s="2">
        <x:v>14</x:v>
      </x:c>
    </x:row>
    <x:row r="635" ht="52">
      <x:c r="A635" s="2" t="s">
        <x:v>6</x:v>
      </x:c>
      <x:c r="B635" s="2" t="s">
        <x:v>17</x:v>
      </x:c>
      <x:c r="C635" s="3">
        <x:v>13</x:v>
      </x:c>
      <x:c r="D635" s="2" t="s">
        <x:v>2045</x:v>
      </x:c>
      <x:c r="E635" s="2" t="s">
        <x:v>2046</x:v>
      </x:c>
      <x:c r="F635" s="2" t="s">
        <x:v>2047</x:v>
      </x:c>
      <x:c r="G635" s="2" t="s">
        <x:v>3189</x:v>
      </x:c>
      <x:c r="H635" s="2" t="s">
        <x:v>96</x:v>
      </x:c>
      <x:c r="I635" s="2" t="s">
        <x:v>2048</x:v>
      </x:c>
      <x:c r="J635" s="2" t="s">
        <x:v>389</x:v>
      </x:c>
      <x:c r="K635" s="2"/>
      <x:c r="L635" s="2" t="s">
        <x:v>2049</x:v>
      </x:c>
      <x:c r="M635" s="2" t="s">
        <x:v>391</x:v>
      </x:c>
      <x:c r="N635" s="2">
        <x:v>1</x:v>
      </x:c>
      <x:c r="O635" s="2" t="s">
        <x:v>392</x:v>
      </x:c>
      <x:c r="P635" s="2" t="s">
        <x:v>393</x:v>
      </x:c>
      <x:c r="Q635" s="2"/>
      <x:c r="R635" s="3">
        <x:v>4</x:v>
      </x:c>
      <x:c r="S635" s="3">
        <x:v>1</x:v>
      </x:c>
      <x:c r="T635" s="2" t="s">
        <x:v>103</x:v>
      </x:c>
      <x:c r="U635" s="2"/>
      <x:c r="V635" s="2"/>
      <x:c r="W635" s="2"/>
      <x:c r="X635" s="3"/>
      <x:c r="Y635" s="3"/>
      <x:c r="Z635" s="2"/>
      <x:c r="AA635" s="2"/>
      <x:c r="AB635" s="2" t="s">
        <x:v>394</x:v>
      </x:c>
      <x:c r="AC635" s="2"/>
      <x:c r="AD635" s="2"/>
      <x:c r="AE635" s="2"/>
      <x:c r="AF635" s="2"/>
      <x:c r="AG635" s="2" t="s">
        <x:v>2036</x:v>
      </x:c>
      <x:c r="AH635" s="2"/>
      <x:c r="AI635" s="4"/>
      <x:c r="AJ635" s="2"/>
      <x:c r="AK635" s="2" t="s">
        <x:v>396</x:v>
      </x:c>
      <x:c r="AL635" s="2" t="s">
        <x:v>3061</x:v>
      </x:c>
      <x:c r="AM635" s="2">
        <x:v>15</x:v>
      </x:c>
      <x:c r="AN635" s="2">
        <x:v>15</x:v>
      </x:c>
    </x:row>
    <x:row r="636" ht="52">
      <x:c r="A636" s="2" t="s">
        <x:v>6</x:v>
      </x:c>
      <x:c r="B636" s="2" t="s">
        <x:v>17</x:v>
      </x:c>
      <x:c r="C636" s="3">
        <x:v>14</x:v>
      </x:c>
      <x:c r="D636" s="2" t="s">
        <x:v>2050</x:v>
      </x:c>
      <x:c r="E636" s="2" t="s">
        <x:v>2051</x:v>
      </x:c>
      <x:c r="F636" s="2" t="s">
        <x:v>237</x:v>
      </x:c>
      <x:c r="G636" s="2"/>
      <x:c r="H636" s="2" t="s">
        <x:v>96</x:v>
      </x:c>
      <x:c r="I636" s="2" t="s">
        <x:v>2053</x:v>
      </x:c>
      <x:c r="J636" s="2" t="s">
        <x:v>389</x:v>
      </x:c>
      <x:c r="K636" s="2"/>
      <x:c r="L636" s="2" t="s">
        <x:v>2054</x:v>
      </x:c>
      <x:c r="M636" s="2" t="s">
        <x:v>391</x:v>
      </x:c>
      <x:c r="N636" s="2">
        <x:v>1</x:v>
      </x:c>
      <x:c r="O636" s="2" t="s">
        <x:v>402</x:v>
      </x:c>
      <x:c r="P636" s="2" t="s">
        <x:v>393</x:v>
      </x:c>
      <x:c r="Q636" s="2"/>
      <x:c r="R636" s="3">
        <x:v>5</x:v>
      </x:c>
      <x:c r="S636" s="3">
        <x:v>1</x:v>
      </x:c>
      <x:c r="T636" s="2" t="s">
        <x:v>103</x:v>
      </x:c>
      <x:c r="U636" s="2"/>
      <x:c r="V636" s="2"/>
      <x:c r="W636" s="2"/>
      <x:c r="X636" s="3"/>
      <x:c r="Y636" s="3"/>
      <x:c r="Z636" s="2"/>
      <x:c r="AA636" s="2"/>
      <x:c r="AB636" s="2" t="s">
        <x:v>394</x:v>
      </x:c>
      <x:c r="AC636" s="2"/>
      <x:c r="AD636" s="2"/>
      <x:c r="AE636" s="2"/>
      <x:c r="AF636" s="2"/>
      <x:c r="AG636" s="2" t="s">
        <x:v>2036</x:v>
      </x:c>
      <x:c r="AH636" s="2"/>
      <x:c r="AI636" s="4"/>
      <x:c r="AJ636" s="2"/>
      <x:c r="AK636" s="2" t="s">
        <x:v>396</x:v>
      </x:c>
      <x:c r="AL636" s="2" t="s">
        <x:v>3061</x:v>
      </x:c>
      <x:c r="AM636" s="2">
        <x:v>16</x:v>
      </x:c>
      <x:c r="AN636" s="2">
        <x:v>16</x:v>
      </x:c>
    </x:row>
    <x:row r="637" ht="52">
      <x:c r="A637" s="2" t="s">
        <x:v>6</x:v>
      </x:c>
      <x:c r="B637" s="2" t="s">
        <x:v>17</x:v>
      </x:c>
      <x:c r="C637" s="3">
        <x:v>15</x:v>
      </x:c>
      <x:c r="D637" s="2" t="s">
        <x:v>2055</x:v>
      </x:c>
      <x:c r="E637" s="2" t="s">
        <x:v>2056</x:v>
      </x:c>
      <x:c r="F637" s="2" t="s">
        <x:v>317</x:v>
      </x:c>
      <x:c r="G637" s="2"/>
      <x:c r="H637" s="2" t="s">
        <x:v>96</x:v>
      </x:c>
      <x:c r="I637" s="2" t="s">
        <x:v>2058</x:v>
      </x:c>
      <x:c r="J637" s="2" t="s">
        <x:v>389</x:v>
      </x:c>
      <x:c r="K637" s="2"/>
      <x:c r="L637" s="2" t="s">
        <x:v>2059</x:v>
      </x:c>
      <x:c r="M637" s="2" t="s">
        <x:v>391</x:v>
      </x:c>
      <x:c r="N637" s="2">
        <x:v>1</x:v>
      </x:c>
      <x:c r="O637" s="2" t="s">
        <x:v>392</x:v>
      </x:c>
      <x:c r="P637" s="2" t="s">
        <x:v>393</x:v>
      </x:c>
      <x:c r="Q637" s="2"/>
      <x:c r="R637" s="3">
        <x:v>4</x:v>
      </x:c>
      <x:c r="S637" s="3">
        <x:v>1</x:v>
      </x:c>
      <x:c r="T637" s="2" t="s">
        <x:v>103</x:v>
      </x:c>
      <x:c r="U637" s="2"/>
      <x:c r="V637" s="2"/>
      <x:c r="W637" s="2"/>
      <x:c r="X637" s="3"/>
      <x:c r="Y637" s="3"/>
      <x:c r="Z637" s="2"/>
      <x:c r="AA637" s="2"/>
      <x:c r="AB637" s="2" t="s">
        <x:v>427</x:v>
      </x:c>
      <x:c r="AC637" s="2"/>
      <x:c r="AD637" s="2"/>
      <x:c r="AE637" s="2"/>
      <x:c r="AF637" s="2"/>
      <x:c r="AG637" s="2" t="s">
        <x:v>2060</x:v>
      </x:c>
      <x:c r="AH637" s="2"/>
      <x:c r="AI637" s="4"/>
      <x:c r="AJ637" s="2"/>
      <x:c r="AK637" s="2" t="s">
        <x:v>396</x:v>
      </x:c>
      <x:c r="AL637" s="2" t="s">
        <x:v>3061</x:v>
      </x:c>
      <x:c r="AM637" s="2">
        <x:v>17</x:v>
      </x:c>
      <x:c r="AN637" s="2">
        <x:v>17</x:v>
      </x:c>
    </x:row>
    <x:row r="638" ht="52">
      <x:c r="A638" s="2" t="s">
        <x:v>6</x:v>
      </x:c>
      <x:c r="B638" s="2" t="s">
        <x:v>17</x:v>
      </x:c>
      <x:c r="C638" s="3">
        <x:v>16</x:v>
      </x:c>
      <x:c r="D638" s="2" t="s">
        <x:v>2061</x:v>
      </x:c>
      <x:c r="E638" s="2" t="s">
        <x:v>2062</x:v>
      </x:c>
      <x:c r="F638" s="2" t="s">
        <x:v>254</x:v>
      </x:c>
      <x:c r="G638" s="2"/>
      <x:c r="H638" s="2" t="s">
        <x:v>96</x:v>
      </x:c>
      <x:c r="I638" s="2" t="s">
        <x:v>2063</x:v>
      </x:c>
      <x:c r="J638" s="2" t="s">
        <x:v>389</x:v>
      </x:c>
      <x:c r="K638" s="2"/>
      <x:c r="L638" s="2" t="s">
        <x:v>2064</x:v>
      </x:c>
      <x:c r="M638" s="2" t="s">
        <x:v>391</x:v>
      </x:c>
      <x:c r="N638" s="2">
        <x:v>1</x:v>
      </x:c>
      <x:c r="O638" s="2" t="s">
        <x:v>392</x:v>
      </x:c>
      <x:c r="P638" s="2" t="s">
        <x:v>393</x:v>
      </x:c>
      <x:c r="Q638" s="2"/>
      <x:c r="R638" s="3">
        <x:v>4</x:v>
      </x:c>
      <x:c r="S638" s="3">
        <x:v>1</x:v>
      </x:c>
      <x:c r="T638" s="2" t="s">
        <x:v>103</x:v>
      </x:c>
      <x:c r="U638" s="2"/>
      <x:c r="V638" s="2"/>
      <x:c r="W638" s="2"/>
      <x:c r="X638" s="3"/>
      <x:c r="Y638" s="3"/>
      <x:c r="Z638" s="2"/>
      <x:c r="AA638" s="2"/>
      <x:c r="AB638" s="2" t="s">
        <x:v>427</x:v>
      </x:c>
      <x:c r="AC638" s="2"/>
      <x:c r="AD638" s="2"/>
      <x:c r="AE638" s="2"/>
      <x:c r="AF638" s="2"/>
      <x:c r="AG638" s="2" t="s">
        <x:v>2060</x:v>
      </x:c>
      <x:c r="AH638" s="2"/>
      <x:c r="AI638" s="4"/>
      <x:c r="AJ638" s="2"/>
      <x:c r="AK638" s="2" t="s">
        <x:v>396</x:v>
      </x:c>
      <x:c r="AL638" s="2" t="s">
        <x:v>3061</x:v>
      </x:c>
      <x:c r="AM638" s="2">
        <x:v>18</x:v>
      </x:c>
      <x:c r="AN638" s="2">
        <x:v>18</x:v>
      </x:c>
    </x:row>
    <x:row r="639" ht="52">
      <x:c r="A639" s="2" t="s">
        <x:v>6</x:v>
      </x:c>
      <x:c r="B639" s="2" t="s">
        <x:v>17</x:v>
      </x:c>
      <x:c r="C639" s="3">
        <x:v>17</x:v>
      </x:c>
      <x:c r="D639" s="2" t="s">
        <x:v>2065</x:v>
      </x:c>
      <x:c r="E639" s="2" t="s">
        <x:v>2066</x:v>
      </x:c>
      <x:c r="F639" s="2" t="s">
        <x:v>254</x:v>
      </x:c>
      <x:c r="G639" s="2"/>
      <x:c r="H639" s="2" t="s">
        <x:v>96</x:v>
      </x:c>
      <x:c r="I639" s="2" t="s">
        <x:v>2067</x:v>
      </x:c>
      <x:c r="J639" s="2" t="s">
        <x:v>389</x:v>
      </x:c>
      <x:c r="K639" s="2"/>
      <x:c r="L639" s="2" t="s">
        <x:v>2068</x:v>
      </x:c>
      <x:c r="M639" s="2" t="s">
        <x:v>391</x:v>
      </x:c>
      <x:c r="N639" s="2">
        <x:v>1</x:v>
      </x:c>
      <x:c r="O639" s="2" t="s">
        <x:v>414</x:v>
      </x:c>
      <x:c r="P639" s="2" t="s">
        <x:v>393</x:v>
      </x:c>
      <x:c r="Q639" s="2"/>
      <x:c r="R639" s="3">
        <x:v>3</x:v>
      </x:c>
      <x:c r="S639" s="3">
        <x:v>1</x:v>
      </x:c>
      <x:c r="T639" s="2" t="s">
        <x:v>103</x:v>
      </x:c>
      <x:c r="U639" s="2"/>
      <x:c r="V639" s="2"/>
      <x:c r="W639" s="2"/>
      <x:c r="X639" s="3"/>
      <x:c r="Y639" s="3"/>
      <x:c r="Z639" s="2"/>
      <x:c r="AA639" s="2"/>
      <x:c r="AB639" s="2" t="s">
        <x:v>415</x:v>
      </x:c>
      <x:c r="AC639" s="2"/>
      <x:c r="AD639" s="2"/>
      <x:c r="AE639" s="2"/>
      <x:c r="AF639" s="2"/>
      <x:c r="AG639" s="2" t="s">
        <x:v>2060</x:v>
      </x:c>
      <x:c r="AH639" s="2"/>
      <x:c r="AI639" s="4"/>
      <x:c r="AJ639" s="2"/>
      <x:c r="AK639" s="2" t="s">
        <x:v>396</x:v>
      </x:c>
      <x:c r="AL639" s="2" t="s">
        <x:v>3061</x:v>
      </x:c>
      <x:c r="AM639" s="2">
        <x:v>19</x:v>
      </x:c>
      <x:c r="AN639" s="2">
        <x:v>19</x:v>
      </x:c>
    </x:row>
    <x:row r="640" ht="52">
      <x:c r="A640" s="2" t="s">
        <x:v>91</x:v>
      </x:c>
      <x:c r="B640" s="2" t="s">
        <x:v>17</x:v>
      </x:c>
      <x:c r="C640" s="3">
        <x:v>18</x:v>
      </x:c>
      <x:c r="D640" s="2" t="s">
        <x:v>2069</x:v>
      </x:c>
      <x:c r="E640" s="2" t="s">
        <x:v>2070</x:v>
      </x:c>
      <x:c r="F640" s="2" t="s">
        <x:v>317</x:v>
      </x:c>
      <x:c r="G640" s="2" t="s">
        <x:v>3190</x:v>
      </x:c>
      <x:c r="H640" s="2" t="s">
        <x:v>96</x:v>
      </x:c>
      <x:c r="I640" s="2" t="s">
        <x:v>2071</x:v>
      </x:c>
      <x:c r="J640" s="2" t="s">
        <x:v>389</x:v>
      </x:c>
      <x:c r="K640" s="2"/>
      <x:c r="L640" s="2" t="s">
        <x:v>2072</x:v>
      </x:c>
      <x:c r="M640" s="2" t="s">
        <x:v>391</x:v>
      </x:c>
      <x:c r="N640" s="2">
        <x:v>1</x:v>
      </x:c>
      <x:c r="O640" s="2" t="s">
        <x:v>392</x:v>
      </x:c>
      <x:c r="P640" s="2" t="s">
        <x:v>393</x:v>
      </x:c>
      <x:c r="Q640" s="2"/>
      <x:c r="R640" s="3">
        <x:v>4</x:v>
      </x:c>
      <x:c r="S640" s="3">
        <x:v>1</x:v>
      </x:c>
      <x:c r="T640" s="2" t="s">
        <x:v>103</x:v>
      </x:c>
      <x:c r="U640" s="2"/>
      <x:c r="V640" s="2"/>
      <x:c r="W640" s="2"/>
      <x:c r="X640" s="3"/>
      <x:c r="Y640" s="3"/>
      <x:c r="Z640" s="2"/>
      <x:c r="AA640" s="2"/>
      <x:c r="AB640" s="2" t="s">
        <x:v>415</x:v>
      </x:c>
      <x:c r="AC640" s="2"/>
      <x:c r="AD640" s="2"/>
      <x:c r="AE640" s="2"/>
      <x:c r="AF640" s="2"/>
      <x:c r="AG640" s="2" t="s">
        <x:v>2060</x:v>
      </x:c>
      <x:c r="AH640" s="2"/>
      <x:c r="AI640" s="4"/>
      <x:c r="AJ640" s="2"/>
      <x:c r="AK640" s="2" t="s">
        <x:v>396</x:v>
      </x:c>
      <x:c r="AL640" s="2" t="s">
        <x:v>3061</x:v>
      </x:c>
      <x:c r="AM640" s="2">
        <x:v>20</x:v>
      </x:c>
      <x:c r="AN640" s="2">
        <x:v>20</x:v>
      </x:c>
    </x:row>
    <x:row r="641" ht="52">
      <x:c r="A641" s="2" t="s">
        <x:v>6</x:v>
      </x:c>
      <x:c r="B641" s="2" t="s">
        <x:v>17</x:v>
      </x:c>
      <x:c r="C641" s="3">
        <x:v>19</x:v>
      </x:c>
      <x:c r="D641" s="2" t="s">
        <x:v>2073</x:v>
      </x:c>
      <x:c r="E641" s="2" t="s">
        <x:v>2074</x:v>
      </x:c>
      <x:c r="F641" s="2" t="s">
        <x:v>254</x:v>
      </x:c>
      <x:c r="G641" s="2"/>
      <x:c r="H641" s="2" t="s">
        <x:v>96</x:v>
      </x:c>
      <x:c r="I641" s="2" t="s">
        <x:v>2075</x:v>
      </x:c>
      <x:c r="J641" s="2" t="s">
        <x:v>389</x:v>
      </x:c>
      <x:c r="K641" s="2"/>
      <x:c r="L641" s="2" t="s">
        <x:v>2076</x:v>
      </x:c>
      <x:c r="M641" s="2" t="s">
        <x:v>391</x:v>
      </x:c>
      <x:c r="N641" s="2">
        <x:v>1</x:v>
      </x:c>
      <x:c r="O641" s="2" t="s">
        <x:v>414</x:v>
      </x:c>
      <x:c r="P641" s="2" t="s">
        <x:v>393</x:v>
      </x:c>
      <x:c r="Q641" s="2"/>
      <x:c r="R641" s="3">
        <x:v>3</x:v>
      </x:c>
      <x:c r="S641" s="3">
        <x:v>1</x:v>
      </x:c>
      <x:c r="T641" s="2" t="s">
        <x:v>103</x:v>
      </x:c>
      <x:c r="U641" s="2"/>
      <x:c r="V641" s="2"/>
      <x:c r="W641" s="2"/>
      <x:c r="X641" s="3"/>
      <x:c r="Y641" s="3"/>
      <x:c r="Z641" s="2"/>
      <x:c r="AA641" s="2"/>
      <x:c r="AB641" s="2" t="s">
        <x:v>415</x:v>
      </x:c>
      <x:c r="AC641" s="2"/>
      <x:c r="AD641" s="2"/>
      <x:c r="AE641" s="2"/>
      <x:c r="AF641" s="2"/>
      <x:c r="AG641" s="2" t="s">
        <x:v>2060</x:v>
      </x:c>
      <x:c r="AH641" s="2"/>
      <x:c r="AI641" s="4"/>
      <x:c r="AJ641" s="2"/>
      <x:c r="AK641" s="2" t="s">
        <x:v>396</x:v>
      </x:c>
      <x:c r="AL641" s="2" t="s">
        <x:v>3061</x:v>
      </x:c>
      <x:c r="AM641" s="2">
        <x:v>21</x:v>
      </x:c>
      <x:c r="AN641" s="2">
        <x:v>21</x:v>
      </x:c>
    </x:row>
    <x:row r="642" ht="52">
      <x:c r="A642" s="2" t="s">
        <x:v>91</x:v>
      </x:c>
      <x:c r="B642" s="2" t="s">
        <x:v>17</x:v>
      </x:c>
      <x:c r="C642" s="3">
        <x:v>20</x:v>
      </x:c>
      <x:c r="D642" s="2" t="s">
        <x:v>2077</x:v>
      </x:c>
      <x:c r="E642" s="2" t="s">
        <x:v>2038</x:v>
      </x:c>
      <x:c r="F642" s="2" t="s">
        <x:v>237</x:v>
      </x:c>
      <x:c r="G642" s="2" t="s">
        <x:v>2143</x:v>
      </x:c>
      <x:c r="H642" s="2" t="s">
        <x:v>618</x:v>
      </x:c>
      <x:c r="I642" s="2" t="s">
        <x:v>2079</x:v>
      </x:c>
      <x:c r="J642" s="2" t="s">
        <x:v>2080</x:v>
      </x:c>
      <x:c r="K642" s="2"/>
      <x:c r="L642" s="2" t="s">
        <x:v>2081</x:v>
      </x:c>
      <x:c r="M642" s="2" t="s">
        <x:v>2082</x:v>
      </x:c>
      <x:c r="N642" s="2">
        <x:v>2</x:v>
      </x:c>
      <x:c r="O642" s="2" t="s">
        <x:v>2083</x:v>
      </x:c>
      <x:c r="P642" s="2" t="s">
        <x:v>2084</x:v>
      </x:c>
      <x:c r="Q642" s="2"/>
      <x:c r="R642" s="3">
        <x:v>3</x:v>
      </x:c>
      <x:c r="S642" s="3">
        <x:v>1</x:v>
      </x:c>
      <x:c r="T642" s="2" t="s">
        <x:v>103</x:v>
      </x:c>
      <x:c r="U642" s="2"/>
      <x:c r="V642" s="2"/>
      <x:c r="W642" s="2"/>
      <x:c r="X642" s="3"/>
      <x:c r="Y642" s="3"/>
      <x:c r="Z642" s="2"/>
      <x:c r="AA642" s="2"/>
      <x:c r="AB642" s="2" t="s">
        <x:v>415</x:v>
      </x:c>
      <x:c r="AC642" s="2"/>
      <x:c r="AD642" s="2"/>
      <x:c r="AE642" s="2"/>
      <x:c r="AF642" s="2"/>
      <x:c r="AG642" s="2" t="s">
        <x:v>2036</x:v>
      </x:c>
      <x:c r="AH642" s="2"/>
      <x:c r="AI642" s="4"/>
      <x:c r="AJ642" s="2"/>
      <x:c r="AK642" s="2" t="s">
        <x:v>396</x:v>
      </x:c>
      <x:c r="AL642" s="2" t="s">
        <x:v>3061</x:v>
      </x:c>
      <x:c r="AM642" s="2">
        <x:v>22</x:v>
      </x:c>
      <x:c r="AN642" s="2">
        <x:v>22</x:v>
      </x:c>
    </x:row>
    <x:row r="643" ht="39">
      <x:c r="A643" s="2" t="s">
        <x:v>91</x:v>
      </x:c>
      <x:c r="B643" s="2" t="s">
        <x:v>17</x:v>
      </x:c>
      <x:c r="C643" s="3">
        <x:v>21</x:v>
      </x:c>
      <x:c r="D643" s="2" t="s">
        <x:v>1376</x:v>
      </x:c>
      <x:c r="E643" s="2" t="s">
        <x:v>2038</x:v>
      </x:c>
      <x:c r="F643" s="2" t="s">
        <x:v>237</x:v>
      </x:c>
      <x:c r="G643" s="2" t="s">
        <x:v>3191</x:v>
      </x:c>
      <x:c r="H643" s="2" t="s">
        <x:v>627</x:v>
      </x:c>
      <x:c r="I643" s="2" t="s">
        <x:v>2079</x:v>
      </x:c>
      <x:c r="J643" s="2" t="s">
        <x:v>2086</x:v>
      </x:c>
      <x:c r="K643" s="2" t="n">
        <x:v>20</x:v>
      </x:c>
      <x:c r="L643" s="2" t="s">
        <x:v>2081</x:v>
      </x:c>
      <x:c r="M643" s="2" t="s">
        <x:v>2087</x:v>
      </x:c>
      <x:c r="N643" s="2">
        <x:v>2</x:v>
      </x:c>
      <x:c r="O643" s="2" t="s">
        <x:v>2088</x:v>
      </x:c>
      <x:c r="P643" s="2" t="s">
        <x:v>2089</x:v>
      </x:c>
      <x:c r="Q643" s="2"/>
      <x:c r="R643" s="3">
        <x:v>3</x:v>
      </x:c>
      <x:c r="S643" s="3">
        <x:v>1</x:v>
      </x:c>
      <x:c r="T643" s="2" t="s">
        <x:v>103</x:v>
      </x:c>
      <x:c r="U643" s="2"/>
      <x:c r="V643" s="2"/>
      <x:c r="W643" s="2"/>
      <x:c r="X643" s="3"/>
      <x:c r="Y643" s="3"/>
      <x:c r="Z643" s="2"/>
      <x:c r="AA643" s="2"/>
      <x:c r="AB643" s="2" t="s">
        <x:v>2090</x:v>
      </x:c>
      <x:c r="AC643" s="2"/>
      <x:c r="AD643" s="2"/>
      <x:c r="AE643" s="2"/>
      <x:c r="AF643" s="2"/>
      <x:c r="AG643" s="2" t="s">
        <x:v>2036</x:v>
      </x:c>
      <x:c r="AH643" s="2"/>
      <x:c r="AI643" s="4"/>
      <x:c r="AJ643" s="2"/>
      <x:c r="AK643" s="2" t="s">
        <x:v>396</x:v>
      </x:c>
      <x:c r="AL643" s="2" t="s">
        <x:v>3061</x:v>
      </x:c>
      <x:c r="AM643" s="2">
        <x:v>23</x:v>
      </x:c>
      <x:c r="AN643" s="2">
        <x:v>23</x:v>
      </x:c>
    </x:row>
    <x:row r="644" ht="39">
      <x:c r="A644" s="2" t="s">
        <x:v>91</x:v>
      </x:c>
      <x:c r="B644" s="2" t="s">
        <x:v>17</x:v>
      </x:c>
      <x:c r="C644" s="3">
        <x:v>22</x:v>
      </x:c>
      <x:c r="D644" s="2" t="s">
        <x:v>2091</x:v>
      </x:c>
      <x:c r="E644" s="2" t="s">
        <x:v>2038</x:v>
      </x:c>
      <x:c r="F644" s="2" t="s">
        <x:v>237</x:v>
      </x:c>
      <x:c r="G644" s="2" t="s">
        <x:v>3192</x:v>
      </x:c>
      <x:c r="H644" s="2" t="s">
        <x:v>634</x:v>
      </x:c>
      <x:c r="I644" s="2" t="s">
        <x:v>2079</x:v>
      </x:c>
      <x:c r="J644" s="2" t="s">
        <x:v>635</x:v>
      </x:c>
      <x:c r="K644" s="2" t="n">
        <x:v>20</x:v>
      </x:c>
      <x:c r="L644" s="2" t="s">
        <x:v>2081</x:v>
      </x:c>
      <x:c r="M644" s="2" t="s">
        <x:v>2093</x:v>
      </x:c>
      <x:c r="N644" s="2">
        <x:v>2</x:v>
      </x:c>
      <x:c r="O644" s="2" t="s">
        <x:v>2094</x:v>
      </x:c>
      <x:c r="P644" s="2" t="s">
        <x:v>2095</x:v>
      </x:c>
      <x:c r="Q644" s="2"/>
      <x:c r="R644" s="3">
        <x:v>3</x:v>
      </x:c>
      <x:c r="S644" s="3">
        <x:v>1</x:v>
      </x:c>
      <x:c r="T644" s="2" t="s">
        <x:v>103</x:v>
      </x:c>
      <x:c r="U644" s="2"/>
      <x:c r="V644" s="2"/>
      <x:c r="W644" s="2"/>
      <x:c r="X644" s="3"/>
      <x:c r="Y644" s="3"/>
      <x:c r="Z644" s="2"/>
      <x:c r="AA644" s="2"/>
      <x:c r="AB644" s="2" t="s">
        <x:v>415</x:v>
      </x:c>
      <x:c r="AC644" s="2"/>
      <x:c r="AD644" s="2"/>
      <x:c r="AE644" s="2"/>
      <x:c r="AF644" s="2"/>
      <x:c r="AG644" s="2" t="s">
        <x:v>2036</x:v>
      </x:c>
      <x:c r="AH644" s="2"/>
      <x:c r="AI644" s="4"/>
      <x:c r="AJ644" s="2"/>
      <x:c r="AK644" s="2" t="s">
        <x:v>396</x:v>
      </x:c>
      <x:c r="AL644" s="2" t="s">
        <x:v>3061</x:v>
      </x:c>
      <x:c r="AM644" s="2">
        <x:v>24</x:v>
      </x:c>
      <x:c r="AN644" s="2">
        <x:v>24</x:v>
      </x:c>
    </x:row>
    <x:row r="645" ht="26">
      <x:c r="A645" s="2" t="s">
        <x:v>91</x:v>
      </x:c>
      <x:c r="B645" s="2" t="s">
        <x:v>17</x:v>
      </x:c>
      <x:c r="C645" s="3">
        <x:v>23</x:v>
      </x:c>
      <x:c r="D645" s="2" t="s">
        <x:v>2096</x:v>
      </x:c>
      <x:c r="E645" s="2" t="s">
        <x:v>2038</x:v>
      </x:c>
      <x:c r="F645" s="2" t="s">
        <x:v>237</x:v>
      </x:c>
      <x:c r="G645" s="2" t="s">
        <x:v>3193</x:v>
      </x:c>
      <x:c r="H645" s="2" t="s">
        <x:v>634</x:v>
      </x:c>
      <x:c r="I645" s="2" t="s">
        <x:v>2079</x:v>
      </x:c>
      <x:c r="J645" s="2" t="s">
        <x:v>2098</x:v>
      </x:c>
      <x:c r="K645" s="2" t="n">
        <x:v>20</x:v>
      </x:c>
      <x:c r="L645" s="2" t="s">
        <x:v>2081</x:v>
      </x:c>
      <x:c r="M645" s="2" t="s">
        <x:v>2099</x:v>
      </x:c>
      <x:c r="N645" s="2">
        <x:v>2</x:v>
      </x:c>
      <x:c r="O645" s="2" t="s">
        <x:v>2094</x:v>
      </x:c>
      <x:c r="P645" s="2" t="s">
        <x:v>2100</x:v>
      </x:c>
      <x:c r="Q645" s="2"/>
      <x:c r="R645" s="3">
        <x:v>3</x:v>
      </x:c>
      <x:c r="S645" s="3">
        <x:v>1</x:v>
      </x:c>
      <x:c r="T645" s="2" t="s">
        <x:v>103</x:v>
      </x:c>
      <x:c r="U645" s="2"/>
      <x:c r="V645" s="2"/>
      <x:c r="W645" s="2"/>
      <x:c r="X645" s="3"/>
      <x:c r="Y645" s="3"/>
      <x:c r="Z645" s="2"/>
      <x:c r="AA645" s="2"/>
      <x:c r="AB645" s="2" t="s">
        <x:v>2101</x:v>
      </x:c>
      <x:c r="AC645" s="2"/>
      <x:c r="AD645" s="2"/>
      <x:c r="AE645" s="2"/>
      <x:c r="AF645" s="2"/>
      <x:c r="AG645" s="2" t="s">
        <x:v>2036</x:v>
      </x:c>
      <x:c r="AH645" s="2"/>
      <x:c r="AI645" s="4"/>
      <x:c r="AJ645" s="2"/>
      <x:c r="AK645" s="2" t="s">
        <x:v>396</x:v>
      </x:c>
      <x:c r="AL645" s="2" t="s">
        <x:v>3061</x:v>
      </x:c>
      <x:c r="AM645" s="2">
        <x:v>25</x:v>
      </x:c>
      <x:c r="AN645" s="2">
        <x:v>25</x:v>
      </x:c>
    </x:row>
    <x:row r="646" ht="52">
      <x:c r="A646" s="2" t="s">
        <x:v>91</x:v>
      </x:c>
      <x:c r="B646" s="2" t="s">
        <x:v>17</x:v>
      </x:c>
      <x:c r="C646" s="3">
        <x:v>24</x:v>
      </x:c>
      <x:c r="D646" s="2" t="s">
        <x:v>2102</x:v>
      </x:c>
      <x:c r="E646" s="2" t="s">
        <x:v>409</x:v>
      </x:c>
      <x:c r="F646" s="2" t="s">
        <x:v>386</x:v>
      </x:c>
      <x:c r="G646" s="2" t="s">
        <x:v>3194</x:v>
      </x:c>
      <x:c r="H646" s="2" t="s">
        <x:v>618</x:v>
      </x:c>
      <x:c r="I646" s="2" t="s">
        <x:v>2103</x:v>
      </x:c>
      <x:c r="J646" s="2" t="s">
        <x:v>2080</x:v>
      </x:c>
      <x:c r="K646" s="2"/>
      <x:c r="L646" s="2" t="s">
        <x:v>2104</x:v>
      </x:c>
      <x:c r="M646" s="2" t="s">
        <x:v>2082</x:v>
      </x:c>
      <x:c r="N646" s="2">
        <x:v>2</x:v>
      </x:c>
      <x:c r="O646" s="2" t="s">
        <x:v>2083</x:v>
      </x:c>
      <x:c r="P646" s="2" t="s">
        <x:v>2084</x:v>
      </x:c>
      <x:c r="Q646" s="2"/>
      <x:c r="R646" s="3">
        <x:v>3</x:v>
      </x:c>
      <x:c r="S646" s="3">
        <x:v>1</x:v>
      </x:c>
      <x:c r="T646" s="2" t="s">
        <x:v>103</x:v>
      </x:c>
      <x:c r="U646" s="2"/>
      <x:c r="V646" s="2"/>
      <x:c r="W646" s="2"/>
      <x:c r="X646" s="3"/>
      <x:c r="Y646" s="3"/>
      <x:c r="Z646" s="2"/>
      <x:c r="AA646" s="2"/>
      <x:c r="AB646" s="2" t="s">
        <x:v>427</x:v>
      </x:c>
      <x:c r="AC646" s="2"/>
      <x:c r="AD646" s="2"/>
      <x:c r="AE646" s="2"/>
      <x:c r="AF646" s="2"/>
      <x:c r="AG646" s="2" t="s">
        <x:v>395</x:v>
      </x:c>
      <x:c r="AH646" s="2"/>
      <x:c r="AI646" s="4"/>
      <x:c r="AJ646" s="2"/>
      <x:c r="AK646" s="2" t="s">
        <x:v>396</x:v>
      </x:c>
      <x:c r="AL646" s="2" t="s">
        <x:v>3061</x:v>
      </x:c>
      <x:c r="AM646" s="2">
        <x:v>26</x:v>
      </x:c>
      <x:c r="AN646" s="2">
        <x:v>26</x:v>
      </x:c>
    </x:row>
    <x:row r="647" ht="39">
      <x:c r="A647" s="2" t="s">
        <x:v>6</x:v>
      </x:c>
      <x:c r="B647" s="2" t="s">
        <x:v>17</x:v>
      </x:c>
      <x:c r="C647" s="3">
        <x:v>25</x:v>
      </x:c>
      <x:c r="D647" s="2" t="s">
        <x:v>2105</x:v>
      </x:c>
      <x:c r="E647" s="2" t="s">
        <x:v>409</x:v>
      </x:c>
      <x:c r="F647" s="2" t="s">
        <x:v>386</x:v>
      </x:c>
      <x:c r="G647" s="2"/>
      <x:c r="H647" s="2" t="s">
        <x:v>627</x:v>
      </x:c>
      <x:c r="I647" s="2" t="s">
        <x:v>2103</x:v>
      </x:c>
      <x:c r="J647" s="2" t="s">
        <x:v>2086</x:v>
      </x:c>
      <x:c r="K647" s="2" t="n">
        <x:v>24</x:v>
      </x:c>
      <x:c r="L647" s="2" t="s">
        <x:v>2104</x:v>
      </x:c>
      <x:c r="M647" s="2" t="s">
        <x:v>2087</x:v>
      </x:c>
      <x:c r="N647" s="2">
        <x:v>2</x:v>
      </x:c>
      <x:c r="O647" s="2" t="s">
        <x:v>2088</x:v>
      </x:c>
      <x:c r="P647" s="2" t="s">
        <x:v>2089</x:v>
      </x:c>
      <x:c r="Q647" s="2"/>
      <x:c r="R647" s="3">
        <x:v>3</x:v>
      </x:c>
      <x:c r="S647" s="3">
        <x:v>1</x:v>
      </x:c>
      <x:c r="T647" s="2" t="s">
        <x:v>103</x:v>
      </x:c>
      <x:c r="U647" s="2"/>
      <x:c r="V647" s="2"/>
      <x:c r="W647" s="2"/>
      <x:c r="X647" s="3"/>
      <x:c r="Y647" s="3"/>
      <x:c r="Z647" s="2"/>
      <x:c r="AA647" s="2"/>
      <x:c r="AB647" s="2" t="s">
        <x:v>2090</x:v>
      </x:c>
      <x:c r="AC647" s="2"/>
      <x:c r="AD647" s="2"/>
      <x:c r="AE647" s="2"/>
      <x:c r="AF647" s="2"/>
      <x:c r="AG647" s="2" t="s">
        <x:v>395</x:v>
      </x:c>
      <x:c r="AH647" s="2"/>
      <x:c r="AI647" s="4"/>
      <x:c r="AJ647" s="2"/>
      <x:c r="AK647" s="2" t="s">
        <x:v>396</x:v>
      </x:c>
      <x:c r="AL647" s="2" t="s">
        <x:v>3061</x:v>
      </x:c>
      <x:c r="AM647" s="2">
        <x:v>27</x:v>
      </x:c>
      <x:c r="AN647" s="2">
        <x:v>27</x:v>
      </x:c>
    </x:row>
    <x:row r="648" ht="39">
      <x:c r="A648" s="2" t="s">
        <x:v>91</x:v>
      </x:c>
      <x:c r="B648" s="2" t="s">
        <x:v>17</x:v>
      </x:c>
      <x:c r="C648" s="3">
        <x:v>26</x:v>
      </x:c>
      <x:c r="D648" s="2" t="s">
        <x:v>2106</x:v>
      </x:c>
      <x:c r="E648" s="2" t="s">
        <x:v>409</x:v>
      </x:c>
      <x:c r="F648" s="2" t="s">
        <x:v>386</x:v>
      </x:c>
      <x:c r="G648" s="2"/>
      <x:c r="H648" s="2" t="s">
        <x:v>634</x:v>
      </x:c>
      <x:c r="I648" s="2" t="s">
        <x:v>2103</x:v>
      </x:c>
      <x:c r="J648" s="2" t="s">
        <x:v>635</x:v>
      </x:c>
      <x:c r="K648" s="2" t="n">
        <x:v>24</x:v>
      </x:c>
      <x:c r="L648" s="2" t="s">
        <x:v>2104</x:v>
      </x:c>
      <x:c r="M648" s="2" t="s">
        <x:v>2093</x:v>
      </x:c>
      <x:c r="N648" s="2">
        <x:v>2</x:v>
      </x:c>
      <x:c r="O648" s="2" t="s">
        <x:v>2094</x:v>
      </x:c>
      <x:c r="P648" s="2" t="s">
        <x:v>2095</x:v>
      </x:c>
      <x:c r="Q648" s="2"/>
      <x:c r="R648" s="3">
        <x:v>3</x:v>
      </x:c>
      <x:c r="S648" s="3">
        <x:v>1</x:v>
      </x:c>
      <x:c r="T648" s="2" t="s">
        <x:v>103</x:v>
      </x:c>
      <x:c r="U648" s="2"/>
      <x:c r="V648" s="2"/>
      <x:c r="W648" s="2"/>
      <x:c r="X648" s="3"/>
      <x:c r="Y648" s="3"/>
      <x:c r="Z648" s="2"/>
      <x:c r="AA648" s="2"/>
      <x:c r="AB648" s="2" t="s">
        <x:v>427</x:v>
      </x:c>
      <x:c r="AC648" s="2"/>
      <x:c r="AD648" s="2"/>
      <x:c r="AE648" s="2"/>
      <x:c r="AF648" s="2"/>
      <x:c r="AG648" s="2" t="s">
        <x:v>395</x:v>
      </x:c>
      <x:c r="AH648" s="2"/>
      <x:c r="AI648" s="4"/>
      <x:c r="AJ648" s="2"/>
      <x:c r="AK648" s="2" t="s">
        <x:v>396</x:v>
      </x:c>
      <x:c r="AL648" s="2" t="s">
        <x:v>3061</x:v>
      </x:c>
      <x:c r="AM648" s="2">
        <x:v>28</x:v>
      </x:c>
      <x:c r="AN648" s="2">
        <x:v>28</x:v>
      </x:c>
    </x:row>
    <x:row r="649" ht="26">
      <x:c r="A649" s="2" t="s">
        <x:v>91</x:v>
      </x:c>
      <x:c r="B649" s="2" t="s">
        <x:v>17</x:v>
      </x:c>
      <x:c r="C649" s="3">
        <x:v>27</x:v>
      </x:c>
      <x:c r="D649" s="2" t="s">
        <x:v>2107</x:v>
      </x:c>
      <x:c r="E649" s="2" t="s">
        <x:v>409</x:v>
      </x:c>
      <x:c r="F649" s="2" t="s">
        <x:v>386</x:v>
      </x:c>
      <x:c r="G649" s="2" t="s">
        <x:v>3195</x:v>
      </x:c>
      <x:c r="H649" s="2" t="s">
        <x:v>634</x:v>
      </x:c>
      <x:c r="I649" s="2" t="s">
        <x:v>2103</x:v>
      </x:c>
      <x:c r="J649" s="2" t="s">
        <x:v>2098</x:v>
      </x:c>
      <x:c r="K649" s="2" t="n">
        <x:v>24</x:v>
      </x:c>
      <x:c r="L649" s="2" t="s">
        <x:v>2104</x:v>
      </x:c>
      <x:c r="M649" s="2" t="s">
        <x:v>2099</x:v>
      </x:c>
      <x:c r="N649" s="2">
        <x:v>2</x:v>
      </x:c>
      <x:c r="O649" s="2" t="s">
        <x:v>2094</x:v>
      </x:c>
      <x:c r="P649" s="2" t="s">
        <x:v>2100</x:v>
      </x:c>
      <x:c r="Q649" s="2"/>
      <x:c r="R649" s="3">
        <x:v>3</x:v>
      </x:c>
      <x:c r="S649" s="3">
        <x:v>1</x:v>
      </x:c>
      <x:c r="T649" s="2" t="s">
        <x:v>103</x:v>
      </x:c>
      <x:c r="U649" s="2"/>
      <x:c r="V649" s="2"/>
      <x:c r="W649" s="2"/>
      <x:c r="X649" s="3"/>
      <x:c r="Y649" s="3"/>
      <x:c r="Z649" s="2"/>
      <x:c r="AA649" s="2"/>
      <x:c r="AB649" s="2" t="s">
        <x:v>2101</x:v>
      </x:c>
      <x:c r="AC649" s="2"/>
      <x:c r="AD649" s="2"/>
      <x:c r="AE649" s="2"/>
      <x:c r="AF649" s="2"/>
      <x:c r="AG649" s="2" t="s">
        <x:v>395</x:v>
      </x:c>
      <x:c r="AH649" s="2"/>
      <x:c r="AI649" s="4"/>
      <x:c r="AJ649" s="2"/>
      <x:c r="AK649" s="2" t="s">
        <x:v>396</x:v>
      </x:c>
      <x:c r="AL649" s="2" t="s">
        <x:v>3061</x:v>
      </x:c>
      <x:c r="AM649" s="2">
        <x:v>29</x:v>
      </x:c>
      <x:c r="AN649" s="2">
        <x:v>29</x:v>
      </x:c>
    </x:row>
    <x:row r="650" ht="52">
      <x:c r="A650" s="2" t="s">
        <x:v>6</x:v>
      </x:c>
      <x:c r="B650" s="2" t="s">
        <x:v>17</x:v>
      </x:c>
      <x:c r="C650" s="3">
        <x:v>28</x:v>
      </x:c>
      <x:c r="D650" s="2" t="s">
        <x:v>2108</x:v>
      </x:c>
      <x:c r="E650" s="2" t="s">
        <x:v>2109</x:v>
      </x:c>
      <x:c r="F650" s="2" t="s">
        <x:v>423</x:v>
      </x:c>
      <x:c r="G650" s="2"/>
      <x:c r="H650" s="2" t="s">
        <x:v>618</x:v>
      </x:c>
      <x:c r="I650" s="2" t="s">
        <x:v>2111</x:v>
      </x:c>
      <x:c r="J650" s="2" t="s">
        <x:v>2080</x:v>
      </x:c>
      <x:c r="K650" s="2"/>
      <x:c r="L650" s="2" t="s">
        <x:v>2112</x:v>
      </x:c>
      <x:c r="M650" s="2" t="s">
        <x:v>2082</x:v>
      </x:c>
      <x:c r="N650" s="2">
        <x:v>2</x:v>
      </x:c>
      <x:c r="O650" s="2" t="s">
        <x:v>2083</x:v>
      </x:c>
      <x:c r="P650" s="2" t="s">
        <x:v>2084</x:v>
      </x:c>
      <x:c r="Q650" s="2"/>
      <x:c r="R650" s="3">
        <x:v>4</x:v>
      </x:c>
      <x:c r="S650" s="3">
        <x:v>1</x:v>
      </x:c>
      <x:c r="T650" s="2" t="s">
        <x:v>103</x:v>
      </x:c>
      <x:c r="U650" s="2"/>
      <x:c r="V650" s="2"/>
      <x:c r="W650" s="2"/>
      <x:c r="X650" s="3"/>
      <x:c r="Y650" s="3"/>
      <x:c r="Z650" s="2"/>
      <x:c r="AA650" s="2"/>
      <x:c r="AB650" s="2" t="s">
        <x:v>394</x:v>
      </x:c>
      <x:c r="AC650" s="2"/>
      <x:c r="AD650" s="2"/>
      <x:c r="AE650" s="2"/>
      <x:c r="AF650" s="2"/>
      <x:c r="AG650" s="2" t="s">
        <x:v>428</x:v>
      </x:c>
      <x:c r="AH650" s="2"/>
      <x:c r="AI650" s="4"/>
      <x:c r="AJ650" s="2"/>
      <x:c r="AK650" s="2" t="s">
        <x:v>396</x:v>
      </x:c>
      <x:c r="AL650" s="2" t="s">
        <x:v>3061</x:v>
      </x:c>
      <x:c r="AM650" s="2">
        <x:v>30</x:v>
      </x:c>
      <x:c r="AN650" s="2">
        <x:v>30</x:v>
      </x:c>
    </x:row>
    <x:row r="651" ht="39">
      <x:c r="A651" s="2" t="s">
        <x:v>6</x:v>
      </x:c>
      <x:c r="B651" s="2" t="s">
        <x:v>17</x:v>
      </x:c>
      <x:c r="C651" s="3">
        <x:v>29</x:v>
      </x:c>
      <x:c r="D651" s="2" t="s">
        <x:v>2113</x:v>
      </x:c>
      <x:c r="E651" s="2" t="s">
        <x:v>2109</x:v>
      </x:c>
      <x:c r="F651" s="2" t="s">
        <x:v>423</x:v>
      </x:c>
      <x:c r="G651" s="2"/>
      <x:c r="H651" s="2" t="s">
        <x:v>627</x:v>
      </x:c>
      <x:c r="I651" s="2" t="s">
        <x:v>2111</x:v>
      </x:c>
      <x:c r="J651" s="2" t="s">
        <x:v>2086</x:v>
      </x:c>
      <x:c r="K651" s="2" t="n">
        <x:v>28</x:v>
      </x:c>
      <x:c r="L651" s="2" t="s">
        <x:v>2112</x:v>
      </x:c>
      <x:c r="M651" s="2" t="s">
        <x:v>2087</x:v>
      </x:c>
      <x:c r="N651" s="2">
        <x:v>2</x:v>
      </x:c>
      <x:c r="O651" s="2" t="s">
        <x:v>2088</x:v>
      </x:c>
      <x:c r="P651" s="2" t="s">
        <x:v>2089</x:v>
      </x:c>
      <x:c r="Q651" s="2"/>
      <x:c r="R651" s="3">
        <x:v>4</x:v>
      </x:c>
      <x:c r="S651" s="3">
        <x:v>1</x:v>
      </x:c>
      <x:c r="T651" s="2" t="s">
        <x:v>103</x:v>
      </x:c>
      <x:c r="U651" s="2"/>
      <x:c r="V651" s="2"/>
      <x:c r="W651" s="2"/>
      <x:c r="X651" s="3"/>
      <x:c r="Y651" s="3"/>
      <x:c r="Z651" s="2"/>
      <x:c r="AA651" s="2"/>
      <x:c r="AB651" s="2" t="s">
        <x:v>2090</x:v>
      </x:c>
      <x:c r="AC651" s="2"/>
      <x:c r="AD651" s="2"/>
      <x:c r="AE651" s="2"/>
      <x:c r="AF651" s="2"/>
      <x:c r="AG651" s="2" t="s">
        <x:v>428</x:v>
      </x:c>
      <x:c r="AH651" s="2"/>
      <x:c r="AI651" s="4"/>
      <x:c r="AJ651" s="2"/>
      <x:c r="AK651" s="2" t="s">
        <x:v>396</x:v>
      </x:c>
      <x:c r="AL651" s="2" t="s">
        <x:v>3061</x:v>
      </x:c>
      <x:c r="AM651" s="2">
        <x:v>31</x:v>
      </x:c>
      <x:c r="AN651" s="2">
        <x:v>31</x:v>
      </x:c>
    </x:row>
    <x:row r="652" ht="39">
      <x:c r="A652" s="2" t="s">
        <x:v>6</x:v>
      </x:c>
      <x:c r="B652" s="2" t="s">
        <x:v>17</x:v>
      </x:c>
      <x:c r="C652" s="3">
        <x:v>30</x:v>
      </x:c>
      <x:c r="D652" s="2" t="s">
        <x:v>2115</x:v>
      </x:c>
      <x:c r="E652" s="2" t="s">
        <x:v>2109</x:v>
      </x:c>
      <x:c r="F652" s="2" t="s">
        <x:v>423</x:v>
      </x:c>
      <x:c r="G652" s="2"/>
      <x:c r="H652" s="2" t="s">
        <x:v>634</x:v>
      </x:c>
      <x:c r="I652" s="2" t="s">
        <x:v>2111</x:v>
      </x:c>
      <x:c r="J652" s="2" t="s">
        <x:v>635</x:v>
      </x:c>
      <x:c r="K652" s="2" t="n">
        <x:v>28</x:v>
      </x:c>
      <x:c r="L652" s="2" t="s">
        <x:v>2112</x:v>
      </x:c>
      <x:c r="M652" s="2" t="s">
        <x:v>2093</x:v>
      </x:c>
      <x:c r="N652" s="2">
        <x:v>2</x:v>
      </x:c>
      <x:c r="O652" s="2" t="s">
        <x:v>2094</x:v>
      </x:c>
      <x:c r="P652" s="2" t="s">
        <x:v>2095</x:v>
      </x:c>
      <x:c r="Q652" s="2"/>
      <x:c r="R652" s="3">
        <x:v>4</x:v>
      </x:c>
      <x:c r="S652" s="3">
        <x:v>1</x:v>
      </x:c>
      <x:c r="T652" s="2" t="s">
        <x:v>103</x:v>
      </x:c>
      <x:c r="U652" s="2"/>
      <x:c r="V652" s="2"/>
      <x:c r="W652" s="2"/>
      <x:c r="X652" s="3"/>
      <x:c r="Y652" s="3"/>
      <x:c r="Z652" s="2"/>
      <x:c r="AA652" s="2"/>
      <x:c r="AB652" s="2" t="s">
        <x:v>394</x:v>
      </x:c>
      <x:c r="AC652" s="2"/>
      <x:c r="AD652" s="2"/>
      <x:c r="AE652" s="2"/>
      <x:c r="AF652" s="2"/>
      <x:c r="AG652" s="2" t="s">
        <x:v>428</x:v>
      </x:c>
      <x:c r="AH652" s="2"/>
      <x:c r="AI652" s="4"/>
      <x:c r="AJ652" s="2"/>
      <x:c r="AK652" s="2" t="s">
        <x:v>396</x:v>
      </x:c>
      <x:c r="AL652" s="2" t="s">
        <x:v>3061</x:v>
      </x:c>
      <x:c r="AM652" s="2">
        <x:v>32</x:v>
      </x:c>
      <x:c r="AN652" s="2">
        <x:v>32</x:v>
      </x:c>
    </x:row>
    <x:row r="653" ht="26">
      <x:c r="A653" s="2" t="s">
        <x:v>6</x:v>
      </x:c>
      <x:c r="B653" s="2" t="s">
        <x:v>17</x:v>
      </x:c>
      <x:c r="C653" s="3">
        <x:v>31</x:v>
      </x:c>
      <x:c r="D653" s="2" t="s">
        <x:v>2116</x:v>
      </x:c>
      <x:c r="E653" s="2" t="s">
        <x:v>2109</x:v>
      </x:c>
      <x:c r="F653" s="2" t="s">
        <x:v>423</x:v>
      </x:c>
      <x:c r="G653" s="2"/>
      <x:c r="H653" s="2" t="s">
        <x:v>634</x:v>
      </x:c>
      <x:c r="I653" s="2" t="s">
        <x:v>2111</x:v>
      </x:c>
      <x:c r="J653" s="2" t="s">
        <x:v>2098</x:v>
      </x:c>
      <x:c r="K653" s="2" t="n">
        <x:v>28</x:v>
      </x:c>
      <x:c r="L653" s="2" t="s">
        <x:v>2112</x:v>
      </x:c>
      <x:c r="M653" s="2" t="s">
        <x:v>2099</x:v>
      </x:c>
      <x:c r="N653" s="2">
        <x:v>2</x:v>
      </x:c>
      <x:c r="O653" s="2" t="s">
        <x:v>2094</x:v>
      </x:c>
      <x:c r="P653" s="2" t="s">
        <x:v>2100</x:v>
      </x:c>
      <x:c r="Q653" s="2"/>
      <x:c r="R653" s="3">
        <x:v>4</x:v>
      </x:c>
      <x:c r="S653" s="3">
        <x:v>1</x:v>
      </x:c>
      <x:c r="T653" s="2" t="s">
        <x:v>103</x:v>
      </x:c>
      <x:c r="U653" s="2"/>
      <x:c r="V653" s="2"/>
      <x:c r="W653" s="2"/>
      <x:c r="X653" s="3"/>
      <x:c r="Y653" s="3"/>
      <x:c r="Z653" s="2"/>
      <x:c r="AA653" s="2"/>
      <x:c r="AB653" s="2" t="s">
        <x:v>2101</x:v>
      </x:c>
      <x:c r="AC653" s="2"/>
      <x:c r="AD653" s="2"/>
      <x:c r="AE653" s="2"/>
      <x:c r="AF653" s="2"/>
      <x:c r="AG653" s="2" t="s">
        <x:v>428</x:v>
      </x:c>
      <x:c r="AH653" s="2"/>
      <x:c r="AI653" s="4"/>
      <x:c r="AJ653" s="2"/>
      <x:c r="AK653" s="2" t="s">
        <x:v>396</x:v>
      </x:c>
      <x:c r="AL653" s="2" t="s">
        <x:v>3061</x:v>
      </x:c>
      <x:c r="AM653" s="2">
        <x:v>33</x:v>
      </x:c>
      <x:c r="AN653" s="2">
        <x:v>33</x:v>
      </x:c>
    </x:row>
    <x:row r="654" ht="52">
      <x:c r="A654" s="2" t="s">
        <x:v>6</x:v>
      </x:c>
      <x:c r="B654" s="2" t="s">
        <x:v>17</x:v>
      </x:c>
      <x:c r="C654" s="3">
        <x:v>32</x:v>
      </x:c>
      <x:c r="D654" s="2" t="s">
        <x:v>2118</x:v>
      </x:c>
      <x:c r="E654" s="2" t="s">
        <x:v>2046</x:v>
      </x:c>
      <x:c r="F654" s="2" t="s">
        <x:v>237</x:v>
      </x:c>
      <x:c r="G654" s="2"/>
      <x:c r="H654" s="2" t="s">
        <x:v>618</x:v>
      </x:c>
      <x:c r="I654" s="2" t="s">
        <x:v>2119</x:v>
      </x:c>
      <x:c r="J654" s="2" t="s">
        <x:v>2120</x:v>
      </x:c>
      <x:c r="K654" s="2"/>
      <x:c r="L654" s="2" t="s">
        <x:v>2121</x:v>
      </x:c>
      <x:c r="M654" s="2" t="s">
        <x:v>2082</x:v>
      </x:c>
      <x:c r="N654" s="2">
        <x:v>2</x:v>
      </x:c>
      <x:c r="O654" s="2" t="s">
        <x:v>2083</x:v>
      </x:c>
      <x:c r="P654" s="2" t="s">
        <x:v>2084</x:v>
      </x:c>
      <x:c r="Q654" s="2"/>
      <x:c r="R654" s="3">
        <x:v>4</x:v>
      </x:c>
      <x:c r="S654" s="3">
        <x:v>1</x:v>
      </x:c>
      <x:c r="T654" s="2" t="s">
        <x:v>103</x:v>
      </x:c>
      <x:c r="U654" s="2"/>
      <x:c r="V654" s="2"/>
      <x:c r="W654" s="2"/>
      <x:c r="X654" s="3"/>
      <x:c r="Y654" s="3"/>
      <x:c r="Z654" s="2"/>
      <x:c r="AA654" s="2"/>
      <x:c r="AB654" s="2" t="s">
        <x:v>415</x:v>
      </x:c>
      <x:c r="AC654" s="2"/>
      <x:c r="AD654" s="2"/>
      <x:c r="AE654" s="2"/>
      <x:c r="AF654" s="2"/>
      <x:c r="AG654" s="2" t="s">
        <x:v>2036</x:v>
      </x:c>
      <x:c r="AH654" s="2"/>
      <x:c r="AI654" s="4"/>
      <x:c r="AJ654" s="2"/>
      <x:c r="AK654" s="2" t="s">
        <x:v>396</x:v>
      </x:c>
      <x:c r="AL654" s="2" t="s">
        <x:v>3061</x:v>
      </x:c>
      <x:c r="AM654" s="2">
        <x:v>34</x:v>
      </x:c>
      <x:c r="AN654" s="2">
        <x:v>34</x:v>
      </x:c>
    </x:row>
    <x:row r="655" ht="39">
      <x:c r="A655" s="2" t="s">
        <x:v>6</x:v>
      </x:c>
      <x:c r="B655" s="2" t="s">
        <x:v>17</x:v>
      </x:c>
      <x:c r="C655" s="3">
        <x:v>33</x:v>
      </x:c>
      <x:c r="D655" s="2" t="s">
        <x:v>1418</x:v>
      </x:c>
      <x:c r="E655" s="2" t="s">
        <x:v>2046</x:v>
      </x:c>
      <x:c r="F655" s="2" t="s">
        <x:v>237</x:v>
      </x:c>
      <x:c r="G655" s="2"/>
      <x:c r="H655" s="2" t="s">
        <x:v>627</x:v>
      </x:c>
      <x:c r="I655" s="2" t="s">
        <x:v>2119</x:v>
      </x:c>
      <x:c r="J655" s="2" t="s">
        <x:v>2086</x:v>
      </x:c>
      <x:c r="K655" s="2" t="n">
        <x:v>32</x:v>
      </x:c>
      <x:c r="L655" s="2" t="s">
        <x:v>2121</x:v>
      </x:c>
      <x:c r="M655" s="2" t="s">
        <x:v>2087</x:v>
      </x:c>
      <x:c r="N655" s="2">
        <x:v>2</x:v>
      </x:c>
      <x:c r="O655" s="2" t="s">
        <x:v>2088</x:v>
      </x:c>
      <x:c r="P655" s="2" t="s">
        <x:v>2089</x:v>
      </x:c>
      <x:c r="Q655" s="2"/>
      <x:c r="R655" s="3">
        <x:v>4</x:v>
      </x:c>
      <x:c r="S655" s="3">
        <x:v>1</x:v>
      </x:c>
      <x:c r="T655" s="2" t="s">
        <x:v>103</x:v>
      </x:c>
      <x:c r="U655" s="2"/>
      <x:c r="V655" s="2"/>
      <x:c r="W655" s="2"/>
      <x:c r="X655" s="3"/>
      <x:c r="Y655" s="3"/>
      <x:c r="Z655" s="2"/>
      <x:c r="AA655" s="2"/>
      <x:c r="AB655" s="2" t="s">
        <x:v>2090</x:v>
      </x:c>
      <x:c r="AC655" s="2"/>
      <x:c r="AD655" s="2"/>
      <x:c r="AE655" s="2"/>
      <x:c r="AF655" s="2"/>
      <x:c r="AG655" s="2" t="s">
        <x:v>2036</x:v>
      </x:c>
      <x:c r="AH655" s="2"/>
      <x:c r="AI655" s="4"/>
      <x:c r="AJ655" s="2"/>
      <x:c r="AK655" s="2" t="s">
        <x:v>396</x:v>
      </x:c>
      <x:c r="AL655" s="2" t="s">
        <x:v>3061</x:v>
      </x:c>
      <x:c r="AM655" s="2">
        <x:v>35</x:v>
      </x:c>
      <x:c r="AN655" s="2">
        <x:v>35</x:v>
      </x:c>
    </x:row>
    <x:row r="656" ht="39">
      <x:c r="A656" s="2" t="s">
        <x:v>6</x:v>
      </x:c>
      <x:c r="B656" s="2" t="s">
        <x:v>17</x:v>
      </x:c>
      <x:c r="C656" s="3">
        <x:v>34</x:v>
      </x:c>
      <x:c r="D656" s="2" t="s">
        <x:v>2122</x:v>
      </x:c>
      <x:c r="E656" s="2" t="s">
        <x:v>2046</x:v>
      </x:c>
      <x:c r="F656" s="2" t="s">
        <x:v>237</x:v>
      </x:c>
      <x:c r="G656" s="2"/>
      <x:c r="H656" s="2" t="s">
        <x:v>634</x:v>
      </x:c>
      <x:c r="I656" s="2" t="s">
        <x:v>2119</x:v>
      </x:c>
      <x:c r="J656" s="2" t="s">
        <x:v>635</x:v>
      </x:c>
      <x:c r="K656" s="2" t="n">
        <x:v>32</x:v>
      </x:c>
      <x:c r="L656" s="2" t="s">
        <x:v>2121</x:v>
      </x:c>
      <x:c r="M656" s="2" t="s">
        <x:v>2093</x:v>
      </x:c>
      <x:c r="N656" s="2">
        <x:v>2</x:v>
      </x:c>
      <x:c r="O656" s="2" t="s">
        <x:v>2094</x:v>
      </x:c>
      <x:c r="P656" s="2" t="s">
        <x:v>2095</x:v>
      </x:c>
      <x:c r="Q656" s="2"/>
      <x:c r="R656" s="3">
        <x:v>4</x:v>
      </x:c>
      <x:c r="S656" s="3">
        <x:v>1</x:v>
      </x:c>
      <x:c r="T656" s="2" t="s">
        <x:v>103</x:v>
      </x:c>
      <x:c r="U656" s="2"/>
      <x:c r="V656" s="2"/>
      <x:c r="W656" s="2"/>
      <x:c r="X656" s="3"/>
      <x:c r="Y656" s="3"/>
      <x:c r="Z656" s="2"/>
      <x:c r="AA656" s="2"/>
      <x:c r="AB656" s="2" t="s">
        <x:v>415</x:v>
      </x:c>
      <x:c r="AC656" s="2"/>
      <x:c r="AD656" s="2"/>
      <x:c r="AE656" s="2"/>
      <x:c r="AF656" s="2"/>
      <x:c r="AG656" s="2" t="s">
        <x:v>2036</x:v>
      </x:c>
      <x:c r="AH656" s="2"/>
      <x:c r="AI656" s="4"/>
      <x:c r="AJ656" s="2"/>
      <x:c r="AK656" s="2" t="s">
        <x:v>396</x:v>
      </x:c>
      <x:c r="AL656" s="2" t="s">
        <x:v>3061</x:v>
      </x:c>
      <x:c r="AM656" s="2">
        <x:v>36</x:v>
      </x:c>
      <x:c r="AN656" s="2">
        <x:v>36</x:v>
      </x:c>
    </x:row>
    <x:row r="657" ht="26">
      <x:c r="A657" s="2" t="s">
        <x:v>6</x:v>
      </x:c>
      <x:c r="B657" s="2" t="s">
        <x:v>17</x:v>
      </x:c>
      <x:c r="C657" s="3">
        <x:v>35</x:v>
      </x:c>
      <x:c r="D657" s="2" t="s">
        <x:v>2124</x:v>
      </x:c>
      <x:c r="E657" s="2" t="s">
        <x:v>2046</x:v>
      </x:c>
      <x:c r="F657" s="2" t="s">
        <x:v>237</x:v>
      </x:c>
      <x:c r="G657" s="2"/>
      <x:c r="H657" s="2" t="s">
        <x:v>634</x:v>
      </x:c>
      <x:c r="I657" s="2" t="s">
        <x:v>2119</x:v>
      </x:c>
      <x:c r="J657" s="2" t="s">
        <x:v>2098</x:v>
      </x:c>
      <x:c r="K657" s="2" t="n">
        <x:v>32</x:v>
      </x:c>
      <x:c r="L657" s="2" t="s">
        <x:v>2121</x:v>
      </x:c>
      <x:c r="M657" s="2" t="s">
        <x:v>2099</x:v>
      </x:c>
      <x:c r="N657" s="2">
        <x:v>2</x:v>
      </x:c>
      <x:c r="O657" s="2" t="s">
        <x:v>2094</x:v>
      </x:c>
      <x:c r="P657" s="2" t="s">
        <x:v>2100</x:v>
      </x:c>
      <x:c r="Q657" s="2"/>
      <x:c r="R657" s="3">
        <x:v>4</x:v>
      </x:c>
      <x:c r="S657" s="3">
        <x:v>1</x:v>
      </x:c>
      <x:c r="T657" s="2" t="s">
        <x:v>103</x:v>
      </x:c>
      <x:c r="U657" s="2"/>
      <x:c r="V657" s="2"/>
      <x:c r="W657" s="2"/>
      <x:c r="X657" s="3"/>
      <x:c r="Y657" s="3"/>
      <x:c r="Z657" s="2"/>
      <x:c r="AA657" s="2"/>
      <x:c r="AB657" s="2" t="s">
        <x:v>2101</x:v>
      </x:c>
      <x:c r="AC657" s="2"/>
      <x:c r="AD657" s="2"/>
      <x:c r="AE657" s="2"/>
      <x:c r="AF657" s="2"/>
      <x:c r="AG657" s="2" t="s">
        <x:v>2036</x:v>
      </x:c>
      <x:c r="AH657" s="2"/>
      <x:c r="AI657" s="4"/>
      <x:c r="AJ657" s="2"/>
      <x:c r="AK657" s="2" t="s">
        <x:v>396</x:v>
      </x:c>
      <x:c r="AL657" s="2" t="s">
        <x:v>3061</x:v>
      </x:c>
      <x:c r="AM657" s="2">
        <x:v>37</x:v>
      </x:c>
      <x:c r="AN657" s="2">
        <x:v>37</x:v>
      </x:c>
    </x:row>
    <x:row r="658" ht="52">
      <x:c r="A658" s="2" t="s">
        <x:v>91</x:v>
      </x:c>
      <x:c r="B658" s="2" t="s">
        <x:v>17</x:v>
      </x:c>
      <x:c r="C658" s="3">
        <x:v>36</x:v>
      </x:c>
      <x:c r="D658" s="2" t="s">
        <x:v>2126</x:v>
      </x:c>
      <x:c r="E658" s="2" t="s">
        <x:v>404</x:v>
      </x:c>
      <x:c r="F658" s="2" t="s">
        <x:v>386</x:v>
      </x:c>
      <x:c r="G658" s="2" t="s">
        <x:v>3196</x:v>
      </x:c>
      <x:c r="H658" s="2" t="s">
        <x:v>618</x:v>
      </x:c>
      <x:c r="I658" s="2" t="s">
        <x:v>2127</x:v>
      </x:c>
      <x:c r="J658" s="2" t="s">
        <x:v>2120</x:v>
      </x:c>
      <x:c r="K658" s="2"/>
      <x:c r="L658" s="2" t="s">
        <x:v>2128</x:v>
      </x:c>
      <x:c r="M658" s="2" t="s">
        <x:v>2082</x:v>
      </x:c>
      <x:c r="N658" s="2">
        <x:v>2</x:v>
      </x:c>
      <x:c r="O658" s="2" t="s">
        <x:v>2083</x:v>
      </x:c>
      <x:c r="P658" s="2" t="s">
        <x:v>2084</x:v>
      </x:c>
      <x:c r="Q658" s="2"/>
      <x:c r="R658" s="3">
        <x:v>4</x:v>
      </x:c>
      <x:c r="S658" s="3">
        <x:v>1</x:v>
      </x:c>
      <x:c r="T658" s="2" t="s">
        <x:v>103</x:v>
      </x:c>
      <x:c r="U658" s="2"/>
      <x:c r="V658" s="2"/>
      <x:c r="W658" s="2"/>
      <x:c r="X658" s="3"/>
      <x:c r="Y658" s="3"/>
      <x:c r="Z658" s="2"/>
      <x:c r="AA658" s="2"/>
      <x:c r="AB658" s="2" t="s">
        <x:v>427</x:v>
      </x:c>
      <x:c r="AC658" s="2"/>
      <x:c r="AD658" s="2"/>
      <x:c r="AE658" s="2"/>
      <x:c r="AF658" s="2"/>
      <x:c r="AG658" s="2" t="s">
        <x:v>395</x:v>
      </x:c>
      <x:c r="AH658" s="2"/>
      <x:c r="AI658" s="4"/>
      <x:c r="AJ658" s="2"/>
      <x:c r="AK658" s="2" t="s">
        <x:v>396</x:v>
      </x:c>
      <x:c r="AL658" s="2" t="s">
        <x:v>3061</x:v>
      </x:c>
      <x:c r="AM658" s="2">
        <x:v>38</x:v>
      </x:c>
      <x:c r="AN658" s="2">
        <x:v>38</x:v>
      </x:c>
    </x:row>
    <x:row r="659" ht="39">
      <x:c r="A659" s="2" t="s">
        <x:v>91</x:v>
      </x:c>
      <x:c r="B659" s="2" t="s">
        <x:v>17</x:v>
      </x:c>
      <x:c r="C659" s="3">
        <x:v>37</x:v>
      </x:c>
      <x:c r="D659" s="2" t="s">
        <x:v>2129</x:v>
      </x:c>
      <x:c r="E659" s="2" t="s">
        <x:v>404</x:v>
      </x:c>
      <x:c r="F659" s="2" t="s">
        <x:v>386</x:v>
      </x:c>
      <x:c r="G659" s="2" t="s">
        <x:v>3197</x:v>
      </x:c>
      <x:c r="H659" s="2" t="s">
        <x:v>627</x:v>
      </x:c>
      <x:c r="I659" s="2" t="s">
        <x:v>2127</x:v>
      </x:c>
      <x:c r="J659" s="2" t="s">
        <x:v>2086</x:v>
      </x:c>
      <x:c r="K659" s="2" t="n">
        <x:v>36</x:v>
      </x:c>
      <x:c r="L659" s="2" t="s">
        <x:v>2128</x:v>
      </x:c>
      <x:c r="M659" s="2" t="s">
        <x:v>2087</x:v>
      </x:c>
      <x:c r="N659" s="2">
        <x:v>2</x:v>
      </x:c>
      <x:c r="O659" s="2" t="s">
        <x:v>2088</x:v>
      </x:c>
      <x:c r="P659" s="2" t="s">
        <x:v>2089</x:v>
      </x:c>
      <x:c r="Q659" s="2"/>
      <x:c r="R659" s="3">
        <x:v>4</x:v>
      </x:c>
      <x:c r="S659" s="3">
        <x:v>1</x:v>
      </x:c>
      <x:c r="T659" s="2" t="s">
        <x:v>103</x:v>
      </x:c>
      <x:c r="U659" s="2"/>
      <x:c r="V659" s="2"/>
      <x:c r="W659" s="2"/>
      <x:c r="X659" s="3"/>
      <x:c r="Y659" s="3"/>
      <x:c r="Z659" s="2"/>
      <x:c r="AA659" s="2"/>
      <x:c r="AB659" s="2" t="s">
        <x:v>2090</x:v>
      </x:c>
      <x:c r="AC659" s="2"/>
      <x:c r="AD659" s="2"/>
      <x:c r="AE659" s="2"/>
      <x:c r="AF659" s="2"/>
      <x:c r="AG659" s="2" t="s">
        <x:v>395</x:v>
      </x:c>
      <x:c r="AH659" s="2"/>
      <x:c r="AI659" s="4"/>
      <x:c r="AJ659" s="2"/>
      <x:c r="AK659" s="2" t="s">
        <x:v>396</x:v>
      </x:c>
      <x:c r="AL659" s="2" t="s">
        <x:v>3061</x:v>
      </x:c>
      <x:c r="AM659" s="2">
        <x:v>39</x:v>
      </x:c>
      <x:c r="AN659" s="2">
        <x:v>39</x:v>
      </x:c>
    </x:row>
    <x:row r="660" ht="39">
      <x:c r="A660" s="2" t="s">
        <x:v>6</x:v>
      </x:c>
      <x:c r="B660" s="2" t="s">
        <x:v>17</x:v>
      </x:c>
      <x:c r="C660" s="3">
        <x:v>38</x:v>
      </x:c>
      <x:c r="D660" s="2" t="s">
        <x:v>2131</x:v>
      </x:c>
      <x:c r="E660" s="2" t="s">
        <x:v>404</x:v>
      </x:c>
      <x:c r="F660" s="2" t="s">
        <x:v>386</x:v>
      </x:c>
      <x:c r="G660" s="2" t="s">
        <x:v>3198</x:v>
      </x:c>
      <x:c r="H660" s="2" t="s">
        <x:v>634</x:v>
      </x:c>
      <x:c r="I660" s="2" t="s">
        <x:v>2127</x:v>
      </x:c>
      <x:c r="J660" s="2" t="s">
        <x:v>635</x:v>
      </x:c>
      <x:c r="K660" s="2" t="n">
        <x:v>36</x:v>
      </x:c>
      <x:c r="L660" s="2" t="s">
        <x:v>2128</x:v>
      </x:c>
      <x:c r="M660" s="2" t="s">
        <x:v>2093</x:v>
      </x:c>
      <x:c r="N660" s="2">
        <x:v>2</x:v>
      </x:c>
      <x:c r="O660" s="2" t="s">
        <x:v>2094</x:v>
      </x:c>
      <x:c r="P660" s="2" t="s">
        <x:v>2095</x:v>
      </x:c>
      <x:c r="Q660" s="2"/>
      <x:c r="R660" s="3">
        <x:v>4</x:v>
      </x:c>
      <x:c r="S660" s="3">
        <x:v>1</x:v>
      </x:c>
      <x:c r="T660" s="2" t="s">
        <x:v>103</x:v>
      </x:c>
      <x:c r="U660" s="2"/>
      <x:c r="V660" s="2"/>
      <x:c r="W660" s="2"/>
      <x:c r="X660" s="3"/>
      <x:c r="Y660" s="3"/>
      <x:c r="Z660" s="2"/>
      <x:c r="AA660" s="2"/>
      <x:c r="AB660" s="2" t="s">
        <x:v>427</x:v>
      </x:c>
      <x:c r="AC660" s="2"/>
      <x:c r="AD660" s="2"/>
      <x:c r="AE660" s="2"/>
      <x:c r="AF660" s="2"/>
      <x:c r="AG660" s="2" t="s">
        <x:v>395</x:v>
      </x:c>
      <x:c r="AH660" s="2"/>
      <x:c r="AI660" s="4"/>
      <x:c r="AJ660" s="2"/>
      <x:c r="AK660" s="2" t="s">
        <x:v>396</x:v>
      </x:c>
      <x:c r="AL660" s="2" t="s">
        <x:v>3061</x:v>
      </x:c>
      <x:c r="AM660" s="2">
        <x:v>40</x:v>
      </x:c>
      <x:c r="AN660" s="2">
        <x:v>40</x:v>
      </x:c>
    </x:row>
    <x:row r="661" ht="26">
      <x:c r="A661" s="2" t="s">
        <x:v>6</x:v>
      </x:c>
      <x:c r="B661" s="2" t="s">
        <x:v>17</x:v>
      </x:c>
      <x:c r="C661" s="3">
        <x:v>39</x:v>
      </x:c>
      <x:c r="D661" s="2" t="s">
        <x:v>2133</x:v>
      </x:c>
      <x:c r="E661" s="2" t="s">
        <x:v>404</x:v>
      </x:c>
      <x:c r="F661" s="2" t="s">
        <x:v>386</x:v>
      </x:c>
      <x:c r="G661" s="2"/>
      <x:c r="H661" s="2" t="s">
        <x:v>634</x:v>
      </x:c>
      <x:c r="I661" s="2" t="s">
        <x:v>2127</x:v>
      </x:c>
      <x:c r="J661" s="2" t="s">
        <x:v>2098</x:v>
      </x:c>
      <x:c r="K661" s="2" t="n">
        <x:v>36</x:v>
      </x:c>
      <x:c r="L661" s="2" t="s">
        <x:v>2128</x:v>
      </x:c>
      <x:c r="M661" s="2" t="s">
        <x:v>2099</x:v>
      </x:c>
      <x:c r="N661" s="2">
        <x:v>2</x:v>
      </x:c>
      <x:c r="O661" s="2" t="s">
        <x:v>2094</x:v>
      </x:c>
      <x:c r="P661" s="2" t="s">
        <x:v>2100</x:v>
      </x:c>
      <x:c r="Q661" s="2"/>
      <x:c r="R661" s="3">
        <x:v>4</x:v>
      </x:c>
      <x:c r="S661" s="3">
        <x:v>1</x:v>
      </x:c>
      <x:c r="T661" s="2" t="s">
        <x:v>103</x:v>
      </x:c>
      <x:c r="U661" s="2"/>
      <x:c r="V661" s="2"/>
      <x:c r="W661" s="2"/>
      <x:c r="X661" s="3"/>
      <x:c r="Y661" s="3"/>
      <x:c r="Z661" s="2"/>
      <x:c r="AA661" s="2"/>
      <x:c r="AB661" s="2" t="s">
        <x:v>2101</x:v>
      </x:c>
      <x:c r="AC661" s="2"/>
      <x:c r="AD661" s="2"/>
      <x:c r="AE661" s="2"/>
      <x:c r="AF661" s="2"/>
      <x:c r="AG661" s="2" t="s">
        <x:v>395</x:v>
      </x:c>
      <x:c r="AH661" s="2"/>
      <x:c r="AI661" s="4"/>
      <x:c r="AJ661" s="2"/>
      <x:c r="AK661" s="2" t="s">
        <x:v>396</x:v>
      </x:c>
      <x:c r="AL661" s="2" t="s">
        <x:v>3061</x:v>
      </x:c>
      <x:c r="AM661" s="2">
        <x:v>41</x:v>
      </x:c>
      <x:c r="AN661" s="2">
        <x:v>41</x:v>
      </x:c>
    </x:row>
    <x:row r="662" ht="52">
      <x:c r="A662" s="2" t="s">
        <x:v>91</x:v>
      </x:c>
      <x:c r="B662" s="2" t="s">
        <x:v>17</x:v>
      </x:c>
      <x:c r="C662" s="3">
        <x:v>40</x:v>
      </x:c>
      <x:c r="D662" s="2" t="s">
        <x:v>2134</x:v>
      </x:c>
      <x:c r="E662" s="2" t="s">
        <x:v>2135</x:v>
      </x:c>
      <x:c r="F662" s="2" t="s">
        <x:v>423</x:v>
      </x:c>
      <x:c r="G662" s="2" t="s">
        <x:v>3199</x:v>
      </x:c>
      <x:c r="H662" s="2" t="s">
        <x:v>618</x:v>
      </x:c>
      <x:c r="I662" s="2" t="s">
        <x:v>2136</x:v>
      </x:c>
      <x:c r="J662" s="2" t="s">
        <x:v>2120</x:v>
      </x:c>
      <x:c r="K662" s="2"/>
      <x:c r="L662" s="2" t="s">
        <x:v>2137</x:v>
      </x:c>
      <x:c r="M662" s="2" t="s">
        <x:v>2082</x:v>
      </x:c>
      <x:c r="N662" s="2">
        <x:v>2</x:v>
      </x:c>
      <x:c r="O662" s="2" t="s">
        <x:v>2083</x:v>
      </x:c>
      <x:c r="P662" s="2" t="s">
        <x:v>2084</x:v>
      </x:c>
      <x:c r="Q662" s="2"/>
      <x:c r="R662" s="3">
        <x:v>5</x:v>
      </x:c>
      <x:c r="S662" s="3">
        <x:v>1</x:v>
      </x:c>
      <x:c r="T662" s="2" t="s">
        <x:v>103</x:v>
      </x:c>
      <x:c r="U662" s="2"/>
      <x:c r="V662" s="2"/>
      <x:c r="W662" s="2"/>
      <x:c r="X662" s="3"/>
      <x:c r="Y662" s="3"/>
      <x:c r="Z662" s="2"/>
      <x:c r="AA662" s="2"/>
      <x:c r="AB662" s="2" t="s">
        <x:v>394</x:v>
      </x:c>
      <x:c r="AC662" s="2"/>
      <x:c r="AD662" s="2"/>
      <x:c r="AE662" s="2"/>
      <x:c r="AF662" s="2"/>
      <x:c r="AG662" s="2" t="s">
        <x:v>428</x:v>
      </x:c>
      <x:c r="AH662" s="2"/>
      <x:c r="AI662" s="4"/>
      <x:c r="AJ662" s="2"/>
      <x:c r="AK662" s="2" t="s">
        <x:v>396</x:v>
      </x:c>
      <x:c r="AL662" s="2" t="s">
        <x:v>3061</x:v>
      </x:c>
      <x:c r="AM662" s="2">
        <x:v>42</x:v>
      </x:c>
      <x:c r="AN662" s="2">
        <x:v>42</x:v>
      </x:c>
    </x:row>
    <x:row r="663" ht="39">
      <x:c r="A663" s="2" t="s">
        <x:v>6</x:v>
      </x:c>
      <x:c r="B663" s="2" t="s">
        <x:v>17</x:v>
      </x:c>
      <x:c r="C663" s="3">
        <x:v>41</x:v>
      </x:c>
      <x:c r="D663" s="2" t="s">
        <x:v>1026</x:v>
      </x:c>
      <x:c r="E663" s="2" t="s">
        <x:v>2135</x:v>
      </x:c>
      <x:c r="F663" s="2" t="s">
        <x:v>423</x:v>
      </x:c>
      <x:c r="G663" s="2"/>
      <x:c r="H663" s="2" t="s">
        <x:v>627</x:v>
      </x:c>
      <x:c r="I663" s="2" t="s">
        <x:v>2136</x:v>
      </x:c>
      <x:c r="J663" s="2" t="s">
        <x:v>2086</x:v>
      </x:c>
      <x:c r="K663" s="2" t="n">
        <x:v>40</x:v>
      </x:c>
      <x:c r="L663" s="2" t="s">
        <x:v>2137</x:v>
      </x:c>
      <x:c r="M663" s="2" t="s">
        <x:v>2087</x:v>
      </x:c>
      <x:c r="N663" s="2">
        <x:v>2</x:v>
      </x:c>
      <x:c r="O663" s="2" t="s">
        <x:v>2088</x:v>
      </x:c>
      <x:c r="P663" s="2" t="s">
        <x:v>2089</x:v>
      </x:c>
      <x:c r="Q663" s="2"/>
      <x:c r="R663" s="3">
        <x:v>5</x:v>
      </x:c>
      <x:c r="S663" s="3">
        <x:v>1</x:v>
      </x:c>
      <x:c r="T663" s="2" t="s">
        <x:v>103</x:v>
      </x:c>
      <x:c r="U663" s="2"/>
      <x:c r="V663" s="2"/>
      <x:c r="W663" s="2"/>
      <x:c r="X663" s="3"/>
      <x:c r="Y663" s="3"/>
      <x:c r="Z663" s="2"/>
      <x:c r="AA663" s="2"/>
      <x:c r="AB663" s="2" t="s">
        <x:v>2090</x:v>
      </x:c>
      <x:c r="AC663" s="2"/>
      <x:c r="AD663" s="2"/>
      <x:c r="AE663" s="2"/>
      <x:c r="AF663" s="2"/>
      <x:c r="AG663" s="2" t="s">
        <x:v>428</x:v>
      </x:c>
      <x:c r="AH663" s="2"/>
      <x:c r="AI663" s="4"/>
      <x:c r="AJ663" s="2"/>
      <x:c r="AK663" s="2" t="s">
        <x:v>396</x:v>
      </x:c>
      <x:c r="AL663" s="2" t="s">
        <x:v>3061</x:v>
      </x:c>
      <x:c r="AM663" s="2">
        <x:v>43</x:v>
      </x:c>
      <x:c r="AN663" s="2">
        <x:v>43</x:v>
      </x:c>
    </x:row>
    <x:row r="664" ht="39">
      <x:c r="A664" s="2" t="s">
        <x:v>91</x:v>
      </x:c>
      <x:c r="B664" s="2" t="s">
        <x:v>17</x:v>
      </x:c>
      <x:c r="C664" s="3">
        <x:v>42</x:v>
      </x:c>
      <x:c r="D664" s="2" t="s">
        <x:v>2138</x:v>
      </x:c>
      <x:c r="E664" s="2" t="s">
        <x:v>2135</x:v>
      </x:c>
      <x:c r="F664" s="2" t="s">
        <x:v>423</x:v>
      </x:c>
      <x:c r="G664" s="2" t="s">
        <x:v>3199</x:v>
      </x:c>
      <x:c r="H664" s="2" t="s">
        <x:v>634</x:v>
      </x:c>
      <x:c r="I664" s="2" t="s">
        <x:v>2136</x:v>
      </x:c>
      <x:c r="J664" s="2" t="s">
        <x:v>635</x:v>
      </x:c>
      <x:c r="K664" s="2" t="n">
        <x:v>40</x:v>
      </x:c>
      <x:c r="L664" s="2" t="s">
        <x:v>2137</x:v>
      </x:c>
      <x:c r="M664" s="2" t="s">
        <x:v>2093</x:v>
      </x:c>
      <x:c r="N664" s="2">
        <x:v>2</x:v>
      </x:c>
      <x:c r="O664" s="2" t="s">
        <x:v>2094</x:v>
      </x:c>
      <x:c r="P664" s="2" t="s">
        <x:v>2095</x:v>
      </x:c>
      <x:c r="Q664" s="2"/>
      <x:c r="R664" s="3">
        <x:v>5</x:v>
      </x:c>
      <x:c r="S664" s="3">
        <x:v>1</x:v>
      </x:c>
      <x:c r="T664" s="2" t="s">
        <x:v>103</x:v>
      </x:c>
      <x:c r="U664" s="2"/>
      <x:c r="V664" s="2"/>
      <x:c r="W664" s="2"/>
      <x:c r="X664" s="3"/>
      <x:c r="Y664" s="3"/>
      <x:c r="Z664" s="2"/>
      <x:c r="AA664" s="2"/>
      <x:c r="AB664" s="2" t="s">
        <x:v>394</x:v>
      </x:c>
      <x:c r="AC664" s="2"/>
      <x:c r="AD664" s="2"/>
      <x:c r="AE664" s="2"/>
      <x:c r="AF664" s="2"/>
      <x:c r="AG664" s="2" t="s">
        <x:v>428</x:v>
      </x:c>
      <x:c r="AH664" s="2"/>
      <x:c r="AI664" s="4"/>
      <x:c r="AJ664" s="2"/>
      <x:c r="AK664" s="2" t="s">
        <x:v>396</x:v>
      </x:c>
      <x:c r="AL664" s="2" t="s">
        <x:v>3061</x:v>
      </x:c>
      <x:c r="AM664" s="2">
        <x:v>44</x:v>
      </x:c>
      <x:c r="AN664" s="2">
        <x:v>44</x:v>
      </x:c>
    </x:row>
    <x:row r="665" ht="26">
      <x:c r="A665" s="2" t="s">
        <x:v>6</x:v>
      </x:c>
      <x:c r="B665" s="2" t="s">
        <x:v>17</x:v>
      </x:c>
      <x:c r="C665" s="3">
        <x:v>43</x:v>
      </x:c>
      <x:c r="D665" s="2" t="s">
        <x:v>2140</x:v>
      </x:c>
      <x:c r="E665" s="2" t="s">
        <x:v>2135</x:v>
      </x:c>
      <x:c r="F665" s="2" t="s">
        <x:v>423</x:v>
      </x:c>
      <x:c r="G665" s="2"/>
      <x:c r="H665" s="2" t="s">
        <x:v>634</x:v>
      </x:c>
      <x:c r="I665" s="2" t="s">
        <x:v>2136</x:v>
      </x:c>
      <x:c r="J665" s="2" t="s">
        <x:v>2098</x:v>
      </x:c>
      <x:c r="K665" s="2" t="n">
        <x:v>40</x:v>
      </x:c>
      <x:c r="L665" s="2" t="s">
        <x:v>2137</x:v>
      </x:c>
      <x:c r="M665" s="2" t="s">
        <x:v>2099</x:v>
      </x:c>
      <x:c r="N665" s="2">
        <x:v>2</x:v>
      </x:c>
      <x:c r="O665" s="2" t="s">
        <x:v>2094</x:v>
      </x:c>
      <x:c r="P665" s="2" t="s">
        <x:v>2100</x:v>
      </x:c>
      <x:c r="Q665" s="2"/>
      <x:c r="R665" s="3">
        <x:v>5</x:v>
      </x:c>
      <x:c r="S665" s="3">
        <x:v>1</x:v>
      </x:c>
      <x:c r="T665" s="2" t="s">
        <x:v>103</x:v>
      </x:c>
      <x:c r="U665" s="2"/>
      <x:c r="V665" s="2"/>
      <x:c r="W665" s="2"/>
      <x:c r="X665" s="3"/>
      <x:c r="Y665" s="3"/>
      <x:c r="Z665" s="2"/>
      <x:c r="AA665" s="2"/>
      <x:c r="AB665" s="2" t="s">
        <x:v>2101</x:v>
      </x:c>
      <x:c r="AC665" s="2"/>
      <x:c r="AD665" s="2"/>
      <x:c r="AE665" s="2"/>
      <x:c r="AF665" s="2"/>
      <x:c r="AG665" s="2" t="s">
        <x:v>428</x:v>
      </x:c>
      <x:c r="AH665" s="2"/>
      <x:c r="AI665" s="4"/>
      <x:c r="AJ665" s="2"/>
      <x:c r="AK665" s="2" t="s">
        <x:v>396</x:v>
      </x:c>
      <x:c r="AL665" s="2" t="s">
        <x:v>3061</x:v>
      </x:c>
      <x:c r="AM665" s="2">
        <x:v>45</x:v>
      </x:c>
      <x:c r="AN665" s="2">
        <x:v>45</x:v>
      </x:c>
    </x:row>
    <x:row r="666" ht="52">
      <x:c r="A666" s="2" t="s">
        <x:v>91</x:v>
      </x:c>
      <x:c r="B666" s="2" t="s">
        <x:v>17</x:v>
      </x:c>
      <x:c r="C666" s="3">
        <x:v>44</x:v>
      </x:c>
      <x:c r="D666" s="2" t="s">
        <x:v>2141</x:v>
      </x:c>
      <x:c r="E666" s="2" t="s">
        <x:v>2142</x:v>
      </x:c>
      <x:c r="F666" s="2" t="s">
        <x:v>2047</x:v>
      </x:c>
      <x:c r="G666" s="2" t="s">
        <x:v>3200</x:v>
      </x:c>
      <x:c r="H666" s="2" t="s">
        <x:v>618</x:v>
      </x:c>
      <x:c r="I666" s="2" t="s">
        <x:v>2144</x:v>
      </x:c>
      <x:c r="J666" s="2" t="s">
        <x:v>2145</x:v>
      </x:c>
      <x:c r="K666" s="2"/>
      <x:c r="L666" s="2" t="s">
        <x:v>2146</x:v>
      </x:c>
      <x:c r="M666" s="2" t="s">
        <x:v>2082</x:v>
      </x:c>
      <x:c r="N666" s="2">
        <x:v>2</x:v>
      </x:c>
      <x:c r="O666" s="2" t="s">
        <x:v>2083</x:v>
      </x:c>
      <x:c r="P666" s="2" t="s">
        <x:v>2084</x:v>
      </x:c>
      <x:c r="Q666" s="2"/>
      <x:c r="R666" s="3">
        <x:v>3</x:v>
      </x:c>
      <x:c r="S666" s="3">
        <x:v>1</x:v>
      </x:c>
      <x:c r="T666" s="2" t="s">
        <x:v>103</x:v>
      </x:c>
      <x:c r="U666" s="2"/>
      <x:c r="V666" s="2"/>
      <x:c r="W666" s="2"/>
      <x:c r="X666" s="3"/>
      <x:c r="Y666" s="3"/>
      <x:c r="Z666" s="2"/>
      <x:c r="AA666" s="2"/>
      <x:c r="AB666" s="2" t="s">
        <x:v>415</x:v>
      </x:c>
      <x:c r="AC666" s="2"/>
      <x:c r="AD666" s="2"/>
      <x:c r="AE666" s="2"/>
      <x:c r="AF666" s="2"/>
      <x:c r="AG666" s="2" t="s">
        <x:v>2036</x:v>
      </x:c>
      <x:c r="AH666" s="2"/>
      <x:c r="AI666" s="4"/>
      <x:c r="AJ666" s="2"/>
      <x:c r="AK666" s="2" t="s">
        <x:v>396</x:v>
      </x:c>
      <x:c r="AL666" s="2" t="s">
        <x:v>3061</x:v>
      </x:c>
      <x:c r="AM666" s="2">
        <x:v>46</x:v>
      </x:c>
      <x:c r="AN666" s="2">
        <x:v>46</x:v>
      </x:c>
    </x:row>
    <x:row r="667" ht="39">
      <x:c r="A667" s="2" t="s">
        <x:v>91</x:v>
      </x:c>
      <x:c r="B667" s="2" t="s">
        <x:v>17</x:v>
      </x:c>
      <x:c r="C667" s="3">
        <x:v>45</x:v>
      </x:c>
      <x:c r="D667" s="2" t="s">
        <x:v>2147</x:v>
      </x:c>
      <x:c r="E667" s="2" t="s">
        <x:v>2142</x:v>
      </x:c>
      <x:c r="F667" s="2" t="s">
        <x:v>2047</x:v>
      </x:c>
      <x:c r="G667" s="2" t="s">
        <x:v>2148</x:v>
      </x:c>
      <x:c r="H667" s="2" t="s">
        <x:v>627</x:v>
      </x:c>
      <x:c r="I667" s="2" t="s">
        <x:v>2144</x:v>
      </x:c>
      <x:c r="J667" s="2" t="s">
        <x:v>2086</x:v>
      </x:c>
      <x:c r="K667" s="2" t="n">
        <x:v>44</x:v>
      </x:c>
      <x:c r="L667" s="2" t="s">
        <x:v>2146</x:v>
      </x:c>
      <x:c r="M667" s="2" t="s">
        <x:v>2087</x:v>
      </x:c>
      <x:c r="N667" s="2">
        <x:v>2</x:v>
      </x:c>
      <x:c r="O667" s="2" t="s">
        <x:v>2088</x:v>
      </x:c>
      <x:c r="P667" s="2" t="s">
        <x:v>2089</x:v>
      </x:c>
      <x:c r="Q667" s="2"/>
      <x:c r="R667" s="3">
        <x:v>3</x:v>
      </x:c>
      <x:c r="S667" s="3">
        <x:v>1</x:v>
      </x:c>
      <x:c r="T667" s="2" t="s">
        <x:v>103</x:v>
      </x:c>
      <x:c r="U667" s="2"/>
      <x:c r="V667" s="2"/>
      <x:c r="W667" s="2"/>
      <x:c r="X667" s="3"/>
      <x:c r="Y667" s="3"/>
      <x:c r="Z667" s="2"/>
      <x:c r="AA667" s="2"/>
      <x:c r="AB667" s="2" t="s">
        <x:v>2090</x:v>
      </x:c>
      <x:c r="AC667" s="2"/>
      <x:c r="AD667" s="2"/>
      <x:c r="AE667" s="2"/>
      <x:c r="AF667" s="2"/>
      <x:c r="AG667" s="2" t="s">
        <x:v>2036</x:v>
      </x:c>
      <x:c r="AH667" s="2"/>
      <x:c r="AI667" s="4"/>
      <x:c r="AJ667" s="2"/>
      <x:c r="AK667" s="2" t="s">
        <x:v>396</x:v>
      </x:c>
      <x:c r="AL667" s="2" t="s">
        <x:v>3061</x:v>
      </x:c>
      <x:c r="AM667" s="2">
        <x:v>47</x:v>
      </x:c>
      <x:c r="AN667" s="2">
        <x:v>47</x:v>
      </x:c>
    </x:row>
    <x:row r="668" ht="39">
      <x:c r="A668" s="2" t="s">
        <x:v>91</x:v>
      </x:c>
      <x:c r="B668" s="2" t="s">
        <x:v>17</x:v>
      </x:c>
      <x:c r="C668" s="3">
        <x:v>46</x:v>
      </x:c>
      <x:c r="D668" s="2" t="s">
        <x:v>2149</x:v>
      </x:c>
      <x:c r="E668" s="2" t="s">
        <x:v>2142</x:v>
      </x:c>
      <x:c r="F668" s="2" t="s">
        <x:v>2047</x:v>
      </x:c>
      <x:c r="G668" s="2" t="s">
        <x:v>3200</x:v>
      </x:c>
      <x:c r="H668" s="2" t="s">
        <x:v>634</x:v>
      </x:c>
      <x:c r="I668" s="2" t="s">
        <x:v>2144</x:v>
      </x:c>
      <x:c r="J668" s="2" t="s">
        <x:v>635</x:v>
      </x:c>
      <x:c r="K668" s="2" t="n">
        <x:v>44</x:v>
      </x:c>
      <x:c r="L668" s="2" t="s">
        <x:v>2146</x:v>
      </x:c>
      <x:c r="M668" s="2" t="s">
        <x:v>2093</x:v>
      </x:c>
      <x:c r="N668" s="2">
        <x:v>2</x:v>
      </x:c>
      <x:c r="O668" s="2" t="s">
        <x:v>2094</x:v>
      </x:c>
      <x:c r="P668" s="2" t="s">
        <x:v>2095</x:v>
      </x:c>
      <x:c r="Q668" s="2"/>
      <x:c r="R668" s="3">
        <x:v>3</x:v>
      </x:c>
      <x:c r="S668" s="3">
        <x:v>1</x:v>
      </x:c>
      <x:c r="T668" s="2" t="s">
        <x:v>103</x:v>
      </x:c>
      <x:c r="U668" s="2"/>
      <x:c r="V668" s="2"/>
      <x:c r="W668" s="2"/>
      <x:c r="X668" s="3"/>
      <x:c r="Y668" s="3"/>
      <x:c r="Z668" s="2"/>
      <x:c r="AA668" s="2"/>
      <x:c r="AB668" s="2" t="s">
        <x:v>415</x:v>
      </x:c>
      <x:c r="AC668" s="2"/>
      <x:c r="AD668" s="2"/>
      <x:c r="AE668" s="2"/>
      <x:c r="AF668" s="2"/>
      <x:c r="AG668" s="2" t="s">
        <x:v>2036</x:v>
      </x:c>
      <x:c r="AH668" s="2"/>
      <x:c r="AI668" s="4"/>
      <x:c r="AJ668" s="2"/>
      <x:c r="AK668" s="2" t="s">
        <x:v>396</x:v>
      </x:c>
      <x:c r="AL668" s="2" t="s">
        <x:v>3061</x:v>
      </x:c>
      <x:c r="AM668" s="2">
        <x:v>48</x:v>
      </x:c>
      <x:c r="AN668" s="2">
        <x:v>48</x:v>
      </x:c>
    </x:row>
    <x:row r="669" ht="26">
      <x:c r="A669" s="2" t="s">
        <x:v>91</x:v>
      </x:c>
      <x:c r="B669" s="2" t="s">
        <x:v>17</x:v>
      </x:c>
      <x:c r="C669" s="3">
        <x:v>47</x:v>
      </x:c>
      <x:c r="D669" s="2" t="s">
        <x:v>2151</x:v>
      </x:c>
      <x:c r="E669" s="2" t="s">
        <x:v>2142</x:v>
      </x:c>
      <x:c r="F669" s="2" t="s">
        <x:v>2047</x:v>
      </x:c>
      <x:c r="G669" s="2"/>
      <x:c r="H669" s="2" t="s">
        <x:v>634</x:v>
      </x:c>
      <x:c r="I669" s="2" t="s">
        <x:v>2144</x:v>
      </x:c>
      <x:c r="J669" s="2" t="s">
        <x:v>2098</x:v>
      </x:c>
      <x:c r="K669" s="2" t="n">
        <x:v>44</x:v>
      </x:c>
      <x:c r="L669" s="2" t="s">
        <x:v>2146</x:v>
      </x:c>
      <x:c r="M669" s="2" t="s">
        <x:v>2099</x:v>
      </x:c>
      <x:c r="N669" s="2">
        <x:v>2</x:v>
      </x:c>
      <x:c r="O669" s="2" t="s">
        <x:v>2094</x:v>
      </x:c>
      <x:c r="P669" s="2" t="s">
        <x:v>2100</x:v>
      </x:c>
      <x:c r="Q669" s="2"/>
      <x:c r="R669" s="3">
        <x:v>3</x:v>
      </x:c>
      <x:c r="S669" s="3">
        <x:v>1</x:v>
      </x:c>
      <x:c r="T669" s="2" t="s">
        <x:v>103</x:v>
      </x:c>
      <x:c r="U669" s="2"/>
      <x:c r="V669" s="2"/>
      <x:c r="W669" s="2"/>
      <x:c r="X669" s="3"/>
      <x:c r="Y669" s="3"/>
      <x:c r="Z669" s="2"/>
      <x:c r="AA669" s="2"/>
      <x:c r="AB669" s="2" t="s">
        <x:v>2101</x:v>
      </x:c>
      <x:c r="AC669" s="2"/>
      <x:c r="AD669" s="2"/>
      <x:c r="AE669" s="2"/>
      <x:c r="AF669" s="2"/>
      <x:c r="AG669" s="2" t="s">
        <x:v>2036</x:v>
      </x:c>
      <x:c r="AH669" s="2"/>
      <x:c r="AI669" s="4"/>
      <x:c r="AJ669" s="2"/>
      <x:c r="AK669" s="2" t="s">
        <x:v>396</x:v>
      </x:c>
      <x:c r="AL669" s="2" t="s">
        <x:v>3061</x:v>
      </x:c>
      <x:c r="AM669" s="2">
        <x:v>49</x:v>
      </x:c>
      <x:c r="AN669" s="2">
        <x:v>49</x:v>
      </x:c>
    </x:row>
    <x:row r="670" ht="52">
      <x:c r="A670" s="2" t="s">
        <x:v>6</x:v>
      </x:c>
      <x:c r="B670" s="2" t="s">
        <x:v>17</x:v>
      </x:c>
      <x:c r="C670" s="3">
        <x:v>48</x:v>
      </x:c>
      <x:c r="D670" s="2" t="s">
        <x:v>2153</x:v>
      </x:c>
      <x:c r="E670" s="2" t="s">
        <x:v>2154</x:v>
      </x:c>
      <x:c r="F670" s="2" t="s">
        <x:v>410</x:v>
      </x:c>
      <x:c r="G670" s="2"/>
      <x:c r="H670" s="2" t="s">
        <x:v>618</x:v>
      </x:c>
      <x:c r="I670" s="2" t="s">
        <x:v>2155</x:v>
      </x:c>
      <x:c r="J670" s="2" t="s">
        <x:v>2145</x:v>
      </x:c>
      <x:c r="K670" s="2"/>
      <x:c r="L670" s="2" t="s">
        <x:v>2156</x:v>
      </x:c>
      <x:c r="M670" s="2" t="s">
        <x:v>2082</x:v>
      </x:c>
      <x:c r="N670" s="2">
        <x:v>2</x:v>
      </x:c>
      <x:c r="O670" s="2" t="s">
        <x:v>2083</x:v>
      </x:c>
      <x:c r="P670" s="2" t="s">
        <x:v>2084</x:v>
      </x:c>
      <x:c r="Q670" s="2"/>
      <x:c r="R670" s="3">
        <x:v>3</x:v>
      </x:c>
      <x:c r="S670" s="3">
        <x:v>1</x:v>
      </x:c>
      <x:c r="T670" s="2" t="s">
        <x:v>103</x:v>
      </x:c>
      <x:c r="U670" s="2"/>
      <x:c r="V670" s="2"/>
      <x:c r="W670" s="2"/>
      <x:c r="X670" s="3"/>
      <x:c r="Y670" s="3"/>
      <x:c r="Z670" s="2"/>
      <x:c r="AA670" s="2"/>
      <x:c r="AB670" s="2" t="s">
        <x:v>427</x:v>
      </x:c>
      <x:c r="AC670" s="2"/>
      <x:c r="AD670" s="2"/>
      <x:c r="AE670" s="2"/>
      <x:c r="AF670" s="2"/>
      <x:c r="AG670" s="2" t="s">
        <x:v>395</x:v>
      </x:c>
      <x:c r="AH670" s="2"/>
      <x:c r="AI670" s="4"/>
      <x:c r="AJ670" s="2"/>
      <x:c r="AK670" s="2" t="s">
        <x:v>396</x:v>
      </x:c>
      <x:c r="AL670" s="2" t="s">
        <x:v>3061</x:v>
      </x:c>
      <x:c r="AM670" s="2">
        <x:v>50</x:v>
      </x:c>
      <x:c r="AN670" s="2">
        <x:v>50</x:v>
      </x:c>
    </x:row>
    <x:row r="671" ht="39">
      <x:c r="A671" s="2" t="s">
        <x:v>6</x:v>
      </x:c>
      <x:c r="B671" s="2" t="s">
        <x:v>17</x:v>
      </x:c>
      <x:c r="C671" s="3">
        <x:v>49</x:v>
      </x:c>
      <x:c r="D671" s="2" t="s">
        <x:v>2157</x:v>
      </x:c>
      <x:c r="E671" s="2" t="s">
        <x:v>2154</x:v>
      </x:c>
      <x:c r="F671" s="2" t="s">
        <x:v>410</x:v>
      </x:c>
      <x:c r="G671" s="2"/>
      <x:c r="H671" s="2" t="s">
        <x:v>627</x:v>
      </x:c>
      <x:c r="I671" s="2" t="s">
        <x:v>2155</x:v>
      </x:c>
      <x:c r="J671" s="2" t="s">
        <x:v>2086</x:v>
      </x:c>
      <x:c r="K671" s="2" t="n">
        <x:v>48</x:v>
      </x:c>
      <x:c r="L671" s="2" t="s">
        <x:v>2156</x:v>
      </x:c>
      <x:c r="M671" s="2" t="s">
        <x:v>2087</x:v>
      </x:c>
      <x:c r="N671" s="2">
        <x:v>2</x:v>
      </x:c>
      <x:c r="O671" s="2" t="s">
        <x:v>2088</x:v>
      </x:c>
      <x:c r="P671" s="2" t="s">
        <x:v>2089</x:v>
      </x:c>
      <x:c r="Q671" s="2"/>
      <x:c r="R671" s="3">
        <x:v>3</x:v>
      </x:c>
      <x:c r="S671" s="3">
        <x:v>1</x:v>
      </x:c>
      <x:c r="T671" s="2" t="s">
        <x:v>103</x:v>
      </x:c>
      <x:c r="U671" s="2"/>
      <x:c r="V671" s="2"/>
      <x:c r="W671" s="2"/>
      <x:c r="X671" s="3"/>
      <x:c r="Y671" s="3"/>
      <x:c r="Z671" s="2"/>
      <x:c r="AA671" s="2"/>
      <x:c r="AB671" s="2" t="s">
        <x:v>2090</x:v>
      </x:c>
      <x:c r="AC671" s="2"/>
      <x:c r="AD671" s="2"/>
      <x:c r="AE671" s="2"/>
      <x:c r="AF671" s="2"/>
      <x:c r="AG671" s="2" t="s">
        <x:v>395</x:v>
      </x:c>
      <x:c r="AH671" s="2"/>
      <x:c r="AI671" s="4"/>
      <x:c r="AJ671" s="2"/>
      <x:c r="AK671" s="2" t="s">
        <x:v>396</x:v>
      </x:c>
      <x:c r="AL671" s="2" t="s">
        <x:v>3061</x:v>
      </x:c>
      <x:c r="AM671" s="2">
        <x:v>51</x:v>
      </x:c>
      <x:c r="AN671" s="2">
        <x:v>51</x:v>
      </x:c>
    </x:row>
    <x:row r="672" ht="39">
      <x:c r="A672" s="2" t="s">
        <x:v>6</x:v>
      </x:c>
      <x:c r="B672" s="2" t="s">
        <x:v>17</x:v>
      </x:c>
      <x:c r="C672" s="3">
        <x:v>50</x:v>
      </x:c>
      <x:c r="D672" s="2" t="s">
        <x:v>2158</x:v>
      </x:c>
      <x:c r="E672" s="2" t="s">
        <x:v>2154</x:v>
      </x:c>
      <x:c r="F672" s="2" t="s">
        <x:v>410</x:v>
      </x:c>
      <x:c r="G672" s="2"/>
      <x:c r="H672" s="2" t="s">
        <x:v>634</x:v>
      </x:c>
      <x:c r="I672" s="2" t="s">
        <x:v>2155</x:v>
      </x:c>
      <x:c r="J672" s="2" t="s">
        <x:v>635</x:v>
      </x:c>
      <x:c r="K672" s="2" t="n">
        <x:v>48</x:v>
      </x:c>
      <x:c r="L672" s="2" t="s">
        <x:v>2156</x:v>
      </x:c>
      <x:c r="M672" s="2" t="s">
        <x:v>2093</x:v>
      </x:c>
      <x:c r="N672" s="2">
        <x:v>2</x:v>
      </x:c>
      <x:c r="O672" s="2" t="s">
        <x:v>2094</x:v>
      </x:c>
      <x:c r="P672" s="2" t="s">
        <x:v>2095</x:v>
      </x:c>
      <x:c r="Q672" s="2"/>
      <x:c r="R672" s="3">
        <x:v>3</x:v>
      </x:c>
      <x:c r="S672" s="3">
        <x:v>1</x:v>
      </x:c>
      <x:c r="T672" s="2" t="s">
        <x:v>103</x:v>
      </x:c>
      <x:c r="U672" s="2"/>
      <x:c r="V672" s="2"/>
      <x:c r="W672" s="2"/>
      <x:c r="X672" s="3"/>
      <x:c r="Y672" s="3"/>
      <x:c r="Z672" s="2"/>
      <x:c r="AA672" s="2"/>
      <x:c r="AB672" s="2" t="s">
        <x:v>427</x:v>
      </x:c>
      <x:c r="AC672" s="2"/>
      <x:c r="AD672" s="2"/>
      <x:c r="AE672" s="2"/>
      <x:c r="AF672" s="2"/>
      <x:c r="AG672" s="2" t="s">
        <x:v>395</x:v>
      </x:c>
      <x:c r="AH672" s="2"/>
      <x:c r="AI672" s="4"/>
      <x:c r="AJ672" s="2"/>
      <x:c r="AK672" s="2" t="s">
        <x:v>396</x:v>
      </x:c>
      <x:c r="AL672" s="2" t="s">
        <x:v>3061</x:v>
      </x:c>
      <x:c r="AM672" s="2">
        <x:v>52</x:v>
      </x:c>
      <x:c r="AN672" s="2">
        <x:v>52</x:v>
      </x:c>
    </x:row>
    <x:row r="673" ht="26">
      <x:c r="A673" s="2" t="s">
        <x:v>6</x:v>
      </x:c>
      <x:c r="B673" s="2" t="s">
        <x:v>17</x:v>
      </x:c>
      <x:c r="C673" s="3">
        <x:v>51</x:v>
      </x:c>
      <x:c r="D673" s="2" t="s">
        <x:v>2159</x:v>
      </x:c>
      <x:c r="E673" s="2" t="s">
        <x:v>2154</x:v>
      </x:c>
      <x:c r="F673" s="2" t="s">
        <x:v>410</x:v>
      </x:c>
      <x:c r="G673" s="2"/>
      <x:c r="H673" s="2" t="s">
        <x:v>634</x:v>
      </x:c>
      <x:c r="I673" s="2" t="s">
        <x:v>2155</x:v>
      </x:c>
      <x:c r="J673" s="2" t="s">
        <x:v>2098</x:v>
      </x:c>
      <x:c r="K673" s="2" t="n">
        <x:v>48</x:v>
      </x:c>
      <x:c r="L673" s="2" t="s">
        <x:v>2156</x:v>
      </x:c>
      <x:c r="M673" s="2" t="s">
        <x:v>2099</x:v>
      </x:c>
      <x:c r="N673" s="2">
        <x:v>2</x:v>
      </x:c>
      <x:c r="O673" s="2" t="s">
        <x:v>2094</x:v>
      </x:c>
      <x:c r="P673" s="2" t="s">
        <x:v>2100</x:v>
      </x:c>
      <x:c r="Q673" s="2"/>
      <x:c r="R673" s="3">
        <x:v>3</x:v>
      </x:c>
      <x:c r="S673" s="3">
        <x:v>1</x:v>
      </x:c>
      <x:c r="T673" s="2" t="s">
        <x:v>103</x:v>
      </x:c>
      <x:c r="U673" s="2"/>
      <x:c r="V673" s="2"/>
      <x:c r="W673" s="2"/>
      <x:c r="X673" s="3"/>
      <x:c r="Y673" s="3"/>
      <x:c r="Z673" s="2"/>
      <x:c r="AA673" s="2"/>
      <x:c r="AB673" s="2" t="s">
        <x:v>2101</x:v>
      </x:c>
      <x:c r="AC673" s="2"/>
      <x:c r="AD673" s="2"/>
      <x:c r="AE673" s="2"/>
      <x:c r="AF673" s="2"/>
      <x:c r="AG673" s="2" t="s">
        <x:v>395</x:v>
      </x:c>
      <x:c r="AH673" s="2"/>
      <x:c r="AI673" s="4"/>
      <x:c r="AJ673" s="2"/>
      <x:c r="AK673" s="2" t="s">
        <x:v>396</x:v>
      </x:c>
      <x:c r="AL673" s="2" t="s">
        <x:v>3061</x:v>
      </x:c>
      <x:c r="AM673" s="2">
        <x:v>53</x:v>
      </x:c>
      <x:c r="AN673" s="2">
        <x:v>53</x:v>
      </x:c>
    </x:row>
    <x:row r="674" ht="52">
      <x:c r="A674" s="2" t="s">
        <x:v>6</x:v>
      </x:c>
      <x:c r="B674" s="2" t="s">
        <x:v>17</x:v>
      </x:c>
      <x:c r="C674" s="3">
        <x:v>52</x:v>
      </x:c>
      <x:c r="D674" s="2" t="s">
        <x:v>2160</x:v>
      </x:c>
      <x:c r="E674" s="2" t="s">
        <x:v>2161</x:v>
      </x:c>
      <x:c r="F674" s="2" t="s">
        <x:v>431</x:v>
      </x:c>
      <x:c r="G674" s="2"/>
      <x:c r="H674" s="2" t="s">
        <x:v>618</x:v>
      </x:c>
      <x:c r="I674" s="2" t="s">
        <x:v>2162</x:v>
      </x:c>
      <x:c r="J674" s="2" t="s">
        <x:v>2145</x:v>
      </x:c>
      <x:c r="K674" s="2"/>
      <x:c r="L674" s="2" t="s">
        <x:v>2163</x:v>
      </x:c>
      <x:c r="M674" s="2" t="s">
        <x:v>2082</x:v>
      </x:c>
      <x:c r="N674" s="2">
        <x:v>2</x:v>
      </x:c>
      <x:c r="O674" s="2" t="s">
        <x:v>2083</x:v>
      </x:c>
      <x:c r="P674" s="2" t="s">
        <x:v>2084</x:v>
      </x:c>
      <x:c r="Q674" s="2"/>
      <x:c r="R674" s="3">
        <x:v>4</x:v>
      </x:c>
      <x:c r="S674" s="3">
        <x:v>1</x:v>
      </x:c>
      <x:c r="T674" s="2" t="s">
        <x:v>103</x:v>
      </x:c>
      <x:c r="U674" s="2"/>
      <x:c r="V674" s="2"/>
      <x:c r="W674" s="2"/>
      <x:c r="X674" s="3"/>
      <x:c r="Y674" s="3"/>
      <x:c r="Z674" s="2"/>
      <x:c r="AA674" s="2"/>
      <x:c r="AB674" s="2" t="s">
        <x:v>394</x:v>
      </x:c>
      <x:c r="AC674" s="2"/>
      <x:c r="AD674" s="2"/>
      <x:c r="AE674" s="2"/>
      <x:c r="AF674" s="2"/>
      <x:c r="AG674" s="2" t="s">
        <x:v>428</x:v>
      </x:c>
      <x:c r="AH674" s="2"/>
      <x:c r="AI674" s="4"/>
      <x:c r="AJ674" s="2"/>
      <x:c r="AK674" s="2" t="s">
        <x:v>396</x:v>
      </x:c>
      <x:c r="AL674" s="2" t="s">
        <x:v>3061</x:v>
      </x:c>
      <x:c r="AM674" s="2">
        <x:v>54</x:v>
      </x:c>
      <x:c r="AN674" s="2">
        <x:v>54</x:v>
      </x:c>
    </x:row>
    <x:row r="675" ht="39">
      <x:c r="A675" s="2" t="s">
        <x:v>6</x:v>
      </x:c>
      <x:c r="B675" s="2" t="s">
        <x:v>17</x:v>
      </x:c>
      <x:c r="C675" s="3">
        <x:v>53</x:v>
      </x:c>
      <x:c r="D675" s="2" t="s">
        <x:v>2164</x:v>
      </x:c>
      <x:c r="E675" s="2" t="s">
        <x:v>2161</x:v>
      </x:c>
      <x:c r="F675" s="2" t="s">
        <x:v>431</x:v>
      </x:c>
      <x:c r="G675" s="2"/>
      <x:c r="H675" s="2" t="s">
        <x:v>627</x:v>
      </x:c>
      <x:c r="I675" s="2" t="s">
        <x:v>2162</x:v>
      </x:c>
      <x:c r="J675" s="2" t="s">
        <x:v>2086</x:v>
      </x:c>
      <x:c r="K675" s="2" t="n">
        <x:v>52</x:v>
      </x:c>
      <x:c r="L675" s="2" t="s">
        <x:v>2163</x:v>
      </x:c>
      <x:c r="M675" s="2" t="s">
        <x:v>2087</x:v>
      </x:c>
      <x:c r="N675" s="2">
        <x:v>2</x:v>
      </x:c>
      <x:c r="O675" s="2" t="s">
        <x:v>2088</x:v>
      </x:c>
      <x:c r="P675" s="2" t="s">
        <x:v>2089</x:v>
      </x:c>
      <x:c r="Q675" s="2"/>
      <x:c r="R675" s="3">
        <x:v>4</x:v>
      </x:c>
      <x:c r="S675" s="3">
        <x:v>1</x:v>
      </x:c>
      <x:c r="T675" s="2" t="s">
        <x:v>103</x:v>
      </x:c>
      <x:c r="U675" s="2"/>
      <x:c r="V675" s="2"/>
      <x:c r="W675" s="2"/>
      <x:c r="X675" s="3"/>
      <x:c r="Y675" s="3"/>
      <x:c r="Z675" s="2"/>
      <x:c r="AA675" s="2"/>
      <x:c r="AB675" s="2" t="s">
        <x:v>2090</x:v>
      </x:c>
      <x:c r="AC675" s="2"/>
      <x:c r="AD675" s="2"/>
      <x:c r="AE675" s="2"/>
      <x:c r="AF675" s="2"/>
      <x:c r="AG675" s="2" t="s">
        <x:v>428</x:v>
      </x:c>
      <x:c r="AH675" s="2"/>
      <x:c r="AI675" s="4"/>
      <x:c r="AJ675" s="2"/>
      <x:c r="AK675" s="2" t="s">
        <x:v>396</x:v>
      </x:c>
      <x:c r="AL675" s="2" t="s">
        <x:v>3061</x:v>
      </x:c>
      <x:c r="AM675" s="2">
        <x:v>55</x:v>
      </x:c>
      <x:c r="AN675" s="2">
        <x:v>55</x:v>
      </x:c>
    </x:row>
    <x:row r="676" ht="39">
      <x:c r="A676" s="2" t="s">
        <x:v>6</x:v>
      </x:c>
      <x:c r="B676" s="2" t="s">
        <x:v>17</x:v>
      </x:c>
      <x:c r="C676" s="3">
        <x:v>54</x:v>
      </x:c>
      <x:c r="D676" s="2" t="s">
        <x:v>2165</x:v>
      </x:c>
      <x:c r="E676" s="2" t="s">
        <x:v>2161</x:v>
      </x:c>
      <x:c r="F676" s="2" t="s">
        <x:v>431</x:v>
      </x:c>
      <x:c r="G676" s="2"/>
      <x:c r="H676" s="2" t="s">
        <x:v>634</x:v>
      </x:c>
      <x:c r="I676" s="2" t="s">
        <x:v>2162</x:v>
      </x:c>
      <x:c r="J676" s="2" t="s">
        <x:v>635</x:v>
      </x:c>
      <x:c r="K676" s="2" t="n">
        <x:v>52</x:v>
      </x:c>
      <x:c r="L676" s="2" t="s">
        <x:v>2163</x:v>
      </x:c>
      <x:c r="M676" s="2" t="s">
        <x:v>2093</x:v>
      </x:c>
      <x:c r="N676" s="2">
        <x:v>2</x:v>
      </x:c>
      <x:c r="O676" s="2" t="s">
        <x:v>2094</x:v>
      </x:c>
      <x:c r="P676" s="2" t="s">
        <x:v>2095</x:v>
      </x:c>
      <x:c r="Q676" s="2"/>
      <x:c r="R676" s="3">
        <x:v>4</x:v>
      </x:c>
      <x:c r="S676" s="3">
        <x:v>1</x:v>
      </x:c>
      <x:c r="T676" s="2" t="s">
        <x:v>103</x:v>
      </x:c>
      <x:c r="U676" s="2"/>
      <x:c r="V676" s="2"/>
      <x:c r="W676" s="2"/>
      <x:c r="X676" s="3"/>
      <x:c r="Y676" s="3"/>
      <x:c r="Z676" s="2"/>
      <x:c r="AA676" s="2"/>
      <x:c r="AB676" s="2" t="s">
        <x:v>394</x:v>
      </x:c>
      <x:c r="AC676" s="2"/>
      <x:c r="AD676" s="2"/>
      <x:c r="AE676" s="2"/>
      <x:c r="AF676" s="2"/>
      <x:c r="AG676" s="2" t="s">
        <x:v>428</x:v>
      </x:c>
      <x:c r="AH676" s="2"/>
      <x:c r="AI676" s="4"/>
      <x:c r="AJ676" s="2"/>
      <x:c r="AK676" s="2" t="s">
        <x:v>396</x:v>
      </x:c>
      <x:c r="AL676" s="2" t="s">
        <x:v>3061</x:v>
      </x:c>
      <x:c r="AM676" s="2">
        <x:v>56</x:v>
      </x:c>
      <x:c r="AN676" s="2">
        <x:v>56</x:v>
      </x:c>
    </x:row>
    <x:row r="677" ht="26">
      <x:c r="A677" s="2" t="s">
        <x:v>6</x:v>
      </x:c>
      <x:c r="B677" s="2" t="s">
        <x:v>17</x:v>
      </x:c>
      <x:c r="C677" s="3">
        <x:v>55</x:v>
      </x:c>
      <x:c r="D677" s="2" t="s">
        <x:v>2166</x:v>
      </x:c>
      <x:c r="E677" s="2" t="s">
        <x:v>2161</x:v>
      </x:c>
      <x:c r="F677" s="2" t="s">
        <x:v>431</x:v>
      </x:c>
      <x:c r="G677" s="2"/>
      <x:c r="H677" s="2" t="s">
        <x:v>634</x:v>
      </x:c>
      <x:c r="I677" s="2" t="s">
        <x:v>2162</x:v>
      </x:c>
      <x:c r="J677" s="2" t="s">
        <x:v>2098</x:v>
      </x:c>
      <x:c r="K677" s="2" t="n">
        <x:v>52</x:v>
      </x:c>
      <x:c r="L677" s="2" t="s">
        <x:v>2163</x:v>
      </x:c>
      <x:c r="M677" s="2" t="s">
        <x:v>2099</x:v>
      </x:c>
      <x:c r="N677" s="2">
        <x:v>2</x:v>
      </x:c>
      <x:c r="O677" s="2" t="s">
        <x:v>2094</x:v>
      </x:c>
      <x:c r="P677" s="2" t="s">
        <x:v>2100</x:v>
      </x:c>
      <x:c r="Q677" s="2"/>
      <x:c r="R677" s="3">
        <x:v>4</x:v>
      </x:c>
      <x:c r="S677" s="3">
        <x:v>1</x:v>
      </x:c>
      <x:c r="T677" s="2" t="s">
        <x:v>103</x:v>
      </x:c>
      <x:c r="U677" s="2"/>
      <x:c r="V677" s="2"/>
      <x:c r="W677" s="2"/>
      <x:c r="X677" s="3"/>
      <x:c r="Y677" s="3"/>
      <x:c r="Z677" s="2"/>
      <x:c r="AA677" s="2"/>
      <x:c r="AB677" s="2" t="s">
        <x:v>2101</x:v>
      </x:c>
      <x:c r="AC677" s="2"/>
      <x:c r="AD677" s="2"/>
      <x:c r="AE677" s="2"/>
      <x:c r="AF677" s="2"/>
      <x:c r="AG677" s="2" t="s">
        <x:v>428</x:v>
      </x:c>
      <x:c r="AH677" s="2"/>
      <x:c r="AI677" s="4"/>
      <x:c r="AJ677" s="2"/>
      <x:c r="AK677" s="2" t="s">
        <x:v>396</x:v>
      </x:c>
      <x:c r="AL677" s="2" t="s">
        <x:v>3061</x:v>
      </x:c>
      <x:c r="AM677" s="2">
        <x:v>57</x:v>
      </x:c>
      <x:c r="AN677" s="2">
        <x:v>57</x:v>
      </x:c>
    </x:row>
    <x:row r="678" ht="52">
      <x:c r="A678" s="2" t="s">
        <x:v>91</x:v>
      </x:c>
      <x:c r="B678" s="2" t="s">
        <x:v>17</x:v>
      </x:c>
      <x:c r="C678" s="3">
        <x:v>56</x:v>
      </x:c>
      <x:c r="D678" s="2" t="s">
        <x:v>2167</x:v>
      </x:c>
      <x:c r="E678" s="2" t="s">
        <x:v>2168</x:v>
      </x:c>
      <x:c r="F678" s="2" t="s">
        <x:v>2047</x:v>
      </x:c>
      <x:c r="G678" s="2" t="s">
        <x:v>3201</x:v>
      </x:c>
      <x:c r="H678" s="2" t="s">
        <x:v>618</x:v>
      </x:c>
      <x:c r="I678" s="2" t="s">
        <x:v>2169</x:v>
      </x:c>
      <x:c r="J678" s="2" t="s">
        <x:v>2080</x:v>
      </x:c>
      <x:c r="K678" s="2"/>
      <x:c r="L678" s="2" t="s">
        <x:v>2170</x:v>
      </x:c>
      <x:c r="M678" s="2" t="s">
        <x:v>2082</x:v>
      </x:c>
      <x:c r="N678" s="2">
        <x:v>2</x:v>
      </x:c>
      <x:c r="O678" s="2" t="s">
        <x:v>2083</x:v>
      </x:c>
      <x:c r="P678" s="2" t="s">
        <x:v>2084</x:v>
      </x:c>
      <x:c r="Q678" s="2"/>
      <x:c r="R678" s="3">
        <x:v>4</x:v>
      </x:c>
      <x:c r="S678" s="3">
        <x:v>1</x:v>
      </x:c>
      <x:c r="T678" s="2" t="s">
        <x:v>103</x:v>
      </x:c>
      <x:c r="U678" s="2"/>
      <x:c r="V678" s="2"/>
      <x:c r="W678" s="2"/>
      <x:c r="X678" s="3"/>
      <x:c r="Y678" s="3"/>
      <x:c r="Z678" s="2"/>
      <x:c r="AA678" s="2"/>
      <x:c r="AB678" s="2" t="s">
        <x:v>415</x:v>
      </x:c>
      <x:c r="AC678" s="2"/>
      <x:c r="AD678" s="2"/>
      <x:c r="AE678" s="2"/>
      <x:c r="AF678" s="2"/>
      <x:c r="AG678" s="2" t="s">
        <x:v>2036</x:v>
      </x:c>
      <x:c r="AH678" s="2"/>
      <x:c r="AI678" s="4"/>
      <x:c r="AJ678" s="2"/>
      <x:c r="AK678" s="2" t="s">
        <x:v>396</x:v>
      </x:c>
      <x:c r="AL678" s="2" t="s">
        <x:v>3061</x:v>
      </x:c>
      <x:c r="AM678" s="2">
        <x:v>58</x:v>
      </x:c>
      <x:c r="AN678" s="2">
        <x:v>58</x:v>
      </x:c>
    </x:row>
    <x:row r="679" ht="39">
      <x:c r="A679" s="2" t="s">
        <x:v>6</x:v>
      </x:c>
      <x:c r="B679" s="2" t="s">
        <x:v>17</x:v>
      </x:c>
      <x:c r="C679" s="3">
        <x:v>57</x:v>
      </x:c>
      <x:c r="D679" s="2" t="s">
        <x:v>2171</x:v>
      </x:c>
      <x:c r="E679" s="2" t="s">
        <x:v>2168</x:v>
      </x:c>
      <x:c r="F679" s="2" t="s">
        <x:v>2047</x:v>
      </x:c>
      <x:c r="G679" s="2"/>
      <x:c r="H679" s="2" t="s">
        <x:v>627</x:v>
      </x:c>
      <x:c r="I679" s="2" t="s">
        <x:v>2169</x:v>
      </x:c>
      <x:c r="J679" s="2" t="s">
        <x:v>2086</x:v>
      </x:c>
      <x:c r="K679" s="2" t="n">
        <x:v>56</x:v>
      </x:c>
      <x:c r="L679" s="2" t="s">
        <x:v>2170</x:v>
      </x:c>
      <x:c r="M679" s="2" t="s">
        <x:v>2087</x:v>
      </x:c>
      <x:c r="N679" s="2">
        <x:v>2</x:v>
      </x:c>
      <x:c r="O679" s="2" t="s">
        <x:v>2088</x:v>
      </x:c>
      <x:c r="P679" s="2" t="s">
        <x:v>2089</x:v>
      </x:c>
      <x:c r="Q679" s="2"/>
      <x:c r="R679" s="3">
        <x:v>4</x:v>
      </x:c>
      <x:c r="S679" s="3">
        <x:v>1</x:v>
      </x:c>
      <x:c r="T679" s="2" t="s">
        <x:v>103</x:v>
      </x:c>
      <x:c r="U679" s="2"/>
      <x:c r="V679" s="2"/>
      <x:c r="W679" s="2"/>
      <x:c r="X679" s="3"/>
      <x:c r="Y679" s="3"/>
      <x:c r="Z679" s="2"/>
      <x:c r="AA679" s="2"/>
      <x:c r="AB679" s="2" t="s">
        <x:v>2090</x:v>
      </x:c>
      <x:c r="AC679" s="2"/>
      <x:c r="AD679" s="2"/>
      <x:c r="AE679" s="2"/>
      <x:c r="AF679" s="2"/>
      <x:c r="AG679" s="2" t="s">
        <x:v>2036</x:v>
      </x:c>
      <x:c r="AH679" s="2"/>
      <x:c r="AI679" s="4"/>
      <x:c r="AJ679" s="2"/>
      <x:c r="AK679" s="2" t="s">
        <x:v>396</x:v>
      </x:c>
      <x:c r="AL679" s="2" t="s">
        <x:v>3061</x:v>
      </x:c>
      <x:c r="AM679" s="2">
        <x:v>59</x:v>
      </x:c>
      <x:c r="AN679" s="2">
        <x:v>59</x:v>
      </x:c>
    </x:row>
    <x:row r="680" ht="39">
      <x:c r="A680" s="2" t="s">
        <x:v>6</x:v>
      </x:c>
      <x:c r="B680" s="2" t="s">
        <x:v>17</x:v>
      </x:c>
      <x:c r="C680" s="3">
        <x:v>58</x:v>
      </x:c>
      <x:c r="D680" s="2" t="s">
        <x:v>2173</x:v>
      </x:c>
      <x:c r="E680" s="2" t="s">
        <x:v>2168</x:v>
      </x:c>
      <x:c r="F680" s="2" t="s">
        <x:v>2047</x:v>
      </x:c>
      <x:c r="G680" s="2"/>
      <x:c r="H680" s="2" t="s">
        <x:v>634</x:v>
      </x:c>
      <x:c r="I680" s="2" t="s">
        <x:v>2169</x:v>
      </x:c>
      <x:c r="J680" s="2" t="s">
        <x:v>635</x:v>
      </x:c>
      <x:c r="K680" s="2" t="n">
        <x:v>56</x:v>
      </x:c>
      <x:c r="L680" s="2" t="s">
        <x:v>2170</x:v>
      </x:c>
      <x:c r="M680" s="2" t="s">
        <x:v>2093</x:v>
      </x:c>
      <x:c r="N680" s="2">
        <x:v>2</x:v>
      </x:c>
      <x:c r="O680" s="2" t="s">
        <x:v>2094</x:v>
      </x:c>
      <x:c r="P680" s="2" t="s">
        <x:v>2095</x:v>
      </x:c>
      <x:c r="Q680" s="2"/>
      <x:c r="R680" s="3">
        <x:v>4</x:v>
      </x:c>
      <x:c r="S680" s="3">
        <x:v>1</x:v>
      </x:c>
      <x:c r="T680" s="2" t="s">
        <x:v>103</x:v>
      </x:c>
      <x:c r="U680" s="2"/>
      <x:c r="V680" s="2"/>
      <x:c r="W680" s="2"/>
      <x:c r="X680" s="3"/>
      <x:c r="Y680" s="3"/>
      <x:c r="Z680" s="2"/>
      <x:c r="AA680" s="2"/>
      <x:c r="AB680" s="2" t="s">
        <x:v>415</x:v>
      </x:c>
      <x:c r="AC680" s="2"/>
      <x:c r="AD680" s="2"/>
      <x:c r="AE680" s="2"/>
      <x:c r="AF680" s="2"/>
      <x:c r="AG680" s="2" t="s">
        <x:v>2036</x:v>
      </x:c>
      <x:c r="AH680" s="2"/>
      <x:c r="AI680" s="4"/>
      <x:c r="AJ680" s="2"/>
      <x:c r="AK680" s="2" t="s">
        <x:v>396</x:v>
      </x:c>
      <x:c r="AL680" s="2" t="s">
        <x:v>3061</x:v>
      </x:c>
      <x:c r="AM680" s="2">
        <x:v>60</x:v>
      </x:c>
      <x:c r="AN680" s="2">
        <x:v>60</x:v>
      </x:c>
    </x:row>
    <x:row r="681" ht="26">
      <x:c r="A681" s="2" t="s">
        <x:v>6</x:v>
      </x:c>
      <x:c r="B681" s="2" t="s">
        <x:v>17</x:v>
      </x:c>
      <x:c r="C681" s="3">
        <x:v>59</x:v>
      </x:c>
      <x:c r="D681" s="2" t="s">
        <x:v>2175</x:v>
      </x:c>
      <x:c r="E681" s="2" t="s">
        <x:v>2168</x:v>
      </x:c>
      <x:c r="F681" s="2" t="s">
        <x:v>2047</x:v>
      </x:c>
      <x:c r="G681" s="2"/>
      <x:c r="H681" s="2" t="s">
        <x:v>634</x:v>
      </x:c>
      <x:c r="I681" s="2" t="s">
        <x:v>2169</x:v>
      </x:c>
      <x:c r="J681" s="2" t="s">
        <x:v>2098</x:v>
      </x:c>
      <x:c r="K681" s="2" t="n">
        <x:v>56</x:v>
      </x:c>
      <x:c r="L681" s="2" t="s">
        <x:v>2170</x:v>
      </x:c>
      <x:c r="M681" s="2" t="s">
        <x:v>2099</x:v>
      </x:c>
      <x:c r="N681" s="2">
        <x:v>2</x:v>
      </x:c>
      <x:c r="O681" s="2" t="s">
        <x:v>2094</x:v>
      </x:c>
      <x:c r="P681" s="2" t="s">
        <x:v>2100</x:v>
      </x:c>
      <x:c r="Q681" s="2"/>
      <x:c r="R681" s="3">
        <x:v>4</x:v>
      </x:c>
      <x:c r="S681" s="3">
        <x:v>1</x:v>
      </x:c>
      <x:c r="T681" s="2" t="s">
        <x:v>103</x:v>
      </x:c>
      <x:c r="U681" s="2"/>
      <x:c r="V681" s="2"/>
      <x:c r="W681" s="2"/>
      <x:c r="X681" s="3"/>
      <x:c r="Y681" s="3"/>
      <x:c r="Z681" s="2"/>
      <x:c r="AA681" s="2"/>
      <x:c r="AB681" s="2" t="s">
        <x:v>2101</x:v>
      </x:c>
      <x:c r="AC681" s="2"/>
      <x:c r="AD681" s="2"/>
      <x:c r="AE681" s="2"/>
      <x:c r="AF681" s="2"/>
      <x:c r="AG681" s="2" t="s">
        <x:v>2036</x:v>
      </x:c>
      <x:c r="AH681" s="2"/>
      <x:c r="AI681" s="4"/>
      <x:c r="AJ681" s="2"/>
      <x:c r="AK681" s="2" t="s">
        <x:v>396</x:v>
      </x:c>
      <x:c r="AL681" s="2" t="s">
        <x:v>3061</x:v>
      </x:c>
      <x:c r="AM681" s="2">
        <x:v>61</x:v>
      </x:c>
      <x:c r="AN681" s="2">
        <x:v>61</x:v>
      </x:c>
    </x:row>
    <x:row r="682" ht="52">
      <x:c r="A682" s="2" t="s">
        <x:v>91</x:v>
      </x:c>
      <x:c r="B682" s="2" t="s">
        <x:v>17</x:v>
      </x:c>
      <x:c r="C682" s="3">
        <x:v>60</x:v>
      </x:c>
      <x:c r="D682" s="2" t="s">
        <x:v>2176</x:v>
      </x:c>
      <x:c r="E682" s="2" t="s">
        <x:v>2177</x:v>
      </x:c>
      <x:c r="F682" s="2" t="s">
        <x:v>410</x:v>
      </x:c>
      <x:c r="G682" s="2" t="s">
        <x:v>3202</x:v>
      </x:c>
      <x:c r="H682" s="2" t="s">
        <x:v>618</x:v>
      </x:c>
      <x:c r="I682" s="2" t="s">
        <x:v>2179</x:v>
      </x:c>
      <x:c r="J682" s="2" t="s">
        <x:v>2080</x:v>
      </x:c>
      <x:c r="K682" s="2"/>
      <x:c r="L682" s="2" t="s">
        <x:v>2180</x:v>
      </x:c>
      <x:c r="M682" s="2" t="s">
        <x:v>2082</x:v>
      </x:c>
      <x:c r="N682" s="2">
        <x:v>3</x:v>
      </x:c>
      <x:c r="O682" s="2" t="s">
        <x:v>2083</x:v>
      </x:c>
      <x:c r="P682" s="2" t="s">
        <x:v>2084</x:v>
      </x:c>
      <x:c r="Q682" s="2"/>
      <x:c r="R682" s="3">
        <x:v>4</x:v>
      </x:c>
      <x:c r="S682" s="3">
        <x:v>1</x:v>
      </x:c>
      <x:c r="T682" s="2" t="s">
        <x:v>103</x:v>
      </x:c>
      <x:c r="U682" s="2"/>
      <x:c r="V682" s="2"/>
      <x:c r="W682" s="2"/>
      <x:c r="X682" s="3"/>
      <x:c r="Y682" s="3"/>
      <x:c r="Z682" s="2"/>
      <x:c r="AA682" s="2"/>
      <x:c r="AB682" s="2" t="s">
        <x:v>427</x:v>
      </x:c>
      <x:c r="AC682" s="2"/>
      <x:c r="AD682" s="2"/>
      <x:c r="AE682" s="2"/>
      <x:c r="AF682" s="2"/>
      <x:c r="AG682" s="2" t="s">
        <x:v>395</x:v>
      </x:c>
      <x:c r="AH682" s="2"/>
      <x:c r="AI682" s="4"/>
      <x:c r="AJ682" s="2"/>
      <x:c r="AK682" s="2" t="s">
        <x:v>396</x:v>
      </x:c>
      <x:c r="AL682" s="2" t="s">
        <x:v>3061</x:v>
      </x:c>
      <x:c r="AM682" s="2">
        <x:v>62</x:v>
      </x:c>
      <x:c r="AN682" s="2">
        <x:v>62</x:v>
      </x:c>
    </x:row>
    <x:row r="683" ht="39">
      <x:c r="A683" s="2" t="s">
        <x:v>91</x:v>
      </x:c>
      <x:c r="B683" s="2" t="s">
        <x:v>17</x:v>
      </x:c>
      <x:c r="C683" s="3">
        <x:v>61</x:v>
      </x:c>
      <x:c r="D683" s="2" t="s">
        <x:v>2181</x:v>
      </x:c>
      <x:c r="E683" s="2" t="s">
        <x:v>2177</x:v>
      </x:c>
      <x:c r="F683" s="2" t="s">
        <x:v>410</x:v>
      </x:c>
      <x:c r="G683" s="2" t="s">
        <x:v>2841</x:v>
      </x:c>
      <x:c r="H683" s="2" t="s">
        <x:v>627</x:v>
      </x:c>
      <x:c r="I683" s="2" t="s">
        <x:v>2179</x:v>
      </x:c>
      <x:c r="J683" s="2" t="s">
        <x:v>2086</x:v>
      </x:c>
      <x:c r="K683" s="2" t="n">
        <x:v>60</x:v>
      </x:c>
      <x:c r="L683" s="2" t="s">
        <x:v>2180</x:v>
      </x:c>
      <x:c r="M683" s="2" t="s">
        <x:v>2087</x:v>
      </x:c>
      <x:c r="N683" s="2">
        <x:v>3</x:v>
      </x:c>
      <x:c r="O683" s="2" t="s">
        <x:v>2088</x:v>
      </x:c>
      <x:c r="P683" s="2" t="s">
        <x:v>2089</x:v>
      </x:c>
      <x:c r="Q683" s="2"/>
      <x:c r="R683" s="3">
        <x:v>4</x:v>
      </x:c>
      <x:c r="S683" s="3">
        <x:v>1</x:v>
      </x:c>
      <x:c r="T683" s="2" t="s">
        <x:v>103</x:v>
      </x:c>
      <x:c r="U683" s="2"/>
      <x:c r="V683" s="2"/>
      <x:c r="W683" s="2"/>
      <x:c r="X683" s="3"/>
      <x:c r="Y683" s="3"/>
      <x:c r="Z683" s="2"/>
      <x:c r="AA683" s="2"/>
      <x:c r="AB683" s="2" t="s">
        <x:v>2090</x:v>
      </x:c>
      <x:c r="AC683" s="2"/>
      <x:c r="AD683" s="2"/>
      <x:c r="AE683" s="2"/>
      <x:c r="AF683" s="2"/>
      <x:c r="AG683" s="2" t="s">
        <x:v>395</x:v>
      </x:c>
      <x:c r="AH683" s="2"/>
      <x:c r="AI683" s="4"/>
      <x:c r="AJ683" s="2"/>
      <x:c r="AK683" s="2" t="s">
        <x:v>396</x:v>
      </x:c>
      <x:c r="AL683" s="2" t="s">
        <x:v>3061</x:v>
      </x:c>
      <x:c r="AM683" s="2">
        <x:v>63</x:v>
      </x:c>
      <x:c r="AN683" s="2">
        <x:v>63</x:v>
      </x:c>
    </x:row>
    <x:row r="684" ht="52">
      <x:c r="A684" s="2" t="s">
        <x:v>91</x:v>
      </x:c>
      <x:c r="B684" s="2" t="s">
        <x:v>17</x:v>
      </x:c>
      <x:c r="C684" s="3">
        <x:v>62</x:v>
      </x:c>
      <x:c r="D684" s="2" t="s">
        <x:v>2108</x:v>
      </x:c>
      <x:c r="E684" s="2" t="s">
        <x:v>2183</x:v>
      </x:c>
      <x:c r="F684" s="2" t="s">
        <x:v>431</x:v>
      </x:c>
      <x:c r="G684" s="2" t="s">
        <x:v>2326</x:v>
      </x:c>
      <x:c r="H684" s="2" t="s">
        <x:v>618</x:v>
      </x:c>
      <x:c r="I684" s="2" t="s">
        <x:v>2184</x:v>
      </x:c>
      <x:c r="J684" s="2" t="s">
        <x:v>2080</x:v>
      </x:c>
      <x:c r="K684" s="2"/>
      <x:c r="L684" s="2" t="s">
        <x:v>2185</x:v>
      </x:c>
      <x:c r="M684" s="2" t="s">
        <x:v>2082</x:v>
      </x:c>
      <x:c r="N684" s="2">
        <x:v>3</x:v>
      </x:c>
      <x:c r="O684" s="2" t="s">
        <x:v>2083</x:v>
      </x:c>
      <x:c r="P684" s="2" t="s">
        <x:v>2084</x:v>
      </x:c>
      <x:c r="Q684" s="2"/>
      <x:c r="R684" s="3">
        <x:v>5</x:v>
      </x:c>
      <x:c r="S684" s="3">
        <x:v>1</x:v>
      </x:c>
      <x:c r="T684" s="2" t="s">
        <x:v>103</x:v>
      </x:c>
      <x:c r="U684" s="2"/>
      <x:c r="V684" s="2"/>
      <x:c r="W684" s="2"/>
      <x:c r="X684" s="3"/>
      <x:c r="Y684" s="3"/>
      <x:c r="Z684" s="2"/>
      <x:c r="AA684" s="2"/>
      <x:c r="AB684" s="2" t="s">
        <x:v>394</x:v>
      </x:c>
      <x:c r="AC684" s="2"/>
      <x:c r="AD684" s="2"/>
      <x:c r="AE684" s="2"/>
      <x:c r="AF684" s="2"/>
      <x:c r="AG684" s="2" t="s">
        <x:v>428</x:v>
      </x:c>
      <x:c r="AH684" s="2"/>
      <x:c r="AI684" s="4"/>
      <x:c r="AJ684" s="2"/>
      <x:c r="AK684" s="2" t="s">
        <x:v>396</x:v>
      </x:c>
      <x:c r="AL684" s="2" t="s">
        <x:v>3061</x:v>
      </x:c>
      <x:c r="AM684" s="2">
        <x:v>64</x:v>
      </x:c>
      <x:c r="AN684" s="2">
        <x:v>64</x:v>
      </x:c>
    </x:row>
    <x:row r="685" ht="39">
      <x:c r="A685" s="2" t="s">
        <x:v>6</x:v>
      </x:c>
      <x:c r="B685" s="2" t="s">
        <x:v>17</x:v>
      </x:c>
      <x:c r="C685" s="3">
        <x:v>63</x:v>
      </x:c>
      <x:c r="D685" s="2" t="s">
        <x:v>2186</x:v>
      </x:c>
      <x:c r="E685" s="2" t="s">
        <x:v>2183</x:v>
      </x:c>
      <x:c r="F685" s="2" t="s">
        <x:v>431</x:v>
      </x:c>
      <x:c r="G685" s="2"/>
      <x:c r="H685" s="2" t="s">
        <x:v>627</x:v>
      </x:c>
      <x:c r="I685" s="2" t="s">
        <x:v>2184</x:v>
      </x:c>
      <x:c r="J685" s="2" t="s">
        <x:v>2086</x:v>
      </x:c>
      <x:c r="K685" s="2" t="n">
        <x:v>62</x:v>
      </x:c>
      <x:c r="L685" s="2" t="s">
        <x:v>2185</x:v>
      </x:c>
      <x:c r="M685" s="2" t="s">
        <x:v>2087</x:v>
      </x:c>
      <x:c r="N685" s="2">
        <x:v>3</x:v>
      </x:c>
      <x:c r="O685" s="2" t="s">
        <x:v>2088</x:v>
      </x:c>
      <x:c r="P685" s="2" t="s">
        <x:v>2089</x:v>
      </x:c>
      <x:c r="Q685" s="2"/>
      <x:c r="R685" s="3">
        <x:v>5</x:v>
      </x:c>
      <x:c r="S685" s="3">
        <x:v>1</x:v>
      </x:c>
      <x:c r="T685" s="2" t="s">
        <x:v>103</x:v>
      </x:c>
      <x:c r="U685" s="2"/>
      <x:c r="V685" s="2"/>
      <x:c r="W685" s="2"/>
      <x:c r="X685" s="3"/>
      <x:c r="Y685" s="3"/>
      <x:c r="Z685" s="2"/>
      <x:c r="AA685" s="2"/>
      <x:c r="AB685" s="2" t="s">
        <x:v>2090</x:v>
      </x:c>
      <x:c r="AC685" s="2"/>
      <x:c r="AD685" s="2"/>
      <x:c r="AE685" s="2"/>
      <x:c r="AF685" s="2"/>
      <x:c r="AG685" s="2" t="s">
        <x:v>428</x:v>
      </x:c>
      <x:c r="AH685" s="2"/>
      <x:c r="AI685" s="4"/>
      <x:c r="AJ685" s="2"/>
      <x:c r="AK685" s="2" t="s">
        <x:v>396</x:v>
      </x:c>
      <x:c r="AL685" s="2" t="s">
        <x:v>3061</x:v>
      </x:c>
      <x:c r="AM685" s="2">
        <x:v>65</x:v>
      </x:c>
      <x:c r="AN685" s="2">
        <x:v>65</x:v>
      </x:c>
    </x:row>
    <x:row r="686" ht="52">
      <x:c r="A686" s="2" t="s">
        <x:v>91</x:v>
      </x:c>
      <x:c r="B686" s="2" t="s">
        <x:v>17</x:v>
      </x:c>
      <x:c r="C686" s="3">
        <x:v>64</x:v>
      </x:c>
      <x:c r="D686" s="2" t="s">
        <x:v>2187</x:v>
      </x:c>
      <x:c r="E686" s="2" t="s">
        <x:v>2188</x:v>
      </x:c>
      <x:c r="F686" s="2" t="s">
        <x:v>237</x:v>
      </x:c>
      <x:c r="G686" s="2" t="s">
        <x:v>2235</x:v>
      </x:c>
      <x:c r="H686" s="2" t="s">
        <x:v>618</x:v>
      </x:c>
      <x:c r="I686" s="2" t="s">
        <x:v>2189</x:v>
      </x:c>
      <x:c r="J686" s="2" t="s">
        <x:v>2120</x:v>
      </x:c>
      <x:c r="K686" s="2"/>
      <x:c r="L686" s="2" t="s">
        <x:v>2190</x:v>
      </x:c>
      <x:c r="M686" s="2" t="s">
        <x:v>2082</x:v>
      </x:c>
      <x:c r="N686" s="2">
        <x:v>3</x:v>
      </x:c>
      <x:c r="O686" s="2" t="s">
        <x:v>2083</x:v>
      </x:c>
      <x:c r="P686" s="2" t="s">
        <x:v>2084</x:v>
      </x:c>
      <x:c r="Q686" s="2"/>
      <x:c r="R686" s="3">
        <x:v>3</x:v>
      </x:c>
      <x:c r="S686" s="3">
        <x:v>1</x:v>
      </x:c>
      <x:c r="T686" s="2" t="s">
        <x:v>103</x:v>
      </x:c>
      <x:c r="U686" s="2"/>
      <x:c r="V686" s="2"/>
      <x:c r="W686" s="2"/>
      <x:c r="X686" s="3"/>
      <x:c r="Y686" s="3"/>
      <x:c r="Z686" s="2"/>
      <x:c r="AA686" s="2"/>
      <x:c r="AB686" s="2" t="s">
        <x:v>415</x:v>
      </x:c>
      <x:c r="AC686" s="2"/>
      <x:c r="AD686" s="2"/>
      <x:c r="AE686" s="2"/>
      <x:c r="AF686" s="2"/>
      <x:c r="AG686" s="2" t="s">
        <x:v>2036</x:v>
      </x:c>
      <x:c r="AH686" s="2"/>
      <x:c r="AI686" s="4"/>
      <x:c r="AJ686" s="2"/>
      <x:c r="AK686" s="2" t="s">
        <x:v>396</x:v>
      </x:c>
      <x:c r="AL686" s="2" t="s">
        <x:v>3061</x:v>
      </x:c>
      <x:c r="AM686" s="2">
        <x:v>66</x:v>
      </x:c>
      <x:c r="AN686" s="2">
        <x:v>66</x:v>
      </x:c>
    </x:row>
    <x:row r="687" ht="39">
      <x:c r="A687" s="2" t="s">
        <x:v>91</x:v>
      </x:c>
      <x:c r="B687" s="2" t="s">
        <x:v>17</x:v>
      </x:c>
      <x:c r="C687" s="3">
        <x:v>65</x:v>
      </x:c>
      <x:c r="D687" s="2" t="s">
        <x:v>1376</x:v>
      </x:c>
      <x:c r="E687" s="2" t="s">
        <x:v>2188</x:v>
      </x:c>
      <x:c r="F687" s="2" t="s">
        <x:v>237</x:v>
      </x:c>
      <x:c r="G687" s="2" t="s">
        <x:v>3193</x:v>
      </x:c>
      <x:c r="H687" s="2" t="s">
        <x:v>627</x:v>
      </x:c>
      <x:c r="I687" s="2" t="s">
        <x:v>2189</x:v>
      </x:c>
      <x:c r="J687" s="2" t="s">
        <x:v>2086</x:v>
      </x:c>
      <x:c r="K687" s="2" t="n">
        <x:v>64</x:v>
      </x:c>
      <x:c r="L687" s="2" t="s">
        <x:v>2190</x:v>
      </x:c>
      <x:c r="M687" s="2" t="s">
        <x:v>2087</x:v>
      </x:c>
      <x:c r="N687" s="2">
        <x:v>3</x:v>
      </x:c>
      <x:c r="O687" s="2" t="s">
        <x:v>2088</x:v>
      </x:c>
      <x:c r="P687" s="2" t="s">
        <x:v>2089</x:v>
      </x:c>
      <x:c r="Q687" s="2"/>
      <x:c r="R687" s="3">
        <x:v>3</x:v>
      </x:c>
      <x:c r="S687" s="3">
        <x:v>1</x:v>
      </x:c>
      <x:c r="T687" s="2" t="s">
        <x:v>103</x:v>
      </x:c>
      <x:c r="U687" s="2"/>
      <x:c r="V687" s="2"/>
      <x:c r="W687" s="2"/>
      <x:c r="X687" s="3"/>
      <x:c r="Y687" s="3"/>
      <x:c r="Z687" s="2"/>
      <x:c r="AA687" s="2"/>
      <x:c r="AB687" s="2" t="s">
        <x:v>2090</x:v>
      </x:c>
      <x:c r="AC687" s="2"/>
      <x:c r="AD687" s="2"/>
      <x:c r="AE687" s="2"/>
      <x:c r="AF687" s="2"/>
      <x:c r="AG687" s="2" t="s">
        <x:v>2036</x:v>
      </x:c>
      <x:c r="AH687" s="2"/>
      <x:c r="AI687" s="4"/>
      <x:c r="AJ687" s="2"/>
      <x:c r="AK687" s="2" t="s">
        <x:v>396</x:v>
      </x:c>
      <x:c r="AL687" s="2" t="s">
        <x:v>3061</x:v>
      </x:c>
      <x:c r="AM687" s="2">
        <x:v>67</x:v>
      </x:c>
      <x:c r="AN687" s="2">
        <x:v>67</x:v>
      </x:c>
    </x:row>
    <x:row r="688" ht="52">
      <x:c r="A688" s="2" t="s">
        <x:v>91</x:v>
      </x:c>
      <x:c r="B688" s="2" t="s">
        <x:v>17</x:v>
      </x:c>
      <x:c r="C688" s="3">
        <x:v>66</x:v>
      </x:c>
      <x:c r="D688" s="2" t="s">
        <x:v>2192</x:v>
      </x:c>
      <x:c r="E688" s="2" t="s">
        <x:v>2193</x:v>
      </x:c>
      <x:c r="F688" s="2" t="s">
        <x:v>386</x:v>
      </x:c>
      <x:c r="G688" s="2" t="s">
        <x:v>3203</x:v>
      </x:c>
      <x:c r="H688" s="2" t="s">
        <x:v>618</x:v>
      </x:c>
      <x:c r="I688" s="2" t="s">
        <x:v>2195</x:v>
      </x:c>
      <x:c r="J688" s="2" t="s">
        <x:v>2120</x:v>
      </x:c>
      <x:c r="K688" s="2"/>
      <x:c r="L688" s="2" t="s">
        <x:v>2196</x:v>
      </x:c>
      <x:c r="M688" s="2" t="s">
        <x:v>2082</x:v>
      </x:c>
      <x:c r="N688" s="2">
        <x:v>3</x:v>
      </x:c>
      <x:c r="O688" s="2" t="s">
        <x:v>2083</x:v>
      </x:c>
      <x:c r="P688" s="2" t="s">
        <x:v>2084</x:v>
      </x:c>
      <x:c r="Q688" s="2"/>
      <x:c r="R688" s="3">
        <x:v>3</x:v>
      </x:c>
      <x:c r="S688" s="3">
        <x:v>1</x:v>
      </x:c>
      <x:c r="T688" s="2" t="s">
        <x:v>103</x:v>
      </x:c>
      <x:c r="U688" s="2"/>
      <x:c r="V688" s="2"/>
      <x:c r="W688" s="2"/>
      <x:c r="X688" s="3"/>
      <x:c r="Y688" s="3"/>
      <x:c r="Z688" s="2"/>
      <x:c r="AA688" s="2"/>
      <x:c r="AB688" s="2" t="s">
        <x:v>427</x:v>
      </x:c>
      <x:c r="AC688" s="2"/>
      <x:c r="AD688" s="2"/>
      <x:c r="AE688" s="2"/>
      <x:c r="AF688" s="2"/>
      <x:c r="AG688" s="2" t="s">
        <x:v>395</x:v>
      </x:c>
      <x:c r="AH688" s="2"/>
      <x:c r="AI688" s="4"/>
      <x:c r="AJ688" s="2"/>
      <x:c r="AK688" s="2" t="s">
        <x:v>396</x:v>
      </x:c>
      <x:c r="AL688" s="2" t="s">
        <x:v>3061</x:v>
      </x:c>
      <x:c r="AM688" s="2">
        <x:v>68</x:v>
      </x:c>
      <x:c r="AN688" s="2">
        <x:v>68</x:v>
      </x:c>
    </x:row>
    <x:row r="689" ht="39">
      <x:c r="A689" s="2" t="s">
        <x:v>91</x:v>
      </x:c>
      <x:c r="B689" s="2" t="s">
        <x:v>17</x:v>
      </x:c>
      <x:c r="C689" s="3">
        <x:v>67</x:v>
      </x:c>
      <x:c r="D689" s="2" t="s">
        <x:v>2197</x:v>
      </x:c>
      <x:c r="E689" s="2" t="s">
        <x:v>2193</x:v>
      </x:c>
      <x:c r="F689" s="2" t="s">
        <x:v>386</x:v>
      </x:c>
      <x:c r="G689" s="2" t="s">
        <x:v>3204</x:v>
      </x:c>
      <x:c r="H689" s="2" t="s">
        <x:v>627</x:v>
      </x:c>
      <x:c r="I689" s="2" t="s">
        <x:v>2195</x:v>
      </x:c>
      <x:c r="J689" s="2" t="s">
        <x:v>2086</x:v>
      </x:c>
      <x:c r="K689" s="2" t="n">
        <x:v>66</x:v>
      </x:c>
      <x:c r="L689" s="2" t="s">
        <x:v>2196</x:v>
      </x:c>
      <x:c r="M689" s="2" t="s">
        <x:v>2087</x:v>
      </x:c>
      <x:c r="N689" s="2">
        <x:v>3</x:v>
      </x:c>
      <x:c r="O689" s="2" t="s">
        <x:v>2088</x:v>
      </x:c>
      <x:c r="P689" s="2" t="s">
        <x:v>2089</x:v>
      </x:c>
      <x:c r="Q689" s="2"/>
      <x:c r="R689" s="3">
        <x:v>3</x:v>
      </x:c>
      <x:c r="S689" s="3">
        <x:v>1</x:v>
      </x:c>
      <x:c r="T689" s="2" t="s">
        <x:v>103</x:v>
      </x:c>
      <x:c r="U689" s="2"/>
      <x:c r="V689" s="2"/>
      <x:c r="W689" s="2"/>
      <x:c r="X689" s="3"/>
      <x:c r="Y689" s="3"/>
      <x:c r="Z689" s="2"/>
      <x:c r="AA689" s="2"/>
      <x:c r="AB689" s="2" t="s">
        <x:v>2090</x:v>
      </x:c>
      <x:c r="AC689" s="2"/>
      <x:c r="AD689" s="2"/>
      <x:c r="AE689" s="2"/>
      <x:c r="AF689" s="2"/>
      <x:c r="AG689" s="2" t="s">
        <x:v>395</x:v>
      </x:c>
      <x:c r="AH689" s="2"/>
      <x:c r="AI689" s="4"/>
      <x:c r="AJ689" s="2"/>
      <x:c r="AK689" s="2" t="s">
        <x:v>396</x:v>
      </x:c>
      <x:c r="AL689" s="2" t="s">
        <x:v>3061</x:v>
      </x:c>
      <x:c r="AM689" s="2">
        <x:v>69</x:v>
      </x:c>
      <x:c r="AN689" s="2">
        <x:v>69</x:v>
      </x:c>
    </x:row>
    <x:row r="690" ht="52">
      <x:c r="A690" s="2" t="s">
        <x:v>91</x:v>
      </x:c>
      <x:c r="B690" s="2" t="s">
        <x:v>17</x:v>
      </x:c>
      <x:c r="C690" s="3">
        <x:v>68</x:v>
      </x:c>
      <x:c r="D690" s="2" t="s">
        <x:v>2134</x:v>
      </x:c>
      <x:c r="E690" s="2" t="s">
        <x:v>2199</x:v>
      </x:c>
      <x:c r="F690" s="2" t="s">
        <x:v>423</x:v>
      </x:c>
      <x:c r="G690" s="2" t="s">
        <x:v>2728</x:v>
      </x:c>
      <x:c r="H690" s="2" t="s">
        <x:v>618</x:v>
      </x:c>
      <x:c r="I690" s="2" t="s">
        <x:v>2200</x:v>
      </x:c>
      <x:c r="J690" s="2" t="s">
        <x:v>2120</x:v>
      </x:c>
      <x:c r="K690" s="2"/>
      <x:c r="L690" s="2" t="s">
        <x:v>2201</x:v>
      </x:c>
      <x:c r="M690" s="2" t="s">
        <x:v>2082</x:v>
      </x:c>
      <x:c r="N690" s="2">
        <x:v>3</x:v>
      </x:c>
      <x:c r="O690" s="2" t="s">
        <x:v>2083</x:v>
      </x:c>
      <x:c r="P690" s="2" t="s">
        <x:v>2084</x:v>
      </x:c>
      <x:c r="Q690" s="2"/>
      <x:c r="R690" s="3">
        <x:v>4</x:v>
      </x:c>
      <x:c r="S690" s="3">
        <x:v>1</x:v>
      </x:c>
      <x:c r="T690" s="2" t="s">
        <x:v>103</x:v>
      </x:c>
      <x:c r="U690" s="2"/>
      <x:c r="V690" s="2"/>
      <x:c r="W690" s="2"/>
      <x:c r="X690" s="3"/>
      <x:c r="Y690" s="3"/>
      <x:c r="Z690" s="2"/>
      <x:c r="AA690" s="2"/>
      <x:c r="AB690" s="2" t="s">
        <x:v>394</x:v>
      </x:c>
      <x:c r="AC690" s="2"/>
      <x:c r="AD690" s="2"/>
      <x:c r="AE690" s="2"/>
      <x:c r="AF690" s="2"/>
      <x:c r="AG690" s="2" t="s">
        <x:v>428</x:v>
      </x:c>
      <x:c r="AH690" s="2"/>
      <x:c r="AI690" s="4"/>
      <x:c r="AJ690" s="2"/>
      <x:c r="AK690" s="2" t="s">
        <x:v>396</x:v>
      </x:c>
      <x:c r="AL690" s="2" t="s">
        <x:v>3061</x:v>
      </x:c>
      <x:c r="AM690" s="2">
        <x:v>70</x:v>
      </x:c>
      <x:c r="AN690" s="2">
        <x:v>70</x:v>
      </x:c>
    </x:row>
    <x:row r="691" ht="39">
      <x:c r="A691" s="2" t="s">
        <x:v>6</x:v>
      </x:c>
      <x:c r="B691" s="2" t="s">
        <x:v>17</x:v>
      </x:c>
      <x:c r="C691" s="3">
        <x:v>69</x:v>
      </x:c>
      <x:c r="D691" s="2" t="s">
        <x:v>2113</x:v>
      </x:c>
      <x:c r="E691" s="2" t="s">
        <x:v>2199</x:v>
      </x:c>
      <x:c r="F691" s="2" t="s">
        <x:v>423</x:v>
      </x:c>
      <x:c r="G691" s="2"/>
      <x:c r="H691" s="2" t="s">
        <x:v>627</x:v>
      </x:c>
      <x:c r="I691" s="2" t="s">
        <x:v>2200</x:v>
      </x:c>
      <x:c r="J691" s="2" t="s">
        <x:v>2086</x:v>
      </x:c>
      <x:c r="K691" s="2" t="n">
        <x:v>68</x:v>
      </x:c>
      <x:c r="L691" s="2" t="s">
        <x:v>2201</x:v>
      </x:c>
      <x:c r="M691" s="2" t="s">
        <x:v>2087</x:v>
      </x:c>
      <x:c r="N691" s="2">
        <x:v>3</x:v>
      </x:c>
      <x:c r="O691" s="2" t="s">
        <x:v>2088</x:v>
      </x:c>
      <x:c r="P691" s="2" t="s">
        <x:v>2089</x:v>
      </x:c>
      <x:c r="Q691" s="2"/>
      <x:c r="R691" s="3">
        <x:v>4</x:v>
      </x:c>
      <x:c r="S691" s="3">
        <x:v>1</x:v>
      </x:c>
      <x:c r="T691" s="2" t="s">
        <x:v>103</x:v>
      </x:c>
      <x:c r="U691" s="2"/>
      <x:c r="V691" s="2"/>
      <x:c r="W691" s="2"/>
      <x:c r="X691" s="3"/>
      <x:c r="Y691" s="3"/>
      <x:c r="Z691" s="2"/>
      <x:c r="AA691" s="2"/>
      <x:c r="AB691" s="2" t="s">
        <x:v>2090</x:v>
      </x:c>
      <x:c r="AC691" s="2"/>
      <x:c r="AD691" s="2"/>
      <x:c r="AE691" s="2"/>
      <x:c r="AF691" s="2"/>
      <x:c r="AG691" s="2" t="s">
        <x:v>428</x:v>
      </x:c>
      <x:c r="AH691" s="2"/>
      <x:c r="AI691" s="4"/>
      <x:c r="AJ691" s="2"/>
      <x:c r="AK691" s="2" t="s">
        <x:v>396</x:v>
      </x:c>
      <x:c r="AL691" s="2" t="s">
        <x:v>3061</x:v>
      </x:c>
      <x:c r="AM691" s="2">
        <x:v>71</x:v>
      </x:c>
      <x:c r="AN691" s="2">
        <x:v>71</x:v>
      </x:c>
    </x:row>
    <x:row r="692" ht="52">
      <x:c r="A692" s="2" t="s">
        <x:v>6</x:v>
      </x:c>
      <x:c r="B692" s="2" t="s">
        <x:v>17</x:v>
      </x:c>
      <x:c r="C692" s="3">
        <x:v>70</x:v>
      </x:c>
      <x:c r="D692" s="2" t="s">
        <x:v>2202</x:v>
      </x:c>
      <x:c r="E692" s="2" t="s">
        <x:v>2203</x:v>
      </x:c>
      <x:c r="F692" s="2" t="s">
        <x:v>237</x:v>
      </x:c>
      <x:c r="G692" s="2"/>
      <x:c r="H692" s="2" t="s">
        <x:v>618</x:v>
      </x:c>
      <x:c r="I692" s="2" t="s">
        <x:v>2205</x:v>
      </x:c>
      <x:c r="J692" s="2" t="s">
        <x:v>2145</x:v>
      </x:c>
      <x:c r="K692" s="2"/>
      <x:c r="L692" s="2" t="s">
        <x:v>2206</x:v>
      </x:c>
      <x:c r="M692" s="2" t="s">
        <x:v>2082</x:v>
      </x:c>
      <x:c r="N692" s="2">
        <x:v>3</x:v>
      </x:c>
      <x:c r="O692" s="2" t="s">
        <x:v>2083</x:v>
      </x:c>
      <x:c r="P692" s="2" t="s">
        <x:v>2084</x:v>
      </x:c>
      <x:c r="Q692" s="2"/>
      <x:c r="R692" s="3">
        <x:v>4</x:v>
      </x:c>
      <x:c r="S692" s="3">
        <x:v>1</x:v>
      </x:c>
      <x:c r="T692" s="2" t="s">
        <x:v>103</x:v>
      </x:c>
      <x:c r="U692" s="2"/>
      <x:c r="V692" s="2"/>
      <x:c r="W692" s="2"/>
      <x:c r="X692" s="3"/>
      <x:c r="Y692" s="3"/>
      <x:c r="Z692" s="2"/>
      <x:c r="AA692" s="2"/>
      <x:c r="AB692" s="2" t="s">
        <x:v>415</x:v>
      </x:c>
      <x:c r="AC692" s="2"/>
      <x:c r="AD692" s="2"/>
      <x:c r="AE692" s="2"/>
      <x:c r="AF692" s="2"/>
      <x:c r="AG692" s="2" t="s">
        <x:v>2036</x:v>
      </x:c>
      <x:c r="AH692" s="2"/>
      <x:c r="AI692" s="4"/>
      <x:c r="AJ692" s="2"/>
      <x:c r="AK692" s="2" t="s">
        <x:v>396</x:v>
      </x:c>
      <x:c r="AL692" s="2" t="s">
        <x:v>3061</x:v>
      </x:c>
      <x:c r="AM692" s="2">
        <x:v>72</x:v>
      </x:c>
      <x:c r="AN692" s="2">
        <x:v>72</x:v>
      </x:c>
    </x:row>
    <x:row r="693" ht="39">
      <x:c r="A693" s="2" t="s">
        <x:v>91</x:v>
      </x:c>
      <x:c r="B693" s="2" t="s">
        <x:v>17</x:v>
      </x:c>
      <x:c r="C693" s="3">
        <x:v>71</x:v>
      </x:c>
      <x:c r="D693" s="2" t="s">
        <x:v>1418</x:v>
      </x:c>
      <x:c r="E693" s="2" t="s">
        <x:v>2203</x:v>
      </x:c>
      <x:c r="F693" s="2" t="s">
        <x:v>237</x:v>
      </x:c>
      <x:c r="G693" s="2" t="s">
        <x:v>3205</x:v>
      </x:c>
      <x:c r="H693" s="2" t="s">
        <x:v>627</x:v>
      </x:c>
      <x:c r="I693" s="2" t="s">
        <x:v>2205</x:v>
      </x:c>
      <x:c r="J693" s="2" t="s">
        <x:v>2086</x:v>
      </x:c>
      <x:c r="K693" s="2" t="n">
        <x:v>70</x:v>
      </x:c>
      <x:c r="L693" s="2" t="s">
        <x:v>2206</x:v>
      </x:c>
      <x:c r="M693" s="2" t="s">
        <x:v>2087</x:v>
      </x:c>
      <x:c r="N693" s="2">
        <x:v>3</x:v>
      </x:c>
      <x:c r="O693" s="2" t="s">
        <x:v>2088</x:v>
      </x:c>
      <x:c r="P693" s="2" t="s">
        <x:v>2089</x:v>
      </x:c>
      <x:c r="Q693" s="2"/>
      <x:c r="R693" s="3">
        <x:v>4</x:v>
      </x:c>
      <x:c r="S693" s="3">
        <x:v>1</x:v>
      </x:c>
      <x:c r="T693" s="2" t="s">
        <x:v>103</x:v>
      </x:c>
      <x:c r="U693" s="2"/>
      <x:c r="V693" s="2"/>
      <x:c r="W693" s="2"/>
      <x:c r="X693" s="3"/>
      <x:c r="Y693" s="3"/>
      <x:c r="Z693" s="2"/>
      <x:c r="AA693" s="2"/>
      <x:c r="AB693" s="2" t="s">
        <x:v>2090</x:v>
      </x:c>
      <x:c r="AC693" s="2"/>
      <x:c r="AD693" s="2"/>
      <x:c r="AE693" s="2"/>
      <x:c r="AF693" s="2"/>
      <x:c r="AG693" s="2" t="s">
        <x:v>2036</x:v>
      </x:c>
      <x:c r="AH693" s="2"/>
      <x:c r="AI693" s="4"/>
      <x:c r="AJ693" s="2"/>
      <x:c r="AK693" s="2" t="s">
        <x:v>396</x:v>
      </x:c>
      <x:c r="AL693" s="2" t="s">
        <x:v>3061</x:v>
      </x:c>
      <x:c r="AM693" s="2">
        <x:v>73</x:v>
      </x:c>
      <x:c r="AN693" s="2">
        <x:v>73</x:v>
      </x:c>
    </x:row>
    <x:row r="694" ht="52">
      <x:c r="A694" s="2" t="s">
        <x:v>6</x:v>
      </x:c>
      <x:c r="B694" s="2" t="s">
        <x:v>17</x:v>
      </x:c>
      <x:c r="C694" s="3">
        <x:v>72</x:v>
      </x:c>
      <x:c r="D694" s="2" t="s">
        <x:v>2207</x:v>
      </x:c>
      <x:c r="E694" s="2" t="s">
        <x:v>2208</x:v>
      </x:c>
      <x:c r="F694" s="2" t="s">
        <x:v>386</x:v>
      </x:c>
      <x:c r="G694" s="2"/>
      <x:c r="H694" s="2" t="s">
        <x:v>618</x:v>
      </x:c>
      <x:c r="I694" s="2" t="s">
        <x:v>2209</x:v>
      </x:c>
      <x:c r="J694" s="2" t="s">
        <x:v>2145</x:v>
      </x:c>
      <x:c r="K694" s="2"/>
      <x:c r="L694" s="2" t="s">
        <x:v>2210</x:v>
      </x:c>
      <x:c r="M694" s="2" t="s">
        <x:v>2082</x:v>
      </x:c>
      <x:c r="N694" s="2">
        <x:v>3</x:v>
      </x:c>
      <x:c r="O694" s="2" t="s">
        <x:v>2083</x:v>
      </x:c>
      <x:c r="P694" s="2" t="s">
        <x:v>2084</x:v>
      </x:c>
      <x:c r="Q694" s="2"/>
      <x:c r="R694" s="3">
        <x:v>4</x:v>
      </x:c>
      <x:c r="S694" s="3">
        <x:v>1</x:v>
      </x:c>
      <x:c r="T694" s="2" t="s">
        <x:v>103</x:v>
      </x:c>
      <x:c r="U694" s="2"/>
      <x:c r="V694" s="2"/>
      <x:c r="W694" s="2"/>
      <x:c r="X694" s="3"/>
      <x:c r="Y694" s="3"/>
      <x:c r="Z694" s="2"/>
      <x:c r="AA694" s="2"/>
      <x:c r="AB694" s="2" t="s">
        <x:v>427</x:v>
      </x:c>
      <x:c r="AC694" s="2"/>
      <x:c r="AD694" s="2"/>
      <x:c r="AE694" s="2"/>
      <x:c r="AF694" s="2"/>
      <x:c r="AG694" s="2" t="s">
        <x:v>395</x:v>
      </x:c>
      <x:c r="AH694" s="2"/>
      <x:c r="AI694" s="4"/>
      <x:c r="AJ694" s="2"/>
      <x:c r="AK694" s="2" t="s">
        <x:v>396</x:v>
      </x:c>
      <x:c r="AL694" s="2" t="s">
        <x:v>3061</x:v>
      </x:c>
      <x:c r="AM694" s="2">
        <x:v>74</x:v>
      </x:c>
      <x:c r="AN694" s="2">
        <x:v>74</x:v>
      </x:c>
    </x:row>
    <x:row r="695" ht="39">
      <x:c r="A695" s="2" t="s">
        <x:v>6</x:v>
      </x:c>
      <x:c r="B695" s="2" t="s">
        <x:v>17</x:v>
      </x:c>
      <x:c r="C695" s="3">
        <x:v>73</x:v>
      </x:c>
      <x:c r="D695" s="2" t="s">
        <x:v>2105</x:v>
      </x:c>
      <x:c r="E695" s="2" t="s">
        <x:v>2208</x:v>
      </x:c>
      <x:c r="F695" s="2" t="s">
        <x:v>386</x:v>
      </x:c>
      <x:c r="G695" s="2"/>
      <x:c r="H695" s="2" t="s">
        <x:v>627</x:v>
      </x:c>
      <x:c r="I695" s="2" t="s">
        <x:v>2209</x:v>
      </x:c>
      <x:c r="J695" s="2" t="s">
        <x:v>2086</x:v>
      </x:c>
      <x:c r="K695" s="2" t="n">
        <x:v>72</x:v>
      </x:c>
      <x:c r="L695" s="2" t="s">
        <x:v>2210</x:v>
      </x:c>
      <x:c r="M695" s="2" t="s">
        <x:v>2087</x:v>
      </x:c>
      <x:c r="N695" s="2">
        <x:v>3</x:v>
      </x:c>
      <x:c r="O695" s="2" t="s">
        <x:v>2088</x:v>
      </x:c>
      <x:c r="P695" s="2" t="s">
        <x:v>2089</x:v>
      </x:c>
      <x:c r="Q695" s="2"/>
      <x:c r="R695" s="3">
        <x:v>4</x:v>
      </x:c>
      <x:c r="S695" s="3">
        <x:v>1</x:v>
      </x:c>
      <x:c r="T695" s="2" t="s">
        <x:v>103</x:v>
      </x:c>
      <x:c r="U695" s="2"/>
      <x:c r="V695" s="2"/>
      <x:c r="W695" s="2"/>
      <x:c r="X695" s="3"/>
      <x:c r="Y695" s="3"/>
      <x:c r="Z695" s="2"/>
      <x:c r="AA695" s="2"/>
      <x:c r="AB695" s="2" t="s">
        <x:v>2090</x:v>
      </x:c>
      <x:c r="AC695" s="2"/>
      <x:c r="AD695" s="2"/>
      <x:c r="AE695" s="2"/>
      <x:c r="AF695" s="2"/>
      <x:c r="AG695" s="2" t="s">
        <x:v>395</x:v>
      </x:c>
      <x:c r="AH695" s="2"/>
      <x:c r="AI695" s="4"/>
      <x:c r="AJ695" s="2"/>
      <x:c r="AK695" s="2" t="s">
        <x:v>396</x:v>
      </x:c>
      <x:c r="AL695" s="2" t="s">
        <x:v>3061</x:v>
      </x:c>
      <x:c r="AM695" s="2">
        <x:v>75</x:v>
      </x:c>
      <x:c r="AN695" s="2">
        <x:v>75</x:v>
      </x:c>
    </x:row>
    <x:row r="696" ht="52">
      <x:c r="A696" s="2" t="s">
        <x:v>91</x:v>
      </x:c>
      <x:c r="B696" s="2" t="s">
        <x:v>17</x:v>
      </x:c>
      <x:c r="C696" s="3">
        <x:v>74</x:v>
      </x:c>
      <x:c r="D696" s="2" t="s">
        <x:v>2160</x:v>
      </x:c>
      <x:c r="E696" s="2" t="s">
        <x:v>2211</x:v>
      </x:c>
      <x:c r="F696" s="2" t="s">
        <x:v>423</x:v>
      </x:c>
      <x:c r="G696" s="2" t="s">
        <x:v>2728</x:v>
      </x:c>
      <x:c r="H696" s="2" t="s">
        <x:v>618</x:v>
      </x:c>
      <x:c r="I696" s="2" t="s">
        <x:v>2213</x:v>
      </x:c>
      <x:c r="J696" s="2" t="s">
        <x:v>2145</x:v>
      </x:c>
      <x:c r="K696" s="2"/>
      <x:c r="L696" s="2" t="s">
        <x:v>2214</x:v>
      </x:c>
      <x:c r="M696" s="2" t="s">
        <x:v>2082</x:v>
      </x:c>
      <x:c r="N696" s="2">
        <x:v>3</x:v>
      </x:c>
      <x:c r="O696" s="2" t="s">
        <x:v>2083</x:v>
      </x:c>
      <x:c r="P696" s="2" t="s">
        <x:v>2084</x:v>
      </x:c>
      <x:c r="Q696" s="2"/>
      <x:c r="R696" s="3">
        <x:v>5</x:v>
      </x:c>
      <x:c r="S696" s="3">
        <x:v>1</x:v>
      </x:c>
      <x:c r="T696" s="2" t="s">
        <x:v>103</x:v>
      </x:c>
      <x:c r="U696" s="2"/>
      <x:c r="V696" s="2"/>
      <x:c r="W696" s="2"/>
      <x:c r="X696" s="3"/>
      <x:c r="Y696" s="3"/>
      <x:c r="Z696" s="2"/>
      <x:c r="AA696" s="2"/>
      <x:c r="AB696" s="2" t="s">
        <x:v>394</x:v>
      </x:c>
      <x:c r="AC696" s="2"/>
      <x:c r="AD696" s="2"/>
      <x:c r="AE696" s="2"/>
      <x:c r="AF696" s="2"/>
      <x:c r="AG696" s="2" t="s">
        <x:v>428</x:v>
      </x:c>
      <x:c r="AH696" s="2"/>
      <x:c r="AI696" s="4"/>
      <x:c r="AJ696" s="2"/>
      <x:c r="AK696" s="2" t="s">
        <x:v>396</x:v>
      </x:c>
      <x:c r="AL696" s="2" t="s">
        <x:v>3061</x:v>
      </x:c>
      <x:c r="AM696" s="2">
        <x:v>76</x:v>
      </x:c>
      <x:c r="AN696" s="2">
        <x:v>76</x:v>
      </x:c>
    </x:row>
    <x:row r="697" ht="39">
      <x:c r="A697" s="2" t="s">
        <x:v>6</x:v>
      </x:c>
      <x:c r="B697" s="2" t="s">
        <x:v>17</x:v>
      </x:c>
      <x:c r="C697" s="3">
        <x:v>75</x:v>
      </x:c>
      <x:c r="D697" s="2" t="s">
        <x:v>2215</x:v>
      </x:c>
      <x:c r="E697" s="2" t="s">
        <x:v>2211</x:v>
      </x:c>
      <x:c r="F697" s="2" t="s">
        <x:v>423</x:v>
      </x:c>
      <x:c r="G697" s="2"/>
      <x:c r="H697" s="2" t="s">
        <x:v>627</x:v>
      </x:c>
      <x:c r="I697" s="2" t="s">
        <x:v>2213</x:v>
      </x:c>
      <x:c r="J697" s="2" t="s">
        <x:v>2086</x:v>
      </x:c>
      <x:c r="K697" s="2" t="n">
        <x:v>74</x:v>
      </x:c>
      <x:c r="L697" s="2" t="s">
        <x:v>2214</x:v>
      </x:c>
      <x:c r="M697" s="2" t="s">
        <x:v>2087</x:v>
      </x:c>
      <x:c r="N697" s="2">
        <x:v>3</x:v>
      </x:c>
      <x:c r="O697" s="2" t="s">
        <x:v>2088</x:v>
      </x:c>
      <x:c r="P697" s="2" t="s">
        <x:v>2089</x:v>
      </x:c>
      <x:c r="Q697" s="2"/>
      <x:c r="R697" s="3">
        <x:v>5</x:v>
      </x:c>
      <x:c r="S697" s="3">
        <x:v>1</x:v>
      </x:c>
      <x:c r="T697" s="2" t="s">
        <x:v>103</x:v>
      </x:c>
      <x:c r="U697" s="2"/>
      <x:c r="V697" s="2"/>
      <x:c r="W697" s="2"/>
      <x:c r="X697" s="3"/>
      <x:c r="Y697" s="3"/>
      <x:c r="Z697" s="2"/>
      <x:c r="AA697" s="2"/>
      <x:c r="AB697" s="2" t="s">
        <x:v>2090</x:v>
      </x:c>
      <x:c r="AC697" s="2"/>
      <x:c r="AD697" s="2"/>
      <x:c r="AE697" s="2"/>
      <x:c r="AF697" s="2"/>
      <x:c r="AG697" s="2" t="s">
        <x:v>428</x:v>
      </x:c>
      <x:c r="AH697" s="2"/>
      <x:c r="AI697" s="4"/>
      <x:c r="AJ697" s="2"/>
      <x:c r="AK697" s="2" t="s">
        <x:v>396</x:v>
      </x:c>
      <x:c r="AL697" s="2" t="s">
        <x:v>3061</x:v>
      </x:c>
      <x:c r="AM697" s="2">
        <x:v>77</x:v>
      </x:c>
      <x:c r="AN697" s="2">
        <x:v>77</x:v>
      </x:c>
    </x:row>
    <x:row r="698" ht="52">
      <x:c r="A698" s="2" t="s">
        <x:v>91</x:v>
      </x:c>
      <x:c r="B698" s="2" t="s">
        <x:v>17</x:v>
      </x:c>
      <x:c r="C698" s="3">
        <x:v>76</x:v>
      </x:c>
      <x:c r="D698" s="2" t="s">
        <x:v>2077</x:v>
      </x:c>
      <x:c r="E698" s="2" t="s">
        <x:v>2038</x:v>
      </x:c>
      <x:c r="F698" s="2" t="s">
        <x:v>2047</x:v>
      </x:c>
      <x:c r="G698" s="2" t="s">
        <x:v>2235</x:v>
      </x:c>
      <x:c r="H698" s="2" t="s">
        <x:v>618</x:v>
      </x:c>
      <x:c r="I698" s="2" t="s">
        <x:v>2217</x:v>
      </x:c>
      <x:c r="J698" s="2" t="s">
        <x:v>2080</x:v>
      </x:c>
      <x:c r="K698" s="2"/>
      <x:c r="L698" s="2" t="s">
        <x:v>2218</x:v>
      </x:c>
      <x:c r="M698" s="2" t="s">
        <x:v>2082</x:v>
      </x:c>
      <x:c r="N698" s="2">
        <x:v>3</x:v>
      </x:c>
      <x:c r="O698" s="2" t="s">
        <x:v>2083</x:v>
      </x:c>
      <x:c r="P698" s="2" t="s">
        <x:v>2084</x:v>
      </x:c>
      <x:c r="Q698" s="2"/>
      <x:c r="R698" s="3">
        <x:v>3</x:v>
      </x:c>
      <x:c r="S698" s="3">
        <x:v>1</x:v>
      </x:c>
      <x:c r="T698" s="2" t="s">
        <x:v>103</x:v>
      </x:c>
      <x:c r="U698" s="2"/>
      <x:c r="V698" s="2"/>
      <x:c r="W698" s="2"/>
      <x:c r="X698" s="3"/>
      <x:c r="Y698" s="3"/>
      <x:c r="Z698" s="2"/>
      <x:c r="AA698" s="2"/>
      <x:c r="AB698" s="2" t="s">
        <x:v>415</x:v>
      </x:c>
      <x:c r="AC698" s="2"/>
      <x:c r="AD698" s="2"/>
      <x:c r="AE698" s="2"/>
      <x:c r="AF698" s="2"/>
      <x:c r="AG698" s="2" t="s">
        <x:v>2036</x:v>
      </x:c>
      <x:c r="AH698" s="2"/>
      <x:c r="AI698" s="4"/>
      <x:c r="AJ698" s="2"/>
      <x:c r="AK698" s="2" t="s">
        <x:v>396</x:v>
      </x:c>
      <x:c r="AL698" s="2" t="s">
        <x:v>3061</x:v>
      </x:c>
      <x:c r="AM698" s="2">
        <x:v>78</x:v>
      </x:c>
      <x:c r="AN698" s="2">
        <x:v>78</x:v>
      </x:c>
    </x:row>
    <x:row r="699" ht="39">
      <x:c r="A699" s="2" t="s">
        <x:v>6</x:v>
      </x:c>
      <x:c r="B699" s="2" t="s">
        <x:v>17</x:v>
      </x:c>
      <x:c r="C699" s="3">
        <x:v>77</x:v>
      </x:c>
      <x:c r="D699" s="2" t="s">
        <x:v>2171</x:v>
      </x:c>
      <x:c r="E699" s="2" t="s">
        <x:v>2038</x:v>
      </x:c>
      <x:c r="F699" s="2" t="s">
        <x:v>2047</x:v>
      </x:c>
      <x:c r="G699" s="2"/>
      <x:c r="H699" s="2" t="s">
        <x:v>627</x:v>
      </x:c>
      <x:c r="I699" s="2" t="s">
        <x:v>2217</x:v>
      </x:c>
      <x:c r="J699" s="2" t="s">
        <x:v>2086</x:v>
      </x:c>
      <x:c r="K699" s="2" t="n">
        <x:v>76</x:v>
      </x:c>
      <x:c r="L699" s="2" t="s">
        <x:v>2218</x:v>
      </x:c>
      <x:c r="M699" s="2" t="s">
        <x:v>2087</x:v>
      </x:c>
      <x:c r="N699" s="2">
        <x:v>3</x:v>
      </x:c>
      <x:c r="O699" s="2" t="s">
        <x:v>2088</x:v>
      </x:c>
      <x:c r="P699" s="2" t="s">
        <x:v>2089</x:v>
      </x:c>
      <x:c r="Q699" s="2"/>
      <x:c r="R699" s="3">
        <x:v>3</x:v>
      </x:c>
      <x:c r="S699" s="3">
        <x:v>1</x:v>
      </x:c>
      <x:c r="T699" s="2" t="s">
        <x:v>103</x:v>
      </x:c>
      <x:c r="U699" s="2"/>
      <x:c r="V699" s="2"/>
      <x:c r="W699" s="2"/>
      <x:c r="X699" s="3"/>
      <x:c r="Y699" s="3"/>
      <x:c r="Z699" s="2"/>
      <x:c r="AA699" s="2"/>
      <x:c r="AB699" s="2" t="s">
        <x:v>2090</x:v>
      </x:c>
      <x:c r="AC699" s="2"/>
      <x:c r="AD699" s="2"/>
      <x:c r="AE699" s="2"/>
      <x:c r="AF699" s="2"/>
      <x:c r="AG699" s="2" t="s">
        <x:v>2036</x:v>
      </x:c>
      <x:c r="AH699" s="2"/>
      <x:c r="AI699" s="4"/>
      <x:c r="AJ699" s="2"/>
      <x:c r="AK699" s="2" t="s">
        <x:v>396</x:v>
      </x:c>
      <x:c r="AL699" s="2" t="s">
        <x:v>3061</x:v>
      </x:c>
      <x:c r="AM699" s="2">
        <x:v>79</x:v>
      </x:c>
      <x:c r="AN699" s="2">
        <x:v>79</x:v>
      </x:c>
    </x:row>
    <x:row r="700" ht="52">
      <x:c r="A700" s="2" t="s">
        <x:v>6</x:v>
      </x:c>
      <x:c r="B700" s="2" t="s">
        <x:v>17</x:v>
      </x:c>
      <x:c r="C700" s="3">
        <x:v>78</x:v>
      </x:c>
      <x:c r="D700" s="2" t="s">
        <x:v>2102</x:v>
      </x:c>
      <x:c r="E700" s="2" t="s">
        <x:v>409</x:v>
      </x:c>
      <x:c r="F700" s="2" t="s">
        <x:v>410</x:v>
      </x:c>
      <x:c r="G700" s="2"/>
      <x:c r="H700" s="2" t="s">
        <x:v>618</x:v>
      </x:c>
      <x:c r="I700" s="2" t="s">
        <x:v>2219</x:v>
      </x:c>
      <x:c r="J700" s="2" t="s">
        <x:v>2080</x:v>
      </x:c>
      <x:c r="K700" s="2"/>
      <x:c r="L700" s="2" t="s">
        <x:v>2220</x:v>
      </x:c>
      <x:c r="M700" s="2" t="s">
        <x:v>2082</x:v>
      </x:c>
      <x:c r="N700" s="2">
        <x:v>3</x:v>
      </x:c>
      <x:c r="O700" s="2" t="s">
        <x:v>2083</x:v>
      </x:c>
      <x:c r="P700" s="2" t="s">
        <x:v>2084</x:v>
      </x:c>
      <x:c r="Q700" s="2"/>
      <x:c r="R700" s="3">
        <x:v>3</x:v>
      </x:c>
      <x:c r="S700" s="3">
        <x:v>1</x:v>
      </x:c>
      <x:c r="T700" s="2" t="s">
        <x:v>103</x:v>
      </x:c>
      <x:c r="U700" s="2"/>
      <x:c r="V700" s="2"/>
      <x:c r="W700" s="2"/>
      <x:c r="X700" s="3"/>
      <x:c r="Y700" s="3"/>
      <x:c r="Z700" s="2"/>
      <x:c r="AA700" s="2"/>
      <x:c r="AB700" s="2" t="s">
        <x:v>427</x:v>
      </x:c>
      <x:c r="AC700" s="2"/>
      <x:c r="AD700" s="2"/>
      <x:c r="AE700" s="2"/>
      <x:c r="AF700" s="2"/>
      <x:c r="AG700" s="2" t="s">
        <x:v>395</x:v>
      </x:c>
      <x:c r="AH700" s="2"/>
      <x:c r="AI700" s="4"/>
      <x:c r="AJ700" s="2"/>
      <x:c r="AK700" s="2" t="s">
        <x:v>396</x:v>
      </x:c>
      <x:c r="AL700" s="2" t="s">
        <x:v>3061</x:v>
      </x:c>
      <x:c r="AM700" s="2">
        <x:v>80</x:v>
      </x:c>
      <x:c r="AN700" s="2">
        <x:v>80</x:v>
      </x:c>
    </x:row>
    <x:row r="701" ht="39">
      <x:c r="A701" s="2" t="s">
        <x:v>6</x:v>
      </x:c>
      <x:c r="B701" s="2" t="s">
        <x:v>17</x:v>
      </x:c>
      <x:c r="C701" s="3">
        <x:v>79</x:v>
      </x:c>
      <x:c r="D701" s="2" t="s">
        <x:v>2221</x:v>
      </x:c>
      <x:c r="E701" s="2" t="s">
        <x:v>409</x:v>
      </x:c>
      <x:c r="F701" s="2" t="s">
        <x:v>410</x:v>
      </x:c>
      <x:c r="G701" s="2"/>
      <x:c r="H701" s="2" t="s">
        <x:v>627</x:v>
      </x:c>
      <x:c r="I701" s="2" t="s">
        <x:v>2219</x:v>
      </x:c>
      <x:c r="J701" s="2" t="s">
        <x:v>2086</x:v>
      </x:c>
      <x:c r="K701" s="2" t="n">
        <x:v>78</x:v>
      </x:c>
      <x:c r="L701" s="2" t="s">
        <x:v>2220</x:v>
      </x:c>
      <x:c r="M701" s="2" t="s">
        <x:v>2087</x:v>
      </x:c>
      <x:c r="N701" s="2">
        <x:v>3</x:v>
      </x:c>
      <x:c r="O701" s="2" t="s">
        <x:v>2088</x:v>
      </x:c>
      <x:c r="P701" s="2" t="s">
        <x:v>2089</x:v>
      </x:c>
      <x:c r="Q701" s="2"/>
      <x:c r="R701" s="3">
        <x:v>3</x:v>
      </x:c>
      <x:c r="S701" s="3">
        <x:v>1</x:v>
      </x:c>
      <x:c r="T701" s="2" t="s">
        <x:v>103</x:v>
      </x:c>
      <x:c r="U701" s="2"/>
      <x:c r="V701" s="2"/>
      <x:c r="W701" s="2"/>
      <x:c r="X701" s="3"/>
      <x:c r="Y701" s="3"/>
      <x:c r="Z701" s="2"/>
      <x:c r="AA701" s="2"/>
      <x:c r="AB701" s="2" t="s">
        <x:v>2090</x:v>
      </x:c>
      <x:c r="AC701" s="2"/>
      <x:c r="AD701" s="2"/>
      <x:c r="AE701" s="2"/>
      <x:c r="AF701" s="2"/>
      <x:c r="AG701" s="2" t="s">
        <x:v>395</x:v>
      </x:c>
      <x:c r="AH701" s="2"/>
      <x:c r="AI701" s="4"/>
      <x:c r="AJ701" s="2"/>
      <x:c r="AK701" s="2" t="s">
        <x:v>396</x:v>
      </x:c>
      <x:c r="AL701" s="2" t="s">
        <x:v>3061</x:v>
      </x:c>
      <x:c r="AM701" s="2">
        <x:v>81</x:v>
      </x:c>
      <x:c r="AN701" s="2">
        <x:v>81</x:v>
      </x:c>
    </x:row>
    <x:row r="702" ht="52">
      <x:c r="A702" s="2" t="s">
        <x:v>6</x:v>
      </x:c>
      <x:c r="B702" s="2" t="s">
        <x:v>17</x:v>
      </x:c>
      <x:c r="C702" s="3">
        <x:v>80</x:v>
      </x:c>
      <x:c r="D702" s="2" t="s">
        <x:v>2108</x:v>
      </x:c>
      <x:c r="E702" s="2" t="s">
        <x:v>2109</x:v>
      </x:c>
      <x:c r="F702" s="2" t="s">
        <x:v>431</x:v>
      </x:c>
      <x:c r="G702" s="2"/>
      <x:c r="H702" s="2" t="s">
        <x:v>618</x:v>
      </x:c>
      <x:c r="I702" s="2" t="s">
        <x:v>2224</x:v>
      </x:c>
      <x:c r="J702" s="2" t="s">
        <x:v>2080</x:v>
      </x:c>
      <x:c r="K702" s="2"/>
      <x:c r="L702" s="2" t="s">
        <x:v>2225</x:v>
      </x:c>
      <x:c r="M702" s="2" t="s">
        <x:v>2082</x:v>
      </x:c>
      <x:c r="N702" s="2">
        <x:v>4</x:v>
      </x:c>
      <x:c r="O702" s="2" t="s">
        <x:v>2083</x:v>
      </x:c>
      <x:c r="P702" s="2" t="s">
        <x:v>2084</x:v>
      </x:c>
      <x:c r="Q702" s="2"/>
      <x:c r="R702" s="3">
        <x:v>4</x:v>
      </x:c>
      <x:c r="S702" s="3">
        <x:v>1</x:v>
      </x:c>
      <x:c r="T702" s="2" t="s">
        <x:v>103</x:v>
      </x:c>
      <x:c r="U702" s="2"/>
      <x:c r="V702" s="2"/>
      <x:c r="W702" s="2"/>
      <x:c r="X702" s="3"/>
      <x:c r="Y702" s="3"/>
      <x:c r="Z702" s="2"/>
      <x:c r="AA702" s="2"/>
      <x:c r="AB702" s="2" t="s">
        <x:v>394</x:v>
      </x:c>
      <x:c r="AC702" s="2"/>
      <x:c r="AD702" s="2"/>
      <x:c r="AE702" s="2"/>
      <x:c r="AF702" s="2"/>
      <x:c r="AG702" s="2" t="s">
        <x:v>428</x:v>
      </x:c>
      <x:c r="AH702" s="2"/>
      <x:c r="AI702" s="4"/>
      <x:c r="AJ702" s="2"/>
      <x:c r="AK702" s="2" t="s">
        <x:v>396</x:v>
      </x:c>
      <x:c r="AL702" s="2" t="s">
        <x:v>3061</x:v>
      </x:c>
      <x:c r="AM702" s="2">
        <x:v>82</x:v>
      </x:c>
      <x:c r="AN702" s="2">
        <x:v>82</x:v>
      </x:c>
    </x:row>
    <x:row r="703" ht="52">
      <x:c r="A703" s="2" t="s">
        <x:v>91</x:v>
      </x:c>
      <x:c r="B703" s="2" t="s">
        <x:v>17</x:v>
      </x:c>
      <x:c r="C703" s="3">
        <x:v>81</x:v>
      </x:c>
      <x:c r="D703" s="2" t="s">
        <x:v>2118</x:v>
      </x:c>
      <x:c r="E703" s="2" t="s">
        <x:v>2226</x:v>
      </x:c>
      <x:c r="F703" s="2" t="s">
        <x:v>2047</x:v>
      </x:c>
      <x:c r="G703" s="2" t="s">
        <x:v>2235</x:v>
      </x:c>
      <x:c r="H703" s="2" t="s">
        <x:v>618</x:v>
      </x:c>
      <x:c r="I703" s="2" t="s">
        <x:v>2227</x:v>
      </x:c>
      <x:c r="J703" s="2" t="s">
        <x:v>2120</x:v>
      </x:c>
      <x:c r="K703" s="2"/>
      <x:c r="L703" s="2" t="s">
        <x:v>2228</x:v>
      </x:c>
      <x:c r="M703" s="2" t="s">
        <x:v>2082</x:v>
      </x:c>
      <x:c r="N703" s="2">
        <x:v>4</x:v>
      </x:c>
      <x:c r="O703" s="2" t="s">
        <x:v>2083</x:v>
      </x:c>
      <x:c r="P703" s="2" t="s">
        <x:v>2084</x:v>
      </x:c>
      <x:c r="Q703" s="2"/>
      <x:c r="R703" s="3">
        <x:v>4</x:v>
      </x:c>
      <x:c r="S703" s="3">
        <x:v>1</x:v>
      </x:c>
      <x:c r="T703" s="2" t="s">
        <x:v>103</x:v>
      </x:c>
      <x:c r="U703" s="2"/>
      <x:c r="V703" s="2"/>
      <x:c r="W703" s="2"/>
      <x:c r="X703" s="3"/>
      <x:c r="Y703" s="3"/>
      <x:c r="Z703" s="2"/>
      <x:c r="AA703" s="2"/>
      <x:c r="AB703" s="2" t="s">
        <x:v>415</x:v>
      </x:c>
      <x:c r="AC703" s="2"/>
      <x:c r="AD703" s="2"/>
      <x:c r="AE703" s="2"/>
      <x:c r="AF703" s="2"/>
      <x:c r="AG703" s="2" t="s">
        <x:v>2036</x:v>
      </x:c>
      <x:c r="AH703" s="2"/>
      <x:c r="AI703" s="4"/>
      <x:c r="AJ703" s="2"/>
      <x:c r="AK703" s="2" t="s">
        <x:v>396</x:v>
      </x:c>
      <x:c r="AL703" s="2" t="s">
        <x:v>3061</x:v>
      </x:c>
      <x:c r="AM703" s="2">
        <x:v>83</x:v>
      </x:c>
      <x:c r="AN703" s="2">
        <x:v>83</x:v>
      </x:c>
    </x:row>
    <x:row r="704" ht="52">
      <x:c r="A704" s="2" t="s">
        <x:v>91</x:v>
      </x:c>
      <x:c r="B704" s="2" t="s">
        <x:v>17</x:v>
      </x:c>
      <x:c r="C704" s="3">
        <x:v>82</x:v>
      </x:c>
      <x:c r="D704" s="2" t="s">
        <x:v>2126</x:v>
      </x:c>
      <x:c r="E704" s="2" t="s">
        <x:v>2229</x:v>
      </x:c>
      <x:c r="F704" s="2" t="s">
        <x:v>410</x:v>
      </x:c>
      <x:c r="G704" s="2" t="s">
        <x:v>3206</x:v>
      </x:c>
      <x:c r="H704" s="2" t="s">
        <x:v>618</x:v>
      </x:c>
      <x:c r="I704" s="2" t="s">
        <x:v>2230</x:v>
      </x:c>
      <x:c r="J704" s="2" t="s">
        <x:v>2120</x:v>
      </x:c>
      <x:c r="K704" s="2"/>
      <x:c r="L704" s="2" t="s">
        <x:v>2231</x:v>
      </x:c>
      <x:c r="M704" s="2" t="s">
        <x:v>2082</x:v>
      </x:c>
      <x:c r="N704" s="2">
        <x:v>4</x:v>
      </x:c>
      <x:c r="O704" s="2" t="s">
        <x:v>2083</x:v>
      </x:c>
      <x:c r="P704" s="2" t="s">
        <x:v>2084</x:v>
      </x:c>
      <x:c r="Q704" s="2"/>
      <x:c r="R704" s="3">
        <x:v>4</x:v>
      </x:c>
      <x:c r="S704" s="3">
        <x:v>1</x:v>
      </x:c>
      <x:c r="T704" s="2" t="s">
        <x:v>103</x:v>
      </x:c>
      <x:c r="U704" s="2"/>
      <x:c r="V704" s="2"/>
      <x:c r="W704" s="2"/>
      <x:c r="X704" s="3"/>
      <x:c r="Y704" s="3"/>
      <x:c r="Z704" s="2"/>
      <x:c r="AA704" s="2"/>
      <x:c r="AB704" s="2" t="s">
        <x:v>427</x:v>
      </x:c>
      <x:c r="AC704" s="2"/>
      <x:c r="AD704" s="2"/>
      <x:c r="AE704" s="2"/>
      <x:c r="AF704" s="2"/>
      <x:c r="AG704" s="2" t="s">
        <x:v>395</x:v>
      </x:c>
      <x:c r="AH704" s="2"/>
      <x:c r="AI704" s="4"/>
      <x:c r="AJ704" s="2"/>
      <x:c r="AK704" s="2" t="s">
        <x:v>396</x:v>
      </x:c>
      <x:c r="AL704" s="2" t="s">
        <x:v>3061</x:v>
      </x:c>
      <x:c r="AM704" s="2">
        <x:v>84</x:v>
      </x:c>
      <x:c r="AN704" s="2">
        <x:v>84</x:v>
      </x:c>
    </x:row>
    <x:row r="705" ht="52">
      <x:c r="A705" s="2" t="s">
        <x:v>6</x:v>
      </x:c>
      <x:c r="B705" s="2" t="s">
        <x:v>17</x:v>
      </x:c>
      <x:c r="C705" s="3">
        <x:v>83</x:v>
      </x:c>
      <x:c r="D705" s="2" t="s">
        <x:v>2134</x:v>
      </x:c>
      <x:c r="E705" s="2" t="s">
        <x:v>2232</x:v>
      </x:c>
      <x:c r="F705" s="2" t="s">
        <x:v>431</x:v>
      </x:c>
      <x:c r="G705" s="2" t="s">
        <x:v>3207</x:v>
      </x:c>
      <x:c r="H705" s="2" t="s">
        <x:v>618</x:v>
      </x:c>
      <x:c r="I705" s="2" t="s">
        <x:v>2233</x:v>
      </x:c>
      <x:c r="J705" s="2" t="s">
        <x:v>2120</x:v>
      </x:c>
      <x:c r="K705" s="2"/>
      <x:c r="L705" s="2" t="s">
        <x:v>2234</x:v>
      </x:c>
      <x:c r="M705" s="2" t="s">
        <x:v>2082</x:v>
      </x:c>
      <x:c r="N705" s="2">
        <x:v>4</x:v>
      </x:c>
      <x:c r="O705" s="2" t="s">
        <x:v>2083</x:v>
      </x:c>
      <x:c r="P705" s="2" t="s">
        <x:v>2084</x:v>
      </x:c>
      <x:c r="Q705" s="2"/>
      <x:c r="R705" s="3">
        <x:v>5</x:v>
      </x:c>
      <x:c r="S705" s="3">
        <x:v>1</x:v>
      </x:c>
      <x:c r="T705" s="2" t="s">
        <x:v>103</x:v>
      </x:c>
      <x:c r="U705" s="2"/>
      <x:c r="V705" s="2"/>
      <x:c r="W705" s="2"/>
      <x:c r="X705" s="3"/>
      <x:c r="Y705" s="3"/>
      <x:c r="Z705" s="2"/>
      <x:c r="AA705" s="2"/>
      <x:c r="AB705" s="2" t="s">
        <x:v>394</x:v>
      </x:c>
      <x:c r="AC705" s="2"/>
      <x:c r="AD705" s="2"/>
      <x:c r="AE705" s="2"/>
      <x:c r="AF705" s="2"/>
      <x:c r="AG705" s="2" t="s">
        <x:v>428</x:v>
      </x:c>
      <x:c r="AH705" s="2"/>
      <x:c r="AI705" s="4"/>
      <x:c r="AJ705" s="2"/>
      <x:c r="AK705" s="2" t="s">
        <x:v>396</x:v>
      </x:c>
      <x:c r="AL705" s="2" t="s">
        <x:v>3061</x:v>
      </x:c>
      <x:c r="AM705" s="2">
        <x:v>85</x:v>
      </x:c>
      <x:c r="AN705" s="2">
        <x:v>85</x:v>
      </x:c>
    </x:row>
    <x:row r="706" ht="52">
      <x:c r="A706" s="2" t="s">
        <x:v>6</x:v>
      </x:c>
      <x:c r="B706" s="2" t="s">
        <x:v>17</x:v>
      </x:c>
      <x:c r="C706" s="3">
        <x:v>84</x:v>
      </x:c>
      <x:c r="D706" s="2" t="s">
        <x:v>2141</x:v>
      </x:c>
      <x:c r="E706" s="2" t="s">
        <x:v>2142</x:v>
      </x:c>
      <x:c r="F706" s="2" t="s">
        <x:v>237</x:v>
      </x:c>
      <x:c r="G706" s="2"/>
      <x:c r="H706" s="2" t="s">
        <x:v>618</x:v>
      </x:c>
      <x:c r="I706" s="2" t="s">
        <x:v>2236</x:v>
      </x:c>
      <x:c r="J706" s="2" t="s">
        <x:v>2145</x:v>
      </x:c>
      <x:c r="K706" s="2"/>
      <x:c r="L706" s="2" t="s">
        <x:v>2237</x:v>
      </x:c>
      <x:c r="M706" s="2" t="s">
        <x:v>2082</x:v>
      </x:c>
      <x:c r="N706" s="2">
        <x:v>4</x:v>
      </x:c>
      <x:c r="O706" s="2" t="s">
        <x:v>2083</x:v>
      </x:c>
      <x:c r="P706" s="2" t="s">
        <x:v>2084</x:v>
      </x:c>
      <x:c r="Q706" s="2"/>
      <x:c r="R706" s="3">
        <x:v>3</x:v>
      </x:c>
      <x:c r="S706" s="3">
        <x:v>1</x:v>
      </x:c>
      <x:c r="T706" s="2" t="s">
        <x:v>103</x:v>
      </x:c>
      <x:c r="U706" s="2"/>
      <x:c r="V706" s="2"/>
      <x:c r="W706" s="2"/>
      <x:c r="X706" s="3"/>
      <x:c r="Y706" s="3"/>
      <x:c r="Z706" s="2"/>
      <x:c r="AA706" s="2"/>
      <x:c r="AB706" s="2" t="s">
        <x:v>415</x:v>
      </x:c>
      <x:c r="AC706" s="2"/>
      <x:c r="AD706" s="2"/>
      <x:c r="AE706" s="2"/>
      <x:c r="AF706" s="2"/>
      <x:c r="AG706" s="2" t="s">
        <x:v>2036</x:v>
      </x:c>
      <x:c r="AH706" s="2"/>
      <x:c r="AI706" s="4"/>
      <x:c r="AJ706" s="2"/>
      <x:c r="AK706" s="2" t="s">
        <x:v>396</x:v>
      </x:c>
      <x:c r="AL706" s="2" t="s">
        <x:v>3061</x:v>
      </x:c>
      <x:c r="AM706" s="2">
        <x:v>86</x:v>
      </x:c>
      <x:c r="AN706" s="2">
        <x:v>86</x:v>
      </x:c>
    </x:row>
    <x:row r="707" ht="52">
      <x:c r="A707" s="2" t="s">
        <x:v>91</x:v>
      </x:c>
      <x:c r="B707" s="2" t="s">
        <x:v>17</x:v>
      </x:c>
      <x:c r="C707" s="3">
        <x:v>85</x:v>
      </x:c>
      <x:c r="D707" s="2" t="s">
        <x:v>2153</x:v>
      </x:c>
      <x:c r="E707" s="2" t="s">
        <x:v>2154</x:v>
      </x:c>
      <x:c r="F707" s="2" t="s">
        <x:v>386</x:v>
      </x:c>
      <x:c r="G707" s="2" t="s">
        <x:v>2028</x:v>
      </x:c>
      <x:c r="H707" s="2" t="s">
        <x:v>618</x:v>
      </x:c>
      <x:c r="I707" s="2" t="s">
        <x:v>2238</x:v>
      </x:c>
      <x:c r="J707" s="2" t="s">
        <x:v>2145</x:v>
      </x:c>
      <x:c r="K707" s="2"/>
      <x:c r="L707" s="2" t="s">
        <x:v>2239</x:v>
      </x:c>
      <x:c r="M707" s="2" t="s">
        <x:v>2082</x:v>
      </x:c>
      <x:c r="N707" s="2">
        <x:v>4</x:v>
      </x:c>
      <x:c r="O707" s="2" t="s">
        <x:v>2083</x:v>
      </x:c>
      <x:c r="P707" s="2" t="s">
        <x:v>2084</x:v>
      </x:c>
      <x:c r="Q707" s="2"/>
      <x:c r="R707" s="3">
        <x:v>3</x:v>
      </x:c>
      <x:c r="S707" s="3">
        <x:v>1</x:v>
      </x:c>
      <x:c r="T707" s="2" t="s">
        <x:v>103</x:v>
      </x:c>
      <x:c r="U707" s="2"/>
      <x:c r="V707" s="2"/>
      <x:c r="W707" s="2"/>
      <x:c r="X707" s="3"/>
      <x:c r="Y707" s="3"/>
      <x:c r="Z707" s="2"/>
      <x:c r="AA707" s="2"/>
      <x:c r="AB707" s="2" t="s">
        <x:v>427</x:v>
      </x:c>
      <x:c r="AC707" s="2"/>
      <x:c r="AD707" s="2"/>
      <x:c r="AE707" s="2"/>
      <x:c r="AF707" s="2"/>
      <x:c r="AG707" s="2" t="s">
        <x:v>395</x:v>
      </x:c>
      <x:c r="AH707" s="2"/>
      <x:c r="AI707" s="4"/>
      <x:c r="AJ707" s="2"/>
      <x:c r="AK707" s="2" t="s">
        <x:v>396</x:v>
      </x:c>
      <x:c r="AL707" s="2" t="s">
        <x:v>3061</x:v>
      </x:c>
      <x:c r="AM707" s="2">
        <x:v>87</x:v>
      </x:c>
      <x:c r="AN707" s="2">
        <x:v>87</x:v>
      </x:c>
    </x:row>
    <x:row r="708" ht="52">
      <x:c r="A708" s="2" t="s">
        <x:v>91</x:v>
      </x:c>
      <x:c r="B708" s="2" t="s">
        <x:v>17</x:v>
      </x:c>
      <x:c r="C708" s="3">
        <x:v>86</x:v>
      </x:c>
      <x:c r="D708" s="2" t="s">
        <x:v>2160</x:v>
      </x:c>
      <x:c r="E708" s="2" t="s">
        <x:v>2161</x:v>
      </x:c>
      <x:c r="F708" s="2" t="s">
        <x:v>423</x:v>
      </x:c>
      <x:c r="G708" s="2" t="s">
        <x:v>1290</x:v>
      </x:c>
      <x:c r="H708" s="2" t="s">
        <x:v>618</x:v>
      </x:c>
      <x:c r="I708" s="2" t="s">
        <x:v>2241</x:v>
      </x:c>
      <x:c r="J708" s="2" t="s">
        <x:v>2145</x:v>
      </x:c>
      <x:c r="K708" s="2"/>
      <x:c r="L708" s="2" t="s">
        <x:v>2242</x:v>
      </x:c>
      <x:c r="M708" s="2" t="s">
        <x:v>2082</x:v>
      </x:c>
      <x:c r="N708" s="2">
        <x:v>4</x:v>
      </x:c>
      <x:c r="O708" s="2" t="s">
        <x:v>2083</x:v>
      </x:c>
      <x:c r="P708" s="2" t="s">
        <x:v>2084</x:v>
      </x:c>
      <x:c r="Q708" s="2"/>
      <x:c r="R708" s="3">
        <x:v>4</x:v>
      </x:c>
      <x:c r="S708" s="3">
        <x:v>1</x:v>
      </x:c>
      <x:c r="T708" s="2" t="s">
        <x:v>103</x:v>
      </x:c>
      <x:c r="U708" s="2"/>
      <x:c r="V708" s="2"/>
      <x:c r="W708" s="2"/>
      <x:c r="X708" s="3"/>
      <x:c r="Y708" s="3"/>
      <x:c r="Z708" s="2"/>
      <x:c r="AA708" s="2"/>
      <x:c r="AB708" s="2" t="s">
        <x:v>394</x:v>
      </x:c>
      <x:c r="AC708" s="2"/>
      <x:c r="AD708" s="2"/>
      <x:c r="AE708" s="2"/>
      <x:c r="AF708" s="2"/>
      <x:c r="AG708" s="2" t="s">
        <x:v>428</x:v>
      </x:c>
      <x:c r="AH708" s="2"/>
      <x:c r="AI708" s="4"/>
      <x:c r="AJ708" s="2"/>
      <x:c r="AK708" s="2" t="s">
        <x:v>396</x:v>
      </x:c>
      <x:c r="AL708" s="2" t="s">
        <x:v>3061</x:v>
      </x:c>
      <x:c r="AM708" s="2">
        <x:v>88</x:v>
      </x:c>
      <x:c r="AN708" s="2">
        <x:v>88</x:v>
      </x:c>
    </x:row>
    <x:row r="709" ht="52">
      <x:c r="A709" s="2" t="s">
        <x:v>91</x:v>
      </x:c>
      <x:c r="B709" s="2" t="s">
        <x:v>17</x:v>
      </x:c>
      <x:c r="C709" s="3">
        <x:v>87</x:v>
      </x:c>
      <x:c r="D709" s="2" t="s">
        <x:v>2167</x:v>
      </x:c>
      <x:c r="E709" s="2" t="s">
        <x:v>2243</x:v>
      </x:c>
      <x:c r="F709" s="2" t="s">
        <x:v>237</x:v>
      </x:c>
      <x:c r="G709" s="2" t="s">
        <x:v>3208</x:v>
      </x:c>
      <x:c r="H709" s="2" t="s">
        <x:v>618</x:v>
      </x:c>
      <x:c r="I709" s="2" t="s">
        <x:v>2244</x:v>
      </x:c>
      <x:c r="J709" s="2" t="s">
        <x:v>2080</x:v>
      </x:c>
      <x:c r="K709" s="2"/>
      <x:c r="L709" s="2" t="s">
        <x:v>2245</x:v>
      </x:c>
      <x:c r="M709" s="2" t="s">
        <x:v>2082</x:v>
      </x:c>
      <x:c r="N709" s="2">
        <x:v>4</x:v>
      </x:c>
      <x:c r="O709" s="2" t="s">
        <x:v>2083</x:v>
      </x:c>
      <x:c r="P709" s="2" t="s">
        <x:v>2084</x:v>
      </x:c>
      <x:c r="Q709" s="2"/>
      <x:c r="R709" s="3">
        <x:v>4</x:v>
      </x:c>
      <x:c r="S709" s="3">
        <x:v>1</x:v>
      </x:c>
      <x:c r="T709" s="2" t="s">
        <x:v>103</x:v>
      </x:c>
      <x:c r="U709" s="2"/>
      <x:c r="V709" s="2"/>
      <x:c r="W709" s="2"/>
      <x:c r="X709" s="3"/>
      <x:c r="Y709" s="3"/>
      <x:c r="Z709" s="2"/>
      <x:c r="AA709" s="2"/>
      <x:c r="AB709" s="2" t="s">
        <x:v>415</x:v>
      </x:c>
      <x:c r="AC709" s="2"/>
      <x:c r="AD709" s="2"/>
      <x:c r="AE709" s="2"/>
      <x:c r="AF709" s="2"/>
      <x:c r="AG709" s="2" t="s">
        <x:v>2036</x:v>
      </x:c>
      <x:c r="AH709" s="2"/>
      <x:c r="AI709" s="4"/>
      <x:c r="AJ709" s="2"/>
      <x:c r="AK709" s="2" t="s">
        <x:v>396</x:v>
      </x:c>
      <x:c r="AL709" s="2" t="s">
        <x:v>3061</x:v>
      </x:c>
      <x:c r="AM709" s="2">
        <x:v>89</x:v>
      </x:c>
      <x:c r="AN709" s="2">
        <x:v>89</x:v>
      </x:c>
    </x:row>
    <x:row r="710" ht="52">
      <x:c r="A710" s="2" t="s">
        <x:v>91</x:v>
      </x:c>
      <x:c r="B710" s="2" t="s">
        <x:v>17</x:v>
      </x:c>
      <x:c r="C710" s="3">
        <x:v>88</x:v>
      </x:c>
      <x:c r="D710" s="2" t="s">
        <x:v>2176</x:v>
      </x:c>
      <x:c r="E710" s="2" t="s">
        <x:v>2246</x:v>
      </x:c>
      <x:c r="F710" s="2" t="s">
        <x:v>386</x:v>
      </x:c>
      <x:c r="G710" s="2" t="s">
        <x:v>3209</x:v>
      </x:c>
      <x:c r="H710" s="2" t="s">
        <x:v>618</x:v>
      </x:c>
      <x:c r="I710" s="2" t="s">
        <x:v>2247</x:v>
      </x:c>
      <x:c r="J710" s="2" t="s">
        <x:v>2080</x:v>
      </x:c>
      <x:c r="K710" s="2"/>
      <x:c r="L710" s="2" t="s">
        <x:v>2248</x:v>
      </x:c>
      <x:c r="M710" s="2" t="s">
        <x:v>2082</x:v>
      </x:c>
      <x:c r="N710" s="2">
        <x:v>4</x:v>
      </x:c>
      <x:c r="O710" s="2" t="s">
        <x:v>2083</x:v>
      </x:c>
      <x:c r="P710" s="2" t="s">
        <x:v>2084</x:v>
      </x:c>
      <x:c r="Q710" s="2"/>
      <x:c r="R710" s="3">
        <x:v>4</x:v>
      </x:c>
      <x:c r="S710" s="3">
        <x:v>1</x:v>
      </x:c>
      <x:c r="T710" s="2" t="s">
        <x:v>103</x:v>
      </x:c>
      <x:c r="U710" s="2"/>
      <x:c r="V710" s="2"/>
      <x:c r="W710" s="2"/>
      <x:c r="X710" s="3"/>
      <x:c r="Y710" s="3"/>
      <x:c r="Z710" s="2"/>
      <x:c r="AA710" s="2"/>
      <x:c r="AB710" s="2" t="s">
        <x:v>427</x:v>
      </x:c>
      <x:c r="AC710" s="2"/>
      <x:c r="AD710" s="2"/>
      <x:c r="AE710" s="2"/>
      <x:c r="AF710" s="2"/>
      <x:c r="AG710" s="2" t="s">
        <x:v>395</x:v>
      </x:c>
      <x:c r="AH710" s="2"/>
      <x:c r="AI710" s="4"/>
      <x:c r="AJ710" s="2"/>
      <x:c r="AK710" s="2" t="s">
        <x:v>396</x:v>
      </x:c>
      <x:c r="AL710" s="2" t="s">
        <x:v>3061</x:v>
      </x:c>
      <x:c r="AM710" s="2">
        <x:v>90</x:v>
      </x:c>
      <x:c r="AN710" s="2">
        <x:v>90</x:v>
      </x:c>
    </x:row>
    <x:row r="711" ht="52">
      <x:c r="A711" s="2" t="s">
        <x:v>91</x:v>
      </x:c>
      <x:c r="B711" s="2" t="s">
        <x:v>17</x:v>
      </x:c>
      <x:c r="C711" s="3">
        <x:v>89</x:v>
      </x:c>
      <x:c r="D711" s="2" t="s">
        <x:v>2108</x:v>
      </x:c>
      <x:c r="E711" s="2" t="s">
        <x:v>2249</x:v>
      </x:c>
      <x:c r="F711" s="2" t="s">
        <x:v>423</x:v>
      </x:c>
      <x:c r="G711" s="2" t="s">
        <x:v>2658</x:v>
      </x:c>
      <x:c r="H711" s="2" t="s">
        <x:v>618</x:v>
      </x:c>
      <x:c r="I711" s="2" t="s">
        <x:v>2251</x:v>
      </x:c>
      <x:c r="J711" s="2" t="s">
        <x:v>2080</x:v>
      </x:c>
      <x:c r="K711" s="2"/>
      <x:c r="L711" s="2" t="s">
        <x:v>2252</x:v>
      </x:c>
      <x:c r="M711" s="2" t="s">
        <x:v>2082</x:v>
      </x:c>
      <x:c r="N711" s="2">
        <x:v>4</x:v>
      </x:c>
      <x:c r="O711" s="2" t="s">
        <x:v>2083</x:v>
      </x:c>
      <x:c r="P711" s="2" t="s">
        <x:v>2084</x:v>
      </x:c>
      <x:c r="Q711" s="2"/>
      <x:c r="R711" s="3">
        <x:v>5</x:v>
      </x:c>
      <x:c r="S711" s="3">
        <x:v>1</x:v>
      </x:c>
      <x:c r="T711" s="2" t="s">
        <x:v>103</x:v>
      </x:c>
      <x:c r="U711" s="2"/>
      <x:c r="V711" s="2"/>
      <x:c r="W711" s="2"/>
      <x:c r="X711" s="3"/>
      <x:c r="Y711" s="3"/>
      <x:c r="Z711" s="2"/>
      <x:c r="AA711" s="2"/>
      <x:c r="AB711" s="2" t="s">
        <x:v>394</x:v>
      </x:c>
      <x:c r="AC711" s="2"/>
      <x:c r="AD711" s="2"/>
      <x:c r="AE711" s="2"/>
      <x:c r="AF711" s="2"/>
      <x:c r="AG711" s="2" t="s">
        <x:v>428</x:v>
      </x:c>
      <x:c r="AH711" s="2"/>
      <x:c r="AI711" s="4"/>
      <x:c r="AJ711" s="2"/>
      <x:c r="AK711" s="2" t="s">
        <x:v>396</x:v>
      </x:c>
      <x:c r="AL711" s="2" t="s">
        <x:v>3061</x:v>
      </x:c>
      <x:c r="AM711" s="2">
        <x:v>91</x:v>
      </x:c>
      <x:c r="AN711" s="2">
        <x:v>91</x:v>
      </x:c>
    </x:row>
    <x:row r="712" ht="52">
      <x:c r="A712" s="2" t="s">
        <x:v>91</x:v>
      </x:c>
      <x:c r="B712" s="2" t="s">
        <x:v>17</x:v>
      </x:c>
      <x:c r="C712" s="3">
        <x:v>90</x:v>
      </x:c>
      <x:c r="D712" s="2" t="s">
        <x:v>2187</x:v>
      </x:c>
      <x:c r="E712" s="2" t="s">
        <x:v>2188</x:v>
      </x:c>
      <x:c r="F712" s="2" t="s">
        <x:v>2047</x:v>
      </x:c>
      <x:c r="G712" s="2" t="s">
        <x:v>3210</x:v>
      </x:c>
      <x:c r="H712" s="2" t="s">
        <x:v>618</x:v>
      </x:c>
      <x:c r="I712" s="2" t="s">
        <x:v>2254</x:v>
      </x:c>
      <x:c r="J712" s="2" t="s">
        <x:v>2120</x:v>
      </x:c>
      <x:c r="K712" s="2"/>
      <x:c r="L712" s="2" t="s">
        <x:v>2255</x:v>
      </x:c>
      <x:c r="M712" s="2" t="s">
        <x:v>2082</x:v>
      </x:c>
      <x:c r="N712" s="2">
        <x:v>4</x:v>
      </x:c>
      <x:c r="O712" s="2" t="s">
        <x:v>2083</x:v>
      </x:c>
      <x:c r="P712" s="2" t="s">
        <x:v>2084</x:v>
      </x:c>
      <x:c r="Q712" s="2"/>
      <x:c r="R712" s="3">
        <x:v>3</x:v>
      </x:c>
      <x:c r="S712" s="3">
        <x:v>1</x:v>
      </x:c>
      <x:c r="T712" s="2" t="s">
        <x:v>103</x:v>
      </x:c>
      <x:c r="U712" s="2"/>
      <x:c r="V712" s="2"/>
      <x:c r="W712" s="2"/>
      <x:c r="X712" s="3"/>
      <x:c r="Y712" s="3"/>
      <x:c r="Z712" s="2"/>
      <x:c r="AA712" s="2"/>
      <x:c r="AB712" s="2" t="s">
        <x:v>415</x:v>
      </x:c>
      <x:c r="AC712" s="2"/>
      <x:c r="AD712" s="2"/>
      <x:c r="AE712" s="2"/>
      <x:c r="AF712" s="2"/>
      <x:c r="AG712" s="2" t="s">
        <x:v>2036</x:v>
      </x:c>
      <x:c r="AH712" s="2"/>
      <x:c r="AI712" s="4"/>
      <x:c r="AJ712" s="2"/>
      <x:c r="AK712" s="2" t="s">
        <x:v>396</x:v>
      </x:c>
      <x:c r="AL712" s="2" t="s">
        <x:v>3061</x:v>
      </x:c>
      <x:c r="AM712" s="2">
        <x:v>92</x:v>
      </x:c>
      <x:c r="AN712" s="2">
        <x:v>92</x:v>
      </x:c>
    </x:row>
    <x:row r="713" ht="52">
      <x:c r="A713" s="2" t="s">
        <x:v>91</x:v>
      </x:c>
      <x:c r="B713" s="2" t="s">
        <x:v>17</x:v>
      </x:c>
      <x:c r="C713" s="3">
        <x:v>91</x:v>
      </x:c>
      <x:c r="D713" s="2" t="s">
        <x:v>2192</x:v>
      </x:c>
      <x:c r="E713" s="2" t="s">
        <x:v>2193</x:v>
      </x:c>
      <x:c r="F713" s="2" t="s">
        <x:v>410</x:v>
      </x:c>
      <x:c r="G713" s="2" t="s">
        <x:v>3211</x:v>
      </x:c>
      <x:c r="H713" s="2" t="s">
        <x:v>618</x:v>
      </x:c>
      <x:c r="I713" s="2" t="s">
        <x:v>2257</x:v>
      </x:c>
      <x:c r="J713" s="2" t="s">
        <x:v>2120</x:v>
      </x:c>
      <x:c r="K713" s="2"/>
      <x:c r="L713" s="2" t="s">
        <x:v>2258</x:v>
      </x:c>
      <x:c r="M713" s="2" t="s">
        <x:v>2082</x:v>
      </x:c>
      <x:c r="N713" s="2">
        <x:v>4</x:v>
      </x:c>
      <x:c r="O713" s="2" t="s">
        <x:v>2083</x:v>
      </x:c>
      <x:c r="P713" s="2" t="s">
        <x:v>2084</x:v>
      </x:c>
      <x:c r="Q713" s="2"/>
      <x:c r="R713" s="3">
        <x:v>3</x:v>
      </x:c>
      <x:c r="S713" s="3">
        <x:v>1</x:v>
      </x:c>
      <x:c r="T713" s="2" t="s">
        <x:v>103</x:v>
      </x:c>
      <x:c r="U713" s="2"/>
      <x:c r="V713" s="2"/>
      <x:c r="W713" s="2"/>
      <x:c r="X713" s="3"/>
      <x:c r="Y713" s="3"/>
      <x:c r="Z713" s="2"/>
      <x:c r="AA713" s="2"/>
      <x:c r="AB713" s="2" t="s">
        <x:v>427</x:v>
      </x:c>
      <x:c r="AC713" s="2"/>
      <x:c r="AD713" s="2"/>
      <x:c r="AE713" s="2"/>
      <x:c r="AF713" s="2"/>
      <x:c r="AG713" s="2" t="s">
        <x:v>395</x:v>
      </x:c>
      <x:c r="AH713" s="2"/>
      <x:c r="AI713" s="4"/>
      <x:c r="AJ713" s="2"/>
      <x:c r="AK713" s="2" t="s">
        <x:v>396</x:v>
      </x:c>
      <x:c r="AL713" s="2" t="s">
        <x:v>3061</x:v>
      </x:c>
      <x:c r="AM713" s="2">
        <x:v>93</x:v>
      </x:c>
      <x:c r="AN713" s="2">
        <x:v>93</x:v>
      </x:c>
    </x:row>
    <x:row r="714" ht="52">
      <x:c r="A714" s="2" t="s">
        <x:v>6</x:v>
      </x:c>
      <x:c r="B714" s="2" t="s">
        <x:v>17</x:v>
      </x:c>
      <x:c r="C714" s="3">
        <x:v>92</x:v>
      </x:c>
      <x:c r="D714" s="2" t="s">
        <x:v>2134</x:v>
      </x:c>
      <x:c r="E714" s="2" t="s">
        <x:v>2199</x:v>
      </x:c>
      <x:c r="F714" s="2" t="s">
        <x:v>431</x:v>
      </x:c>
      <x:c r="G714" s="2"/>
      <x:c r="H714" s="2" t="s">
        <x:v>618</x:v>
      </x:c>
      <x:c r="I714" s="2" t="s">
        <x:v>2259</x:v>
      </x:c>
      <x:c r="J714" s="2" t="s">
        <x:v>2120</x:v>
      </x:c>
      <x:c r="K714" s="2"/>
      <x:c r="L714" s="2" t="s">
        <x:v>2260</x:v>
      </x:c>
      <x:c r="M714" s="2" t="s">
        <x:v>2082</x:v>
      </x:c>
      <x:c r="N714" s="2">
        <x:v>4</x:v>
      </x:c>
      <x:c r="O714" s="2" t="s">
        <x:v>2083</x:v>
      </x:c>
      <x:c r="P714" s="2" t="s">
        <x:v>2084</x:v>
      </x:c>
      <x:c r="Q714" s="2"/>
      <x:c r="R714" s="3">
        <x:v>4</x:v>
      </x:c>
      <x:c r="S714" s="3">
        <x:v>1</x:v>
      </x:c>
      <x:c r="T714" s="2" t="s">
        <x:v>103</x:v>
      </x:c>
      <x:c r="U714" s="2"/>
      <x:c r="V714" s="2"/>
      <x:c r="W714" s="2"/>
      <x:c r="X714" s="3"/>
      <x:c r="Y714" s="3"/>
      <x:c r="Z714" s="2"/>
      <x:c r="AA714" s="2"/>
      <x:c r="AB714" s="2" t="s">
        <x:v>394</x:v>
      </x:c>
      <x:c r="AC714" s="2"/>
      <x:c r="AD714" s="2"/>
      <x:c r="AE714" s="2"/>
      <x:c r="AF714" s="2"/>
      <x:c r="AG714" s="2" t="s">
        <x:v>428</x:v>
      </x:c>
      <x:c r="AH714" s="2"/>
      <x:c r="AI714" s="4"/>
      <x:c r="AJ714" s="2"/>
      <x:c r="AK714" s="2" t="s">
        <x:v>396</x:v>
      </x:c>
      <x:c r="AL714" s="2" t="s">
        <x:v>3061</x:v>
      </x:c>
      <x:c r="AM714" s="2">
        <x:v>94</x:v>
      </x:c>
      <x:c r="AN714" s="2">
        <x:v>94</x:v>
      </x:c>
    </x:row>
    <x:row r="715" ht="52">
      <x:c r="A715" s="2" t="s">
        <x:v>91</x:v>
      </x:c>
      <x:c r="B715" s="2" t="s">
        <x:v>17</x:v>
      </x:c>
      <x:c r="C715" s="3">
        <x:v>93</x:v>
      </x:c>
      <x:c r="D715" s="2" t="s">
        <x:v>2202</x:v>
      </x:c>
      <x:c r="E715" s="2" t="s">
        <x:v>2261</x:v>
      </x:c>
      <x:c r="F715" s="2" t="s">
        <x:v>2047</x:v>
      </x:c>
      <x:c r="G715" s="2" t="s">
        <x:v>3212</x:v>
      </x:c>
      <x:c r="H715" s="2" t="s">
        <x:v>618</x:v>
      </x:c>
      <x:c r="I715" s="2" t="s">
        <x:v>2262</x:v>
      </x:c>
      <x:c r="J715" s="2" t="s">
        <x:v>2145</x:v>
      </x:c>
      <x:c r="K715" s="2"/>
      <x:c r="L715" s="2" t="s">
        <x:v>2263</x:v>
      </x:c>
      <x:c r="M715" s="2" t="s">
        <x:v>2082</x:v>
      </x:c>
      <x:c r="N715" s="2">
        <x:v>4</x:v>
      </x:c>
      <x:c r="O715" s="2" t="s">
        <x:v>2083</x:v>
      </x:c>
      <x:c r="P715" s="2" t="s">
        <x:v>2084</x:v>
      </x:c>
      <x:c r="Q715" s="2"/>
      <x:c r="R715" s="3">
        <x:v>4</x:v>
      </x:c>
      <x:c r="S715" s="3">
        <x:v>1</x:v>
      </x:c>
      <x:c r="T715" s="2" t="s">
        <x:v>103</x:v>
      </x:c>
      <x:c r="U715" s="2"/>
      <x:c r="V715" s="2"/>
      <x:c r="W715" s="2"/>
      <x:c r="X715" s="3"/>
      <x:c r="Y715" s="3"/>
      <x:c r="Z715" s="2"/>
      <x:c r="AA715" s="2"/>
      <x:c r="AB715" s="2" t="s">
        <x:v>415</x:v>
      </x:c>
      <x:c r="AC715" s="2"/>
      <x:c r="AD715" s="2"/>
      <x:c r="AE715" s="2"/>
      <x:c r="AF715" s="2"/>
      <x:c r="AG715" s="2" t="s">
        <x:v>2036</x:v>
      </x:c>
      <x:c r="AH715" s="2"/>
      <x:c r="AI715" s="4"/>
      <x:c r="AJ715" s="2"/>
      <x:c r="AK715" s="2" t="s">
        <x:v>396</x:v>
      </x:c>
      <x:c r="AL715" s="2" t="s">
        <x:v>3061</x:v>
      </x:c>
      <x:c r="AM715" s="2">
        <x:v>95</x:v>
      </x:c>
      <x:c r="AN715" s="2">
        <x:v>95</x:v>
      </x:c>
    </x:row>
    <x:row r="716" ht="52">
      <x:c r="A716" s="2" t="s">
        <x:v>91</x:v>
      </x:c>
      <x:c r="B716" s="2" t="s">
        <x:v>17</x:v>
      </x:c>
      <x:c r="C716" s="3">
        <x:v>94</x:v>
      </x:c>
      <x:c r="D716" s="2" t="s">
        <x:v>2207</x:v>
      </x:c>
      <x:c r="E716" s="2" t="s">
        <x:v>2264</x:v>
      </x:c>
      <x:c r="F716" s="2" t="s">
        <x:v>410</x:v>
      </x:c>
      <x:c r="G716" s="2" t="s">
        <x:v>2841</x:v>
      </x:c>
      <x:c r="H716" s="2" t="s">
        <x:v>618</x:v>
      </x:c>
      <x:c r="I716" s="2" t="s">
        <x:v>2265</x:v>
      </x:c>
      <x:c r="J716" s="2" t="s">
        <x:v>2145</x:v>
      </x:c>
      <x:c r="K716" s="2"/>
      <x:c r="L716" s="2" t="s">
        <x:v>2266</x:v>
      </x:c>
      <x:c r="M716" s="2" t="s">
        <x:v>2082</x:v>
      </x:c>
      <x:c r="N716" s="2">
        <x:v>4</x:v>
      </x:c>
      <x:c r="O716" s="2" t="s">
        <x:v>2083</x:v>
      </x:c>
      <x:c r="P716" s="2" t="s">
        <x:v>2084</x:v>
      </x:c>
      <x:c r="Q716" s="2"/>
      <x:c r="R716" s="3">
        <x:v>4</x:v>
      </x:c>
      <x:c r="S716" s="3">
        <x:v>1</x:v>
      </x:c>
      <x:c r="T716" s="2" t="s">
        <x:v>103</x:v>
      </x:c>
      <x:c r="U716" s="2"/>
      <x:c r="V716" s="2"/>
      <x:c r="W716" s="2"/>
      <x:c r="X716" s="3"/>
      <x:c r="Y716" s="3"/>
      <x:c r="Z716" s="2"/>
      <x:c r="AA716" s="2"/>
      <x:c r="AB716" s="2" t="s">
        <x:v>427</x:v>
      </x:c>
      <x:c r="AC716" s="2"/>
      <x:c r="AD716" s="2"/>
      <x:c r="AE716" s="2"/>
      <x:c r="AF716" s="2"/>
      <x:c r="AG716" s="2" t="s">
        <x:v>395</x:v>
      </x:c>
      <x:c r="AH716" s="2"/>
      <x:c r="AI716" s="4"/>
      <x:c r="AJ716" s="2"/>
      <x:c r="AK716" s="2" t="s">
        <x:v>396</x:v>
      </x:c>
      <x:c r="AL716" s="2" t="s">
        <x:v>3061</x:v>
      </x:c>
      <x:c r="AM716" s="2">
        <x:v>96</x:v>
      </x:c>
      <x:c r="AN716" s="2">
        <x:v>96</x:v>
      </x:c>
    </x:row>
    <x:row r="717" ht="52">
      <x:c r="A717" s="2" t="s">
        <x:v>6</x:v>
      </x:c>
      <x:c r="B717" s="2" t="s">
        <x:v>17</x:v>
      </x:c>
      <x:c r="C717" s="3">
        <x:v>95</x:v>
      </x:c>
      <x:c r="D717" s="2" t="s">
        <x:v>2160</x:v>
      </x:c>
      <x:c r="E717" s="2" t="s">
        <x:v>2267</x:v>
      </x:c>
      <x:c r="F717" s="2" t="s">
        <x:v>431</x:v>
      </x:c>
      <x:c r="G717" s="2"/>
      <x:c r="H717" s="2" t="s">
        <x:v>618</x:v>
      </x:c>
      <x:c r="I717" s="2" t="s">
        <x:v>2269</x:v>
      </x:c>
      <x:c r="J717" s="2" t="s">
        <x:v>2145</x:v>
      </x:c>
      <x:c r="K717" s="2"/>
      <x:c r="L717" s="2" t="s">
        <x:v>2270</x:v>
      </x:c>
      <x:c r="M717" s="2" t="s">
        <x:v>2082</x:v>
      </x:c>
      <x:c r="N717" s="2">
        <x:v>4</x:v>
      </x:c>
      <x:c r="O717" s="2" t="s">
        <x:v>2083</x:v>
      </x:c>
      <x:c r="P717" s="2" t="s">
        <x:v>2084</x:v>
      </x:c>
      <x:c r="Q717" s="2"/>
      <x:c r="R717" s="3">
        <x:v>5</x:v>
      </x:c>
      <x:c r="S717" s="3">
        <x:v>1</x:v>
      </x:c>
      <x:c r="T717" s="2" t="s">
        <x:v>103</x:v>
      </x:c>
      <x:c r="U717" s="2"/>
      <x:c r="V717" s="2"/>
      <x:c r="W717" s="2"/>
      <x:c r="X717" s="3"/>
      <x:c r="Y717" s="3"/>
      <x:c r="Z717" s="2"/>
      <x:c r="AA717" s="2"/>
      <x:c r="AB717" s="2" t="s">
        <x:v>394</x:v>
      </x:c>
      <x:c r="AC717" s="2"/>
      <x:c r="AD717" s="2"/>
      <x:c r="AE717" s="2"/>
      <x:c r="AF717" s="2"/>
      <x:c r="AG717" s="2" t="s">
        <x:v>428</x:v>
      </x:c>
      <x:c r="AH717" s="2"/>
      <x:c r="AI717" s="4"/>
      <x:c r="AJ717" s="2"/>
      <x:c r="AK717" s="2" t="s">
        <x:v>396</x:v>
      </x:c>
      <x:c r="AL717" s="2" t="s">
        <x:v>3061</x:v>
      </x:c>
      <x:c r="AM717" s="2">
        <x:v>97</x:v>
      </x:c>
      <x:c r="AN717" s="2">
        <x:v>97</x:v>
      </x:c>
    </x:row>
    <x:row r="718" ht="52">
      <x:c r="A718" s="2" t="s">
        <x:v>91</x:v>
      </x:c>
      <x:c r="B718" s="2" t="s">
        <x:v>17</x:v>
      </x:c>
      <x:c r="C718" s="3">
        <x:v>96</x:v>
      </x:c>
      <x:c r="D718" s="2" t="s">
        <x:v>2077</x:v>
      </x:c>
      <x:c r="E718" s="2" t="s">
        <x:v>2038</x:v>
      </x:c>
      <x:c r="F718" s="2" t="s">
        <x:v>237</x:v>
      </x:c>
      <x:c r="G718" s="2" t="s">
        <x:v>2235</x:v>
      </x:c>
      <x:c r="H718" s="2" t="s">
        <x:v>618</x:v>
      </x:c>
      <x:c r="I718" s="2" t="s">
        <x:v>2271</x:v>
      </x:c>
      <x:c r="J718" s="2" t="s">
        <x:v>2080</x:v>
      </x:c>
      <x:c r="K718" s="2"/>
      <x:c r="L718" s="2" t="s">
        <x:v>2272</x:v>
      </x:c>
      <x:c r="M718" s="2" t="s">
        <x:v>2082</x:v>
      </x:c>
      <x:c r="N718" s="2">
        <x:v>4</x:v>
      </x:c>
      <x:c r="O718" s="2" t="s">
        <x:v>2083</x:v>
      </x:c>
      <x:c r="P718" s="2" t="s">
        <x:v>2084</x:v>
      </x:c>
      <x:c r="Q718" s="2"/>
      <x:c r="R718" s="3">
        <x:v>3</x:v>
      </x:c>
      <x:c r="S718" s="3">
        <x:v>1</x:v>
      </x:c>
      <x:c r="T718" s="2" t="s">
        <x:v>103</x:v>
      </x:c>
      <x:c r="U718" s="2"/>
      <x:c r="V718" s="2"/>
      <x:c r="W718" s="2"/>
      <x:c r="X718" s="3"/>
      <x:c r="Y718" s="3"/>
      <x:c r="Z718" s="2"/>
      <x:c r="AA718" s="2"/>
      <x:c r="AB718" s="2" t="s">
        <x:v>415</x:v>
      </x:c>
      <x:c r="AC718" s="2"/>
      <x:c r="AD718" s="2"/>
      <x:c r="AE718" s="2"/>
      <x:c r="AF718" s="2"/>
      <x:c r="AG718" s="2" t="s">
        <x:v>2036</x:v>
      </x:c>
      <x:c r="AH718" s="2"/>
      <x:c r="AI718" s="4"/>
      <x:c r="AJ718" s="2"/>
      <x:c r="AK718" s="2" t="s">
        <x:v>396</x:v>
      </x:c>
      <x:c r="AL718" s="2" t="s">
        <x:v>3061</x:v>
      </x:c>
      <x:c r="AM718" s="2">
        <x:v>98</x:v>
      </x:c>
      <x:c r="AN718" s="2">
        <x:v>98</x:v>
      </x:c>
    </x:row>
    <x:row r="719" ht="52">
      <x:c r="A719" s="2" t="s">
        <x:v>91</x:v>
      </x:c>
      <x:c r="B719" s="2" t="s">
        <x:v>17</x:v>
      </x:c>
      <x:c r="C719" s="3">
        <x:v>97</x:v>
      </x:c>
      <x:c r="D719" s="2" t="s">
        <x:v>2102</x:v>
      </x:c>
      <x:c r="E719" s="2" t="s">
        <x:v>409</x:v>
      </x:c>
      <x:c r="F719" s="2" t="s">
        <x:v>386</x:v>
      </x:c>
      <x:c r="G719" s="2" t="s">
        <x:v>3213</x:v>
      </x:c>
      <x:c r="H719" s="2" t="s">
        <x:v>618</x:v>
      </x:c>
      <x:c r="I719" s="2" t="s">
        <x:v>2273</x:v>
      </x:c>
      <x:c r="J719" s="2" t="s">
        <x:v>2080</x:v>
      </x:c>
      <x:c r="K719" s="2"/>
      <x:c r="L719" s="2" t="s">
        <x:v>2274</x:v>
      </x:c>
      <x:c r="M719" s="2" t="s">
        <x:v>2082</x:v>
      </x:c>
      <x:c r="N719" s="2">
        <x:v>4</x:v>
      </x:c>
      <x:c r="O719" s="2" t="s">
        <x:v>2083</x:v>
      </x:c>
      <x:c r="P719" s="2" t="s">
        <x:v>2084</x:v>
      </x:c>
      <x:c r="Q719" s="2"/>
      <x:c r="R719" s="3">
        <x:v>3</x:v>
      </x:c>
      <x:c r="S719" s="3">
        <x:v>1</x:v>
      </x:c>
      <x:c r="T719" s="2" t="s">
        <x:v>103</x:v>
      </x:c>
      <x:c r="U719" s="2"/>
      <x:c r="V719" s="2"/>
      <x:c r="W719" s="2"/>
      <x:c r="X719" s="3"/>
      <x:c r="Y719" s="3"/>
      <x:c r="Z719" s="2"/>
      <x:c r="AA719" s="2"/>
      <x:c r="AB719" s="2" t="s">
        <x:v>427</x:v>
      </x:c>
      <x:c r="AC719" s="2"/>
      <x:c r="AD719" s="2"/>
      <x:c r="AE719" s="2"/>
      <x:c r="AF719" s="2"/>
      <x:c r="AG719" s="2" t="s">
        <x:v>395</x:v>
      </x:c>
      <x:c r="AH719" s="2"/>
      <x:c r="AI719" s="4"/>
      <x:c r="AJ719" s="2"/>
      <x:c r="AK719" s="2" t="s">
        <x:v>396</x:v>
      </x:c>
      <x:c r="AL719" s="2" t="s">
        <x:v>3061</x:v>
      </x:c>
      <x:c r="AM719" s="2">
        <x:v>99</x:v>
      </x:c>
      <x:c r="AN719" s="2">
        <x:v>99</x:v>
      </x:c>
    </x:row>
    <x:row r="720" ht="52">
      <x:c r="A720" s="2" t="s">
        <x:v>6</x:v>
      </x:c>
      <x:c r="B720" s="2" t="s">
        <x:v>17</x:v>
      </x:c>
      <x:c r="C720" s="3">
        <x:v>98</x:v>
      </x:c>
      <x:c r="D720" s="2" t="s">
        <x:v>2108</x:v>
      </x:c>
      <x:c r="E720" s="2" t="s">
        <x:v>2109</x:v>
      </x:c>
      <x:c r="F720" s="2" t="s">
        <x:v>423</x:v>
      </x:c>
      <x:c r="G720" s="2"/>
      <x:c r="H720" s="2" t="s">
        <x:v>618</x:v>
      </x:c>
      <x:c r="I720" s="2" t="s">
        <x:v>2275</x:v>
      </x:c>
      <x:c r="J720" s="2" t="s">
        <x:v>2080</x:v>
      </x:c>
      <x:c r="K720" s="2"/>
      <x:c r="L720" s="2" t="s">
        <x:v>2276</x:v>
      </x:c>
      <x:c r="M720" s="2" t="s">
        <x:v>2082</x:v>
      </x:c>
      <x:c r="N720" s="2">
        <x:v>4</x:v>
      </x:c>
      <x:c r="O720" s="2" t="s">
        <x:v>2083</x:v>
      </x:c>
      <x:c r="P720" s="2" t="s">
        <x:v>2084</x:v>
      </x:c>
      <x:c r="Q720" s="2"/>
      <x:c r="R720" s="3">
        <x:v>4</x:v>
      </x:c>
      <x:c r="S720" s="3">
        <x:v>1</x:v>
      </x:c>
      <x:c r="T720" s="2" t="s">
        <x:v>103</x:v>
      </x:c>
      <x:c r="U720" s="2"/>
      <x:c r="V720" s="2"/>
      <x:c r="W720" s="2"/>
      <x:c r="X720" s="3"/>
      <x:c r="Y720" s="3"/>
      <x:c r="Z720" s="2"/>
      <x:c r="AA720" s="2"/>
      <x:c r="AB720" s="2" t="s">
        <x:v>394</x:v>
      </x:c>
      <x:c r="AC720" s="2"/>
      <x:c r="AD720" s="2"/>
      <x:c r="AE720" s="2"/>
      <x:c r="AF720" s="2"/>
      <x:c r="AG720" s="2" t="s">
        <x:v>428</x:v>
      </x:c>
      <x:c r="AH720" s="2"/>
      <x:c r="AI720" s="4"/>
      <x:c r="AJ720" s="2"/>
      <x:c r="AK720" s="2" t="s">
        <x:v>396</x:v>
      </x:c>
      <x:c r="AL720" s="2" t="s">
        <x:v>3061</x:v>
      </x:c>
      <x:c r="AM720" s="2">
        <x:v>100</x:v>
      </x:c>
      <x:c r="AN720" s="2">
        <x:v>100</x:v>
      </x:c>
    </x:row>
    <x:row r="721" ht="52">
      <x:c r="A721" s="2" t="s">
        <x:v>6</x:v>
      </x:c>
      <x:c r="B721" s="2" t="s">
        <x:v>17</x:v>
      </x:c>
      <x:c r="C721" s="3">
        <x:v>99</x:v>
      </x:c>
      <x:c r="D721" s="2" t="s">
        <x:v>2118</x:v>
      </x:c>
      <x:c r="E721" s="2" t="s">
        <x:v>2277</x:v>
      </x:c>
      <x:c r="F721" s="2" t="s">
        <x:v>237</x:v>
      </x:c>
      <x:c r="G721" s="2"/>
      <x:c r="H721" s="2" t="s">
        <x:v>618</x:v>
      </x:c>
      <x:c r="I721" s="2" t="s">
        <x:v>2278</x:v>
      </x:c>
      <x:c r="J721" s="2" t="s">
        <x:v>2120</x:v>
      </x:c>
      <x:c r="K721" s="2"/>
      <x:c r="L721" s="2" t="s">
        <x:v>2081</x:v>
      </x:c>
      <x:c r="M721" s="2" t="s">
        <x:v>2082</x:v>
      </x:c>
      <x:c r="N721" s="2">
        <x:v>4</x:v>
      </x:c>
      <x:c r="O721" s="2" t="s">
        <x:v>2083</x:v>
      </x:c>
      <x:c r="P721" s="2" t="s">
        <x:v>2084</x:v>
      </x:c>
      <x:c r="Q721" s="2"/>
      <x:c r="R721" s="3">
        <x:v>4</x:v>
      </x:c>
      <x:c r="S721" s="3">
        <x:v>1</x:v>
      </x:c>
      <x:c r="T721" s="2" t="s">
        <x:v>103</x:v>
      </x:c>
      <x:c r="U721" s="2"/>
      <x:c r="V721" s="2"/>
      <x:c r="W721" s="2"/>
      <x:c r="X721" s="3"/>
      <x:c r="Y721" s="3"/>
      <x:c r="Z721" s="2"/>
      <x:c r="AA721" s="2"/>
      <x:c r="AB721" s="2" t="s">
        <x:v>415</x:v>
      </x:c>
      <x:c r="AC721" s="2"/>
      <x:c r="AD721" s="2"/>
      <x:c r="AE721" s="2"/>
      <x:c r="AF721" s="2"/>
      <x:c r="AG721" s="2" t="s">
        <x:v>2036</x:v>
      </x:c>
      <x:c r="AH721" s="2"/>
      <x:c r="AI721" s="4"/>
      <x:c r="AJ721" s="2"/>
      <x:c r="AK721" s="2" t="s">
        <x:v>396</x:v>
      </x:c>
      <x:c r="AL721" s="2" t="s">
        <x:v>3061</x:v>
      </x:c>
      <x:c r="AM721" s="2">
        <x:v>101</x:v>
      </x:c>
      <x:c r="AN721" s="2">
        <x:v>101</x:v>
      </x:c>
    </x:row>
    <x:row r="722" ht="52">
      <x:c r="A722" s="2" t="s">
        <x:v>91</x:v>
      </x:c>
      <x:c r="B722" s="2" t="s">
        <x:v>17</x:v>
      </x:c>
      <x:c r="C722" s="3">
        <x:v>100</x:v>
      </x:c>
      <x:c r="D722" s="2" t="s">
        <x:v>2126</x:v>
      </x:c>
      <x:c r="E722" s="2" t="s">
        <x:v>2279</x:v>
      </x:c>
      <x:c r="F722" s="2" t="s">
        <x:v>386</x:v>
      </x:c>
      <x:c r="G722" s="2" t="s">
        <x:v>2028</x:v>
      </x:c>
      <x:c r="H722" s="2" t="s">
        <x:v>618</x:v>
      </x:c>
      <x:c r="I722" s="2" t="s">
        <x:v>2281</x:v>
      </x:c>
      <x:c r="J722" s="2" t="s">
        <x:v>2120</x:v>
      </x:c>
      <x:c r="K722" s="2"/>
      <x:c r="L722" s="2" t="s">
        <x:v>2282</x:v>
      </x:c>
      <x:c r="M722" s="2" t="s">
        <x:v>2082</x:v>
      </x:c>
      <x:c r="N722" s="2">
        <x:v>4</x:v>
      </x:c>
      <x:c r="O722" s="2" t="s">
        <x:v>2083</x:v>
      </x:c>
      <x:c r="P722" s="2" t="s">
        <x:v>2084</x:v>
      </x:c>
      <x:c r="Q722" s="2"/>
      <x:c r="R722" s="3">
        <x:v>4</x:v>
      </x:c>
      <x:c r="S722" s="3">
        <x:v>1</x:v>
      </x:c>
      <x:c r="T722" s="2" t="s">
        <x:v>103</x:v>
      </x:c>
      <x:c r="U722" s="2"/>
      <x:c r="V722" s="2"/>
      <x:c r="W722" s="2"/>
      <x:c r="X722" s="3"/>
      <x:c r="Y722" s="3"/>
      <x:c r="Z722" s="2"/>
      <x:c r="AA722" s="2"/>
      <x:c r="AB722" s="2" t="s">
        <x:v>427</x:v>
      </x:c>
      <x:c r="AC722" s="2"/>
      <x:c r="AD722" s="2"/>
      <x:c r="AE722" s="2"/>
      <x:c r="AF722" s="2"/>
      <x:c r="AG722" s="2" t="s">
        <x:v>395</x:v>
      </x:c>
      <x:c r="AH722" s="2"/>
      <x:c r="AI722" s="4"/>
      <x:c r="AJ722" s="2"/>
      <x:c r="AK722" s="2" t="s">
        <x:v>396</x:v>
      </x:c>
      <x:c r="AL722" s="2" t="s">
        <x:v>3061</x:v>
      </x:c>
      <x:c r="AM722" s="2">
        <x:v>102</x:v>
      </x:c>
      <x:c r="AN722" s="2">
        <x:v>102</x:v>
      </x:c>
    </x:row>
    <x:row r="723" ht="52">
      <x:c r="A723" s="2" t="s">
        <x:v>91</x:v>
      </x:c>
      <x:c r="B723" s="2" t="s">
        <x:v>17</x:v>
      </x:c>
      <x:c r="C723" s="3">
        <x:v>101</x:v>
      </x:c>
      <x:c r="D723" s="2" t="s">
        <x:v>2134</x:v>
      </x:c>
      <x:c r="E723" s="2" t="s">
        <x:v>2135</x:v>
      </x:c>
      <x:c r="F723" s="2" t="s">
        <x:v>423</x:v>
      </x:c>
      <x:c r="G723" s="2" t="s">
        <x:v>3214</x:v>
      </x:c>
      <x:c r="H723" s="2" t="s">
        <x:v>618</x:v>
      </x:c>
      <x:c r="I723" s="2" t="s">
        <x:v>2284</x:v>
      </x:c>
      <x:c r="J723" s="2" t="s">
        <x:v>2120</x:v>
      </x:c>
      <x:c r="K723" s="2"/>
      <x:c r="L723" s="2" t="s">
        <x:v>2285</x:v>
      </x:c>
      <x:c r="M723" s="2" t="s">
        <x:v>2082</x:v>
      </x:c>
      <x:c r="N723" s="2">
        <x:v>4</x:v>
      </x:c>
      <x:c r="O723" s="2" t="s">
        <x:v>2083</x:v>
      </x:c>
      <x:c r="P723" s="2" t="s">
        <x:v>2084</x:v>
      </x:c>
      <x:c r="Q723" s="2"/>
      <x:c r="R723" s="3">
        <x:v>5</x:v>
      </x:c>
      <x:c r="S723" s="3">
        <x:v>1</x:v>
      </x:c>
      <x:c r="T723" s="2" t="s">
        <x:v>103</x:v>
      </x:c>
      <x:c r="U723" s="2"/>
      <x:c r="V723" s="2"/>
      <x:c r="W723" s="2"/>
      <x:c r="X723" s="3"/>
      <x:c r="Y723" s="3"/>
      <x:c r="Z723" s="2"/>
      <x:c r="AA723" s="2"/>
      <x:c r="AB723" s="2" t="s">
        <x:v>394</x:v>
      </x:c>
      <x:c r="AC723" s="2"/>
      <x:c r="AD723" s="2"/>
      <x:c r="AE723" s="2"/>
      <x:c r="AF723" s="2"/>
      <x:c r="AG723" s="2" t="s">
        <x:v>428</x:v>
      </x:c>
      <x:c r="AH723" s="2"/>
      <x:c r="AI723" s="4"/>
      <x:c r="AJ723" s="2"/>
      <x:c r="AK723" s="2" t="s">
        <x:v>396</x:v>
      </x:c>
      <x:c r="AL723" s="2" t="s">
        <x:v>3061</x:v>
      </x:c>
      <x:c r="AM723" s="2">
        <x:v>103</x:v>
      </x:c>
      <x:c r="AN723" s="2">
        <x:v>103</x:v>
      </x:c>
    </x:row>
    <x:row r="724" ht="52">
      <x:c r="A724" s="2" t="s">
        <x:v>91</x:v>
      </x:c>
      <x:c r="B724" s="2" t="s">
        <x:v>17</x:v>
      </x:c>
      <x:c r="C724" s="3">
        <x:v>102</x:v>
      </x:c>
      <x:c r="D724" s="2" t="s">
        <x:v>2141</x:v>
      </x:c>
      <x:c r="E724" s="2" t="s">
        <x:v>2142</x:v>
      </x:c>
      <x:c r="F724" s="2" t="s">
        <x:v>2047</x:v>
      </x:c>
      <x:c r="G724" s="2" t="s">
        <x:v>3210</x:v>
      </x:c>
      <x:c r="H724" s="2" t="s">
        <x:v>618</x:v>
      </x:c>
      <x:c r="I724" s="2" t="s">
        <x:v>2286</x:v>
      </x:c>
      <x:c r="J724" s="2" t="s">
        <x:v>2145</x:v>
      </x:c>
      <x:c r="K724" s="2"/>
      <x:c r="L724" s="2" t="s">
        <x:v>2287</x:v>
      </x:c>
      <x:c r="M724" s="2" t="s">
        <x:v>2082</x:v>
      </x:c>
      <x:c r="N724" s="2">
        <x:v>4</x:v>
      </x:c>
      <x:c r="O724" s="2" t="s">
        <x:v>2083</x:v>
      </x:c>
      <x:c r="P724" s="2" t="s">
        <x:v>2084</x:v>
      </x:c>
      <x:c r="Q724" s="2"/>
      <x:c r="R724" s="3">
        <x:v>3</x:v>
      </x:c>
      <x:c r="S724" s="3">
        <x:v>1</x:v>
      </x:c>
      <x:c r="T724" s="2" t="s">
        <x:v>103</x:v>
      </x:c>
      <x:c r="U724" s="2"/>
      <x:c r="V724" s="2"/>
      <x:c r="W724" s="2"/>
      <x:c r="X724" s="3"/>
      <x:c r="Y724" s="3"/>
      <x:c r="Z724" s="2"/>
      <x:c r="AA724" s="2"/>
      <x:c r="AB724" s="2" t="s">
        <x:v>415</x:v>
      </x:c>
      <x:c r="AC724" s="2"/>
      <x:c r="AD724" s="2"/>
      <x:c r="AE724" s="2"/>
      <x:c r="AF724" s="2"/>
      <x:c r="AG724" s="2" t="s">
        <x:v>2036</x:v>
      </x:c>
      <x:c r="AH724" s="2"/>
      <x:c r="AI724" s="4"/>
      <x:c r="AJ724" s="2"/>
      <x:c r="AK724" s="2" t="s">
        <x:v>396</x:v>
      </x:c>
      <x:c r="AL724" s="2" t="s">
        <x:v>3061</x:v>
      </x:c>
      <x:c r="AM724" s="2">
        <x:v>104</x:v>
      </x:c>
      <x:c r="AN724" s="2">
        <x:v>104</x:v>
      </x:c>
    </x:row>
    <x:row r="725" ht="52">
      <x:c r="A725" s="2" t="s">
        <x:v>91</x:v>
      </x:c>
      <x:c r="B725" s="2" t="s">
        <x:v>17</x:v>
      </x:c>
      <x:c r="C725" s="3">
        <x:v>103</x:v>
      </x:c>
      <x:c r="D725" s="2" t="s">
        <x:v>2153</x:v>
      </x:c>
      <x:c r="E725" s="2" t="s">
        <x:v>2154</x:v>
      </x:c>
      <x:c r="F725" s="2" t="s">
        <x:v>410</x:v>
      </x:c>
      <x:c r="G725" s="2" t="s">
        <x:v>3215</x:v>
      </x:c>
      <x:c r="H725" s="2" t="s">
        <x:v>618</x:v>
      </x:c>
      <x:c r="I725" s="2" t="s">
        <x:v>2288</x:v>
      </x:c>
      <x:c r="J725" s="2" t="s">
        <x:v>2145</x:v>
      </x:c>
      <x:c r="K725" s="2"/>
      <x:c r="L725" s="2" t="s">
        <x:v>2289</x:v>
      </x:c>
      <x:c r="M725" s="2" t="s">
        <x:v>2082</x:v>
      </x:c>
      <x:c r="N725" s="2">
        <x:v>4</x:v>
      </x:c>
      <x:c r="O725" s="2" t="s">
        <x:v>2083</x:v>
      </x:c>
      <x:c r="P725" s="2" t="s">
        <x:v>2084</x:v>
      </x:c>
      <x:c r="Q725" s="2"/>
      <x:c r="R725" s="3">
        <x:v>3</x:v>
      </x:c>
      <x:c r="S725" s="3">
        <x:v>1</x:v>
      </x:c>
      <x:c r="T725" s="2" t="s">
        <x:v>103</x:v>
      </x:c>
      <x:c r="U725" s="2"/>
      <x:c r="V725" s="2"/>
      <x:c r="W725" s="2"/>
      <x:c r="X725" s="3"/>
      <x:c r="Y725" s="3"/>
      <x:c r="Z725" s="2"/>
      <x:c r="AA725" s="2"/>
      <x:c r="AB725" s="2" t="s">
        <x:v>427</x:v>
      </x:c>
      <x:c r="AC725" s="2"/>
      <x:c r="AD725" s="2"/>
      <x:c r="AE725" s="2"/>
      <x:c r="AF725" s="2"/>
      <x:c r="AG725" s="2" t="s">
        <x:v>395</x:v>
      </x:c>
      <x:c r="AH725" s="2"/>
      <x:c r="AI725" s="4"/>
      <x:c r="AJ725" s="2"/>
      <x:c r="AK725" s="2" t="s">
        <x:v>396</x:v>
      </x:c>
      <x:c r="AL725" s="2" t="s">
        <x:v>3061</x:v>
      </x:c>
      <x:c r="AM725" s="2">
        <x:v>105</x:v>
      </x:c>
      <x:c r="AN725" s="2">
        <x:v>105</x:v>
      </x:c>
    </x:row>
    <x:row r="726" ht="52">
      <x:c r="A726" s="2" t="s">
        <x:v>6</x:v>
      </x:c>
      <x:c r="B726" s="2" t="s">
        <x:v>17</x:v>
      </x:c>
      <x:c r="C726" s="3">
        <x:v>104</x:v>
      </x:c>
      <x:c r="D726" s="2" t="s">
        <x:v>2160</x:v>
      </x:c>
      <x:c r="E726" s="2" t="s">
        <x:v>2161</x:v>
      </x:c>
      <x:c r="F726" s="2" t="s">
        <x:v>431</x:v>
      </x:c>
      <x:c r="G726" s="2"/>
      <x:c r="H726" s="2" t="s">
        <x:v>618</x:v>
      </x:c>
      <x:c r="I726" s="2" t="s">
        <x:v>2290</x:v>
      </x:c>
      <x:c r="J726" s="2" t="s">
        <x:v>2145</x:v>
      </x:c>
      <x:c r="K726" s="2"/>
      <x:c r="L726" s="2" t="s">
        <x:v>2291</x:v>
      </x:c>
      <x:c r="M726" s="2" t="s">
        <x:v>2082</x:v>
      </x:c>
      <x:c r="N726" s="2">
        <x:v>4</x:v>
      </x:c>
      <x:c r="O726" s="2" t="s">
        <x:v>2083</x:v>
      </x:c>
      <x:c r="P726" s="2" t="s">
        <x:v>2084</x:v>
      </x:c>
      <x:c r="Q726" s="2"/>
      <x:c r="R726" s="3">
        <x:v>4</x:v>
      </x:c>
      <x:c r="S726" s="3">
        <x:v>1</x:v>
      </x:c>
      <x:c r="T726" s="2" t="s">
        <x:v>103</x:v>
      </x:c>
      <x:c r="U726" s="2"/>
      <x:c r="V726" s="2"/>
      <x:c r="W726" s="2"/>
      <x:c r="X726" s="3"/>
      <x:c r="Y726" s="3"/>
      <x:c r="Z726" s="2"/>
      <x:c r="AA726" s="2"/>
      <x:c r="AB726" s="2" t="s">
        <x:v>394</x:v>
      </x:c>
      <x:c r="AC726" s="2"/>
      <x:c r="AD726" s="2"/>
      <x:c r="AE726" s="2"/>
      <x:c r="AF726" s="2"/>
      <x:c r="AG726" s="2" t="s">
        <x:v>428</x:v>
      </x:c>
      <x:c r="AH726" s="2"/>
      <x:c r="AI726" s="4"/>
      <x:c r="AJ726" s="2"/>
      <x:c r="AK726" s="2" t="s">
        <x:v>396</x:v>
      </x:c>
      <x:c r="AL726" s="2" t="s">
        <x:v>3061</x:v>
      </x:c>
      <x:c r="AM726" s="2">
        <x:v>106</x:v>
      </x:c>
      <x:c r="AN726" s="2">
        <x:v>106</x:v>
      </x:c>
    </x:row>
    <x:row r="727" ht="52">
      <x:c r="A727" s="2" t="s">
        <x:v>6</x:v>
      </x:c>
      <x:c r="B727" s="2" t="s">
        <x:v>17</x:v>
      </x:c>
      <x:c r="C727" s="3">
        <x:v>105</x:v>
      </x:c>
      <x:c r="D727" s="2" t="s">
        <x:v>2167</x:v>
      </x:c>
      <x:c r="E727" s="2" t="s">
        <x:v>2292</x:v>
      </x:c>
      <x:c r="F727" s="2" t="s">
        <x:v>2047</x:v>
      </x:c>
      <x:c r="G727" s="2"/>
      <x:c r="H727" s="2" t="s">
        <x:v>618</x:v>
      </x:c>
      <x:c r="I727" s="2" t="s">
        <x:v>2294</x:v>
      </x:c>
      <x:c r="J727" s="2" t="s">
        <x:v>2080</x:v>
      </x:c>
      <x:c r="K727" s="2"/>
      <x:c r="L727" s="2" t="s">
        <x:v>2295</x:v>
      </x:c>
      <x:c r="M727" s="2" t="s">
        <x:v>2082</x:v>
      </x:c>
      <x:c r="N727" s="2">
        <x:v>4</x:v>
      </x:c>
      <x:c r="O727" s="2" t="s">
        <x:v>2083</x:v>
      </x:c>
      <x:c r="P727" s="2" t="s">
        <x:v>2084</x:v>
      </x:c>
      <x:c r="Q727" s="2"/>
      <x:c r="R727" s="3">
        <x:v>4</x:v>
      </x:c>
      <x:c r="S727" s="3">
        <x:v>1</x:v>
      </x:c>
      <x:c r="T727" s="2" t="s">
        <x:v>103</x:v>
      </x:c>
      <x:c r="U727" s="2"/>
      <x:c r="V727" s="2"/>
      <x:c r="W727" s="2"/>
      <x:c r="X727" s="3"/>
      <x:c r="Y727" s="3"/>
      <x:c r="Z727" s="2"/>
      <x:c r="AA727" s="2"/>
      <x:c r="AB727" s="2" t="s">
        <x:v>415</x:v>
      </x:c>
      <x:c r="AC727" s="2"/>
      <x:c r="AD727" s="2"/>
      <x:c r="AE727" s="2"/>
      <x:c r="AF727" s="2"/>
      <x:c r="AG727" s="2" t="s">
        <x:v>2036</x:v>
      </x:c>
      <x:c r="AH727" s="2"/>
      <x:c r="AI727" s="4"/>
      <x:c r="AJ727" s="2"/>
      <x:c r="AK727" s="2" t="s">
        <x:v>396</x:v>
      </x:c>
      <x:c r="AL727" s="2" t="s">
        <x:v>3061</x:v>
      </x:c>
      <x:c r="AM727" s="2">
        <x:v>107</x:v>
      </x:c>
      <x:c r="AN727" s="2">
        <x:v>107</x:v>
      </x:c>
    </x:row>
    <x:row r="728" ht="52">
      <x:c r="A728" s="2" t="s">
        <x:v>91</x:v>
      </x:c>
      <x:c r="B728" s="2" t="s">
        <x:v>17</x:v>
      </x:c>
      <x:c r="C728" s="3">
        <x:v>106</x:v>
      </x:c>
      <x:c r="D728" s="2" t="s">
        <x:v>2176</x:v>
      </x:c>
      <x:c r="E728" s="2" t="s">
        <x:v>2296</x:v>
      </x:c>
      <x:c r="F728" s="2" t="s">
        <x:v>410</x:v>
      </x:c>
      <x:c r="G728" s="2" t="s">
        <x:v>3216</x:v>
      </x:c>
      <x:c r="H728" s="2" t="s">
        <x:v>618</x:v>
      </x:c>
      <x:c r="I728" s="2" t="s">
        <x:v>2298</x:v>
      </x:c>
      <x:c r="J728" s="2" t="s">
        <x:v>2080</x:v>
      </x:c>
      <x:c r="K728" s="2"/>
      <x:c r="L728" s="2" t="s">
        <x:v>2156</x:v>
      </x:c>
      <x:c r="M728" s="2" t="s">
        <x:v>2082</x:v>
      </x:c>
      <x:c r="N728" s="2">
        <x:v>4</x:v>
      </x:c>
      <x:c r="O728" s="2" t="s">
        <x:v>2083</x:v>
      </x:c>
      <x:c r="P728" s="2" t="s">
        <x:v>2084</x:v>
      </x:c>
      <x:c r="Q728" s="2"/>
      <x:c r="R728" s="3">
        <x:v>4</x:v>
      </x:c>
      <x:c r="S728" s="3">
        <x:v>1</x:v>
      </x:c>
      <x:c r="T728" s="2" t="s">
        <x:v>103</x:v>
      </x:c>
      <x:c r="U728" s="2"/>
      <x:c r="V728" s="2"/>
      <x:c r="W728" s="2"/>
      <x:c r="X728" s="3"/>
      <x:c r="Y728" s="3"/>
      <x:c r="Z728" s="2"/>
      <x:c r="AA728" s="2"/>
      <x:c r="AB728" s="2" t="s">
        <x:v>427</x:v>
      </x:c>
      <x:c r="AC728" s="2"/>
      <x:c r="AD728" s="2"/>
      <x:c r="AE728" s="2"/>
      <x:c r="AF728" s="2"/>
      <x:c r="AG728" s="2" t="s">
        <x:v>395</x:v>
      </x:c>
      <x:c r="AH728" s="2"/>
      <x:c r="AI728" s="4"/>
      <x:c r="AJ728" s="2"/>
      <x:c r="AK728" s="2" t="s">
        <x:v>396</x:v>
      </x:c>
      <x:c r="AL728" s="2" t="s">
        <x:v>3061</x:v>
      </x:c>
      <x:c r="AM728" s="2">
        <x:v>108</x:v>
      </x:c>
      <x:c r="AN728" s="2">
        <x:v>108</x:v>
      </x:c>
    </x:row>
    <x:row r="729" ht="52">
      <x:c r="A729" s="2" t="s">
        <x:v>6</x:v>
      </x:c>
      <x:c r="B729" s="2" t="s">
        <x:v>17</x:v>
      </x:c>
      <x:c r="C729" s="3">
        <x:v>107</x:v>
      </x:c>
      <x:c r="D729" s="2" t="s">
        <x:v>2108</x:v>
      </x:c>
      <x:c r="E729" s="2" t="s">
        <x:v>2183</x:v>
      </x:c>
      <x:c r="F729" s="2" t="s">
        <x:v>431</x:v>
      </x:c>
      <x:c r="G729" s="2"/>
      <x:c r="H729" s="2" t="s">
        <x:v>618</x:v>
      </x:c>
      <x:c r="I729" s="2" t="s">
        <x:v>2299</x:v>
      </x:c>
      <x:c r="J729" s="2" t="s">
        <x:v>2080</x:v>
      </x:c>
      <x:c r="K729" s="2"/>
      <x:c r="L729" s="2" t="s">
        <x:v>2300</x:v>
      </x:c>
      <x:c r="M729" s="2" t="s">
        <x:v>2082</x:v>
      </x:c>
      <x:c r="N729" s="2">
        <x:v>4</x:v>
      </x:c>
      <x:c r="O729" s="2" t="s">
        <x:v>2083</x:v>
      </x:c>
      <x:c r="P729" s="2" t="s">
        <x:v>2084</x:v>
      </x:c>
      <x:c r="Q729" s="2"/>
      <x:c r="R729" s="3">
        <x:v>5</x:v>
      </x:c>
      <x:c r="S729" s="3">
        <x:v>1</x:v>
      </x:c>
      <x:c r="T729" s="2" t="s">
        <x:v>103</x:v>
      </x:c>
      <x:c r="U729" s="2"/>
      <x:c r="V729" s="2"/>
      <x:c r="W729" s="2"/>
      <x:c r="X729" s="3"/>
      <x:c r="Y729" s="3"/>
      <x:c r="Z729" s="2"/>
      <x:c r="AA729" s="2"/>
      <x:c r="AB729" s="2" t="s">
        <x:v>394</x:v>
      </x:c>
      <x:c r="AC729" s="2"/>
      <x:c r="AD729" s="2"/>
      <x:c r="AE729" s="2"/>
      <x:c r="AF729" s="2"/>
      <x:c r="AG729" s="2" t="s">
        <x:v>428</x:v>
      </x:c>
      <x:c r="AH729" s="2"/>
      <x:c r="AI729" s="4"/>
      <x:c r="AJ729" s="2"/>
      <x:c r="AK729" s="2" t="s">
        <x:v>396</x:v>
      </x:c>
      <x:c r="AL729" s="2" t="s">
        <x:v>3061</x:v>
      </x:c>
      <x:c r="AM729" s="2">
        <x:v>109</x:v>
      </x:c>
      <x:c r="AN729" s="2">
        <x:v>109</x:v>
      </x:c>
    </x:row>
    <x:row r="730" ht="52">
      <x:c r="A730" s="2" t="s">
        <x:v>6</x:v>
      </x:c>
      <x:c r="B730" s="2" t="s">
        <x:v>17</x:v>
      </x:c>
      <x:c r="C730" s="3">
        <x:v>108</x:v>
      </x:c>
      <x:c r="D730" s="2" t="s">
        <x:v>2187</x:v>
      </x:c>
      <x:c r="E730" s="2" t="s">
        <x:v>2301</x:v>
      </x:c>
      <x:c r="F730" s="2" t="s">
        <x:v>237</x:v>
      </x:c>
      <x:c r="G730" s="2"/>
      <x:c r="H730" s="2" t="s">
        <x:v>618</x:v>
      </x:c>
      <x:c r="I730" s="2" t="s">
        <x:v>2302</x:v>
      </x:c>
      <x:c r="J730" s="2" t="s">
        <x:v>2120</x:v>
      </x:c>
      <x:c r="K730" s="2"/>
      <x:c r="L730" s="2" t="s">
        <x:v>2121</x:v>
      </x:c>
      <x:c r="M730" s="2" t="s">
        <x:v>2082</x:v>
      </x:c>
      <x:c r="N730" s="2">
        <x:v>4</x:v>
      </x:c>
      <x:c r="O730" s="2" t="s">
        <x:v>2083</x:v>
      </x:c>
      <x:c r="P730" s="2" t="s">
        <x:v>2084</x:v>
      </x:c>
      <x:c r="Q730" s="2"/>
      <x:c r="R730" s="3">
        <x:v>4</x:v>
      </x:c>
      <x:c r="S730" s="3">
        <x:v>1</x:v>
      </x:c>
      <x:c r="T730" s="2" t="s">
        <x:v>103</x:v>
      </x:c>
      <x:c r="U730" s="2"/>
      <x:c r="V730" s="2"/>
      <x:c r="W730" s="2"/>
      <x:c r="X730" s="3"/>
      <x:c r="Y730" s="3"/>
      <x:c r="Z730" s="2"/>
      <x:c r="AA730" s="2"/>
      <x:c r="AB730" s="2" t="s">
        <x:v>415</x:v>
      </x:c>
      <x:c r="AC730" s="2"/>
      <x:c r="AD730" s="2"/>
      <x:c r="AE730" s="2"/>
      <x:c r="AF730" s="2"/>
      <x:c r="AG730" s="2" t="s">
        <x:v>2036</x:v>
      </x:c>
      <x:c r="AH730" s="2"/>
      <x:c r="AI730" s="4"/>
      <x:c r="AJ730" s="2"/>
      <x:c r="AK730" s="2" t="s">
        <x:v>396</x:v>
      </x:c>
      <x:c r="AL730" s="2" t="s">
        <x:v>3061</x:v>
      </x:c>
      <x:c r="AM730" s="2">
        <x:v>110</x:v>
      </x:c>
      <x:c r="AN730" s="2">
        <x:v>110</x:v>
      </x:c>
    </x:row>
    <x:row r="731" ht="52">
      <x:c r="A731" s="2" t="s">
        <x:v>91</x:v>
      </x:c>
      <x:c r="B731" s="2" t="s">
        <x:v>17</x:v>
      </x:c>
      <x:c r="C731" s="3">
        <x:v>109</x:v>
      </x:c>
      <x:c r="D731" s="2" t="s">
        <x:v>2192</x:v>
      </x:c>
      <x:c r="E731" s="2" t="s">
        <x:v>2303</x:v>
      </x:c>
      <x:c r="F731" s="2" t="s">
        <x:v>386</x:v>
      </x:c>
      <x:c r="G731" s="2" t="s">
        <x:v>3217</x:v>
      </x:c>
      <x:c r="H731" s="2" t="s">
        <x:v>618</x:v>
      </x:c>
      <x:c r="I731" s="2" t="s">
        <x:v>2304</x:v>
      </x:c>
      <x:c r="J731" s="2" t="s">
        <x:v>2120</x:v>
      </x:c>
      <x:c r="K731" s="2"/>
      <x:c r="L731" s="2" t="s">
        <x:v>2104</x:v>
      </x:c>
      <x:c r="M731" s="2" t="s">
        <x:v>2082</x:v>
      </x:c>
      <x:c r="N731" s="2">
        <x:v>4</x:v>
      </x:c>
      <x:c r="O731" s="2" t="s">
        <x:v>2083</x:v>
      </x:c>
      <x:c r="P731" s="2" t="s">
        <x:v>2084</x:v>
      </x:c>
      <x:c r="Q731" s="2"/>
      <x:c r="R731" s="3">
        <x:v>4</x:v>
      </x:c>
      <x:c r="S731" s="3">
        <x:v>1</x:v>
      </x:c>
      <x:c r="T731" s="2" t="s">
        <x:v>103</x:v>
      </x:c>
      <x:c r="U731" s="2"/>
      <x:c r="V731" s="2"/>
      <x:c r="W731" s="2"/>
      <x:c r="X731" s="3"/>
      <x:c r="Y731" s="3"/>
      <x:c r="Z731" s="2"/>
      <x:c r="AA731" s="2"/>
      <x:c r="AB731" s="2" t="s">
        <x:v>427</x:v>
      </x:c>
      <x:c r="AC731" s="2"/>
      <x:c r="AD731" s="2"/>
      <x:c r="AE731" s="2"/>
      <x:c r="AF731" s="2"/>
      <x:c r="AG731" s="2" t="s">
        <x:v>395</x:v>
      </x:c>
      <x:c r="AH731" s="2"/>
      <x:c r="AI731" s="4"/>
      <x:c r="AJ731" s="2"/>
      <x:c r="AK731" s="2" t="s">
        <x:v>396</x:v>
      </x:c>
      <x:c r="AL731" s="2" t="s">
        <x:v>3061</x:v>
      </x:c>
      <x:c r="AM731" s="2">
        <x:v>111</x:v>
      </x:c>
      <x:c r="AN731" s="2">
        <x:v>111</x:v>
      </x:c>
    </x:row>
    <x:row r="732" ht="39">
      <x:c r="A732" s="2" t="s">
        <x:v>91</x:v>
      </x:c>
      <x:c r="B732" s="2" t="s">
        <x:v>17</x:v>
      </x:c>
      <x:c r="C732" s="3">
        <x:v>110</x:v>
      </x:c>
      <x:c r="D732" s="2" t="s">
        <x:v>2305</x:v>
      </x:c>
      <x:c r="E732" s="2" t="s">
        <x:v>2306</x:v>
      </x:c>
      <x:c r="F732" s="2" t="s">
        <x:v>469</x:v>
      </x:c>
      <x:c r="G732" s="2" t="s">
        <x:v>3218</x:v>
      </x:c>
      <x:c r="H732" s="2" t="s">
        <x:v>2307</x:v>
      </x:c>
      <x:c r="I732" s="2" t="s">
        <x:v>2308</x:v>
      </x:c>
      <x:c r="J732" s="2" t="s">
        <x:v>2309</x:v>
      </x:c>
      <x:c r="K732" s="2"/>
      <x:c r="L732" s="2" t="s">
        <x:v>2310</x:v>
      </x:c>
      <x:c r="M732" s="2" t="s">
        <x:v>2311</x:v>
      </x:c>
      <x:c r="N732" s="2">
        <x:v>5</x:v>
      </x:c>
      <x:c r="O732" s="2" t="s">
        <x:v>2312</x:v>
      </x:c>
      <x:c r="P732" s="2" t="s">
        <x:v>2313</x:v>
      </x:c>
      <x:c r="Q732" s="2"/>
      <x:c r="R732" s="3">
        <x:v>3</x:v>
      </x:c>
      <x:c r="S732" s="3">
        <x:v>1</x:v>
      </x:c>
      <x:c r="T732" s="2" t="s">
        <x:v>103</x:v>
      </x:c>
      <x:c r="U732" s="2"/>
      <x:c r="V732" s="2"/>
      <x:c r="W732" s="2"/>
      <x:c r="X732" s="3"/>
      <x:c r="Y732" s="3"/>
      <x:c r="Z732" s="2"/>
      <x:c r="AA732" s="2"/>
      <x:c r="AB732" s="2" t="s">
        <x:v>427</x:v>
      </x:c>
      <x:c r="AC732" s="2"/>
      <x:c r="AD732" s="2"/>
      <x:c r="AE732" s="2"/>
      <x:c r="AF732" s="2"/>
      <x:c r="AG732" s="2" t="s">
        <x:v>2314</x:v>
      </x:c>
      <x:c r="AH732" s="2"/>
      <x:c r="AI732" s="4"/>
      <x:c r="AJ732" s="2"/>
      <x:c r="AK732" s="2" t="s">
        <x:v>396</x:v>
      </x:c>
      <x:c r="AL732" s="2" t="s">
        <x:v>3061</x:v>
      </x:c>
      <x:c r="AM732" s="2">
        <x:v>112</x:v>
      </x:c>
      <x:c r="AN732" s="2">
        <x:v>112</x:v>
      </x:c>
    </x:row>
    <x:row r="733" ht="39">
      <x:c r="A733" s="2" t="s">
        <x:v>91</x:v>
      </x:c>
      <x:c r="B733" s="2" t="s">
        <x:v>17</x:v>
      </x:c>
      <x:c r="C733" s="3">
        <x:v>111</x:v>
      </x:c>
      <x:c r="D733" s="2" t="s">
        <x:v>2315</x:v>
      </x:c>
      <x:c r="E733" s="2" t="s">
        <x:v>2306</x:v>
      </x:c>
      <x:c r="F733" s="2" t="s">
        <x:v>344</x:v>
      </x:c>
      <x:c r="G733" s="2" t="s">
        <x:v>3219</x:v>
      </x:c>
      <x:c r="H733" s="2" t="s">
        <x:v>2307</x:v>
      </x:c>
      <x:c r="I733" s="2" t="s">
        <x:v>2308</x:v>
      </x:c>
      <x:c r="J733" s="2" t="s">
        <x:v>2317</x:v>
      </x:c>
      <x:c r="K733" s="2" t="n">
        <x:v>110</x:v>
      </x:c>
      <x:c r="L733" s="2" t="s">
        <x:v>2318</x:v>
      </x:c>
      <x:c r="M733" s="2" t="s">
        <x:v>2311</x:v>
      </x:c>
      <x:c r="N733" s="2">
        <x:v>5</x:v>
      </x:c>
      <x:c r="O733" s="2" t="s">
        <x:v>2319</x:v>
      </x:c>
      <x:c r="P733" s="2" t="s">
        <x:v>2320</x:v>
      </x:c>
      <x:c r="Q733" s="2"/>
      <x:c r="R733" s="3">
        <x:v>3</x:v>
      </x:c>
      <x:c r="S733" s="3">
        <x:v>1</x:v>
      </x:c>
      <x:c r="T733" s="2" t="s">
        <x:v>103</x:v>
      </x:c>
      <x:c r="U733" s="2"/>
      <x:c r="V733" s="2"/>
      <x:c r="W733" s="2"/>
      <x:c r="X733" s="3"/>
      <x:c r="Y733" s="3"/>
      <x:c r="Z733" s="2"/>
      <x:c r="AA733" s="2"/>
      <x:c r="AB733" s="2" t="s">
        <x:v>415</x:v>
      </x:c>
      <x:c r="AC733" s="2"/>
      <x:c r="AD733" s="2"/>
      <x:c r="AE733" s="2"/>
      <x:c r="AF733" s="2"/>
      <x:c r="AG733" s="2" t="s">
        <x:v>2314</x:v>
      </x:c>
      <x:c r="AH733" s="2"/>
      <x:c r="AI733" s="4"/>
      <x:c r="AJ733" s="2"/>
      <x:c r="AK733" s="2" t="s">
        <x:v>396</x:v>
      </x:c>
      <x:c r="AL733" s="2" t="s">
        <x:v>3061</x:v>
      </x:c>
      <x:c r="AM733" s="2">
        <x:v>113</x:v>
      </x:c>
      <x:c r="AN733" s="2">
        <x:v>113</x:v>
      </x:c>
    </x:row>
    <x:row r="734" ht="39">
      <x:c r="A734" s="2" t="s">
        <x:v>91</x:v>
      </x:c>
      <x:c r="B734" s="2" t="s">
        <x:v>17</x:v>
      </x:c>
      <x:c r="C734" s="3">
        <x:v>112</x:v>
      </x:c>
      <x:c r="D734" s="2" t="s">
        <x:v>2321</x:v>
      </x:c>
      <x:c r="E734" s="2" t="s">
        <x:v>2322</x:v>
      </x:c>
      <x:c r="F734" s="2" t="s">
        <x:v>344</x:v>
      </x:c>
      <x:c r="G734" s="2" t="s">
        <x:v>2855</x:v>
      </x:c>
      <x:c r="H734" s="2" t="s">
        <x:v>2307</x:v>
      </x:c>
      <x:c r="I734" s="2" t="s">
        <x:v>2324</x:v>
      </x:c>
      <x:c r="J734" s="2" t="s">
        <x:v>2309</x:v>
      </x:c>
      <x:c r="K734" s="2"/>
      <x:c r="L734" s="2" t="s">
        <x:v>2310</x:v>
      </x:c>
      <x:c r="M734" s="2" t="s">
        <x:v>2311</x:v>
      </x:c>
      <x:c r="N734" s="2">
        <x:v>5</x:v>
      </x:c>
      <x:c r="O734" s="2" t="s">
        <x:v>2312</x:v>
      </x:c>
      <x:c r="P734" s="2" t="s">
        <x:v>2313</x:v>
      </x:c>
      <x:c r="Q734" s="2"/>
      <x:c r="R734" s="3">
        <x:v>4</x:v>
      </x:c>
      <x:c r="S734" s="3">
        <x:v>1</x:v>
      </x:c>
      <x:c r="T734" s="2" t="s">
        <x:v>103</x:v>
      </x:c>
      <x:c r="U734" s="2"/>
      <x:c r="V734" s="2"/>
      <x:c r="W734" s="2"/>
      <x:c r="X734" s="3"/>
      <x:c r="Y734" s="3"/>
      <x:c r="Z734" s="2"/>
      <x:c r="AA734" s="2"/>
      <x:c r="AB734" s="2" t="s">
        <x:v>427</x:v>
      </x:c>
      <x:c r="AC734" s="2"/>
      <x:c r="AD734" s="2"/>
      <x:c r="AE734" s="2"/>
      <x:c r="AF734" s="2"/>
      <x:c r="AG734" s="2" t="s">
        <x:v>2314</x:v>
      </x:c>
      <x:c r="AH734" s="2"/>
      <x:c r="AI734" s="4"/>
      <x:c r="AJ734" s="2"/>
      <x:c r="AK734" s="2" t="s">
        <x:v>396</x:v>
      </x:c>
      <x:c r="AL734" s="2" t="s">
        <x:v>3061</x:v>
      </x:c>
      <x:c r="AM734" s="2">
        <x:v>114</x:v>
      </x:c>
      <x:c r="AN734" s="2">
        <x:v>114</x:v>
      </x:c>
    </x:row>
    <x:row r="735" ht="39">
      <x:c r="A735" s="2" t="s">
        <x:v>91</x:v>
      </x:c>
      <x:c r="B735" s="2" t="s">
        <x:v>17</x:v>
      </x:c>
      <x:c r="C735" s="3">
        <x:v>113</x:v>
      </x:c>
      <x:c r="D735" s="2" t="s">
        <x:v>2325</x:v>
      </x:c>
      <x:c r="E735" s="2" t="s">
        <x:v>2322</x:v>
      </x:c>
      <x:c r="F735" s="2" t="s">
        <x:v>469</x:v>
      </x:c>
      <x:c r="G735" s="2" t="s">
        <x:v>2435</x:v>
      </x:c>
      <x:c r="H735" s="2" t="s">
        <x:v>2307</x:v>
      </x:c>
      <x:c r="I735" s="2" t="s">
        <x:v>2324</x:v>
      </x:c>
      <x:c r="J735" s="2" t="s">
        <x:v>2317</x:v>
      </x:c>
      <x:c r="K735" s="2" t="n">
        <x:v>112</x:v>
      </x:c>
      <x:c r="L735" s="2" t="s">
        <x:v>2318</x:v>
      </x:c>
      <x:c r="M735" s="2" t="s">
        <x:v>2311</x:v>
      </x:c>
      <x:c r="N735" s="2">
        <x:v>5</x:v>
      </x:c>
      <x:c r="O735" s="2" t="s">
        <x:v>2319</x:v>
      </x:c>
      <x:c r="P735" s="2" t="s">
        <x:v>2320</x:v>
      </x:c>
      <x:c r="Q735" s="2"/>
      <x:c r="R735" s="3">
        <x:v>4</x:v>
      </x:c>
      <x:c r="S735" s="3">
        <x:v>1</x:v>
      </x:c>
      <x:c r="T735" s="2" t="s">
        <x:v>103</x:v>
      </x:c>
      <x:c r="U735" s="2"/>
      <x:c r="V735" s="2"/>
      <x:c r="W735" s="2"/>
      <x:c r="X735" s="3"/>
      <x:c r="Y735" s="3"/>
      <x:c r="Z735" s="2"/>
      <x:c r="AA735" s="2"/>
      <x:c r="AB735" s="2" t="s">
        <x:v>415</x:v>
      </x:c>
      <x:c r="AC735" s="2"/>
      <x:c r="AD735" s="2"/>
      <x:c r="AE735" s="2"/>
      <x:c r="AF735" s="2"/>
      <x:c r="AG735" s="2" t="s">
        <x:v>2314</x:v>
      </x:c>
      <x:c r="AH735" s="2"/>
      <x:c r="AI735" s="4"/>
      <x:c r="AJ735" s="2"/>
      <x:c r="AK735" s="2" t="s">
        <x:v>396</x:v>
      </x:c>
      <x:c r="AL735" s="2" t="s">
        <x:v>3061</x:v>
      </x:c>
      <x:c r="AM735" s="2">
        <x:v>115</x:v>
      </x:c>
      <x:c r="AN735" s="2">
        <x:v>115</x:v>
      </x:c>
    </x:row>
    <x:row r="736" ht="39">
      <x:c r="A736" s="2" t="s">
        <x:v>6</x:v>
      </x:c>
      <x:c r="B736" s="2" t="s">
        <x:v>17</x:v>
      </x:c>
      <x:c r="C736" s="3">
        <x:v>114</x:v>
      </x:c>
      <x:c r="D736" s="2" t="s">
        <x:v>2327</x:v>
      </x:c>
      <x:c r="E736" s="2" t="s">
        <x:v>2328</x:v>
      </x:c>
      <x:c r="F736" s="2" t="s">
        <x:v>469</x:v>
      </x:c>
      <x:c r="G736" s="2"/>
      <x:c r="H736" s="2" t="s">
        <x:v>2307</x:v>
      </x:c>
      <x:c r="I736" s="2" t="s">
        <x:v>2329</x:v>
      </x:c>
      <x:c r="J736" s="2" t="s">
        <x:v>2309</x:v>
      </x:c>
      <x:c r="K736" s="2"/>
      <x:c r="L736" s="2" t="s">
        <x:v>2310</x:v>
      </x:c>
      <x:c r="M736" s="2" t="s">
        <x:v>2311</x:v>
      </x:c>
      <x:c r="N736" s="2">
        <x:v>5</x:v>
      </x:c>
      <x:c r="O736" s="2" t="s">
        <x:v>2312</x:v>
      </x:c>
      <x:c r="P736" s="2" t="s">
        <x:v>2313</x:v>
      </x:c>
      <x:c r="Q736" s="2"/>
      <x:c r="R736" s="3">
        <x:v>3</x:v>
      </x:c>
      <x:c r="S736" s="3">
        <x:v>1</x:v>
      </x:c>
      <x:c r="T736" s="2" t="s">
        <x:v>103</x:v>
      </x:c>
      <x:c r="U736" s="2"/>
      <x:c r="V736" s="2"/>
      <x:c r="W736" s="2"/>
      <x:c r="X736" s="3"/>
      <x:c r="Y736" s="3"/>
      <x:c r="Z736" s="2"/>
      <x:c r="AA736" s="2"/>
      <x:c r="AB736" s="2" t="s">
        <x:v>427</x:v>
      </x:c>
      <x:c r="AC736" s="2"/>
      <x:c r="AD736" s="2"/>
      <x:c r="AE736" s="2"/>
      <x:c r="AF736" s="2"/>
      <x:c r="AG736" s="2" t="s">
        <x:v>2314</x:v>
      </x:c>
      <x:c r="AH736" s="2"/>
      <x:c r="AI736" s="4"/>
      <x:c r="AJ736" s="2"/>
      <x:c r="AK736" s="2" t="s">
        <x:v>396</x:v>
      </x:c>
      <x:c r="AL736" s="2" t="s">
        <x:v>3061</x:v>
      </x:c>
      <x:c r="AM736" s="2">
        <x:v>116</x:v>
      </x:c>
      <x:c r="AN736" s="2">
        <x:v>116</x:v>
      </x:c>
    </x:row>
    <x:row r="737" ht="39">
      <x:c r="A737" s="2" t="s">
        <x:v>6</x:v>
      </x:c>
      <x:c r="B737" s="2" t="s">
        <x:v>17</x:v>
      </x:c>
      <x:c r="C737" s="3">
        <x:v>115</x:v>
      </x:c>
      <x:c r="D737" s="2" t="s">
        <x:v>2330</x:v>
      </x:c>
      <x:c r="E737" s="2" t="s">
        <x:v>2328</x:v>
      </x:c>
      <x:c r="F737" s="2" t="s">
        <x:v>344</x:v>
      </x:c>
      <x:c r="G737" s="2"/>
      <x:c r="H737" s="2" t="s">
        <x:v>2307</x:v>
      </x:c>
      <x:c r="I737" s="2" t="s">
        <x:v>2329</x:v>
      </x:c>
      <x:c r="J737" s="2" t="s">
        <x:v>2317</x:v>
      </x:c>
      <x:c r="K737" s="2" t="n">
        <x:v>114</x:v>
      </x:c>
      <x:c r="L737" s="2" t="s">
        <x:v>2318</x:v>
      </x:c>
      <x:c r="M737" s="2" t="s">
        <x:v>2311</x:v>
      </x:c>
      <x:c r="N737" s="2">
        <x:v>5</x:v>
      </x:c>
      <x:c r="O737" s="2" t="s">
        <x:v>2319</x:v>
      </x:c>
      <x:c r="P737" s="2" t="s">
        <x:v>2320</x:v>
      </x:c>
      <x:c r="Q737" s="2"/>
      <x:c r="R737" s="3">
        <x:v>3</x:v>
      </x:c>
      <x:c r="S737" s="3">
        <x:v>1</x:v>
      </x:c>
      <x:c r="T737" s="2" t="s">
        <x:v>103</x:v>
      </x:c>
      <x:c r="U737" s="2"/>
      <x:c r="V737" s="2"/>
      <x:c r="W737" s="2"/>
      <x:c r="X737" s="3"/>
      <x:c r="Y737" s="3"/>
      <x:c r="Z737" s="2"/>
      <x:c r="AA737" s="2"/>
      <x:c r="AB737" s="2" t="s">
        <x:v>415</x:v>
      </x:c>
      <x:c r="AC737" s="2"/>
      <x:c r="AD737" s="2"/>
      <x:c r="AE737" s="2"/>
      <x:c r="AF737" s="2"/>
      <x:c r="AG737" s="2" t="s">
        <x:v>2314</x:v>
      </x:c>
      <x:c r="AH737" s="2"/>
      <x:c r="AI737" s="4"/>
      <x:c r="AJ737" s="2"/>
      <x:c r="AK737" s="2" t="s">
        <x:v>396</x:v>
      </x:c>
      <x:c r="AL737" s="2" t="s">
        <x:v>3061</x:v>
      </x:c>
      <x:c r="AM737" s="2">
        <x:v>117</x:v>
      </x:c>
      <x:c r="AN737" s="2">
        <x:v>117</x:v>
      </x:c>
    </x:row>
    <x:row r="738" ht="39">
      <x:c r="A738" s="2" t="s">
        <x:v>6</x:v>
      </x:c>
      <x:c r="B738" s="2" t="s">
        <x:v>17</x:v>
      </x:c>
      <x:c r="C738" s="3">
        <x:v>116</x:v>
      </x:c>
      <x:c r="D738" s="2" t="s">
        <x:v>2331</x:v>
      </x:c>
      <x:c r="E738" s="2" t="s">
        <x:v>2332</x:v>
      </x:c>
      <x:c r="F738" s="2" t="s">
        <x:v>344</x:v>
      </x:c>
      <x:c r="G738" s="2"/>
      <x:c r="H738" s="2" t="s">
        <x:v>2307</x:v>
      </x:c>
      <x:c r="I738" s="2" t="s">
        <x:v>2333</x:v>
      </x:c>
      <x:c r="J738" s="2" t="s">
        <x:v>2309</x:v>
      </x:c>
      <x:c r="K738" s="2"/>
      <x:c r="L738" s="2" t="s">
        <x:v>2310</x:v>
      </x:c>
      <x:c r="M738" s="2" t="s">
        <x:v>2311</x:v>
      </x:c>
      <x:c r="N738" s="2">
        <x:v>5</x:v>
      </x:c>
      <x:c r="O738" s="2" t="s">
        <x:v>2312</x:v>
      </x:c>
      <x:c r="P738" s="2" t="s">
        <x:v>2313</x:v>
      </x:c>
      <x:c r="Q738" s="2"/>
      <x:c r="R738" s="3">
        <x:v>4</x:v>
      </x:c>
      <x:c r="S738" s="3">
        <x:v>1</x:v>
      </x:c>
      <x:c r="T738" s="2" t="s">
        <x:v>103</x:v>
      </x:c>
      <x:c r="U738" s="2"/>
      <x:c r="V738" s="2"/>
      <x:c r="W738" s="2"/>
      <x:c r="X738" s="3"/>
      <x:c r="Y738" s="3"/>
      <x:c r="Z738" s="2"/>
      <x:c r="AA738" s="2"/>
      <x:c r="AB738" s="2" t="s">
        <x:v>427</x:v>
      </x:c>
      <x:c r="AC738" s="2"/>
      <x:c r="AD738" s="2"/>
      <x:c r="AE738" s="2"/>
      <x:c r="AF738" s="2"/>
      <x:c r="AG738" s="2" t="s">
        <x:v>2314</x:v>
      </x:c>
      <x:c r="AH738" s="2"/>
      <x:c r="AI738" s="4"/>
      <x:c r="AJ738" s="2"/>
      <x:c r="AK738" s="2" t="s">
        <x:v>396</x:v>
      </x:c>
      <x:c r="AL738" s="2" t="s">
        <x:v>3061</x:v>
      </x:c>
      <x:c r="AM738" s="2">
        <x:v>118</x:v>
      </x:c>
      <x:c r="AN738" s="2">
        <x:v>118</x:v>
      </x:c>
    </x:row>
    <x:row r="739" ht="39">
      <x:c r="A739" s="2" t="s">
        <x:v>6</x:v>
      </x:c>
      <x:c r="B739" s="2" t="s">
        <x:v>17</x:v>
      </x:c>
      <x:c r="C739" s="3">
        <x:v>117</x:v>
      </x:c>
      <x:c r="D739" s="2" t="s">
        <x:v>2334</x:v>
      </x:c>
      <x:c r="E739" s="2" t="s">
        <x:v>2332</x:v>
      </x:c>
      <x:c r="F739" s="2" t="s">
        <x:v>469</x:v>
      </x:c>
      <x:c r="G739" s="2"/>
      <x:c r="H739" s="2" t="s">
        <x:v>2307</x:v>
      </x:c>
      <x:c r="I739" s="2" t="s">
        <x:v>2333</x:v>
      </x:c>
      <x:c r="J739" s="2" t="s">
        <x:v>2317</x:v>
      </x:c>
      <x:c r="K739" s="2" t="n">
        <x:v>116</x:v>
      </x:c>
      <x:c r="L739" s="2" t="s">
        <x:v>2318</x:v>
      </x:c>
      <x:c r="M739" s="2" t="s">
        <x:v>2311</x:v>
      </x:c>
      <x:c r="N739" s="2">
        <x:v>5</x:v>
      </x:c>
      <x:c r="O739" s="2" t="s">
        <x:v>2319</x:v>
      </x:c>
      <x:c r="P739" s="2" t="s">
        <x:v>2320</x:v>
      </x:c>
      <x:c r="Q739" s="2"/>
      <x:c r="R739" s="3">
        <x:v>4</x:v>
      </x:c>
      <x:c r="S739" s="3">
        <x:v>1</x:v>
      </x:c>
      <x:c r="T739" s="2" t="s">
        <x:v>103</x:v>
      </x:c>
      <x:c r="U739" s="2"/>
      <x:c r="V739" s="2"/>
      <x:c r="W739" s="2"/>
      <x:c r="X739" s="3"/>
      <x:c r="Y739" s="3"/>
      <x:c r="Z739" s="2"/>
      <x:c r="AA739" s="2"/>
      <x:c r="AB739" s="2" t="s">
        <x:v>415</x:v>
      </x:c>
      <x:c r="AC739" s="2"/>
      <x:c r="AD739" s="2"/>
      <x:c r="AE739" s="2"/>
      <x:c r="AF739" s="2"/>
      <x:c r="AG739" s="2" t="s">
        <x:v>2314</x:v>
      </x:c>
      <x:c r="AH739" s="2"/>
      <x:c r="AI739" s="4"/>
      <x:c r="AJ739" s="2"/>
      <x:c r="AK739" s="2" t="s">
        <x:v>396</x:v>
      </x:c>
      <x:c r="AL739" s="2" t="s">
        <x:v>3061</x:v>
      </x:c>
      <x:c r="AM739" s="2">
        <x:v>119</x:v>
      </x:c>
      <x:c r="AN739" s="2">
        <x:v>119</x:v>
      </x:c>
    </x:row>
    <x:row r="740" ht="39">
      <x:c r="A740" s="2" t="s">
        <x:v>91</x:v>
      </x:c>
      <x:c r="B740" s="2" t="s">
        <x:v>17</x:v>
      </x:c>
      <x:c r="C740" s="3">
        <x:v>118</x:v>
      </x:c>
      <x:c r="D740" s="2" t="s">
        <x:v>2335</x:v>
      </x:c>
      <x:c r="E740" s="2" t="s">
        <x:v>2306</x:v>
      </x:c>
      <x:c r="F740" s="2" t="s">
        <x:v>469</x:v>
      </x:c>
      <x:c r="G740" s="2" t="s">
        <x:v>2182</x:v>
      </x:c>
      <x:c r="H740" s="2" t="s">
        <x:v>2307</x:v>
      </x:c>
      <x:c r="I740" s="2" t="s">
        <x:v>2336</x:v>
      </x:c>
      <x:c r="J740" s="2" t="s">
        <x:v>2309</x:v>
      </x:c>
      <x:c r="K740" s="2"/>
      <x:c r="L740" s="2" t="s">
        <x:v>2310</x:v>
      </x:c>
      <x:c r="M740" s="2" t="s">
        <x:v>2311</x:v>
      </x:c>
      <x:c r="N740" s="2">
        <x:v>5</x:v>
      </x:c>
      <x:c r="O740" s="2" t="s">
        <x:v>2312</x:v>
      </x:c>
      <x:c r="P740" s="2" t="s">
        <x:v>2313</x:v>
      </x:c>
      <x:c r="Q740" s="2"/>
      <x:c r="R740" s="3">
        <x:v>3</x:v>
      </x:c>
      <x:c r="S740" s="3">
        <x:v>1</x:v>
      </x:c>
      <x:c r="T740" s="2" t="s">
        <x:v>103</x:v>
      </x:c>
      <x:c r="U740" s="2"/>
      <x:c r="V740" s="2"/>
      <x:c r="W740" s="2"/>
      <x:c r="X740" s="3"/>
      <x:c r="Y740" s="3"/>
      <x:c r="Z740" s="2"/>
      <x:c r="AA740" s="2"/>
      <x:c r="AB740" s="2" t="s">
        <x:v>427</x:v>
      </x:c>
      <x:c r="AC740" s="2"/>
      <x:c r="AD740" s="2"/>
      <x:c r="AE740" s="2"/>
      <x:c r="AF740" s="2"/>
      <x:c r="AG740" s="2" t="s">
        <x:v>2314</x:v>
      </x:c>
      <x:c r="AH740" s="2"/>
      <x:c r="AI740" s="4"/>
      <x:c r="AJ740" s="2"/>
      <x:c r="AK740" s="2" t="s">
        <x:v>396</x:v>
      </x:c>
      <x:c r="AL740" s="2" t="s">
        <x:v>3061</x:v>
      </x:c>
      <x:c r="AM740" s="2">
        <x:v>120</x:v>
      </x:c>
      <x:c r="AN740" s="2">
        <x:v>120</x:v>
      </x:c>
    </x:row>
    <x:row r="741" ht="39">
      <x:c r="A741" s="2" t="s">
        <x:v>6</x:v>
      </x:c>
      <x:c r="B741" s="2" t="s">
        <x:v>17</x:v>
      </x:c>
      <x:c r="C741" s="3">
        <x:v>119</x:v>
      </x:c>
      <x:c r="D741" s="2" t="s">
        <x:v>2337</x:v>
      </x:c>
      <x:c r="E741" s="2" t="s">
        <x:v>2306</x:v>
      </x:c>
      <x:c r="F741" s="2" t="s">
        <x:v>344</x:v>
      </x:c>
      <x:c r="G741" s="2"/>
      <x:c r="H741" s="2" t="s">
        <x:v>2307</x:v>
      </x:c>
      <x:c r="I741" s="2" t="s">
        <x:v>2336</x:v>
      </x:c>
      <x:c r="J741" s="2" t="s">
        <x:v>2317</x:v>
      </x:c>
      <x:c r="K741" s="2" t="n">
        <x:v>118</x:v>
      </x:c>
      <x:c r="L741" s="2" t="s">
        <x:v>2318</x:v>
      </x:c>
      <x:c r="M741" s="2" t="s">
        <x:v>2311</x:v>
      </x:c>
      <x:c r="N741" s="2">
        <x:v>5</x:v>
      </x:c>
      <x:c r="O741" s="2" t="s">
        <x:v>2319</x:v>
      </x:c>
      <x:c r="P741" s="2" t="s">
        <x:v>2320</x:v>
      </x:c>
      <x:c r="Q741" s="2"/>
      <x:c r="R741" s="3">
        <x:v>3</x:v>
      </x:c>
      <x:c r="S741" s="3">
        <x:v>1</x:v>
      </x:c>
      <x:c r="T741" s="2" t="s">
        <x:v>103</x:v>
      </x:c>
      <x:c r="U741" s="2"/>
      <x:c r="V741" s="2"/>
      <x:c r="W741" s="2"/>
      <x:c r="X741" s="3"/>
      <x:c r="Y741" s="3"/>
      <x:c r="Z741" s="2"/>
      <x:c r="AA741" s="2"/>
      <x:c r="AB741" s="2" t="s">
        <x:v>415</x:v>
      </x:c>
      <x:c r="AC741" s="2"/>
      <x:c r="AD741" s="2"/>
      <x:c r="AE741" s="2"/>
      <x:c r="AF741" s="2"/>
      <x:c r="AG741" s="2" t="s">
        <x:v>2314</x:v>
      </x:c>
      <x:c r="AH741" s="2"/>
      <x:c r="AI741" s="4"/>
      <x:c r="AJ741" s="2"/>
      <x:c r="AK741" s="2" t="s">
        <x:v>396</x:v>
      </x:c>
      <x:c r="AL741" s="2" t="s">
        <x:v>3061</x:v>
      </x:c>
      <x:c r="AM741" s="2">
        <x:v>121</x:v>
      </x:c>
      <x:c r="AN741" s="2">
        <x:v>121</x:v>
      </x:c>
    </x:row>
    <x:row r="742" ht="39">
      <x:c r="A742" s="2" t="s">
        <x:v>6</x:v>
      </x:c>
      <x:c r="B742" s="2" t="s">
        <x:v>17</x:v>
      </x:c>
      <x:c r="C742" s="3">
        <x:v>120</x:v>
      </x:c>
      <x:c r="D742" s="2" t="s">
        <x:v>2338</x:v>
      </x:c>
      <x:c r="E742" s="2" t="s">
        <x:v>2339</x:v>
      </x:c>
      <x:c r="F742" s="2" t="s">
        <x:v>344</x:v>
      </x:c>
      <x:c r="G742" s="2"/>
      <x:c r="H742" s="2" t="s">
        <x:v>2307</x:v>
      </x:c>
      <x:c r="I742" s="2" t="s">
        <x:v>2340</x:v>
      </x:c>
      <x:c r="J742" s="2" t="s">
        <x:v>2309</x:v>
      </x:c>
      <x:c r="K742" s="2"/>
      <x:c r="L742" s="2" t="s">
        <x:v>2310</x:v>
      </x:c>
      <x:c r="M742" s="2" t="s">
        <x:v>2311</x:v>
      </x:c>
      <x:c r="N742" s="2">
        <x:v>5</x:v>
      </x:c>
      <x:c r="O742" s="2" t="s">
        <x:v>2312</x:v>
      </x:c>
      <x:c r="P742" s="2" t="s">
        <x:v>2313</x:v>
      </x:c>
      <x:c r="Q742" s="2"/>
      <x:c r="R742" s="3">
        <x:v>4</x:v>
      </x:c>
      <x:c r="S742" s="3">
        <x:v>1</x:v>
      </x:c>
      <x:c r="T742" s="2" t="s">
        <x:v>103</x:v>
      </x:c>
      <x:c r="U742" s="2"/>
      <x:c r="V742" s="2"/>
      <x:c r="W742" s="2"/>
      <x:c r="X742" s="3"/>
      <x:c r="Y742" s="3"/>
      <x:c r="Z742" s="2"/>
      <x:c r="AA742" s="2"/>
      <x:c r="AB742" s="2" t="s">
        <x:v>427</x:v>
      </x:c>
      <x:c r="AC742" s="2"/>
      <x:c r="AD742" s="2"/>
      <x:c r="AE742" s="2"/>
      <x:c r="AF742" s="2"/>
      <x:c r="AG742" s="2" t="s">
        <x:v>2314</x:v>
      </x:c>
      <x:c r="AH742" s="2"/>
      <x:c r="AI742" s="4"/>
      <x:c r="AJ742" s="2"/>
      <x:c r="AK742" s="2" t="s">
        <x:v>396</x:v>
      </x:c>
      <x:c r="AL742" s="2" t="s">
        <x:v>3061</x:v>
      </x:c>
      <x:c r="AM742" s="2">
        <x:v>122</x:v>
      </x:c>
      <x:c r="AN742" s="2">
        <x:v>122</x:v>
      </x:c>
    </x:row>
    <x:row r="743" ht="39">
      <x:c r="A743" s="2" t="s">
        <x:v>91</x:v>
      </x:c>
      <x:c r="B743" s="2" t="s">
        <x:v>17</x:v>
      </x:c>
      <x:c r="C743" s="3">
        <x:v>121</x:v>
      </x:c>
      <x:c r="D743" s="2" t="s">
        <x:v>2341</x:v>
      </x:c>
      <x:c r="E743" s="2" t="s">
        <x:v>2339</x:v>
      </x:c>
      <x:c r="F743" s="2" t="s">
        <x:v>469</x:v>
      </x:c>
      <x:c r="G743" s="2" t="s">
        <x:v>3220</x:v>
      </x:c>
      <x:c r="H743" s="2" t="s">
        <x:v>2307</x:v>
      </x:c>
      <x:c r="I743" s="2" t="s">
        <x:v>2340</x:v>
      </x:c>
      <x:c r="J743" s="2" t="s">
        <x:v>2317</x:v>
      </x:c>
      <x:c r="K743" s="2" t="n">
        <x:v>120</x:v>
      </x:c>
      <x:c r="L743" s="2" t="s">
        <x:v>2318</x:v>
      </x:c>
      <x:c r="M743" s="2" t="s">
        <x:v>2311</x:v>
      </x:c>
      <x:c r="N743" s="2">
        <x:v>5</x:v>
      </x:c>
      <x:c r="O743" s="2" t="s">
        <x:v>2319</x:v>
      </x:c>
      <x:c r="P743" s="2" t="s">
        <x:v>2320</x:v>
      </x:c>
      <x:c r="Q743" s="2"/>
      <x:c r="R743" s="3">
        <x:v>4</x:v>
      </x:c>
      <x:c r="S743" s="3">
        <x:v>1</x:v>
      </x:c>
      <x:c r="T743" s="2" t="s">
        <x:v>103</x:v>
      </x:c>
      <x:c r="U743" s="2"/>
      <x:c r="V743" s="2"/>
      <x:c r="W743" s="2"/>
      <x:c r="X743" s="3"/>
      <x:c r="Y743" s="3"/>
      <x:c r="Z743" s="2"/>
      <x:c r="AA743" s="2"/>
      <x:c r="AB743" s="2" t="s">
        <x:v>415</x:v>
      </x:c>
      <x:c r="AC743" s="2"/>
      <x:c r="AD743" s="2"/>
      <x:c r="AE743" s="2"/>
      <x:c r="AF743" s="2"/>
      <x:c r="AG743" s="2" t="s">
        <x:v>2314</x:v>
      </x:c>
      <x:c r="AH743" s="2"/>
      <x:c r="AI743" s="4"/>
      <x:c r="AJ743" s="2"/>
      <x:c r="AK743" s="2" t="s">
        <x:v>396</x:v>
      </x:c>
      <x:c r="AL743" s="2" t="s">
        <x:v>3061</x:v>
      </x:c>
      <x:c r="AM743" s="2">
        <x:v>123</x:v>
      </x:c>
      <x:c r="AN743" s="2">
        <x:v>123</x:v>
      </x:c>
    </x:row>
    <x:row r="744" ht="39">
      <x:c r="A744" s="2" t="s">
        <x:v>6</x:v>
      </x:c>
      <x:c r="B744" s="2" t="s">
        <x:v>17</x:v>
      </x:c>
      <x:c r="C744" s="3">
        <x:v>122</x:v>
      </x:c>
      <x:c r="D744" s="2" t="s">
        <x:v>2343</x:v>
      </x:c>
      <x:c r="E744" s="2" t="s">
        <x:v>2344</x:v>
      </x:c>
      <x:c r="F744" s="2" t="s">
        <x:v>469</x:v>
      </x:c>
      <x:c r="G744" s="2"/>
      <x:c r="H744" s="2" t="s">
        <x:v>2307</x:v>
      </x:c>
      <x:c r="I744" s="2" t="s">
        <x:v>2346</x:v>
      </x:c>
      <x:c r="J744" s="2" t="s">
        <x:v>2309</x:v>
      </x:c>
      <x:c r="K744" s="2"/>
      <x:c r="L744" s="2" t="s">
        <x:v>2310</x:v>
      </x:c>
      <x:c r="M744" s="2" t="s">
        <x:v>2311</x:v>
      </x:c>
      <x:c r="N744" s="2">
        <x:v>5</x:v>
      </x:c>
      <x:c r="O744" s="2" t="s">
        <x:v>2312</x:v>
      </x:c>
      <x:c r="P744" s="2" t="s">
        <x:v>2313</x:v>
      </x:c>
      <x:c r="Q744" s="2"/>
      <x:c r="R744" s="3">
        <x:v>4</x:v>
      </x:c>
      <x:c r="S744" s="3">
        <x:v>1</x:v>
      </x:c>
      <x:c r="T744" s="2" t="s">
        <x:v>103</x:v>
      </x:c>
      <x:c r="U744" s="2"/>
      <x:c r="V744" s="2"/>
      <x:c r="W744" s="2"/>
      <x:c r="X744" s="3"/>
      <x:c r="Y744" s="3"/>
      <x:c r="Z744" s="2"/>
      <x:c r="AA744" s="2"/>
      <x:c r="AB744" s="2" t="s">
        <x:v>427</x:v>
      </x:c>
      <x:c r="AC744" s="2"/>
      <x:c r="AD744" s="2"/>
      <x:c r="AE744" s="2"/>
      <x:c r="AF744" s="2"/>
      <x:c r="AG744" s="2" t="s">
        <x:v>2314</x:v>
      </x:c>
      <x:c r="AH744" s="2"/>
      <x:c r="AI744" s="4"/>
      <x:c r="AJ744" s="2"/>
      <x:c r="AK744" s="2" t="s">
        <x:v>396</x:v>
      </x:c>
      <x:c r="AL744" s="2" t="s">
        <x:v>3061</x:v>
      </x:c>
      <x:c r="AM744" s="2">
        <x:v>124</x:v>
      </x:c>
      <x:c r="AN744" s="2">
        <x:v>124</x:v>
      </x:c>
    </x:row>
    <x:row r="745" ht="39">
      <x:c r="A745" s="2" t="s">
        <x:v>91</x:v>
      </x:c>
      <x:c r="B745" s="2" t="s">
        <x:v>17</x:v>
      </x:c>
      <x:c r="C745" s="3">
        <x:v>123</x:v>
      </x:c>
      <x:c r="D745" s="2" t="s">
        <x:v>2347</x:v>
      </x:c>
      <x:c r="E745" s="2" t="s">
        <x:v>2344</x:v>
      </x:c>
      <x:c r="F745" s="2" t="s">
        <x:v>344</x:v>
      </x:c>
      <x:c r="G745" s="2" t="s">
        <x:v>2754</x:v>
      </x:c>
      <x:c r="H745" s="2" t="s">
        <x:v>2307</x:v>
      </x:c>
      <x:c r="I745" s="2" t="s">
        <x:v>2346</x:v>
      </x:c>
      <x:c r="J745" s="2" t="s">
        <x:v>2317</x:v>
      </x:c>
      <x:c r="K745" s="2" t="n">
        <x:v>122</x:v>
      </x:c>
      <x:c r="L745" s="2" t="s">
        <x:v>2318</x:v>
      </x:c>
      <x:c r="M745" s="2" t="s">
        <x:v>2311</x:v>
      </x:c>
      <x:c r="N745" s="2">
        <x:v>5</x:v>
      </x:c>
      <x:c r="O745" s="2" t="s">
        <x:v>2319</x:v>
      </x:c>
      <x:c r="P745" s="2" t="s">
        <x:v>2320</x:v>
      </x:c>
      <x:c r="Q745" s="2"/>
      <x:c r="R745" s="3">
        <x:v>4</x:v>
      </x:c>
      <x:c r="S745" s="3">
        <x:v>1</x:v>
      </x:c>
      <x:c r="T745" s="2" t="s">
        <x:v>103</x:v>
      </x:c>
      <x:c r="U745" s="2"/>
      <x:c r="V745" s="2"/>
      <x:c r="W745" s="2"/>
      <x:c r="X745" s="3"/>
      <x:c r="Y745" s="3"/>
      <x:c r="Z745" s="2"/>
      <x:c r="AA745" s="2"/>
      <x:c r="AB745" s="2" t="s">
        <x:v>415</x:v>
      </x:c>
      <x:c r="AC745" s="2"/>
      <x:c r="AD745" s="2"/>
      <x:c r="AE745" s="2"/>
      <x:c r="AF745" s="2"/>
      <x:c r="AG745" s="2" t="s">
        <x:v>2314</x:v>
      </x:c>
      <x:c r="AH745" s="2"/>
      <x:c r="AI745" s="4"/>
      <x:c r="AJ745" s="2"/>
      <x:c r="AK745" s="2" t="s">
        <x:v>396</x:v>
      </x:c>
      <x:c r="AL745" s="2" t="s">
        <x:v>3061</x:v>
      </x:c>
      <x:c r="AM745" s="2">
        <x:v>125</x:v>
      </x:c>
      <x:c r="AN745" s="2">
        <x:v>125</x:v>
      </x:c>
    </x:row>
    <x:row r="746" ht="39">
      <x:c r="A746" s="2" t="s">
        <x:v>6</x:v>
      </x:c>
      <x:c r="B746" s="2" t="s">
        <x:v>17</x:v>
      </x:c>
      <x:c r="C746" s="3">
        <x:v>124</x:v>
      </x:c>
      <x:c r="D746" s="2" t="s">
        <x:v>2348</x:v>
      </x:c>
      <x:c r="E746" s="2" t="s">
        <x:v>2349</x:v>
      </x:c>
      <x:c r="F746" s="2" t="s">
        <x:v>469</x:v>
      </x:c>
      <x:c r="G746" s="2"/>
      <x:c r="H746" s="2" t="s">
        <x:v>2307</x:v>
      </x:c>
      <x:c r="I746" s="2" t="s">
        <x:v>2351</x:v>
      </x:c>
      <x:c r="J746" s="2" t="s">
        <x:v>2352</x:v>
      </x:c>
      <x:c r="K746" s="2"/>
      <x:c r="L746" s="2" t="s">
        <x:v>2353</x:v>
      </x:c>
      <x:c r="M746" s="2" t="s">
        <x:v>2354</x:v>
      </x:c>
      <x:c r="N746" s="2">
        <x:v>5</x:v>
      </x:c>
      <x:c r="O746" s="2" t="s">
        <x:v>2355</x:v>
      </x:c>
      <x:c r="P746" s="2" t="s">
        <x:v>2356</x:v>
      </x:c>
      <x:c r="Q746" s="2"/>
      <x:c r="R746" s="3">
        <x:v>4</x:v>
      </x:c>
      <x:c r="S746" s="3">
        <x:v>1</x:v>
      </x:c>
      <x:c r="T746" s="2" t="s">
        <x:v>103</x:v>
      </x:c>
      <x:c r="U746" s="2"/>
      <x:c r="V746" s="2"/>
      <x:c r="W746" s="2"/>
      <x:c r="X746" s="3"/>
      <x:c r="Y746" s="3"/>
      <x:c r="Z746" s="2"/>
      <x:c r="AA746" s="2"/>
      <x:c r="AB746" s="2" t="s">
        <x:v>394</x:v>
      </x:c>
      <x:c r="AC746" s="2"/>
      <x:c r="AD746" s="2"/>
      <x:c r="AE746" s="2"/>
      <x:c r="AF746" s="2"/>
      <x:c r="AG746" s="2" t="s">
        <x:v>2314</x:v>
      </x:c>
      <x:c r="AH746" s="2"/>
      <x:c r="AI746" s="4"/>
      <x:c r="AJ746" s="2"/>
      <x:c r="AK746" s="2" t="s">
        <x:v>396</x:v>
      </x:c>
      <x:c r="AL746" s="2" t="s">
        <x:v>3061</x:v>
      </x:c>
      <x:c r="AM746" s="2">
        <x:v>126</x:v>
      </x:c>
      <x:c r="AN746" s="2">
        <x:v>126</x:v>
      </x:c>
    </x:row>
    <x:row r="747" ht="39">
      <x:c r="A747" s="2" t="s">
        <x:v>6</x:v>
      </x:c>
      <x:c r="B747" s="2" t="s">
        <x:v>17</x:v>
      </x:c>
      <x:c r="C747" s="3">
        <x:v>125</x:v>
      </x:c>
      <x:c r="D747" s="2" t="s">
        <x:v>2357</x:v>
      </x:c>
      <x:c r="E747" s="2" t="s">
        <x:v>2358</x:v>
      </x:c>
      <x:c r="F747" s="2" t="s">
        <x:v>344</x:v>
      </x:c>
      <x:c r="G747" s="2"/>
      <x:c r="H747" s="2" t="s">
        <x:v>2307</x:v>
      </x:c>
      <x:c r="I747" s="2" t="s">
        <x:v>2359</x:v>
      </x:c>
      <x:c r="J747" s="2" t="s">
        <x:v>2352</x:v>
      </x:c>
      <x:c r="K747" s="2"/>
      <x:c r="L747" s="2" t="s">
        <x:v>2353</x:v>
      </x:c>
      <x:c r="M747" s="2" t="s">
        <x:v>2354</x:v>
      </x:c>
      <x:c r="N747" s="2">
        <x:v>5</x:v>
      </x:c>
      <x:c r="O747" s="2" t="s">
        <x:v>2355</x:v>
      </x:c>
      <x:c r="P747" s="2" t="s">
        <x:v>2356</x:v>
      </x:c>
      <x:c r="Q747" s="2"/>
      <x:c r="R747" s="3">
        <x:v>5</x:v>
      </x:c>
      <x:c r="S747" s="3">
        <x:v>1</x:v>
      </x:c>
      <x:c r="T747" s="2" t="s">
        <x:v>103</x:v>
      </x:c>
      <x:c r="U747" s="2"/>
      <x:c r="V747" s="2"/>
      <x:c r="W747" s="2"/>
      <x:c r="X747" s="3"/>
      <x:c r="Y747" s="3"/>
      <x:c r="Z747" s="2"/>
      <x:c r="AA747" s="2"/>
      <x:c r="AB747" s="2" t="s">
        <x:v>394</x:v>
      </x:c>
      <x:c r="AC747" s="2"/>
      <x:c r="AD747" s="2"/>
      <x:c r="AE747" s="2"/>
      <x:c r="AF747" s="2"/>
      <x:c r="AG747" s="2" t="s">
        <x:v>2314</x:v>
      </x:c>
      <x:c r="AH747" s="2"/>
      <x:c r="AI747" s="4"/>
      <x:c r="AJ747" s="2"/>
      <x:c r="AK747" s="2" t="s">
        <x:v>396</x:v>
      </x:c>
      <x:c r="AL747" s="2" t="s">
        <x:v>3061</x:v>
      </x:c>
      <x:c r="AM747" s="2">
        <x:v>127</x:v>
      </x:c>
      <x:c r="AN747" s="2">
        <x:v>127</x:v>
      </x:c>
    </x:row>
    <x:row r="748" ht="39">
      <x:c r="A748" s="2" t="s">
        <x:v>6</x:v>
      </x:c>
      <x:c r="B748" s="2" t="s">
        <x:v>17</x:v>
      </x:c>
      <x:c r="C748" s="3">
        <x:v>126</x:v>
      </x:c>
      <x:c r="D748" s="2" t="s">
        <x:v>2360</x:v>
      </x:c>
      <x:c r="E748" s="2" t="s">
        <x:v>2361</x:v>
      </x:c>
      <x:c r="F748" s="2" t="s">
        <x:v>469</x:v>
      </x:c>
      <x:c r="G748" s="2"/>
      <x:c r="H748" s="2" t="s">
        <x:v>2307</x:v>
      </x:c>
      <x:c r="I748" s="2" t="s">
        <x:v>2362</x:v>
      </x:c>
      <x:c r="J748" s="2" t="s">
        <x:v>2352</x:v>
      </x:c>
      <x:c r="K748" s="2"/>
      <x:c r="L748" s="2" t="s">
        <x:v>2353</x:v>
      </x:c>
      <x:c r="M748" s="2" t="s">
        <x:v>2354</x:v>
      </x:c>
      <x:c r="N748" s="2">
        <x:v>5</x:v>
      </x:c>
      <x:c r="O748" s="2" t="s">
        <x:v>2355</x:v>
      </x:c>
      <x:c r="P748" s="2" t="s">
        <x:v>2356</x:v>
      </x:c>
      <x:c r="Q748" s="2"/>
      <x:c r="R748" s="3">
        <x:v>5</x:v>
      </x:c>
      <x:c r="S748" s="3">
        <x:v>1</x:v>
      </x:c>
      <x:c r="T748" s="2" t="s">
        <x:v>103</x:v>
      </x:c>
      <x:c r="U748" s="2"/>
      <x:c r="V748" s="2"/>
      <x:c r="W748" s="2"/>
      <x:c r="X748" s="3"/>
      <x:c r="Y748" s="3"/>
      <x:c r="Z748" s="2"/>
      <x:c r="AA748" s="2"/>
      <x:c r="AB748" s="2" t="s">
        <x:v>394</x:v>
      </x:c>
      <x:c r="AC748" s="2"/>
      <x:c r="AD748" s="2"/>
      <x:c r="AE748" s="2"/>
      <x:c r="AF748" s="2"/>
      <x:c r="AG748" s="2" t="s">
        <x:v>2314</x:v>
      </x:c>
      <x:c r="AH748" s="2"/>
      <x:c r="AI748" s="4"/>
      <x:c r="AJ748" s="2"/>
      <x:c r="AK748" s="2" t="s">
        <x:v>396</x:v>
      </x:c>
      <x:c r="AL748" s="2" t="s">
        <x:v>3061</x:v>
      </x:c>
      <x:c r="AM748" s="2">
        <x:v>128</x:v>
      </x:c>
      <x:c r="AN748" s="2">
        <x:v>128</x:v>
      </x:c>
    </x:row>
    <x:row r="749" ht="39">
      <x:c r="A749" s="2" t="s">
        <x:v>91</x:v>
      </x:c>
      <x:c r="B749" s="2" t="s">
        <x:v>17</x:v>
      </x:c>
      <x:c r="C749" s="3">
        <x:v>127</x:v>
      </x:c>
      <x:c r="D749" s="2" t="s">
        <x:v>2363</x:v>
      </x:c>
      <x:c r="E749" s="2" t="s">
        <x:v>2364</x:v>
      </x:c>
      <x:c r="F749" s="2" t="s">
        <x:v>344</x:v>
      </x:c>
      <x:c r="G749" s="2" t="s">
        <x:v>2728</x:v>
      </x:c>
      <x:c r="H749" s="2" t="s">
        <x:v>2307</x:v>
      </x:c>
      <x:c r="I749" s="2" t="s">
        <x:v>2366</x:v>
      </x:c>
      <x:c r="J749" s="2" t="s">
        <x:v>2352</x:v>
      </x:c>
      <x:c r="K749" s="2"/>
      <x:c r="L749" s="2" t="s">
        <x:v>2353</x:v>
      </x:c>
      <x:c r="M749" s="2" t="s">
        <x:v>2354</x:v>
      </x:c>
      <x:c r="N749" s="2">
        <x:v>5</x:v>
      </x:c>
      <x:c r="O749" s="2" t="s">
        <x:v>2355</x:v>
      </x:c>
      <x:c r="P749" s="2" t="s">
        <x:v>2356</x:v>
      </x:c>
      <x:c r="Q749" s="2"/>
      <x:c r="R749" s="3">
        <x:v>4</x:v>
      </x:c>
      <x:c r="S749" s="3">
        <x:v>1</x:v>
      </x:c>
      <x:c r="T749" s="2" t="s">
        <x:v>103</x:v>
      </x:c>
      <x:c r="U749" s="2"/>
      <x:c r="V749" s="2"/>
      <x:c r="W749" s="2"/>
      <x:c r="X749" s="3"/>
      <x:c r="Y749" s="3"/>
      <x:c r="Z749" s="2"/>
      <x:c r="AA749" s="2"/>
      <x:c r="AB749" s="2" t="s">
        <x:v>394</x:v>
      </x:c>
      <x:c r="AC749" s="2"/>
      <x:c r="AD749" s="2"/>
      <x:c r="AE749" s="2"/>
      <x:c r="AF749" s="2"/>
      <x:c r="AG749" s="2" t="s">
        <x:v>2314</x:v>
      </x:c>
      <x:c r="AH749" s="2"/>
      <x:c r="AI749" s="4"/>
      <x:c r="AJ749" s="2"/>
      <x:c r="AK749" s="2" t="s">
        <x:v>396</x:v>
      </x:c>
      <x:c r="AL749" s="2" t="s">
        <x:v>3061</x:v>
      </x:c>
      <x:c r="AM749" s="2">
        <x:v>129</x:v>
      </x:c>
      <x:c r="AN749" s="2">
        <x:v>129</x:v>
      </x:c>
    </x:row>
    <x:row r="750" ht="39">
      <x:c r="A750" s="2" t="s">
        <x:v>6</x:v>
      </x:c>
      <x:c r="B750" s="2" t="s">
        <x:v>17</x:v>
      </x:c>
      <x:c r="C750" s="3">
        <x:v>128</x:v>
      </x:c>
      <x:c r="D750" s="2" t="s">
        <x:v>2367</x:v>
      </x:c>
      <x:c r="E750" s="2" t="s">
        <x:v>2368</x:v>
      </x:c>
      <x:c r="F750" s="2" t="s">
        <x:v>469</x:v>
      </x:c>
      <x:c r="G750" s="2"/>
      <x:c r="H750" s="2" t="s">
        <x:v>2307</x:v>
      </x:c>
      <x:c r="I750" s="2" t="s">
        <x:v>2369</x:v>
      </x:c>
      <x:c r="J750" s="2" t="s">
        <x:v>2352</x:v>
      </x:c>
      <x:c r="K750" s="2"/>
      <x:c r="L750" s="2" t="s">
        <x:v>2353</x:v>
      </x:c>
      <x:c r="M750" s="2" t="s">
        <x:v>2354</x:v>
      </x:c>
      <x:c r="N750" s="2">
        <x:v>5</x:v>
      </x:c>
      <x:c r="O750" s="2" t="s">
        <x:v>2355</x:v>
      </x:c>
      <x:c r="P750" s="2" t="s">
        <x:v>2356</x:v>
      </x:c>
      <x:c r="Q750" s="2"/>
      <x:c r="R750" s="3">
        <x:v>4</x:v>
      </x:c>
      <x:c r="S750" s="3">
        <x:v>1</x:v>
      </x:c>
      <x:c r="T750" s="2" t="s">
        <x:v>103</x:v>
      </x:c>
      <x:c r="U750" s="2"/>
      <x:c r="V750" s="2"/>
      <x:c r="W750" s="2"/>
      <x:c r="X750" s="3"/>
      <x:c r="Y750" s="3"/>
      <x:c r="Z750" s="2"/>
      <x:c r="AA750" s="2"/>
      <x:c r="AB750" s="2" t="s">
        <x:v>394</x:v>
      </x:c>
      <x:c r="AC750" s="2"/>
      <x:c r="AD750" s="2"/>
      <x:c r="AE750" s="2"/>
      <x:c r="AF750" s="2"/>
      <x:c r="AG750" s="2" t="s">
        <x:v>2314</x:v>
      </x:c>
      <x:c r="AH750" s="2"/>
      <x:c r="AI750" s="4"/>
      <x:c r="AJ750" s="2"/>
      <x:c r="AK750" s="2" t="s">
        <x:v>396</x:v>
      </x:c>
      <x:c r="AL750" s="2" t="s">
        <x:v>3061</x:v>
      </x:c>
      <x:c r="AM750" s="2">
        <x:v>130</x:v>
      </x:c>
      <x:c r="AN750" s="2">
        <x:v>130</x:v>
      </x:c>
    </x:row>
    <x:row r="751" ht="39">
      <x:c r="A751" s="2" t="s">
        <x:v>91</x:v>
      </x:c>
      <x:c r="B751" s="2" t="s">
        <x:v>17</x:v>
      </x:c>
      <x:c r="C751" s="3">
        <x:v>129</x:v>
      </x:c>
      <x:c r="D751" s="2" t="s">
        <x:v>2370</x:v>
      </x:c>
      <x:c r="E751" s="2" t="s">
        <x:v>2371</x:v>
      </x:c>
      <x:c r="F751" s="2" t="s">
        <x:v>344</x:v>
      </x:c>
      <x:c r="G751" s="2" t="s">
        <x:v>3221</x:v>
      </x:c>
      <x:c r="H751" s="2" t="s">
        <x:v>2307</x:v>
      </x:c>
      <x:c r="I751" s="2" t="s">
        <x:v>2372</x:v>
      </x:c>
      <x:c r="J751" s="2" t="s">
        <x:v>2352</x:v>
      </x:c>
      <x:c r="K751" s="2"/>
      <x:c r="L751" s="2" t="s">
        <x:v>2353</x:v>
      </x:c>
      <x:c r="M751" s="2" t="s">
        <x:v>2354</x:v>
      </x:c>
      <x:c r="N751" s="2">
        <x:v>5</x:v>
      </x:c>
      <x:c r="O751" s="2" t="s">
        <x:v>2355</x:v>
      </x:c>
      <x:c r="P751" s="2" t="s">
        <x:v>2356</x:v>
      </x:c>
      <x:c r="Q751" s="2"/>
      <x:c r="R751" s="3">
        <x:v>5</x:v>
      </x:c>
      <x:c r="S751" s="3">
        <x:v>1</x:v>
      </x:c>
      <x:c r="T751" s="2" t="s">
        <x:v>103</x:v>
      </x:c>
      <x:c r="U751" s="2"/>
      <x:c r="V751" s="2"/>
      <x:c r="W751" s="2"/>
      <x:c r="X751" s="3"/>
      <x:c r="Y751" s="3"/>
      <x:c r="Z751" s="2"/>
      <x:c r="AA751" s="2"/>
      <x:c r="AB751" s="2" t="s">
        <x:v>394</x:v>
      </x:c>
      <x:c r="AC751" s="2"/>
      <x:c r="AD751" s="2"/>
      <x:c r="AE751" s="2"/>
      <x:c r="AF751" s="2"/>
      <x:c r="AG751" s="2" t="s">
        <x:v>2314</x:v>
      </x:c>
      <x:c r="AH751" s="2"/>
      <x:c r="AI751" s="4"/>
      <x:c r="AJ751" s="2"/>
      <x:c r="AK751" s="2" t="s">
        <x:v>396</x:v>
      </x:c>
      <x:c r="AL751" s="2" t="s">
        <x:v>3061</x:v>
      </x:c>
      <x:c r="AM751" s="2">
        <x:v>131</x:v>
      </x:c>
      <x:c r="AN751" s="2">
        <x:v>131</x:v>
      </x:c>
    </x:row>
    <x:row r="752" ht="52">
      <x:c r="A752" s="2" t="s">
        <x:v>91</x:v>
      </x:c>
      <x:c r="B752" s="2" t="s">
        <x:v>17</x:v>
      </x:c>
      <x:c r="C752" s="3">
        <x:v>130</x:v>
      </x:c>
      <x:c r="D752" s="2" t="s">
        <x:v>2373</x:v>
      </x:c>
      <x:c r="E752" s="2" t="s">
        <x:v>2374</x:v>
      </x:c>
      <x:c r="F752" s="2" t="s">
        <x:v>2375</x:v>
      </x:c>
      <x:c r="G752" s="2" t="s">
        <x:v>3222</x:v>
      </x:c>
      <x:c r="H752" s="2" t="s">
        <x:v>2377</x:v>
      </x:c>
      <x:c r="I752" s="2" t="s">
        <x:v>2378</x:v>
      </x:c>
      <x:c r="J752" s="2" t="s">
        <x:v>2379</x:v>
      </x:c>
      <x:c r="K752" s="2"/>
      <x:c r="L752" s="2" t="s">
        <x:v>390</x:v>
      </x:c>
      <x:c r="M752" s="2" t="s">
        <x:v>2380</x:v>
      </x:c>
      <x:c r="N752" s="2">
        <x:v>6</x:v>
      </x:c>
      <x:c r="O752" s="2" t="s">
        <x:v>2381</x:v>
      </x:c>
      <x:c r="P752" s="2" t="s">
        <x:v>2382</x:v>
      </x:c>
      <x:c r="Q752" s="2"/>
      <x:c r="R752" s="3">
        <x:v>4</x:v>
      </x:c>
      <x:c r="S752" s="3">
        <x:v>0</x:v>
      </x:c>
      <x:c r="T752" s="2" t="s">
        <x:v>103</x:v>
      </x:c>
      <x:c r="U752" s="2"/>
      <x:c r="V752" s="2"/>
      <x:c r="W752" s="2"/>
      <x:c r="X752" s="3"/>
      <x:c r="Y752" s="3"/>
      <x:c r="Z752" s="2"/>
      <x:c r="AA752" s="2"/>
      <x:c r="AB752" s="2" t="s">
        <x:v>394</x:v>
      </x:c>
      <x:c r="AC752" s="2"/>
      <x:c r="AD752" s="2"/>
      <x:c r="AE752" s="2"/>
      <x:c r="AF752" s="2"/>
      <x:c r="AG752" s="2" t="s">
        <x:v>395</x:v>
      </x:c>
      <x:c r="AH752" s="2"/>
      <x:c r="AI752" s="4"/>
      <x:c r="AJ752" s="2"/>
      <x:c r="AK752" s="2" t="s">
        <x:v>396</x:v>
      </x:c>
      <x:c r="AL752" s="2" t="s">
        <x:v>3061</x:v>
      </x:c>
      <x:c r="AM752" s="2">
        <x:v>132</x:v>
      </x:c>
      <x:c r="AN752" s="2">
        <x:v>132</x:v>
      </x:c>
    </x:row>
    <x:row r="753" ht="52">
      <x:c r="A753" s="2" t="s">
        <x:v>91</x:v>
      </x:c>
      <x:c r="B753" s="2" t="s">
        <x:v>17</x:v>
      </x:c>
      <x:c r="C753" s="3">
        <x:v>131</x:v>
      </x:c>
      <x:c r="D753" s="2" t="s">
        <x:v>2383</x:v>
      </x:c>
      <x:c r="E753" s="2" t="s">
        <x:v>2384</x:v>
      </x:c>
      <x:c r="F753" s="2" t="s">
        <x:v>2385</x:v>
      </x:c>
      <x:c r="G753" s="2" t="s">
        <x:v>2031</x:v>
      </x:c>
      <x:c r="H753" s="2" t="s">
        <x:v>2377</x:v>
      </x:c>
      <x:c r="I753" s="2" t="s">
        <x:v>2387</x:v>
      </x:c>
      <x:c r="J753" s="2" t="s">
        <x:v>2379</x:v>
      </x:c>
      <x:c r="K753" s="2"/>
      <x:c r="L753" s="2" t="s">
        <x:v>426</x:v>
      </x:c>
      <x:c r="M753" s="2" t="s">
        <x:v>2380</x:v>
      </x:c>
      <x:c r="N753" s="2">
        <x:v>6</x:v>
      </x:c>
      <x:c r="O753" s="2" t="s">
        <x:v>2381</x:v>
      </x:c>
      <x:c r="P753" s="2" t="s">
        <x:v>2382</x:v>
      </x:c>
      <x:c r="Q753" s="2"/>
      <x:c r="R753" s="3">
        <x:v>3</x:v>
      </x:c>
      <x:c r="S753" s="3">
        <x:v>0</x:v>
      </x:c>
      <x:c r="T753" s="2" t="s">
        <x:v>103</x:v>
      </x:c>
      <x:c r="U753" s="2"/>
      <x:c r="V753" s="2"/>
      <x:c r="W753" s="2"/>
      <x:c r="X753" s="3"/>
      <x:c r="Y753" s="3"/>
      <x:c r="Z753" s="2"/>
      <x:c r="AA753" s="2"/>
      <x:c r="AB753" s="2" t="s">
        <x:v>427</x:v>
      </x:c>
      <x:c r="AC753" s="2"/>
      <x:c r="AD753" s="2"/>
      <x:c r="AE753" s="2"/>
      <x:c r="AF753" s="2"/>
      <x:c r="AG753" s="2" t="s">
        <x:v>428</x:v>
      </x:c>
      <x:c r="AH753" s="2"/>
      <x:c r="AI753" s="4"/>
      <x:c r="AJ753" s="2"/>
      <x:c r="AK753" s="2" t="s">
        <x:v>396</x:v>
      </x:c>
      <x:c r="AL753" s="2" t="s">
        <x:v>3061</x:v>
      </x:c>
      <x:c r="AM753" s="2">
        <x:v>133</x:v>
      </x:c>
      <x:c r="AN753" s="2">
        <x:v>133</x:v>
      </x:c>
    </x:row>
    <x:row r="754" ht="52">
      <x:c r="A754" s="2" t="s">
        <x:v>91</x:v>
      </x:c>
      <x:c r="B754" s="2" t="s">
        <x:v>17</x:v>
      </x:c>
      <x:c r="C754" s="3">
        <x:v>132</x:v>
      </x:c>
      <x:c r="D754" s="2" t="s">
        <x:v>2032</x:v>
      </x:c>
      <x:c r="E754" s="2" t="s">
        <x:v>2388</x:v>
      </x:c>
      <x:c r="F754" s="2" t="s">
        <x:v>2389</x:v>
      </x:c>
      <x:c r="G754" s="2" t="s">
        <x:v>2435</x:v>
      </x:c>
      <x:c r="H754" s="2" t="s">
        <x:v>2377</x:v>
      </x:c>
      <x:c r="I754" s="2" t="s">
        <x:v>2391</x:v>
      </x:c>
      <x:c r="J754" s="2" t="s">
        <x:v>2379</x:v>
      </x:c>
      <x:c r="K754" s="2"/>
      <x:c r="L754" s="2" t="s">
        <x:v>2040</x:v>
      </x:c>
      <x:c r="M754" s="2" t="s">
        <x:v>2380</x:v>
      </x:c>
      <x:c r="N754" s="2">
        <x:v>6</x:v>
      </x:c>
      <x:c r="O754" s="2" t="s">
        <x:v>2381</x:v>
      </x:c>
      <x:c r="P754" s="2" t="s">
        <x:v>2382</x:v>
      </x:c>
      <x:c r="Q754" s="2"/>
      <x:c r="R754" s="3">
        <x:v>4</x:v>
      </x:c>
      <x:c r="S754" s="3">
        <x:v>0</x:v>
      </x:c>
      <x:c r="T754" s="2" t="s">
        <x:v>103</x:v>
      </x:c>
      <x:c r="U754" s="2"/>
      <x:c r="V754" s="2"/>
      <x:c r="W754" s="2"/>
      <x:c r="X754" s="3"/>
      <x:c r="Y754" s="3"/>
      <x:c r="Z754" s="2"/>
      <x:c r="AA754" s="2"/>
      <x:c r="AB754" s="2" t="s">
        <x:v>427</x:v>
      </x:c>
      <x:c r="AC754" s="2"/>
      <x:c r="AD754" s="2"/>
      <x:c r="AE754" s="2"/>
      <x:c r="AF754" s="2"/>
      <x:c r="AG754" s="2" t="s">
        <x:v>2036</x:v>
      </x:c>
      <x:c r="AH754" s="2"/>
      <x:c r="AI754" s="4"/>
      <x:c r="AJ754" s="2"/>
      <x:c r="AK754" s="2" t="s">
        <x:v>396</x:v>
      </x:c>
      <x:c r="AL754" s="2" t="s">
        <x:v>3061</x:v>
      </x:c>
      <x:c r="AM754" s="2">
        <x:v>134</x:v>
      </x:c>
      <x:c r="AN754" s="2">
        <x:v>134</x:v>
      </x:c>
    </x:row>
    <x:row r="755" ht="52">
      <x:c r="A755" s="2" t="s">
        <x:v>91</x:v>
      </x:c>
      <x:c r="B755" s="2" t="s">
        <x:v>17</x:v>
      </x:c>
      <x:c r="C755" s="3">
        <x:v>133</x:v>
      </x:c>
      <x:c r="D755" s="2" t="s">
        <x:v>2069</x:v>
      </x:c>
      <x:c r="E755" s="2" t="s">
        <x:v>2392</x:v>
      </x:c>
      <x:c r="F755" s="2" t="s">
        <x:v>2393</x:v>
      </x:c>
      <x:c r="G755" s="2" t="s">
        <x:v>2028</x:v>
      </x:c>
      <x:c r="H755" s="2" t="s">
        <x:v>2377</x:v>
      </x:c>
      <x:c r="I755" s="2" t="s">
        <x:v>2395</x:v>
      </x:c>
      <x:c r="J755" s="2" t="s">
        <x:v>2379</x:v>
      </x:c>
      <x:c r="K755" s="2"/>
      <x:c r="L755" s="2" t="s">
        <x:v>2068</x:v>
      </x:c>
      <x:c r="M755" s="2" t="s">
        <x:v>2380</x:v>
      </x:c>
      <x:c r="N755" s="2">
        <x:v>6</x:v>
      </x:c>
      <x:c r="O755" s="2" t="s">
        <x:v>2381</x:v>
      </x:c>
      <x:c r="P755" s="2" t="s">
        <x:v>2382</x:v>
      </x:c>
      <x:c r="Q755" s="2"/>
      <x:c r="R755" s="3">
        <x:v>3</x:v>
      </x:c>
      <x:c r="S755" s="3">
        <x:v>0</x:v>
      </x:c>
      <x:c r="T755" s="2" t="s">
        <x:v>103</x:v>
      </x:c>
      <x:c r="U755" s="2"/>
      <x:c r="V755" s="2"/>
      <x:c r="W755" s="2"/>
      <x:c r="X755" s="3"/>
      <x:c r="Y755" s="3"/>
      <x:c r="Z755" s="2"/>
      <x:c r="AA755" s="2"/>
      <x:c r="AB755" s="2" t="s">
        <x:v>415</x:v>
      </x:c>
      <x:c r="AC755" s="2"/>
      <x:c r="AD755" s="2"/>
      <x:c r="AE755" s="2"/>
      <x:c r="AF755" s="2"/>
      <x:c r="AG755" s="2" t="s">
        <x:v>2060</x:v>
      </x:c>
      <x:c r="AH755" s="2"/>
      <x:c r="AI755" s="4"/>
      <x:c r="AJ755" s="2"/>
      <x:c r="AK755" s="2" t="s">
        <x:v>396</x:v>
      </x:c>
      <x:c r="AL755" s="2" t="s">
        <x:v>3061</x:v>
      </x:c>
      <x:c r="AM755" s="2">
        <x:v>135</x:v>
      </x:c>
      <x:c r="AN755" s="2">
        <x:v>135</x:v>
      </x:c>
    </x:row>
    <x:row r="756" ht="52">
      <x:c r="A756" s="2" t="s">
        <x:v>91</x:v>
      </x:c>
      <x:c r="B756" s="2" t="s">
        <x:v>17</x:v>
      </x:c>
      <x:c r="C756" s="3">
        <x:v>134</x:v>
      </x:c>
      <x:c r="D756" s="2" t="s">
        <x:v>2396</x:v>
      </x:c>
      <x:c r="E756" s="2" t="s">
        <x:v>2397</x:v>
      </x:c>
      <x:c r="F756" s="2" t="s">
        <x:v>2375</x:v>
      </x:c>
      <x:c r="G756" s="2" t="s">
        <x:v>3223</x:v>
      </x:c>
      <x:c r="H756" s="2" t="s">
        <x:v>2377</x:v>
      </x:c>
      <x:c r="I756" s="2" t="s">
        <x:v>2399</x:v>
      </x:c>
      <x:c r="J756" s="2" t="s">
        <x:v>2379</x:v>
      </x:c>
      <x:c r="K756" s="2"/>
      <x:c r="L756" s="2" t="s">
        <x:v>413</x:v>
      </x:c>
      <x:c r="M756" s="2" t="s">
        <x:v>2380</x:v>
      </x:c>
      <x:c r="N756" s="2">
        <x:v>6</x:v>
      </x:c>
      <x:c r="O756" s="2" t="s">
        <x:v>2381</x:v>
      </x:c>
      <x:c r="P756" s="2" t="s">
        <x:v>2382</x:v>
      </x:c>
      <x:c r="Q756" s="2"/>
      <x:c r="R756" s="3">
        <x:v>4</x:v>
      </x:c>
      <x:c r="S756" s="3">
        <x:v>0</x:v>
      </x:c>
      <x:c r="T756" s="2" t="s">
        <x:v>103</x:v>
      </x:c>
      <x:c r="U756" s="2"/>
      <x:c r="V756" s="2"/>
      <x:c r="W756" s="2"/>
      <x:c r="X756" s="3"/>
      <x:c r="Y756" s="3"/>
      <x:c r="Z756" s="2"/>
      <x:c r="AA756" s="2"/>
      <x:c r="AB756" s="2" t="s">
        <x:v>415</x:v>
      </x:c>
      <x:c r="AC756" s="2"/>
      <x:c r="AD756" s="2"/>
      <x:c r="AE756" s="2"/>
      <x:c r="AF756" s="2"/>
      <x:c r="AG756" s="2" t="s">
        <x:v>395</x:v>
      </x:c>
      <x:c r="AH756" s="2"/>
      <x:c r="AI756" s="4"/>
      <x:c r="AJ756" s="2"/>
      <x:c r="AK756" s="2" t="s">
        <x:v>396</x:v>
      </x:c>
      <x:c r="AL756" s="2" t="s">
        <x:v>3061</x:v>
      </x:c>
      <x:c r="AM756" s="2">
        <x:v>136</x:v>
      </x:c>
      <x:c r="AN756" s="2">
        <x:v>136</x:v>
      </x:c>
    </x:row>
    <x:row r="757" ht="52">
      <x:c r="A757" s="2" t="s">
        <x:v>91</x:v>
      </x:c>
      <x:c r="B757" s="2" t="s">
        <x:v>17</x:v>
      </x:c>
      <x:c r="C757" s="3">
        <x:v>135</x:v>
      </x:c>
      <x:c r="D757" s="2" t="s">
        <x:v>2400</x:v>
      </x:c>
      <x:c r="E757" s="2" t="s">
        <x:v>2401</x:v>
      </x:c>
      <x:c r="F757" s="2" t="s">
        <x:v>2385</x:v>
      </x:c>
      <x:c r="G757" s="2" t="s">
        <x:v>1290</x:v>
      </x:c>
      <x:c r="H757" s="2" t="s">
        <x:v>2377</x:v>
      </x:c>
      <x:c r="I757" s="2" t="s">
        <x:v>2403</x:v>
      </x:c>
      <x:c r="J757" s="2" t="s">
        <x:v>2379</x:v>
      </x:c>
      <x:c r="K757" s="2"/>
      <x:c r="L757" s="2" t="s">
        <x:v>448</x:v>
      </x:c>
      <x:c r="M757" s="2" t="s">
        <x:v>2380</x:v>
      </x:c>
      <x:c r="N757" s="2">
        <x:v>6</x:v>
      </x:c>
      <x:c r="O757" s="2" t="s">
        <x:v>2381</x:v>
      </x:c>
      <x:c r="P757" s="2" t="s">
        <x:v>2382</x:v>
      </x:c>
      <x:c r="Q757" s="2"/>
      <x:c r="R757" s="3">
        <x:v>3</x:v>
      </x:c>
      <x:c r="S757" s="3">
        <x:v>0</x:v>
      </x:c>
      <x:c r="T757" s="2" t="s">
        <x:v>103</x:v>
      </x:c>
      <x:c r="U757" s="2"/>
      <x:c r="V757" s="2"/>
      <x:c r="W757" s="2"/>
      <x:c r="X757" s="3"/>
      <x:c r="Y757" s="3"/>
      <x:c r="Z757" s="2"/>
      <x:c r="AA757" s="2"/>
      <x:c r="AB757" s="2" t="s">
        <x:v>415</x:v>
      </x:c>
      <x:c r="AC757" s="2"/>
      <x:c r="AD757" s="2"/>
      <x:c r="AE757" s="2"/>
      <x:c r="AF757" s="2"/>
      <x:c r="AG757" s="2" t="s">
        <x:v>428</x:v>
      </x:c>
      <x:c r="AH757" s="2"/>
      <x:c r="AI757" s="4"/>
      <x:c r="AJ757" s="2"/>
      <x:c r="AK757" s="2" t="s">
        <x:v>396</x:v>
      </x:c>
      <x:c r="AL757" s="2" t="s">
        <x:v>3061</x:v>
      </x:c>
      <x:c r="AM757" s="2">
        <x:v>137</x:v>
      </x:c>
      <x:c r="AN757" s="2">
        <x:v>137</x:v>
      </x:c>
    </x:row>
    <x:row r="758" ht="52">
      <x:c r="A758" s="2" t="s">
        <x:v>91</x:v>
      </x:c>
      <x:c r="B758" s="2" t="s">
        <x:v>17</x:v>
      </x:c>
      <x:c r="C758" s="3">
        <x:v>136</x:v>
      </x:c>
      <x:c r="D758" s="2" t="s">
        <x:v>2404</x:v>
      </x:c>
      <x:c r="E758" s="2" t="s">
        <x:v>2405</x:v>
      </x:c>
      <x:c r="F758" s="2" t="s">
        <x:v>2389</x:v>
      </x:c>
      <x:c r="G758" s="2" t="s">
        <x:v>3224</x:v>
      </x:c>
      <x:c r="H758" s="2" t="s">
        <x:v>2377</x:v>
      </x:c>
      <x:c r="I758" s="2" t="s">
        <x:v>2406</x:v>
      </x:c>
      <x:c r="J758" s="2" t="s">
        <x:v>2379</x:v>
      </x:c>
      <x:c r="K758" s="2"/>
      <x:c r="L758" s="2" t="s">
        <x:v>2407</x:v>
      </x:c>
      <x:c r="M758" s="2" t="s">
        <x:v>2380</x:v>
      </x:c>
      <x:c r="N758" s="2">
        <x:v>6</x:v>
      </x:c>
      <x:c r="O758" s="2" t="s">
        <x:v>2381</x:v>
      </x:c>
      <x:c r="P758" s="2" t="s">
        <x:v>2382</x:v>
      </x:c>
      <x:c r="Q758" s="2"/>
      <x:c r="R758" s="3">
        <x:v>5</x:v>
      </x:c>
      <x:c r="S758" s="3">
        <x:v>0</x:v>
      </x:c>
      <x:c r="T758" s="2" t="s">
        <x:v>103</x:v>
      </x:c>
      <x:c r="U758" s="2"/>
      <x:c r="V758" s="2"/>
      <x:c r="W758" s="2"/>
      <x:c r="X758" s="3"/>
      <x:c r="Y758" s="3"/>
      <x:c r="Z758" s="2"/>
      <x:c r="AA758" s="2"/>
      <x:c r="AB758" s="2" t="s">
        <x:v>394</x:v>
      </x:c>
      <x:c r="AC758" s="2"/>
      <x:c r="AD758" s="2"/>
      <x:c r="AE758" s="2"/>
      <x:c r="AF758" s="2"/>
      <x:c r="AG758" s="2" t="s">
        <x:v>2036</x:v>
      </x:c>
      <x:c r="AH758" s="2"/>
      <x:c r="AI758" s="4"/>
      <x:c r="AJ758" s="2"/>
      <x:c r="AK758" s="2" t="s">
        <x:v>396</x:v>
      </x:c>
      <x:c r="AL758" s="2" t="s">
        <x:v>3061</x:v>
      </x:c>
      <x:c r="AM758" s="2">
        <x:v>138</x:v>
      </x:c>
      <x:c r="AN758" s="2">
        <x:v>138</x:v>
      </x:c>
    </x:row>
    <x:row r="759" ht="52">
      <x:c r="A759" s="2" t="s">
        <x:v>91</x:v>
      </x:c>
      <x:c r="B759" s="2" t="s">
        <x:v>17</x:v>
      </x:c>
      <x:c r="C759" s="3">
        <x:v>137</x:v>
      </x:c>
      <x:c r="D759" s="2" t="s">
        <x:v>2408</x:v>
      </x:c>
      <x:c r="E759" s="2" t="s">
        <x:v>2409</x:v>
      </x:c>
      <x:c r="F759" s="2" t="s">
        <x:v>2393</x:v>
      </x:c>
      <x:c r="G759" s="2" t="s">
        <x:v>2435</x:v>
      </x:c>
      <x:c r="H759" s="2" t="s">
        <x:v>2377</x:v>
      </x:c>
      <x:c r="I759" s="2" t="s">
        <x:v>2410</x:v>
      </x:c>
      <x:c r="J759" s="2" t="s">
        <x:v>2379</x:v>
      </x:c>
      <x:c r="K759" s="2"/>
      <x:c r="L759" s="2" t="s">
        <x:v>2411</x:v>
      </x:c>
      <x:c r="M759" s="2" t="s">
        <x:v>2380</x:v>
      </x:c>
      <x:c r="N759" s="2">
        <x:v>6</x:v>
      </x:c>
      <x:c r="O759" s="2" t="s">
        <x:v>2381</x:v>
      </x:c>
      <x:c r="P759" s="2" t="s">
        <x:v>2382</x:v>
      </x:c>
      <x:c r="Q759" s="2"/>
      <x:c r="R759" s="3">
        <x:v>3</x:v>
      </x:c>
      <x:c r="S759" s="3">
        <x:v>0</x:v>
      </x:c>
      <x:c r="T759" s="2" t="s">
        <x:v>103</x:v>
      </x:c>
      <x:c r="U759" s="2"/>
      <x:c r="V759" s="2"/>
      <x:c r="W759" s="2"/>
      <x:c r="X759" s="3"/>
      <x:c r="Y759" s="3"/>
      <x:c r="Z759" s="2"/>
      <x:c r="AA759" s="2"/>
      <x:c r="AB759" s="2" t="s">
        <x:v>427</x:v>
      </x:c>
      <x:c r="AC759" s="2"/>
      <x:c r="AD759" s="2"/>
      <x:c r="AE759" s="2"/>
      <x:c r="AF759" s="2"/>
      <x:c r="AG759" s="2" t="s">
        <x:v>2060</x:v>
      </x:c>
      <x:c r="AH759" s="2"/>
      <x:c r="AI759" s="4"/>
      <x:c r="AJ759" s="2"/>
      <x:c r="AK759" s="2" t="s">
        <x:v>396</x:v>
      </x:c>
      <x:c r="AL759" s="2" t="s">
        <x:v>3061</x:v>
      </x:c>
      <x:c r="AM759" s="2">
        <x:v>139</x:v>
      </x:c>
      <x:c r="AN759" s="2">
        <x:v>139</x:v>
      </x:c>
    </x:row>
    <x:row r="760" ht="52">
      <x:c r="A760" s="2" t="s">
        <x:v>91</x:v>
      </x:c>
      <x:c r="B760" s="2" t="s">
        <x:v>17</x:v>
      </x:c>
      <x:c r="C760" s="3">
        <x:v>138</x:v>
      </x:c>
      <x:c r="D760" s="2" t="s">
        <x:v>2412</x:v>
      </x:c>
      <x:c r="E760" s="2" t="s">
        <x:v>2413</x:v>
      </x:c>
      <x:c r="F760" s="2" t="s">
        <x:v>2375</x:v>
      </x:c>
      <x:c r="G760" s="2" t="s">
        <x:v>2728</x:v>
      </x:c>
      <x:c r="H760" s="2" t="s">
        <x:v>2377</x:v>
      </x:c>
      <x:c r="I760" s="2" t="s">
        <x:v>2414</x:v>
      </x:c>
      <x:c r="J760" s="2" t="s">
        <x:v>2379</x:v>
      </x:c>
      <x:c r="K760" s="2"/>
      <x:c r="L760" s="2" t="s">
        <x:v>407</x:v>
      </x:c>
      <x:c r="M760" s="2" t="s">
        <x:v>2380</x:v>
      </x:c>
      <x:c r="N760" s="2">
        <x:v>6</x:v>
      </x:c>
      <x:c r="O760" s="2" t="s">
        <x:v>2381</x:v>
      </x:c>
      <x:c r="P760" s="2" t="s">
        <x:v>2382</x:v>
      </x:c>
      <x:c r="Q760" s="2"/>
      <x:c r="R760" s="3">
        <x:v>4</x:v>
      </x:c>
      <x:c r="S760" s="3">
        <x:v>0</x:v>
      </x:c>
      <x:c r="T760" s="2" t="s">
        <x:v>103</x:v>
      </x:c>
      <x:c r="U760" s="2"/>
      <x:c r="V760" s="2"/>
      <x:c r="W760" s="2"/>
      <x:c r="X760" s="3"/>
      <x:c r="Y760" s="3"/>
      <x:c r="Z760" s="2"/>
      <x:c r="AA760" s="2"/>
      <x:c r="AB760" s="2" t="s">
        <x:v>394</x:v>
      </x:c>
      <x:c r="AC760" s="2"/>
      <x:c r="AD760" s="2"/>
      <x:c r="AE760" s="2"/>
      <x:c r="AF760" s="2"/>
      <x:c r="AG760" s="2" t="s">
        <x:v>395</x:v>
      </x:c>
      <x:c r="AH760" s="2"/>
      <x:c r="AI760" s="4"/>
      <x:c r="AJ760" s="2"/>
      <x:c r="AK760" s="2" t="s">
        <x:v>396</x:v>
      </x:c>
      <x:c r="AL760" s="2" t="s">
        <x:v>3061</x:v>
      </x:c>
      <x:c r="AM760" s="2">
        <x:v>140</x:v>
      </x:c>
      <x:c r="AN760" s="2">
        <x:v>140</x:v>
      </x:c>
    </x:row>
    <x:row r="761" ht="52">
      <x:c r="A761" s="2" t="s">
        <x:v>91</x:v>
      </x:c>
      <x:c r="B761" s="2" t="s">
        <x:v>17</x:v>
      </x:c>
      <x:c r="C761" s="3">
        <x:v>139</x:v>
      </x:c>
      <x:c r="D761" s="2" t="s">
        <x:v>2415</x:v>
      </x:c>
      <x:c r="E761" s="2" t="s">
        <x:v>2416</x:v>
      </x:c>
      <x:c r="F761" s="2" t="s">
        <x:v>2385</x:v>
      </x:c>
      <x:c r="G761" s="2" t="s">
        <x:v>2182</x:v>
      </x:c>
      <x:c r="H761" s="2" t="s">
        <x:v>2377</x:v>
      </x:c>
      <x:c r="I761" s="2" t="s">
        <x:v>2417</x:v>
      </x:c>
      <x:c r="J761" s="2" t="s">
        <x:v>2379</x:v>
      </x:c>
      <x:c r="K761" s="2"/>
      <x:c r="L761" s="2" t="s">
        <x:v>434</x:v>
      </x:c>
      <x:c r="M761" s="2" t="s">
        <x:v>2380</x:v>
      </x:c>
      <x:c r="N761" s="2">
        <x:v>6</x:v>
      </x:c>
      <x:c r="O761" s="2" t="s">
        <x:v>2381</x:v>
      </x:c>
      <x:c r="P761" s="2" t="s">
        <x:v>2382</x:v>
      </x:c>
      <x:c r="Q761" s="2"/>
      <x:c r="R761" s="3">
        <x:v>4</x:v>
      </x:c>
      <x:c r="S761" s="3">
        <x:v>0</x:v>
      </x:c>
      <x:c r="T761" s="2" t="s">
        <x:v>103</x:v>
      </x:c>
      <x:c r="U761" s="2"/>
      <x:c r="V761" s="2"/>
      <x:c r="W761" s="2"/>
      <x:c r="X761" s="3"/>
      <x:c r="Y761" s="3"/>
      <x:c r="Z761" s="2"/>
      <x:c r="AA761" s="2"/>
      <x:c r="AB761" s="2" t="s">
        <x:v>427</x:v>
      </x:c>
      <x:c r="AC761" s="2"/>
      <x:c r="AD761" s="2"/>
      <x:c r="AE761" s="2"/>
      <x:c r="AF761" s="2"/>
      <x:c r="AG761" s="2" t="s">
        <x:v>428</x:v>
      </x:c>
      <x:c r="AH761" s="2"/>
      <x:c r="AI761" s="4"/>
      <x:c r="AJ761" s="2"/>
      <x:c r="AK761" s="2" t="s">
        <x:v>396</x:v>
      </x:c>
      <x:c r="AL761" s="2" t="s">
        <x:v>3061</x:v>
      </x:c>
      <x:c r="AM761" s="2">
        <x:v>141</x:v>
      </x:c>
      <x:c r="AN761" s="2">
        <x:v>141</x:v>
      </x:c>
    </x:row>
    <x:row r="762" ht="52">
      <x:c r="A762" s="2" t="s">
        <x:v>91</x:v>
      </x:c>
      <x:c r="B762" s="2" t="s">
        <x:v>17</x:v>
      </x:c>
      <x:c r="C762" s="3">
        <x:v>140</x:v>
      </x:c>
      <x:c r="D762" s="2" t="s">
        <x:v>2418</x:v>
      </x:c>
      <x:c r="E762" s="2" t="s">
        <x:v>2419</x:v>
      </x:c>
      <x:c r="F762" s="2" t="s">
        <x:v>2389</x:v>
      </x:c>
      <x:c r="G762" s="2" t="s">
        <x:v>3224</x:v>
      </x:c>
      <x:c r="H762" s="2" t="s">
        <x:v>2377</x:v>
      </x:c>
      <x:c r="I762" s="2" t="s">
        <x:v>2420</x:v>
      </x:c>
      <x:c r="J762" s="2" t="s">
        <x:v>2379</x:v>
      </x:c>
      <x:c r="K762" s="2"/>
      <x:c r="L762" s="2" t="s">
        <x:v>2421</x:v>
      </x:c>
      <x:c r="M762" s="2" t="s">
        <x:v>2380</x:v>
      </x:c>
      <x:c r="N762" s="2">
        <x:v>6</x:v>
      </x:c>
      <x:c r="O762" s="2" t="s">
        <x:v>2381</x:v>
      </x:c>
      <x:c r="P762" s="2" t="s">
        <x:v>2382</x:v>
      </x:c>
      <x:c r="Q762" s="2"/>
      <x:c r="R762" s="3">
        <x:v>5</x:v>
      </x:c>
      <x:c r="S762" s="3">
        <x:v>0</x:v>
      </x:c>
      <x:c r="T762" s="2" t="s">
        <x:v>103</x:v>
      </x:c>
      <x:c r="U762" s="2"/>
      <x:c r="V762" s="2"/>
      <x:c r="W762" s="2"/>
      <x:c r="X762" s="3"/>
      <x:c r="Y762" s="3"/>
      <x:c r="Z762" s="2"/>
      <x:c r="AA762" s="2"/>
      <x:c r="AB762" s="2" t="s">
        <x:v>394</x:v>
      </x:c>
      <x:c r="AC762" s="2"/>
      <x:c r="AD762" s="2"/>
      <x:c r="AE762" s="2"/>
      <x:c r="AF762" s="2"/>
      <x:c r="AG762" s="2" t="s">
        <x:v>2036</x:v>
      </x:c>
      <x:c r="AH762" s="2"/>
      <x:c r="AI762" s="4"/>
      <x:c r="AJ762" s="2"/>
      <x:c r="AK762" s="2" t="s">
        <x:v>396</x:v>
      </x:c>
      <x:c r="AL762" s="2" t="s">
        <x:v>3061</x:v>
      </x:c>
      <x:c r="AM762" s="2">
        <x:v>142</x:v>
      </x:c>
      <x:c r="AN762" s="2">
        <x:v>142</x:v>
      </x:c>
    </x:row>
    <x:row r="763" ht="52">
      <x:c r="A763" s="2" t="s">
        <x:v>91</x:v>
      </x:c>
      <x:c r="B763" s="2" t="s">
        <x:v>17</x:v>
      </x:c>
      <x:c r="C763" s="3">
        <x:v>141</x:v>
      </x:c>
      <x:c r="D763" s="2" t="s">
        <x:v>2422</x:v>
      </x:c>
      <x:c r="E763" s="2" t="s">
        <x:v>2423</x:v>
      </x:c>
      <x:c r="F763" s="2" t="s">
        <x:v>2393</x:v>
      </x:c>
      <x:c r="G763" s="2" t="s">
        <x:v>3225</x:v>
      </x:c>
      <x:c r="H763" s="2" t="s">
        <x:v>2377</x:v>
      </x:c>
      <x:c r="I763" s="2" t="s">
        <x:v>2425</x:v>
      </x:c>
      <x:c r="J763" s="2" t="s">
        <x:v>2379</x:v>
      </x:c>
      <x:c r="K763" s="2"/>
      <x:c r="L763" s="2" t="s">
        <x:v>2072</x:v>
      </x:c>
      <x:c r="M763" s="2" t="s">
        <x:v>2380</x:v>
      </x:c>
      <x:c r="N763" s="2">
        <x:v>6</x:v>
      </x:c>
      <x:c r="O763" s="2" t="s">
        <x:v>2381</x:v>
      </x:c>
      <x:c r="P763" s="2" t="s">
        <x:v>2382</x:v>
      </x:c>
      <x:c r="Q763" s="2"/>
      <x:c r="R763" s="3">
        <x:v>4</x:v>
      </x:c>
      <x:c r="S763" s="3">
        <x:v>0</x:v>
      </x:c>
      <x:c r="T763" s="2" t="s">
        <x:v>103</x:v>
      </x:c>
      <x:c r="U763" s="2"/>
      <x:c r="V763" s="2"/>
      <x:c r="W763" s="2"/>
      <x:c r="X763" s="3"/>
      <x:c r="Y763" s="3"/>
      <x:c r="Z763" s="2"/>
      <x:c r="AA763" s="2"/>
      <x:c r="AB763" s="2" t="s">
        <x:v>415</x:v>
      </x:c>
      <x:c r="AC763" s="2"/>
      <x:c r="AD763" s="2"/>
      <x:c r="AE763" s="2"/>
      <x:c r="AF763" s="2"/>
      <x:c r="AG763" s="2" t="s">
        <x:v>2060</x:v>
      </x:c>
      <x:c r="AH763" s="2"/>
      <x:c r="AI763" s="4"/>
      <x:c r="AJ763" s="2"/>
      <x:c r="AK763" s="2" t="s">
        <x:v>396</x:v>
      </x:c>
      <x:c r="AL763" s="2" t="s">
        <x:v>3061</x:v>
      </x:c>
      <x:c r="AM763" s="2">
        <x:v>143</x:v>
      </x:c>
      <x:c r="AN763" s="2">
        <x:v>143</x:v>
      </x:c>
    </x:row>
    <x:row r="764" ht="52">
      <x:c r="A764" s="2" t="s">
        <x:v>91</x:v>
      </x:c>
      <x:c r="B764" s="2" t="s">
        <x:v>17</x:v>
      </x:c>
      <x:c r="C764" s="3">
        <x:v>142</x:v>
      </x:c>
      <x:c r="D764" s="2" t="s">
        <x:v>2426</x:v>
      </x:c>
      <x:c r="E764" s="2" t="s">
        <x:v>2074</x:v>
      </x:c>
      <x:c r="F764" s="2" t="s">
        <x:v>2375</x:v>
      </x:c>
      <x:c r="G764" s="2" t="s">
        <x:v>1280</x:v>
      </x:c>
      <x:c r="H764" s="2" t="s">
        <x:v>2377</x:v>
      </x:c>
      <x:c r="I764" s="2" t="s">
        <x:v>2428</x:v>
      </x:c>
      <x:c r="J764" s="2" t="s">
        <x:v>2379</x:v>
      </x:c>
      <x:c r="K764" s="2"/>
      <x:c r="L764" s="2" t="s">
        <x:v>420</x:v>
      </x:c>
      <x:c r="M764" s="2" t="s">
        <x:v>2380</x:v>
      </x:c>
      <x:c r="N764" s="2">
        <x:v>6</x:v>
      </x:c>
      <x:c r="O764" s="2" t="s">
        <x:v>2381</x:v>
      </x:c>
      <x:c r="P764" s="2" t="s">
        <x:v>2382</x:v>
      </x:c>
      <x:c r="Q764" s="2"/>
      <x:c r="R764" s="3">
        <x:v>3</x:v>
      </x:c>
      <x:c r="S764" s="3">
        <x:v>0</x:v>
      </x:c>
      <x:c r="T764" s="2" t="s">
        <x:v>103</x:v>
      </x:c>
      <x:c r="U764" s="2"/>
      <x:c r="V764" s="2"/>
      <x:c r="W764" s="2"/>
      <x:c r="X764" s="3"/>
      <x:c r="Y764" s="3"/>
      <x:c r="Z764" s="2"/>
      <x:c r="AA764" s="2"/>
      <x:c r="AB764" s="2" t="s">
        <x:v>415</x:v>
      </x:c>
      <x:c r="AC764" s="2"/>
      <x:c r="AD764" s="2"/>
      <x:c r="AE764" s="2"/>
      <x:c r="AF764" s="2"/>
      <x:c r="AG764" s="2" t="s">
        <x:v>395</x:v>
      </x:c>
      <x:c r="AH764" s="2"/>
      <x:c r="AI764" s="4"/>
      <x:c r="AJ764" s="2"/>
      <x:c r="AK764" s="2" t="s">
        <x:v>396</x:v>
      </x:c>
      <x:c r="AL764" s="2" t="s">
        <x:v>3061</x:v>
      </x:c>
      <x:c r="AM764" s="2">
        <x:v>144</x:v>
      </x:c>
      <x:c r="AN764" s="2">
        <x:v>144</x:v>
      </x:c>
    </x:row>
    <x:row r="765" ht="52">
      <x:c r="A765" s="2" t="s">
        <x:v>91</x:v>
      </x:c>
      <x:c r="B765" s="2" t="s">
        <x:v>17</x:v>
      </x:c>
      <x:c r="C765" s="3">
        <x:v>143</x:v>
      </x:c>
      <x:c r="D765" s="2" t="s">
        <x:v>2429</x:v>
      </x:c>
      <x:c r="E765" s="2" t="s">
        <x:v>2430</x:v>
      </x:c>
      <x:c r="F765" s="2" t="s">
        <x:v>2385</x:v>
      </x:c>
      <x:c r="G765" s="2" t="s">
        <x:v>3226</x:v>
      </x:c>
      <x:c r="H765" s="2" t="s">
        <x:v>2377</x:v>
      </x:c>
      <x:c r="I765" s="2" t="s">
        <x:v>2432</x:v>
      </x:c>
      <x:c r="J765" s="2" t="s">
        <x:v>2379</x:v>
      </x:c>
      <x:c r="K765" s="2"/>
      <x:c r="L765" s="2" t="s">
        <x:v>439</x:v>
      </x:c>
      <x:c r="M765" s="2" t="s">
        <x:v>2380</x:v>
      </x:c>
      <x:c r="N765" s="2">
        <x:v>6</x:v>
      </x:c>
      <x:c r="O765" s="2" t="s">
        <x:v>2381</x:v>
      </x:c>
      <x:c r="P765" s="2" t="s">
        <x:v>2382</x:v>
      </x:c>
      <x:c r="Q765" s="2"/>
      <x:c r="R765" s="3">
        <x:v>3</x:v>
      </x:c>
      <x:c r="S765" s="3">
        <x:v>0</x:v>
      </x:c>
      <x:c r="T765" s="2" t="s">
        <x:v>103</x:v>
      </x:c>
      <x:c r="U765" s="2"/>
      <x:c r="V765" s="2"/>
      <x:c r="W765" s="2"/>
      <x:c r="X765" s="3"/>
      <x:c r="Y765" s="3"/>
      <x:c r="Z765" s="2"/>
      <x:c r="AA765" s="2"/>
      <x:c r="AB765" s="2" t="s">
        <x:v>427</x:v>
      </x:c>
      <x:c r="AC765" s="2"/>
      <x:c r="AD765" s="2"/>
      <x:c r="AE765" s="2"/>
      <x:c r="AF765" s="2"/>
      <x:c r="AG765" s="2" t="s">
        <x:v>428</x:v>
      </x:c>
      <x:c r="AH765" s="2"/>
      <x:c r="AI765" s="4"/>
      <x:c r="AJ765" s="2"/>
      <x:c r="AK765" s="2" t="s">
        <x:v>396</x:v>
      </x:c>
      <x:c r="AL765" s="2" t="s">
        <x:v>3061</x:v>
      </x:c>
      <x:c r="AM765" s="2">
        <x:v>145</x:v>
      </x:c>
      <x:c r="AN765" s="2">
        <x:v>145</x:v>
      </x:c>
    </x:row>
    <x:row r="766" ht="52">
      <x:c r="A766" s="2" t="s">
        <x:v>91</x:v>
      </x:c>
      <x:c r="B766" s="2" t="s">
        <x:v>17</x:v>
      </x:c>
      <x:c r="C766" s="3">
        <x:v>144</x:v>
      </x:c>
      <x:c r="D766" s="2" t="s">
        <x:v>2433</x:v>
      </x:c>
      <x:c r="E766" s="2" t="s">
        <x:v>2434</x:v>
      </x:c>
      <x:c r="F766" s="2" t="s">
        <x:v>2389</x:v>
      </x:c>
      <x:c r="G766" s="2" t="s">
        <x:v>2326</x:v>
      </x:c>
      <x:c r="H766" s="2" t="s">
        <x:v>2377</x:v>
      </x:c>
      <x:c r="I766" s="2" t="s">
        <x:v>2436</x:v>
      </x:c>
      <x:c r="J766" s="2" t="s">
        <x:v>2379</x:v>
      </x:c>
      <x:c r="K766" s="2"/>
      <x:c r="L766" s="2" t="s">
        <x:v>2437</x:v>
      </x:c>
      <x:c r="M766" s="2" t="s">
        <x:v>2380</x:v>
      </x:c>
      <x:c r="N766" s="2">
        <x:v>6</x:v>
      </x:c>
      <x:c r="O766" s="2" t="s">
        <x:v>2381</x:v>
      </x:c>
      <x:c r="P766" s="2" t="s">
        <x:v>2382</x:v>
      </x:c>
      <x:c r="Q766" s="2"/>
      <x:c r="R766" s="3">
        <x:v>4</x:v>
      </x:c>
      <x:c r="S766" s="3">
        <x:v>0</x:v>
      </x:c>
      <x:c r="T766" s="2" t="s">
        <x:v>103</x:v>
      </x:c>
      <x:c r="U766" s="2"/>
      <x:c r="V766" s="2"/>
      <x:c r="W766" s="2"/>
      <x:c r="X766" s="3"/>
      <x:c r="Y766" s="3"/>
      <x:c r="Z766" s="2"/>
      <x:c r="AA766" s="2"/>
      <x:c r="AB766" s="2" t="s">
        <x:v>427</x:v>
      </x:c>
      <x:c r="AC766" s="2"/>
      <x:c r="AD766" s="2"/>
      <x:c r="AE766" s="2"/>
      <x:c r="AF766" s="2"/>
      <x:c r="AG766" s="2" t="s">
        <x:v>2036</x:v>
      </x:c>
      <x:c r="AH766" s="2"/>
      <x:c r="AI766" s="4"/>
      <x:c r="AJ766" s="2"/>
      <x:c r="AK766" s="2" t="s">
        <x:v>396</x:v>
      </x:c>
      <x:c r="AL766" s="2" t="s">
        <x:v>3061</x:v>
      </x:c>
      <x:c r="AM766" s="2">
        <x:v>146</x:v>
      </x:c>
      <x:c r="AN766" s="2">
        <x:v>146</x:v>
      </x:c>
    </x:row>
    <x:row r="767" ht="52">
      <x:c r="A767" s="2" t="s">
        <x:v>91</x:v>
      </x:c>
      <x:c r="B767" s="2" t="s">
        <x:v>17</x:v>
      </x:c>
      <x:c r="C767" s="3">
        <x:v>145</x:v>
      </x:c>
      <x:c r="D767" s="2" t="s">
        <x:v>2438</x:v>
      </x:c>
      <x:c r="E767" s="2" t="s">
        <x:v>2439</x:v>
      </x:c>
      <x:c r="F767" s="2" t="s">
        <x:v>2393</x:v>
      </x:c>
      <x:c r="G767" s="2" t="s">
        <x:v>2130</x:v>
      </x:c>
      <x:c r="H767" s="2" t="s">
        <x:v>2377</x:v>
      </x:c>
      <x:c r="I767" s="2" t="s">
        <x:v>2441</x:v>
      </x:c>
      <x:c r="J767" s="2" t="s">
        <x:v>2379</x:v>
      </x:c>
      <x:c r="K767" s="2"/>
      <x:c r="L767" s="2" t="s">
        <x:v>2076</x:v>
      </x:c>
      <x:c r="M767" s="2" t="s">
        <x:v>2380</x:v>
      </x:c>
      <x:c r="N767" s="2">
        <x:v>6</x:v>
      </x:c>
      <x:c r="O767" s="2" t="s">
        <x:v>2381</x:v>
      </x:c>
      <x:c r="P767" s="2" t="s">
        <x:v>2382</x:v>
      </x:c>
      <x:c r="Q767" s="2"/>
      <x:c r="R767" s="3">
        <x:v>4</x:v>
      </x:c>
      <x:c r="S767" s="3">
        <x:v>0</x:v>
      </x:c>
      <x:c r="T767" s="2" t="s">
        <x:v>103</x:v>
      </x:c>
      <x:c r="U767" s="2"/>
      <x:c r="V767" s="2"/>
      <x:c r="W767" s="2"/>
      <x:c r="X767" s="3"/>
      <x:c r="Y767" s="3"/>
      <x:c r="Z767" s="2"/>
      <x:c r="AA767" s="2"/>
      <x:c r="AB767" s="2" t="s">
        <x:v>415</x:v>
      </x:c>
      <x:c r="AC767" s="2"/>
      <x:c r="AD767" s="2"/>
      <x:c r="AE767" s="2"/>
      <x:c r="AF767" s="2"/>
      <x:c r="AG767" s="2" t="s">
        <x:v>2060</x:v>
      </x:c>
      <x:c r="AH767" s="2"/>
      <x:c r="AI767" s="4"/>
      <x:c r="AJ767" s="2"/>
      <x:c r="AK767" s="2" t="s">
        <x:v>396</x:v>
      </x:c>
      <x:c r="AL767" s="2" t="s">
        <x:v>3061</x:v>
      </x:c>
      <x:c r="AM767" s="2">
        <x:v>147</x:v>
      </x:c>
      <x:c r="AN767" s="2">
        <x:v>147</x:v>
      </x:c>
    </x:row>
    <x:row r="768" ht="52">
      <x:c r="A768" s="2" t="s">
        <x:v>91</x:v>
      </x:c>
      <x:c r="B768" s="2" t="s">
        <x:v>17</x:v>
      </x:c>
      <x:c r="C768" s="3">
        <x:v>146</x:v>
      </x:c>
      <x:c r="D768" s="2" t="s">
        <x:v>2442</x:v>
      </x:c>
      <x:c r="E768" s="2" t="s">
        <x:v>2443</x:v>
      </x:c>
      <x:c r="F768" s="2" t="s">
        <x:v>2375</x:v>
      </x:c>
      <x:c r="G768" s="2" t="s">
        <x:v>1280</x:v>
      </x:c>
      <x:c r="H768" s="2" t="s">
        <x:v>2377</x:v>
      </x:c>
      <x:c r="I768" s="2" t="s">
        <x:v>2444</x:v>
      </x:c>
      <x:c r="J768" s="2" t="s">
        <x:v>2379</x:v>
      </x:c>
      <x:c r="K768" s="2"/>
      <x:c r="L768" s="2" t="s">
        <x:v>401</x:v>
      </x:c>
      <x:c r="M768" s="2" t="s">
        <x:v>2380</x:v>
      </x:c>
      <x:c r="N768" s="2">
        <x:v>6</x:v>
      </x:c>
      <x:c r="O768" s="2" t="s">
        <x:v>2381</x:v>
      </x:c>
      <x:c r="P768" s="2" t="s">
        <x:v>2382</x:v>
      </x:c>
      <x:c r="Q768" s="2"/>
      <x:c r="R768" s="3">
        <x:v>4</x:v>
      </x:c>
      <x:c r="S768" s="3">
        <x:v>0</x:v>
      </x:c>
      <x:c r="T768" s="2" t="s">
        <x:v>103</x:v>
      </x:c>
      <x:c r="U768" s="2"/>
      <x:c r="V768" s="2"/>
      <x:c r="W768" s="2"/>
      <x:c r="X768" s="3"/>
      <x:c r="Y768" s="3"/>
      <x:c r="Z768" s="2"/>
      <x:c r="AA768" s="2"/>
      <x:c r="AB768" s="2" t="s">
        <x:v>394</x:v>
      </x:c>
      <x:c r="AC768" s="2"/>
      <x:c r="AD768" s="2"/>
      <x:c r="AE768" s="2"/>
      <x:c r="AF768" s="2"/>
      <x:c r="AG768" s="2" t="s">
        <x:v>395</x:v>
      </x:c>
      <x:c r="AH768" s="2"/>
      <x:c r="AI768" s="4"/>
      <x:c r="AJ768" s="2"/>
      <x:c r="AK768" s="2" t="s">
        <x:v>396</x:v>
      </x:c>
      <x:c r="AL768" s="2" t="s">
        <x:v>3061</x:v>
      </x:c>
      <x:c r="AM768" s="2">
        <x:v>148</x:v>
      </x:c>
      <x:c r="AN768" s="2">
        <x:v>148</x:v>
      </x:c>
    </x:row>
    <x:row r="769" ht="52">
      <x:c r="A769" s="2" t="s">
        <x:v>91</x:v>
      </x:c>
      <x:c r="B769" s="2" t="s">
        <x:v>17</x:v>
      </x:c>
      <x:c r="C769" s="3">
        <x:v>147</x:v>
      </x:c>
      <x:c r="D769" s="2" t="s">
        <x:v>2445</x:v>
      </x:c>
      <x:c r="E769" s="2" t="s">
        <x:v>2446</x:v>
      </x:c>
      <x:c r="F769" s="2" t="s">
        <x:v>2385</x:v>
      </x:c>
      <x:c r="G769" s="2" t="s">
        <x:v>3227</x:v>
      </x:c>
      <x:c r="H769" s="2" t="s">
        <x:v>2377</x:v>
      </x:c>
      <x:c r="I769" s="2" t="s">
        <x:v>2448</x:v>
      </x:c>
      <x:c r="J769" s="2" t="s">
        <x:v>2379</x:v>
      </x:c>
      <x:c r="K769" s="2"/>
      <x:c r="L769" s="2" t="s">
        <x:v>444</x:v>
      </x:c>
      <x:c r="M769" s="2" t="s">
        <x:v>2380</x:v>
      </x:c>
      <x:c r="N769" s="2">
        <x:v>6</x:v>
      </x:c>
      <x:c r="O769" s="2" t="s">
        <x:v>2381</x:v>
      </x:c>
      <x:c r="P769" s="2" t="s">
        <x:v>2382</x:v>
      </x:c>
      <x:c r="Q769" s="2"/>
      <x:c r="R769" s="3">
        <x:v>4</x:v>
      </x:c>
      <x:c r="S769" s="3">
        <x:v>0</x:v>
      </x:c>
      <x:c r="T769" s="2" t="s">
        <x:v>103</x:v>
      </x:c>
      <x:c r="U769" s="2"/>
      <x:c r="V769" s="2"/>
      <x:c r="W769" s="2"/>
      <x:c r="X769" s="3"/>
      <x:c r="Y769" s="3"/>
      <x:c r="Z769" s="2"/>
      <x:c r="AA769" s="2"/>
      <x:c r="AB769" s="2" t="s">
        <x:v>415</x:v>
      </x:c>
      <x:c r="AC769" s="2"/>
      <x:c r="AD769" s="2"/>
      <x:c r="AE769" s="2"/>
      <x:c r="AF769" s="2"/>
      <x:c r="AG769" s="2" t="s">
        <x:v>428</x:v>
      </x:c>
      <x:c r="AH769" s="2"/>
      <x:c r="AI769" s="4"/>
      <x:c r="AJ769" s="2"/>
      <x:c r="AK769" s="2" t="s">
        <x:v>396</x:v>
      </x:c>
      <x:c r="AL769" s="2" t="s">
        <x:v>3061</x:v>
      </x:c>
      <x:c r="AM769" s="2">
        <x:v>149</x:v>
      </x:c>
      <x:c r="AN769" s="2">
        <x:v>149</x:v>
      </x:c>
    </x:row>
    <x:row r="770" ht="52">
      <x:c r="A770" s="2" t="s">
        <x:v>91</x:v>
      </x:c>
      <x:c r="B770" s="2" t="s">
        <x:v>17</x:v>
      </x:c>
      <x:c r="C770" s="3">
        <x:v>148</x:v>
      </x:c>
      <x:c r="D770" s="2" t="s">
        <x:v>2449</x:v>
      </x:c>
      <x:c r="E770" s="2" t="s">
        <x:v>2405</x:v>
      </x:c>
      <x:c r="F770" s="2" t="s">
        <x:v>2389</x:v>
      </x:c>
      <x:c r="G770" s="2" t="s">
        <x:v>3228</x:v>
      </x:c>
      <x:c r="H770" s="2" t="s">
        <x:v>2377</x:v>
      </x:c>
      <x:c r="I770" s="2" t="s">
        <x:v>2451</x:v>
      </x:c>
      <x:c r="J770" s="2" t="s">
        <x:v>2379</x:v>
      </x:c>
      <x:c r="K770" s="2"/>
      <x:c r="L770" s="2" t="s">
        <x:v>2452</x:v>
      </x:c>
      <x:c r="M770" s="2" t="s">
        <x:v>2380</x:v>
      </x:c>
      <x:c r="N770" s="2">
        <x:v>6</x:v>
      </x:c>
      <x:c r="O770" s="2" t="s">
        <x:v>2381</x:v>
      </x:c>
      <x:c r="P770" s="2" t="s">
        <x:v>2382</x:v>
      </x:c>
      <x:c r="Q770" s="2"/>
      <x:c r="R770" s="3">
        <x:v>5</x:v>
      </x:c>
      <x:c r="S770" s="3">
        <x:v>0</x:v>
      </x:c>
      <x:c r="T770" s="2" t="s">
        <x:v>103</x:v>
      </x:c>
      <x:c r="U770" s="2"/>
      <x:c r="V770" s="2"/>
      <x:c r="W770" s="2"/>
      <x:c r="X770" s="3"/>
      <x:c r="Y770" s="3"/>
      <x:c r="Z770" s="2"/>
      <x:c r="AA770" s="2"/>
      <x:c r="AB770" s="2" t="s">
        <x:v>394</x:v>
      </x:c>
      <x:c r="AC770" s="2"/>
      <x:c r="AD770" s="2"/>
      <x:c r="AE770" s="2"/>
      <x:c r="AF770" s="2"/>
      <x:c r="AG770" s="2" t="s">
        <x:v>2036</x:v>
      </x:c>
      <x:c r="AH770" s="2"/>
      <x:c r="AI770" s="4"/>
      <x:c r="AJ770" s="2"/>
      <x:c r="AK770" s="2" t="s">
        <x:v>396</x:v>
      </x:c>
      <x:c r="AL770" s="2" t="s">
        <x:v>3061</x:v>
      </x:c>
      <x:c r="AM770" s="2">
        <x:v>150</x:v>
      </x:c>
      <x:c r="AN770" s="2">
        <x:v>150</x:v>
      </x:c>
    </x:row>
    <x:row r="771" ht="52">
      <x:c r="A771" s="2" t="s">
        <x:v>91</x:v>
      </x:c>
      <x:c r="B771" s="2" t="s">
        <x:v>17</x:v>
      </x:c>
      <x:c r="C771" s="3">
        <x:v>149</x:v>
      </x:c>
      <x:c r="D771" s="2" t="s">
        <x:v>2453</x:v>
      </x:c>
      <x:c r="E771" s="2" t="s">
        <x:v>2454</x:v>
      </x:c>
      <x:c r="F771" s="2" t="s">
        <x:v>2393</x:v>
      </x:c>
      <x:c r="G771" s="2" t="s">
        <x:v>2326</x:v>
      </x:c>
      <x:c r="H771" s="2" t="s">
        <x:v>2377</x:v>
      </x:c>
      <x:c r="I771" s="2" t="s">
        <x:v>2456</x:v>
      </x:c>
      <x:c r="J771" s="2" t="s">
        <x:v>2379</x:v>
      </x:c>
      <x:c r="K771" s="2"/>
      <x:c r="L771" s="2" t="s">
        <x:v>2064</x:v>
      </x:c>
      <x:c r="M771" s="2" t="s">
        <x:v>2380</x:v>
      </x:c>
      <x:c r="N771" s="2">
        <x:v>6</x:v>
      </x:c>
      <x:c r="O771" s="2" t="s">
        <x:v>2381</x:v>
      </x:c>
      <x:c r="P771" s="2" t="s">
        <x:v>2382</x:v>
      </x:c>
      <x:c r="Q771" s="2"/>
      <x:c r="R771" s="3">
        <x:v>4</x:v>
      </x:c>
      <x:c r="S771" s="3">
        <x:v>0</x:v>
      </x:c>
      <x:c r="T771" s="2" t="s">
        <x:v>103</x:v>
      </x:c>
      <x:c r="U771" s="2"/>
      <x:c r="V771" s="2"/>
      <x:c r="W771" s="2"/>
      <x:c r="X771" s="3"/>
      <x:c r="Y771" s="3"/>
      <x:c r="Z771" s="2"/>
      <x:c r="AA771" s="2"/>
      <x:c r="AB771" s="2" t="s">
        <x:v>427</x:v>
      </x:c>
      <x:c r="AC771" s="2"/>
      <x:c r="AD771" s="2"/>
      <x:c r="AE771" s="2"/>
      <x:c r="AF771" s="2"/>
      <x:c r="AG771" s="2" t="s">
        <x:v>2060</x:v>
      </x:c>
      <x:c r="AH771" s="2"/>
      <x:c r="AI771" s="4"/>
      <x:c r="AJ771" s="2"/>
      <x:c r="AK771" s="2" t="s">
        <x:v>396</x:v>
      </x:c>
      <x:c r="AL771" s="2" t="s">
        <x:v>3061</x:v>
      </x:c>
      <x:c r="AM771" s="2">
        <x:v>151</x:v>
      </x:c>
      <x:c r="AN771" s="2">
        <x:v>151</x:v>
      </x:c>
    </x:row>
    <x:row r="772" ht="39">
      <x:c r="A772" s="2" t="s">
        <x:v>6</x:v>
      </x:c>
      <x:c r="B772" s="2" t="s">
        <x:v>18</x:v>
      </x:c>
      <x:c r="C772" s="3">
        <x:v>0</x:v>
      </x:c>
      <x:c r="D772" s="2" t="s">
        <x:v>449</x:v>
      </x:c>
      <x:c r="E772" s="2" t="s">
        <x:v>450</x:v>
      </x:c>
      <x:c r="F772" s="2" t="s">
        <x:v>451</x:v>
      </x:c>
      <x:c r="G772" s="2"/>
      <x:c r="H772" s="2" t="s">
        <x:v>96</x:v>
      </x:c>
      <x:c r="I772" s="2" t="s">
        <x:v>453</x:v>
      </x:c>
      <x:c r="J772" s="2" t="s">
        <x:v>454</x:v>
      </x:c>
      <x:c r="K772" s="2"/>
      <x:c r="L772" s="2" t="s">
        <x:v>455</x:v>
      </x:c>
      <x:c r="M772" s="2"/>
      <x:c r="N772" s="2"/>
      <x:c r="O772" s="2" t="s">
        <x:v>456</x:v>
      </x:c>
      <x:c r="P772" s="2" t="s">
        <x:v>457</x:v>
      </x:c>
      <x:c r="Q772" s="2"/>
      <x:c r="R772" s="3">
        <x:v>4</x:v>
      </x:c>
      <x:c r="S772" s="3"/>
      <x:c r="T772" s="2"/>
      <x:c r="U772" s="2"/>
      <x:c r="V772" s="2"/>
      <x:c r="W772" s="2"/>
      <x:c r="X772" s="3"/>
      <x:c r="Y772" s="3"/>
      <x:c r="Z772" s="2"/>
      <x:c r="AA772" s="2"/>
      <x:c r="AB772" s="2"/>
      <x:c r="AC772" s="2"/>
      <x:c r="AD772" s="2" t="s">
        <x:v>431</x:v>
      </x:c>
      <x:c r="AE772" s="2"/>
      <x:c r="AF772" s="2"/>
      <x:c r="AG772" s="2"/>
      <x:c r="AH772" s="2" t="s">
        <x:v>458</x:v>
      </x:c>
      <x:c r="AI772" s="4">
        <x:v>8</x:v>
      </x:c>
      <x:c r="AJ772" s="2" t="s">
        <x:v>459</x:v>
      </x:c>
      <x:c r="AK772" s="2" t="s">
        <x:v>460</x:v>
      </x:c>
      <x:c r="AL772" s="2" t="s">
        <x:v>3061</x:v>
      </x:c>
      <x:c r="AM772" s="2">
        <x:v>2</x:v>
      </x:c>
      <x:c r="AN772" s="2">
        <x:v>2</x:v>
      </x:c>
    </x:row>
    <x:row r="773" ht="39">
      <x:c r="A773" s="2" t="s">
        <x:v>6</x:v>
      </x:c>
      <x:c r="B773" s="2" t="s">
        <x:v>18</x:v>
      </x:c>
      <x:c r="C773" s="3">
        <x:v>1</x:v>
      </x:c>
      <x:c r="D773" s="2" t="s">
        <x:v>462</x:v>
      </x:c>
      <x:c r="E773" s="2" t="s">
        <x:v>463</x:v>
      </x:c>
      <x:c r="F773" s="2" t="s">
        <x:v>464</x:v>
      </x:c>
      <x:c r="G773" s="2"/>
      <x:c r="H773" s="2" t="s">
        <x:v>96</x:v>
      </x:c>
      <x:c r="I773" s="2" t="s">
        <x:v>466</x:v>
      </x:c>
      <x:c r="J773" s="2" t="s">
        <x:v>454</x:v>
      </x:c>
      <x:c r="K773" s="2"/>
      <x:c r="L773" s="2" t="s">
        <x:v>467</x:v>
      </x:c>
      <x:c r="M773" s="2"/>
      <x:c r="N773" s="2"/>
      <x:c r="O773" s="2" t="s">
        <x:v>456</x:v>
      </x:c>
      <x:c r="P773" s="2" t="s">
        <x:v>468</x:v>
      </x:c>
      <x:c r="Q773" s="2"/>
      <x:c r="R773" s="3">
        <x:v>3</x:v>
      </x:c>
      <x:c r="S773" s="3"/>
      <x:c r="T773" s="2"/>
      <x:c r="U773" s="2"/>
      <x:c r="V773" s="2"/>
      <x:c r="W773" s="2"/>
      <x:c r="X773" s="3"/>
      <x:c r="Y773" s="3"/>
      <x:c r="Z773" s="2"/>
      <x:c r="AA773" s="2"/>
      <x:c r="AB773" s="2"/>
      <x:c r="AC773" s="2"/>
      <x:c r="AD773" s="2" t="s">
        <x:v>469</x:v>
      </x:c>
      <x:c r="AE773" s="2"/>
      <x:c r="AF773" s="2"/>
      <x:c r="AG773" s="2"/>
      <x:c r="AH773" s="2" t="s">
        <x:v>470</x:v>
      </x:c>
      <x:c r="AI773" s="4">
        <x:v>12</x:v>
      </x:c>
      <x:c r="AJ773" s="2" t="s">
        <x:v>471</x:v>
      </x:c>
      <x:c r="AK773" s="2" t="s">
        <x:v>460</x:v>
      </x:c>
      <x:c r="AL773" s="2" t="s">
        <x:v>3061</x:v>
      </x:c>
      <x:c r="AM773" s="2">
        <x:v>3</x:v>
      </x:c>
      <x:c r="AN773" s="2">
        <x:v>3</x:v>
      </x:c>
    </x:row>
    <x:row r="774" ht="39">
      <x:c r="A774" s="2" t="s">
        <x:v>6</x:v>
      </x:c>
      <x:c r="B774" s="2" t="s">
        <x:v>18</x:v>
      </x:c>
      <x:c r="C774" s="3">
        <x:v>2</x:v>
      </x:c>
      <x:c r="D774" s="2" t="s">
        <x:v>472</x:v>
      </x:c>
      <x:c r="E774" s="2" t="s">
        <x:v>473</x:v>
      </x:c>
      <x:c r="F774" s="2" t="s">
        <x:v>474</x:v>
      </x:c>
      <x:c r="G774" s="2"/>
      <x:c r="H774" s="2" t="s">
        <x:v>96</x:v>
      </x:c>
      <x:c r="I774" s="2" t="s">
        <x:v>476</x:v>
      </x:c>
      <x:c r="J774" s="2" t="s">
        <x:v>477</x:v>
      </x:c>
      <x:c r="K774" s="2"/>
      <x:c r="L774" s="2" t="s">
        <x:v>478</x:v>
      </x:c>
      <x:c r="M774" s="2"/>
      <x:c r="N774" s="2"/>
      <x:c r="O774" s="2" t="s">
        <x:v>456</x:v>
      </x:c>
      <x:c r="P774" s="2" t="s">
        <x:v>479</x:v>
      </x:c>
      <x:c r="Q774" s="2"/>
      <x:c r="R774" s="3">
        <x:v>3</x:v>
      </x:c>
      <x:c r="S774" s="3"/>
      <x:c r="T774" s="2"/>
      <x:c r="U774" s="2"/>
      <x:c r="V774" s="2"/>
      <x:c r="W774" s="2"/>
      <x:c r="X774" s="3"/>
      <x:c r="Y774" s="3"/>
      <x:c r="Z774" s="2"/>
      <x:c r="AA774" s="2"/>
      <x:c r="AB774" s="2"/>
      <x:c r="AC774" s="2"/>
      <x:c r="AD774" s="2" t="s">
        <x:v>480</x:v>
      </x:c>
      <x:c r="AE774" s="2"/>
      <x:c r="AF774" s="2"/>
      <x:c r="AG774" s="2"/>
      <x:c r="AH774" s="2" t="s">
        <x:v>458</x:v>
      </x:c>
      <x:c r="AI774" s="4">
        <x:v>16</x:v>
      </x:c>
      <x:c r="AJ774" s="2" t="s">
        <x:v>481</x:v>
      </x:c>
      <x:c r="AK774" s="2" t="s">
        <x:v>460</x:v>
      </x:c>
      <x:c r="AL774" s="2" t="s">
        <x:v>3061</x:v>
      </x:c>
      <x:c r="AM774" s="2">
        <x:v>4</x:v>
      </x:c>
      <x:c r="AN774" s="2">
        <x:v>4</x:v>
      </x:c>
    </x:row>
    <x:row r="775" ht="39">
      <x:c r="A775" s="2" t="s">
        <x:v>6</x:v>
      </x:c>
      <x:c r="B775" s="2" t="s">
        <x:v>18</x:v>
      </x:c>
      <x:c r="C775" s="3">
        <x:v>3</x:v>
      </x:c>
      <x:c r="D775" s="2" t="s">
        <x:v>482</x:v>
      </x:c>
      <x:c r="E775" s="2" t="s">
        <x:v>483</x:v>
      </x:c>
      <x:c r="F775" s="2" t="s">
        <x:v>484</x:v>
      </x:c>
      <x:c r="G775" s="2"/>
      <x:c r="H775" s="2" t="s">
        <x:v>96</x:v>
      </x:c>
      <x:c r="I775" s="2" t="s">
        <x:v>486</x:v>
      </x:c>
      <x:c r="J775" s="2" t="s">
        <x:v>477</x:v>
      </x:c>
      <x:c r="K775" s="2"/>
      <x:c r="L775" s="2" t="s">
        <x:v>487</x:v>
      </x:c>
      <x:c r="M775" s="2"/>
      <x:c r="N775" s="2"/>
      <x:c r="O775" s="2" t="s">
        <x:v>456</x:v>
      </x:c>
      <x:c r="P775" s="2" t="s">
        <x:v>488</x:v>
      </x:c>
      <x:c r="Q775" s="2"/>
      <x:c r="R775" s="3">
        <x:v>4</x:v>
      </x:c>
      <x:c r="S775" s="3"/>
      <x:c r="T775" s="2"/>
      <x:c r="U775" s="2"/>
      <x:c r="V775" s="2"/>
      <x:c r="W775" s="2"/>
      <x:c r="X775" s="3"/>
      <x:c r="Y775" s="3"/>
      <x:c r="Z775" s="2"/>
      <x:c r="AA775" s="2"/>
      <x:c r="AB775" s="2"/>
      <x:c r="AC775" s="2"/>
      <x:c r="AD775" s="2" t="s">
        <x:v>410</x:v>
      </x:c>
      <x:c r="AE775" s="2"/>
      <x:c r="AF775" s="2"/>
      <x:c r="AG775" s="2"/>
      <x:c r="AH775" s="2" t="s">
        <x:v>470</x:v>
      </x:c>
      <x:c r="AI775" s="4">
        <x:v>8</x:v>
      </x:c>
      <x:c r="AJ775" s="2" t="s">
        <x:v>489</x:v>
      </x:c>
      <x:c r="AK775" s="2" t="s">
        <x:v>460</x:v>
      </x:c>
      <x:c r="AL775" s="2" t="s">
        <x:v>3061</x:v>
      </x:c>
      <x:c r="AM775" s="2">
        <x:v>5</x:v>
      </x:c>
      <x:c r="AN775" s="2">
        <x:v>5</x:v>
      </x:c>
    </x:row>
    <x:row r="776" ht="39">
      <x:c r="A776" s="2" t="s">
        <x:v>6</x:v>
      </x:c>
      <x:c r="B776" s="2" t="s">
        <x:v>18</x:v>
      </x:c>
      <x:c r="C776" s="3">
        <x:v>4</x:v>
      </x:c>
      <x:c r="D776" s="2" t="s">
        <x:v>462</x:v>
      </x:c>
      <x:c r="E776" s="2" t="s">
        <x:v>490</x:v>
      </x:c>
      <x:c r="F776" s="2" t="s">
        <x:v>451</x:v>
      </x:c>
      <x:c r="G776" s="2"/>
      <x:c r="H776" s="2" t="s">
        <x:v>96</x:v>
      </x:c>
      <x:c r="I776" s="2" t="s">
        <x:v>492</x:v>
      </x:c>
      <x:c r="J776" s="2" t="s">
        <x:v>454</x:v>
      </x:c>
      <x:c r="K776" s="2"/>
      <x:c r="L776" s="2" t="s">
        <x:v>493</x:v>
      </x:c>
      <x:c r="M776" s="2"/>
      <x:c r="N776" s="2"/>
      <x:c r="O776" s="2" t="s">
        <x:v>456</x:v>
      </x:c>
      <x:c r="P776" s="2" t="s">
        <x:v>494</x:v>
      </x:c>
      <x:c r="Q776" s="2"/>
      <x:c r="R776" s="3">
        <x:v>4</x:v>
      </x:c>
      <x:c r="S776" s="3"/>
      <x:c r="T776" s="2"/>
      <x:c r="U776" s="2"/>
      <x:c r="V776" s="2"/>
      <x:c r="W776" s="2"/>
      <x:c r="X776" s="3"/>
      <x:c r="Y776" s="3"/>
      <x:c r="Z776" s="2"/>
      <x:c r="AA776" s="2"/>
      <x:c r="AB776" s="2"/>
      <x:c r="AC776" s="2"/>
      <x:c r="AD776" s="2" t="s">
        <x:v>431</x:v>
      </x:c>
      <x:c r="AE776" s="2"/>
      <x:c r="AF776" s="2"/>
      <x:c r="AG776" s="2"/>
      <x:c r="AH776" s="2" t="s">
        <x:v>470</x:v>
      </x:c>
      <x:c r="AI776" s="4">
        <x:v>12</x:v>
      </x:c>
      <x:c r="AJ776" s="2" t="s">
        <x:v>459</x:v>
      </x:c>
      <x:c r="AK776" s="2" t="s">
        <x:v>460</x:v>
      </x:c>
      <x:c r="AL776" s="2" t="s">
        <x:v>3061</x:v>
      </x:c>
      <x:c r="AM776" s="2">
        <x:v>6</x:v>
      </x:c>
      <x:c r="AN776" s="2">
        <x:v>6</x:v>
      </x:c>
    </x:row>
    <x:row r="777" ht="39">
      <x:c r="A777" s="2" t="s">
        <x:v>6</x:v>
      </x:c>
      <x:c r="B777" s="2" t="s">
        <x:v>18</x:v>
      </x:c>
      <x:c r="C777" s="3">
        <x:v>5</x:v>
      </x:c>
      <x:c r="D777" s="2" t="s">
        <x:v>462</x:v>
      </x:c>
      <x:c r="E777" s="2" t="s">
        <x:v>495</x:v>
      </x:c>
      <x:c r="F777" s="2" t="s">
        <x:v>464</x:v>
      </x:c>
      <x:c r="G777" s="2"/>
      <x:c r="H777" s="2" t="s">
        <x:v>96</x:v>
      </x:c>
      <x:c r="I777" s="2" t="s">
        <x:v>497</x:v>
      </x:c>
      <x:c r="J777" s="2" t="s">
        <x:v>454</x:v>
      </x:c>
      <x:c r="K777" s="2"/>
      <x:c r="L777" s="2" t="s">
        <x:v>498</x:v>
      </x:c>
      <x:c r="M777" s="2"/>
      <x:c r="N777" s="2"/>
      <x:c r="O777" s="2" t="s">
        <x:v>456</x:v>
      </x:c>
      <x:c r="P777" s="2" t="s">
        <x:v>499</x:v>
      </x:c>
      <x:c r="Q777" s="2"/>
      <x:c r="R777" s="3">
        <x:v>3</x:v>
      </x:c>
      <x:c r="S777" s="3"/>
      <x:c r="T777" s="2"/>
      <x:c r="U777" s="2"/>
      <x:c r="V777" s="2"/>
      <x:c r="W777" s="2"/>
      <x:c r="X777" s="3"/>
      <x:c r="Y777" s="3"/>
      <x:c r="Z777" s="2"/>
      <x:c r="AA777" s="2"/>
      <x:c r="AB777" s="2"/>
      <x:c r="AC777" s="2"/>
      <x:c r="AD777" s="2" t="s">
        <x:v>469</x:v>
      </x:c>
      <x:c r="AE777" s="2"/>
      <x:c r="AF777" s="2"/>
      <x:c r="AG777" s="2"/>
      <x:c r="AH777" s="2" t="s">
        <x:v>458</x:v>
      </x:c>
      <x:c r="AI777" s="4">
        <x:v>16</x:v>
      </x:c>
      <x:c r="AJ777" s="2" t="s">
        <x:v>471</x:v>
      </x:c>
      <x:c r="AK777" s="2" t="s">
        <x:v>460</x:v>
      </x:c>
      <x:c r="AL777" s="2" t="s">
        <x:v>3061</x:v>
      </x:c>
      <x:c r="AM777" s="2">
        <x:v>7</x:v>
      </x:c>
      <x:c r="AN777" s="2">
        <x:v>7</x:v>
      </x:c>
    </x:row>
    <x:row r="778" ht="39">
      <x:c r="A778" s="2" t="s">
        <x:v>6</x:v>
      </x:c>
      <x:c r="B778" s="2" t="s">
        <x:v>18</x:v>
      </x:c>
      <x:c r="C778" s="3">
        <x:v>6</x:v>
      </x:c>
      <x:c r="D778" s="2" t="s">
        <x:v>482</x:v>
      </x:c>
      <x:c r="E778" s="2" t="s">
        <x:v>500</x:v>
      </x:c>
      <x:c r="F778" s="2" t="s">
        <x:v>474</x:v>
      </x:c>
      <x:c r="G778" s="2"/>
      <x:c r="H778" s="2" t="s">
        <x:v>96</x:v>
      </x:c>
      <x:c r="I778" s="2" t="s">
        <x:v>502</x:v>
      </x:c>
      <x:c r="J778" s="2" t="s">
        <x:v>477</x:v>
      </x:c>
      <x:c r="K778" s="2"/>
      <x:c r="L778" s="2" t="s">
        <x:v>503</x:v>
      </x:c>
      <x:c r="M778" s="2"/>
      <x:c r="N778" s="2"/>
      <x:c r="O778" s="2" t="s">
        <x:v>456</x:v>
      </x:c>
      <x:c r="P778" s="2" t="s">
        <x:v>504</x:v>
      </x:c>
      <x:c r="Q778" s="2"/>
      <x:c r="R778" s="3">
        <x:v>3</x:v>
      </x:c>
      <x:c r="S778" s="3"/>
      <x:c r="T778" s="2"/>
      <x:c r="U778" s="2"/>
      <x:c r="V778" s="2"/>
      <x:c r="W778" s="2"/>
      <x:c r="X778" s="3"/>
      <x:c r="Y778" s="3"/>
      <x:c r="Z778" s="2"/>
      <x:c r="AA778" s="2"/>
      <x:c r="AB778" s="2"/>
      <x:c r="AC778" s="2"/>
      <x:c r="AD778" s="2" t="s">
        <x:v>480</x:v>
      </x:c>
      <x:c r="AE778" s="2"/>
      <x:c r="AF778" s="2"/>
      <x:c r="AG778" s="2"/>
      <x:c r="AH778" s="2" t="s">
        <x:v>470</x:v>
      </x:c>
      <x:c r="AI778" s="4">
        <x:v>8</x:v>
      </x:c>
      <x:c r="AJ778" s="2" t="s">
        <x:v>481</x:v>
      </x:c>
      <x:c r="AK778" s="2" t="s">
        <x:v>460</x:v>
      </x:c>
      <x:c r="AL778" s="2" t="s">
        <x:v>3061</x:v>
      </x:c>
      <x:c r="AM778" s="2">
        <x:v>8</x:v>
      </x:c>
      <x:c r="AN778" s="2">
        <x:v>8</x:v>
      </x:c>
    </x:row>
    <x:row r="779" ht="52">
      <x:c r="A779" s="2" t="s">
        <x:v>91</x:v>
      </x:c>
      <x:c r="B779" s="2" t="s">
        <x:v>18</x:v>
      </x:c>
      <x:c r="C779" s="3">
        <x:v>7</x:v>
      </x:c>
      <x:c r="D779" s="2" t="s">
        <x:v>505</x:v>
      </x:c>
      <x:c r="E779" s="2" t="s">
        <x:v>506</x:v>
      </x:c>
      <x:c r="F779" s="2" t="s">
        <x:v>484</x:v>
      </x:c>
      <x:c r="G779" s="2" t="s">
        <x:v>3229</x:v>
      </x:c>
      <x:c r="H779" s="2" t="s">
        <x:v>96</x:v>
      </x:c>
      <x:c r="I779" s="2" t="s">
        <x:v>508</x:v>
      </x:c>
      <x:c r="J779" s="2" t="s">
        <x:v>477</x:v>
      </x:c>
      <x:c r="K779" s="2"/>
      <x:c r="L779" s="2" t="s">
        <x:v>509</x:v>
      </x:c>
      <x:c r="M779" s="2"/>
      <x:c r="N779" s="2"/>
      <x:c r="O779" s="2" t="s">
        <x:v>456</x:v>
      </x:c>
      <x:c r="P779" s="2" t="s">
        <x:v>510</x:v>
      </x:c>
      <x:c r="Q779" s="2"/>
      <x:c r="R779" s="3">
        <x:v>4</x:v>
      </x:c>
      <x:c r="S779" s="3"/>
      <x:c r="T779" s="2"/>
      <x:c r="U779" s="2"/>
      <x:c r="V779" s="2"/>
      <x:c r="W779" s="2"/>
      <x:c r="X779" s="3"/>
      <x:c r="Y779" s="3"/>
      <x:c r="Z779" s="2"/>
      <x:c r="AA779" s="2"/>
      <x:c r="AB779" s="2"/>
      <x:c r="AC779" s="2"/>
      <x:c r="AD779" s="2" t="s">
        <x:v>410</x:v>
      </x:c>
      <x:c r="AE779" s="2"/>
      <x:c r="AF779" s="2"/>
      <x:c r="AG779" s="2"/>
      <x:c r="AH779" s="2" t="s">
        <x:v>458</x:v>
      </x:c>
      <x:c r="AI779" s="4">
        <x:v>12</x:v>
      </x:c>
      <x:c r="AJ779" s="2" t="s">
        <x:v>489</x:v>
      </x:c>
      <x:c r="AK779" s="2" t="s">
        <x:v>460</x:v>
      </x:c>
      <x:c r="AL779" s="2" t="s">
        <x:v>3061</x:v>
      </x:c>
      <x:c r="AM779" s="2">
        <x:v>9</x:v>
      </x:c>
      <x:c r="AN779" s="2">
        <x:v>9</x:v>
      </x:c>
    </x:row>
    <x:row r="780" ht="39">
      <x:c r="A780" s="2" t="s">
        <x:v>6</x:v>
      </x:c>
      <x:c r="B780" s="2" t="s">
        <x:v>18</x:v>
      </x:c>
      <x:c r="C780" s="3">
        <x:v>8</x:v>
      </x:c>
      <x:c r="D780" s="2" t="s">
        <x:v>449</x:v>
      </x:c>
      <x:c r="E780" s="2" t="s">
        <x:v>511</x:v>
      </x:c>
      <x:c r="F780" s="2" t="s">
        <x:v>451</x:v>
      </x:c>
      <x:c r="G780" s="2"/>
      <x:c r="H780" s="2" t="s">
        <x:v>96</x:v>
      </x:c>
      <x:c r="I780" s="2" t="s">
        <x:v>513</x:v>
      </x:c>
      <x:c r="J780" s="2" t="s">
        <x:v>454</x:v>
      </x:c>
      <x:c r="K780" s="2"/>
      <x:c r="L780" s="2" t="s">
        <x:v>514</x:v>
      </x:c>
      <x:c r="M780" s="2"/>
      <x:c r="N780" s="2"/>
      <x:c r="O780" s="2" t="s">
        <x:v>456</x:v>
      </x:c>
      <x:c r="P780" s="2" t="s">
        <x:v>515</x:v>
      </x:c>
      <x:c r="Q780" s="2"/>
      <x:c r="R780" s="3">
        <x:v>4</x:v>
      </x:c>
      <x:c r="S780" s="3"/>
      <x:c r="T780" s="2"/>
      <x:c r="U780" s="2"/>
      <x:c r="V780" s="2"/>
      <x:c r="W780" s="2"/>
      <x:c r="X780" s="3"/>
      <x:c r="Y780" s="3"/>
      <x:c r="Z780" s="2"/>
      <x:c r="AA780" s="2"/>
      <x:c r="AB780" s="2"/>
      <x:c r="AC780" s="2"/>
      <x:c r="AD780" s="2" t="s">
        <x:v>431</x:v>
      </x:c>
      <x:c r="AE780" s="2"/>
      <x:c r="AF780" s="2"/>
      <x:c r="AG780" s="2"/>
      <x:c r="AH780" s="2" t="s">
        <x:v>458</x:v>
      </x:c>
      <x:c r="AI780" s="4">
        <x:v>16</x:v>
      </x:c>
      <x:c r="AJ780" s="2" t="s">
        <x:v>459</x:v>
      </x:c>
      <x:c r="AK780" s="2" t="s">
        <x:v>460</x:v>
      </x:c>
      <x:c r="AL780" s="2" t="s">
        <x:v>3061</x:v>
      </x:c>
      <x:c r="AM780" s="2">
        <x:v>10</x:v>
      </x:c>
      <x:c r="AN780" s="2">
        <x:v>10</x:v>
      </x:c>
    </x:row>
    <x:row r="781" ht="39">
      <x:c r="A781" s="2" t="s">
        <x:v>6</x:v>
      </x:c>
      <x:c r="B781" s="2" t="s">
        <x:v>18</x:v>
      </x:c>
      <x:c r="C781" s="3">
        <x:v>9</x:v>
      </x:c>
      <x:c r="D781" s="2" t="s">
        <x:v>516</x:v>
      </x:c>
      <x:c r="E781" s="2" t="s">
        <x:v>517</x:v>
      </x:c>
      <x:c r="F781" s="2" t="s">
        <x:v>464</x:v>
      </x:c>
      <x:c r="G781" s="2"/>
      <x:c r="H781" s="2" t="s">
        <x:v>96</x:v>
      </x:c>
      <x:c r="I781" s="2" t="s">
        <x:v>519</x:v>
      </x:c>
      <x:c r="J781" s="2" t="s">
        <x:v>454</x:v>
      </x:c>
      <x:c r="K781" s="2"/>
      <x:c r="L781" s="2" t="s">
        <x:v>520</x:v>
      </x:c>
      <x:c r="M781" s="2"/>
      <x:c r="N781" s="2"/>
      <x:c r="O781" s="2" t="s">
        <x:v>456</x:v>
      </x:c>
      <x:c r="P781" s="2" t="s">
        <x:v>521</x:v>
      </x:c>
      <x:c r="Q781" s="2"/>
      <x:c r="R781" s="3">
        <x:v>3</x:v>
      </x:c>
      <x:c r="S781" s="3"/>
      <x:c r="T781" s="2"/>
      <x:c r="U781" s="2"/>
      <x:c r="V781" s="2"/>
      <x:c r="W781" s="2"/>
      <x:c r="X781" s="3"/>
      <x:c r="Y781" s="3"/>
      <x:c r="Z781" s="2"/>
      <x:c r="AA781" s="2"/>
      <x:c r="AB781" s="2"/>
      <x:c r="AC781" s="2"/>
      <x:c r="AD781" s="2" t="s">
        <x:v>469</x:v>
      </x:c>
      <x:c r="AE781" s="2"/>
      <x:c r="AF781" s="2"/>
      <x:c r="AG781" s="2"/>
      <x:c r="AH781" s="2" t="s">
        <x:v>470</x:v>
      </x:c>
      <x:c r="AI781" s="4">
        <x:v>8</x:v>
      </x:c>
      <x:c r="AJ781" s="2" t="s">
        <x:v>471</x:v>
      </x:c>
      <x:c r="AK781" s="2" t="s">
        <x:v>460</x:v>
      </x:c>
      <x:c r="AL781" s="2" t="s">
        <x:v>3061</x:v>
      </x:c>
      <x:c r="AM781" s="2">
        <x:v>11</x:v>
      </x:c>
      <x:c r="AN781" s="2">
        <x:v>11</x:v>
      </x:c>
    </x:row>
    <x:row r="782" ht="39">
      <x:c r="A782" s="2" t="s">
        <x:v>6</x:v>
      </x:c>
      <x:c r="B782" s="2" t="s">
        <x:v>18</x:v>
      </x:c>
      <x:c r="C782" s="3">
        <x:v>10</x:v>
      </x:c>
      <x:c r="D782" s="2" t="s">
        <x:v>482</x:v>
      </x:c>
      <x:c r="E782" s="2" t="s">
        <x:v>522</x:v>
      </x:c>
      <x:c r="F782" s="2" t="s">
        <x:v>474</x:v>
      </x:c>
      <x:c r="G782" s="2"/>
      <x:c r="H782" s="2" t="s">
        <x:v>96</x:v>
      </x:c>
      <x:c r="I782" s="2" t="s">
        <x:v>524</x:v>
      </x:c>
      <x:c r="J782" s="2" t="s">
        <x:v>477</x:v>
      </x:c>
      <x:c r="K782" s="2"/>
      <x:c r="L782" s="2" t="s">
        <x:v>525</x:v>
      </x:c>
      <x:c r="M782" s="2"/>
      <x:c r="N782" s="2"/>
      <x:c r="O782" s="2" t="s">
        <x:v>456</x:v>
      </x:c>
      <x:c r="P782" s="2" t="s">
        <x:v>526</x:v>
      </x:c>
      <x:c r="Q782" s="2"/>
      <x:c r="R782" s="3">
        <x:v>3</x:v>
      </x:c>
      <x:c r="S782" s="3"/>
      <x:c r="T782" s="2"/>
      <x:c r="U782" s="2"/>
      <x:c r="V782" s="2"/>
      <x:c r="W782" s="2"/>
      <x:c r="X782" s="3"/>
      <x:c r="Y782" s="3"/>
      <x:c r="Z782" s="2"/>
      <x:c r="AA782" s="2"/>
      <x:c r="AB782" s="2"/>
      <x:c r="AC782" s="2"/>
      <x:c r="AD782" s="2" t="s">
        <x:v>480</x:v>
      </x:c>
      <x:c r="AE782" s="2"/>
      <x:c r="AF782" s="2"/>
      <x:c r="AG782" s="2"/>
      <x:c r="AH782" s="2" t="s">
        <x:v>458</x:v>
      </x:c>
      <x:c r="AI782" s="4">
        <x:v>12</x:v>
      </x:c>
      <x:c r="AJ782" s="2" t="s">
        <x:v>481</x:v>
      </x:c>
      <x:c r="AK782" s="2" t="s">
        <x:v>460</x:v>
      </x:c>
      <x:c r="AL782" s="2" t="s">
        <x:v>3061</x:v>
      </x:c>
      <x:c r="AM782" s="2">
        <x:v>12</x:v>
      </x:c>
      <x:c r="AN782" s="2">
        <x:v>12</x:v>
      </x:c>
    </x:row>
    <x:row r="783" ht="39">
      <x:c r="A783" s="2" t="s">
        <x:v>6</x:v>
      </x:c>
      <x:c r="B783" s="2" t="s">
        <x:v>18</x:v>
      </x:c>
      <x:c r="C783" s="3">
        <x:v>11</x:v>
      </x:c>
      <x:c r="D783" s="2" t="s">
        <x:v>472</x:v>
      </x:c>
      <x:c r="E783" s="2" t="s">
        <x:v>527</x:v>
      </x:c>
      <x:c r="F783" s="2" t="s">
        <x:v>484</x:v>
      </x:c>
      <x:c r="G783" s="2"/>
      <x:c r="H783" s="2" t="s">
        <x:v>96</x:v>
      </x:c>
      <x:c r="I783" s="2" t="s">
        <x:v>529</x:v>
      </x:c>
      <x:c r="J783" s="2" t="s">
        <x:v>477</x:v>
      </x:c>
      <x:c r="K783" s="2"/>
      <x:c r="L783" s="2" t="s">
        <x:v>530</x:v>
      </x:c>
      <x:c r="M783" s="2"/>
      <x:c r="N783" s="2"/>
      <x:c r="O783" s="2" t="s">
        <x:v>456</x:v>
      </x:c>
      <x:c r="P783" s="2" t="s">
        <x:v>531</x:v>
      </x:c>
      <x:c r="Q783" s="2"/>
      <x:c r="R783" s="3">
        <x:v>4</x:v>
      </x:c>
      <x:c r="S783" s="3"/>
      <x:c r="T783" s="2"/>
      <x:c r="U783" s="2"/>
      <x:c r="V783" s="2"/>
      <x:c r="W783" s="2"/>
      <x:c r="X783" s="3"/>
      <x:c r="Y783" s="3"/>
      <x:c r="Z783" s="2"/>
      <x:c r="AA783" s="2"/>
      <x:c r="AB783" s="2"/>
      <x:c r="AC783" s="2"/>
      <x:c r="AD783" s="2" t="s">
        <x:v>410</x:v>
      </x:c>
      <x:c r="AE783" s="2"/>
      <x:c r="AF783" s="2"/>
      <x:c r="AG783" s="2"/>
      <x:c r="AH783" s="2" t="s">
        <x:v>470</x:v>
      </x:c>
      <x:c r="AI783" s="4">
        <x:v>16</x:v>
      </x:c>
      <x:c r="AJ783" s="2" t="s">
        <x:v>489</x:v>
      </x:c>
      <x:c r="AK783" s="2" t="s">
        <x:v>460</x:v>
      </x:c>
      <x:c r="AL783" s="2" t="s">
        <x:v>3061</x:v>
      </x:c>
      <x:c r="AM783" s="2">
        <x:v>13</x:v>
      </x:c>
      <x:c r="AN783" s="2">
        <x:v>13</x:v>
      </x:c>
    </x:row>
    <x:row r="784" ht="39">
      <x:c r="A784" s="2" t="s">
        <x:v>6</x:v>
      </x:c>
      <x:c r="B784" s="2" t="s">
        <x:v>18</x:v>
      </x:c>
      <x:c r="C784" s="3">
        <x:v>12</x:v>
      </x:c>
      <x:c r="D784" s="2" t="s">
        <x:v>516</x:v>
      </x:c>
      <x:c r="E784" s="2" t="s">
        <x:v>532</x:v>
      </x:c>
      <x:c r="F784" s="2" t="s">
        <x:v>451</x:v>
      </x:c>
      <x:c r="G784" s="2" t="s">
        <x:v>3230</x:v>
      </x:c>
      <x:c r="H784" s="2" t="s">
        <x:v>96</x:v>
      </x:c>
      <x:c r="I784" s="2" t="s">
        <x:v>533</x:v>
      </x:c>
      <x:c r="J784" s="2" t="s">
        <x:v>454</x:v>
      </x:c>
      <x:c r="K784" s="2"/>
      <x:c r="L784" s="2" t="s">
        <x:v>534</x:v>
      </x:c>
      <x:c r="M784" s="2"/>
      <x:c r="N784" s="2"/>
      <x:c r="O784" s="2" t="s">
        <x:v>456</x:v>
      </x:c>
      <x:c r="P784" s="2" t="s">
        <x:v>535</x:v>
      </x:c>
      <x:c r="Q784" s="2"/>
      <x:c r="R784" s="3">
        <x:v>4</x:v>
      </x:c>
      <x:c r="S784" s="3"/>
      <x:c r="T784" s="2"/>
      <x:c r="U784" s="2"/>
      <x:c r="V784" s="2"/>
      <x:c r="W784" s="2"/>
      <x:c r="X784" s="3"/>
      <x:c r="Y784" s="3"/>
      <x:c r="Z784" s="2"/>
      <x:c r="AA784" s="2"/>
      <x:c r="AB784" s="2"/>
      <x:c r="AC784" s="2"/>
      <x:c r="AD784" s="2" t="s">
        <x:v>431</x:v>
      </x:c>
      <x:c r="AE784" s="2"/>
      <x:c r="AF784" s="2"/>
      <x:c r="AG784" s="2"/>
      <x:c r="AH784" s="2" t="s">
        <x:v>470</x:v>
      </x:c>
      <x:c r="AI784" s="4">
        <x:v>8</x:v>
      </x:c>
      <x:c r="AJ784" s="2" t="s">
        <x:v>459</x:v>
      </x:c>
      <x:c r="AK784" s="2" t="s">
        <x:v>460</x:v>
      </x:c>
      <x:c r="AL784" s="2" t="s">
        <x:v>3061</x:v>
      </x:c>
      <x:c r="AM784" s="2">
        <x:v>14</x:v>
      </x:c>
      <x:c r="AN784" s="2">
        <x:v>14</x:v>
      </x:c>
    </x:row>
    <x:row r="785" ht="39">
      <x:c r="A785" s="2" t="s">
        <x:v>6</x:v>
      </x:c>
      <x:c r="B785" s="2" t="s">
        <x:v>18</x:v>
      </x:c>
      <x:c r="C785" s="3">
        <x:v>13</x:v>
      </x:c>
      <x:c r="D785" s="2" t="s">
        <x:v>516</x:v>
      </x:c>
      <x:c r="E785" s="2" t="s">
        <x:v>536</x:v>
      </x:c>
      <x:c r="F785" s="2" t="s">
        <x:v>464</x:v>
      </x:c>
      <x:c r="G785" s="2"/>
      <x:c r="H785" s="2" t="s">
        <x:v>96</x:v>
      </x:c>
      <x:c r="I785" s="2" t="s">
        <x:v>538</x:v>
      </x:c>
      <x:c r="J785" s="2" t="s">
        <x:v>454</x:v>
      </x:c>
      <x:c r="K785" s="2"/>
      <x:c r="L785" s="2" t="s">
        <x:v>539</x:v>
      </x:c>
      <x:c r="M785" s="2"/>
      <x:c r="N785" s="2"/>
      <x:c r="O785" s="2" t="s">
        <x:v>456</x:v>
      </x:c>
      <x:c r="P785" s="2" t="s">
        <x:v>540</x:v>
      </x:c>
      <x:c r="Q785" s="2"/>
      <x:c r="R785" s="3">
        <x:v>3</x:v>
      </x:c>
      <x:c r="S785" s="3"/>
      <x:c r="T785" s="2"/>
      <x:c r="U785" s="2"/>
      <x:c r="V785" s="2"/>
      <x:c r="W785" s="2"/>
      <x:c r="X785" s="3"/>
      <x:c r="Y785" s="3"/>
      <x:c r="Z785" s="2"/>
      <x:c r="AA785" s="2"/>
      <x:c r="AB785" s="2"/>
      <x:c r="AC785" s="2"/>
      <x:c r="AD785" s="2" t="s">
        <x:v>469</x:v>
      </x:c>
      <x:c r="AE785" s="2"/>
      <x:c r="AF785" s="2"/>
      <x:c r="AG785" s="2"/>
      <x:c r="AH785" s="2" t="s">
        <x:v>458</x:v>
      </x:c>
      <x:c r="AI785" s="4">
        <x:v>12</x:v>
      </x:c>
      <x:c r="AJ785" s="2" t="s">
        <x:v>471</x:v>
      </x:c>
      <x:c r="AK785" s="2" t="s">
        <x:v>460</x:v>
      </x:c>
      <x:c r="AL785" s="2" t="s">
        <x:v>3061</x:v>
      </x:c>
      <x:c r="AM785" s="2">
        <x:v>15</x:v>
      </x:c>
      <x:c r="AN785" s="2">
        <x:v>15</x:v>
      </x:c>
    </x:row>
    <x:row r="786" ht="39">
      <x:c r="A786" s="2" t="s">
        <x:v>6</x:v>
      </x:c>
      <x:c r="B786" s="2" t="s">
        <x:v>18</x:v>
      </x:c>
      <x:c r="C786" s="3">
        <x:v>14</x:v>
      </x:c>
      <x:c r="D786" s="2" t="s">
        <x:v>482</x:v>
      </x:c>
      <x:c r="E786" s="2" t="s">
        <x:v>541</x:v>
      </x:c>
      <x:c r="F786" s="2" t="s">
        <x:v>474</x:v>
      </x:c>
      <x:c r="G786" s="2"/>
      <x:c r="H786" s="2" t="s">
        <x:v>96</x:v>
      </x:c>
      <x:c r="I786" s="2" t="s">
        <x:v>543</x:v>
      </x:c>
      <x:c r="J786" s="2" t="s">
        <x:v>477</x:v>
      </x:c>
      <x:c r="K786" s="2"/>
      <x:c r="L786" s="2" t="s">
        <x:v>544</x:v>
      </x:c>
      <x:c r="M786" s="2"/>
      <x:c r="N786" s="2"/>
      <x:c r="O786" s="2" t="s">
        <x:v>456</x:v>
      </x:c>
      <x:c r="P786" s="2" t="s">
        <x:v>545</x:v>
      </x:c>
      <x:c r="Q786" s="2"/>
      <x:c r="R786" s="3">
        <x:v>3</x:v>
      </x:c>
      <x:c r="S786" s="3"/>
      <x:c r="T786" s="2"/>
      <x:c r="U786" s="2"/>
      <x:c r="V786" s="2"/>
      <x:c r="W786" s="2"/>
      <x:c r="X786" s="3"/>
      <x:c r="Y786" s="3"/>
      <x:c r="Z786" s="2"/>
      <x:c r="AA786" s="2"/>
      <x:c r="AB786" s="2"/>
      <x:c r="AC786" s="2"/>
      <x:c r="AD786" s="2" t="s">
        <x:v>480</x:v>
      </x:c>
      <x:c r="AE786" s="2"/>
      <x:c r="AF786" s="2"/>
      <x:c r="AG786" s="2"/>
      <x:c r="AH786" s="2" t="s">
        <x:v>470</x:v>
      </x:c>
      <x:c r="AI786" s="4">
        <x:v>16</x:v>
      </x:c>
      <x:c r="AJ786" s="2" t="s">
        <x:v>481</x:v>
      </x:c>
      <x:c r="AK786" s="2" t="s">
        <x:v>460</x:v>
      </x:c>
      <x:c r="AL786" s="2" t="s">
        <x:v>3061</x:v>
      </x:c>
      <x:c r="AM786" s="2">
        <x:v>16</x:v>
      </x:c>
      <x:c r="AN786" s="2">
        <x:v>16</x:v>
      </x:c>
    </x:row>
    <x:row r="787" ht="39">
      <x:c r="A787" s="2" t="s">
        <x:v>6</x:v>
      </x:c>
      <x:c r="B787" s="2" t="s">
        <x:v>18</x:v>
      </x:c>
      <x:c r="C787" s="3">
        <x:v>15</x:v>
      </x:c>
      <x:c r="D787" s="2" t="s">
        <x:v>472</x:v>
      </x:c>
      <x:c r="E787" s="2" t="s">
        <x:v>546</x:v>
      </x:c>
      <x:c r="F787" s="2" t="s">
        <x:v>484</x:v>
      </x:c>
      <x:c r="G787" s="2"/>
      <x:c r="H787" s="2" t="s">
        <x:v>96</x:v>
      </x:c>
      <x:c r="I787" s="2" t="s">
        <x:v>548</x:v>
      </x:c>
      <x:c r="J787" s="2" t="s">
        <x:v>477</x:v>
      </x:c>
      <x:c r="K787" s="2"/>
      <x:c r="L787" s="2" t="s">
        <x:v>549</x:v>
      </x:c>
      <x:c r="M787" s="2"/>
      <x:c r="N787" s="2"/>
      <x:c r="O787" s="2" t="s">
        <x:v>456</x:v>
      </x:c>
      <x:c r="P787" s="2" t="s">
        <x:v>550</x:v>
      </x:c>
      <x:c r="Q787" s="2"/>
      <x:c r="R787" s="3">
        <x:v>4</x:v>
      </x:c>
      <x:c r="S787" s="3"/>
      <x:c r="T787" s="2"/>
      <x:c r="U787" s="2"/>
      <x:c r="V787" s="2"/>
      <x:c r="W787" s="2"/>
      <x:c r="X787" s="3"/>
      <x:c r="Y787" s="3"/>
      <x:c r="Z787" s="2"/>
      <x:c r="AA787" s="2"/>
      <x:c r="AB787" s="2"/>
      <x:c r="AC787" s="2"/>
      <x:c r="AD787" s="2" t="s">
        <x:v>410</x:v>
      </x:c>
      <x:c r="AE787" s="2"/>
      <x:c r="AF787" s="2"/>
      <x:c r="AG787" s="2"/>
      <x:c r="AH787" s="2" t="s">
        <x:v>458</x:v>
      </x:c>
      <x:c r="AI787" s="4">
        <x:v>8</x:v>
      </x:c>
      <x:c r="AJ787" s="2" t="s">
        <x:v>489</x:v>
      </x:c>
      <x:c r="AK787" s="2" t="s">
        <x:v>460</x:v>
      </x:c>
      <x:c r="AL787" s="2" t="s">
        <x:v>3061</x:v>
      </x:c>
      <x:c r="AM787" s="2">
        <x:v>17</x:v>
      </x:c>
      <x:c r="AN787" s="2">
        <x:v>17</x:v>
      </x:c>
    </x:row>
    <x:row r="788" ht="52">
      <x:c r="A788" s="2" t="s">
        <x:v>6</x:v>
      </x:c>
      <x:c r="B788" s="2" t="s">
        <x:v>18</x:v>
      </x:c>
      <x:c r="C788" s="3">
        <x:v>16</x:v>
      </x:c>
      <x:c r="D788" s="2" t="s">
        <x:v>449</x:v>
      </x:c>
      <x:c r="E788" s="2" t="s">
        <x:v>551</x:v>
      </x:c>
      <x:c r="F788" s="2" t="s">
        <x:v>451</x:v>
      </x:c>
      <x:c r="G788" s="2"/>
      <x:c r="H788" s="2" t="s">
        <x:v>96</x:v>
      </x:c>
      <x:c r="I788" s="2" t="s">
        <x:v>553</x:v>
      </x:c>
      <x:c r="J788" s="2" t="s">
        <x:v>454</x:v>
      </x:c>
      <x:c r="K788" s="2"/>
      <x:c r="L788" s="2" t="s">
        <x:v>554</x:v>
      </x:c>
      <x:c r="M788" s="2"/>
      <x:c r="N788" s="2"/>
      <x:c r="O788" s="2" t="s">
        <x:v>456</x:v>
      </x:c>
      <x:c r="P788" s="2" t="s">
        <x:v>555</x:v>
      </x:c>
      <x:c r="Q788" s="2"/>
      <x:c r="R788" s="3">
        <x:v>4</x:v>
      </x:c>
      <x:c r="S788" s="3"/>
      <x:c r="T788" s="2"/>
      <x:c r="U788" s="2"/>
      <x:c r="V788" s="2"/>
      <x:c r="W788" s="2"/>
      <x:c r="X788" s="3"/>
      <x:c r="Y788" s="3"/>
      <x:c r="Z788" s="2"/>
      <x:c r="AA788" s="2"/>
      <x:c r="AB788" s="2"/>
      <x:c r="AC788" s="2"/>
      <x:c r="AD788" s="2" t="s">
        <x:v>431</x:v>
      </x:c>
      <x:c r="AE788" s="2"/>
      <x:c r="AF788" s="2"/>
      <x:c r="AG788" s="2"/>
      <x:c r="AH788" s="2" t="s">
        <x:v>458</x:v>
      </x:c>
      <x:c r="AI788" s="4">
        <x:v>12</x:v>
      </x:c>
      <x:c r="AJ788" s="2" t="s">
        <x:v>459</x:v>
      </x:c>
      <x:c r="AK788" s="2" t="s">
        <x:v>460</x:v>
      </x:c>
      <x:c r="AL788" s="2" t="s">
        <x:v>3061</x:v>
      </x:c>
      <x:c r="AM788" s="2">
        <x:v>18</x:v>
      </x:c>
      <x:c r="AN788" s="2">
        <x:v>18</x:v>
      </x:c>
    </x:row>
    <x:row r="789" ht="39">
      <x:c r="A789" s="2" t="s">
        <x:v>6</x:v>
      </x:c>
      <x:c r="B789" s="2" t="s">
        <x:v>18</x:v>
      </x:c>
      <x:c r="C789" s="3">
        <x:v>17</x:v>
      </x:c>
      <x:c r="D789" s="2" t="s">
        <x:v>516</x:v>
      </x:c>
      <x:c r="E789" s="2" t="s">
        <x:v>556</x:v>
      </x:c>
      <x:c r="F789" s="2" t="s">
        <x:v>464</x:v>
      </x:c>
      <x:c r="G789" s="2"/>
      <x:c r="H789" s="2" t="s">
        <x:v>96</x:v>
      </x:c>
      <x:c r="I789" s="2" t="s">
        <x:v>558</x:v>
      </x:c>
      <x:c r="J789" s="2" t="s">
        <x:v>454</x:v>
      </x:c>
      <x:c r="K789" s="2"/>
      <x:c r="L789" s="2" t="s">
        <x:v>559</x:v>
      </x:c>
      <x:c r="M789" s="2"/>
      <x:c r="N789" s="2"/>
      <x:c r="O789" s="2" t="s">
        <x:v>456</x:v>
      </x:c>
      <x:c r="P789" s="2" t="s">
        <x:v>560</x:v>
      </x:c>
      <x:c r="Q789" s="2"/>
      <x:c r="R789" s="3">
        <x:v>3</x:v>
      </x:c>
      <x:c r="S789" s="3"/>
      <x:c r="T789" s="2"/>
      <x:c r="U789" s="2"/>
      <x:c r="V789" s="2"/>
      <x:c r="W789" s="2"/>
      <x:c r="X789" s="3"/>
      <x:c r="Y789" s="3"/>
      <x:c r="Z789" s="2"/>
      <x:c r="AA789" s="2"/>
      <x:c r="AB789" s="2"/>
      <x:c r="AC789" s="2"/>
      <x:c r="AD789" s="2" t="s">
        <x:v>469</x:v>
      </x:c>
      <x:c r="AE789" s="2"/>
      <x:c r="AF789" s="2"/>
      <x:c r="AG789" s="2"/>
      <x:c r="AH789" s="2" t="s">
        <x:v>470</x:v>
      </x:c>
      <x:c r="AI789" s="4">
        <x:v>16</x:v>
      </x:c>
      <x:c r="AJ789" s="2" t="s">
        <x:v>471</x:v>
      </x:c>
      <x:c r="AK789" s="2" t="s">
        <x:v>460</x:v>
      </x:c>
      <x:c r="AL789" s="2" t="s">
        <x:v>3061</x:v>
      </x:c>
      <x:c r="AM789" s="2">
        <x:v>19</x:v>
      </x:c>
      <x:c r="AN789" s="2">
        <x:v>19</x:v>
      </x:c>
    </x:row>
    <x:row r="790" ht="39">
      <x:c r="A790" s="2" t="s">
        <x:v>6</x:v>
      </x:c>
      <x:c r="B790" s="2" t="s">
        <x:v>18</x:v>
      </x:c>
      <x:c r="C790" s="3">
        <x:v>18</x:v>
      </x:c>
      <x:c r="D790" s="2" t="s">
        <x:v>472</x:v>
      </x:c>
      <x:c r="E790" s="2" t="s">
        <x:v>561</x:v>
      </x:c>
      <x:c r="F790" s="2" t="s">
        <x:v>474</x:v>
      </x:c>
      <x:c r="G790" s="2"/>
      <x:c r="H790" s="2" t="s">
        <x:v>96</x:v>
      </x:c>
      <x:c r="I790" s="2" t="s">
        <x:v>563</x:v>
      </x:c>
      <x:c r="J790" s="2" t="s">
        <x:v>477</x:v>
      </x:c>
      <x:c r="K790" s="2"/>
      <x:c r="L790" s="2" t="s">
        <x:v>564</x:v>
      </x:c>
      <x:c r="M790" s="2"/>
      <x:c r="N790" s="2"/>
      <x:c r="O790" s="2" t="s">
        <x:v>456</x:v>
      </x:c>
      <x:c r="P790" s="2" t="s">
        <x:v>565</x:v>
      </x:c>
      <x:c r="Q790" s="2"/>
      <x:c r="R790" s="3">
        <x:v>3</x:v>
      </x:c>
      <x:c r="S790" s="3"/>
      <x:c r="T790" s="2"/>
      <x:c r="U790" s="2"/>
      <x:c r="V790" s="2"/>
      <x:c r="W790" s="2"/>
      <x:c r="X790" s="3"/>
      <x:c r="Y790" s="3"/>
      <x:c r="Z790" s="2"/>
      <x:c r="AA790" s="2"/>
      <x:c r="AB790" s="2"/>
      <x:c r="AC790" s="2"/>
      <x:c r="AD790" s="2" t="s">
        <x:v>480</x:v>
      </x:c>
      <x:c r="AE790" s="2"/>
      <x:c r="AF790" s="2"/>
      <x:c r="AG790" s="2"/>
      <x:c r="AH790" s="2" t="s">
        <x:v>458</x:v>
      </x:c>
      <x:c r="AI790" s="4">
        <x:v>8</x:v>
      </x:c>
      <x:c r="AJ790" s="2" t="s">
        <x:v>481</x:v>
      </x:c>
      <x:c r="AK790" s="2" t="s">
        <x:v>460</x:v>
      </x:c>
      <x:c r="AL790" s="2" t="s">
        <x:v>3061</x:v>
      </x:c>
      <x:c r="AM790" s="2">
        <x:v>20</x:v>
      </x:c>
      <x:c r="AN790" s="2">
        <x:v>20</x:v>
      </x:c>
    </x:row>
    <x:row r="791" ht="39">
      <x:c r="A791" s="2" t="s">
        <x:v>6</x:v>
      </x:c>
      <x:c r="B791" s="2" t="s">
        <x:v>18</x:v>
      </x:c>
      <x:c r="C791" s="3">
        <x:v>19</x:v>
      </x:c>
      <x:c r="D791" s="2" t="s">
        <x:v>505</x:v>
      </x:c>
      <x:c r="E791" s="2" t="s">
        <x:v>566</x:v>
      </x:c>
      <x:c r="F791" s="2" t="s">
        <x:v>484</x:v>
      </x:c>
      <x:c r="G791" s="2"/>
      <x:c r="H791" s="2" t="s">
        <x:v>96</x:v>
      </x:c>
      <x:c r="I791" s="2" t="s">
        <x:v>568</x:v>
      </x:c>
      <x:c r="J791" s="2" t="s">
        <x:v>477</x:v>
      </x:c>
      <x:c r="K791" s="2"/>
      <x:c r="L791" s="2" t="s">
        <x:v>569</x:v>
      </x:c>
      <x:c r="M791" s="2"/>
      <x:c r="N791" s="2"/>
      <x:c r="O791" s="2" t="s">
        <x:v>456</x:v>
      </x:c>
      <x:c r="P791" s="2" t="s">
        <x:v>570</x:v>
      </x:c>
      <x:c r="Q791" s="2"/>
      <x:c r="R791" s="3">
        <x:v>4</x:v>
      </x:c>
      <x:c r="S791" s="3"/>
      <x:c r="T791" s="2"/>
      <x:c r="U791" s="2"/>
      <x:c r="V791" s="2"/>
      <x:c r="W791" s="2"/>
      <x:c r="X791" s="3"/>
      <x:c r="Y791" s="3"/>
      <x:c r="Z791" s="2"/>
      <x:c r="AA791" s="2"/>
      <x:c r="AB791" s="2"/>
      <x:c r="AC791" s="2"/>
      <x:c r="AD791" s="2" t="s">
        <x:v>410</x:v>
      </x:c>
      <x:c r="AE791" s="2"/>
      <x:c r="AF791" s="2"/>
      <x:c r="AG791" s="2"/>
      <x:c r="AH791" s="2" t="s">
        <x:v>470</x:v>
      </x:c>
      <x:c r="AI791" s="4">
        <x:v>12</x:v>
      </x:c>
      <x:c r="AJ791" s="2" t="s">
        <x:v>489</x:v>
      </x:c>
      <x:c r="AK791" s="2" t="s">
        <x:v>460</x:v>
      </x:c>
      <x:c r="AL791" s="2" t="s">
        <x:v>3061</x:v>
      </x:c>
      <x:c r="AM791" s="2">
        <x:v>21</x:v>
      </x:c>
      <x:c r="AN791" s="2">
        <x:v>21</x:v>
      </x:c>
    </x:row>
    <x:row r="792" ht="39">
      <x:c r="A792" s="2" t="s">
        <x:v>6</x:v>
      </x:c>
      <x:c r="B792" s="2" t="s">
        <x:v>18</x:v>
      </x:c>
      <x:c r="C792" s="3">
        <x:v>20</x:v>
      </x:c>
      <x:c r="D792" s="2" t="s">
        <x:v>505</x:v>
      </x:c>
      <x:c r="E792" s="2" t="s">
        <x:v>2461</x:v>
      </x:c>
      <x:c r="F792" s="2" t="s">
        <x:v>464</x:v>
      </x:c>
      <x:c r="G792" s="2"/>
      <x:c r="H792" s="2" t="s">
        <x:v>618</x:v>
      </x:c>
      <x:c r="I792" s="2" t="s">
        <x:v>2462</x:v>
      </x:c>
      <x:c r="J792" s="2" t="s">
        <x:v>477</x:v>
      </x:c>
      <x:c r="K792" s="2"/>
      <x:c r="L792" s="2" t="s">
        <x:v>2463</x:v>
      </x:c>
      <x:c r="M792" s="2"/>
      <x:c r="N792" s="2"/>
      <x:c r="O792" s="2" t="s">
        <x:v>2464</x:v>
      </x:c>
      <x:c r="P792" s="2" t="s">
        <x:v>2465</x:v>
      </x:c>
      <x:c r="Q792" s="2"/>
      <x:c r="R792" s="3">
        <x:v>2</x:v>
      </x:c>
      <x:c r="S792" s="3"/>
      <x:c r="T792" s="2"/>
      <x:c r="U792" s="2"/>
      <x:c r="V792" s="2"/>
      <x:c r="W792" s="2"/>
      <x:c r="X792" s="3"/>
      <x:c r="Y792" s="3"/>
      <x:c r="Z792" s="2"/>
      <x:c r="AA792" s="2"/>
      <x:c r="AB792" s="2"/>
      <x:c r="AC792" s="2"/>
      <x:c r="AD792" s="2" t="s">
        <x:v>469</x:v>
      </x:c>
      <x:c r="AE792" s="2"/>
      <x:c r="AF792" s="2"/>
      <x:c r="AG792" s="2"/>
      <x:c r="AH792" s="2" t="s">
        <x:v>458</x:v>
      </x:c>
      <x:c r="AI792" s="4">
        <x:v>8</x:v>
      </x:c>
      <x:c r="AJ792" s="2" t="s">
        <x:v>2466</x:v>
      </x:c>
      <x:c r="AK792" s="2" t="s">
        <x:v>460</x:v>
      </x:c>
      <x:c r="AL792" s="2" t="s">
        <x:v>3061</x:v>
      </x:c>
      <x:c r="AM792" s="2">
        <x:v>22</x:v>
      </x:c>
      <x:c r="AN792" s="2">
        <x:v>22</x:v>
      </x:c>
    </x:row>
    <x:row r="793" ht="39">
      <x:c r="A793" s="2" t="s">
        <x:v>6</x:v>
      </x:c>
      <x:c r="B793" s="2" t="s">
        <x:v>18</x:v>
      </x:c>
      <x:c r="C793" s="3">
        <x:v>21</x:v>
      </x:c>
      <x:c r="D793" s="2" t="s">
        <x:v>2467</x:v>
      </x:c>
      <x:c r="E793" s="2" t="s">
        <x:v>2461</x:v>
      </x:c>
      <x:c r="F793" s="2" t="s">
        <x:v>464</x:v>
      </x:c>
      <x:c r="G793" s="2"/>
      <x:c r="H793" s="2" t="s">
        <x:v>627</x:v>
      </x:c>
      <x:c r="I793" s="2" t="s">
        <x:v>2462</x:v>
      </x:c>
      <x:c r="J793" s="2" t="s">
        <x:v>2468</x:v>
      </x:c>
      <x:c r="K793" s="2" t="n">
        <x:v>20</x:v>
      </x:c>
      <x:c r="L793" s="2" t="s">
        <x:v>2469</x:v>
      </x:c>
      <x:c r="M793" s="2"/>
      <x:c r="N793" s="2"/>
      <x:c r="O793" s="2" t="s">
        <x:v>2470</x:v>
      </x:c>
      <x:c r="P793" s="2" t="s">
        <x:v>2471</x:v>
      </x:c>
      <x:c r="Q793" s="2"/>
      <x:c r="R793" s="3">
        <x:v>2</x:v>
      </x:c>
      <x:c r="S793" s="3"/>
      <x:c r="T793" s="2"/>
      <x:c r="U793" s="2"/>
      <x:c r="V793" s="2"/>
      <x:c r="W793" s="2"/>
      <x:c r="X793" s="3"/>
      <x:c r="Y793" s="3"/>
      <x:c r="Z793" s="2"/>
      <x:c r="AA793" s="2"/>
      <x:c r="AB793" s="2"/>
      <x:c r="AC793" s="2"/>
      <x:c r="AD793" s="2" t="s">
        <x:v>469</x:v>
      </x:c>
      <x:c r="AE793" s="2"/>
      <x:c r="AF793" s="2"/>
      <x:c r="AG793" s="2"/>
      <x:c r="AH793" s="2" t="s">
        <x:v>458</x:v>
      </x:c>
      <x:c r="AI793" s="4">
        <x:v>8</x:v>
      </x:c>
      <x:c r="AJ793" s="2" t="s">
        <x:v>2472</x:v>
      </x:c>
      <x:c r="AK793" s="2" t="s">
        <x:v>460</x:v>
      </x:c>
      <x:c r="AL793" s="2" t="s">
        <x:v>3061</x:v>
      </x:c>
      <x:c r="AM793" s="2">
        <x:v>23</x:v>
      </x:c>
      <x:c r="AN793" s="2">
        <x:v>23</x:v>
      </x:c>
    </x:row>
    <x:row r="794" ht="39">
      <x:c r="A794" s="2" t="s">
        <x:v>6</x:v>
      </x:c>
      <x:c r="B794" s="2" t="s">
        <x:v>18</x:v>
      </x:c>
      <x:c r="C794" s="3">
        <x:v>22</x:v>
      </x:c>
      <x:c r="D794" s="2" t="s">
        <x:v>2473</x:v>
      </x:c>
      <x:c r="E794" s="2" t="s">
        <x:v>2461</x:v>
      </x:c>
      <x:c r="F794" s="2" t="s">
        <x:v>464</x:v>
      </x:c>
      <x:c r="G794" s="2"/>
      <x:c r="H794" s="2" t="s">
        <x:v>634</x:v>
      </x:c>
      <x:c r="I794" s="2" t="s">
        <x:v>2462</x:v>
      </x:c>
      <x:c r="J794" s="2" t="s">
        <x:v>477</x:v>
      </x:c>
      <x:c r="K794" s="2" t="n">
        <x:v>20</x:v>
      </x:c>
      <x:c r="L794" s="2" t="s">
        <x:v>2463</x:v>
      </x:c>
      <x:c r="M794" s="2"/>
      <x:c r="N794" s="2"/>
      <x:c r="O794" s="2" t="s">
        <x:v>2474</x:v>
      </x:c>
      <x:c r="P794" s="2" t="s">
        <x:v>2475</x:v>
      </x:c>
      <x:c r="Q794" s="2"/>
      <x:c r="R794" s="3">
        <x:v>2</x:v>
      </x:c>
      <x:c r="S794" s="3"/>
      <x:c r="T794" s="2"/>
      <x:c r="U794" s="2"/>
      <x:c r="V794" s="2"/>
      <x:c r="W794" s="2"/>
      <x:c r="X794" s="3"/>
      <x:c r="Y794" s="3"/>
      <x:c r="Z794" s="2"/>
      <x:c r="AA794" s="2"/>
      <x:c r="AB794" s="2"/>
      <x:c r="AC794" s="2"/>
      <x:c r="AD794" s="2" t="s">
        <x:v>469</x:v>
      </x:c>
      <x:c r="AE794" s="2"/>
      <x:c r="AF794" s="2"/>
      <x:c r="AG794" s="2"/>
      <x:c r="AH794" s="2" t="s">
        <x:v>458</x:v>
      </x:c>
      <x:c r="AI794" s="4">
        <x:v>8</x:v>
      </x:c>
      <x:c r="AJ794" s="2" t="s">
        <x:v>635</x:v>
      </x:c>
      <x:c r="AK794" s="2" t="s">
        <x:v>460</x:v>
      </x:c>
      <x:c r="AL794" s="2" t="s">
        <x:v>3061</x:v>
      </x:c>
      <x:c r="AM794" s="2">
        <x:v>24</x:v>
      </x:c>
      <x:c r="AN794" s="2">
        <x:v>24</x:v>
      </x:c>
    </x:row>
    <x:row r="795" ht="39">
      <x:c r="A795" s="2" t="s">
        <x:v>6</x:v>
      </x:c>
      <x:c r="B795" s="2" t="s">
        <x:v>18</x:v>
      </x:c>
      <x:c r="C795" s="3">
        <x:v>23</x:v>
      </x:c>
      <x:c r="D795" s="2" t="s">
        <x:v>2476</x:v>
      </x:c>
      <x:c r="E795" s="2" t="s">
        <x:v>2461</x:v>
      </x:c>
      <x:c r="F795" s="2" t="s">
        <x:v>464</x:v>
      </x:c>
      <x:c r="G795" s="2"/>
      <x:c r="H795" s="2" t="s">
        <x:v>634</x:v>
      </x:c>
      <x:c r="I795" s="2" t="s">
        <x:v>2462</x:v>
      </x:c>
      <x:c r="J795" s="2" t="s">
        <x:v>2468</x:v>
      </x:c>
      <x:c r="K795" s="2" t="n">
        <x:v>20</x:v>
      </x:c>
      <x:c r="L795" s="2" t="s">
        <x:v>2469</x:v>
      </x:c>
      <x:c r="M795" s="2"/>
      <x:c r="N795" s="2"/>
      <x:c r="O795" s="2" t="s">
        <x:v>2477</x:v>
      </x:c>
      <x:c r="P795" s="2" t="s">
        <x:v>1057</x:v>
      </x:c>
      <x:c r="Q795" s="2"/>
      <x:c r="R795" s="3">
        <x:v>2</x:v>
      </x:c>
      <x:c r="S795" s="3"/>
      <x:c r="T795" s="2"/>
      <x:c r="U795" s="2"/>
      <x:c r="V795" s="2"/>
      <x:c r="W795" s="2"/>
      <x:c r="X795" s="3"/>
      <x:c r="Y795" s="3"/>
      <x:c r="Z795" s="2"/>
      <x:c r="AA795" s="2"/>
      <x:c r="AB795" s="2"/>
      <x:c r="AC795" s="2"/>
      <x:c r="AD795" s="2" t="s">
        <x:v>469</x:v>
      </x:c>
      <x:c r="AE795" s="2"/>
      <x:c r="AF795" s="2"/>
      <x:c r="AG795" s="2"/>
      <x:c r="AH795" s="2" t="s">
        <x:v>458</x:v>
      </x:c>
      <x:c r="AI795" s="4">
        <x:v>8</x:v>
      </x:c>
      <x:c r="AJ795" s="2" t="s">
        <x:v>2478</x:v>
      </x:c>
      <x:c r="AK795" s="2" t="s">
        <x:v>460</x:v>
      </x:c>
      <x:c r="AL795" s="2" t="s">
        <x:v>3061</x:v>
      </x:c>
      <x:c r="AM795" s="2">
        <x:v>25</x:v>
      </x:c>
      <x:c r="AN795" s="2">
        <x:v>25</x:v>
      </x:c>
    </x:row>
    <x:row r="796" ht="39">
      <x:c r="A796" s="2" t="s">
        <x:v>6</x:v>
      </x:c>
      <x:c r="B796" s="2" t="s">
        <x:v>18</x:v>
      </x:c>
      <x:c r="C796" s="3">
        <x:v>24</x:v>
      </x:c>
      <x:c r="D796" s="2" t="s">
        <x:v>462</x:v>
      </x:c>
      <x:c r="E796" s="2" t="s">
        <x:v>2479</x:v>
      </x:c>
      <x:c r="F796" s="2" t="s">
        <x:v>474</x:v>
      </x:c>
      <x:c r="G796" s="2"/>
      <x:c r="H796" s="2" t="s">
        <x:v>618</x:v>
      </x:c>
      <x:c r="I796" s="2" t="s">
        <x:v>2481</x:v>
      </x:c>
      <x:c r="J796" s="2" t="s">
        <x:v>454</x:v>
      </x:c>
      <x:c r="K796" s="2"/>
      <x:c r="L796" s="2" t="s">
        <x:v>2482</x:v>
      </x:c>
      <x:c r="M796" s="2"/>
      <x:c r="N796" s="2"/>
      <x:c r="O796" s="2" t="s">
        <x:v>2464</x:v>
      </x:c>
      <x:c r="P796" s="2" t="s">
        <x:v>2483</x:v>
      </x:c>
      <x:c r="Q796" s="2"/>
      <x:c r="R796" s="3">
        <x:v>2</x:v>
      </x:c>
      <x:c r="S796" s="3"/>
      <x:c r="T796" s="2"/>
      <x:c r="U796" s="2"/>
      <x:c r="V796" s="2"/>
      <x:c r="W796" s="2"/>
      <x:c r="X796" s="3"/>
      <x:c r="Y796" s="3"/>
      <x:c r="Z796" s="2"/>
      <x:c r="AA796" s="2"/>
      <x:c r="AB796" s="2"/>
      <x:c r="AC796" s="2"/>
      <x:c r="AD796" s="2" t="s">
        <x:v>480</x:v>
      </x:c>
      <x:c r="AE796" s="2"/>
      <x:c r="AF796" s="2"/>
      <x:c r="AG796" s="2"/>
      <x:c r="AH796" s="2" t="s">
        <x:v>470</x:v>
      </x:c>
      <x:c r="AI796" s="4">
        <x:v>12</x:v>
      </x:c>
      <x:c r="AJ796" s="2" t="s">
        <x:v>2484</x:v>
      </x:c>
      <x:c r="AK796" s="2" t="s">
        <x:v>460</x:v>
      </x:c>
      <x:c r="AL796" s="2" t="s">
        <x:v>3061</x:v>
      </x:c>
      <x:c r="AM796" s="2">
        <x:v>26</x:v>
      </x:c>
      <x:c r="AN796" s="2">
        <x:v>26</x:v>
      </x:c>
    </x:row>
    <x:row r="797" ht="39">
      <x:c r="A797" s="2" t="s">
        <x:v>6</x:v>
      </x:c>
      <x:c r="B797" s="2" t="s">
        <x:v>18</x:v>
      </x:c>
      <x:c r="C797" s="3">
        <x:v>25</x:v>
      </x:c>
      <x:c r="D797" s="2" t="s">
        <x:v>2485</x:v>
      </x:c>
      <x:c r="E797" s="2" t="s">
        <x:v>2479</x:v>
      </x:c>
      <x:c r="F797" s="2" t="s">
        <x:v>474</x:v>
      </x:c>
      <x:c r="G797" s="2"/>
      <x:c r="H797" s="2" t="s">
        <x:v>627</x:v>
      </x:c>
      <x:c r="I797" s="2" t="s">
        <x:v>2481</x:v>
      </x:c>
      <x:c r="J797" s="2" t="s">
        <x:v>2468</x:v>
      </x:c>
      <x:c r="K797" s="2" t="n">
        <x:v>24</x:v>
      </x:c>
      <x:c r="L797" s="2" t="s">
        <x:v>2486</x:v>
      </x:c>
      <x:c r="M797" s="2"/>
      <x:c r="N797" s="2"/>
      <x:c r="O797" s="2" t="s">
        <x:v>2470</x:v>
      </x:c>
      <x:c r="P797" s="2" t="s">
        <x:v>2487</x:v>
      </x:c>
      <x:c r="Q797" s="2"/>
      <x:c r="R797" s="3">
        <x:v>2</x:v>
      </x:c>
      <x:c r="S797" s="3"/>
      <x:c r="T797" s="2"/>
      <x:c r="U797" s="2"/>
      <x:c r="V797" s="2"/>
      <x:c r="W797" s="2"/>
      <x:c r="X797" s="3"/>
      <x:c r="Y797" s="3"/>
      <x:c r="Z797" s="2"/>
      <x:c r="AA797" s="2"/>
      <x:c r="AB797" s="2"/>
      <x:c r="AC797" s="2"/>
      <x:c r="AD797" s="2" t="s">
        <x:v>480</x:v>
      </x:c>
      <x:c r="AE797" s="2"/>
      <x:c r="AF797" s="2"/>
      <x:c r="AG797" s="2"/>
      <x:c r="AH797" s="2" t="s">
        <x:v>470</x:v>
      </x:c>
      <x:c r="AI797" s="4">
        <x:v>12</x:v>
      </x:c>
      <x:c r="AJ797" s="2" t="s">
        <x:v>2472</x:v>
      </x:c>
      <x:c r="AK797" s="2" t="s">
        <x:v>460</x:v>
      </x:c>
      <x:c r="AL797" s="2" t="s">
        <x:v>3061</x:v>
      </x:c>
      <x:c r="AM797" s="2">
        <x:v>27</x:v>
      </x:c>
      <x:c r="AN797" s="2">
        <x:v>27</x:v>
      </x:c>
    </x:row>
    <x:row r="798" ht="39">
      <x:c r="A798" s="2" t="s">
        <x:v>91</x:v>
      </x:c>
      <x:c r="B798" s="2" t="s">
        <x:v>18</x:v>
      </x:c>
      <x:c r="C798" s="3">
        <x:v>26</x:v>
      </x:c>
      <x:c r="D798" s="2" t="s">
        <x:v>2488</x:v>
      </x:c>
      <x:c r="E798" s="2" t="s">
        <x:v>2479</x:v>
      </x:c>
      <x:c r="F798" s="2" t="s">
        <x:v>474</x:v>
      </x:c>
      <x:c r="G798" s="2" t="s">
        <x:v>3231</x:v>
      </x:c>
      <x:c r="H798" s="2" t="s">
        <x:v>634</x:v>
      </x:c>
      <x:c r="I798" s="2" t="s">
        <x:v>2481</x:v>
      </x:c>
      <x:c r="J798" s="2" t="s">
        <x:v>454</x:v>
      </x:c>
      <x:c r="K798" s="2" t="n">
        <x:v>24</x:v>
      </x:c>
      <x:c r="L798" s="2" t="s">
        <x:v>2482</x:v>
      </x:c>
      <x:c r="M798" s="2"/>
      <x:c r="N798" s="2"/>
      <x:c r="O798" s="2" t="s">
        <x:v>2474</x:v>
      </x:c>
      <x:c r="P798" s="2" t="s">
        <x:v>2475</x:v>
      </x:c>
      <x:c r="Q798" s="2"/>
      <x:c r="R798" s="3">
        <x:v>2</x:v>
      </x:c>
      <x:c r="S798" s="3"/>
      <x:c r="T798" s="2"/>
      <x:c r="U798" s="2"/>
      <x:c r="V798" s="2"/>
      <x:c r="W798" s="2"/>
      <x:c r="X798" s="3"/>
      <x:c r="Y798" s="3"/>
      <x:c r="Z798" s="2"/>
      <x:c r="AA798" s="2"/>
      <x:c r="AB798" s="2"/>
      <x:c r="AC798" s="2"/>
      <x:c r="AD798" s="2" t="s">
        <x:v>480</x:v>
      </x:c>
      <x:c r="AE798" s="2"/>
      <x:c r="AF798" s="2"/>
      <x:c r="AG798" s="2"/>
      <x:c r="AH798" s="2" t="s">
        <x:v>470</x:v>
      </x:c>
      <x:c r="AI798" s="4">
        <x:v>12</x:v>
      </x:c>
      <x:c r="AJ798" s="2" t="s">
        <x:v>635</x:v>
      </x:c>
      <x:c r="AK798" s="2" t="s">
        <x:v>460</x:v>
      </x:c>
      <x:c r="AL798" s="2" t="s">
        <x:v>3061</x:v>
      </x:c>
      <x:c r="AM798" s="2">
        <x:v>28</x:v>
      </x:c>
      <x:c r="AN798" s="2">
        <x:v>28</x:v>
      </x:c>
    </x:row>
    <x:row r="799" ht="39">
      <x:c r="A799" s="2" t="s">
        <x:v>6</x:v>
      </x:c>
      <x:c r="B799" s="2" t="s">
        <x:v>18</x:v>
      </x:c>
      <x:c r="C799" s="3">
        <x:v>27</x:v>
      </x:c>
      <x:c r="D799" s="2" t="s">
        <x:v>2489</x:v>
      </x:c>
      <x:c r="E799" s="2" t="s">
        <x:v>2479</x:v>
      </x:c>
      <x:c r="F799" s="2" t="s">
        <x:v>474</x:v>
      </x:c>
      <x:c r="G799" s="2"/>
      <x:c r="H799" s="2" t="s">
        <x:v>634</x:v>
      </x:c>
      <x:c r="I799" s="2" t="s">
        <x:v>2481</x:v>
      </x:c>
      <x:c r="J799" s="2" t="s">
        <x:v>2468</x:v>
      </x:c>
      <x:c r="K799" s="2" t="n">
        <x:v>24</x:v>
      </x:c>
      <x:c r="L799" s="2" t="s">
        <x:v>2486</x:v>
      </x:c>
      <x:c r="M799" s="2"/>
      <x:c r="N799" s="2"/>
      <x:c r="O799" s="2" t="s">
        <x:v>2477</x:v>
      </x:c>
      <x:c r="P799" s="2" t="s">
        <x:v>1057</x:v>
      </x:c>
      <x:c r="Q799" s="2"/>
      <x:c r="R799" s="3">
        <x:v>2</x:v>
      </x:c>
      <x:c r="S799" s="3"/>
      <x:c r="T799" s="2"/>
      <x:c r="U799" s="2"/>
      <x:c r="V799" s="2"/>
      <x:c r="W799" s="2"/>
      <x:c r="X799" s="3"/>
      <x:c r="Y799" s="3"/>
      <x:c r="Z799" s="2"/>
      <x:c r="AA799" s="2"/>
      <x:c r="AB799" s="2"/>
      <x:c r="AC799" s="2"/>
      <x:c r="AD799" s="2" t="s">
        <x:v>480</x:v>
      </x:c>
      <x:c r="AE799" s="2"/>
      <x:c r="AF799" s="2"/>
      <x:c r="AG799" s="2"/>
      <x:c r="AH799" s="2" t="s">
        <x:v>470</x:v>
      </x:c>
      <x:c r="AI799" s="4">
        <x:v>12</x:v>
      </x:c>
      <x:c r="AJ799" s="2" t="s">
        <x:v>2478</x:v>
      </x:c>
      <x:c r="AK799" s="2" t="s">
        <x:v>460</x:v>
      </x:c>
      <x:c r="AL799" s="2" t="s">
        <x:v>3061</x:v>
      </x:c>
      <x:c r="AM799" s="2">
        <x:v>29</x:v>
      </x:c>
      <x:c r="AN799" s="2">
        <x:v>29</x:v>
      </x:c>
    </x:row>
    <x:row r="800" ht="39">
      <x:c r="A800" s="2" t="s">
        <x:v>91</x:v>
      </x:c>
      <x:c r="B800" s="2" t="s">
        <x:v>18</x:v>
      </x:c>
      <x:c r="C800" s="3">
        <x:v>28</x:v>
      </x:c>
      <x:c r="D800" s="2" t="s">
        <x:v>482</x:v>
      </x:c>
      <x:c r="E800" s="2" t="s">
        <x:v>2490</x:v>
      </x:c>
      <x:c r="F800" s="2" t="s">
        <x:v>464</x:v>
      </x:c>
      <x:c r="G800" s="2" t="s">
        <x:v>3232</x:v>
      </x:c>
      <x:c r="H800" s="2" t="s">
        <x:v>618</x:v>
      </x:c>
      <x:c r="I800" s="2" t="s">
        <x:v>2491</x:v>
      </x:c>
      <x:c r="J800" s="2" t="s">
        <x:v>477</x:v>
      </x:c>
      <x:c r="K800" s="2"/>
      <x:c r="L800" s="2" t="s">
        <x:v>2492</x:v>
      </x:c>
      <x:c r="M800" s="2"/>
      <x:c r="N800" s="2"/>
      <x:c r="O800" s="2" t="s">
        <x:v>2464</x:v>
      </x:c>
      <x:c r="P800" s="2" t="s">
        <x:v>2493</x:v>
      </x:c>
      <x:c r="Q800" s="2"/>
      <x:c r="R800" s="3">
        <x:v>2</x:v>
      </x:c>
      <x:c r="S800" s="3"/>
      <x:c r="T800" s="2"/>
      <x:c r="U800" s="2"/>
      <x:c r="V800" s="2"/>
      <x:c r="W800" s="2"/>
      <x:c r="X800" s="3"/>
      <x:c r="Y800" s="3"/>
      <x:c r="Z800" s="2"/>
      <x:c r="AA800" s="2"/>
      <x:c r="AB800" s="2"/>
      <x:c r="AC800" s="2"/>
      <x:c r="AD800" s="2" t="s">
        <x:v>469</x:v>
      </x:c>
      <x:c r="AE800" s="2"/>
      <x:c r="AF800" s="2"/>
      <x:c r="AG800" s="2"/>
      <x:c r="AH800" s="2" t="s">
        <x:v>470</x:v>
      </x:c>
      <x:c r="AI800" s="4">
        <x:v>12</x:v>
      </x:c>
      <x:c r="AJ800" s="2" t="s">
        <x:v>2494</x:v>
      </x:c>
      <x:c r="AK800" s="2" t="s">
        <x:v>460</x:v>
      </x:c>
      <x:c r="AL800" s="2" t="s">
        <x:v>3061</x:v>
      </x:c>
      <x:c r="AM800" s="2">
        <x:v>30</x:v>
      </x:c>
      <x:c r="AN800" s="2">
        <x:v>30</x:v>
      </x:c>
    </x:row>
    <x:row r="801" ht="39">
      <x:c r="A801" s="2" t="s">
        <x:v>6</x:v>
      </x:c>
      <x:c r="B801" s="2" t="s">
        <x:v>18</x:v>
      </x:c>
      <x:c r="C801" s="3">
        <x:v>29</x:v>
      </x:c>
      <x:c r="D801" s="2" t="s">
        <x:v>2495</x:v>
      </x:c>
      <x:c r="E801" s="2" t="s">
        <x:v>2490</x:v>
      </x:c>
      <x:c r="F801" s="2" t="s">
        <x:v>464</x:v>
      </x:c>
      <x:c r="G801" s="2"/>
      <x:c r="H801" s="2" t="s">
        <x:v>627</x:v>
      </x:c>
      <x:c r="I801" s="2" t="s">
        <x:v>2491</x:v>
      </x:c>
      <x:c r="J801" s="2" t="s">
        <x:v>2468</x:v>
      </x:c>
      <x:c r="K801" s="2" t="n">
        <x:v>28</x:v>
      </x:c>
      <x:c r="L801" s="2" t="s">
        <x:v>2496</x:v>
      </x:c>
      <x:c r="M801" s="2"/>
      <x:c r="N801" s="2"/>
      <x:c r="O801" s="2" t="s">
        <x:v>2470</x:v>
      </x:c>
      <x:c r="P801" s="2" t="s">
        <x:v>2497</x:v>
      </x:c>
      <x:c r="Q801" s="2"/>
      <x:c r="R801" s="3">
        <x:v>2</x:v>
      </x:c>
      <x:c r="S801" s="3"/>
      <x:c r="T801" s="2"/>
      <x:c r="U801" s="2"/>
      <x:c r="V801" s="2"/>
      <x:c r="W801" s="2"/>
      <x:c r="X801" s="3"/>
      <x:c r="Y801" s="3"/>
      <x:c r="Z801" s="2"/>
      <x:c r="AA801" s="2"/>
      <x:c r="AB801" s="2"/>
      <x:c r="AC801" s="2"/>
      <x:c r="AD801" s="2" t="s">
        <x:v>469</x:v>
      </x:c>
      <x:c r="AE801" s="2"/>
      <x:c r="AF801" s="2"/>
      <x:c r="AG801" s="2"/>
      <x:c r="AH801" s="2" t="s">
        <x:v>470</x:v>
      </x:c>
      <x:c r="AI801" s="4">
        <x:v>12</x:v>
      </x:c>
      <x:c r="AJ801" s="2" t="s">
        <x:v>2472</x:v>
      </x:c>
      <x:c r="AK801" s="2" t="s">
        <x:v>460</x:v>
      </x:c>
      <x:c r="AL801" s="2" t="s">
        <x:v>3061</x:v>
      </x:c>
      <x:c r="AM801" s="2">
        <x:v>31</x:v>
      </x:c>
      <x:c r="AN801" s="2">
        <x:v>31</x:v>
      </x:c>
    </x:row>
    <x:row r="802" ht="39">
      <x:c r="A802" s="2" t="s">
        <x:v>6</x:v>
      </x:c>
      <x:c r="B802" s="2" t="s">
        <x:v>18</x:v>
      </x:c>
      <x:c r="C802" s="3">
        <x:v>30</x:v>
      </x:c>
      <x:c r="D802" s="2" t="s">
        <x:v>2498</x:v>
      </x:c>
      <x:c r="E802" s="2" t="s">
        <x:v>2490</x:v>
      </x:c>
      <x:c r="F802" s="2" t="s">
        <x:v>464</x:v>
      </x:c>
      <x:c r="G802" s="2"/>
      <x:c r="H802" s="2" t="s">
        <x:v>634</x:v>
      </x:c>
      <x:c r="I802" s="2" t="s">
        <x:v>2491</x:v>
      </x:c>
      <x:c r="J802" s="2" t="s">
        <x:v>477</x:v>
      </x:c>
      <x:c r="K802" s="2" t="n">
        <x:v>28</x:v>
      </x:c>
      <x:c r="L802" s="2" t="s">
        <x:v>2492</x:v>
      </x:c>
      <x:c r="M802" s="2"/>
      <x:c r="N802" s="2"/>
      <x:c r="O802" s="2" t="s">
        <x:v>2474</x:v>
      </x:c>
      <x:c r="P802" s="2" t="s">
        <x:v>2475</x:v>
      </x:c>
      <x:c r="Q802" s="2"/>
      <x:c r="R802" s="3">
        <x:v>2</x:v>
      </x:c>
      <x:c r="S802" s="3"/>
      <x:c r="T802" s="2"/>
      <x:c r="U802" s="2"/>
      <x:c r="V802" s="2"/>
      <x:c r="W802" s="2"/>
      <x:c r="X802" s="3"/>
      <x:c r="Y802" s="3"/>
      <x:c r="Z802" s="2"/>
      <x:c r="AA802" s="2"/>
      <x:c r="AB802" s="2"/>
      <x:c r="AC802" s="2"/>
      <x:c r="AD802" s="2" t="s">
        <x:v>469</x:v>
      </x:c>
      <x:c r="AE802" s="2"/>
      <x:c r="AF802" s="2"/>
      <x:c r="AG802" s="2"/>
      <x:c r="AH802" s="2" t="s">
        <x:v>470</x:v>
      </x:c>
      <x:c r="AI802" s="4">
        <x:v>12</x:v>
      </x:c>
      <x:c r="AJ802" s="2" t="s">
        <x:v>635</x:v>
      </x:c>
      <x:c r="AK802" s="2" t="s">
        <x:v>460</x:v>
      </x:c>
      <x:c r="AL802" s="2" t="s">
        <x:v>3061</x:v>
      </x:c>
      <x:c r="AM802" s="2">
        <x:v>32</x:v>
      </x:c>
      <x:c r="AN802" s="2">
        <x:v>32</x:v>
      </x:c>
    </x:row>
    <x:row r="803" ht="39">
      <x:c r="A803" s="2" t="s">
        <x:v>6</x:v>
      </x:c>
      <x:c r="B803" s="2" t="s">
        <x:v>18</x:v>
      </x:c>
      <x:c r="C803" s="3">
        <x:v>31</x:v>
      </x:c>
      <x:c r="D803" s="2" t="s">
        <x:v>2499</x:v>
      </x:c>
      <x:c r="E803" s="2" t="s">
        <x:v>2490</x:v>
      </x:c>
      <x:c r="F803" s="2" t="s">
        <x:v>464</x:v>
      </x:c>
      <x:c r="G803" s="2"/>
      <x:c r="H803" s="2" t="s">
        <x:v>634</x:v>
      </x:c>
      <x:c r="I803" s="2" t="s">
        <x:v>2491</x:v>
      </x:c>
      <x:c r="J803" s="2" t="s">
        <x:v>2468</x:v>
      </x:c>
      <x:c r="K803" s="2" t="n">
        <x:v>28</x:v>
      </x:c>
      <x:c r="L803" s="2" t="s">
        <x:v>2496</x:v>
      </x:c>
      <x:c r="M803" s="2"/>
      <x:c r="N803" s="2"/>
      <x:c r="O803" s="2" t="s">
        <x:v>2477</x:v>
      </x:c>
      <x:c r="P803" s="2" t="s">
        <x:v>1057</x:v>
      </x:c>
      <x:c r="Q803" s="2"/>
      <x:c r="R803" s="3">
        <x:v>2</x:v>
      </x:c>
      <x:c r="S803" s="3"/>
      <x:c r="T803" s="2"/>
      <x:c r="U803" s="2"/>
      <x:c r="V803" s="2"/>
      <x:c r="W803" s="2"/>
      <x:c r="X803" s="3"/>
      <x:c r="Y803" s="3"/>
      <x:c r="Z803" s="2"/>
      <x:c r="AA803" s="2"/>
      <x:c r="AB803" s="2"/>
      <x:c r="AC803" s="2"/>
      <x:c r="AD803" s="2" t="s">
        <x:v>469</x:v>
      </x:c>
      <x:c r="AE803" s="2"/>
      <x:c r="AF803" s="2"/>
      <x:c r="AG803" s="2"/>
      <x:c r="AH803" s="2" t="s">
        <x:v>470</x:v>
      </x:c>
      <x:c r="AI803" s="4">
        <x:v>12</x:v>
      </x:c>
      <x:c r="AJ803" s="2" t="s">
        <x:v>2478</x:v>
      </x:c>
      <x:c r="AK803" s="2" t="s">
        <x:v>460</x:v>
      </x:c>
      <x:c r="AL803" s="2" t="s">
        <x:v>3061</x:v>
      </x:c>
      <x:c r="AM803" s="2">
        <x:v>33</x:v>
      </x:c>
      <x:c r="AN803" s="2">
        <x:v>33</x:v>
      </x:c>
    </x:row>
    <x:row r="804" ht="39">
      <x:c r="A804" s="2" t="s">
        <x:v>6</x:v>
      </x:c>
      <x:c r="B804" s="2" t="s">
        <x:v>18</x:v>
      </x:c>
      <x:c r="C804" s="3">
        <x:v>32</x:v>
      </x:c>
      <x:c r="D804" s="2" t="s">
        <x:v>516</x:v>
      </x:c>
      <x:c r="E804" s="2" t="s">
        <x:v>2500</x:v>
      </x:c>
      <x:c r="F804" s="2" t="s">
        <x:v>474</x:v>
      </x:c>
      <x:c r="G804" s="2"/>
      <x:c r="H804" s="2" t="s">
        <x:v>618</x:v>
      </x:c>
      <x:c r="I804" s="2" t="s">
        <x:v>2501</x:v>
      </x:c>
      <x:c r="J804" s="2" t="s">
        <x:v>454</x:v>
      </x:c>
      <x:c r="K804" s="2"/>
      <x:c r="L804" s="2" t="s">
        <x:v>2502</x:v>
      </x:c>
      <x:c r="M804" s="2"/>
      <x:c r="N804" s="2"/>
      <x:c r="O804" s="2" t="s">
        <x:v>2464</x:v>
      </x:c>
      <x:c r="P804" s="2" t="s">
        <x:v>2503</x:v>
      </x:c>
      <x:c r="Q804" s="2"/>
      <x:c r="R804" s="3">
        <x:v>2</x:v>
      </x:c>
      <x:c r="S804" s="3"/>
      <x:c r="T804" s="2"/>
      <x:c r="U804" s="2"/>
      <x:c r="V804" s="2"/>
      <x:c r="W804" s="2"/>
      <x:c r="X804" s="3"/>
      <x:c r="Y804" s="3"/>
      <x:c r="Z804" s="2"/>
      <x:c r="AA804" s="2"/>
      <x:c r="AB804" s="2"/>
      <x:c r="AC804" s="2"/>
      <x:c r="AD804" s="2" t="s">
        <x:v>480</x:v>
      </x:c>
      <x:c r="AE804" s="2"/>
      <x:c r="AF804" s="2"/>
      <x:c r="AG804" s="2"/>
      <x:c r="AH804" s="2" t="s">
        <x:v>458</x:v>
      </x:c>
      <x:c r="AI804" s="4">
        <x:v>16</x:v>
      </x:c>
      <x:c r="AJ804" s="2" t="s">
        <x:v>2504</x:v>
      </x:c>
      <x:c r="AK804" s="2" t="s">
        <x:v>460</x:v>
      </x:c>
      <x:c r="AL804" s="2" t="s">
        <x:v>3061</x:v>
      </x:c>
      <x:c r="AM804" s="2">
        <x:v>34</x:v>
      </x:c>
      <x:c r="AN804" s="2">
        <x:v>34</x:v>
      </x:c>
    </x:row>
    <x:row r="805" ht="39">
      <x:c r="A805" s="2" t="s">
        <x:v>6</x:v>
      </x:c>
      <x:c r="B805" s="2" t="s">
        <x:v>18</x:v>
      </x:c>
      <x:c r="C805" s="3">
        <x:v>33</x:v>
      </x:c>
      <x:c r="D805" s="2" t="s">
        <x:v>2505</x:v>
      </x:c>
      <x:c r="E805" s="2" t="s">
        <x:v>2500</x:v>
      </x:c>
      <x:c r="F805" s="2" t="s">
        <x:v>474</x:v>
      </x:c>
      <x:c r="G805" s="2"/>
      <x:c r="H805" s="2" t="s">
        <x:v>627</x:v>
      </x:c>
      <x:c r="I805" s="2" t="s">
        <x:v>2501</x:v>
      </x:c>
      <x:c r="J805" s="2" t="s">
        <x:v>2468</x:v>
      </x:c>
      <x:c r="K805" s="2" t="n">
        <x:v>32</x:v>
      </x:c>
      <x:c r="L805" s="2" t="s">
        <x:v>2506</x:v>
      </x:c>
      <x:c r="M805" s="2"/>
      <x:c r="N805" s="2"/>
      <x:c r="O805" s="2" t="s">
        <x:v>2470</x:v>
      </x:c>
      <x:c r="P805" s="2" t="s">
        <x:v>2507</x:v>
      </x:c>
      <x:c r="Q805" s="2"/>
      <x:c r="R805" s="3">
        <x:v>2</x:v>
      </x:c>
      <x:c r="S805" s="3"/>
      <x:c r="T805" s="2"/>
      <x:c r="U805" s="2"/>
      <x:c r="V805" s="2"/>
      <x:c r="W805" s="2"/>
      <x:c r="X805" s="3"/>
      <x:c r="Y805" s="3"/>
      <x:c r="Z805" s="2"/>
      <x:c r="AA805" s="2"/>
      <x:c r="AB805" s="2"/>
      <x:c r="AC805" s="2"/>
      <x:c r="AD805" s="2" t="s">
        <x:v>480</x:v>
      </x:c>
      <x:c r="AE805" s="2"/>
      <x:c r="AF805" s="2"/>
      <x:c r="AG805" s="2"/>
      <x:c r="AH805" s="2" t="s">
        <x:v>458</x:v>
      </x:c>
      <x:c r="AI805" s="4">
        <x:v>16</x:v>
      </x:c>
      <x:c r="AJ805" s="2" t="s">
        <x:v>2472</x:v>
      </x:c>
      <x:c r="AK805" s="2" t="s">
        <x:v>460</x:v>
      </x:c>
      <x:c r="AL805" s="2" t="s">
        <x:v>3061</x:v>
      </x:c>
      <x:c r="AM805" s="2">
        <x:v>35</x:v>
      </x:c>
      <x:c r="AN805" s="2">
        <x:v>35</x:v>
      </x:c>
    </x:row>
    <x:row r="806" ht="39">
      <x:c r="A806" s="2" t="s">
        <x:v>6</x:v>
      </x:c>
      <x:c r="B806" s="2" t="s">
        <x:v>18</x:v>
      </x:c>
      <x:c r="C806" s="3">
        <x:v>34</x:v>
      </x:c>
      <x:c r="D806" s="2" t="s">
        <x:v>2508</x:v>
      </x:c>
      <x:c r="E806" s="2" t="s">
        <x:v>2500</x:v>
      </x:c>
      <x:c r="F806" s="2" t="s">
        <x:v>474</x:v>
      </x:c>
      <x:c r="G806" s="2" t="s">
        <x:v>3233</x:v>
      </x:c>
      <x:c r="H806" s="2" t="s">
        <x:v>634</x:v>
      </x:c>
      <x:c r="I806" s="2" t="s">
        <x:v>2501</x:v>
      </x:c>
      <x:c r="J806" s="2" t="s">
        <x:v>454</x:v>
      </x:c>
      <x:c r="K806" s="2" t="n">
        <x:v>32</x:v>
      </x:c>
      <x:c r="L806" s="2" t="s">
        <x:v>2502</x:v>
      </x:c>
      <x:c r="M806" s="2"/>
      <x:c r="N806" s="2"/>
      <x:c r="O806" s="2" t="s">
        <x:v>2474</x:v>
      </x:c>
      <x:c r="P806" s="2" t="s">
        <x:v>2475</x:v>
      </x:c>
      <x:c r="Q806" s="2"/>
      <x:c r="R806" s="3">
        <x:v>2</x:v>
      </x:c>
      <x:c r="S806" s="3"/>
      <x:c r="T806" s="2"/>
      <x:c r="U806" s="2"/>
      <x:c r="V806" s="2"/>
      <x:c r="W806" s="2"/>
      <x:c r="X806" s="3"/>
      <x:c r="Y806" s="3"/>
      <x:c r="Z806" s="2"/>
      <x:c r="AA806" s="2"/>
      <x:c r="AB806" s="2"/>
      <x:c r="AC806" s="2"/>
      <x:c r="AD806" s="2" t="s">
        <x:v>480</x:v>
      </x:c>
      <x:c r="AE806" s="2"/>
      <x:c r="AF806" s="2"/>
      <x:c r="AG806" s="2"/>
      <x:c r="AH806" s="2" t="s">
        <x:v>458</x:v>
      </x:c>
      <x:c r="AI806" s="4">
        <x:v>16</x:v>
      </x:c>
      <x:c r="AJ806" s="2" t="s">
        <x:v>635</x:v>
      </x:c>
      <x:c r="AK806" s="2" t="s">
        <x:v>460</x:v>
      </x:c>
      <x:c r="AL806" s="2" t="s">
        <x:v>3061</x:v>
      </x:c>
      <x:c r="AM806" s="2">
        <x:v>36</x:v>
      </x:c>
      <x:c r="AN806" s="2">
        <x:v>36</x:v>
      </x:c>
    </x:row>
    <x:row r="807" ht="39">
      <x:c r="A807" s="2" t="s">
        <x:v>6</x:v>
      </x:c>
      <x:c r="B807" s="2" t="s">
        <x:v>18</x:v>
      </x:c>
      <x:c r="C807" s="3">
        <x:v>35</x:v>
      </x:c>
      <x:c r="D807" s="2" t="s">
        <x:v>2509</x:v>
      </x:c>
      <x:c r="E807" s="2" t="s">
        <x:v>2500</x:v>
      </x:c>
      <x:c r="F807" s="2" t="s">
        <x:v>474</x:v>
      </x:c>
      <x:c r="G807" s="2"/>
      <x:c r="H807" s="2" t="s">
        <x:v>634</x:v>
      </x:c>
      <x:c r="I807" s="2" t="s">
        <x:v>2501</x:v>
      </x:c>
      <x:c r="J807" s="2" t="s">
        <x:v>2468</x:v>
      </x:c>
      <x:c r="K807" s="2" t="n">
        <x:v>32</x:v>
      </x:c>
      <x:c r="L807" s="2" t="s">
        <x:v>2506</x:v>
      </x:c>
      <x:c r="M807" s="2"/>
      <x:c r="N807" s="2"/>
      <x:c r="O807" s="2" t="s">
        <x:v>2477</x:v>
      </x:c>
      <x:c r="P807" s="2" t="s">
        <x:v>1057</x:v>
      </x:c>
      <x:c r="Q807" s="2"/>
      <x:c r="R807" s="3">
        <x:v>2</x:v>
      </x:c>
      <x:c r="S807" s="3"/>
      <x:c r="T807" s="2"/>
      <x:c r="U807" s="2"/>
      <x:c r="V807" s="2"/>
      <x:c r="W807" s="2"/>
      <x:c r="X807" s="3"/>
      <x:c r="Y807" s="3"/>
      <x:c r="Z807" s="2"/>
      <x:c r="AA807" s="2"/>
      <x:c r="AB807" s="2"/>
      <x:c r="AC807" s="2"/>
      <x:c r="AD807" s="2" t="s">
        <x:v>480</x:v>
      </x:c>
      <x:c r="AE807" s="2"/>
      <x:c r="AF807" s="2"/>
      <x:c r="AG807" s="2"/>
      <x:c r="AH807" s="2" t="s">
        <x:v>458</x:v>
      </x:c>
      <x:c r="AI807" s="4">
        <x:v>16</x:v>
      </x:c>
      <x:c r="AJ807" s="2" t="s">
        <x:v>2478</x:v>
      </x:c>
      <x:c r="AK807" s="2" t="s">
        <x:v>460</x:v>
      </x:c>
      <x:c r="AL807" s="2" t="s">
        <x:v>3061</x:v>
      </x:c>
      <x:c r="AM807" s="2">
        <x:v>37</x:v>
      </x:c>
      <x:c r="AN807" s="2">
        <x:v>37</x:v>
      </x:c>
    </x:row>
    <x:row r="808" ht="39">
      <x:c r="A808" s="2" t="s">
        <x:v>91</x:v>
      </x:c>
      <x:c r="B808" s="2" t="s">
        <x:v>18</x:v>
      </x:c>
      <x:c r="C808" s="3">
        <x:v>36</x:v>
      </x:c>
      <x:c r="D808" s="2" t="s">
        <x:v>472</x:v>
      </x:c>
      <x:c r="E808" s="2" t="s">
        <x:v>2510</x:v>
      </x:c>
      <x:c r="F808" s="2" t="s">
        <x:v>464</x:v>
      </x:c>
      <x:c r="G808" s="2" t="s">
        <x:v>3234</x:v>
      </x:c>
      <x:c r="H808" s="2" t="s">
        <x:v>618</x:v>
      </x:c>
      <x:c r="I808" s="2" t="s">
        <x:v>2511</x:v>
      </x:c>
      <x:c r="J808" s="2" t="s">
        <x:v>477</x:v>
      </x:c>
      <x:c r="K808" s="2"/>
      <x:c r="L808" s="2" t="s">
        <x:v>2512</x:v>
      </x:c>
      <x:c r="M808" s="2"/>
      <x:c r="N808" s="2"/>
      <x:c r="O808" s="2" t="s">
        <x:v>2464</x:v>
      </x:c>
      <x:c r="P808" s="2" t="s">
        <x:v>2513</x:v>
      </x:c>
      <x:c r="Q808" s="2"/>
      <x:c r="R808" s="3">
        <x:v>2</x:v>
      </x:c>
      <x:c r="S808" s="3"/>
      <x:c r="T808" s="2"/>
      <x:c r="U808" s="2"/>
      <x:c r="V808" s="2"/>
      <x:c r="W808" s="2"/>
      <x:c r="X808" s="3"/>
      <x:c r="Y808" s="3"/>
      <x:c r="Z808" s="2"/>
      <x:c r="AA808" s="2"/>
      <x:c r="AB808" s="2"/>
      <x:c r="AC808" s="2"/>
      <x:c r="AD808" s="2" t="s">
        <x:v>469</x:v>
      </x:c>
      <x:c r="AE808" s="2"/>
      <x:c r="AF808" s="2"/>
      <x:c r="AG808" s="2"/>
      <x:c r="AH808" s="2" t="s">
        <x:v>458</x:v>
      </x:c>
      <x:c r="AI808" s="4">
        <x:v>16</x:v>
      </x:c>
      <x:c r="AJ808" s="2" t="s">
        <x:v>2514</x:v>
      </x:c>
      <x:c r="AK808" s="2" t="s">
        <x:v>460</x:v>
      </x:c>
      <x:c r="AL808" s="2" t="s">
        <x:v>3061</x:v>
      </x:c>
      <x:c r="AM808" s="2">
        <x:v>38</x:v>
      </x:c>
      <x:c r="AN808" s="2">
        <x:v>38</x:v>
      </x:c>
    </x:row>
    <x:row r="809" ht="39">
      <x:c r="A809" s="2" t="s">
        <x:v>6</x:v>
      </x:c>
      <x:c r="B809" s="2" t="s">
        <x:v>18</x:v>
      </x:c>
      <x:c r="C809" s="3">
        <x:v>37</x:v>
      </x:c>
      <x:c r="D809" s="2" t="s">
        <x:v>2515</x:v>
      </x:c>
      <x:c r="E809" s="2" t="s">
        <x:v>2510</x:v>
      </x:c>
      <x:c r="F809" s="2" t="s">
        <x:v>464</x:v>
      </x:c>
      <x:c r="G809" s="2"/>
      <x:c r="H809" s="2" t="s">
        <x:v>627</x:v>
      </x:c>
      <x:c r="I809" s="2" t="s">
        <x:v>2511</x:v>
      </x:c>
      <x:c r="J809" s="2" t="s">
        <x:v>2468</x:v>
      </x:c>
      <x:c r="K809" s="2" t="n">
        <x:v>36</x:v>
      </x:c>
      <x:c r="L809" s="2" t="s">
        <x:v>2516</x:v>
      </x:c>
      <x:c r="M809" s="2"/>
      <x:c r="N809" s="2"/>
      <x:c r="O809" s="2" t="s">
        <x:v>2470</x:v>
      </x:c>
      <x:c r="P809" s="2" t="s">
        <x:v>2517</x:v>
      </x:c>
      <x:c r="Q809" s="2"/>
      <x:c r="R809" s="3">
        <x:v>2</x:v>
      </x:c>
      <x:c r="S809" s="3"/>
      <x:c r="T809" s="2"/>
      <x:c r="U809" s="2"/>
      <x:c r="V809" s="2"/>
      <x:c r="W809" s="2"/>
      <x:c r="X809" s="3"/>
      <x:c r="Y809" s="3"/>
      <x:c r="Z809" s="2"/>
      <x:c r="AA809" s="2"/>
      <x:c r="AB809" s="2"/>
      <x:c r="AC809" s="2"/>
      <x:c r="AD809" s="2" t="s">
        <x:v>469</x:v>
      </x:c>
      <x:c r="AE809" s="2"/>
      <x:c r="AF809" s="2"/>
      <x:c r="AG809" s="2"/>
      <x:c r="AH809" s="2" t="s">
        <x:v>458</x:v>
      </x:c>
      <x:c r="AI809" s="4">
        <x:v>16</x:v>
      </x:c>
      <x:c r="AJ809" s="2" t="s">
        <x:v>2472</x:v>
      </x:c>
      <x:c r="AK809" s="2" t="s">
        <x:v>460</x:v>
      </x:c>
      <x:c r="AL809" s="2" t="s">
        <x:v>3061</x:v>
      </x:c>
      <x:c r="AM809" s="2">
        <x:v>39</x:v>
      </x:c>
      <x:c r="AN809" s="2">
        <x:v>39</x:v>
      </x:c>
    </x:row>
    <x:row r="810" ht="39">
      <x:c r="A810" s="2" t="s">
        <x:v>6</x:v>
      </x:c>
      <x:c r="B810" s="2" t="s">
        <x:v>18</x:v>
      </x:c>
      <x:c r="C810" s="3">
        <x:v>38</x:v>
      </x:c>
      <x:c r="D810" s="2" t="s">
        <x:v>2518</x:v>
      </x:c>
      <x:c r="E810" s="2" t="s">
        <x:v>2510</x:v>
      </x:c>
      <x:c r="F810" s="2" t="s">
        <x:v>464</x:v>
      </x:c>
      <x:c r="G810" s="2"/>
      <x:c r="H810" s="2" t="s">
        <x:v>634</x:v>
      </x:c>
      <x:c r="I810" s="2" t="s">
        <x:v>2511</x:v>
      </x:c>
      <x:c r="J810" s="2" t="s">
        <x:v>477</x:v>
      </x:c>
      <x:c r="K810" s="2" t="n">
        <x:v>36</x:v>
      </x:c>
      <x:c r="L810" s="2" t="s">
        <x:v>2512</x:v>
      </x:c>
      <x:c r="M810" s="2"/>
      <x:c r="N810" s="2"/>
      <x:c r="O810" s="2" t="s">
        <x:v>2474</x:v>
      </x:c>
      <x:c r="P810" s="2" t="s">
        <x:v>2475</x:v>
      </x:c>
      <x:c r="Q810" s="2"/>
      <x:c r="R810" s="3">
        <x:v>2</x:v>
      </x:c>
      <x:c r="S810" s="3"/>
      <x:c r="T810" s="2"/>
      <x:c r="U810" s="2"/>
      <x:c r="V810" s="2"/>
      <x:c r="W810" s="2"/>
      <x:c r="X810" s="3"/>
      <x:c r="Y810" s="3"/>
      <x:c r="Z810" s="2"/>
      <x:c r="AA810" s="2"/>
      <x:c r="AB810" s="2"/>
      <x:c r="AC810" s="2"/>
      <x:c r="AD810" s="2" t="s">
        <x:v>469</x:v>
      </x:c>
      <x:c r="AE810" s="2"/>
      <x:c r="AF810" s="2"/>
      <x:c r="AG810" s="2"/>
      <x:c r="AH810" s="2" t="s">
        <x:v>458</x:v>
      </x:c>
      <x:c r="AI810" s="4">
        <x:v>16</x:v>
      </x:c>
      <x:c r="AJ810" s="2" t="s">
        <x:v>635</x:v>
      </x:c>
      <x:c r="AK810" s="2" t="s">
        <x:v>460</x:v>
      </x:c>
      <x:c r="AL810" s="2" t="s">
        <x:v>3061</x:v>
      </x:c>
      <x:c r="AM810" s="2">
        <x:v>40</x:v>
      </x:c>
      <x:c r="AN810" s="2">
        <x:v>40</x:v>
      </x:c>
    </x:row>
    <x:row r="811" ht="39">
      <x:c r="A811" s="2" t="s">
        <x:v>6</x:v>
      </x:c>
      <x:c r="B811" s="2" t="s">
        <x:v>18</x:v>
      </x:c>
      <x:c r="C811" s="3">
        <x:v>39</x:v>
      </x:c>
      <x:c r="D811" s="2" t="s">
        <x:v>2519</x:v>
      </x:c>
      <x:c r="E811" s="2" t="s">
        <x:v>2510</x:v>
      </x:c>
      <x:c r="F811" s="2" t="s">
        <x:v>464</x:v>
      </x:c>
      <x:c r="G811" s="2"/>
      <x:c r="H811" s="2" t="s">
        <x:v>634</x:v>
      </x:c>
      <x:c r="I811" s="2" t="s">
        <x:v>2511</x:v>
      </x:c>
      <x:c r="J811" s="2" t="s">
        <x:v>2468</x:v>
      </x:c>
      <x:c r="K811" s="2" t="n">
        <x:v>36</x:v>
      </x:c>
      <x:c r="L811" s="2" t="s">
        <x:v>2516</x:v>
      </x:c>
      <x:c r="M811" s="2"/>
      <x:c r="N811" s="2"/>
      <x:c r="O811" s="2" t="s">
        <x:v>2477</x:v>
      </x:c>
      <x:c r="P811" s="2" t="s">
        <x:v>1057</x:v>
      </x:c>
      <x:c r="Q811" s="2"/>
      <x:c r="R811" s="3">
        <x:v>2</x:v>
      </x:c>
      <x:c r="S811" s="3"/>
      <x:c r="T811" s="2"/>
      <x:c r="U811" s="2"/>
      <x:c r="V811" s="2"/>
      <x:c r="W811" s="2"/>
      <x:c r="X811" s="3"/>
      <x:c r="Y811" s="3"/>
      <x:c r="Z811" s="2"/>
      <x:c r="AA811" s="2"/>
      <x:c r="AB811" s="2"/>
      <x:c r="AC811" s="2"/>
      <x:c r="AD811" s="2" t="s">
        <x:v>469</x:v>
      </x:c>
      <x:c r="AE811" s="2"/>
      <x:c r="AF811" s="2"/>
      <x:c r="AG811" s="2"/>
      <x:c r="AH811" s="2" t="s">
        <x:v>458</x:v>
      </x:c>
      <x:c r="AI811" s="4">
        <x:v>16</x:v>
      </x:c>
      <x:c r="AJ811" s="2" t="s">
        <x:v>2478</x:v>
      </x:c>
      <x:c r="AK811" s="2" t="s">
        <x:v>460</x:v>
      </x:c>
      <x:c r="AL811" s="2" t="s">
        <x:v>3061</x:v>
      </x:c>
      <x:c r="AM811" s="2">
        <x:v>41</x:v>
      </x:c>
      <x:c r="AN811" s="2">
        <x:v>41</x:v>
      </x:c>
    </x:row>
    <x:row r="812" ht="39">
      <x:c r="A812" s="2" t="s">
        <x:v>6</x:v>
      </x:c>
      <x:c r="B812" s="2" t="s">
        <x:v>18</x:v>
      </x:c>
      <x:c r="C812" s="3">
        <x:v>40</x:v>
      </x:c>
      <x:c r="D812" s="2" t="s">
        <x:v>449</x:v>
      </x:c>
      <x:c r="E812" s="2" t="s">
        <x:v>2521</x:v>
      </x:c>
      <x:c r="F812" s="2" t="s">
        <x:v>474</x:v>
      </x:c>
      <x:c r="G812" s="2"/>
      <x:c r="H812" s="2" t="s">
        <x:v>618</x:v>
      </x:c>
      <x:c r="I812" s="2" t="s">
        <x:v>2522</x:v>
      </x:c>
      <x:c r="J812" s="2" t="s">
        <x:v>454</x:v>
      </x:c>
      <x:c r="K812" s="2"/>
      <x:c r="L812" s="2" t="s">
        <x:v>2523</x:v>
      </x:c>
      <x:c r="M812" s="2"/>
      <x:c r="N812" s="2"/>
      <x:c r="O812" s="2" t="s">
        <x:v>2464</x:v>
      </x:c>
      <x:c r="P812" s="2" t="s">
        <x:v>2524</x:v>
      </x:c>
      <x:c r="Q812" s="2"/>
      <x:c r="R812" s="3">
        <x:v>2</x:v>
      </x:c>
      <x:c r="S812" s="3"/>
      <x:c r="T812" s="2"/>
      <x:c r="U812" s="2"/>
      <x:c r="V812" s="2"/>
      <x:c r="W812" s="2"/>
      <x:c r="X812" s="3"/>
      <x:c r="Y812" s="3"/>
      <x:c r="Z812" s="2"/>
      <x:c r="AA812" s="2"/>
      <x:c r="AB812" s="2"/>
      <x:c r="AC812" s="2"/>
      <x:c r="AD812" s="2" t="s">
        <x:v>480</x:v>
      </x:c>
      <x:c r="AE812" s="2"/>
      <x:c r="AF812" s="2"/>
      <x:c r="AG812" s="2"/>
      <x:c r="AH812" s="2" t="s">
        <x:v>470</x:v>
      </x:c>
      <x:c r="AI812" s="4">
        <x:v>8</x:v>
      </x:c>
      <x:c r="AJ812" s="2" t="s">
        <x:v>2525</x:v>
      </x:c>
      <x:c r="AK812" s="2" t="s">
        <x:v>460</x:v>
      </x:c>
      <x:c r="AL812" s="2" t="s">
        <x:v>3061</x:v>
      </x:c>
      <x:c r="AM812" s="2">
        <x:v>42</x:v>
      </x:c>
      <x:c r="AN812" s="2">
        <x:v>42</x:v>
      </x:c>
    </x:row>
    <x:row r="813" ht="39">
      <x:c r="A813" s="2" t="s">
        <x:v>6</x:v>
      </x:c>
      <x:c r="B813" s="2" t="s">
        <x:v>18</x:v>
      </x:c>
      <x:c r="C813" s="3">
        <x:v>41</x:v>
      </x:c>
      <x:c r="D813" s="2" t="s">
        <x:v>2526</x:v>
      </x:c>
      <x:c r="E813" s="2" t="s">
        <x:v>2521</x:v>
      </x:c>
      <x:c r="F813" s="2" t="s">
        <x:v>474</x:v>
      </x:c>
      <x:c r="G813" s="2"/>
      <x:c r="H813" s="2" t="s">
        <x:v>627</x:v>
      </x:c>
      <x:c r="I813" s="2" t="s">
        <x:v>2522</x:v>
      </x:c>
      <x:c r="J813" s="2" t="s">
        <x:v>2468</x:v>
      </x:c>
      <x:c r="K813" s="2" t="n">
        <x:v>40</x:v>
      </x:c>
      <x:c r="L813" s="2" t="s">
        <x:v>2527</x:v>
      </x:c>
      <x:c r="M813" s="2"/>
      <x:c r="N813" s="2"/>
      <x:c r="O813" s="2" t="s">
        <x:v>2470</x:v>
      </x:c>
      <x:c r="P813" s="2" t="s">
        <x:v>2528</x:v>
      </x:c>
      <x:c r="Q813" s="2"/>
      <x:c r="R813" s="3">
        <x:v>2</x:v>
      </x:c>
      <x:c r="S813" s="3"/>
      <x:c r="T813" s="2"/>
      <x:c r="U813" s="2"/>
      <x:c r="V813" s="2"/>
      <x:c r="W813" s="2"/>
      <x:c r="X813" s="3"/>
      <x:c r="Y813" s="3"/>
      <x:c r="Z813" s="2"/>
      <x:c r="AA813" s="2"/>
      <x:c r="AB813" s="2"/>
      <x:c r="AC813" s="2"/>
      <x:c r="AD813" s="2" t="s">
        <x:v>480</x:v>
      </x:c>
      <x:c r="AE813" s="2"/>
      <x:c r="AF813" s="2"/>
      <x:c r="AG813" s="2"/>
      <x:c r="AH813" s="2" t="s">
        <x:v>470</x:v>
      </x:c>
      <x:c r="AI813" s="4">
        <x:v>8</x:v>
      </x:c>
      <x:c r="AJ813" s="2" t="s">
        <x:v>2472</x:v>
      </x:c>
      <x:c r="AK813" s="2" t="s">
        <x:v>460</x:v>
      </x:c>
      <x:c r="AL813" s="2" t="s">
        <x:v>3061</x:v>
      </x:c>
      <x:c r="AM813" s="2">
        <x:v>43</x:v>
      </x:c>
      <x:c r="AN813" s="2">
        <x:v>43</x:v>
      </x:c>
    </x:row>
    <x:row r="814" ht="39">
      <x:c r="A814" s="2" t="s">
        <x:v>91</x:v>
      </x:c>
      <x:c r="B814" s="2" t="s">
        <x:v>18</x:v>
      </x:c>
      <x:c r="C814" s="3">
        <x:v>42</x:v>
      </x:c>
      <x:c r="D814" s="2" t="s">
        <x:v>2529</x:v>
      </x:c>
      <x:c r="E814" s="2" t="s">
        <x:v>2521</x:v>
      </x:c>
      <x:c r="F814" s="2" t="s">
        <x:v>474</x:v>
      </x:c>
      <x:c r="G814" s="2" t="s">
        <x:v>3235</x:v>
      </x:c>
      <x:c r="H814" s="2" t="s">
        <x:v>634</x:v>
      </x:c>
      <x:c r="I814" s="2" t="s">
        <x:v>2522</x:v>
      </x:c>
      <x:c r="J814" s="2" t="s">
        <x:v>454</x:v>
      </x:c>
      <x:c r="K814" s="2" t="n">
        <x:v>40</x:v>
      </x:c>
      <x:c r="L814" s="2" t="s">
        <x:v>2523</x:v>
      </x:c>
      <x:c r="M814" s="2"/>
      <x:c r="N814" s="2"/>
      <x:c r="O814" s="2" t="s">
        <x:v>2474</x:v>
      </x:c>
      <x:c r="P814" s="2" t="s">
        <x:v>2475</x:v>
      </x:c>
      <x:c r="Q814" s="2"/>
      <x:c r="R814" s="3">
        <x:v>2</x:v>
      </x:c>
      <x:c r="S814" s="3"/>
      <x:c r="T814" s="2"/>
      <x:c r="U814" s="2"/>
      <x:c r="V814" s="2"/>
      <x:c r="W814" s="2"/>
      <x:c r="X814" s="3"/>
      <x:c r="Y814" s="3"/>
      <x:c r="Z814" s="2"/>
      <x:c r="AA814" s="2"/>
      <x:c r="AB814" s="2"/>
      <x:c r="AC814" s="2"/>
      <x:c r="AD814" s="2" t="s">
        <x:v>480</x:v>
      </x:c>
      <x:c r="AE814" s="2"/>
      <x:c r="AF814" s="2"/>
      <x:c r="AG814" s="2"/>
      <x:c r="AH814" s="2" t="s">
        <x:v>470</x:v>
      </x:c>
      <x:c r="AI814" s="4">
        <x:v>8</x:v>
      </x:c>
      <x:c r="AJ814" s="2" t="s">
        <x:v>635</x:v>
      </x:c>
      <x:c r="AK814" s="2" t="s">
        <x:v>460</x:v>
      </x:c>
      <x:c r="AL814" s="2" t="s">
        <x:v>3061</x:v>
      </x:c>
      <x:c r="AM814" s="2">
        <x:v>44</x:v>
      </x:c>
      <x:c r="AN814" s="2">
        <x:v>44</x:v>
      </x:c>
    </x:row>
    <x:row r="815" ht="39">
      <x:c r="A815" s="2" t="s">
        <x:v>6</x:v>
      </x:c>
      <x:c r="B815" s="2" t="s">
        <x:v>18</x:v>
      </x:c>
      <x:c r="C815" s="3">
        <x:v>43</x:v>
      </x:c>
      <x:c r="D815" s="2" t="s">
        <x:v>2531</x:v>
      </x:c>
      <x:c r="E815" s="2" t="s">
        <x:v>2521</x:v>
      </x:c>
      <x:c r="F815" s="2" t="s">
        <x:v>474</x:v>
      </x:c>
      <x:c r="G815" s="2"/>
      <x:c r="H815" s="2" t="s">
        <x:v>634</x:v>
      </x:c>
      <x:c r="I815" s="2" t="s">
        <x:v>2522</x:v>
      </x:c>
      <x:c r="J815" s="2" t="s">
        <x:v>2468</x:v>
      </x:c>
      <x:c r="K815" s="2" t="n">
        <x:v>40</x:v>
      </x:c>
      <x:c r="L815" s="2" t="s">
        <x:v>2527</x:v>
      </x:c>
      <x:c r="M815" s="2"/>
      <x:c r="N815" s="2"/>
      <x:c r="O815" s="2" t="s">
        <x:v>2477</x:v>
      </x:c>
      <x:c r="P815" s="2" t="s">
        <x:v>1057</x:v>
      </x:c>
      <x:c r="Q815" s="2"/>
      <x:c r="R815" s="3">
        <x:v>2</x:v>
      </x:c>
      <x:c r="S815" s="3"/>
      <x:c r="T815" s="2"/>
      <x:c r="U815" s="2"/>
      <x:c r="V815" s="2"/>
      <x:c r="W815" s="2"/>
      <x:c r="X815" s="3"/>
      <x:c r="Y815" s="3"/>
      <x:c r="Z815" s="2"/>
      <x:c r="AA815" s="2"/>
      <x:c r="AB815" s="2"/>
      <x:c r="AC815" s="2"/>
      <x:c r="AD815" s="2" t="s">
        <x:v>480</x:v>
      </x:c>
      <x:c r="AE815" s="2"/>
      <x:c r="AF815" s="2"/>
      <x:c r="AG815" s="2"/>
      <x:c r="AH815" s="2" t="s">
        <x:v>470</x:v>
      </x:c>
      <x:c r="AI815" s="4">
        <x:v>8</x:v>
      </x:c>
      <x:c r="AJ815" s="2" t="s">
        <x:v>2478</x:v>
      </x:c>
      <x:c r="AK815" s="2" t="s">
        <x:v>460</x:v>
      </x:c>
      <x:c r="AL815" s="2" t="s">
        <x:v>3061</x:v>
      </x:c>
      <x:c r="AM815" s="2">
        <x:v>45</x:v>
      </x:c>
      <x:c r="AN815" s="2">
        <x:v>45</x:v>
      </x:c>
    </x:row>
    <x:row r="816" ht="39">
      <x:c r="A816" s="2" t="s">
        <x:v>6</x:v>
      </x:c>
      <x:c r="B816" s="2" t="s">
        <x:v>18</x:v>
      </x:c>
      <x:c r="C816" s="3">
        <x:v>44</x:v>
      </x:c>
      <x:c r="D816" s="2" t="s">
        <x:v>505</x:v>
      </x:c>
      <x:c r="E816" s="2" t="s">
        <x:v>2532</x:v>
      </x:c>
      <x:c r="F816" s="2" t="s">
        <x:v>464</x:v>
      </x:c>
      <x:c r="G816" s="2"/>
      <x:c r="H816" s="2" t="s">
        <x:v>618</x:v>
      </x:c>
      <x:c r="I816" s="2" t="s">
        <x:v>2533</x:v>
      </x:c>
      <x:c r="J816" s="2" t="s">
        <x:v>477</x:v>
      </x:c>
      <x:c r="K816" s="2"/>
      <x:c r="L816" s="2" t="s">
        <x:v>2534</x:v>
      </x:c>
      <x:c r="M816" s="2"/>
      <x:c r="N816" s="2"/>
      <x:c r="O816" s="2" t="s">
        <x:v>2464</x:v>
      </x:c>
      <x:c r="P816" s="2" t="s">
        <x:v>2535</x:v>
      </x:c>
      <x:c r="Q816" s="2"/>
      <x:c r="R816" s="3">
        <x:v>2</x:v>
      </x:c>
      <x:c r="S816" s="3"/>
      <x:c r="T816" s="2"/>
      <x:c r="U816" s="2"/>
      <x:c r="V816" s="2"/>
      <x:c r="W816" s="2"/>
      <x:c r="X816" s="3"/>
      <x:c r="Y816" s="3"/>
      <x:c r="Z816" s="2"/>
      <x:c r="AA816" s="2"/>
      <x:c r="AB816" s="2"/>
      <x:c r="AC816" s="2"/>
      <x:c r="AD816" s="2" t="s">
        <x:v>469</x:v>
      </x:c>
      <x:c r="AE816" s="2"/>
      <x:c r="AF816" s="2"/>
      <x:c r="AG816" s="2"/>
      <x:c r="AH816" s="2" t="s">
        <x:v>470</x:v>
      </x:c>
      <x:c r="AI816" s="4">
        <x:v>8</x:v>
      </x:c>
      <x:c r="AJ816" s="2" t="s">
        <x:v>2466</x:v>
      </x:c>
      <x:c r="AK816" s="2" t="s">
        <x:v>460</x:v>
      </x:c>
      <x:c r="AL816" s="2" t="s">
        <x:v>3061</x:v>
      </x:c>
      <x:c r="AM816" s="2">
        <x:v>46</x:v>
      </x:c>
      <x:c r="AN816" s="2">
        <x:v>46</x:v>
      </x:c>
    </x:row>
    <x:row r="817" ht="39">
      <x:c r="A817" s="2" t="s">
        <x:v>6</x:v>
      </x:c>
      <x:c r="B817" s="2" t="s">
        <x:v>18</x:v>
      </x:c>
      <x:c r="C817" s="3">
        <x:v>45</x:v>
      </x:c>
      <x:c r="D817" s="2" t="s">
        <x:v>2467</x:v>
      </x:c>
      <x:c r="E817" s="2" t="s">
        <x:v>2532</x:v>
      </x:c>
      <x:c r="F817" s="2" t="s">
        <x:v>464</x:v>
      </x:c>
      <x:c r="G817" s="2"/>
      <x:c r="H817" s="2" t="s">
        <x:v>627</x:v>
      </x:c>
      <x:c r="I817" s="2" t="s">
        <x:v>2533</x:v>
      </x:c>
      <x:c r="J817" s="2" t="s">
        <x:v>2468</x:v>
      </x:c>
      <x:c r="K817" s="2" t="n">
        <x:v>44</x:v>
      </x:c>
      <x:c r="L817" s="2" t="s">
        <x:v>2536</x:v>
      </x:c>
      <x:c r="M817" s="2"/>
      <x:c r="N817" s="2"/>
      <x:c r="O817" s="2" t="s">
        <x:v>2470</x:v>
      </x:c>
      <x:c r="P817" s="2" t="s">
        <x:v>2537</x:v>
      </x:c>
      <x:c r="Q817" s="2"/>
      <x:c r="R817" s="3">
        <x:v>2</x:v>
      </x:c>
      <x:c r="S817" s="3"/>
      <x:c r="T817" s="2"/>
      <x:c r="U817" s="2"/>
      <x:c r="V817" s="2"/>
      <x:c r="W817" s="2"/>
      <x:c r="X817" s="3"/>
      <x:c r="Y817" s="3"/>
      <x:c r="Z817" s="2"/>
      <x:c r="AA817" s="2"/>
      <x:c r="AB817" s="2"/>
      <x:c r="AC817" s="2"/>
      <x:c r="AD817" s="2" t="s">
        <x:v>469</x:v>
      </x:c>
      <x:c r="AE817" s="2"/>
      <x:c r="AF817" s="2"/>
      <x:c r="AG817" s="2"/>
      <x:c r="AH817" s="2" t="s">
        <x:v>470</x:v>
      </x:c>
      <x:c r="AI817" s="4">
        <x:v>8</x:v>
      </x:c>
      <x:c r="AJ817" s="2" t="s">
        <x:v>2472</x:v>
      </x:c>
      <x:c r="AK817" s="2" t="s">
        <x:v>460</x:v>
      </x:c>
      <x:c r="AL817" s="2" t="s">
        <x:v>3061</x:v>
      </x:c>
      <x:c r="AM817" s="2">
        <x:v>47</x:v>
      </x:c>
      <x:c r="AN817" s="2">
        <x:v>47</x:v>
      </x:c>
    </x:row>
    <x:row r="818" ht="39">
      <x:c r="A818" s="2" t="s">
        <x:v>6</x:v>
      </x:c>
      <x:c r="B818" s="2" t="s">
        <x:v>18</x:v>
      </x:c>
      <x:c r="C818" s="3">
        <x:v>46</x:v>
      </x:c>
      <x:c r="D818" s="2" t="s">
        <x:v>2538</x:v>
      </x:c>
      <x:c r="E818" s="2" t="s">
        <x:v>2532</x:v>
      </x:c>
      <x:c r="F818" s="2" t="s">
        <x:v>464</x:v>
      </x:c>
      <x:c r="G818" s="2"/>
      <x:c r="H818" s="2" t="s">
        <x:v>634</x:v>
      </x:c>
      <x:c r="I818" s="2" t="s">
        <x:v>2533</x:v>
      </x:c>
      <x:c r="J818" s="2" t="s">
        <x:v>477</x:v>
      </x:c>
      <x:c r="K818" s="2" t="n">
        <x:v>44</x:v>
      </x:c>
      <x:c r="L818" s="2" t="s">
        <x:v>2534</x:v>
      </x:c>
      <x:c r="M818" s="2"/>
      <x:c r="N818" s="2"/>
      <x:c r="O818" s="2" t="s">
        <x:v>2474</x:v>
      </x:c>
      <x:c r="P818" s="2" t="s">
        <x:v>2475</x:v>
      </x:c>
      <x:c r="Q818" s="2"/>
      <x:c r="R818" s="3">
        <x:v>2</x:v>
      </x:c>
      <x:c r="S818" s="3"/>
      <x:c r="T818" s="2"/>
      <x:c r="U818" s="2"/>
      <x:c r="V818" s="2"/>
      <x:c r="W818" s="2"/>
      <x:c r="X818" s="3"/>
      <x:c r="Y818" s="3"/>
      <x:c r="Z818" s="2"/>
      <x:c r="AA818" s="2"/>
      <x:c r="AB818" s="2"/>
      <x:c r="AC818" s="2"/>
      <x:c r="AD818" s="2" t="s">
        <x:v>469</x:v>
      </x:c>
      <x:c r="AE818" s="2"/>
      <x:c r="AF818" s="2"/>
      <x:c r="AG818" s="2"/>
      <x:c r="AH818" s="2" t="s">
        <x:v>470</x:v>
      </x:c>
      <x:c r="AI818" s="4">
        <x:v>8</x:v>
      </x:c>
      <x:c r="AJ818" s="2" t="s">
        <x:v>635</x:v>
      </x:c>
      <x:c r="AK818" s="2" t="s">
        <x:v>460</x:v>
      </x:c>
      <x:c r="AL818" s="2" t="s">
        <x:v>3061</x:v>
      </x:c>
      <x:c r="AM818" s="2">
        <x:v>48</x:v>
      </x:c>
      <x:c r="AN818" s="2">
        <x:v>48</x:v>
      </x:c>
    </x:row>
    <x:row r="819" ht="39">
      <x:c r="A819" s="2" t="s">
        <x:v>6</x:v>
      </x:c>
      <x:c r="B819" s="2" t="s">
        <x:v>18</x:v>
      </x:c>
      <x:c r="C819" s="3">
        <x:v>47</x:v>
      </x:c>
      <x:c r="D819" s="2" t="s">
        <x:v>2539</x:v>
      </x:c>
      <x:c r="E819" s="2" t="s">
        <x:v>2532</x:v>
      </x:c>
      <x:c r="F819" s="2" t="s">
        <x:v>464</x:v>
      </x:c>
      <x:c r="G819" s="2"/>
      <x:c r="H819" s="2" t="s">
        <x:v>634</x:v>
      </x:c>
      <x:c r="I819" s="2" t="s">
        <x:v>2533</x:v>
      </x:c>
      <x:c r="J819" s="2" t="s">
        <x:v>2468</x:v>
      </x:c>
      <x:c r="K819" s="2" t="n">
        <x:v>44</x:v>
      </x:c>
      <x:c r="L819" s="2" t="s">
        <x:v>2536</x:v>
      </x:c>
      <x:c r="M819" s="2"/>
      <x:c r="N819" s="2"/>
      <x:c r="O819" s="2" t="s">
        <x:v>2477</x:v>
      </x:c>
      <x:c r="P819" s="2" t="s">
        <x:v>1057</x:v>
      </x:c>
      <x:c r="Q819" s="2"/>
      <x:c r="R819" s="3">
        <x:v>2</x:v>
      </x:c>
      <x:c r="S819" s="3"/>
      <x:c r="T819" s="2"/>
      <x:c r="U819" s="2"/>
      <x:c r="V819" s="2"/>
      <x:c r="W819" s="2"/>
      <x:c r="X819" s="3"/>
      <x:c r="Y819" s="3"/>
      <x:c r="Z819" s="2"/>
      <x:c r="AA819" s="2"/>
      <x:c r="AB819" s="2"/>
      <x:c r="AC819" s="2"/>
      <x:c r="AD819" s="2" t="s">
        <x:v>469</x:v>
      </x:c>
      <x:c r="AE819" s="2"/>
      <x:c r="AF819" s="2"/>
      <x:c r="AG819" s="2"/>
      <x:c r="AH819" s="2" t="s">
        <x:v>470</x:v>
      </x:c>
      <x:c r="AI819" s="4">
        <x:v>8</x:v>
      </x:c>
      <x:c r="AJ819" s="2" t="s">
        <x:v>2478</x:v>
      </x:c>
      <x:c r="AK819" s="2" t="s">
        <x:v>460</x:v>
      </x:c>
      <x:c r="AL819" s="2" t="s">
        <x:v>3061</x:v>
      </x:c>
      <x:c r="AM819" s="2">
        <x:v>49</x:v>
      </x:c>
      <x:c r="AN819" s="2">
        <x:v>49</x:v>
      </x:c>
    </x:row>
    <x:row r="820" ht="39">
      <x:c r="A820" s="2" t="s">
        <x:v>91</x:v>
      </x:c>
      <x:c r="B820" s="2" t="s">
        <x:v>18</x:v>
      </x:c>
      <x:c r="C820" s="3">
        <x:v>48</x:v>
      </x:c>
      <x:c r="D820" s="2" t="s">
        <x:v>462</x:v>
      </x:c>
      <x:c r="E820" s="2" t="s">
        <x:v>2540</x:v>
      </x:c>
      <x:c r="F820" s="2" t="s">
        <x:v>474</x:v>
      </x:c>
      <x:c r="G820" s="2" t="s">
        <x:v>3236</x:v>
      </x:c>
      <x:c r="H820" s="2" t="s">
        <x:v>618</x:v>
      </x:c>
      <x:c r="I820" s="2" t="s">
        <x:v>2541</x:v>
      </x:c>
      <x:c r="J820" s="2" t="s">
        <x:v>454</x:v>
      </x:c>
      <x:c r="K820" s="2"/>
      <x:c r="L820" s="2" t="s">
        <x:v>2542</x:v>
      </x:c>
      <x:c r="M820" s="2"/>
      <x:c r="N820" s="2"/>
      <x:c r="O820" s="2" t="s">
        <x:v>2464</x:v>
      </x:c>
      <x:c r="P820" s="2" t="s">
        <x:v>2543</x:v>
      </x:c>
      <x:c r="Q820" s="2"/>
      <x:c r="R820" s="3">
        <x:v>2</x:v>
      </x:c>
      <x:c r="S820" s="3"/>
      <x:c r="T820" s="2"/>
      <x:c r="U820" s="2"/>
      <x:c r="V820" s="2"/>
      <x:c r="W820" s="2"/>
      <x:c r="X820" s="3"/>
      <x:c r="Y820" s="3"/>
      <x:c r="Z820" s="2"/>
      <x:c r="AA820" s="2"/>
      <x:c r="AB820" s="2"/>
      <x:c r="AC820" s="2"/>
      <x:c r="AD820" s="2" t="s">
        <x:v>480</x:v>
      </x:c>
      <x:c r="AE820" s="2"/>
      <x:c r="AF820" s="2"/>
      <x:c r="AG820" s="2"/>
      <x:c r="AH820" s="2" t="s">
        <x:v>458</x:v>
      </x:c>
      <x:c r="AI820" s="4">
        <x:v>12</x:v>
      </x:c>
      <x:c r="AJ820" s="2" t="s">
        <x:v>2484</x:v>
      </x:c>
      <x:c r="AK820" s="2" t="s">
        <x:v>460</x:v>
      </x:c>
      <x:c r="AL820" s="2" t="s">
        <x:v>3061</x:v>
      </x:c>
      <x:c r="AM820" s="2">
        <x:v>50</x:v>
      </x:c>
      <x:c r="AN820" s="2">
        <x:v>50</x:v>
      </x:c>
    </x:row>
    <x:row r="821" ht="39">
      <x:c r="A821" s="2" t="s">
        <x:v>6</x:v>
      </x:c>
      <x:c r="B821" s="2" t="s">
        <x:v>18</x:v>
      </x:c>
      <x:c r="C821" s="3">
        <x:v>49</x:v>
      </x:c>
      <x:c r="D821" s="2" t="s">
        <x:v>2485</x:v>
      </x:c>
      <x:c r="E821" s="2" t="s">
        <x:v>2540</x:v>
      </x:c>
      <x:c r="F821" s="2" t="s">
        <x:v>474</x:v>
      </x:c>
      <x:c r="G821" s="2"/>
      <x:c r="H821" s="2" t="s">
        <x:v>627</x:v>
      </x:c>
      <x:c r="I821" s="2" t="s">
        <x:v>2541</x:v>
      </x:c>
      <x:c r="J821" s="2" t="s">
        <x:v>2468</x:v>
      </x:c>
      <x:c r="K821" s="2" t="n">
        <x:v>48</x:v>
      </x:c>
      <x:c r="L821" s="2" t="s">
        <x:v>2544</x:v>
      </x:c>
      <x:c r="M821" s="2"/>
      <x:c r="N821" s="2"/>
      <x:c r="O821" s="2" t="s">
        <x:v>2470</x:v>
      </x:c>
      <x:c r="P821" s="2" t="s">
        <x:v>2545</x:v>
      </x:c>
      <x:c r="Q821" s="2"/>
      <x:c r="R821" s="3">
        <x:v>2</x:v>
      </x:c>
      <x:c r="S821" s="3"/>
      <x:c r="T821" s="2"/>
      <x:c r="U821" s="2"/>
      <x:c r="V821" s="2"/>
      <x:c r="W821" s="2"/>
      <x:c r="X821" s="3"/>
      <x:c r="Y821" s="3"/>
      <x:c r="Z821" s="2"/>
      <x:c r="AA821" s="2"/>
      <x:c r="AB821" s="2"/>
      <x:c r="AC821" s="2"/>
      <x:c r="AD821" s="2" t="s">
        <x:v>480</x:v>
      </x:c>
      <x:c r="AE821" s="2"/>
      <x:c r="AF821" s="2"/>
      <x:c r="AG821" s="2"/>
      <x:c r="AH821" s="2" t="s">
        <x:v>458</x:v>
      </x:c>
      <x:c r="AI821" s="4">
        <x:v>12</x:v>
      </x:c>
      <x:c r="AJ821" s="2" t="s">
        <x:v>2472</x:v>
      </x:c>
      <x:c r="AK821" s="2" t="s">
        <x:v>460</x:v>
      </x:c>
      <x:c r="AL821" s="2" t="s">
        <x:v>3061</x:v>
      </x:c>
      <x:c r="AM821" s="2">
        <x:v>51</x:v>
      </x:c>
      <x:c r="AN821" s="2">
        <x:v>51</x:v>
      </x:c>
    </x:row>
    <x:row r="822" ht="39">
      <x:c r="A822" s="2" t="s">
        <x:v>91</x:v>
      </x:c>
      <x:c r="B822" s="2" t="s">
        <x:v>18</x:v>
      </x:c>
      <x:c r="C822" s="3">
        <x:v>50</x:v>
      </x:c>
      <x:c r="D822" s="2" t="s">
        <x:v>2546</x:v>
      </x:c>
      <x:c r="E822" s="2" t="s">
        <x:v>2540</x:v>
      </x:c>
      <x:c r="F822" s="2" t="s">
        <x:v>474</x:v>
      </x:c>
      <x:c r="G822" s="2" t="s">
        <x:v>3236</x:v>
      </x:c>
      <x:c r="H822" s="2" t="s">
        <x:v>634</x:v>
      </x:c>
      <x:c r="I822" s="2" t="s">
        <x:v>2541</x:v>
      </x:c>
      <x:c r="J822" s="2" t="s">
        <x:v>454</x:v>
      </x:c>
      <x:c r="K822" s="2" t="n">
        <x:v>48</x:v>
      </x:c>
      <x:c r="L822" s="2" t="s">
        <x:v>2542</x:v>
      </x:c>
      <x:c r="M822" s="2"/>
      <x:c r="N822" s="2"/>
      <x:c r="O822" s="2" t="s">
        <x:v>2474</x:v>
      </x:c>
      <x:c r="P822" s="2" t="s">
        <x:v>2475</x:v>
      </x:c>
      <x:c r="Q822" s="2"/>
      <x:c r="R822" s="3">
        <x:v>2</x:v>
      </x:c>
      <x:c r="S822" s="3"/>
      <x:c r="T822" s="2"/>
      <x:c r="U822" s="2"/>
      <x:c r="V822" s="2"/>
      <x:c r="W822" s="2"/>
      <x:c r="X822" s="3"/>
      <x:c r="Y822" s="3"/>
      <x:c r="Z822" s="2"/>
      <x:c r="AA822" s="2"/>
      <x:c r="AB822" s="2"/>
      <x:c r="AC822" s="2"/>
      <x:c r="AD822" s="2" t="s">
        <x:v>480</x:v>
      </x:c>
      <x:c r="AE822" s="2"/>
      <x:c r="AF822" s="2"/>
      <x:c r="AG822" s="2"/>
      <x:c r="AH822" s="2" t="s">
        <x:v>458</x:v>
      </x:c>
      <x:c r="AI822" s="4">
        <x:v>12</x:v>
      </x:c>
      <x:c r="AJ822" s="2" t="s">
        <x:v>635</x:v>
      </x:c>
      <x:c r="AK822" s="2" t="s">
        <x:v>460</x:v>
      </x:c>
      <x:c r="AL822" s="2" t="s">
        <x:v>3061</x:v>
      </x:c>
      <x:c r="AM822" s="2">
        <x:v>52</x:v>
      </x:c>
      <x:c r="AN822" s="2">
        <x:v>52</x:v>
      </x:c>
    </x:row>
    <x:row r="823" ht="39">
      <x:c r="A823" s="2" t="s">
        <x:v>6</x:v>
      </x:c>
      <x:c r="B823" s="2" t="s">
        <x:v>18</x:v>
      </x:c>
      <x:c r="C823" s="3">
        <x:v>51</x:v>
      </x:c>
      <x:c r="D823" s="2" t="s">
        <x:v>2548</x:v>
      </x:c>
      <x:c r="E823" s="2" t="s">
        <x:v>2540</x:v>
      </x:c>
      <x:c r="F823" s="2" t="s">
        <x:v>474</x:v>
      </x:c>
      <x:c r="G823" s="2"/>
      <x:c r="H823" s="2" t="s">
        <x:v>634</x:v>
      </x:c>
      <x:c r="I823" s="2" t="s">
        <x:v>2541</x:v>
      </x:c>
      <x:c r="J823" s="2" t="s">
        <x:v>2468</x:v>
      </x:c>
      <x:c r="K823" s="2" t="n">
        <x:v>48</x:v>
      </x:c>
      <x:c r="L823" s="2" t="s">
        <x:v>2544</x:v>
      </x:c>
      <x:c r="M823" s="2"/>
      <x:c r="N823" s="2"/>
      <x:c r="O823" s="2" t="s">
        <x:v>2477</x:v>
      </x:c>
      <x:c r="P823" s="2" t="s">
        <x:v>1057</x:v>
      </x:c>
      <x:c r="Q823" s="2"/>
      <x:c r="R823" s="3">
        <x:v>2</x:v>
      </x:c>
      <x:c r="S823" s="3"/>
      <x:c r="T823" s="2"/>
      <x:c r="U823" s="2"/>
      <x:c r="V823" s="2"/>
      <x:c r="W823" s="2"/>
      <x:c r="X823" s="3"/>
      <x:c r="Y823" s="3"/>
      <x:c r="Z823" s="2"/>
      <x:c r="AA823" s="2"/>
      <x:c r="AB823" s="2"/>
      <x:c r="AC823" s="2"/>
      <x:c r="AD823" s="2" t="s">
        <x:v>480</x:v>
      </x:c>
      <x:c r="AE823" s="2"/>
      <x:c r="AF823" s="2"/>
      <x:c r="AG823" s="2"/>
      <x:c r="AH823" s="2" t="s">
        <x:v>458</x:v>
      </x:c>
      <x:c r="AI823" s="4">
        <x:v>12</x:v>
      </x:c>
      <x:c r="AJ823" s="2" t="s">
        <x:v>2478</x:v>
      </x:c>
      <x:c r="AK823" s="2" t="s">
        <x:v>460</x:v>
      </x:c>
      <x:c r="AL823" s="2" t="s">
        <x:v>3061</x:v>
      </x:c>
      <x:c r="AM823" s="2">
        <x:v>53</x:v>
      </x:c>
      <x:c r="AN823" s="2">
        <x:v>53</x:v>
      </x:c>
    </x:row>
    <x:row r="824" ht="39">
      <x:c r="A824" s="2" t="s">
        <x:v>6</x:v>
      </x:c>
      <x:c r="B824" s="2" t="s">
        <x:v>18</x:v>
      </x:c>
      <x:c r="C824" s="3">
        <x:v>52</x:v>
      </x:c>
      <x:c r="D824" s="2" t="s">
        <x:v>482</x:v>
      </x:c>
      <x:c r="E824" s="2" t="s">
        <x:v>2549</x:v>
      </x:c>
      <x:c r="F824" s="2" t="s">
        <x:v>464</x:v>
      </x:c>
      <x:c r="G824" s="2"/>
      <x:c r="H824" s="2" t="s">
        <x:v>618</x:v>
      </x:c>
      <x:c r="I824" s="2" t="s">
        <x:v>2551</x:v>
      </x:c>
      <x:c r="J824" s="2" t="s">
        <x:v>477</x:v>
      </x:c>
      <x:c r="K824" s="2"/>
      <x:c r="L824" s="2" t="s">
        <x:v>2552</x:v>
      </x:c>
      <x:c r="M824" s="2"/>
      <x:c r="N824" s="2"/>
      <x:c r="O824" s="2" t="s">
        <x:v>2464</x:v>
      </x:c>
      <x:c r="P824" s="2" t="s">
        <x:v>2553</x:v>
      </x:c>
      <x:c r="Q824" s="2"/>
      <x:c r="R824" s="3">
        <x:v>2</x:v>
      </x:c>
      <x:c r="S824" s="3"/>
      <x:c r="T824" s="2"/>
      <x:c r="U824" s="2"/>
      <x:c r="V824" s="2"/>
      <x:c r="W824" s="2"/>
      <x:c r="X824" s="3"/>
      <x:c r="Y824" s="3"/>
      <x:c r="Z824" s="2"/>
      <x:c r="AA824" s="2"/>
      <x:c r="AB824" s="2"/>
      <x:c r="AC824" s="2"/>
      <x:c r="AD824" s="2" t="s">
        <x:v>469</x:v>
      </x:c>
      <x:c r="AE824" s="2"/>
      <x:c r="AF824" s="2"/>
      <x:c r="AG824" s="2"/>
      <x:c r="AH824" s="2" t="s">
        <x:v>458</x:v>
      </x:c>
      <x:c r="AI824" s="4">
        <x:v>12</x:v>
      </x:c>
      <x:c r="AJ824" s="2" t="s">
        <x:v>2494</x:v>
      </x:c>
      <x:c r="AK824" s="2" t="s">
        <x:v>460</x:v>
      </x:c>
      <x:c r="AL824" s="2" t="s">
        <x:v>3061</x:v>
      </x:c>
      <x:c r="AM824" s="2">
        <x:v>54</x:v>
      </x:c>
      <x:c r="AN824" s="2">
        <x:v>54</x:v>
      </x:c>
    </x:row>
    <x:row r="825" ht="39">
      <x:c r="A825" s="2" t="s">
        <x:v>6</x:v>
      </x:c>
      <x:c r="B825" s="2" t="s">
        <x:v>18</x:v>
      </x:c>
      <x:c r="C825" s="3">
        <x:v>53</x:v>
      </x:c>
      <x:c r="D825" s="2" t="s">
        <x:v>2495</x:v>
      </x:c>
      <x:c r="E825" s="2" t="s">
        <x:v>2549</x:v>
      </x:c>
      <x:c r="F825" s="2" t="s">
        <x:v>464</x:v>
      </x:c>
      <x:c r="G825" s="2"/>
      <x:c r="H825" s="2" t="s">
        <x:v>627</x:v>
      </x:c>
      <x:c r="I825" s="2" t="s">
        <x:v>2551</x:v>
      </x:c>
      <x:c r="J825" s="2" t="s">
        <x:v>2468</x:v>
      </x:c>
      <x:c r="K825" s="2" t="n">
        <x:v>52</x:v>
      </x:c>
      <x:c r="L825" s="2" t="s">
        <x:v>2554</x:v>
      </x:c>
      <x:c r="M825" s="2"/>
      <x:c r="N825" s="2"/>
      <x:c r="O825" s="2" t="s">
        <x:v>2470</x:v>
      </x:c>
      <x:c r="P825" s="2" t="s">
        <x:v>2555</x:v>
      </x:c>
      <x:c r="Q825" s="2"/>
      <x:c r="R825" s="3">
        <x:v>2</x:v>
      </x:c>
      <x:c r="S825" s="3"/>
      <x:c r="T825" s="2"/>
      <x:c r="U825" s="2"/>
      <x:c r="V825" s="2"/>
      <x:c r="W825" s="2"/>
      <x:c r="X825" s="3"/>
      <x:c r="Y825" s="3"/>
      <x:c r="Z825" s="2"/>
      <x:c r="AA825" s="2"/>
      <x:c r="AB825" s="2"/>
      <x:c r="AC825" s="2"/>
      <x:c r="AD825" s="2" t="s">
        <x:v>469</x:v>
      </x:c>
      <x:c r="AE825" s="2"/>
      <x:c r="AF825" s="2"/>
      <x:c r="AG825" s="2"/>
      <x:c r="AH825" s="2" t="s">
        <x:v>458</x:v>
      </x:c>
      <x:c r="AI825" s="4">
        <x:v>12</x:v>
      </x:c>
      <x:c r="AJ825" s="2" t="s">
        <x:v>2472</x:v>
      </x:c>
      <x:c r="AK825" s="2" t="s">
        <x:v>460</x:v>
      </x:c>
      <x:c r="AL825" s="2" t="s">
        <x:v>3061</x:v>
      </x:c>
      <x:c r="AM825" s="2">
        <x:v>55</x:v>
      </x:c>
      <x:c r="AN825" s="2">
        <x:v>55</x:v>
      </x:c>
    </x:row>
    <x:row r="826" ht="39">
      <x:c r="A826" s="2" t="s">
        <x:v>6</x:v>
      </x:c>
      <x:c r="B826" s="2" t="s">
        <x:v>18</x:v>
      </x:c>
      <x:c r="C826" s="3">
        <x:v>54</x:v>
      </x:c>
      <x:c r="D826" s="2" t="s">
        <x:v>2556</x:v>
      </x:c>
      <x:c r="E826" s="2" t="s">
        <x:v>2549</x:v>
      </x:c>
      <x:c r="F826" s="2" t="s">
        <x:v>464</x:v>
      </x:c>
      <x:c r="G826" s="2"/>
      <x:c r="H826" s="2" t="s">
        <x:v>634</x:v>
      </x:c>
      <x:c r="I826" s="2" t="s">
        <x:v>2551</x:v>
      </x:c>
      <x:c r="J826" s="2" t="s">
        <x:v>477</x:v>
      </x:c>
      <x:c r="K826" s="2" t="n">
        <x:v>52</x:v>
      </x:c>
      <x:c r="L826" s="2" t="s">
        <x:v>2552</x:v>
      </x:c>
      <x:c r="M826" s="2"/>
      <x:c r="N826" s="2"/>
      <x:c r="O826" s="2" t="s">
        <x:v>2474</x:v>
      </x:c>
      <x:c r="P826" s="2" t="s">
        <x:v>2475</x:v>
      </x:c>
      <x:c r="Q826" s="2"/>
      <x:c r="R826" s="3">
        <x:v>2</x:v>
      </x:c>
      <x:c r="S826" s="3"/>
      <x:c r="T826" s="2"/>
      <x:c r="U826" s="2"/>
      <x:c r="V826" s="2"/>
      <x:c r="W826" s="2"/>
      <x:c r="X826" s="3"/>
      <x:c r="Y826" s="3"/>
      <x:c r="Z826" s="2"/>
      <x:c r="AA826" s="2"/>
      <x:c r="AB826" s="2"/>
      <x:c r="AC826" s="2"/>
      <x:c r="AD826" s="2" t="s">
        <x:v>469</x:v>
      </x:c>
      <x:c r="AE826" s="2"/>
      <x:c r="AF826" s="2"/>
      <x:c r="AG826" s="2"/>
      <x:c r="AH826" s="2" t="s">
        <x:v>458</x:v>
      </x:c>
      <x:c r="AI826" s="4">
        <x:v>12</x:v>
      </x:c>
      <x:c r="AJ826" s="2" t="s">
        <x:v>635</x:v>
      </x:c>
      <x:c r="AK826" s="2" t="s">
        <x:v>460</x:v>
      </x:c>
      <x:c r="AL826" s="2" t="s">
        <x:v>3061</x:v>
      </x:c>
      <x:c r="AM826" s="2">
        <x:v>56</x:v>
      </x:c>
      <x:c r="AN826" s="2">
        <x:v>56</x:v>
      </x:c>
    </x:row>
    <x:row r="827" ht="39">
      <x:c r="A827" s="2" t="s">
        <x:v>6</x:v>
      </x:c>
      <x:c r="B827" s="2" t="s">
        <x:v>18</x:v>
      </x:c>
      <x:c r="C827" s="3">
        <x:v>55</x:v>
      </x:c>
      <x:c r="D827" s="2" t="s">
        <x:v>2557</x:v>
      </x:c>
      <x:c r="E827" s="2" t="s">
        <x:v>2549</x:v>
      </x:c>
      <x:c r="F827" s="2" t="s">
        <x:v>464</x:v>
      </x:c>
      <x:c r="G827" s="2"/>
      <x:c r="H827" s="2" t="s">
        <x:v>634</x:v>
      </x:c>
      <x:c r="I827" s="2" t="s">
        <x:v>2551</x:v>
      </x:c>
      <x:c r="J827" s="2" t="s">
        <x:v>2468</x:v>
      </x:c>
      <x:c r="K827" s="2" t="n">
        <x:v>52</x:v>
      </x:c>
      <x:c r="L827" s="2" t="s">
        <x:v>2554</x:v>
      </x:c>
      <x:c r="M827" s="2"/>
      <x:c r="N827" s="2"/>
      <x:c r="O827" s="2" t="s">
        <x:v>2477</x:v>
      </x:c>
      <x:c r="P827" s="2" t="s">
        <x:v>1057</x:v>
      </x:c>
      <x:c r="Q827" s="2"/>
      <x:c r="R827" s="3">
        <x:v>2</x:v>
      </x:c>
      <x:c r="S827" s="3"/>
      <x:c r="T827" s="2"/>
      <x:c r="U827" s="2"/>
      <x:c r="V827" s="2"/>
      <x:c r="W827" s="2"/>
      <x:c r="X827" s="3"/>
      <x:c r="Y827" s="3"/>
      <x:c r="Z827" s="2"/>
      <x:c r="AA827" s="2"/>
      <x:c r="AB827" s="2"/>
      <x:c r="AC827" s="2"/>
      <x:c r="AD827" s="2" t="s">
        <x:v>469</x:v>
      </x:c>
      <x:c r="AE827" s="2"/>
      <x:c r="AF827" s="2"/>
      <x:c r="AG827" s="2"/>
      <x:c r="AH827" s="2" t="s">
        <x:v>458</x:v>
      </x:c>
      <x:c r="AI827" s="4">
        <x:v>12</x:v>
      </x:c>
      <x:c r="AJ827" s="2" t="s">
        <x:v>2478</x:v>
      </x:c>
      <x:c r="AK827" s="2" t="s">
        <x:v>460</x:v>
      </x:c>
      <x:c r="AL827" s="2" t="s">
        <x:v>3061</x:v>
      </x:c>
      <x:c r="AM827" s="2">
        <x:v>57</x:v>
      </x:c>
      <x:c r="AN827" s="2">
        <x:v>57</x:v>
      </x:c>
    </x:row>
    <x:row r="828" ht="39">
      <x:c r="A828" s="2" t="s">
        <x:v>91</x:v>
      </x:c>
      <x:c r="B828" s="2" t="s">
        <x:v>18</x:v>
      </x:c>
      <x:c r="C828" s="3">
        <x:v>56</x:v>
      </x:c>
      <x:c r="D828" s="2" t="s">
        <x:v>516</x:v>
      </x:c>
      <x:c r="E828" s="2" t="s">
        <x:v>2558</x:v>
      </x:c>
      <x:c r="F828" s="2" t="s">
        <x:v>474</x:v>
      </x:c>
      <x:c r="G828" s="2" t="s">
        <x:v>3237</x:v>
      </x:c>
      <x:c r="H828" s="2" t="s">
        <x:v>618</x:v>
      </x:c>
      <x:c r="I828" s="2" t="s">
        <x:v>2559</x:v>
      </x:c>
      <x:c r="J828" s="2" t="s">
        <x:v>454</x:v>
      </x:c>
      <x:c r="K828" s="2"/>
      <x:c r="L828" s="2" t="s">
        <x:v>2560</x:v>
      </x:c>
      <x:c r="M828" s="2"/>
      <x:c r="N828" s="2"/>
      <x:c r="O828" s="2" t="s">
        <x:v>2464</x:v>
      </x:c>
      <x:c r="P828" s="2" t="s">
        <x:v>2561</x:v>
      </x:c>
      <x:c r="Q828" s="2"/>
      <x:c r="R828" s="3">
        <x:v>2</x:v>
      </x:c>
      <x:c r="S828" s="3"/>
      <x:c r="T828" s="2"/>
      <x:c r="U828" s="2"/>
      <x:c r="V828" s="2"/>
      <x:c r="W828" s="2"/>
      <x:c r="X828" s="3"/>
      <x:c r="Y828" s="3"/>
      <x:c r="Z828" s="2"/>
      <x:c r="AA828" s="2"/>
      <x:c r="AB828" s="2"/>
      <x:c r="AC828" s="2"/>
      <x:c r="AD828" s="2" t="s">
        <x:v>480</x:v>
      </x:c>
      <x:c r="AE828" s="2"/>
      <x:c r="AF828" s="2"/>
      <x:c r="AG828" s="2"/>
      <x:c r="AH828" s="2" t="s">
        <x:v>470</x:v>
      </x:c>
      <x:c r="AI828" s="4">
        <x:v>16</x:v>
      </x:c>
      <x:c r="AJ828" s="2" t="s">
        <x:v>2504</x:v>
      </x:c>
      <x:c r="AK828" s="2" t="s">
        <x:v>460</x:v>
      </x:c>
      <x:c r="AL828" s="2" t="s">
        <x:v>3061</x:v>
      </x:c>
      <x:c r="AM828" s="2">
        <x:v>58</x:v>
      </x:c>
      <x:c r="AN828" s="2">
        <x:v>58</x:v>
      </x:c>
    </x:row>
    <x:row r="829" ht="39">
      <x:c r="A829" s="2" t="s">
        <x:v>6</x:v>
      </x:c>
      <x:c r="B829" s="2" t="s">
        <x:v>18</x:v>
      </x:c>
      <x:c r="C829" s="3">
        <x:v>57</x:v>
      </x:c>
      <x:c r="D829" s="2" t="s">
        <x:v>2505</x:v>
      </x:c>
      <x:c r="E829" s="2" t="s">
        <x:v>2558</x:v>
      </x:c>
      <x:c r="F829" s="2" t="s">
        <x:v>474</x:v>
      </x:c>
      <x:c r="G829" s="2"/>
      <x:c r="H829" s="2" t="s">
        <x:v>627</x:v>
      </x:c>
      <x:c r="I829" s="2" t="s">
        <x:v>2559</x:v>
      </x:c>
      <x:c r="J829" s="2" t="s">
        <x:v>2468</x:v>
      </x:c>
      <x:c r="K829" s="2" t="n">
        <x:v>56</x:v>
      </x:c>
      <x:c r="L829" s="2" t="s">
        <x:v>2562</x:v>
      </x:c>
      <x:c r="M829" s="2"/>
      <x:c r="N829" s="2"/>
      <x:c r="O829" s="2" t="s">
        <x:v>2470</x:v>
      </x:c>
      <x:c r="P829" s="2" t="s">
        <x:v>2563</x:v>
      </x:c>
      <x:c r="Q829" s="2"/>
      <x:c r="R829" s="3">
        <x:v>2</x:v>
      </x:c>
      <x:c r="S829" s="3"/>
      <x:c r="T829" s="2"/>
      <x:c r="U829" s="2"/>
      <x:c r="V829" s="2"/>
      <x:c r="W829" s="2"/>
      <x:c r="X829" s="3"/>
      <x:c r="Y829" s="3"/>
      <x:c r="Z829" s="2"/>
      <x:c r="AA829" s="2"/>
      <x:c r="AB829" s="2"/>
      <x:c r="AC829" s="2"/>
      <x:c r="AD829" s="2" t="s">
        <x:v>480</x:v>
      </x:c>
      <x:c r="AE829" s="2"/>
      <x:c r="AF829" s="2"/>
      <x:c r="AG829" s="2"/>
      <x:c r="AH829" s="2" t="s">
        <x:v>470</x:v>
      </x:c>
      <x:c r="AI829" s="4">
        <x:v>16</x:v>
      </x:c>
      <x:c r="AJ829" s="2" t="s">
        <x:v>2472</x:v>
      </x:c>
      <x:c r="AK829" s="2" t="s">
        <x:v>460</x:v>
      </x:c>
      <x:c r="AL829" s="2" t="s">
        <x:v>3061</x:v>
      </x:c>
      <x:c r="AM829" s="2">
        <x:v>59</x:v>
      </x:c>
      <x:c r="AN829" s="2">
        <x:v>59</x:v>
      </x:c>
    </x:row>
    <x:row r="830" ht="39">
      <x:c r="A830" s="2" t="s">
        <x:v>91</x:v>
      </x:c>
      <x:c r="B830" s="2" t="s">
        <x:v>18</x:v>
      </x:c>
      <x:c r="C830" s="3">
        <x:v>58</x:v>
      </x:c>
      <x:c r="D830" s="2" t="s">
        <x:v>2564</x:v>
      </x:c>
      <x:c r="E830" s="2" t="s">
        <x:v>2558</x:v>
      </x:c>
      <x:c r="F830" s="2" t="s">
        <x:v>474</x:v>
      </x:c>
      <x:c r="G830" s="2" t="s">
        <x:v>3237</x:v>
      </x:c>
      <x:c r="H830" s="2" t="s">
        <x:v>634</x:v>
      </x:c>
      <x:c r="I830" s="2" t="s">
        <x:v>2559</x:v>
      </x:c>
      <x:c r="J830" s="2" t="s">
        <x:v>454</x:v>
      </x:c>
      <x:c r="K830" s="2" t="n">
        <x:v>56</x:v>
      </x:c>
      <x:c r="L830" s="2" t="s">
        <x:v>2560</x:v>
      </x:c>
      <x:c r="M830" s="2"/>
      <x:c r="N830" s="2"/>
      <x:c r="O830" s="2" t="s">
        <x:v>2474</x:v>
      </x:c>
      <x:c r="P830" s="2" t="s">
        <x:v>2475</x:v>
      </x:c>
      <x:c r="Q830" s="2"/>
      <x:c r="R830" s="3">
        <x:v>2</x:v>
      </x:c>
      <x:c r="S830" s="3"/>
      <x:c r="T830" s="2"/>
      <x:c r="U830" s="2"/>
      <x:c r="V830" s="2"/>
      <x:c r="W830" s="2"/>
      <x:c r="X830" s="3"/>
      <x:c r="Y830" s="3"/>
      <x:c r="Z830" s="2"/>
      <x:c r="AA830" s="2"/>
      <x:c r="AB830" s="2"/>
      <x:c r="AC830" s="2"/>
      <x:c r="AD830" s="2" t="s">
        <x:v>480</x:v>
      </x:c>
      <x:c r="AE830" s="2"/>
      <x:c r="AF830" s="2"/>
      <x:c r="AG830" s="2"/>
      <x:c r="AH830" s="2" t="s">
        <x:v>470</x:v>
      </x:c>
      <x:c r="AI830" s="4">
        <x:v>16</x:v>
      </x:c>
      <x:c r="AJ830" s="2" t="s">
        <x:v>635</x:v>
      </x:c>
      <x:c r="AK830" s="2" t="s">
        <x:v>460</x:v>
      </x:c>
      <x:c r="AL830" s="2" t="s">
        <x:v>3061</x:v>
      </x:c>
      <x:c r="AM830" s="2">
        <x:v>60</x:v>
      </x:c>
      <x:c r="AN830" s="2">
        <x:v>60</x:v>
      </x:c>
    </x:row>
    <x:row r="831" ht="39">
      <x:c r="A831" s="2" t="s">
        <x:v>6</x:v>
      </x:c>
      <x:c r="B831" s="2" t="s">
        <x:v>18</x:v>
      </x:c>
      <x:c r="C831" s="3">
        <x:v>59</x:v>
      </x:c>
      <x:c r="D831" s="2" t="s">
        <x:v>2565</x:v>
      </x:c>
      <x:c r="E831" s="2" t="s">
        <x:v>2558</x:v>
      </x:c>
      <x:c r="F831" s="2" t="s">
        <x:v>474</x:v>
      </x:c>
      <x:c r="G831" s="2"/>
      <x:c r="H831" s="2" t="s">
        <x:v>634</x:v>
      </x:c>
      <x:c r="I831" s="2" t="s">
        <x:v>2559</x:v>
      </x:c>
      <x:c r="J831" s="2" t="s">
        <x:v>2468</x:v>
      </x:c>
      <x:c r="K831" s="2" t="n">
        <x:v>56</x:v>
      </x:c>
      <x:c r="L831" s="2" t="s">
        <x:v>2562</x:v>
      </x:c>
      <x:c r="M831" s="2"/>
      <x:c r="N831" s="2"/>
      <x:c r="O831" s="2" t="s">
        <x:v>2477</x:v>
      </x:c>
      <x:c r="P831" s="2" t="s">
        <x:v>1057</x:v>
      </x:c>
      <x:c r="Q831" s="2"/>
      <x:c r="R831" s="3">
        <x:v>2</x:v>
      </x:c>
      <x:c r="S831" s="3"/>
      <x:c r="T831" s="2"/>
      <x:c r="U831" s="2"/>
      <x:c r="V831" s="2"/>
      <x:c r="W831" s="2"/>
      <x:c r="X831" s="3"/>
      <x:c r="Y831" s="3"/>
      <x:c r="Z831" s="2"/>
      <x:c r="AA831" s="2"/>
      <x:c r="AB831" s="2"/>
      <x:c r="AC831" s="2"/>
      <x:c r="AD831" s="2" t="s">
        <x:v>480</x:v>
      </x:c>
      <x:c r="AE831" s="2"/>
      <x:c r="AF831" s="2"/>
      <x:c r="AG831" s="2"/>
      <x:c r="AH831" s="2" t="s">
        <x:v>470</x:v>
      </x:c>
      <x:c r="AI831" s="4">
        <x:v>16</x:v>
      </x:c>
      <x:c r="AJ831" s="2" t="s">
        <x:v>2478</x:v>
      </x:c>
      <x:c r="AK831" s="2" t="s">
        <x:v>460</x:v>
      </x:c>
      <x:c r="AL831" s="2" t="s">
        <x:v>3061</x:v>
      </x:c>
      <x:c r="AM831" s="2">
        <x:v>61</x:v>
      </x:c>
      <x:c r="AN831" s="2">
        <x:v>61</x:v>
      </x:c>
    </x:row>
    <x:row r="832" ht="39">
      <x:c r="A832" s="2" t="s">
        <x:v>6</x:v>
      </x:c>
      <x:c r="B832" s="2" t="s">
        <x:v>18</x:v>
      </x:c>
      <x:c r="C832" s="3">
        <x:v>60</x:v>
      </x:c>
      <x:c r="D832" s="2" t="s">
        <x:v>472</x:v>
      </x:c>
      <x:c r="E832" s="2" t="s">
        <x:v>2566</x:v>
      </x:c>
      <x:c r="F832" s="2" t="s">
        <x:v>464</x:v>
      </x:c>
      <x:c r="G832" s="2"/>
      <x:c r="H832" s="2" t="s">
        <x:v>618</x:v>
      </x:c>
      <x:c r="I832" s="2" t="s">
        <x:v>2568</x:v>
      </x:c>
      <x:c r="J832" s="2" t="s">
        <x:v>477</x:v>
      </x:c>
      <x:c r="K832" s="2"/>
      <x:c r="L832" s="2" t="s">
        <x:v>2569</x:v>
      </x:c>
      <x:c r="M832" s="2"/>
      <x:c r="N832" s="2"/>
      <x:c r="O832" s="2" t="s">
        <x:v>2464</x:v>
      </x:c>
      <x:c r="P832" s="2" t="s">
        <x:v>2570</x:v>
      </x:c>
      <x:c r="Q832" s="2"/>
      <x:c r="R832" s="3">
        <x:v>2</x:v>
      </x:c>
      <x:c r="S832" s="3"/>
      <x:c r="T832" s="2"/>
      <x:c r="U832" s="2"/>
      <x:c r="V832" s="2"/>
      <x:c r="W832" s="2"/>
      <x:c r="X832" s="3"/>
      <x:c r="Y832" s="3"/>
      <x:c r="Z832" s="2"/>
      <x:c r="AA832" s="2"/>
      <x:c r="AB832" s="2"/>
      <x:c r="AC832" s="2"/>
      <x:c r="AD832" s="2" t="s">
        <x:v>469</x:v>
      </x:c>
      <x:c r="AE832" s="2"/>
      <x:c r="AF832" s="2"/>
      <x:c r="AG832" s="2"/>
      <x:c r="AH832" s="2" t="s">
        <x:v>470</x:v>
      </x:c>
      <x:c r="AI832" s="4">
        <x:v>16</x:v>
      </x:c>
      <x:c r="AJ832" s="2" t="s">
        <x:v>2514</x:v>
      </x:c>
      <x:c r="AK832" s="2" t="s">
        <x:v>460</x:v>
      </x:c>
      <x:c r="AL832" s="2" t="s">
        <x:v>3061</x:v>
      </x:c>
      <x:c r="AM832" s="2">
        <x:v>62</x:v>
      </x:c>
      <x:c r="AN832" s="2">
        <x:v>62</x:v>
      </x:c>
    </x:row>
    <x:row r="833" ht="39">
      <x:c r="A833" s="2" t="s">
        <x:v>6</x:v>
      </x:c>
      <x:c r="B833" s="2" t="s">
        <x:v>18</x:v>
      </x:c>
      <x:c r="C833" s="3">
        <x:v>61</x:v>
      </x:c>
      <x:c r="D833" s="2" t="s">
        <x:v>2515</x:v>
      </x:c>
      <x:c r="E833" s="2" t="s">
        <x:v>2566</x:v>
      </x:c>
      <x:c r="F833" s="2" t="s">
        <x:v>464</x:v>
      </x:c>
      <x:c r="G833" s="2"/>
      <x:c r="H833" s="2" t="s">
        <x:v>627</x:v>
      </x:c>
      <x:c r="I833" s="2" t="s">
        <x:v>2568</x:v>
      </x:c>
      <x:c r="J833" s="2" t="s">
        <x:v>2468</x:v>
      </x:c>
      <x:c r="K833" s="2" t="n">
        <x:v>60</x:v>
      </x:c>
      <x:c r="L833" s="2" t="s">
        <x:v>2469</x:v>
      </x:c>
      <x:c r="M833" s="2"/>
      <x:c r="N833" s="2"/>
      <x:c r="O833" s="2" t="s">
        <x:v>2470</x:v>
      </x:c>
      <x:c r="P833" s="2" t="s">
        <x:v>2471</x:v>
      </x:c>
      <x:c r="Q833" s="2"/>
      <x:c r="R833" s="3">
        <x:v>2</x:v>
      </x:c>
      <x:c r="S833" s="3"/>
      <x:c r="T833" s="2"/>
      <x:c r="U833" s="2"/>
      <x:c r="V833" s="2"/>
      <x:c r="W833" s="2"/>
      <x:c r="X833" s="3"/>
      <x:c r="Y833" s="3"/>
      <x:c r="Z833" s="2"/>
      <x:c r="AA833" s="2"/>
      <x:c r="AB833" s="2"/>
      <x:c r="AC833" s="2"/>
      <x:c r="AD833" s="2" t="s">
        <x:v>469</x:v>
      </x:c>
      <x:c r="AE833" s="2"/>
      <x:c r="AF833" s="2"/>
      <x:c r="AG833" s="2"/>
      <x:c r="AH833" s="2" t="s">
        <x:v>470</x:v>
      </x:c>
      <x:c r="AI833" s="4">
        <x:v>16</x:v>
      </x:c>
      <x:c r="AJ833" s="2" t="s">
        <x:v>2472</x:v>
      </x:c>
      <x:c r="AK833" s="2" t="s">
        <x:v>460</x:v>
      </x:c>
      <x:c r="AL833" s="2" t="s">
        <x:v>3061</x:v>
      </x:c>
      <x:c r="AM833" s="2">
        <x:v>63</x:v>
      </x:c>
      <x:c r="AN833" s="2">
        <x:v>63</x:v>
      </x:c>
    </x:row>
    <x:row r="834" ht="39">
      <x:c r="A834" s="2" t="s">
        <x:v>6</x:v>
      </x:c>
      <x:c r="B834" s="2" t="s">
        <x:v>18</x:v>
      </x:c>
      <x:c r="C834" s="3">
        <x:v>62</x:v>
      </x:c>
      <x:c r="D834" s="2" t="s">
        <x:v>449</x:v>
      </x:c>
      <x:c r="E834" s="2" t="s">
        <x:v>2571</x:v>
      </x:c>
      <x:c r="F834" s="2" t="s">
        <x:v>474</x:v>
      </x:c>
      <x:c r="G834" s="2"/>
      <x:c r="H834" s="2" t="s">
        <x:v>618</x:v>
      </x:c>
      <x:c r="I834" s="2" t="s">
        <x:v>2572</x:v>
      </x:c>
      <x:c r="J834" s="2" t="s">
        <x:v>454</x:v>
      </x:c>
      <x:c r="K834" s="2"/>
      <x:c r="L834" s="2" t="s">
        <x:v>2573</x:v>
      </x:c>
      <x:c r="M834" s="2"/>
      <x:c r="N834" s="2"/>
      <x:c r="O834" s="2" t="s">
        <x:v>2464</x:v>
      </x:c>
      <x:c r="P834" s="2" t="s">
        <x:v>2574</x:v>
      </x:c>
      <x:c r="Q834" s="2"/>
      <x:c r="R834" s="3">
        <x:v>2</x:v>
      </x:c>
      <x:c r="S834" s="3"/>
      <x:c r="T834" s="2"/>
      <x:c r="U834" s="2"/>
      <x:c r="V834" s="2"/>
      <x:c r="W834" s="2"/>
      <x:c r="X834" s="3"/>
      <x:c r="Y834" s="3"/>
      <x:c r="Z834" s="2"/>
      <x:c r="AA834" s="2"/>
      <x:c r="AB834" s="2"/>
      <x:c r="AC834" s="2"/>
      <x:c r="AD834" s="2" t="s">
        <x:v>480</x:v>
      </x:c>
      <x:c r="AE834" s="2"/>
      <x:c r="AF834" s="2"/>
      <x:c r="AG834" s="2"/>
      <x:c r="AH834" s="2" t="s">
        <x:v>458</x:v>
      </x:c>
      <x:c r="AI834" s="4">
        <x:v>8</x:v>
      </x:c>
      <x:c r="AJ834" s="2" t="s">
        <x:v>2525</x:v>
      </x:c>
      <x:c r="AK834" s="2" t="s">
        <x:v>460</x:v>
      </x:c>
      <x:c r="AL834" s="2" t="s">
        <x:v>3061</x:v>
      </x:c>
      <x:c r="AM834" s="2">
        <x:v>64</x:v>
      </x:c>
      <x:c r="AN834" s="2">
        <x:v>64</x:v>
      </x:c>
    </x:row>
    <x:row r="835" ht="39">
      <x:c r="A835" s="2" t="s">
        <x:v>6</x:v>
      </x:c>
      <x:c r="B835" s="2" t="s">
        <x:v>18</x:v>
      </x:c>
      <x:c r="C835" s="3">
        <x:v>63</x:v>
      </x:c>
      <x:c r="D835" s="2" t="s">
        <x:v>2526</x:v>
      </x:c>
      <x:c r="E835" s="2" t="s">
        <x:v>2571</x:v>
      </x:c>
      <x:c r="F835" s="2" t="s">
        <x:v>474</x:v>
      </x:c>
      <x:c r="G835" s="2"/>
      <x:c r="H835" s="2" t="s">
        <x:v>627</x:v>
      </x:c>
      <x:c r="I835" s="2" t="s">
        <x:v>2572</x:v>
      </x:c>
      <x:c r="J835" s="2" t="s">
        <x:v>2468</x:v>
      </x:c>
      <x:c r="K835" s="2" t="n">
        <x:v>62</x:v>
      </x:c>
      <x:c r="L835" s="2" t="s">
        <x:v>2486</x:v>
      </x:c>
      <x:c r="M835" s="2"/>
      <x:c r="N835" s="2"/>
      <x:c r="O835" s="2" t="s">
        <x:v>2470</x:v>
      </x:c>
      <x:c r="P835" s="2" t="s">
        <x:v>2487</x:v>
      </x:c>
      <x:c r="Q835" s="2"/>
      <x:c r="R835" s="3">
        <x:v>2</x:v>
      </x:c>
      <x:c r="S835" s="3"/>
      <x:c r="T835" s="2"/>
      <x:c r="U835" s="2"/>
      <x:c r="V835" s="2"/>
      <x:c r="W835" s="2"/>
      <x:c r="X835" s="3"/>
      <x:c r="Y835" s="3"/>
      <x:c r="Z835" s="2"/>
      <x:c r="AA835" s="2"/>
      <x:c r="AB835" s="2"/>
      <x:c r="AC835" s="2"/>
      <x:c r="AD835" s="2" t="s">
        <x:v>480</x:v>
      </x:c>
      <x:c r="AE835" s="2"/>
      <x:c r="AF835" s="2"/>
      <x:c r="AG835" s="2"/>
      <x:c r="AH835" s="2" t="s">
        <x:v>458</x:v>
      </x:c>
      <x:c r="AI835" s="4">
        <x:v>8</x:v>
      </x:c>
      <x:c r="AJ835" s="2" t="s">
        <x:v>2472</x:v>
      </x:c>
      <x:c r="AK835" s="2" t="s">
        <x:v>460</x:v>
      </x:c>
      <x:c r="AL835" s="2" t="s">
        <x:v>3061</x:v>
      </x:c>
      <x:c r="AM835" s="2">
        <x:v>65</x:v>
      </x:c>
      <x:c r="AN835" s="2">
        <x:v>65</x:v>
      </x:c>
    </x:row>
    <x:row r="836" ht="39">
      <x:c r="A836" s="2" t="s">
        <x:v>91</x:v>
      </x:c>
      <x:c r="B836" s="2" t="s">
        <x:v>18</x:v>
      </x:c>
      <x:c r="C836" s="3">
        <x:v>64</x:v>
      </x:c>
      <x:c r="D836" s="2" t="s">
        <x:v>505</x:v>
      </x:c>
      <x:c r="E836" s="2" t="s">
        <x:v>2575</x:v>
      </x:c>
      <x:c r="F836" s="2" t="s">
        <x:v>464</x:v>
      </x:c>
      <x:c r="G836" s="2" t="s">
        <x:v>3238</x:v>
      </x:c>
      <x:c r="H836" s="2" t="s">
        <x:v>618</x:v>
      </x:c>
      <x:c r="I836" s="2" t="s">
        <x:v>2577</x:v>
      </x:c>
      <x:c r="J836" s="2" t="s">
        <x:v>477</x:v>
      </x:c>
      <x:c r="K836" s="2"/>
      <x:c r="L836" s="2" t="s">
        <x:v>2578</x:v>
      </x:c>
      <x:c r="M836" s="2"/>
      <x:c r="N836" s="2"/>
      <x:c r="O836" s="2" t="s">
        <x:v>2464</x:v>
      </x:c>
      <x:c r="P836" s="2" t="s">
        <x:v>2579</x:v>
      </x:c>
      <x:c r="Q836" s="2"/>
      <x:c r="R836" s="3">
        <x:v>2</x:v>
      </x:c>
      <x:c r="S836" s="3"/>
      <x:c r="T836" s="2"/>
      <x:c r="U836" s="2"/>
      <x:c r="V836" s="2"/>
      <x:c r="W836" s="2"/>
      <x:c r="X836" s="3"/>
      <x:c r="Y836" s="3"/>
      <x:c r="Z836" s="2"/>
      <x:c r="AA836" s="2"/>
      <x:c r="AB836" s="2"/>
      <x:c r="AC836" s="2"/>
      <x:c r="AD836" s="2" t="s">
        <x:v>469</x:v>
      </x:c>
      <x:c r="AE836" s="2"/>
      <x:c r="AF836" s="2"/>
      <x:c r="AG836" s="2"/>
      <x:c r="AH836" s="2" t="s">
        <x:v>458</x:v>
      </x:c>
      <x:c r="AI836" s="4">
        <x:v>8</x:v>
      </x:c>
      <x:c r="AJ836" s="2" t="s">
        <x:v>2466</x:v>
      </x:c>
      <x:c r="AK836" s="2" t="s">
        <x:v>460</x:v>
      </x:c>
      <x:c r="AL836" s="2" t="s">
        <x:v>3061</x:v>
      </x:c>
      <x:c r="AM836" s="2">
        <x:v>66</x:v>
      </x:c>
      <x:c r="AN836" s="2">
        <x:v>66</x:v>
      </x:c>
    </x:row>
    <x:row r="837" ht="39">
      <x:c r="A837" s="2" t="s">
        <x:v>6</x:v>
      </x:c>
      <x:c r="B837" s="2" t="s">
        <x:v>18</x:v>
      </x:c>
      <x:c r="C837" s="3">
        <x:v>65</x:v>
      </x:c>
      <x:c r="D837" s="2" t="s">
        <x:v>2467</x:v>
      </x:c>
      <x:c r="E837" s="2" t="s">
        <x:v>2575</x:v>
      </x:c>
      <x:c r="F837" s="2" t="s">
        <x:v>464</x:v>
      </x:c>
      <x:c r="G837" s="2"/>
      <x:c r="H837" s="2" t="s">
        <x:v>627</x:v>
      </x:c>
      <x:c r="I837" s="2" t="s">
        <x:v>2577</x:v>
      </x:c>
      <x:c r="J837" s="2" t="s">
        <x:v>2468</x:v>
      </x:c>
      <x:c r="K837" s="2" t="n">
        <x:v>64</x:v>
      </x:c>
      <x:c r="L837" s="2" t="s">
        <x:v>2496</x:v>
      </x:c>
      <x:c r="M837" s="2"/>
      <x:c r="N837" s="2"/>
      <x:c r="O837" s="2" t="s">
        <x:v>2470</x:v>
      </x:c>
      <x:c r="P837" s="2" t="s">
        <x:v>2497</x:v>
      </x:c>
      <x:c r="Q837" s="2"/>
      <x:c r="R837" s="3">
        <x:v>2</x:v>
      </x:c>
      <x:c r="S837" s="3"/>
      <x:c r="T837" s="2"/>
      <x:c r="U837" s="2"/>
      <x:c r="V837" s="2"/>
      <x:c r="W837" s="2"/>
      <x:c r="X837" s="3"/>
      <x:c r="Y837" s="3"/>
      <x:c r="Z837" s="2"/>
      <x:c r="AA837" s="2"/>
      <x:c r="AB837" s="2"/>
      <x:c r="AC837" s="2"/>
      <x:c r="AD837" s="2" t="s">
        <x:v>469</x:v>
      </x:c>
      <x:c r="AE837" s="2"/>
      <x:c r="AF837" s="2"/>
      <x:c r="AG837" s="2"/>
      <x:c r="AH837" s="2" t="s">
        <x:v>458</x:v>
      </x:c>
      <x:c r="AI837" s="4">
        <x:v>8</x:v>
      </x:c>
      <x:c r="AJ837" s="2" t="s">
        <x:v>2472</x:v>
      </x:c>
      <x:c r="AK837" s="2" t="s">
        <x:v>460</x:v>
      </x:c>
      <x:c r="AL837" s="2" t="s">
        <x:v>3061</x:v>
      </x:c>
      <x:c r="AM837" s="2">
        <x:v>67</x:v>
      </x:c>
      <x:c r="AN837" s="2">
        <x:v>67</x:v>
      </x:c>
    </x:row>
    <x:row r="838" ht="39">
      <x:c r="A838" s="2" t="s">
        <x:v>91</x:v>
      </x:c>
      <x:c r="B838" s="2" t="s">
        <x:v>18</x:v>
      </x:c>
      <x:c r="C838" s="3">
        <x:v>66</x:v>
      </x:c>
      <x:c r="D838" s="2" t="s">
        <x:v>462</x:v>
      </x:c>
      <x:c r="E838" s="2" t="s">
        <x:v>2580</x:v>
      </x:c>
      <x:c r="F838" s="2" t="s">
        <x:v>474</x:v>
      </x:c>
      <x:c r="G838" s="2" t="s">
        <x:v>3239</x:v>
      </x:c>
      <x:c r="H838" s="2" t="s">
        <x:v>618</x:v>
      </x:c>
      <x:c r="I838" s="2" t="s">
        <x:v>2581</x:v>
      </x:c>
      <x:c r="J838" s="2" t="s">
        <x:v>454</x:v>
      </x:c>
      <x:c r="K838" s="2"/>
      <x:c r="L838" s="2" t="s">
        <x:v>2582</x:v>
      </x:c>
      <x:c r="M838" s="2"/>
      <x:c r="N838" s="2"/>
      <x:c r="O838" s="2" t="s">
        <x:v>2464</x:v>
      </x:c>
      <x:c r="P838" s="2" t="s">
        <x:v>2583</x:v>
      </x:c>
      <x:c r="Q838" s="2"/>
      <x:c r="R838" s="3">
        <x:v>2</x:v>
      </x:c>
      <x:c r="S838" s="3"/>
      <x:c r="T838" s="2"/>
      <x:c r="U838" s="2"/>
      <x:c r="V838" s="2"/>
      <x:c r="W838" s="2"/>
      <x:c r="X838" s="3"/>
      <x:c r="Y838" s="3"/>
      <x:c r="Z838" s="2"/>
      <x:c r="AA838" s="2"/>
      <x:c r="AB838" s="2"/>
      <x:c r="AC838" s="2"/>
      <x:c r="AD838" s="2" t="s">
        <x:v>480</x:v>
      </x:c>
      <x:c r="AE838" s="2"/>
      <x:c r="AF838" s="2"/>
      <x:c r="AG838" s="2"/>
      <x:c r="AH838" s="2" t="s">
        <x:v>470</x:v>
      </x:c>
      <x:c r="AI838" s="4">
        <x:v>12</x:v>
      </x:c>
      <x:c r="AJ838" s="2" t="s">
        <x:v>2484</x:v>
      </x:c>
      <x:c r="AK838" s="2" t="s">
        <x:v>460</x:v>
      </x:c>
      <x:c r="AL838" s="2" t="s">
        <x:v>3061</x:v>
      </x:c>
      <x:c r="AM838" s="2">
        <x:v>68</x:v>
      </x:c>
      <x:c r="AN838" s="2">
        <x:v>68</x:v>
      </x:c>
    </x:row>
    <x:row r="839" ht="39">
      <x:c r="A839" s="2" t="s">
        <x:v>6</x:v>
      </x:c>
      <x:c r="B839" s="2" t="s">
        <x:v>18</x:v>
      </x:c>
      <x:c r="C839" s="3">
        <x:v>67</x:v>
      </x:c>
      <x:c r="D839" s="2" t="s">
        <x:v>2485</x:v>
      </x:c>
      <x:c r="E839" s="2" t="s">
        <x:v>2580</x:v>
      </x:c>
      <x:c r="F839" s="2" t="s">
        <x:v>474</x:v>
      </x:c>
      <x:c r="G839" s="2" t="s">
        <x:v>3240</x:v>
      </x:c>
      <x:c r="H839" s="2" t="s">
        <x:v>627</x:v>
      </x:c>
      <x:c r="I839" s="2" t="s">
        <x:v>2581</x:v>
      </x:c>
      <x:c r="J839" s="2" t="s">
        <x:v>2468</x:v>
      </x:c>
      <x:c r="K839" s="2" t="n">
        <x:v>66</x:v>
      </x:c>
      <x:c r="L839" s="2" t="s">
        <x:v>2506</x:v>
      </x:c>
      <x:c r="M839" s="2"/>
      <x:c r="N839" s="2"/>
      <x:c r="O839" s="2" t="s">
        <x:v>2470</x:v>
      </x:c>
      <x:c r="P839" s="2" t="s">
        <x:v>2507</x:v>
      </x:c>
      <x:c r="Q839" s="2"/>
      <x:c r="R839" s="3">
        <x:v>2</x:v>
      </x:c>
      <x:c r="S839" s="3"/>
      <x:c r="T839" s="2"/>
      <x:c r="U839" s="2"/>
      <x:c r="V839" s="2"/>
      <x:c r="W839" s="2"/>
      <x:c r="X839" s="3"/>
      <x:c r="Y839" s="3"/>
      <x:c r="Z839" s="2"/>
      <x:c r="AA839" s="2"/>
      <x:c r="AB839" s="2"/>
      <x:c r="AC839" s="2"/>
      <x:c r="AD839" s="2" t="s">
        <x:v>480</x:v>
      </x:c>
      <x:c r="AE839" s="2"/>
      <x:c r="AF839" s="2"/>
      <x:c r="AG839" s="2"/>
      <x:c r="AH839" s="2" t="s">
        <x:v>470</x:v>
      </x:c>
      <x:c r="AI839" s="4">
        <x:v>12</x:v>
      </x:c>
      <x:c r="AJ839" s="2" t="s">
        <x:v>2472</x:v>
      </x:c>
      <x:c r="AK839" s="2" t="s">
        <x:v>460</x:v>
      </x:c>
      <x:c r="AL839" s="2" t="s">
        <x:v>3061</x:v>
      </x:c>
      <x:c r="AM839" s="2">
        <x:v>69</x:v>
      </x:c>
      <x:c r="AN839" s="2">
        <x:v>69</x:v>
      </x:c>
    </x:row>
    <x:row r="840" ht="39">
      <x:c r="A840" s="2" t="s">
        <x:v>6</x:v>
      </x:c>
      <x:c r="B840" s="2" t="s">
        <x:v>18</x:v>
      </x:c>
      <x:c r="C840" s="3">
        <x:v>68</x:v>
      </x:c>
      <x:c r="D840" s="2" t="s">
        <x:v>482</x:v>
      </x:c>
      <x:c r="E840" s="2" t="s">
        <x:v>2584</x:v>
      </x:c>
      <x:c r="F840" s="2" t="s">
        <x:v>464</x:v>
      </x:c>
      <x:c r="G840" s="2"/>
      <x:c r="H840" s="2" t="s">
        <x:v>618</x:v>
      </x:c>
      <x:c r="I840" s="2" t="s">
        <x:v>2586</x:v>
      </x:c>
      <x:c r="J840" s="2" t="s">
        <x:v>477</x:v>
      </x:c>
      <x:c r="K840" s="2"/>
      <x:c r="L840" s="2" t="s">
        <x:v>2587</x:v>
      </x:c>
      <x:c r="M840" s="2"/>
      <x:c r="N840" s="2"/>
      <x:c r="O840" s="2" t="s">
        <x:v>2464</x:v>
      </x:c>
      <x:c r="P840" s="2" t="s">
        <x:v>2588</x:v>
      </x:c>
      <x:c r="Q840" s="2"/>
      <x:c r="R840" s="3">
        <x:v>2</x:v>
      </x:c>
      <x:c r="S840" s="3"/>
      <x:c r="T840" s="2"/>
      <x:c r="U840" s="2"/>
      <x:c r="V840" s="2"/>
      <x:c r="W840" s="2"/>
      <x:c r="X840" s="3"/>
      <x:c r="Y840" s="3"/>
      <x:c r="Z840" s="2"/>
      <x:c r="AA840" s="2"/>
      <x:c r="AB840" s="2"/>
      <x:c r="AC840" s="2"/>
      <x:c r="AD840" s="2" t="s">
        <x:v>469</x:v>
      </x:c>
      <x:c r="AE840" s="2"/>
      <x:c r="AF840" s="2"/>
      <x:c r="AG840" s="2"/>
      <x:c r="AH840" s="2" t="s">
        <x:v>470</x:v>
      </x:c>
      <x:c r="AI840" s="4">
        <x:v>12</x:v>
      </x:c>
      <x:c r="AJ840" s="2" t="s">
        <x:v>2494</x:v>
      </x:c>
      <x:c r="AK840" s="2" t="s">
        <x:v>460</x:v>
      </x:c>
      <x:c r="AL840" s="2" t="s">
        <x:v>3061</x:v>
      </x:c>
      <x:c r="AM840" s="2">
        <x:v>70</x:v>
      </x:c>
      <x:c r="AN840" s="2">
        <x:v>70</x:v>
      </x:c>
    </x:row>
    <x:row r="841" ht="39">
      <x:c r="A841" s="2" t="s">
        <x:v>6</x:v>
      </x:c>
      <x:c r="B841" s="2" t="s">
        <x:v>18</x:v>
      </x:c>
      <x:c r="C841" s="3">
        <x:v>69</x:v>
      </x:c>
      <x:c r="D841" s="2" t="s">
        <x:v>2495</x:v>
      </x:c>
      <x:c r="E841" s="2" t="s">
        <x:v>2584</x:v>
      </x:c>
      <x:c r="F841" s="2" t="s">
        <x:v>464</x:v>
      </x:c>
      <x:c r="G841" s="2"/>
      <x:c r="H841" s="2" t="s">
        <x:v>627</x:v>
      </x:c>
      <x:c r="I841" s="2" t="s">
        <x:v>2586</x:v>
      </x:c>
      <x:c r="J841" s="2" t="s">
        <x:v>2468</x:v>
      </x:c>
      <x:c r="K841" s="2" t="n">
        <x:v>68</x:v>
      </x:c>
      <x:c r="L841" s="2" t="s">
        <x:v>2516</x:v>
      </x:c>
      <x:c r="M841" s="2"/>
      <x:c r="N841" s="2"/>
      <x:c r="O841" s="2" t="s">
        <x:v>2470</x:v>
      </x:c>
      <x:c r="P841" s="2" t="s">
        <x:v>2517</x:v>
      </x:c>
      <x:c r="Q841" s="2"/>
      <x:c r="R841" s="3">
        <x:v>2</x:v>
      </x:c>
      <x:c r="S841" s="3"/>
      <x:c r="T841" s="2"/>
      <x:c r="U841" s="2"/>
      <x:c r="V841" s="2"/>
      <x:c r="W841" s="2"/>
      <x:c r="X841" s="3"/>
      <x:c r="Y841" s="3"/>
      <x:c r="Z841" s="2"/>
      <x:c r="AA841" s="2"/>
      <x:c r="AB841" s="2"/>
      <x:c r="AC841" s="2"/>
      <x:c r="AD841" s="2" t="s">
        <x:v>469</x:v>
      </x:c>
      <x:c r="AE841" s="2"/>
      <x:c r="AF841" s="2"/>
      <x:c r="AG841" s="2"/>
      <x:c r="AH841" s="2" t="s">
        <x:v>470</x:v>
      </x:c>
      <x:c r="AI841" s="4">
        <x:v>12</x:v>
      </x:c>
      <x:c r="AJ841" s="2" t="s">
        <x:v>2472</x:v>
      </x:c>
      <x:c r="AK841" s="2" t="s">
        <x:v>460</x:v>
      </x:c>
      <x:c r="AL841" s="2" t="s">
        <x:v>3061</x:v>
      </x:c>
      <x:c r="AM841" s="2">
        <x:v>71</x:v>
      </x:c>
      <x:c r="AN841" s="2">
        <x:v>71</x:v>
      </x:c>
    </x:row>
    <x:row r="842" ht="39">
      <x:c r="A842" s="2" t="s">
        <x:v>91</x:v>
      </x:c>
      <x:c r="B842" s="2" t="s">
        <x:v>18</x:v>
      </x:c>
      <x:c r="C842" s="3">
        <x:v>70</x:v>
      </x:c>
      <x:c r="D842" s="2" t="s">
        <x:v>516</x:v>
      </x:c>
      <x:c r="E842" s="2" t="s">
        <x:v>2589</x:v>
      </x:c>
      <x:c r="F842" s="2" t="s">
        <x:v>474</x:v>
      </x:c>
      <x:c r="G842" s="2" t="s">
        <x:v>3241</x:v>
      </x:c>
      <x:c r="H842" s="2" t="s">
        <x:v>618</x:v>
      </x:c>
      <x:c r="I842" s="2" t="s">
        <x:v>2591</x:v>
      </x:c>
      <x:c r="J842" s="2" t="s">
        <x:v>454</x:v>
      </x:c>
      <x:c r="K842" s="2"/>
      <x:c r="L842" s="2" t="s">
        <x:v>2592</x:v>
      </x:c>
      <x:c r="M842" s="2"/>
      <x:c r="N842" s="2"/>
      <x:c r="O842" s="2" t="s">
        <x:v>2464</x:v>
      </x:c>
      <x:c r="P842" s="2" t="s">
        <x:v>2593</x:v>
      </x:c>
      <x:c r="Q842" s="2"/>
      <x:c r="R842" s="3">
        <x:v>2</x:v>
      </x:c>
      <x:c r="S842" s="3"/>
      <x:c r="T842" s="2"/>
      <x:c r="U842" s="2"/>
      <x:c r="V842" s="2"/>
      <x:c r="W842" s="2"/>
      <x:c r="X842" s="3"/>
      <x:c r="Y842" s="3"/>
      <x:c r="Z842" s="2"/>
      <x:c r="AA842" s="2"/>
      <x:c r="AB842" s="2"/>
      <x:c r="AC842" s="2"/>
      <x:c r="AD842" s="2" t="s">
        <x:v>480</x:v>
      </x:c>
      <x:c r="AE842" s="2"/>
      <x:c r="AF842" s="2"/>
      <x:c r="AG842" s="2"/>
      <x:c r="AH842" s="2" t="s">
        <x:v>458</x:v>
      </x:c>
      <x:c r="AI842" s="4">
        <x:v>16</x:v>
      </x:c>
      <x:c r="AJ842" s="2" t="s">
        <x:v>2504</x:v>
      </x:c>
      <x:c r="AK842" s="2" t="s">
        <x:v>460</x:v>
      </x:c>
      <x:c r="AL842" s="2" t="s">
        <x:v>3061</x:v>
      </x:c>
      <x:c r="AM842" s="2">
        <x:v>72</x:v>
      </x:c>
      <x:c r="AN842" s="2">
        <x:v>72</x:v>
      </x:c>
    </x:row>
    <x:row r="843" ht="39">
      <x:c r="A843" s="2" t="s">
        <x:v>6</x:v>
      </x:c>
      <x:c r="B843" s="2" t="s">
        <x:v>18</x:v>
      </x:c>
      <x:c r="C843" s="3">
        <x:v>71</x:v>
      </x:c>
      <x:c r="D843" s="2" t="s">
        <x:v>2505</x:v>
      </x:c>
      <x:c r="E843" s="2" t="s">
        <x:v>2589</x:v>
      </x:c>
      <x:c r="F843" s="2" t="s">
        <x:v>474</x:v>
      </x:c>
      <x:c r="G843" s="2"/>
      <x:c r="H843" s="2" t="s">
        <x:v>627</x:v>
      </x:c>
      <x:c r="I843" s="2" t="s">
        <x:v>2591</x:v>
      </x:c>
      <x:c r="J843" s="2" t="s">
        <x:v>2468</x:v>
      </x:c>
      <x:c r="K843" s="2" t="n">
        <x:v>70</x:v>
      </x:c>
      <x:c r="L843" s="2" t="s">
        <x:v>2527</x:v>
      </x:c>
      <x:c r="M843" s="2"/>
      <x:c r="N843" s="2"/>
      <x:c r="O843" s="2" t="s">
        <x:v>2470</x:v>
      </x:c>
      <x:c r="P843" s="2" t="s">
        <x:v>2528</x:v>
      </x:c>
      <x:c r="Q843" s="2"/>
      <x:c r="R843" s="3">
        <x:v>2</x:v>
      </x:c>
      <x:c r="S843" s="3"/>
      <x:c r="T843" s="2"/>
      <x:c r="U843" s="2"/>
      <x:c r="V843" s="2"/>
      <x:c r="W843" s="2"/>
      <x:c r="X843" s="3"/>
      <x:c r="Y843" s="3"/>
      <x:c r="Z843" s="2"/>
      <x:c r="AA843" s="2"/>
      <x:c r="AB843" s="2"/>
      <x:c r="AC843" s="2"/>
      <x:c r="AD843" s="2" t="s">
        <x:v>480</x:v>
      </x:c>
      <x:c r="AE843" s="2"/>
      <x:c r="AF843" s="2"/>
      <x:c r="AG843" s="2"/>
      <x:c r="AH843" s="2" t="s">
        <x:v>458</x:v>
      </x:c>
      <x:c r="AI843" s="4">
        <x:v>16</x:v>
      </x:c>
      <x:c r="AJ843" s="2" t="s">
        <x:v>2472</x:v>
      </x:c>
      <x:c r="AK843" s="2" t="s">
        <x:v>460</x:v>
      </x:c>
      <x:c r="AL843" s="2" t="s">
        <x:v>3061</x:v>
      </x:c>
      <x:c r="AM843" s="2">
        <x:v>73</x:v>
      </x:c>
      <x:c r="AN843" s="2">
        <x:v>73</x:v>
      </x:c>
    </x:row>
    <x:row r="844" ht="52">
      <x:c r="A844" s="2" t="s">
        <x:v>91</x:v>
      </x:c>
      <x:c r="B844" s="2" t="s">
        <x:v>18</x:v>
      </x:c>
      <x:c r="C844" s="3">
        <x:v>72</x:v>
      </x:c>
      <x:c r="D844" s="2" t="s">
        <x:v>472</x:v>
      </x:c>
      <x:c r="E844" s="2" t="s">
        <x:v>2594</x:v>
      </x:c>
      <x:c r="F844" s="2" t="s">
        <x:v>464</x:v>
      </x:c>
      <x:c r="G844" s="2" t="s">
        <x:v>3242</x:v>
      </x:c>
      <x:c r="H844" s="2" t="s">
        <x:v>618</x:v>
      </x:c>
      <x:c r="I844" s="2" t="s">
        <x:v>2595</x:v>
      </x:c>
      <x:c r="J844" s="2" t="s">
        <x:v>477</x:v>
      </x:c>
      <x:c r="K844" s="2"/>
      <x:c r="L844" s="2" t="s">
        <x:v>2596</x:v>
      </x:c>
      <x:c r="M844" s="2"/>
      <x:c r="N844" s="2"/>
      <x:c r="O844" s="2" t="s">
        <x:v>2464</x:v>
      </x:c>
      <x:c r="P844" s="2" t="s">
        <x:v>2597</x:v>
      </x:c>
      <x:c r="Q844" s="2"/>
      <x:c r="R844" s="3">
        <x:v>2</x:v>
      </x:c>
      <x:c r="S844" s="3"/>
      <x:c r="T844" s="2"/>
      <x:c r="U844" s="2"/>
      <x:c r="V844" s="2"/>
      <x:c r="W844" s="2"/>
      <x:c r="X844" s="3"/>
      <x:c r="Y844" s="3"/>
      <x:c r="Z844" s="2"/>
      <x:c r="AA844" s="2"/>
      <x:c r="AB844" s="2"/>
      <x:c r="AC844" s="2"/>
      <x:c r="AD844" s="2" t="s">
        <x:v>469</x:v>
      </x:c>
      <x:c r="AE844" s="2"/>
      <x:c r="AF844" s="2"/>
      <x:c r="AG844" s="2"/>
      <x:c r="AH844" s="2" t="s">
        <x:v>458</x:v>
      </x:c>
      <x:c r="AI844" s="4">
        <x:v>16</x:v>
      </x:c>
      <x:c r="AJ844" s="2" t="s">
        <x:v>2514</x:v>
      </x:c>
      <x:c r="AK844" s="2" t="s">
        <x:v>460</x:v>
      </x:c>
      <x:c r="AL844" s="2" t="s">
        <x:v>3061</x:v>
      </x:c>
      <x:c r="AM844" s="2">
        <x:v>74</x:v>
      </x:c>
      <x:c r="AN844" s="2">
        <x:v>74</x:v>
      </x:c>
    </x:row>
    <x:row r="845" ht="39">
      <x:c r="A845" s="2" t="s">
        <x:v>6</x:v>
      </x:c>
      <x:c r="B845" s="2" t="s">
        <x:v>18</x:v>
      </x:c>
      <x:c r="C845" s="3">
        <x:v>73</x:v>
      </x:c>
      <x:c r="D845" s="2" t="s">
        <x:v>2515</x:v>
      </x:c>
      <x:c r="E845" s="2" t="s">
        <x:v>2594</x:v>
      </x:c>
      <x:c r="F845" s="2" t="s">
        <x:v>464</x:v>
      </x:c>
      <x:c r="G845" s="2"/>
      <x:c r="H845" s="2" t="s">
        <x:v>627</x:v>
      </x:c>
      <x:c r="I845" s="2" t="s">
        <x:v>2595</x:v>
      </x:c>
      <x:c r="J845" s="2" t="s">
        <x:v>2468</x:v>
      </x:c>
      <x:c r="K845" s="2" t="n">
        <x:v>72</x:v>
      </x:c>
      <x:c r="L845" s="2" t="s">
        <x:v>2536</x:v>
      </x:c>
      <x:c r="M845" s="2"/>
      <x:c r="N845" s="2"/>
      <x:c r="O845" s="2" t="s">
        <x:v>2470</x:v>
      </x:c>
      <x:c r="P845" s="2" t="s">
        <x:v>2537</x:v>
      </x:c>
      <x:c r="Q845" s="2"/>
      <x:c r="R845" s="3">
        <x:v>2</x:v>
      </x:c>
      <x:c r="S845" s="3"/>
      <x:c r="T845" s="2"/>
      <x:c r="U845" s="2"/>
      <x:c r="V845" s="2"/>
      <x:c r="W845" s="2"/>
      <x:c r="X845" s="3"/>
      <x:c r="Y845" s="3"/>
      <x:c r="Z845" s="2"/>
      <x:c r="AA845" s="2"/>
      <x:c r="AB845" s="2"/>
      <x:c r="AC845" s="2"/>
      <x:c r="AD845" s="2" t="s">
        <x:v>469</x:v>
      </x:c>
      <x:c r="AE845" s="2"/>
      <x:c r="AF845" s="2"/>
      <x:c r="AG845" s="2"/>
      <x:c r="AH845" s="2" t="s">
        <x:v>458</x:v>
      </x:c>
      <x:c r="AI845" s="4">
        <x:v>16</x:v>
      </x:c>
      <x:c r="AJ845" s="2" t="s">
        <x:v>2472</x:v>
      </x:c>
      <x:c r="AK845" s="2" t="s">
        <x:v>460</x:v>
      </x:c>
      <x:c r="AL845" s="2" t="s">
        <x:v>3061</x:v>
      </x:c>
      <x:c r="AM845" s="2">
        <x:v>75</x:v>
      </x:c>
      <x:c r="AN845" s="2">
        <x:v>75</x:v>
      </x:c>
    </x:row>
    <x:row r="846" ht="39">
      <x:c r="A846" s="2" t="s">
        <x:v>6</x:v>
      </x:c>
      <x:c r="B846" s="2" t="s">
        <x:v>18</x:v>
      </x:c>
      <x:c r="C846" s="3">
        <x:v>74</x:v>
      </x:c>
      <x:c r="D846" s="2" t="s">
        <x:v>449</x:v>
      </x:c>
      <x:c r="E846" s="2" t="s">
        <x:v>2598</x:v>
      </x:c>
      <x:c r="F846" s="2" t="s">
        <x:v>474</x:v>
      </x:c>
      <x:c r="G846" s="2"/>
      <x:c r="H846" s="2" t="s">
        <x:v>618</x:v>
      </x:c>
      <x:c r="I846" s="2" t="s">
        <x:v>2599</x:v>
      </x:c>
      <x:c r="J846" s="2" t="s">
        <x:v>454</x:v>
      </x:c>
      <x:c r="K846" s="2"/>
      <x:c r="L846" s="2" t="s">
        <x:v>2600</x:v>
      </x:c>
      <x:c r="M846" s="2"/>
      <x:c r="N846" s="2"/>
      <x:c r="O846" s="2" t="s">
        <x:v>2464</x:v>
      </x:c>
      <x:c r="P846" s="2" t="s">
        <x:v>2601</x:v>
      </x:c>
      <x:c r="Q846" s="2"/>
      <x:c r="R846" s="3">
        <x:v>2</x:v>
      </x:c>
      <x:c r="S846" s="3"/>
      <x:c r="T846" s="2"/>
      <x:c r="U846" s="2"/>
      <x:c r="V846" s="2"/>
      <x:c r="W846" s="2"/>
      <x:c r="X846" s="3"/>
      <x:c r="Y846" s="3"/>
      <x:c r="Z846" s="2"/>
      <x:c r="AA846" s="2"/>
      <x:c r="AB846" s="2"/>
      <x:c r="AC846" s="2"/>
      <x:c r="AD846" s="2" t="s">
        <x:v>480</x:v>
      </x:c>
      <x:c r="AE846" s="2"/>
      <x:c r="AF846" s="2"/>
      <x:c r="AG846" s="2"/>
      <x:c r="AH846" s="2" t="s">
        <x:v>470</x:v>
      </x:c>
      <x:c r="AI846" s="4">
        <x:v>8</x:v>
      </x:c>
      <x:c r="AJ846" s="2" t="s">
        <x:v>2525</x:v>
      </x:c>
      <x:c r="AK846" s="2" t="s">
        <x:v>460</x:v>
      </x:c>
      <x:c r="AL846" s="2" t="s">
        <x:v>3061</x:v>
      </x:c>
      <x:c r="AM846" s="2">
        <x:v>76</x:v>
      </x:c>
      <x:c r="AN846" s="2">
        <x:v>76</x:v>
      </x:c>
    </x:row>
    <x:row r="847" ht="39">
      <x:c r="A847" s="2" t="s">
        <x:v>6</x:v>
      </x:c>
      <x:c r="B847" s="2" t="s">
        <x:v>18</x:v>
      </x:c>
      <x:c r="C847" s="3">
        <x:v>75</x:v>
      </x:c>
      <x:c r="D847" s="2" t="s">
        <x:v>2526</x:v>
      </x:c>
      <x:c r="E847" s="2" t="s">
        <x:v>2598</x:v>
      </x:c>
      <x:c r="F847" s="2" t="s">
        <x:v>474</x:v>
      </x:c>
      <x:c r="G847" s="2"/>
      <x:c r="H847" s="2" t="s">
        <x:v>627</x:v>
      </x:c>
      <x:c r="I847" s="2" t="s">
        <x:v>2599</x:v>
      </x:c>
      <x:c r="J847" s="2" t="s">
        <x:v>2468</x:v>
      </x:c>
      <x:c r="K847" s="2" t="n">
        <x:v>74</x:v>
      </x:c>
      <x:c r="L847" s="2" t="s">
        <x:v>2544</x:v>
      </x:c>
      <x:c r="M847" s="2"/>
      <x:c r="N847" s="2"/>
      <x:c r="O847" s="2" t="s">
        <x:v>2470</x:v>
      </x:c>
      <x:c r="P847" s="2" t="s">
        <x:v>2545</x:v>
      </x:c>
      <x:c r="Q847" s="2"/>
      <x:c r="R847" s="3">
        <x:v>2</x:v>
      </x:c>
      <x:c r="S847" s="3"/>
      <x:c r="T847" s="2"/>
      <x:c r="U847" s="2"/>
      <x:c r="V847" s="2"/>
      <x:c r="W847" s="2"/>
      <x:c r="X847" s="3"/>
      <x:c r="Y847" s="3"/>
      <x:c r="Z847" s="2"/>
      <x:c r="AA847" s="2"/>
      <x:c r="AB847" s="2"/>
      <x:c r="AC847" s="2"/>
      <x:c r="AD847" s="2" t="s">
        <x:v>480</x:v>
      </x:c>
      <x:c r="AE847" s="2"/>
      <x:c r="AF847" s="2"/>
      <x:c r="AG847" s="2"/>
      <x:c r="AH847" s="2" t="s">
        <x:v>470</x:v>
      </x:c>
      <x:c r="AI847" s="4">
        <x:v>8</x:v>
      </x:c>
      <x:c r="AJ847" s="2" t="s">
        <x:v>2472</x:v>
      </x:c>
      <x:c r="AK847" s="2" t="s">
        <x:v>460</x:v>
      </x:c>
      <x:c r="AL847" s="2" t="s">
        <x:v>3061</x:v>
      </x:c>
      <x:c r="AM847" s="2">
        <x:v>77</x:v>
      </x:c>
      <x:c r="AN847" s="2">
        <x:v>77</x:v>
      </x:c>
    </x:row>
    <x:row r="848" ht="52">
      <x:c r="A848" s="2" t="s">
        <x:v>91</x:v>
      </x:c>
      <x:c r="B848" s="2" t="s">
        <x:v>18</x:v>
      </x:c>
      <x:c r="C848" s="3">
        <x:v>76</x:v>
      </x:c>
      <x:c r="D848" s="2" t="s">
        <x:v>505</x:v>
      </x:c>
      <x:c r="E848" s="2" t="s">
        <x:v>2602</x:v>
      </x:c>
      <x:c r="F848" s="2" t="s">
        <x:v>464</x:v>
      </x:c>
      <x:c r="G848" s="2" t="s">
        <x:v>3243</x:v>
      </x:c>
      <x:c r="H848" s="2" t="s">
        <x:v>618</x:v>
      </x:c>
      <x:c r="I848" s="2" t="s">
        <x:v>2604</x:v>
      </x:c>
      <x:c r="J848" s="2" t="s">
        <x:v>477</x:v>
      </x:c>
      <x:c r="K848" s="2"/>
      <x:c r="L848" s="2" t="s">
        <x:v>2605</x:v>
      </x:c>
      <x:c r="M848" s="2"/>
      <x:c r="N848" s="2"/>
      <x:c r="O848" s="2" t="s">
        <x:v>2464</x:v>
      </x:c>
      <x:c r="P848" s="2" t="s">
        <x:v>2606</x:v>
      </x:c>
      <x:c r="Q848" s="2"/>
      <x:c r="R848" s="3">
        <x:v>2</x:v>
      </x:c>
      <x:c r="S848" s="3"/>
      <x:c r="T848" s="2"/>
      <x:c r="U848" s="2"/>
      <x:c r="V848" s="2"/>
      <x:c r="W848" s="2"/>
      <x:c r="X848" s="3"/>
      <x:c r="Y848" s="3"/>
      <x:c r="Z848" s="2"/>
      <x:c r="AA848" s="2"/>
      <x:c r="AB848" s="2"/>
      <x:c r="AC848" s="2"/>
      <x:c r="AD848" s="2" t="s">
        <x:v>469</x:v>
      </x:c>
      <x:c r="AE848" s="2"/>
      <x:c r="AF848" s="2"/>
      <x:c r="AG848" s="2"/>
      <x:c r="AH848" s="2" t="s">
        <x:v>470</x:v>
      </x:c>
      <x:c r="AI848" s="4">
        <x:v>8</x:v>
      </x:c>
      <x:c r="AJ848" s="2" t="s">
        <x:v>2466</x:v>
      </x:c>
      <x:c r="AK848" s="2" t="s">
        <x:v>460</x:v>
      </x:c>
      <x:c r="AL848" s="2" t="s">
        <x:v>3061</x:v>
      </x:c>
      <x:c r="AM848" s="2">
        <x:v>78</x:v>
      </x:c>
      <x:c r="AN848" s="2">
        <x:v>78</x:v>
      </x:c>
    </x:row>
    <x:row r="849" ht="39">
      <x:c r="A849" s="2" t="s">
        <x:v>6</x:v>
      </x:c>
      <x:c r="B849" s="2" t="s">
        <x:v>18</x:v>
      </x:c>
      <x:c r="C849" s="3">
        <x:v>77</x:v>
      </x:c>
      <x:c r="D849" s="2" t="s">
        <x:v>2467</x:v>
      </x:c>
      <x:c r="E849" s="2" t="s">
        <x:v>2602</x:v>
      </x:c>
      <x:c r="F849" s="2" t="s">
        <x:v>464</x:v>
      </x:c>
      <x:c r="G849" s="2"/>
      <x:c r="H849" s="2" t="s">
        <x:v>627</x:v>
      </x:c>
      <x:c r="I849" s="2" t="s">
        <x:v>2604</x:v>
      </x:c>
      <x:c r="J849" s="2" t="s">
        <x:v>2468</x:v>
      </x:c>
      <x:c r="K849" s="2" t="n">
        <x:v>76</x:v>
      </x:c>
      <x:c r="L849" s="2" t="s">
        <x:v>2554</x:v>
      </x:c>
      <x:c r="M849" s="2"/>
      <x:c r="N849" s="2"/>
      <x:c r="O849" s="2" t="s">
        <x:v>2470</x:v>
      </x:c>
      <x:c r="P849" s="2" t="s">
        <x:v>2555</x:v>
      </x:c>
      <x:c r="Q849" s="2"/>
      <x:c r="R849" s="3">
        <x:v>2</x:v>
      </x:c>
      <x:c r="S849" s="3"/>
      <x:c r="T849" s="2"/>
      <x:c r="U849" s="2"/>
      <x:c r="V849" s="2"/>
      <x:c r="W849" s="2"/>
      <x:c r="X849" s="3"/>
      <x:c r="Y849" s="3"/>
      <x:c r="Z849" s="2"/>
      <x:c r="AA849" s="2"/>
      <x:c r="AB849" s="2"/>
      <x:c r="AC849" s="2"/>
      <x:c r="AD849" s="2" t="s">
        <x:v>469</x:v>
      </x:c>
      <x:c r="AE849" s="2"/>
      <x:c r="AF849" s="2"/>
      <x:c r="AG849" s="2"/>
      <x:c r="AH849" s="2" t="s">
        <x:v>470</x:v>
      </x:c>
      <x:c r="AI849" s="4">
        <x:v>8</x:v>
      </x:c>
      <x:c r="AJ849" s="2" t="s">
        <x:v>2472</x:v>
      </x:c>
      <x:c r="AK849" s="2" t="s">
        <x:v>460</x:v>
      </x:c>
      <x:c r="AL849" s="2" t="s">
        <x:v>3061</x:v>
      </x:c>
      <x:c r="AM849" s="2">
        <x:v>79</x:v>
      </x:c>
      <x:c r="AN849" s="2">
        <x:v>79</x:v>
      </x:c>
    </x:row>
    <x:row r="850" ht="39">
      <x:c r="A850" s="2" t="s">
        <x:v>6</x:v>
      </x:c>
      <x:c r="B850" s="2" t="s">
        <x:v>18</x:v>
      </x:c>
      <x:c r="C850" s="3">
        <x:v>78</x:v>
      </x:c>
      <x:c r="D850" s="2" t="s">
        <x:v>462</x:v>
      </x:c>
      <x:c r="E850" s="2" t="s">
        <x:v>2608</x:v>
      </x:c>
      <x:c r="F850" s="2" t="s">
        <x:v>474</x:v>
      </x:c>
      <x:c r="G850" s="2"/>
      <x:c r="H850" s="2" t="s">
        <x:v>618</x:v>
      </x:c>
      <x:c r="I850" s="2" t="s">
        <x:v>2610</x:v>
      </x:c>
      <x:c r="J850" s="2" t="s">
        <x:v>454</x:v>
      </x:c>
      <x:c r="K850" s="2"/>
      <x:c r="L850" s="2" t="s">
        <x:v>2611</x:v>
      </x:c>
      <x:c r="M850" s="2"/>
      <x:c r="N850" s="2"/>
      <x:c r="O850" s="2" t="s">
        <x:v>2464</x:v>
      </x:c>
      <x:c r="P850" s="2" t="s">
        <x:v>2612</x:v>
      </x:c>
      <x:c r="Q850" s="2"/>
      <x:c r="R850" s="3">
        <x:v>2</x:v>
      </x:c>
      <x:c r="S850" s="3"/>
      <x:c r="T850" s="2"/>
      <x:c r="U850" s="2"/>
      <x:c r="V850" s="2"/>
      <x:c r="W850" s="2"/>
      <x:c r="X850" s="3"/>
      <x:c r="Y850" s="3"/>
      <x:c r="Z850" s="2"/>
      <x:c r="AA850" s="2"/>
      <x:c r="AB850" s="2"/>
      <x:c r="AC850" s="2"/>
      <x:c r="AD850" s="2" t="s">
        <x:v>480</x:v>
      </x:c>
      <x:c r="AE850" s="2"/>
      <x:c r="AF850" s="2"/>
      <x:c r="AG850" s="2"/>
      <x:c r="AH850" s="2" t="s">
        <x:v>458</x:v>
      </x:c>
      <x:c r="AI850" s="4">
        <x:v>12</x:v>
      </x:c>
      <x:c r="AJ850" s="2" t="s">
        <x:v>2484</x:v>
      </x:c>
      <x:c r="AK850" s="2" t="s">
        <x:v>460</x:v>
      </x:c>
      <x:c r="AL850" s="2" t="s">
        <x:v>3061</x:v>
      </x:c>
      <x:c r="AM850" s="2">
        <x:v>80</x:v>
      </x:c>
      <x:c r="AN850" s="2">
        <x:v>80</x:v>
      </x:c>
    </x:row>
    <x:row r="851" ht="39">
      <x:c r="A851" s="2" t="s">
        <x:v>6</x:v>
      </x:c>
      <x:c r="B851" s="2" t="s">
        <x:v>18</x:v>
      </x:c>
      <x:c r="C851" s="3">
        <x:v>79</x:v>
      </x:c>
      <x:c r="D851" s="2" t="s">
        <x:v>2485</x:v>
      </x:c>
      <x:c r="E851" s="2" t="s">
        <x:v>2608</x:v>
      </x:c>
      <x:c r="F851" s="2" t="s">
        <x:v>474</x:v>
      </x:c>
      <x:c r="G851" s="2"/>
      <x:c r="H851" s="2" t="s">
        <x:v>627</x:v>
      </x:c>
      <x:c r="I851" s="2" t="s">
        <x:v>2610</x:v>
      </x:c>
      <x:c r="J851" s="2" t="s">
        <x:v>2468</x:v>
      </x:c>
      <x:c r="K851" s="2" t="n">
        <x:v>78</x:v>
      </x:c>
      <x:c r="L851" s="2" t="s">
        <x:v>2562</x:v>
      </x:c>
      <x:c r="M851" s="2"/>
      <x:c r="N851" s="2"/>
      <x:c r="O851" s="2" t="s">
        <x:v>2470</x:v>
      </x:c>
      <x:c r="P851" s="2" t="s">
        <x:v>2563</x:v>
      </x:c>
      <x:c r="Q851" s="2"/>
      <x:c r="R851" s="3">
        <x:v>2</x:v>
      </x:c>
      <x:c r="S851" s="3"/>
      <x:c r="T851" s="2"/>
      <x:c r="U851" s="2"/>
      <x:c r="V851" s="2"/>
      <x:c r="W851" s="2"/>
      <x:c r="X851" s="3"/>
      <x:c r="Y851" s="3"/>
      <x:c r="Z851" s="2"/>
      <x:c r="AA851" s="2"/>
      <x:c r="AB851" s="2"/>
      <x:c r="AC851" s="2"/>
      <x:c r="AD851" s="2" t="s">
        <x:v>480</x:v>
      </x:c>
      <x:c r="AE851" s="2"/>
      <x:c r="AF851" s="2"/>
      <x:c r="AG851" s="2"/>
      <x:c r="AH851" s="2" t="s">
        <x:v>458</x:v>
      </x:c>
      <x:c r="AI851" s="4">
        <x:v>12</x:v>
      </x:c>
      <x:c r="AJ851" s="2" t="s">
        <x:v>2472</x:v>
      </x:c>
      <x:c r="AK851" s="2" t="s">
        <x:v>460</x:v>
      </x:c>
      <x:c r="AL851" s="2" t="s">
        <x:v>3061</x:v>
      </x:c>
      <x:c r="AM851" s="2">
        <x:v>81</x:v>
      </x:c>
      <x:c r="AN851" s="2">
        <x:v>81</x:v>
      </x:c>
    </x:row>
    <x:row r="852" ht="39">
      <x:c r="A852" s="2" t="s">
        <x:v>6</x:v>
      </x:c>
      <x:c r="B852" s="2" t="s">
        <x:v>18</x:v>
      </x:c>
      <x:c r="C852" s="3">
        <x:v>80</x:v>
      </x:c>
      <x:c r="D852" s="2" t="s">
        <x:v>482</x:v>
      </x:c>
      <x:c r="E852" s="2" t="s">
        <x:v>2613</x:v>
      </x:c>
      <x:c r="F852" s="2" t="s">
        <x:v>464</x:v>
      </x:c>
      <x:c r="G852" s="2"/>
      <x:c r="H852" s="2" t="s">
        <x:v>618</x:v>
      </x:c>
      <x:c r="I852" s="2" t="s">
        <x:v>2614</x:v>
      </x:c>
      <x:c r="J852" s="2" t="s">
        <x:v>477</x:v>
      </x:c>
      <x:c r="K852" s="2"/>
      <x:c r="L852" s="2" t="s">
        <x:v>2615</x:v>
      </x:c>
      <x:c r="M852" s="2"/>
      <x:c r="N852" s="2"/>
      <x:c r="O852" s="2" t="s">
        <x:v>2464</x:v>
      </x:c>
      <x:c r="P852" s="2" t="s">
        <x:v>2616</x:v>
      </x:c>
      <x:c r="Q852" s="2"/>
      <x:c r="R852" s="3">
        <x:v>2</x:v>
      </x:c>
      <x:c r="S852" s="3"/>
      <x:c r="T852" s="2"/>
      <x:c r="U852" s="2"/>
      <x:c r="V852" s="2"/>
      <x:c r="W852" s="2"/>
      <x:c r="X852" s="3"/>
      <x:c r="Y852" s="3"/>
      <x:c r="Z852" s="2"/>
      <x:c r="AA852" s="2"/>
      <x:c r="AB852" s="2"/>
      <x:c r="AC852" s="2"/>
      <x:c r="AD852" s="2" t="s">
        <x:v>469</x:v>
      </x:c>
      <x:c r="AE852" s="2"/>
      <x:c r="AF852" s="2"/>
      <x:c r="AG852" s="2"/>
      <x:c r="AH852" s="2" t="s">
        <x:v>458</x:v>
      </x:c>
      <x:c r="AI852" s="4">
        <x:v>12</x:v>
      </x:c>
      <x:c r="AJ852" s="2" t="s">
        <x:v>2494</x:v>
      </x:c>
      <x:c r="AK852" s="2" t="s">
        <x:v>460</x:v>
      </x:c>
      <x:c r="AL852" s="2" t="s">
        <x:v>3061</x:v>
      </x:c>
      <x:c r="AM852" s="2">
        <x:v>82</x:v>
      </x:c>
      <x:c r="AN852" s="2">
        <x:v>82</x:v>
      </x:c>
    </x:row>
    <x:row r="853" ht="39">
      <x:c r="A853" s="2" t="s">
        <x:v>91</x:v>
      </x:c>
      <x:c r="B853" s="2" t="s">
        <x:v>18</x:v>
      </x:c>
      <x:c r="C853" s="3">
        <x:v>81</x:v>
      </x:c>
      <x:c r="D853" s="2" t="s">
        <x:v>516</x:v>
      </x:c>
      <x:c r="E853" s="2" t="s">
        <x:v>2617</x:v>
      </x:c>
      <x:c r="F853" s="2" t="s">
        <x:v>474</x:v>
      </x:c>
      <x:c r="G853" s="2" t="s">
        <x:v>3244</x:v>
      </x:c>
      <x:c r="H853" s="2" t="s">
        <x:v>618</x:v>
      </x:c>
      <x:c r="I853" s="2" t="s">
        <x:v>2618</x:v>
      </x:c>
      <x:c r="J853" s="2" t="s">
        <x:v>454</x:v>
      </x:c>
      <x:c r="K853" s="2"/>
      <x:c r="L853" s="2" t="s">
        <x:v>2619</x:v>
      </x:c>
      <x:c r="M853" s="2"/>
      <x:c r="N853" s="2"/>
      <x:c r="O853" s="2" t="s">
        <x:v>2464</x:v>
      </x:c>
      <x:c r="P853" s="2" t="s">
        <x:v>2620</x:v>
      </x:c>
      <x:c r="Q853" s="2"/>
      <x:c r="R853" s="3">
        <x:v>2</x:v>
      </x:c>
      <x:c r="S853" s="3"/>
      <x:c r="T853" s="2"/>
      <x:c r="U853" s="2"/>
      <x:c r="V853" s="2"/>
      <x:c r="W853" s="2"/>
      <x:c r="X853" s="3"/>
      <x:c r="Y853" s="3"/>
      <x:c r="Z853" s="2"/>
      <x:c r="AA853" s="2"/>
      <x:c r="AB853" s="2"/>
      <x:c r="AC853" s="2"/>
      <x:c r="AD853" s="2" t="s">
        <x:v>480</x:v>
      </x:c>
      <x:c r="AE853" s="2"/>
      <x:c r="AF853" s="2"/>
      <x:c r="AG853" s="2"/>
      <x:c r="AH853" s="2" t="s">
        <x:v>470</x:v>
      </x:c>
      <x:c r="AI853" s="4">
        <x:v>16</x:v>
      </x:c>
      <x:c r="AJ853" s="2" t="s">
        <x:v>2504</x:v>
      </x:c>
      <x:c r="AK853" s="2" t="s">
        <x:v>460</x:v>
      </x:c>
      <x:c r="AL853" s="2" t="s">
        <x:v>3061</x:v>
      </x:c>
      <x:c r="AM853" s="2">
        <x:v>83</x:v>
      </x:c>
      <x:c r="AN853" s="2">
        <x:v>83</x:v>
      </x:c>
    </x:row>
    <x:row r="854" ht="39">
      <x:c r="A854" s="2" t="s">
        <x:v>6</x:v>
      </x:c>
      <x:c r="B854" s="2" t="s">
        <x:v>18</x:v>
      </x:c>
      <x:c r="C854" s="3">
        <x:v>82</x:v>
      </x:c>
      <x:c r="D854" s="2" t="s">
        <x:v>472</x:v>
      </x:c>
      <x:c r="E854" s="2" t="s">
        <x:v>2621</x:v>
      </x:c>
      <x:c r="F854" s="2" t="s">
        <x:v>464</x:v>
      </x:c>
      <x:c r="G854" s="2"/>
      <x:c r="H854" s="2" t="s">
        <x:v>618</x:v>
      </x:c>
      <x:c r="I854" s="2" t="s">
        <x:v>2623</x:v>
      </x:c>
      <x:c r="J854" s="2" t="s">
        <x:v>477</x:v>
      </x:c>
      <x:c r="K854" s="2"/>
      <x:c r="L854" s="2" t="s">
        <x:v>2624</x:v>
      </x:c>
      <x:c r="M854" s="2"/>
      <x:c r="N854" s="2"/>
      <x:c r="O854" s="2" t="s">
        <x:v>2464</x:v>
      </x:c>
      <x:c r="P854" s="2" t="s">
        <x:v>2625</x:v>
      </x:c>
      <x:c r="Q854" s="2"/>
      <x:c r="R854" s="3">
        <x:v>2</x:v>
      </x:c>
      <x:c r="S854" s="3"/>
      <x:c r="T854" s="2"/>
      <x:c r="U854" s="2"/>
      <x:c r="V854" s="2"/>
      <x:c r="W854" s="2"/>
      <x:c r="X854" s="3"/>
      <x:c r="Y854" s="3"/>
      <x:c r="Z854" s="2"/>
      <x:c r="AA854" s="2"/>
      <x:c r="AB854" s="2"/>
      <x:c r="AC854" s="2"/>
      <x:c r="AD854" s="2" t="s">
        <x:v>469</x:v>
      </x:c>
      <x:c r="AE854" s="2"/>
      <x:c r="AF854" s="2"/>
      <x:c r="AG854" s="2"/>
      <x:c r="AH854" s="2" t="s">
        <x:v>470</x:v>
      </x:c>
      <x:c r="AI854" s="4">
        <x:v>16</x:v>
      </x:c>
      <x:c r="AJ854" s="2" t="s">
        <x:v>2514</x:v>
      </x:c>
      <x:c r="AK854" s="2" t="s">
        <x:v>460</x:v>
      </x:c>
      <x:c r="AL854" s="2" t="s">
        <x:v>3061</x:v>
      </x:c>
      <x:c r="AM854" s="2">
        <x:v>84</x:v>
      </x:c>
      <x:c r="AN854" s="2">
        <x:v>84</x:v>
      </x:c>
    </x:row>
    <x:row r="855" ht="39">
      <x:c r="A855" s="2" t="s">
        <x:v>91</x:v>
      </x:c>
      <x:c r="B855" s="2" t="s">
        <x:v>18</x:v>
      </x:c>
      <x:c r="C855" s="3">
        <x:v>83</x:v>
      </x:c>
      <x:c r="D855" s="2" t="s">
        <x:v>449</x:v>
      </x:c>
      <x:c r="E855" s="2" t="s">
        <x:v>2626</x:v>
      </x:c>
      <x:c r="F855" s="2" t="s">
        <x:v>474</x:v>
      </x:c>
      <x:c r="G855" s="2" t="s">
        <x:v>3245</x:v>
      </x:c>
      <x:c r="H855" s="2" t="s">
        <x:v>618</x:v>
      </x:c>
      <x:c r="I855" s="2" t="s">
        <x:v>2627</x:v>
      </x:c>
      <x:c r="J855" s="2" t="s">
        <x:v>454</x:v>
      </x:c>
      <x:c r="K855" s="2"/>
      <x:c r="L855" s="2" t="s">
        <x:v>2628</x:v>
      </x:c>
      <x:c r="M855" s="2"/>
      <x:c r="N855" s="2"/>
      <x:c r="O855" s="2" t="s">
        <x:v>2464</x:v>
      </x:c>
      <x:c r="P855" s="2" t="s">
        <x:v>2629</x:v>
      </x:c>
      <x:c r="Q855" s="2"/>
      <x:c r="R855" s="3">
        <x:v>2</x:v>
      </x:c>
      <x:c r="S855" s="3"/>
      <x:c r="T855" s="2"/>
      <x:c r="U855" s="2"/>
      <x:c r="V855" s="2"/>
      <x:c r="W855" s="2"/>
      <x:c r="X855" s="3"/>
      <x:c r="Y855" s="3"/>
      <x:c r="Z855" s="2"/>
      <x:c r="AA855" s="2"/>
      <x:c r="AB855" s="2"/>
      <x:c r="AC855" s="2"/>
      <x:c r="AD855" s="2" t="s">
        <x:v>480</x:v>
      </x:c>
      <x:c r="AE855" s="2"/>
      <x:c r="AF855" s="2"/>
      <x:c r="AG855" s="2"/>
      <x:c r="AH855" s="2" t="s">
        <x:v>458</x:v>
      </x:c>
      <x:c r="AI855" s="4">
        <x:v>8</x:v>
      </x:c>
      <x:c r="AJ855" s="2" t="s">
        <x:v>2525</x:v>
      </x:c>
      <x:c r="AK855" s="2" t="s">
        <x:v>460</x:v>
      </x:c>
      <x:c r="AL855" s="2" t="s">
        <x:v>3061</x:v>
      </x:c>
      <x:c r="AM855" s="2">
        <x:v>85</x:v>
      </x:c>
      <x:c r="AN855" s="2">
        <x:v>85</x:v>
      </x:c>
    </x:row>
    <x:row r="856" ht="39">
      <x:c r="A856" s="2" t="s">
        <x:v>6</x:v>
      </x:c>
      <x:c r="B856" s="2" t="s">
        <x:v>18</x:v>
      </x:c>
      <x:c r="C856" s="3">
        <x:v>84</x:v>
      </x:c>
      <x:c r="D856" s="2" t="s">
        <x:v>505</x:v>
      </x:c>
      <x:c r="E856" s="2" t="s">
        <x:v>2630</x:v>
      </x:c>
      <x:c r="F856" s="2" t="s">
        <x:v>464</x:v>
      </x:c>
      <x:c r="G856" s="2"/>
      <x:c r="H856" s="2" t="s">
        <x:v>618</x:v>
      </x:c>
      <x:c r="I856" s="2" t="s">
        <x:v>2631</x:v>
      </x:c>
      <x:c r="J856" s="2" t="s">
        <x:v>477</x:v>
      </x:c>
      <x:c r="K856" s="2"/>
      <x:c r="L856" s="2" t="s">
        <x:v>2632</x:v>
      </x:c>
      <x:c r="M856" s="2"/>
      <x:c r="N856" s="2"/>
      <x:c r="O856" s="2" t="s">
        <x:v>2464</x:v>
      </x:c>
      <x:c r="P856" s="2" t="s">
        <x:v>2633</x:v>
      </x:c>
      <x:c r="Q856" s="2"/>
      <x:c r="R856" s="3">
        <x:v>2</x:v>
      </x:c>
      <x:c r="S856" s="3"/>
      <x:c r="T856" s="2"/>
      <x:c r="U856" s="2"/>
      <x:c r="V856" s="2"/>
      <x:c r="W856" s="2"/>
      <x:c r="X856" s="3"/>
      <x:c r="Y856" s="3"/>
      <x:c r="Z856" s="2"/>
      <x:c r="AA856" s="2"/>
      <x:c r="AB856" s="2"/>
      <x:c r="AC856" s="2"/>
      <x:c r="AD856" s="2" t="s">
        <x:v>469</x:v>
      </x:c>
      <x:c r="AE856" s="2"/>
      <x:c r="AF856" s="2"/>
      <x:c r="AG856" s="2"/>
      <x:c r="AH856" s="2" t="s">
        <x:v>458</x:v>
      </x:c>
      <x:c r="AI856" s="4">
        <x:v>8</x:v>
      </x:c>
      <x:c r="AJ856" s="2" t="s">
        <x:v>2466</x:v>
      </x:c>
      <x:c r="AK856" s="2" t="s">
        <x:v>460</x:v>
      </x:c>
      <x:c r="AL856" s="2" t="s">
        <x:v>3061</x:v>
      </x:c>
      <x:c r="AM856" s="2">
        <x:v>86</x:v>
      </x:c>
      <x:c r="AN856" s="2">
        <x:v>86</x:v>
      </x:c>
    </x:row>
    <x:row r="857" ht="39">
      <x:c r="A857" s="2" t="s">
        <x:v>91</x:v>
      </x:c>
      <x:c r="B857" s="2" t="s">
        <x:v>18</x:v>
      </x:c>
      <x:c r="C857" s="3">
        <x:v>85</x:v>
      </x:c>
      <x:c r="D857" s="2" t="s">
        <x:v>462</x:v>
      </x:c>
      <x:c r="E857" s="2" t="s">
        <x:v>2634</x:v>
      </x:c>
      <x:c r="F857" s="2" t="s">
        <x:v>474</x:v>
      </x:c>
      <x:c r="G857" s="2" t="s">
        <x:v>3245</x:v>
      </x:c>
      <x:c r="H857" s="2" t="s">
        <x:v>618</x:v>
      </x:c>
      <x:c r="I857" s="2" t="s">
        <x:v>2636</x:v>
      </x:c>
      <x:c r="J857" s="2" t="s">
        <x:v>454</x:v>
      </x:c>
      <x:c r="K857" s="2"/>
      <x:c r="L857" s="2" t="s">
        <x:v>2637</x:v>
      </x:c>
      <x:c r="M857" s="2"/>
      <x:c r="N857" s="2"/>
      <x:c r="O857" s="2" t="s">
        <x:v>2464</x:v>
      </x:c>
      <x:c r="P857" s="2" t="s">
        <x:v>2638</x:v>
      </x:c>
      <x:c r="Q857" s="2"/>
      <x:c r="R857" s="3">
        <x:v>2</x:v>
      </x:c>
      <x:c r="S857" s="3"/>
      <x:c r="T857" s="2"/>
      <x:c r="U857" s="2"/>
      <x:c r="V857" s="2"/>
      <x:c r="W857" s="2"/>
      <x:c r="X857" s="3"/>
      <x:c r="Y857" s="3"/>
      <x:c r="Z857" s="2"/>
      <x:c r="AA857" s="2"/>
      <x:c r="AB857" s="2"/>
      <x:c r="AC857" s="2"/>
      <x:c r="AD857" s="2" t="s">
        <x:v>480</x:v>
      </x:c>
      <x:c r="AE857" s="2"/>
      <x:c r="AF857" s="2"/>
      <x:c r="AG857" s="2"/>
      <x:c r="AH857" s="2" t="s">
        <x:v>470</x:v>
      </x:c>
      <x:c r="AI857" s="4">
        <x:v>12</x:v>
      </x:c>
      <x:c r="AJ857" s="2" t="s">
        <x:v>2484</x:v>
      </x:c>
      <x:c r="AK857" s="2" t="s">
        <x:v>460</x:v>
      </x:c>
      <x:c r="AL857" s="2" t="s">
        <x:v>3061</x:v>
      </x:c>
      <x:c r="AM857" s="2">
        <x:v>87</x:v>
      </x:c>
      <x:c r="AN857" s="2">
        <x:v>87</x:v>
      </x:c>
    </x:row>
    <x:row r="858" ht="39">
      <x:c r="A858" s="2" t="s">
        <x:v>91</x:v>
      </x:c>
      <x:c r="B858" s="2" t="s">
        <x:v>18</x:v>
      </x:c>
      <x:c r="C858" s="3">
        <x:v>86</x:v>
      </x:c>
      <x:c r="D858" s="2" t="s">
        <x:v>482</x:v>
      </x:c>
      <x:c r="E858" s="2" t="s">
        <x:v>2639</x:v>
      </x:c>
      <x:c r="F858" s="2" t="s">
        <x:v>464</x:v>
      </x:c>
      <x:c r="G858" s="2" t="s">
        <x:v>3246</x:v>
      </x:c>
      <x:c r="H858" s="2" t="s">
        <x:v>618</x:v>
      </x:c>
      <x:c r="I858" s="2" t="s">
        <x:v>2641</x:v>
      </x:c>
      <x:c r="J858" s="2" t="s">
        <x:v>477</x:v>
      </x:c>
      <x:c r="K858" s="2"/>
      <x:c r="L858" s="2" t="s">
        <x:v>2642</x:v>
      </x:c>
      <x:c r="M858" s="2"/>
      <x:c r="N858" s="2"/>
      <x:c r="O858" s="2" t="s">
        <x:v>2464</x:v>
      </x:c>
      <x:c r="P858" s="2" t="s">
        <x:v>2643</x:v>
      </x:c>
      <x:c r="Q858" s="2"/>
      <x:c r="R858" s="3">
        <x:v>2</x:v>
      </x:c>
      <x:c r="S858" s="3"/>
      <x:c r="T858" s="2"/>
      <x:c r="U858" s="2"/>
      <x:c r="V858" s="2"/>
      <x:c r="W858" s="2"/>
      <x:c r="X858" s="3"/>
      <x:c r="Y858" s="3"/>
      <x:c r="Z858" s="2"/>
      <x:c r="AA858" s="2"/>
      <x:c r="AB858" s="2"/>
      <x:c r="AC858" s="2"/>
      <x:c r="AD858" s="2" t="s">
        <x:v>469</x:v>
      </x:c>
      <x:c r="AE858" s="2"/>
      <x:c r="AF858" s="2"/>
      <x:c r="AG858" s="2"/>
      <x:c r="AH858" s="2" t="s">
        <x:v>470</x:v>
      </x:c>
      <x:c r="AI858" s="4">
        <x:v>12</x:v>
      </x:c>
      <x:c r="AJ858" s="2" t="s">
        <x:v>2494</x:v>
      </x:c>
      <x:c r="AK858" s="2" t="s">
        <x:v>460</x:v>
      </x:c>
      <x:c r="AL858" s="2" t="s">
        <x:v>3061</x:v>
      </x:c>
      <x:c r="AM858" s="2">
        <x:v>88</x:v>
      </x:c>
      <x:c r="AN858" s="2">
        <x:v>88</x:v>
      </x:c>
    </x:row>
    <x:row r="859" ht="39">
      <x:c r="A859" s="2" t="s">
        <x:v>6</x:v>
      </x:c>
      <x:c r="B859" s="2" t="s">
        <x:v>18</x:v>
      </x:c>
      <x:c r="C859" s="3">
        <x:v>87</x:v>
      </x:c>
      <x:c r="D859" s="2" t="s">
        <x:v>516</x:v>
      </x:c>
      <x:c r="E859" s="2" t="s">
        <x:v>2644</x:v>
      </x:c>
      <x:c r="F859" s="2" t="s">
        <x:v>474</x:v>
      </x:c>
      <x:c r="G859" s="2"/>
      <x:c r="H859" s="2" t="s">
        <x:v>618</x:v>
      </x:c>
      <x:c r="I859" s="2" t="s">
        <x:v>2646</x:v>
      </x:c>
      <x:c r="J859" s="2" t="s">
        <x:v>454</x:v>
      </x:c>
      <x:c r="K859" s="2"/>
      <x:c r="L859" s="2" t="s">
        <x:v>2647</x:v>
      </x:c>
      <x:c r="M859" s="2"/>
      <x:c r="N859" s="2"/>
      <x:c r="O859" s="2" t="s">
        <x:v>2464</x:v>
      </x:c>
      <x:c r="P859" s="2" t="s">
        <x:v>2648</x:v>
      </x:c>
      <x:c r="Q859" s="2"/>
      <x:c r="R859" s="3">
        <x:v>2</x:v>
      </x:c>
      <x:c r="S859" s="3"/>
      <x:c r="T859" s="2"/>
      <x:c r="U859" s="2"/>
      <x:c r="V859" s="2"/>
      <x:c r="W859" s="2"/>
      <x:c r="X859" s="3"/>
      <x:c r="Y859" s="3"/>
      <x:c r="Z859" s="2"/>
      <x:c r="AA859" s="2"/>
      <x:c r="AB859" s="2"/>
      <x:c r="AC859" s="2"/>
      <x:c r="AD859" s="2" t="s">
        <x:v>480</x:v>
      </x:c>
      <x:c r="AE859" s="2"/>
      <x:c r="AF859" s="2"/>
      <x:c r="AG859" s="2"/>
      <x:c r="AH859" s="2" t="s">
        <x:v>458</x:v>
      </x:c>
      <x:c r="AI859" s="4">
        <x:v>16</x:v>
      </x:c>
      <x:c r="AJ859" s="2" t="s">
        <x:v>2504</x:v>
      </x:c>
      <x:c r="AK859" s="2" t="s">
        <x:v>460</x:v>
      </x:c>
      <x:c r="AL859" s="2" t="s">
        <x:v>3061</x:v>
      </x:c>
      <x:c r="AM859" s="2">
        <x:v>89</x:v>
      </x:c>
      <x:c r="AN859" s="2">
        <x:v>89</x:v>
      </x:c>
    </x:row>
    <x:row r="860" ht="39">
      <x:c r="A860" s="2" t="s">
        <x:v>6</x:v>
      </x:c>
      <x:c r="B860" s="2" t="s">
        <x:v>18</x:v>
      </x:c>
      <x:c r="C860" s="3">
        <x:v>88</x:v>
      </x:c>
      <x:c r="D860" s="2" t="s">
        <x:v>472</x:v>
      </x:c>
      <x:c r="E860" s="2" t="s">
        <x:v>2649</x:v>
      </x:c>
      <x:c r="F860" s="2" t="s">
        <x:v>464</x:v>
      </x:c>
      <x:c r="G860" s="2"/>
      <x:c r="H860" s="2" t="s">
        <x:v>618</x:v>
      </x:c>
      <x:c r="I860" s="2" t="s">
        <x:v>2650</x:v>
      </x:c>
      <x:c r="J860" s="2" t="s">
        <x:v>477</x:v>
      </x:c>
      <x:c r="K860" s="2"/>
      <x:c r="L860" s="2" t="s">
        <x:v>2651</x:v>
      </x:c>
      <x:c r="M860" s="2"/>
      <x:c r="N860" s="2"/>
      <x:c r="O860" s="2" t="s">
        <x:v>2464</x:v>
      </x:c>
      <x:c r="P860" s="2" t="s">
        <x:v>2652</x:v>
      </x:c>
      <x:c r="Q860" s="2"/>
      <x:c r="R860" s="3">
        <x:v>2</x:v>
      </x:c>
      <x:c r="S860" s="3"/>
      <x:c r="T860" s="2"/>
      <x:c r="U860" s="2"/>
      <x:c r="V860" s="2"/>
      <x:c r="W860" s="2"/>
      <x:c r="X860" s="3"/>
      <x:c r="Y860" s="3"/>
      <x:c r="Z860" s="2"/>
      <x:c r="AA860" s="2"/>
      <x:c r="AB860" s="2"/>
      <x:c r="AC860" s="2"/>
      <x:c r="AD860" s="2" t="s">
        <x:v>469</x:v>
      </x:c>
      <x:c r="AE860" s="2"/>
      <x:c r="AF860" s="2"/>
      <x:c r="AG860" s="2"/>
      <x:c r="AH860" s="2" t="s">
        <x:v>458</x:v>
      </x:c>
      <x:c r="AI860" s="4">
        <x:v>16</x:v>
      </x:c>
      <x:c r="AJ860" s="2" t="s">
        <x:v>2514</x:v>
      </x:c>
      <x:c r="AK860" s="2" t="s">
        <x:v>460</x:v>
      </x:c>
      <x:c r="AL860" s="2" t="s">
        <x:v>3061</x:v>
      </x:c>
      <x:c r="AM860" s="2">
        <x:v>90</x:v>
      </x:c>
      <x:c r="AN860" s="2">
        <x:v>90</x:v>
      </x:c>
    </x:row>
    <x:row r="861" ht="39">
      <x:c r="A861" s="2" t="s">
        <x:v>6</x:v>
      </x:c>
      <x:c r="B861" s="2" t="s">
        <x:v>18</x:v>
      </x:c>
      <x:c r="C861" s="3">
        <x:v>89</x:v>
      </x:c>
      <x:c r="D861" s="2" t="s">
        <x:v>449</x:v>
      </x:c>
      <x:c r="E861" s="2" t="s">
        <x:v>2653</x:v>
      </x:c>
      <x:c r="F861" s="2" t="s">
        <x:v>474</x:v>
      </x:c>
      <x:c r="G861" s="2"/>
      <x:c r="H861" s="2" t="s">
        <x:v>618</x:v>
      </x:c>
      <x:c r="I861" s="2" t="s">
        <x:v>2654</x:v>
      </x:c>
      <x:c r="J861" s="2" t="s">
        <x:v>454</x:v>
      </x:c>
      <x:c r="K861" s="2"/>
      <x:c r="L861" s="2" t="s">
        <x:v>2655</x:v>
      </x:c>
      <x:c r="M861" s="2"/>
      <x:c r="N861" s="2"/>
      <x:c r="O861" s="2" t="s">
        <x:v>2464</x:v>
      </x:c>
      <x:c r="P861" s="2" t="s">
        <x:v>2656</x:v>
      </x:c>
      <x:c r="Q861" s="2"/>
      <x:c r="R861" s="3">
        <x:v>2</x:v>
      </x:c>
      <x:c r="S861" s="3"/>
      <x:c r="T861" s="2"/>
      <x:c r="U861" s="2"/>
      <x:c r="V861" s="2"/>
      <x:c r="W861" s="2"/>
      <x:c r="X861" s="3"/>
      <x:c r="Y861" s="3"/>
      <x:c r="Z861" s="2"/>
      <x:c r="AA861" s="2"/>
      <x:c r="AB861" s="2"/>
      <x:c r="AC861" s="2"/>
      <x:c r="AD861" s="2" t="s">
        <x:v>480</x:v>
      </x:c>
      <x:c r="AE861" s="2"/>
      <x:c r="AF861" s="2"/>
      <x:c r="AG861" s="2"/>
      <x:c r="AH861" s="2" t="s">
        <x:v>470</x:v>
      </x:c>
      <x:c r="AI861" s="4">
        <x:v>8</x:v>
      </x:c>
      <x:c r="AJ861" s="2" t="s">
        <x:v>2525</x:v>
      </x:c>
      <x:c r="AK861" s="2" t="s">
        <x:v>460</x:v>
      </x:c>
      <x:c r="AL861" s="2" t="s">
        <x:v>3061</x:v>
      </x:c>
      <x:c r="AM861" s="2">
        <x:v>91</x:v>
      </x:c>
      <x:c r="AN861" s="2">
        <x:v>91</x:v>
      </x:c>
    </x:row>
    <x:row r="862" ht="52">
      <x:c r="A862" s="2" t="s">
        <x:v>91</x:v>
      </x:c>
      <x:c r="B862" s="2" t="s">
        <x:v>18</x:v>
      </x:c>
      <x:c r="C862" s="3">
        <x:v>90</x:v>
      </x:c>
      <x:c r="D862" s="2" t="s">
        <x:v>505</x:v>
      </x:c>
      <x:c r="E862" s="2" t="s">
        <x:v>2657</x:v>
      </x:c>
      <x:c r="F862" s="2" t="s">
        <x:v>464</x:v>
      </x:c>
      <x:c r="G862" s="2" t="s">
        <x:v>3247</x:v>
      </x:c>
      <x:c r="H862" s="2" t="s">
        <x:v>618</x:v>
      </x:c>
      <x:c r="I862" s="2" t="s">
        <x:v>2659</x:v>
      </x:c>
      <x:c r="J862" s="2" t="s">
        <x:v>477</x:v>
      </x:c>
      <x:c r="K862" s="2"/>
      <x:c r="L862" s="2" t="s">
        <x:v>2660</x:v>
      </x:c>
      <x:c r="M862" s="2"/>
      <x:c r="N862" s="2"/>
      <x:c r="O862" s="2" t="s">
        <x:v>2464</x:v>
      </x:c>
      <x:c r="P862" s="2" t="s">
        <x:v>2661</x:v>
      </x:c>
      <x:c r="Q862" s="2"/>
      <x:c r="R862" s="3">
        <x:v>2</x:v>
      </x:c>
      <x:c r="S862" s="3"/>
      <x:c r="T862" s="2"/>
      <x:c r="U862" s="2"/>
      <x:c r="V862" s="2"/>
      <x:c r="W862" s="2"/>
      <x:c r="X862" s="3"/>
      <x:c r="Y862" s="3"/>
      <x:c r="Z862" s="2"/>
      <x:c r="AA862" s="2"/>
      <x:c r="AB862" s="2"/>
      <x:c r="AC862" s="2"/>
      <x:c r="AD862" s="2" t="s">
        <x:v>469</x:v>
      </x:c>
      <x:c r="AE862" s="2"/>
      <x:c r="AF862" s="2"/>
      <x:c r="AG862" s="2"/>
      <x:c r="AH862" s="2" t="s">
        <x:v>470</x:v>
      </x:c>
      <x:c r="AI862" s="4">
        <x:v>8</x:v>
      </x:c>
      <x:c r="AJ862" s="2" t="s">
        <x:v>2466</x:v>
      </x:c>
      <x:c r="AK862" s="2" t="s">
        <x:v>460</x:v>
      </x:c>
      <x:c r="AL862" s="2" t="s">
        <x:v>3061</x:v>
      </x:c>
      <x:c r="AM862" s="2">
        <x:v>92</x:v>
      </x:c>
      <x:c r="AN862" s="2">
        <x:v>92</x:v>
      </x:c>
    </x:row>
    <x:row r="863" ht="39">
      <x:c r="A863" s="2" t="s">
        <x:v>91</x:v>
      </x:c>
      <x:c r="B863" s="2" t="s">
        <x:v>18</x:v>
      </x:c>
      <x:c r="C863" s="3">
        <x:v>91</x:v>
      </x:c>
      <x:c r="D863" s="2" t="s">
        <x:v>462</x:v>
      </x:c>
      <x:c r="E863" s="2" t="s">
        <x:v>2662</x:v>
      </x:c>
      <x:c r="F863" s="2" t="s">
        <x:v>474</x:v>
      </x:c>
      <x:c r="G863" s="2" t="s">
        <x:v>3248</x:v>
      </x:c>
      <x:c r="H863" s="2" t="s">
        <x:v>618</x:v>
      </x:c>
      <x:c r="I863" s="2" t="s">
        <x:v>2663</x:v>
      </x:c>
      <x:c r="J863" s="2" t="s">
        <x:v>454</x:v>
      </x:c>
      <x:c r="K863" s="2"/>
      <x:c r="L863" s="2" t="s">
        <x:v>2664</x:v>
      </x:c>
      <x:c r="M863" s="2"/>
      <x:c r="N863" s="2"/>
      <x:c r="O863" s="2" t="s">
        <x:v>2464</x:v>
      </x:c>
      <x:c r="P863" s="2" t="s">
        <x:v>2665</x:v>
      </x:c>
      <x:c r="Q863" s="2"/>
      <x:c r="R863" s="3">
        <x:v>2</x:v>
      </x:c>
      <x:c r="S863" s="3"/>
      <x:c r="T863" s="2"/>
      <x:c r="U863" s="2"/>
      <x:c r="V863" s="2"/>
      <x:c r="W863" s="2"/>
      <x:c r="X863" s="3"/>
      <x:c r="Y863" s="3"/>
      <x:c r="Z863" s="2"/>
      <x:c r="AA863" s="2"/>
      <x:c r="AB863" s="2"/>
      <x:c r="AC863" s="2"/>
      <x:c r="AD863" s="2" t="s">
        <x:v>480</x:v>
      </x:c>
      <x:c r="AE863" s="2"/>
      <x:c r="AF863" s="2"/>
      <x:c r="AG863" s="2"/>
      <x:c r="AH863" s="2" t="s">
        <x:v>458</x:v>
      </x:c>
      <x:c r="AI863" s="4">
        <x:v>12</x:v>
      </x:c>
      <x:c r="AJ863" s="2" t="s">
        <x:v>2484</x:v>
      </x:c>
      <x:c r="AK863" s="2" t="s">
        <x:v>460</x:v>
      </x:c>
      <x:c r="AL863" s="2" t="s">
        <x:v>3061</x:v>
      </x:c>
      <x:c r="AM863" s="2">
        <x:v>93</x:v>
      </x:c>
      <x:c r="AN863" s="2">
        <x:v>93</x:v>
      </x:c>
    </x:row>
    <x:row r="864" ht="39">
      <x:c r="A864" s="2" t="s">
        <x:v>91</x:v>
      </x:c>
      <x:c r="B864" s="2" t="s">
        <x:v>18</x:v>
      </x:c>
      <x:c r="C864" s="3">
        <x:v>92</x:v>
      </x:c>
      <x:c r="D864" s="2" t="s">
        <x:v>482</x:v>
      </x:c>
      <x:c r="E864" s="2" t="s">
        <x:v>2666</x:v>
      </x:c>
      <x:c r="F864" s="2" t="s">
        <x:v>464</x:v>
      </x:c>
      <x:c r="G864" s="2" t="s">
        <x:v>3249</x:v>
      </x:c>
      <x:c r="H864" s="2" t="s">
        <x:v>618</x:v>
      </x:c>
      <x:c r="I864" s="2" t="s">
        <x:v>2668</x:v>
      </x:c>
      <x:c r="J864" s="2" t="s">
        <x:v>477</x:v>
      </x:c>
      <x:c r="K864" s="2"/>
      <x:c r="L864" s="2" t="s">
        <x:v>2669</x:v>
      </x:c>
      <x:c r="M864" s="2"/>
      <x:c r="N864" s="2"/>
      <x:c r="O864" s="2" t="s">
        <x:v>2464</x:v>
      </x:c>
      <x:c r="P864" s="2" t="s">
        <x:v>2670</x:v>
      </x:c>
      <x:c r="Q864" s="2"/>
      <x:c r="R864" s="3">
        <x:v>2</x:v>
      </x:c>
      <x:c r="S864" s="3"/>
      <x:c r="T864" s="2"/>
      <x:c r="U864" s="2"/>
      <x:c r="V864" s="2"/>
      <x:c r="W864" s="2"/>
      <x:c r="X864" s="3"/>
      <x:c r="Y864" s="3"/>
      <x:c r="Z864" s="2"/>
      <x:c r="AA864" s="2"/>
      <x:c r="AB864" s="2"/>
      <x:c r="AC864" s="2"/>
      <x:c r="AD864" s="2" t="s">
        <x:v>469</x:v>
      </x:c>
      <x:c r="AE864" s="2"/>
      <x:c r="AF864" s="2"/>
      <x:c r="AG864" s="2"/>
      <x:c r="AH864" s="2" t="s">
        <x:v>458</x:v>
      </x:c>
      <x:c r="AI864" s="4">
        <x:v>12</x:v>
      </x:c>
      <x:c r="AJ864" s="2" t="s">
        <x:v>2494</x:v>
      </x:c>
      <x:c r="AK864" s="2" t="s">
        <x:v>460</x:v>
      </x:c>
      <x:c r="AL864" s="2" t="s">
        <x:v>3061</x:v>
      </x:c>
      <x:c r="AM864" s="2">
        <x:v>94</x:v>
      </x:c>
      <x:c r="AN864" s="2">
        <x:v>94</x:v>
      </x:c>
    </x:row>
    <x:row r="865" ht="39">
      <x:c r="A865" s="2" t="s">
        <x:v>91</x:v>
      </x:c>
      <x:c r="B865" s="2" t="s">
        <x:v>18</x:v>
      </x:c>
      <x:c r="C865" s="3">
        <x:v>93</x:v>
      </x:c>
      <x:c r="D865" s="2" t="s">
        <x:v>516</x:v>
      </x:c>
      <x:c r="E865" s="2" t="s">
        <x:v>2671</x:v>
      </x:c>
      <x:c r="F865" s="2" t="s">
        <x:v>474</x:v>
      </x:c>
      <x:c r="G865" s="2" t="s">
        <x:v>3250</x:v>
      </x:c>
      <x:c r="H865" s="2" t="s">
        <x:v>618</x:v>
      </x:c>
      <x:c r="I865" s="2" t="s">
        <x:v>2672</x:v>
      </x:c>
      <x:c r="J865" s="2" t="s">
        <x:v>454</x:v>
      </x:c>
      <x:c r="K865" s="2"/>
      <x:c r="L865" s="2" t="s">
        <x:v>2673</x:v>
      </x:c>
      <x:c r="M865" s="2"/>
      <x:c r="N865" s="2"/>
      <x:c r="O865" s="2" t="s">
        <x:v>2464</x:v>
      </x:c>
      <x:c r="P865" s="2" t="s">
        <x:v>2674</x:v>
      </x:c>
      <x:c r="Q865" s="2"/>
      <x:c r="R865" s="3">
        <x:v>2</x:v>
      </x:c>
      <x:c r="S865" s="3"/>
      <x:c r="T865" s="2"/>
      <x:c r="U865" s="2"/>
      <x:c r="V865" s="2"/>
      <x:c r="W865" s="2"/>
      <x:c r="X865" s="3"/>
      <x:c r="Y865" s="3"/>
      <x:c r="Z865" s="2"/>
      <x:c r="AA865" s="2"/>
      <x:c r="AB865" s="2"/>
      <x:c r="AC865" s="2"/>
      <x:c r="AD865" s="2" t="s">
        <x:v>480</x:v>
      </x:c>
      <x:c r="AE865" s="2"/>
      <x:c r="AF865" s="2"/>
      <x:c r="AG865" s="2"/>
      <x:c r="AH865" s="2" t="s">
        <x:v>470</x:v>
      </x:c>
      <x:c r="AI865" s="4">
        <x:v>16</x:v>
      </x:c>
      <x:c r="AJ865" s="2" t="s">
        <x:v>2504</x:v>
      </x:c>
      <x:c r="AK865" s="2" t="s">
        <x:v>460</x:v>
      </x:c>
      <x:c r="AL865" s="2" t="s">
        <x:v>3061</x:v>
      </x:c>
      <x:c r="AM865" s="2">
        <x:v>95</x:v>
      </x:c>
      <x:c r="AN865" s="2">
        <x:v>95</x:v>
      </x:c>
    </x:row>
    <x:row r="866" ht="39">
      <x:c r="A866" s="2" t="s">
        <x:v>91</x:v>
      </x:c>
      <x:c r="B866" s="2" t="s">
        <x:v>18</x:v>
      </x:c>
      <x:c r="C866" s="3">
        <x:v>94</x:v>
      </x:c>
      <x:c r="D866" s="2" t="s">
        <x:v>472</x:v>
      </x:c>
      <x:c r="E866" s="2" t="s">
        <x:v>2675</x:v>
      </x:c>
      <x:c r="F866" s="2" t="s">
        <x:v>464</x:v>
      </x:c>
      <x:c r="G866" s="2" t="s">
        <x:v>3251</x:v>
      </x:c>
      <x:c r="H866" s="2" t="s">
        <x:v>618</x:v>
      </x:c>
      <x:c r="I866" s="2" t="s">
        <x:v>2676</x:v>
      </x:c>
      <x:c r="J866" s="2" t="s">
        <x:v>477</x:v>
      </x:c>
      <x:c r="K866" s="2"/>
      <x:c r="L866" s="2" t="s">
        <x:v>2677</x:v>
      </x:c>
      <x:c r="M866" s="2"/>
      <x:c r="N866" s="2"/>
      <x:c r="O866" s="2" t="s">
        <x:v>2464</x:v>
      </x:c>
      <x:c r="P866" s="2" t="s">
        <x:v>2678</x:v>
      </x:c>
      <x:c r="Q866" s="2"/>
      <x:c r="R866" s="3">
        <x:v>2</x:v>
      </x:c>
      <x:c r="S866" s="3"/>
      <x:c r="T866" s="2"/>
      <x:c r="U866" s="2"/>
      <x:c r="V866" s="2"/>
      <x:c r="W866" s="2"/>
      <x:c r="X866" s="3"/>
      <x:c r="Y866" s="3"/>
      <x:c r="Z866" s="2"/>
      <x:c r="AA866" s="2"/>
      <x:c r="AB866" s="2"/>
      <x:c r="AC866" s="2"/>
      <x:c r="AD866" s="2" t="s">
        <x:v>469</x:v>
      </x:c>
      <x:c r="AE866" s="2"/>
      <x:c r="AF866" s="2"/>
      <x:c r="AG866" s="2"/>
      <x:c r="AH866" s="2" t="s">
        <x:v>470</x:v>
      </x:c>
      <x:c r="AI866" s="4">
        <x:v>16</x:v>
      </x:c>
      <x:c r="AJ866" s="2" t="s">
        <x:v>2514</x:v>
      </x:c>
      <x:c r="AK866" s="2" t="s">
        <x:v>460</x:v>
      </x:c>
      <x:c r="AL866" s="2" t="s">
        <x:v>3061</x:v>
      </x:c>
      <x:c r="AM866" s="2">
        <x:v>96</x:v>
      </x:c>
      <x:c r="AN866" s="2">
        <x:v>96</x:v>
      </x:c>
    </x:row>
    <x:row r="867" ht="39">
      <x:c r="A867" s="2" t="s">
        <x:v>6</x:v>
      </x:c>
      <x:c r="B867" s="2" t="s">
        <x:v>18</x:v>
      </x:c>
      <x:c r="C867" s="3">
        <x:v>95</x:v>
      </x:c>
      <x:c r="D867" s="2" t="s">
        <x:v>449</x:v>
      </x:c>
      <x:c r="E867" s="2" t="s">
        <x:v>2679</x:v>
      </x:c>
      <x:c r="F867" s="2" t="s">
        <x:v>474</x:v>
      </x:c>
      <x:c r="G867" s="2"/>
      <x:c r="H867" s="2" t="s">
        <x:v>618</x:v>
      </x:c>
      <x:c r="I867" s="2" t="s">
        <x:v>2681</x:v>
      </x:c>
      <x:c r="J867" s="2" t="s">
        <x:v>454</x:v>
      </x:c>
      <x:c r="K867" s="2"/>
      <x:c r="L867" s="2" t="s">
        <x:v>2682</x:v>
      </x:c>
      <x:c r="M867" s="2"/>
      <x:c r="N867" s="2"/>
      <x:c r="O867" s="2" t="s">
        <x:v>2464</x:v>
      </x:c>
      <x:c r="P867" s="2" t="s">
        <x:v>2683</x:v>
      </x:c>
      <x:c r="Q867" s="2"/>
      <x:c r="R867" s="3">
        <x:v>2</x:v>
      </x:c>
      <x:c r="S867" s="3"/>
      <x:c r="T867" s="2"/>
      <x:c r="U867" s="2"/>
      <x:c r="V867" s="2"/>
      <x:c r="W867" s="2"/>
      <x:c r="X867" s="3"/>
      <x:c r="Y867" s="3"/>
      <x:c r="Z867" s="2"/>
      <x:c r="AA867" s="2"/>
      <x:c r="AB867" s="2"/>
      <x:c r="AC867" s="2"/>
      <x:c r="AD867" s="2" t="s">
        <x:v>480</x:v>
      </x:c>
      <x:c r="AE867" s="2"/>
      <x:c r="AF867" s="2"/>
      <x:c r="AG867" s="2"/>
      <x:c r="AH867" s="2" t="s">
        <x:v>458</x:v>
      </x:c>
      <x:c r="AI867" s="4">
        <x:v>8</x:v>
      </x:c>
      <x:c r="AJ867" s="2" t="s">
        <x:v>2525</x:v>
      </x:c>
      <x:c r="AK867" s="2" t="s">
        <x:v>460</x:v>
      </x:c>
      <x:c r="AL867" s="2" t="s">
        <x:v>3061</x:v>
      </x:c>
      <x:c r="AM867" s="2">
        <x:v>97</x:v>
      </x:c>
      <x:c r="AN867" s="2">
        <x:v>97</x:v>
      </x:c>
    </x:row>
    <x:row r="868" ht="39">
      <x:c r="A868" s="2" t="s">
        <x:v>91</x:v>
      </x:c>
      <x:c r="B868" s="2" t="s">
        <x:v>18</x:v>
      </x:c>
      <x:c r="C868" s="3">
        <x:v>96</x:v>
      </x:c>
      <x:c r="D868" s="2" t="s">
        <x:v>505</x:v>
      </x:c>
      <x:c r="E868" s="2" t="s">
        <x:v>2684</x:v>
      </x:c>
      <x:c r="F868" s="2" t="s">
        <x:v>464</x:v>
      </x:c>
      <x:c r="G868" s="2" t="s">
        <x:v>3252</x:v>
      </x:c>
      <x:c r="H868" s="2" t="s">
        <x:v>618</x:v>
      </x:c>
      <x:c r="I868" s="2" t="s">
        <x:v>2686</x:v>
      </x:c>
      <x:c r="J868" s="2" t="s">
        <x:v>477</x:v>
      </x:c>
      <x:c r="K868" s="2"/>
      <x:c r="L868" s="2" t="s">
        <x:v>2687</x:v>
      </x:c>
      <x:c r="M868" s="2"/>
      <x:c r="N868" s="2"/>
      <x:c r="O868" s="2" t="s">
        <x:v>2464</x:v>
      </x:c>
      <x:c r="P868" s="2" t="s">
        <x:v>2688</x:v>
      </x:c>
      <x:c r="Q868" s="2"/>
      <x:c r="R868" s="3">
        <x:v>2</x:v>
      </x:c>
      <x:c r="S868" s="3"/>
      <x:c r="T868" s="2"/>
      <x:c r="U868" s="2"/>
      <x:c r="V868" s="2"/>
      <x:c r="W868" s="2"/>
      <x:c r="X868" s="3"/>
      <x:c r="Y868" s="3"/>
      <x:c r="Z868" s="2"/>
      <x:c r="AA868" s="2"/>
      <x:c r="AB868" s="2"/>
      <x:c r="AC868" s="2"/>
      <x:c r="AD868" s="2" t="s">
        <x:v>469</x:v>
      </x:c>
      <x:c r="AE868" s="2"/>
      <x:c r="AF868" s="2"/>
      <x:c r="AG868" s="2"/>
      <x:c r="AH868" s="2" t="s">
        <x:v>458</x:v>
      </x:c>
      <x:c r="AI868" s="4">
        <x:v>8</x:v>
      </x:c>
      <x:c r="AJ868" s="2" t="s">
        <x:v>2466</x:v>
      </x:c>
      <x:c r="AK868" s="2" t="s">
        <x:v>460</x:v>
      </x:c>
      <x:c r="AL868" s="2" t="s">
        <x:v>3061</x:v>
      </x:c>
      <x:c r="AM868" s="2">
        <x:v>98</x:v>
      </x:c>
      <x:c r="AN868" s="2">
        <x:v>98</x:v>
      </x:c>
    </x:row>
    <x:row r="869" ht="39">
      <x:c r="A869" s="2" t="s">
        <x:v>91</x:v>
      </x:c>
      <x:c r="B869" s="2" t="s">
        <x:v>18</x:v>
      </x:c>
      <x:c r="C869" s="3">
        <x:v>97</x:v>
      </x:c>
      <x:c r="D869" s="2" t="s">
        <x:v>462</x:v>
      </x:c>
      <x:c r="E869" s="2" t="s">
        <x:v>2689</x:v>
      </x:c>
      <x:c r="F869" s="2" t="s">
        <x:v>474</x:v>
      </x:c>
      <x:c r="G869" s="2" t="s">
        <x:v>3235</x:v>
      </x:c>
      <x:c r="H869" s="2" t="s">
        <x:v>618</x:v>
      </x:c>
      <x:c r="I869" s="2" t="s">
        <x:v>2691</x:v>
      </x:c>
      <x:c r="J869" s="2" t="s">
        <x:v>454</x:v>
      </x:c>
      <x:c r="K869" s="2"/>
      <x:c r="L869" s="2" t="s">
        <x:v>2692</x:v>
      </x:c>
      <x:c r="M869" s="2"/>
      <x:c r="N869" s="2"/>
      <x:c r="O869" s="2" t="s">
        <x:v>2464</x:v>
      </x:c>
      <x:c r="P869" s="2" t="s">
        <x:v>2693</x:v>
      </x:c>
      <x:c r="Q869" s="2"/>
      <x:c r="R869" s="3">
        <x:v>2</x:v>
      </x:c>
      <x:c r="S869" s="3"/>
      <x:c r="T869" s="2"/>
      <x:c r="U869" s="2"/>
      <x:c r="V869" s="2"/>
      <x:c r="W869" s="2"/>
      <x:c r="X869" s="3"/>
      <x:c r="Y869" s="3"/>
      <x:c r="Z869" s="2"/>
      <x:c r="AA869" s="2"/>
      <x:c r="AB869" s="2"/>
      <x:c r="AC869" s="2"/>
      <x:c r="AD869" s="2" t="s">
        <x:v>480</x:v>
      </x:c>
      <x:c r="AE869" s="2"/>
      <x:c r="AF869" s="2"/>
      <x:c r="AG869" s="2"/>
      <x:c r="AH869" s="2" t="s">
        <x:v>470</x:v>
      </x:c>
      <x:c r="AI869" s="4">
        <x:v>12</x:v>
      </x:c>
      <x:c r="AJ869" s="2" t="s">
        <x:v>2484</x:v>
      </x:c>
      <x:c r="AK869" s="2" t="s">
        <x:v>460</x:v>
      </x:c>
      <x:c r="AL869" s="2" t="s">
        <x:v>3061</x:v>
      </x:c>
      <x:c r="AM869" s="2">
        <x:v>99</x:v>
      </x:c>
      <x:c r="AN869" s="2">
        <x:v>99</x:v>
      </x:c>
    </x:row>
    <x:row r="870" ht="39">
      <x:c r="A870" s="2" t="s">
        <x:v>6</x:v>
      </x:c>
      <x:c r="B870" s="2" t="s">
        <x:v>18</x:v>
      </x:c>
      <x:c r="C870" s="3">
        <x:v>98</x:v>
      </x:c>
      <x:c r="D870" s="2" t="s">
        <x:v>482</x:v>
      </x:c>
      <x:c r="E870" s="2" t="s">
        <x:v>2694</x:v>
      </x:c>
      <x:c r="F870" s="2" t="s">
        <x:v>464</x:v>
      </x:c>
      <x:c r="G870" s="2"/>
      <x:c r="H870" s="2" t="s">
        <x:v>618</x:v>
      </x:c>
      <x:c r="I870" s="2" t="s">
        <x:v>2696</x:v>
      </x:c>
      <x:c r="J870" s="2" t="s">
        <x:v>477</x:v>
      </x:c>
      <x:c r="K870" s="2"/>
      <x:c r="L870" s="2" t="s">
        <x:v>2697</x:v>
      </x:c>
      <x:c r="M870" s="2"/>
      <x:c r="N870" s="2"/>
      <x:c r="O870" s="2" t="s">
        <x:v>2464</x:v>
      </x:c>
      <x:c r="P870" s="2" t="s">
        <x:v>2698</x:v>
      </x:c>
      <x:c r="Q870" s="2"/>
      <x:c r="R870" s="3">
        <x:v>2</x:v>
      </x:c>
      <x:c r="S870" s="3"/>
      <x:c r="T870" s="2"/>
      <x:c r="U870" s="2"/>
      <x:c r="V870" s="2"/>
      <x:c r="W870" s="2"/>
      <x:c r="X870" s="3"/>
      <x:c r="Y870" s="3"/>
      <x:c r="Z870" s="2"/>
      <x:c r="AA870" s="2"/>
      <x:c r="AB870" s="2"/>
      <x:c r="AC870" s="2"/>
      <x:c r="AD870" s="2" t="s">
        <x:v>469</x:v>
      </x:c>
      <x:c r="AE870" s="2"/>
      <x:c r="AF870" s="2"/>
      <x:c r="AG870" s="2"/>
      <x:c r="AH870" s="2" t="s">
        <x:v>470</x:v>
      </x:c>
      <x:c r="AI870" s="4">
        <x:v>12</x:v>
      </x:c>
      <x:c r="AJ870" s="2" t="s">
        <x:v>2494</x:v>
      </x:c>
      <x:c r="AK870" s="2" t="s">
        <x:v>460</x:v>
      </x:c>
      <x:c r="AL870" s="2" t="s">
        <x:v>3061</x:v>
      </x:c>
      <x:c r="AM870" s="2">
        <x:v>100</x:v>
      </x:c>
      <x:c r="AN870" s="2">
        <x:v>100</x:v>
      </x:c>
    </x:row>
    <x:row r="871" ht="39">
      <x:c r="A871" s="2" t="s">
        <x:v>6</x:v>
      </x:c>
      <x:c r="B871" s="2" t="s">
        <x:v>18</x:v>
      </x:c>
      <x:c r="C871" s="3">
        <x:v>99</x:v>
      </x:c>
      <x:c r="D871" s="2" t="s">
        <x:v>516</x:v>
      </x:c>
      <x:c r="E871" s="2" t="s">
        <x:v>2699</x:v>
      </x:c>
      <x:c r="F871" s="2" t="s">
        <x:v>474</x:v>
      </x:c>
      <x:c r="G871" s="2" t="s">
        <x:v>3253</x:v>
      </x:c>
      <x:c r="H871" s="2" t="s">
        <x:v>618</x:v>
      </x:c>
      <x:c r="I871" s="2" t="s">
        <x:v>2700</x:v>
      </x:c>
      <x:c r="J871" s="2" t="s">
        <x:v>454</x:v>
      </x:c>
      <x:c r="K871" s="2"/>
      <x:c r="L871" s="2" t="s">
        <x:v>2701</x:v>
      </x:c>
      <x:c r="M871" s="2"/>
      <x:c r="N871" s="2"/>
      <x:c r="O871" s="2" t="s">
        <x:v>2464</x:v>
      </x:c>
      <x:c r="P871" s="2" t="s">
        <x:v>2702</x:v>
      </x:c>
      <x:c r="Q871" s="2"/>
      <x:c r="R871" s="3">
        <x:v>2</x:v>
      </x:c>
      <x:c r="S871" s="3"/>
      <x:c r="T871" s="2"/>
      <x:c r="U871" s="2"/>
      <x:c r="V871" s="2"/>
      <x:c r="W871" s="2"/>
      <x:c r="X871" s="3"/>
      <x:c r="Y871" s="3"/>
      <x:c r="Z871" s="2"/>
      <x:c r="AA871" s="2"/>
      <x:c r="AB871" s="2"/>
      <x:c r="AC871" s="2"/>
      <x:c r="AD871" s="2" t="s">
        <x:v>480</x:v>
      </x:c>
      <x:c r="AE871" s="2"/>
      <x:c r="AF871" s="2"/>
      <x:c r="AG871" s="2"/>
      <x:c r="AH871" s="2" t="s">
        <x:v>458</x:v>
      </x:c>
      <x:c r="AI871" s="4">
        <x:v>16</x:v>
      </x:c>
      <x:c r="AJ871" s="2" t="s">
        <x:v>2504</x:v>
      </x:c>
      <x:c r="AK871" s="2" t="s">
        <x:v>460</x:v>
      </x:c>
      <x:c r="AL871" s="2" t="s">
        <x:v>3061</x:v>
      </x:c>
      <x:c r="AM871" s="2">
        <x:v>101</x:v>
      </x:c>
      <x:c r="AN871" s="2">
        <x:v>101</x:v>
      </x:c>
    </x:row>
    <x:row r="872" ht="39">
      <x:c r="A872" s="2" t="s">
        <x:v>6</x:v>
      </x:c>
      <x:c r="B872" s="2" t="s">
        <x:v>18</x:v>
      </x:c>
      <x:c r="C872" s="3">
        <x:v>100</x:v>
      </x:c>
      <x:c r="D872" s="2" t="s">
        <x:v>472</x:v>
      </x:c>
      <x:c r="E872" s="2" t="s">
        <x:v>2703</x:v>
      </x:c>
      <x:c r="F872" s="2" t="s">
        <x:v>464</x:v>
      </x:c>
      <x:c r="G872" s="2"/>
      <x:c r="H872" s="2" t="s">
        <x:v>618</x:v>
      </x:c>
      <x:c r="I872" s="2" t="s">
        <x:v>2704</x:v>
      </x:c>
      <x:c r="J872" s="2" t="s">
        <x:v>477</x:v>
      </x:c>
      <x:c r="K872" s="2"/>
      <x:c r="L872" s="2" t="s">
        <x:v>2463</x:v>
      </x:c>
      <x:c r="M872" s="2"/>
      <x:c r="N872" s="2"/>
      <x:c r="O872" s="2" t="s">
        <x:v>2464</x:v>
      </x:c>
      <x:c r="P872" s="2" t="s">
        <x:v>2465</x:v>
      </x:c>
      <x:c r="Q872" s="2"/>
      <x:c r="R872" s="3">
        <x:v>2</x:v>
      </x:c>
      <x:c r="S872" s="3"/>
      <x:c r="T872" s="2"/>
      <x:c r="U872" s="2"/>
      <x:c r="V872" s="2"/>
      <x:c r="W872" s="2"/>
      <x:c r="X872" s="3"/>
      <x:c r="Y872" s="3"/>
      <x:c r="Z872" s="2"/>
      <x:c r="AA872" s="2"/>
      <x:c r="AB872" s="2"/>
      <x:c r="AC872" s="2"/>
      <x:c r="AD872" s="2" t="s">
        <x:v>469</x:v>
      </x:c>
      <x:c r="AE872" s="2"/>
      <x:c r="AF872" s="2"/>
      <x:c r="AG872" s="2"/>
      <x:c r="AH872" s="2" t="s">
        <x:v>458</x:v>
      </x:c>
      <x:c r="AI872" s="4">
        <x:v>16</x:v>
      </x:c>
      <x:c r="AJ872" s="2" t="s">
        <x:v>2514</x:v>
      </x:c>
      <x:c r="AK872" s="2" t="s">
        <x:v>460</x:v>
      </x:c>
      <x:c r="AL872" s="2" t="s">
        <x:v>3061</x:v>
      </x:c>
      <x:c r="AM872" s="2">
        <x:v>102</x:v>
      </x:c>
      <x:c r="AN872" s="2">
        <x:v>102</x:v>
      </x:c>
    </x:row>
    <x:row r="873" ht="39">
      <x:c r="A873" s="2" t="s">
        <x:v>6</x:v>
      </x:c>
      <x:c r="B873" s="2" t="s">
        <x:v>18</x:v>
      </x:c>
      <x:c r="C873" s="3">
        <x:v>101</x:v>
      </x:c>
      <x:c r="D873" s="2" t="s">
        <x:v>449</x:v>
      </x:c>
      <x:c r="E873" s="2" t="s">
        <x:v>2705</x:v>
      </x:c>
      <x:c r="F873" s="2" t="s">
        <x:v>474</x:v>
      </x:c>
      <x:c r="G873" s="2"/>
      <x:c r="H873" s="2" t="s">
        <x:v>618</x:v>
      </x:c>
      <x:c r="I873" s="2" t="s">
        <x:v>2707</x:v>
      </x:c>
      <x:c r="J873" s="2" t="s">
        <x:v>454</x:v>
      </x:c>
      <x:c r="K873" s="2"/>
      <x:c r="L873" s="2" t="s">
        <x:v>2482</x:v>
      </x:c>
      <x:c r="M873" s="2"/>
      <x:c r="N873" s="2"/>
      <x:c r="O873" s="2" t="s">
        <x:v>2464</x:v>
      </x:c>
      <x:c r="P873" s="2" t="s">
        <x:v>2483</x:v>
      </x:c>
      <x:c r="Q873" s="2"/>
      <x:c r="R873" s="3">
        <x:v>2</x:v>
      </x:c>
      <x:c r="S873" s="3"/>
      <x:c r="T873" s="2"/>
      <x:c r="U873" s="2"/>
      <x:c r="V873" s="2"/>
      <x:c r="W873" s="2"/>
      <x:c r="X873" s="3"/>
      <x:c r="Y873" s="3"/>
      <x:c r="Z873" s="2"/>
      <x:c r="AA873" s="2"/>
      <x:c r="AB873" s="2"/>
      <x:c r="AC873" s="2"/>
      <x:c r="AD873" s="2" t="s">
        <x:v>480</x:v>
      </x:c>
      <x:c r="AE873" s="2"/>
      <x:c r="AF873" s="2"/>
      <x:c r="AG873" s="2"/>
      <x:c r="AH873" s="2" t="s">
        <x:v>470</x:v>
      </x:c>
      <x:c r="AI873" s="4">
        <x:v>8</x:v>
      </x:c>
      <x:c r="AJ873" s="2" t="s">
        <x:v>2525</x:v>
      </x:c>
      <x:c r="AK873" s="2" t="s">
        <x:v>460</x:v>
      </x:c>
      <x:c r="AL873" s="2" t="s">
        <x:v>3061</x:v>
      </x:c>
      <x:c r="AM873" s="2">
        <x:v>103</x:v>
      </x:c>
      <x:c r="AN873" s="2">
        <x:v>103</x:v>
      </x:c>
    </x:row>
    <x:row r="874" ht="39">
      <x:c r="A874" s="2" t="s">
        <x:v>91</x:v>
      </x:c>
      <x:c r="B874" s="2" t="s">
        <x:v>18</x:v>
      </x:c>
      <x:c r="C874" s="3">
        <x:v>102</x:v>
      </x:c>
      <x:c r="D874" s="2" t="s">
        <x:v>505</x:v>
      </x:c>
      <x:c r="E874" s="2" t="s">
        <x:v>2708</x:v>
      </x:c>
      <x:c r="F874" s="2" t="s">
        <x:v>464</x:v>
      </x:c>
      <x:c r="G874" s="2" t="s">
        <x:v>3254</x:v>
      </x:c>
      <x:c r="H874" s="2" t="s">
        <x:v>618</x:v>
      </x:c>
      <x:c r="I874" s="2" t="s">
        <x:v>2709</x:v>
      </x:c>
      <x:c r="J874" s="2" t="s">
        <x:v>477</x:v>
      </x:c>
      <x:c r="K874" s="2"/>
      <x:c r="L874" s="2" t="s">
        <x:v>2492</x:v>
      </x:c>
      <x:c r="M874" s="2"/>
      <x:c r="N874" s="2"/>
      <x:c r="O874" s="2" t="s">
        <x:v>2464</x:v>
      </x:c>
      <x:c r="P874" s="2" t="s">
        <x:v>2493</x:v>
      </x:c>
      <x:c r="Q874" s="2"/>
      <x:c r="R874" s="3">
        <x:v>2</x:v>
      </x:c>
      <x:c r="S874" s="3"/>
      <x:c r="T874" s="2"/>
      <x:c r="U874" s="2"/>
      <x:c r="V874" s="2"/>
      <x:c r="W874" s="2"/>
      <x:c r="X874" s="3"/>
      <x:c r="Y874" s="3"/>
      <x:c r="Z874" s="2"/>
      <x:c r="AA874" s="2"/>
      <x:c r="AB874" s="2"/>
      <x:c r="AC874" s="2"/>
      <x:c r="AD874" s="2" t="s">
        <x:v>469</x:v>
      </x:c>
      <x:c r="AE874" s="2"/>
      <x:c r="AF874" s="2"/>
      <x:c r="AG874" s="2"/>
      <x:c r="AH874" s="2" t="s">
        <x:v>470</x:v>
      </x:c>
      <x:c r="AI874" s="4">
        <x:v>8</x:v>
      </x:c>
      <x:c r="AJ874" s="2" t="s">
        <x:v>2466</x:v>
      </x:c>
      <x:c r="AK874" s="2" t="s">
        <x:v>460</x:v>
      </x:c>
      <x:c r="AL874" s="2" t="s">
        <x:v>3061</x:v>
      </x:c>
      <x:c r="AM874" s="2">
        <x:v>104</x:v>
      </x:c>
      <x:c r="AN874" s="2">
        <x:v>104</x:v>
      </x:c>
    </x:row>
    <x:row r="875" ht="39">
      <x:c r="A875" s="2" t="s">
        <x:v>91</x:v>
      </x:c>
      <x:c r="B875" s="2" t="s">
        <x:v>18</x:v>
      </x:c>
      <x:c r="C875" s="3">
        <x:v>103</x:v>
      </x:c>
      <x:c r="D875" s="2" t="s">
        <x:v>462</x:v>
      </x:c>
      <x:c r="E875" s="2" t="s">
        <x:v>2710</x:v>
      </x:c>
      <x:c r="F875" s="2" t="s">
        <x:v>474</x:v>
      </x:c>
      <x:c r="G875" s="2" t="s">
        <x:v>3231</x:v>
      </x:c>
      <x:c r="H875" s="2" t="s">
        <x:v>618</x:v>
      </x:c>
      <x:c r="I875" s="2" t="s">
        <x:v>2712</x:v>
      </x:c>
      <x:c r="J875" s="2" t="s">
        <x:v>454</x:v>
      </x:c>
      <x:c r="K875" s="2"/>
      <x:c r="L875" s="2" t="s">
        <x:v>2502</x:v>
      </x:c>
      <x:c r="M875" s="2"/>
      <x:c r="N875" s="2"/>
      <x:c r="O875" s="2" t="s">
        <x:v>2464</x:v>
      </x:c>
      <x:c r="P875" s="2" t="s">
        <x:v>2503</x:v>
      </x:c>
      <x:c r="Q875" s="2"/>
      <x:c r="R875" s="3">
        <x:v>2</x:v>
      </x:c>
      <x:c r="S875" s="3"/>
      <x:c r="T875" s="2"/>
      <x:c r="U875" s="2"/>
      <x:c r="V875" s="2"/>
      <x:c r="W875" s="2"/>
      <x:c r="X875" s="3"/>
      <x:c r="Y875" s="3"/>
      <x:c r="Z875" s="2"/>
      <x:c r="AA875" s="2"/>
      <x:c r="AB875" s="2"/>
      <x:c r="AC875" s="2"/>
      <x:c r="AD875" s="2" t="s">
        <x:v>480</x:v>
      </x:c>
      <x:c r="AE875" s="2"/>
      <x:c r="AF875" s="2"/>
      <x:c r="AG875" s="2"/>
      <x:c r="AH875" s="2" t="s">
        <x:v>458</x:v>
      </x:c>
      <x:c r="AI875" s="4">
        <x:v>12</x:v>
      </x:c>
      <x:c r="AJ875" s="2" t="s">
        <x:v>2484</x:v>
      </x:c>
      <x:c r="AK875" s="2" t="s">
        <x:v>460</x:v>
      </x:c>
      <x:c r="AL875" s="2" t="s">
        <x:v>3061</x:v>
      </x:c>
      <x:c r="AM875" s="2">
        <x:v>105</x:v>
      </x:c>
      <x:c r="AN875" s="2">
        <x:v>105</x:v>
      </x:c>
    </x:row>
    <x:row r="876" ht="39">
      <x:c r="A876" s="2" t="s">
        <x:v>6</x:v>
      </x:c>
      <x:c r="B876" s="2" t="s">
        <x:v>18</x:v>
      </x:c>
      <x:c r="C876" s="3">
        <x:v>104</x:v>
      </x:c>
      <x:c r="D876" s="2" t="s">
        <x:v>482</x:v>
      </x:c>
      <x:c r="E876" s="2" t="s">
        <x:v>2713</x:v>
      </x:c>
      <x:c r="F876" s="2" t="s">
        <x:v>464</x:v>
      </x:c>
      <x:c r="G876" s="2" t="s">
        <x:v>3255</x:v>
      </x:c>
      <x:c r="H876" s="2" t="s">
        <x:v>618</x:v>
      </x:c>
      <x:c r="I876" s="2" t="s">
        <x:v>2714</x:v>
      </x:c>
      <x:c r="J876" s="2" t="s">
        <x:v>477</x:v>
      </x:c>
      <x:c r="K876" s="2"/>
      <x:c r="L876" s="2" t="s">
        <x:v>2512</x:v>
      </x:c>
      <x:c r="M876" s="2"/>
      <x:c r="N876" s="2"/>
      <x:c r="O876" s="2" t="s">
        <x:v>2464</x:v>
      </x:c>
      <x:c r="P876" s="2" t="s">
        <x:v>2513</x:v>
      </x:c>
      <x:c r="Q876" s="2"/>
      <x:c r="R876" s="3">
        <x:v>2</x:v>
      </x:c>
      <x:c r="S876" s="3"/>
      <x:c r="T876" s="2"/>
      <x:c r="U876" s="2"/>
      <x:c r="V876" s="2"/>
      <x:c r="W876" s="2"/>
      <x:c r="X876" s="3"/>
      <x:c r="Y876" s="3"/>
      <x:c r="Z876" s="2"/>
      <x:c r="AA876" s="2"/>
      <x:c r="AB876" s="2"/>
      <x:c r="AC876" s="2"/>
      <x:c r="AD876" s="2" t="s">
        <x:v>469</x:v>
      </x:c>
      <x:c r="AE876" s="2"/>
      <x:c r="AF876" s="2"/>
      <x:c r="AG876" s="2"/>
      <x:c r="AH876" s="2" t="s">
        <x:v>458</x:v>
      </x:c>
      <x:c r="AI876" s="4">
        <x:v>12</x:v>
      </x:c>
      <x:c r="AJ876" s="2" t="s">
        <x:v>2494</x:v>
      </x:c>
      <x:c r="AK876" s="2" t="s">
        <x:v>460</x:v>
      </x:c>
      <x:c r="AL876" s="2" t="s">
        <x:v>3061</x:v>
      </x:c>
      <x:c r="AM876" s="2">
        <x:v>106</x:v>
      </x:c>
      <x:c r="AN876" s="2">
        <x:v>106</x:v>
      </x:c>
    </x:row>
    <x:row r="877" ht="39">
      <x:c r="A877" s="2" t="s">
        <x:v>91</x:v>
      </x:c>
      <x:c r="B877" s="2" t="s">
        <x:v>18</x:v>
      </x:c>
      <x:c r="C877" s="3">
        <x:v>105</x:v>
      </x:c>
      <x:c r="D877" s="2" t="s">
        <x:v>516</x:v>
      </x:c>
      <x:c r="E877" s="2" t="s">
        <x:v>2715</x:v>
      </x:c>
      <x:c r="F877" s="2" t="s">
        <x:v>474</x:v>
      </x:c>
      <x:c r="G877" s="2" t="s">
        <x:v>3256</x:v>
      </x:c>
      <x:c r="H877" s="2" t="s">
        <x:v>618</x:v>
      </x:c>
      <x:c r="I877" s="2" t="s">
        <x:v>2716</x:v>
      </x:c>
      <x:c r="J877" s="2" t="s">
        <x:v>454</x:v>
      </x:c>
      <x:c r="K877" s="2"/>
      <x:c r="L877" s="2" t="s">
        <x:v>2523</x:v>
      </x:c>
      <x:c r="M877" s="2"/>
      <x:c r="N877" s="2"/>
      <x:c r="O877" s="2" t="s">
        <x:v>2464</x:v>
      </x:c>
      <x:c r="P877" s="2" t="s">
        <x:v>2524</x:v>
      </x:c>
      <x:c r="Q877" s="2"/>
      <x:c r="R877" s="3">
        <x:v>2</x:v>
      </x:c>
      <x:c r="S877" s="3"/>
      <x:c r="T877" s="2"/>
      <x:c r="U877" s="2"/>
      <x:c r="V877" s="2"/>
      <x:c r="W877" s="2"/>
      <x:c r="X877" s="3"/>
      <x:c r="Y877" s="3"/>
      <x:c r="Z877" s="2"/>
      <x:c r="AA877" s="2"/>
      <x:c r="AB877" s="2"/>
      <x:c r="AC877" s="2"/>
      <x:c r="AD877" s="2" t="s">
        <x:v>480</x:v>
      </x:c>
      <x:c r="AE877" s="2"/>
      <x:c r="AF877" s="2"/>
      <x:c r="AG877" s="2"/>
      <x:c r="AH877" s="2" t="s">
        <x:v>470</x:v>
      </x:c>
      <x:c r="AI877" s="4">
        <x:v>16</x:v>
      </x:c>
      <x:c r="AJ877" s="2" t="s">
        <x:v>2504</x:v>
      </x:c>
      <x:c r="AK877" s="2" t="s">
        <x:v>460</x:v>
      </x:c>
      <x:c r="AL877" s="2" t="s">
        <x:v>3061</x:v>
      </x:c>
      <x:c r="AM877" s="2">
        <x:v>107</x:v>
      </x:c>
      <x:c r="AN877" s="2">
        <x:v>107</x:v>
      </x:c>
    </x:row>
    <x:row r="878" ht="39">
      <x:c r="A878" s="2" t="s">
        <x:v>6</x:v>
      </x:c>
      <x:c r="B878" s="2" t="s">
        <x:v>18</x:v>
      </x:c>
      <x:c r="C878" s="3">
        <x:v>106</x:v>
      </x:c>
      <x:c r="D878" s="2" t="s">
        <x:v>472</x:v>
      </x:c>
      <x:c r="E878" s="2" t="s">
        <x:v>2717</x:v>
      </x:c>
      <x:c r="F878" s="2" t="s">
        <x:v>464</x:v>
      </x:c>
      <x:c r="G878" s="2"/>
      <x:c r="H878" s="2" t="s">
        <x:v>618</x:v>
      </x:c>
      <x:c r="I878" s="2" t="s">
        <x:v>2718</x:v>
      </x:c>
      <x:c r="J878" s="2" t="s">
        <x:v>477</x:v>
      </x:c>
      <x:c r="K878" s="2"/>
      <x:c r="L878" s="2" t="s">
        <x:v>2534</x:v>
      </x:c>
      <x:c r="M878" s="2"/>
      <x:c r="N878" s="2"/>
      <x:c r="O878" s="2" t="s">
        <x:v>2464</x:v>
      </x:c>
      <x:c r="P878" s="2" t="s">
        <x:v>2535</x:v>
      </x:c>
      <x:c r="Q878" s="2"/>
      <x:c r="R878" s="3">
        <x:v>2</x:v>
      </x:c>
      <x:c r="S878" s="3"/>
      <x:c r="T878" s="2"/>
      <x:c r="U878" s="2"/>
      <x:c r="V878" s="2"/>
      <x:c r="W878" s="2"/>
      <x:c r="X878" s="3"/>
      <x:c r="Y878" s="3"/>
      <x:c r="Z878" s="2"/>
      <x:c r="AA878" s="2"/>
      <x:c r="AB878" s="2"/>
      <x:c r="AC878" s="2"/>
      <x:c r="AD878" s="2" t="s">
        <x:v>469</x:v>
      </x:c>
      <x:c r="AE878" s="2"/>
      <x:c r="AF878" s="2"/>
      <x:c r="AG878" s="2"/>
      <x:c r="AH878" s="2" t="s">
        <x:v>470</x:v>
      </x:c>
      <x:c r="AI878" s="4">
        <x:v>16</x:v>
      </x:c>
      <x:c r="AJ878" s="2" t="s">
        <x:v>2514</x:v>
      </x:c>
      <x:c r="AK878" s="2" t="s">
        <x:v>460</x:v>
      </x:c>
      <x:c r="AL878" s="2" t="s">
        <x:v>3061</x:v>
      </x:c>
      <x:c r="AM878" s="2">
        <x:v>108</x:v>
      </x:c>
      <x:c r="AN878" s="2">
        <x:v>108</x:v>
      </x:c>
    </x:row>
    <x:row r="879" ht="39">
      <x:c r="A879" s="2" t="s">
        <x:v>6</x:v>
      </x:c>
      <x:c r="B879" s="2" t="s">
        <x:v>18</x:v>
      </x:c>
      <x:c r="C879" s="3">
        <x:v>107</x:v>
      </x:c>
      <x:c r="D879" s="2" t="s">
        <x:v>449</x:v>
      </x:c>
      <x:c r="E879" s="2" t="s">
        <x:v>2719</x:v>
      </x:c>
      <x:c r="F879" s="2" t="s">
        <x:v>474</x:v>
      </x:c>
      <x:c r="G879" s="2" t="s">
        <x:v>3257</x:v>
      </x:c>
      <x:c r="H879" s="2" t="s">
        <x:v>618</x:v>
      </x:c>
      <x:c r="I879" s="2" t="s">
        <x:v>2720</x:v>
      </x:c>
      <x:c r="J879" s="2" t="s">
        <x:v>454</x:v>
      </x:c>
      <x:c r="K879" s="2"/>
      <x:c r="L879" s="2" t="s">
        <x:v>2542</x:v>
      </x:c>
      <x:c r="M879" s="2"/>
      <x:c r="N879" s="2"/>
      <x:c r="O879" s="2" t="s">
        <x:v>2464</x:v>
      </x:c>
      <x:c r="P879" s="2" t="s">
        <x:v>2543</x:v>
      </x:c>
      <x:c r="Q879" s="2"/>
      <x:c r="R879" s="3">
        <x:v>2</x:v>
      </x:c>
      <x:c r="S879" s="3"/>
      <x:c r="T879" s="2"/>
      <x:c r="U879" s="2"/>
      <x:c r="V879" s="2"/>
      <x:c r="W879" s="2"/>
      <x:c r="X879" s="3"/>
      <x:c r="Y879" s="3"/>
      <x:c r="Z879" s="2"/>
      <x:c r="AA879" s="2"/>
      <x:c r="AB879" s="2"/>
      <x:c r="AC879" s="2"/>
      <x:c r="AD879" s="2" t="s">
        <x:v>480</x:v>
      </x:c>
      <x:c r="AE879" s="2"/>
      <x:c r="AF879" s="2"/>
      <x:c r="AG879" s="2"/>
      <x:c r="AH879" s="2" t="s">
        <x:v>458</x:v>
      </x:c>
      <x:c r="AI879" s="4">
        <x:v>8</x:v>
      </x:c>
      <x:c r="AJ879" s="2" t="s">
        <x:v>2525</x:v>
      </x:c>
      <x:c r="AK879" s="2" t="s">
        <x:v>460</x:v>
      </x:c>
      <x:c r="AL879" s="2" t="s">
        <x:v>3061</x:v>
      </x:c>
      <x:c r="AM879" s="2">
        <x:v>109</x:v>
      </x:c>
      <x:c r="AN879" s="2">
        <x:v>109</x:v>
      </x:c>
    </x:row>
    <x:row r="880" ht="39">
      <x:c r="A880" s="2" t="s">
        <x:v>6</x:v>
      </x:c>
      <x:c r="B880" s="2" t="s">
        <x:v>18</x:v>
      </x:c>
      <x:c r="C880" s="3">
        <x:v>108</x:v>
      </x:c>
      <x:c r="D880" s="2" t="s">
        <x:v>505</x:v>
      </x:c>
      <x:c r="E880" s="2" t="s">
        <x:v>2721</x:v>
      </x:c>
      <x:c r="F880" s="2" t="s">
        <x:v>464</x:v>
      </x:c>
      <x:c r="G880" s="2"/>
      <x:c r="H880" s="2" t="s">
        <x:v>618</x:v>
      </x:c>
      <x:c r="I880" s="2" t="s">
        <x:v>2722</x:v>
      </x:c>
      <x:c r="J880" s="2" t="s">
        <x:v>477</x:v>
      </x:c>
      <x:c r="K880" s="2"/>
      <x:c r="L880" s="2" t="s">
        <x:v>2552</x:v>
      </x:c>
      <x:c r="M880" s="2"/>
      <x:c r="N880" s="2"/>
      <x:c r="O880" s="2" t="s">
        <x:v>2464</x:v>
      </x:c>
      <x:c r="P880" s="2" t="s">
        <x:v>2553</x:v>
      </x:c>
      <x:c r="Q880" s="2"/>
      <x:c r="R880" s="3">
        <x:v>2</x:v>
      </x:c>
      <x:c r="S880" s="3"/>
      <x:c r="T880" s="2"/>
      <x:c r="U880" s="2"/>
      <x:c r="V880" s="2"/>
      <x:c r="W880" s="2"/>
      <x:c r="X880" s="3"/>
      <x:c r="Y880" s="3"/>
      <x:c r="Z880" s="2"/>
      <x:c r="AA880" s="2"/>
      <x:c r="AB880" s="2"/>
      <x:c r="AC880" s="2"/>
      <x:c r="AD880" s="2" t="s">
        <x:v>469</x:v>
      </x:c>
      <x:c r="AE880" s="2"/>
      <x:c r="AF880" s="2"/>
      <x:c r="AG880" s="2"/>
      <x:c r="AH880" s="2" t="s">
        <x:v>458</x:v>
      </x:c>
      <x:c r="AI880" s="4">
        <x:v>8</x:v>
      </x:c>
      <x:c r="AJ880" s="2" t="s">
        <x:v>2466</x:v>
      </x:c>
      <x:c r="AK880" s="2" t="s">
        <x:v>460</x:v>
      </x:c>
      <x:c r="AL880" s="2" t="s">
        <x:v>3061</x:v>
      </x:c>
      <x:c r="AM880" s="2">
        <x:v>110</x:v>
      </x:c>
      <x:c r="AN880" s="2">
        <x:v>110</x:v>
      </x:c>
    </x:row>
    <x:row r="881" ht="39">
      <x:c r="A881" s="2" t="s">
        <x:v>6</x:v>
      </x:c>
      <x:c r="B881" s="2" t="s">
        <x:v>18</x:v>
      </x:c>
      <x:c r="C881" s="3">
        <x:v>109</x:v>
      </x:c>
      <x:c r="D881" s="2" t="s">
        <x:v>462</x:v>
      </x:c>
      <x:c r="E881" s="2" t="s">
        <x:v>2723</x:v>
      </x:c>
      <x:c r="F881" s="2" t="s">
        <x:v>474</x:v>
      </x:c>
      <x:c r="G881" s="2"/>
      <x:c r="H881" s="2" t="s">
        <x:v>618</x:v>
      </x:c>
      <x:c r="I881" s="2" t="s">
        <x:v>2725</x:v>
      </x:c>
      <x:c r="J881" s="2" t="s">
        <x:v>454</x:v>
      </x:c>
      <x:c r="K881" s="2"/>
      <x:c r="L881" s="2" t="s">
        <x:v>2560</x:v>
      </x:c>
      <x:c r="M881" s="2"/>
      <x:c r="N881" s="2"/>
      <x:c r="O881" s="2" t="s">
        <x:v>2464</x:v>
      </x:c>
      <x:c r="P881" s="2" t="s">
        <x:v>2561</x:v>
      </x:c>
      <x:c r="Q881" s="2"/>
      <x:c r="R881" s="3">
        <x:v>2</x:v>
      </x:c>
      <x:c r="S881" s="3"/>
      <x:c r="T881" s="2"/>
      <x:c r="U881" s="2"/>
      <x:c r="V881" s="2"/>
      <x:c r="W881" s="2"/>
      <x:c r="X881" s="3"/>
      <x:c r="Y881" s="3"/>
      <x:c r="Z881" s="2"/>
      <x:c r="AA881" s="2"/>
      <x:c r="AB881" s="2"/>
      <x:c r="AC881" s="2"/>
      <x:c r="AD881" s="2" t="s">
        <x:v>480</x:v>
      </x:c>
      <x:c r="AE881" s="2"/>
      <x:c r="AF881" s="2"/>
      <x:c r="AG881" s="2"/>
      <x:c r="AH881" s="2" t="s">
        <x:v>470</x:v>
      </x:c>
      <x:c r="AI881" s="4">
        <x:v>12</x:v>
      </x:c>
      <x:c r="AJ881" s="2" t="s">
        <x:v>2484</x:v>
      </x:c>
      <x:c r="AK881" s="2" t="s">
        <x:v>460</x:v>
      </x:c>
      <x:c r="AL881" s="2" t="s">
        <x:v>3061</x:v>
      </x:c>
      <x:c r="AM881" s="2">
        <x:v>111</x:v>
      </x:c>
      <x:c r="AN881" s="2">
        <x:v>111</x:v>
      </x:c>
    </x:row>
    <x:row r="882" ht="39">
      <x:c r="A882" s="2" t="s">
        <x:v>6</x:v>
      </x:c>
      <x:c r="B882" s="2" t="s">
        <x:v>18</x:v>
      </x:c>
      <x:c r="C882" s="3">
        <x:v>110</x:v>
      </x:c>
      <x:c r="D882" s="2" t="s">
        <x:v>505</x:v>
      </x:c>
      <x:c r="E882" s="2" t="s">
        <x:v>2726</x:v>
      </x:c>
      <x:c r="F882" s="2" t="s">
        <x:v>2727</x:v>
      </x:c>
      <x:c r="G882" s="2"/>
      <x:c r="H882" s="2" t="s">
        <x:v>2729</x:v>
      </x:c>
      <x:c r="I882" s="2" t="s">
        <x:v>2730</x:v>
      </x:c>
      <x:c r="J882" s="2" t="s">
        <x:v>477</x:v>
      </x:c>
      <x:c r="K882" s="2"/>
      <x:c r="L882" s="2" t="s">
        <x:v>2731</x:v>
      </x:c>
      <x:c r="M882" s="2"/>
      <x:c r="N882" s="2"/>
      <x:c r="O882" s="2" t="s">
        <x:v>2732</x:v>
      </x:c>
      <x:c r="P882" s="2" t="s">
        <x:v>2733</x:v>
      </x:c>
      <x:c r="Q882" s="2"/>
      <x:c r="R882" s="3">
        <x:v>2</x:v>
      </x:c>
      <x:c r="S882" s="3"/>
      <x:c r="T882" s="2"/>
      <x:c r="U882" s="2"/>
      <x:c r="V882" s="2"/>
      <x:c r="W882" s="2"/>
      <x:c r="X882" s="3"/>
      <x:c r="Y882" s="3"/>
      <x:c r="Z882" s="2"/>
      <x:c r="AA882" s="2"/>
      <x:c r="AB882" s="2"/>
      <x:c r="AC882" s="2"/>
      <x:c r="AD882" s="2" t="s">
        <x:v>237</x:v>
      </x:c>
      <x:c r="AE882" s="2"/>
      <x:c r="AF882" s="2"/>
      <x:c r="AG882" s="2"/>
      <x:c r="AH882" s="2" t="s">
        <x:v>458</x:v>
      </x:c>
      <x:c r="AI882" s="4">
        <x:v>8</x:v>
      </x:c>
      <x:c r="AJ882" s="2" t="s">
        <x:v>2734</x:v>
      </x:c>
      <x:c r="AK882" s="2" t="s">
        <x:v>460</x:v>
      </x:c>
      <x:c r="AL882" s="2" t="s">
        <x:v>3061</x:v>
      </x:c>
      <x:c r="AM882" s="2">
        <x:v>112</x:v>
      </x:c>
      <x:c r="AN882" s="2">
        <x:v>112</x:v>
      </x:c>
    </x:row>
    <x:row r="883" ht="39">
      <x:c r="A883" s="2" t="s">
        <x:v>6</x:v>
      </x:c>
      <x:c r="B883" s="2" t="s">
        <x:v>18</x:v>
      </x:c>
      <x:c r="C883" s="3">
        <x:v>111</x:v>
      </x:c>
      <x:c r="D883" s="2" t="s">
        <x:v>516</x:v>
      </x:c>
      <x:c r="E883" s="2" t="s">
        <x:v>2726</x:v>
      </x:c>
      <x:c r="F883" s="2" t="s">
        <x:v>451</x:v>
      </x:c>
      <x:c r="G883" s="2"/>
      <x:c r="H883" s="2" t="s">
        <x:v>2735</x:v>
      </x:c>
      <x:c r="I883" s="2" t="s">
        <x:v>2730</x:v>
      </x:c>
      <x:c r="J883" s="2" t="s">
        <x:v>454</x:v>
      </x:c>
      <x:c r="K883" s="2" t="n">
        <x:v>110</x:v>
      </x:c>
      <x:c r="L883" s="2" t="s">
        <x:v>2736</x:v>
      </x:c>
      <x:c r="M883" s="2"/>
      <x:c r="N883" s="2"/>
      <x:c r="O883" s="2" t="s">
        <x:v>2737</x:v>
      </x:c>
      <x:c r="P883" s="2" t="s">
        <x:v>2738</x:v>
      </x:c>
      <x:c r="Q883" s="2"/>
      <x:c r="R883" s="3">
        <x:v>2</x:v>
      </x:c>
      <x:c r="S883" s="3"/>
      <x:c r="T883" s="2"/>
      <x:c r="U883" s="2"/>
      <x:c r="V883" s="2"/>
      <x:c r="W883" s="2"/>
      <x:c r="X883" s="3"/>
      <x:c r="Y883" s="3"/>
      <x:c r="Z883" s="2"/>
      <x:c r="AA883" s="2"/>
      <x:c r="AB883" s="2"/>
      <x:c r="AC883" s="2"/>
      <x:c r="AD883" s="2" t="s">
        <x:v>431</x:v>
      </x:c>
      <x:c r="AE883" s="2"/>
      <x:c r="AF883" s="2"/>
      <x:c r="AG883" s="2"/>
      <x:c r="AH883" s="2" t="s">
        <x:v>470</x:v>
      </x:c>
      <x:c r="AI883" s="4">
        <x:v>8</x:v>
      </x:c>
      <x:c r="AJ883" s="2" t="s">
        <x:v>2739</x:v>
      </x:c>
      <x:c r="AK883" s="2" t="s">
        <x:v>460</x:v>
      </x:c>
      <x:c r="AL883" s="2" t="s">
        <x:v>3061</x:v>
      </x:c>
      <x:c r="AM883" s="2">
        <x:v>113</x:v>
      </x:c>
      <x:c r="AN883" s="2">
        <x:v>113</x:v>
      </x:c>
    </x:row>
    <x:row r="884" ht="39">
      <x:c r="A884" s="2" t="s">
        <x:v>6</x:v>
      </x:c>
      <x:c r="B884" s="2" t="s">
        <x:v>18</x:v>
      </x:c>
      <x:c r="C884" s="3">
        <x:v>112</x:v>
      </x:c>
      <x:c r="D884" s="2" t="s">
        <x:v>462</x:v>
      </x:c>
      <x:c r="E884" s="2" t="s">
        <x:v>2740</x:v>
      </x:c>
      <x:c r="F884" s="2" t="s">
        <x:v>2727</x:v>
      </x:c>
      <x:c r="G884" s="2"/>
      <x:c r="H884" s="2" t="s">
        <x:v>2729</x:v>
      </x:c>
      <x:c r="I884" s="2" t="s">
        <x:v>2741</x:v>
      </x:c>
      <x:c r="J884" s="2" t="s">
        <x:v>454</x:v>
      </x:c>
      <x:c r="K884" s="2"/>
      <x:c r="L884" s="2" t="s">
        <x:v>2742</x:v>
      </x:c>
      <x:c r="M884" s="2"/>
      <x:c r="N884" s="2"/>
      <x:c r="O884" s="2" t="s">
        <x:v>2732</x:v>
      </x:c>
      <x:c r="P884" s="2" t="s">
        <x:v>2743</x:v>
      </x:c>
      <x:c r="Q884" s="2"/>
      <x:c r="R884" s="3">
        <x:v>3</x:v>
      </x:c>
      <x:c r="S884" s="3"/>
      <x:c r="T884" s="2"/>
      <x:c r="U884" s="2"/>
      <x:c r="V884" s="2"/>
      <x:c r="W884" s="2"/>
      <x:c r="X884" s="3"/>
      <x:c r="Y884" s="3"/>
      <x:c r="Z884" s="2"/>
      <x:c r="AA884" s="2"/>
      <x:c r="AB884" s="2"/>
      <x:c r="AC884" s="2"/>
      <x:c r="AD884" s="2" t="s">
        <x:v>237</x:v>
      </x:c>
      <x:c r="AE884" s="2"/>
      <x:c r="AF884" s="2"/>
      <x:c r="AG884" s="2"/>
      <x:c r="AH884" s="2" t="s">
        <x:v>458</x:v>
      </x:c>
      <x:c r="AI884" s="4">
        <x:v>12</x:v>
      </x:c>
      <x:c r="AJ884" s="2" t="s">
        <x:v>2744</x:v>
      </x:c>
      <x:c r="AK884" s="2" t="s">
        <x:v>460</x:v>
      </x:c>
      <x:c r="AL884" s="2" t="s">
        <x:v>3061</x:v>
      </x:c>
      <x:c r="AM884" s="2">
        <x:v>114</x:v>
      </x:c>
      <x:c r="AN884" s="2">
        <x:v>114</x:v>
      </x:c>
    </x:row>
    <x:row r="885" ht="39">
      <x:c r="A885" s="2" t="s">
        <x:v>6</x:v>
      </x:c>
      <x:c r="B885" s="2" t="s">
        <x:v>18</x:v>
      </x:c>
      <x:c r="C885" s="3">
        <x:v>113</x:v>
      </x:c>
      <x:c r="D885" s="2" t="s">
        <x:v>472</x:v>
      </x:c>
      <x:c r="E885" s="2" t="s">
        <x:v>2740</x:v>
      </x:c>
      <x:c r="F885" s="2" t="s">
        <x:v>484</x:v>
      </x:c>
      <x:c r="G885" s="2"/>
      <x:c r="H885" s="2" t="s">
        <x:v>2735</x:v>
      </x:c>
      <x:c r="I885" s="2" t="s">
        <x:v>2741</x:v>
      </x:c>
      <x:c r="J885" s="2" t="s">
        <x:v>477</x:v>
      </x:c>
      <x:c r="K885" s="2" t="n">
        <x:v>112</x:v>
      </x:c>
      <x:c r="L885" s="2" t="s">
        <x:v>2746</x:v>
      </x:c>
      <x:c r="M885" s="2"/>
      <x:c r="N885" s="2"/>
      <x:c r="O885" s="2" t="s">
        <x:v>2737</x:v>
      </x:c>
      <x:c r="P885" s="2" t="s">
        <x:v>2747</x:v>
      </x:c>
      <x:c r="Q885" s="2"/>
      <x:c r="R885" s="3">
        <x:v>3</x:v>
      </x:c>
      <x:c r="S885" s="3"/>
      <x:c r="T885" s="2"/>
      <x:c r="U885" s="2"/>
      <x:c r="V885" s="2"/>
      <x:c r="W885" s="2"/>
      <x:c r="X885" s="3"/>
      <x:c r="Y885" s="3"/>
      <x:c r="Z885" s="2"/>
      <x:c r="AA885" s="2"/>
      <x:c r="AB885" s="2"/>
      <x:c r="AC885" s="2"/>
      <x:c r="AD885" s="2" t="s">
        <x:v>410</x:v>
      </x:c>
      <x:c r="AE885" s="2"/>
      <x:c r="AF885" s="2"/>
      <x:c r="AG885" s="2"/>
      <x:c r="AH885" s="2" t="s">
        <x:v>470</x:v>
      </x:c>
      <x:c r="AI885" s="4">
        <x:v>12</x:v>
      </x:c>
      <x:c r="AJ885" s="2" t="s">
        <x:v>2739</x:v>
      </x:c>
      <x:c r="AK885" s="2" t="s">
        <x:v>460</x:v>
      </x:c>
      <x:c r="AL885" s="2" t="s">
        <x:v>3061</x:v>
      </x:c>
      <x:c r="AM885" s="2">
        <x:v>115</x:v>
      </x:c>
      <x:c r="AN885" s="2">
        <x:v>115</x:v>
      </x:c>
    </x:row>
    <x:row r="886" ht="39">
      <x:c r="A886" s="2" t="s">
        <x:v>6</x:v>
      </x:c>
      <x:c r="B886" s="2" t="s">
        <x:v>18</x:v>
      </x:c>
      <x:c r="C886" s="3">
        <x:v>114</x:v>
      </x:c>
      <x:c r="D886" s="2" t="s">
        <x:v>482</x:v>
      </x:c>
      <x:c r="E886" s="2" t="s">
        <x:v>2748</x:v>
      </x:c>
      <x:c r="F886" s="2" t="s">
        <x:v>2727</x:v>
      </x:c>
      <x:c r="G886" s="2"/>
      <x:c r="H886" s="2" t="s">
        <x:v>2729</x:v>
      </x:c>
      <x:c r="I886" s="2" t="s">
        <x:v>2749</x:v>
      </x:c>
      <x:c r="J886" s="2" t="s">
        <x:v>477</x:v>
      </x:c>
      <x:c r="K886" s="2"/>
      <x:c r="L886" s="2" t="s">
        <x:v>2750</x:v>
      </x:c>
      <x:c r="M886" s="2"/>
      <x:c r="N886" s="2"/>
      <x:c r="O886" s="2" t="s">
        <x:v>2732</x:v>
      </x:c>
      <x:c r="P886" s="2" t="s">
        <x:v>2733</x:v>
      </x:c>
      <x:c r="Q886" s="2"/>
      <x:c r="R886" s="3">
        <x:v>2</x:v>
      </x:c>
      <x:c r="S886" s="3"/>
      <x:c r="T886" s="2"/>
      <x:c r="U886" s="2"/>
      <x:c r="V886" s="2"/>
      <x:c r="W886" s="2"/>
      <x:c r="X886" s="3"/>
      <x:c r="Y886" s="3"/>
      <x:c r="Z886" s="2"/>
      <x:c r="AA886" s="2"/>
      <x:c r="AB886" s="2"/>
      <x:c r="AC886" s="2"/>
      <x:c r="AD886" s="2" t="s">
        <x:v>237</x:v>
      </x:c>
      <x:c r="AE886" s="2"/>
      <x:c r="AF886" s="2"/>
      <x:c r="AG886" s="2"/>
      <x:c r="AH886" s="2" t="s">
        <x:v>470</x:v>
      </x:c>
      <x:c r="AI886" s="4">
        <x:v>12</x:v>
      </x:c>
      <x:c r="AJ886" s="2" t="s">
        <x:v>2734</x:v>
      </x:c>
      <x:c r="AK886" s="2" t="s">
        <x:v>460</x:v>
      </x:c>
      <x:c r="AL886" s="2" t="s">
        <x:v>3061</x:v>
      </x:c>
      <x:c r="AM886" s="2">
        <x:v>116</x:v>
      </x:c>
      <x:c r="AN886" s="2">
        <x:v>116</x:v>
      </x:c>
    </x:row>
    <x:row r="887" ht="39">
      <x:c r="A887" s="2" t="s">
        <x:v>6</x:v>
      </x:c>
      <x:c r="B887" s="2" t="s">
        <x:v>18</x:v>
      </x:c>
      <x:c r="C887" s="3">
        <x:v>115</x:v>
      </x:c>
      <x:c r="D887" s="2" t="s">
        <x:v>449</x:v>
      </x:c>
      <x:c r="E887" s="2" t="s">
        <x:v>2748</x:v>
      </x:c>
      <x:c r="F887" s="2" t="s">
        <x:v>451</x:v>
      </x:c>
      <x:c r="G887" s="2"/>
      <x:c r="H887" s="2" t="s">
        <x:v>2735</x:v>
      </x:c>
      <x:c r="I887" s="2" t="s">
        <x:v>2749</x:v>
      </x:c>
      <x:c r="J887" s="2" t="s">
        <x:v>454</x:v>
      </x:c>
      <x:c r="K887" s="2" t="n">
        <x:v>114</x:v>
      </x:c>
      <x:c r="L887" s="2" t="s">
        <x:v>2752</x:v>
      </x:c>
      <x:c r="M887" s="2"/>
      <x:c r="N887" s="2"/>
      <x:c r="O887" s="2" t="s">
        <x:v>2737</x:v>
      </x:c>
      <x:c r="P887" s="2" t="s">
        <x:v>2738</x:v>
      </x:c>
      <x:c r="Q887" s="2"/>
      <x:c r="R887" s="3">
        <x:v>2</x:v>
      </x:c>
      <x:c r="S887" s="3"/>
      <x:c r="T887" s="2"/>
      <x:c r="U887" s="2"/>
      <x:c r="V887" s="2"/>
      <x:c r="W887" s="2"/>
      <x:c r="X887" s="3"/>
      <x:c r="Y887" s="3"/>
      <x:c r="Z887" s="2"/>
      <x:c r="AA887" s="2"/>
      <x:c r="AB887" s="2"/>
      <x:c r="AC887" s="2"/>
      <x:c r="AD887" s="2" t="s">
        <x:v>431</x:v>
      </x:c>
      <x:c r="AE887" s="2"/>
      <x:c r="AF887" s="2"/>
      <x:c r="AG887" s="2"/>
      <x:c r="AH887" s="2" t="s">
        <x:v>458</x:v>
      </x:c>
      <x:c r="AI887" s="4">
        <x:v>12</x:v>
      </x:c>
      <x:c r="AJ887" s="2" t="s">
        <x:v>2739</x:v>
      </x:c>
      <x:c r="AK887" s="2" t="s">
        <x:v>460</x:v>
      </x:c>
      <x:c r="AL887" s="2" t="s">
        <x:v>3061</x:v>
      </x:c>
      <x:c r="AM887" s="2">
        <x:v>117</x:v>
      </x:c>
      <x:c r="AN887" s="2">
        <x:v>117</x:v>
      </x:c>
    </x:row>
    <x:row r="888" ht="39">
      <x:c r="A888" s="2" t="s">
        <x:v>6</x:v>
      </x:c>
      <x:c r="B888" s="2" t="s">
        <x:v>18</x:v>
      </x:c>
      <x:c r="C888" s="3">
        <x:v>116</x:v>
      </x:c>
      <x:c r="D888" s="2" t="s">
        <x:v>516</x:v>
      </x:c>
      <x:c r="E888" s="2" t="s">
        <x:v>2753</x:v>
      </x:c>
      <x:c r="F888" s="2" t="s">
        <x:v>2727</x:v>
      </x:c>
      <x:c r="G888" s="2"/>
      <x:c r="H888" s="2" t="s">
        <x:v>2729</x:v>
      </x:c>
      <x:c r="I888" s="2" t="s">
        <x:v>2755</x:v>
      </x:c>
      <x:c r="J888" s="2" t="s">
        <x:v>454</x:v>
      </x:c>
      <x:c r="K888" s="2"/>
      <x:c r="L888" s="2" t="s">
        <x:v>2756</x:v>
      </x:c>
      <x:c r="M888" s="2"/>
      <x:c r="N888" s="2"/>
      <x:c r="O888" s="2" t="s">
        <x:v>2732</x:v>
      </x:c>
      <x:c r="P888" s="2" t="s">
        <x:v>2743</x:v>
      </x:c>
      <x:c r="Q888" s="2"/>
      <x:c r="R888" s="3">
        <x:v>3</x:v>
      </x:c>
      <x:c r="S888" s="3"/>
      <x:c r="T888" s="2"/>
      <x:c r="U888" s="2"/>
      <x:c r="V888" s="2"/>
      <x:c r="W888" s="2"/>
      <x:c r="X888" s="3"/>
      <x:c r="Y888" s="3"/>
      <x:c r="Z888" s="2"/>
      <x:c r="AA888" s="2"/>
      <x:c r="AB888" s="2"/>
      <x:c r="AC888" s="2"/>
      <x:c r="AD888" s="2" t="s">
        <x:v>237</x:v>
      </x:c>
      <x:c r="AE888" s="2"/>
      <x:c r="AF888" s="2"/>
      <x:c r="AG888" s="2"/>
      <x:c r="AH888" s="2" t="s">
        <x:v>470</x:v>
      </x:c>
      <x:c r="AI888" s="4">
        <x:v>16</x:v>
      </x:c>
      <x:c r="AJ888" s="2" t="s">
        <x:v>2744</x:v>
      </x:c>
      <x:c r="AK888" s="2" t="s">
        <x:v>460</x:v>
      </x:c>
      <x:c r="AL888" s="2" t="s">
        <x:v>3061</x:v>
      </x:c>
      <x:c r="AM888" s="2">
        <x:v>118</x:v>
      </x:c>
      <x:c r="AN888" s="2">
        <x:v>118</x:v>
      </x:c>
    </x:row>
    <x:row r="889" ht="39">
      <x:c r="A889" s="2" t="s">
        <x:v>6</x:v>
      </x:c>
      <x:c r="B889" s="2" t="s">
        <x:v>18</x:v>
      </x:c>
      <x:c r="C889" s="3">
        <x:v>117</x:v>
      </x:c>
      <x:c r="D889" s="2" t="s">
        <x:v>505</x:v>
      </x:c>
      <x:c r="E889" s="2" t="s">
        <x:v>2753</x:v>
      </x:c>
      <x:c r="F889" s="2" t="s">
        <x:v>474</x:v>
      </x:c>
      <x:c r="G889" s="2"/>
      <x:c r="H889" s="2" t="s">
        <x:v>2735</x:v>
      </x:c>
      <x:c r="I889" s="2" t="s">
        <x:v>2755</x:v>
      </x:c>
      <x:c r="J889" s="2" t="s">
        <x:v>477</x:v>
      </x:c>
      <x:c r="K889" s="2" t="n">
        <x:v>116</x:v>
      </x:c>
      <x:c r="L889" s="2" t="s">
        <x:v>2757</x:v>
      </x:c>
      <x:c r="M889" s="2"/>
      <x:c r="N889" s="2"/>
      <x:c r="O889" s="2" t="s">
        <x:v>2737</x:v>
      </x:c>
      <x:c r="P889" s="2" t="s">
        <x:v>2758</x:v>
      </x:c>
      <x:c r="Q889" s="2"/>
      <x:c r="R889" s="3">
        <x:v>3</x:v>
      </x:c>
      <x:c r="S889" s="3"/>
      <x:c r="T889" s="2"/>
      <x:c r="U889" s="2"/>
      <x:c r="V889" s="2"/>
      <x:c r="W889" s="2"/>
      <x:c r="X889" s="3"/>
      <x:c r="Y889" s="3"/>
      <x:c r="Z889" s="2"/>
      <x:c r="AA889" s="2"/>
      <x:c r="AB889" s="2"/>
      <x:c r="AC889" s="2"/>
      <x:c r="AD889" s="2" t="s">
        <x:v>480</x:v>
      </x:c>
      <x:c r="AE889" s="2"/>
      <x:c r="AF889" s="2"/>
      <x:c r="AG889" s="2"/>
      <x:c r="AH889" s="2" t="s">
        <x:v>458</x:v>
      </x:c>
      <x:c r="AI889" s="4">
        <x:v>16</x:v>
      </x:c>
      <x:c r="AJ889" s="2" t="s">
        <x:v>2739</x:v>
      </x:c>
      <x:c r="AK889" s="2" t="s">
        <x:v>460</x:v>
      </x:c>
      <x:c r="AL889" s="2" t="s">
        <x:v>3061</x:v>
      </x:c>
      <x:c r="AM889" s="2">
        <x:v>119</x:v>
      </x:c>
      <x:c r="AN889" s="2">
        <x:v>119</x:v>
      </x:c>
    </x:row>
    <x:row r="890" ht="39">
      <x:c r="A890" s="2" t="s">
        <x:v>6</x:v>
      </x:c>
      <x:c r="B890" s="2" t="s">
        <x:v>18</x:v>
      </x:c>
      <x:c r="C890" s="3">
        <x:v>118</x:v>
      </x:c>
      <x:c r="D890" s="2" t="s">
        <x:v>472</x:v>
      </x:c>
      <x:c r="E890" s="2" t="s">
        <x:v>2759</x:v>
      </x:c>
      <x:c r="F890" s="2" t="s">
        <x:v>2727</x:v>
      </x:c>
      <x:c r="G890" s="2"/>
      <x:c r="H890" s="2" t="s">
        <x:v>2729</x:v>
      </x:c>
      <x:c r="I890" s="2" t="s">
        <x:v>2761</x:v>
      </x:c>
      <x:c r="J890" s="2" t="s">
        <x:v>477</x:v>
      </x:c>
      <x:c r="K890" s="2"/>
      <x:c r="L890" s="2" t="s">
        <x:v>2762</x:v>
      </x:c>
      <x:c r="M890" s="2"/>
      <x:c r="N890" s="2"/>
      <x:c r="O890" s="2" t="s">
        <x:v>2732</x:v>
      </x:c>
      <x:c r="P890" s="2" t="s">
        <x:v>2733</x:v>
      </x:c>
      <x:c r="Q890" s="2"/>
      <x:c r="R890" s="3">
        <x:v>2</x:v>
      </x:c>
      <x:c r="S890" s="3"/>
      <x:c r="T890" s="2"/>
      <x:c r="U890" s="2"/>
      <x:c r="V890" s="2"/>
      <x:c r="W890" s="2"/>
      <x:c r="X890" s="3"/>
      <x:c r="Y890" s="3"/>
      <x:c r="Z890" s="2"/>
      <x:c r="AA890" s="2"/>
      <x:c r="AB890" s="2"/>
      <x:c r="AC890" s="2"/>
      <x:c r="AD890" s="2" t="s">
        <x:v>237</x:v>
      </x:c>
      <x:c r="AE890" s="2"/>
      <x:c r="AF890" s="2"/>
      <x:c r="AG890" s="2"/>
      <x:c r="AH890" s="2" t="s">
        <x:v>458</x:v>
      </x:c>
      <x:c r="AI890" s="4">
        <x:v>16</x:v>
      </x:c>
      <x:c r="AJ890" s="2" t="s">
        <x:v>2734</x:v>
      </x:c>
      <x:c r="AK890" s="2" t="s">
        <x:v>460</x:v>
      </x:c>
      <x:c r="AL890" s="2" t="s">
        <x:v>3061</x:v>
      </x:c>
      <x:c r="AM890" s="2">
        <x:v>120</x:v>
      </x:c>
      <x:c r="AN890" s="2">
        <x:v>120</x:v>
      </x:c>
    </x:row>
    <x:row r="891" ht="39">
      <x:c r="A891" s="2" t="s">
        <x:v>6</x:v>
      </x:c>
      <x:c r="B891" s="2" t="s">
        <x:v>18</x:v>
      </x:c>
      <x:c r="C891" s="3">
        <x:v>119</x:v>
      </x:c>
      <x:c r="D891" s="2" t="s">
        <x:v>462</x:v>
      </x:c>
      <x:c r="E891" s="2" t="s">
        <x:v>2759</x:v>
      </x:c>
      <x:c r="F891" s="2" t="s">
        <x:v>451</x:v>
      </x:c>
      <x:c r="G891" s="2"/>
      <x:c r="H891" s="2" t="s">
        <x:v>2735</x:v>
      </x:c>
      <x:c r="I891" s="2" t="s">
        <x:v>2761</x:v>
      </x:c>
      <x:c r="J891" s="2" t="s">
        <x:v>454</x:v>
      </x:c>
      <x:c r="K891" s="2" t="n">
        <x:v>118</x:v>
      </x:c>
      <x:c r="L891" s="2" t="s">
        <x:v>2763</x:v>
      </x:c>
      <x:c r="M891" s="2"/>
      <x:c r="N891" s="2"/>
      <x:c r="O891" s="2" t="s">
        <x:v>2737</x:v>
      </x:c>
      <x:c r="P891" s="2" t="s">
        <x:v>2738</x:v>
      </x:c>
      <x:c r="Q891" s="2"/>
      <x:c r="R891" s="3">
        <x:v>2</x:v>
      </x:c>
      <x:c r="S891" s="3"/>
      <x:c r="T891" s="2"/>
      <x:c r="U891" s="2"/>
      <x:c r="V891" s="2"/>
      <x:c r="W891" s="2"/>
      <x:c r="X891" s="3"/>
      <x:c r="Y891" s="3"/>
      <x:c r="Z891" s="2"/>
      <x:c r="AA891" s="2"/>
      <x:c r="AB891" s="2"/>
      <x:c r="AC891" s="2"/>
      <x:c r="AD891" s="2" t="s">
        <x:v>431</x:v>
      </x:c>
      <x:c r="AE891" s="2"/>
      <x:c r="AF891" s="2"/>
      <x:c r="AG891" s="2"/>
      <x:c r="AH891" s="2" t="s">
        <x:v>470</x:v>
      </x:c>
      <x:c r="AI891" s="4">
        <x:v>16</x:v>
      </x:c>
      <x:c r="AJ891" s="2" t="s">
        <x:v>2739</x:v>
      </x:c>
      <x:c r="AK891" s="2" t="s">
        <x:v>460</x:v>
      </x:c>
      <x:c r="AL891" s="2" t="s">
        <x:v>3061</x:v>
      </x:c>
      <x:c r="AM891" s="2">
        <x:v>121</x:v>
      </x:c>
      <x:c r="AN891" s="2">
        <x:v>121</x:v>
      </x:c>
    </x:row>
    <x:row r="892" ht="39">
      <x:c r="A892" s="2" t="s">
        <x:v>91</x:v>
      </x:c>
      <x:c r="B892" s="2" t="s">
        <x:v>18</x:v>
      </x:c>
      <x:c r="C892" s="3">
        <x:v>120</x:v>
      </x:c>
      <x:c r="D892" s="2" t="s">
        <x:v>449</x:v>
      </x:c>
      <x:c r="E892" s="2" t="s">
        <x:v>2764</x:v>
      </x:c>
      <x:c r="F892" s="2" t="s">
        <x:v>2727</x:v>
      </x:c>
      <x:c r="G892" s="2" t="s">
        <x:v>3258</x:v>
      </x:c>
      <x:c r="H892" s="2" t="s">
        <x:v>2729</x:v>
      </x:c>
      <x:c r="I892" s="2" t="s">
        <x:v>2766</x:v>
      </x:c>
      <x:c r="J892" s="2" t="s">
        <x:v>454</x:v>
      </x:c>
      <x:c r="K892" s="2"/>
      <x:c r="L892" s="2" t="s">
        <x:v>2767</x:v>
      </x:c>
      <x:c r="M892" s="2"/>
      <x:c r="N892" s="2"/>
      <x:c r="O892" s="2" t="s">
        <x:v>2732</x:v>
      </x:c>
      <x:c r="P892" s="2" t="s">
        <x:v>2743</x:v>
      </x:c>
      <x:c r="Q892" s="2"/>
      <x:c r="R892" s="3">
        <x:v>3</x:v>
      </x:c>
      <x:c r="S892" s="3"/>
      <x:c r="T892" s="2"/>
      <x:c r="U892" s="2"/>
      <x:c r="V892" s="2"/>
      <x:c r="W892" s="2"/>
      <x:c r="X892" s="3"/>
      <x:c r="Y892" s="3"/>
      <x:c r="Z892" s="2"/>
      <x:c r="AA892" s="2"/>
      <x:c r="AB892" s="2"/>
      <x:c r="AC892" s="2"/>
      <x:c r="AD892" s="2" t="s">
        <x:v>237</x:v>
      </x:c>
      <x:c r="AE892" s="2"/>
      <x:c r="AF892" s="2"/>
      <x:c r="AG892" s="2"/>
      <x:c r="AH892" s="2" t="s">
        <x:v>470</x:v>
      </x:c>
      <x:c r="AI892" s="4">
        <x:v>8</x:v>
      </x:c>
      <x:c r="AJ892" s="2" t="s">
        <x:v>2744</x:v>
      </x:c>
      <x:c r="AK892" s="2" t="s">
        <x:v>460</x:v>
      </x:c>
      <x:c r="AL892" s="2" t="s">
        <x:v>3061</x:v>
      </x:c>
      <x:c r="AM892" s="2">
        <x:v>122</x:v>
      </x:c>
      <x:c r="AN892" s="2">
        <x:v>122</x:v>
      </x:c>
    </x:row>
    <x:row r="893" ht="39">
      <x:c r="A893" s="2" t="s">
        <x:v>6</x:v>
      </x:c>
      <x:c r="B893" s="2" t="s">
        <x:v>18</x:v>
      </x:c>
      <x:c r="C893" s="3">
        <x:v>121</x:v>
      </x:c>
      <x:c r="D893" s="2" t="s">
        <x:v>482</x:v>
      </x:c>
      <x:c r="E893" s="2" t="s">
        <x:v>2764</x:v>
      </x:c>
      <x:c r="F893" s="2" t="s">
        <x:v>484</x:v>
      </x:c>
      <x:c r="G893" s="2"/>
      <x:c r="H893" s="2" t="s">
        <x:v>2735</x:v>
      </x:c>
      <x:c r="I893" s="2" t="s">
        <x:v>2766</x:v>
      </x:c>
      <x:c r="J893" s="2" t="s">
        <x:v>477</x:v>
      </x:c>
      <x:c r="K893" s="2" t="n">
        <x:v>120</x:v>
      </x:c>
      <x:c r="L893" s="2" t="s">
        <x:v>2768</x:v>
      </x:c>
      <x:c r="M893" s="2"/>
      <x:c r="N893" s="2"/>
      <x:c r="O893" s="2" t="s">
        <x:v>2737</x:v>
      </x:c>
      <x:c r="P893" s="2" t="s">
        <x:v>2747</x:v>
      </x:c>
      <x:c r="Q893" s="2"/>
      <x:c r="R893" s="3">
        <x:v>3</x:v>
      </x:c>
      <x:c r="S893" s="3"/>
      <x:c r="T893" s="2"/>
      <x:c r="U893" s="2"/>
      <x:c r="V893" s="2"/>
      <x:c r="W893" s="2"/>
      <x:c r="X893" s="3"/>
      <x:c r="Y893" s="3"/>
      <x:c r="Z893" s="2"/>
      <x:c r="AA893" s="2"/>
      <x:c r="AB893" s="2"/>
      <x:c r="AC893" s="2"/>
      <x:c r="AD893" s="2" t="s">
        <x:v>410</x:v>
      </x:c>
      <x:c r="AE893" s="2"/>
      <x:c r="AF893" s="2"/>
      <x:c r="AG893" s="2"/>
      <x:c r="AH893" s="2" t="s">
        <x:v>2769</x:v>
      </x:c>
      <x:c r="AI893" s="4">
        <x:v>8</x:v>
      </x:c>
      <x:c r="AJ893" s="2" t="s">
        <x:v>2739</x:v>
      </x:c>
      <x:c r="AK893" s="2" t="s">
        <x:v>460</x:v>
      </x:c>
      <x:c r="AL893" s="2" t="s">
        <x:v>3061</x:v>
      </x:c>
      <x:c r="AM893" s="2">
        <x:v>123</x:v>
      </x:c>
      <x:c r="AN893" s="2">
        <x:v>123</x:v>
      </x:c>
    </x:row>
    <x:row r="894" ht="39">
      <x:c r="A894" s="2" t="s">
        <x:v>6</x:v>
      </x:c>
      <x:c r="B894" s="2" t="s">
        <x:v>18</x:v>
      </x:c>
      <x:c r="C894" s="3">
        <x:v>122</x:v>
      </x:c>
      <x:c r="D894" s="2" t="s">
        <x:v>505</x:v>
      </x:c>
      <x:c r="E894" s="2" t="s">
        <x:v>2770</x:v>
      </x:c>
      <x:c r="F894" s="2" t="s">
        <x:v>2727</x:v>
      </x:c>
      <x:c r="G894" s="2"/>
      <x:c r="H894" s="2" t="s">
        <x:v>2729</x:v>
      </x:c>
      <x:c r="I894" s="2" t="s">
        <x:v>2771</x:v>
      </x:c>
      <x:c r="J894" s="2" t="s">
        <x:v>477</x:v>
      </x:c>
      <x:c r="K894" s="2"/>
      <x:c r="L894" s="2" t="s">
        <x:v>2772</x:v>
      </x:c>
      <x:c r="M894" s="2"/>
      <x:c r="N894" s="2"/>
      <x:c r="O894" s="2" t="s">
        <x:v>2732</x:v>
      </x:c>
      <x:c r="P894" s="2" t="s">
        <x:v>2733</x:v>
      </x:c>
      <x:c r="Q894" s="2"/>
      <x:c r="R894" s="3">
        <x:v>2</x:v>
      </x:c>
      <x:c r="S894" s="3"/>
      <x:c r="T894" s="2"/>
      <x:c r="U894" s="2"/>
      <x:c r="V894" s="2"/>
      <x:c r="W894" s="2"/>
      <x:c r="X894" s="3"/>
      <x:c r="Y894" s="3"/>
      <x:c r="Z894" s="2"/>
      <x:c r="AA894" s="2"/>
      <x:c r="AB894" s="2"/>
      <x:c r="AC894" s="2"/>
      <x:c r="AD894" s="2" t="s">
        <x:v>237</x:v>
      </x:c>
      <x:c r="AE894" s="2"/>
      <x:c r="AF894" s="2"/>
      <x:c r="AG894" s="2"/>
      <x:c r="AH894" s="2" t="s">
        <x:v>470</x:v>
      </x:c>
      <x:c r="AI894" s="4">
        <x:v>8</x:v>
      </x:c>
      <x:c r="AJ894" s="2" t="s">
        <x:v>2734</x:v>
      </x:c>
      <x:c r="AK894" s="2" t="s">
        <x:v>460</x:v>
      </x:c>
      <x:c r="AL894" s="2" t="s">
        <x:v>3061</x:v>
      </x:c>
      <x:c r="AM894" s="2">
        <x:v>124</x:v>
      </x:c>
      <x:c r="AN894" s="2">
        <x:v>124</x:v>
      </x:c>
    </x:row>
    <x:row r="895" ht="39">
      <x:c r="A895" s="2" t="s">
        <x:v>91</x:v>
      </x:c>
      <x:c r="B895" s="2" t="s">
        <x:v>18</x:v>
      </x:c>
      <x:c r="C895" s="3">
        <x:v>123</x:v>
      </x:c>
      <x:c r="D895" s="2" t="s">
        <x:v>516</x:v>
      </x:c>
      <x:c r="E895" s="2" t="s">
        <x:v>2770</x:v>
      </x:c>
      <x:c r="F895" s="2" t="s">
        <x:v>451</x:v>
      </x:c>
      <x:c r="G895" s="2" t="s">
        <x:v>3259</x:v>
      </x:c>
      <x:c r="H895" s="2" t="s">
        <x:v>2735</x:v>
      </x:c>
      <x:c r="I895" s="2" t="s">
        <x:v>2771</x:v>
      </x:c>
      <x:c r="J895" s="2" t="s">
        <x:v>454</x:v>
      </x:c>
      <x:c r="K895" s="2" t="n">
        <x:v>122</x:v>
      </x:c>
      <x:c r="L895" s="2" t="s">
        <x:v>2774</x:v>
      </x:c>
      <x:c r="M895" s="2"/>
      <x:c r="N895" s="2"/>
      <x:c r="O895" s="2" t="s">
        <x:v>2737</x:v>
      </x:c>
      <x:c r="P895" s="2" t="s">
        <x:v>2738</x:v>
      </x:c>
      <x:c r="Q895" s="2"/>
      <x:c r="R895" s="3">
        <x:v>2</x:v>
      </x:c>
      <x:c r="S895" s="3"/>
      <x:c r="T895" s="2"/>
      <x:c r="U895" s="2"/>
      <x:c r="V895" s="2"/>
      <x:c r="W895" s="2"/>
      <x:c r="X895" s="3"/>
      <x:c r="Y895" s="3"/>
      <x:c r="Z895" s="2"/>
      <x:c r="AA895" s="2"/>
      <x:c r="AB895" s="2"/>
      <x:c r="AC895" s="2"/>
      <x:c r="AD895" s="2" t="s">
        <x:v>431</x:v>
      </x:c>
      <x:c r="AE895" s="2"/>
      <x:c r="AF895" s="2"/>
      <x:c r="AG895" s="2"/>
      <x:c r="AH895" s="2" t="s">
        <x:v>458</x:v>
      </x:c>
      <x:c r="AI895" s="4">
        <x:v>8</x:v>
      </x:c>
      <x:c r="AJ895" s="2" t="s">
        <x:v>2739</x:v>
      </x:c>
      <x:c r="AK895" s="2" t="s">
        <x:v>460</x:v>
      </x:c>
      <x:c r="AL895" s="2" t="s">
        <x:v>3061</x:v>
      </x:c>
      <x:c r="AM895" s="2">
        <x:v>125</x:v>
      </x:c>
      <x:c r="AN895" s="2">
        <x:v>125</x:v>
      </x:c>
    </x:row>
    <x:row r="896" ht="39">
      <x:c r="A896" s="2" t="s">
        <x:v>91</x:v>
      </x:c>
      <x:c r="B896" s="2" t="s">
        <x:v>18</x:v>
      </x:c>
      <x:c r="C896" s="3">
        <x:v>124</x:v>
      </x:c>
      <x:c r="D896" s="2" t="s">
        <x:v>462</x:v>
      </x:c>
      <x:c r="E896" s="2" t="s">
        <x:v>2775</x:v>
      </x:c>
      <x:c r="F896" s="2" t="s">
        <x:v>2727</x:v>
      </x:c>
      <x:c r="G896" s="2" t="s">
        <x:v>3260</x:v>
      </x:c>
      <x:c r="H896" s="2" t="s">
        <x:v>2729</x:v>
      </x:c>
      <x:c r="I896" s="2" t="s">
        <x:v>2776</x:v>
      </x:c>
      <x:c r="J896" s="2" t="s">
        <x:v>454</x:v>
      </x:c>
      <x:c r="K896" s="2"/>
      <x:c r="L896" s="2" t="s">
        <x:v>2777</x:v>
      </x:c>
      <x:c r="M896" s="2"/>
      <x:c r="N896" s="2"/>
      <x:c r="O896" s="2" t="s">
        <x:v>2732</x:v>
      </x:c>
      <x:c r="P896" s="2" t="s">
        <x:v>2743</x:v>
      </x:c>
      <x:c r="Q896" s="2"/>
      <x:c r="R896" s="3">
        <x:v>3</x:v>
      </x:c>
      <x:c r="S896" s="3"/>
      <x:c r="T896" s="2"/>
      <x:c r="U896" s="2"/>
      <x:c r="V896" s="2"/>
      <x:c r="W896" s="2"/>
      <x:c r="X896" s="3"/>
      <x:c r="Y896" s="3"/>
      <x:c r="Z896" s="2"/>
      <x:c r="AA896" s="2"/>
      <x:c r="AB896" s="2"/>
      <x:c r="AC896" s="2"/>
      <x:c r="AD896" s="2" t="s">
        <x:v>237</x:v>
      </x:c>
      <x:c r="AE896" s="2"/>
      <x:c r="AF896" s="2"/>
      <x:c r="AG896" s="2"/>
      <x:c r="AH896" s="2" t="s">
        <x:v>458</x:v>
      </x:c>
      <x:c r="AI896" s="4">
        <x:v>12</x:v>
      </x:c>
      <x:c r="AJ896" s="2" t="s">
        <x:v>2744</x:v>
      </x:c>
      <x:c r="AK896" s="2" t="s">
        <x:v>460</x:v>
      </x:c>
      <x:c r="AL896" s="2" t="s">
        <x:v>3061</x:v>
      </x:c>
      <x:c r="AM896" s="2">
        <x:v>126</x:v>
      </x:c>
      <x:c r="AN896" s="2">
        <x:v>126</x:v>
      </x:c>
    </x:row>
    <x:row r="897" ht="39">
      <x:c r="A897" s="2" t="s">
        <x:v>6</x:v>
      </x:c>
      <x:c r="B897" s="2" t="s">
        <x:v>18</x:v>
      </x:c>
      <x:c r="C897" s="3">
        <x:v>125</x:v>
      </x:c>
      <x:c r="D897" s="2" t="s">
        <x:v>472</x:v>
      </x:c>
      <x:c r="E897" s="2" t="s">
        <x:v>2775</x:v>
      </x:c>
      <x:c r="F897" s="2" t="s">
        <x:v>474</x:v>
      </x:c>
      <x:c r="G897" s="2"/>
      <x:c r="H897" s="2" t="s">
        <x:v>2735</x:v>
      </x:c>
      <x:c r="I897" s="2" t="s">
        <x:v>2776</x:v>
      </x:c>
      <x:c r="J897" s="2" t="s">
        <x:v>477</x:v>
      </x:c>
      <x:c r="K897" s="2" t="n">
        <x:v>124</x:v>
      </x:c>
      <x:c r="L897" s="2" t="s">
        <x:v>2778</x:v>
      </x:c>
      <x:c r="M897" s="2"/>
      <x:c r="N897" s="2"/>
      <x:c r="O897" s="2" t="s">
        <x:v>2737</x:v>
      </x:c>
      <x:c r="P897" s="2" t="s">
        <x:v>2758</x:v>
      </x:c>
      <x:c r="Q897" s="2"/>
      <x:c r="R897" s="3">
        <x:v>3</x:v>
      </x:c>
      <x:c r="S897" s="3"/>
      <x:c r="T897" s="2"/>
      <x:c r="U897" s="2"/>
      <x:c r="V897" s="2"/>
      <x:c r="W897" s="2"/>
      <x:c r="X897" s="3"/>
      <x:c r="Y897" s="3"/>
      <x:c r="Z897" s="2"/>
      <x:c r="AA897" s="2"/>
      <x:c r="AB897" s="2"/>
      <x:c r="AC897" s="2"/>
      <x:c r="AD897" s="2" t="s">
        <x:v>480</x:v>
      </x:c>
      <x:c r="AE897" s="2"/>
      <x:c r="AF897" s="2"/>
      <x:c r="AG897" s="2"/>
      <x:c r="AH897" s="2" t="s">
        <x:v>470</x:v>
      </x:c>
      <x:c r="AI897" s="4">
        <x:v>12</x:v>
      </x:c>
      <x:c r="AJ897" s="2" t="s">
        <x:v>2739</x:v>
      </x:c>
      <x:c r="AK897" s="2" t="s">
        <x:v>460</x:v>
      </x:c>
      <x:c r="AL897" s="2" t="s">
        <x:v>3061</x:v>
      </x:c>
      <x:c r="AM897" s="2">
        <x:v>127</x:v>
      </x:c>
      <x:c r="AN897" s="2">
        <x:v>127</x:v>
      </x:c>
    </x:row>
    <x:row r="898" ht="39">
      <x:c r="A898" s="2" t="s">
        <x:v>6</x:v>
      </x:c>
      <x:c r="B898" s="2" t="s">
        <x:v>18</x:v>
      </x:c>
      <x:c r="C898" s="3">
        <x:v>126</x:v>
      </x:c>
      <x:c r="D898" s="2" t="s">
        <x:v>482</x:v>
      </x:c>
      <x:c r="E898" s="2" t="s">
        <x:v>2779</x:v>
      </x:c>
      <x:c r="F898" s="2" t="s">
        <x:v>2727</x:v>
      </x:c>
      <x:c r="G898" s="2"/>
      <x:c r="H898" s="2" t="s">
        <x:v>2729</x:v>
      </x:c>
      <x:c r="I898" s="2" t="s">
        <x:v>2780</x:v>
      </x:c>
      <x:c r="J898" s="2" t="s">
        <x:v>477</x:v>
      </x:c>
      <x:c r="K898" s="2"/>
      <x:c r="L898" s="2" t="s">
        <x:v>2781</x:v>
      </x:c>
      <x:c r="M898" s="2"/>
      <x:c r="N898" s="2"/>
      <x:c r="O898" s="2" t="s">
        <x:v>2732</x:v>
      </x:c>
      <x:c r="P898" s="2" t="s">
        <x:v>2733</x:v>
      </x:c>
      <x:c r="Q898" s="2"/>
      <x:c r="R898" s="3">
        <x:v>2</x:v>
      </x:c>
      <x:c r="S898" s="3"/>
      <x:c r="T898" s="2"/>
      <x:c r="U898" s="2"/>
      <x:c r="V898" s="2"/>
      <x:c r="W898" s="2"/>
      <x:c r="X898" s="3"/>
      <x:c r="Y898" s="3"/>
      <x:c r="Z898" s="2"/>
      <x:c r="AA898" s="2"/>
      <x:c r="AB898" s="2"/>
      <x:c r="AC898" s="2"/>
      <x:c r="AD898" s="2" t="s">
        <x:v>237</x:v>
      </x:c>
      <x:c r="AE898" s="2"/>
      <x:c r="AF898" s="2"/>
      <x:c r="AG898" s="2"/>
      <x:c r="AH898" s="2" t="s">
        <x:v>458</x:v>
      </x:c>
      <x:c r="AI898" s="4">
        <x:v>12</x:v>
      </x:c>
      <x:c r="AJ898" s="2" t="s">
        <x:v>2734</x:v>
      </x:c>
      <x:c r="AK898" s="2" t="s">
        <x:v>460</x:v>
      </x:c>
      <x:c r="AL898" s="2" t="s">
        <x:v>3061</x:v>
      </x:c>
      <x:c r="AM898" s="2">
        <x:v>128</x:v>
      </x:c>
      <x:c r="AN898" s="2">
        <x:v>128</x:v>
      </x:c>
    </x:row>
    <x:row r="899" ht="39">
      <x:c r="A899" s="2" t="s">
        <x:v>6</x:v>
      </x:c>
      <x:c r="B899" s="2" t="s">
        <x:v>18</x:v>
      </x:c>
      <x:c r="C899" s="3">
        <x:v>127</x:v>
      </x:c>
      <x:c r="D899" s="2" t="s">
        <x:v>449</x:v>
      </x:c>
      <x:c r="E899" s="2" t="s">
        <x:v>2779</x:v>
      </x:c>
      <x:c r="F899" s="2" t="s">
        <x:v>451</x:v>
      </x:c>
      <x:c r="G899" s="2"/>
      <x:c r="H899" s="2" t="s">
        <x:v>2735</x:v>
      </x:c>
      <x:c r="I899" s="2" t="s">
        <x:v>2780</x:v>
      </x:c>
      <x:c r="J899" s="2" t="s">
        <x:v>454</x:v>
      </x:c>
      <x:c r="K899" s="2" t="n">
        <x:v>126</x:v>
      </x:c>
      <x:c r="L899" s="2" t="s">
        <x:v>2782</x:v>
      </x:c>
      <x:c r="M899" s="2"/>
      <x:c r="N899" s="2"/>
      <x:c r="O899" s="2" t="s">
        <x:v>2737</x:v>
      </x:c>
      <x:c r="P899" s="2" t="s">
        <x:v>2738</x:v>
      </x:c>
      <x:c r="Q899" s="2"/>
      <x:c r="R899" s="3">
        <x:v>2</x:v>
      </x:c>
      <x:c r="S899" s="3"/>
      <x:c r="T899" s="2"/>
      <x:c r="U899" s="2"/>
      <x:c r="V899" s="2"/>
      <x:c r="W899" s="2"/>
      <x:c r="X899" s="3"/>
      <x:c r="Y899" s="3"/>
      <x:c r="Z899" s="2"/>
      <x:c r="AA899" s="2"/>
      <x:c r="AB899" s="2"/>
      <x:c r="AC899" s="2"/>
      <x:c r="AD899" s="2" t="s">
        <x:v>431</x:v>
      </x:c>
      <x:c r="AE899" s="2"/>
      <x:c r="AF899" s="2"/>
      <x:c r="AG899" s="2"/>
      <x:c r="AH899" s="2" t="s">
        <x:v>470</x:v>
      </x:c>
      <x:c r="AI899" s="4">
        <x:v>12</x:v>
      </x:c>
      <x:c r="AJ899" s="2" t="s">
        <x:v>2739</x:v>
      </x:c>
      <x:c r="AK899" s="2" t="s">
        <x:v>460</x:v>
      </x:c>
      <x:c r="AL899" s="2" t="s">
        <x:v>3061</x:v>
      </x:c>
      <x:c r="AM899" s="2">
        <x:v>129</x:v>
      </x:c>
      <x:c r="AN899" s="2">
        <x:v>129</x:v>
      </x:c>
    </x:row>
    <x:row r="900" ht="39">
      <x:c r="A900" s="2" t="s">
        <x:v>6</x:v>
      </x:c>
      <x:c r="B900" s="2" t="s">
        <x:v>18</x:v>
      </x:c>
      <x:c r="C900" s="3">
        <x:v>128</x:v>
      </x:c>
      <x:c r="D900" s="2" t="s">
        <x:v>516</x:v>
      </x:c>
      <x:c r="E900" s="2" t="s">
        <x:v>2783</x:v>
      </x:c>
      <x:c r="F900" s="2" t="s">
        <x:v>2727</x:v>
      </x:c>
      <x:c r="G900" s="2"/>
      <x:c r="H900" s="2" t="s">
        <x:v>2729</x:v>
      </x:c>
      <x:c r="I900" s="2" t="s">
        <x:v>2784</x:v>
      </x:c>
      <x:c r="J900" s="2" t="s">
        <x:v>454</x:v>
      </x:c>
      <x:c r="K900" s="2"/>
      <x:c r="L900" s="2" t="s">
        <x:v>2785</x:v>
      </x:c>
      <x:c r="M900" s="2"/>
      <x:c r="N900" s="2"/>
      <x:c r="O900" s="2" t="s">
        <x:v>2732</x:v>
      </x:c>
      <x:c r="P900" s="2" t="s">
        <x:v>2743</x:v>
      </x:c>
      <x:c r="Q900" s="2"/>
      <x:c r="R900" s="3">
        <x:v>3</x:v>
      </x:c>
      <x:c r="S900" s="3"/>
      <x:c r="T900" s="2"/>
      <x:c r="U900" s="2"/>
      <x:c r="V900" s="2"/>
      <x:c r="W900" s="2"/>
      <x:c r="X900" s="3"/>
      <x:c r="Y900" s="3"/>
      <x:c r="Z900" s="2"/>
      <x:c r="AA900" s="2"/>
      <x:c r="AB900" s="2"/>
      <x:c r="AC900" s="2"/>
      <x:c r="AD900" s="2" t="s">
        <x:v>237</x:v>
      </x:c>
      <x:c r="AE900" s="2"/>
      <x:c r="AF900" s="2"/>
      <x:c r="AG900" s="2"/>
      <x:c r="AH900" s="2" t="s">
        <x:v>470</x:v>
      </x:c>
      <x:c r="AI900" s="4">
        <x:v>16</x:v>
      </x:c>
      <x:c r="AJ900" s="2" t="s">
        <x:v>2744</x:v>
      </x:c>
      <x:c r="AK900" s="2" t="s">
        <x:v>460</x:v>
      </x:c>
      <x:c r="AL900" s="2" t="s">
        <x:v>3061</x:v>
      </x:c>
      <x:c r="AM900" s="2">
        <x:v>130</x:v>
      </x:c>
      <x:c r="AN900" s="2">
        <x:v>130</x:v>
      </x:c>
    </x:row>
    <x:row r="901" ht="39">
      <x:c r="A901" s="2" t="s">
        <x:v>6</x:v>
      </x:c>
      <x:c r="B901" s="2" t="s">
        <x:v>18</x:v>
      </x:c>
      <x:c r="C901" s="3">
        <x:v>129</x:v>
      </x:c>
      <x:c r="D901" s="2" t="s">
        <x:v>505</x:v>
      </x:c>
      <x:c r="E901" s="2" t="s">
        <x:v>2783</x:v>
      </x:c>
      <x:c r="F901" s="2" t="s">
        <x:v>484</x:v>
      </x:c>
      <x:c r="G901" s="2"/>
      <x:c r="H901" s="2" t="s">
        <x:v>2735</x:v>
      </x:c>
      <x:c r="I901" s="2" t="s">
        <x:v>2784</x:v>
      </x:c>
      <x:c r="J901" s="2" t="s">
        <x:v>477</x:v>
      </x:c>
      <x:c r="K901" s="2" t="n">
        <x:v>128</x:v>
      </x:c>
      <x:c r="L901" s="2" t="s">
        <x:v>2786</x:v>
      </x:c>
      <x:c r="M901" s="2"/>
      <x:c r="N901" s="2"/>
      <x:c r="O901" s="2" t="s">
        <x:v>2737</x:v>
      </x:c>
      <x:c r="P901" s="2" t="s">
        <x:v>2747</x:v>
      </x:c>
      <x:c r="Q901" s="2"/>
      <x:c r="R901" s="3">
        <x:v>3</x:v>
      </x:c>
      <x:c r="S901" s="3"/>
      <x:c r="T901" s="2"/>
      <x:c r="U901" s="2"/>
      <x:c r="V901" s="2"/>
      <x:c r="W901" s="2"/>
      <x:c r="X901" s="3"/>
      <x:c r="Y901" s="3"/>
      <x:c r="Z901" s="2"/>
      <x:c r="AA901" s="2"/>
      <x:c r="AB901" s="2"/>
      <x:c r="AC901" s="2"/>
      <x:c r="AD901" s="2" t="s">
        <x:v>410</x:v>
      </x:c>
      <x:c r="AE901" s="2"/>
      <x:c r="AF901" s="2"/>
      <x:c r="AG901" s="2"/>
      <x:c r="AH901" s="2" t="s">
        <x:v>458</x:v>
      </x:c>
      <x:c r="AI901" s="4">
        <x:v>16</x:v>
      </x:c>
      <x:c r="AJ901" s="2" t="s">
        <x:v>2739</x:v>
      </x:c>
      <x:c r="AK901" s="2" t="s">
        <x:v>460</x:v>
      </x:c>
      <x:c r="AL901" s="2" t="s">
        <x:v>3061</x:v>
      </x:c>
      <x:c r="AM901" s="2">
        <x:v>131</x:v>
      </x:c>
      <x:c r="AN901" s="2">
        <x:v>131</x:v>
      </x:c>
    </x:row>
  </x:sheetData>
  <x:conditionalFormatting sqref="A2:A901">
    <x:cfRule type="containsText" dxfId="3" priority="1" operator="containsText" text="Success"/>
    <x:cfRule type="containsText" dxfId="2" priority="2" operator="containsText" text="Failure"/>
  </x:conditionalFormatting>
  <x:dataValidations count="1">
    <x:dataValidation type="list" sqref="A2:A901">
      <x:formula1>"Success,Failure"</x:formula1>
    </x:dataValidation>
  </x:dataValidations>
  <x:pageMargins left="0.7" right="0.7" top="0.75" bottom="0.75" header="0.3" footer="0.3"/>
  <x:tableParts count="1">
    <x:tablePart xmlns:r="http://schemas.openxmlformats.org/officeDocument/2006/relationships" r:id="Rbec9d7e9a4fe4289"/>
  </x:tableParts>
</x:worksheet>
</file>

<file path=xl/worksheets/sheet8.xml><?xml version="1.0" encoding="utf-8"?>
<x:worksheet xmlns:x="http://schemas.openxmlformats.org/spreadsheetml/2006/main">
  <x:sheetViews>
    <x:sheetView showGridLines="0" workbookViewId="0"/>
  </x:sheetViews>
  <x:sheetFormatPr baseColWidth="10" defaultColWidth="8.83203125" defaultRowHeight="14"/>
  <x:cols>
    <x:col min="1" max="1" width="12" customWidth="1"/>
    <x:col min="2" max="2" width="27" customWidth="1"/>
    <x:col min="3" max="3" width="9" customWidth="1"/>
    <x:col min="4" max="4" width="44" customWidth="1"/>
    <x:col min="5" max="5" width="54" customWidth="1"/>
    <x:col min="6" max="7" width="34" customWidth="1"/>
    <x:col min="8" max="8" width="38" customWidth="1"/>
    <x:col min="9" max="9" width="20" customWidth="1"/>
    <x:col min="10" max="10" width="34" customWidth="1"/>
    <x:col min="11" max="11" width="16" customWidth="1"/>
    <x:col min="12" max="12" width="20" customWidth="1"/>
    <x:col min="13" max="13" width="42" customWidth="1"/>
    <x:col min="14" max="14" width="16" customWidth="1"/>
    <x:col min="15" max="15" width="38" customWidth="1"/>
    <x:col min="16" max="16" width="44" customWidth="1"/>
    <x:col min="17" max="17" width="24" customWidth="1"/>
    <x:col min="18" max="18" width="13" customWidth="1"/>
    <x:col min="19" max="19" width="15" customWidth="1"/>
    <x:col min="20" max="21" width="14" customWidth="1"/>
    <x:col min="22" max="22" width="18" customWidth="1"/>
    <x:col min="23" max="23" width="20" customWidth="1"/>
    <x:col min="24" max="24" width="15" customWidth="1"/>
    <x:col min="25" max="25" width="12" customWidth="1"/>
    <x:col min="26" max="26" width="18" customWidth="1"/>
    <x:col min="27" max="27" width="14" customWidth="1"/>
    <x:col min="28" max="28" width="18" customWidth="1"/>
    <x:col min="29" max="29" width="16" customWidth="1"/>
    <x:col min="30" max="31" width="20" customWidth="1"/>
    <x:col min="32" max="32" width="18" customWidth="1"/>
    <x:col min="33" max="33" width="20" customWidth="1"/>
    <x:col min="34" max="34" width="14" customWidth="1"/>
    <x:col min="35" max="35" width="15" customWidth="1"/>
    <x:col min="36" max="36" width="28" customWidth="1"/>
    <x:col min="37" max="37" width="32" customWidth="1"/>
    <x:col min="38" max="38" width="28" customWidth="1"/>
    <x:col min="39" max="39" width="16" customWidth="1"/>
    <x:col min="40" max="40" width="15" customWidth="1"/>
  </x:cols>
  <x:sheetData>
    <x:row r="1" ht="36" customHeight="1">
      <x:c r="A1" s="1" t="s">
        <x:v>53</x:v>
      </x:c>
      <x:c r="B1" s="1" t="s">
        <x:v>12</x:v>
      </x:c>
      <x:c r="C1" s="1" t="s">
        <x:v>54</x:v>
      </x:c>
      <x:c r="D1" s="1" t="s">
        <x:v>55</x:v>
      </x:c>
      <x:c r="E1" s="1" t="s">
        <x:v>27</x:v>
      </x:c>
      <x:c r="F1" s="1" t="s">
        <x:v>56</x:v>
      </x:c>
      <x:c r="G1" s="1" t="s">
        <x:v>57</x:v>
      </x:c>
      <x:c r="H1" s="1" t="s">
        <x:v>58</x:v>
      </x:c>
      <x:c r="I1" s="1" t="s">
        <x:v>59</x:v>
      </x:c>
      <x:c r="J1" s="1" t="s">
        <x:v>60</x:v>
      </x:c>
      <x:c r="K1" s="1" t="s">
        <x:v>61</x:v>
      </x:c>
      <x:c r="L1" s="1" t="s">
        <x:v>62</x:v>
      </x:c>
      <x:c r="M1" s="1" t="s">
        <x:v>63</x:v>
      </x:c>
      <x:c r="N1" s="1" t="s">
        <x:v>64</x:v>
      </x:c>
      <x:c r="O1" s="1" t="s">
        <x:v>65</x:v>
      </x:c>
      <x:c r="P1" s="1" t="s">
        <x:v>66</x:v>
      </x:c>
      <x:c r="Q1" s="1" t="s">
        <x:v>67</x:v>
      </x:c>
      <x:c r="R1" s="1" t="s">
        <x:v>68</x:v>
      </x:c>
      <x:c r="S1" s="1" t="s">
        <x:v>69</x:v>
      </x:c>
      <x:c r="T1" s="1" t="s">
        <x:v>70</x:v>
      </x:c>
      <x:c r="U1" s="1" t="s">
        <x:v>71</x:v>
      </x:c>
      <x:c r="V1" s="1" t="s">
        <x:v>72</x:v>
      </x:c>
      <x:c r="W1" s="1" t="s">
        <x:v>73</x:v>
      </x:c>
      <x:c r="X1" s="1" t="s">
        <x:v>74</x:v>
      </x:c>
      <x:c r="Y1" s="1" t="s">
        <x:v>75</x:v>
      </x:c>
      <x:c r="Z1" s="1" t="s">
        <x:v>76</x:v>
      </x:c>
      <x:c r="AA1" s="1" t="s">
        <x:v>77</x:v>
      </x:c>
      <x:c r="AB1" s="1" t="s">
        <x:v>78</x:v>
      </x:c>
      <x:c r="AC1" s="1" t="s">
        <x:v>79</x:v>
      </x:c>
      <x:c r="AD1" s="1" t="s">
        <x:v>80</x:v>
      </x:c>
      <x:c r="AE1" s="1" t="s">
        <x:v>81</x:v>
      </x:c>
      <x:c r="AF1" s="1" t="s">
        <x:v>82</x:v>
      </x:c>
      <x:c r="AG1" s="1" t="s">
        <x:v>83</x:v>
      </x:c>
      <x:c r="AH1" s="1" t="s">
        <x:v>84</x:v>
      </x:c>
      <x:c r="AI1" s="1" t="s">
        <x:v>85</x:v>
      </x:c>
      <x:c r="AJ1" s="1" t="s">
        <x:v>86</x:v>
      </x:c>
      <x:c r="AK1" s="1" t="s">
        <x:v>87</x:v>
      </x:c>
      <x:c r="AL1" s="1" t="s">
        <x:v>88</x:v>
      </x:c>
      <x:c r="AM1" s="1" t="s">
        <x:v>89</x:v>
      </x:c>
      <x:c r="AN1" s="1" t="s">
        <x:v>90</x:v>
      </x:c>
    </x:row>
    <x:row r="2" ht="65">
      <x:c r="A2" s="2" t="s">
        <x:v>91</x:v>
      </x:c>
      <x:c r="B2" s="2" t="s">
        <x:v>13</x:v>
      </x:c>
      <x:c r="C2" s="3">
        <x:v>0</x:v>
      </x:c>
      <x:c r="D2" s="2" t="s">
        <x:v>92</x:v>
      </x:c>
      <x:c r="E2" s="2" t="s">
        <x:v>93</x:v>
      </x:c>
      <x:c r="F2" s="2" t="s">
        <x:v>94</x:v>
      </x:c>
      <x:c r="G2" s="2" t="s">
        <x:v>3261</x:v>
      </x:c>
      <x:c r="H2" s="2" t="s">
        <x:v>96</x:v>
      </x:c>
      <x:c r="I2" s="2" t="s">
        <x:v>97</x:v>
      </x:c>
      <x:c r="J2" s="2" t="s">
        <x:v>98</x:v>
      </x:c>
      <x:c r="K2" s="2"/>
      <x:c r="L2" s="2" t="s">
        <x:v>99</x:v>
      </x:c>
      <x:c r="M2" s="2" t="s">
        <x:v>100</x:v>
      </x:c>
      <x:c r="N2" s="2">
        <x:v>1</x:v>
      </x:c>
      <x:c r="O2" s="2" t="s">
        <x:v>101</x:v>
      </x:c>
      <x:c r="P2" s="2" t="s">
        <x:v>102</x:v>
      </x:c>
      <x:c r="Q2" s="2"/>
      <x:c r="R2" s="3">
        <x:v>4</x:v>
      </x:c>
      <x:c r="S2" s="3">
        <x:v>1</x:v>
      </x:c>
      <x:c r="T2" s="2" t="s">
        <x:v>103</x:v>
      </x:c>
      <x:c r="U2" s="2" t="s">
        <x:v>104</x:v>
      </x:c>
      <x:c r="V2" s="2" t="s">
        <x:v>105</x:v>
      </x:c>
      <x:c r="W2" s="2"/>
      <x:c r="X2" s="3"/>
      <x:c r="Y2" s="3"/>
      <x:c r="Z2" s="2"/>
      <x:c r="AA2" s="2"/>
      <x:c r="AB2" s="2"/>
      <x:c r="AC2" s="2"/>
      <x:c r="AD2" s="2"/>
      <x:c r="AE2" s="2"/>
      <x:c r="AF2" s="2"/>
      <x:c r="AG2" s="2"/>
      <x:c r="AH2" s="2"/>
      <x:c r="AI2" s="4"/>
      <x:c r="AJ2" s="2"/>
      <x:c r="AK2" s="2" t="s">
        <x:v>106</x:v>
      </x:c>
      <x:c r="AL2" s="2" t="s">
        <x:v>3262</x:v>
      </x:c>
      <x:c r="AM2" s="2">
        <x:v>2</x:v>
      </x:c>
      <x:c r="AN2" s="2">
        <x:v>2</x:v>
      </x:c>
    </x:row>
    <x:row r="3" ht="39">
      <x:c r="A3" s="2" t="s">
        <x:v>91</x:v>
      </x:c>
      <x:c r="B3" s="2" t="s">
        <x:v>13</x:v>
      </x:c>
      <x:c r="C3" s="3">
        <x:v>1</x:v>
      </x:c>
      <x:c r="D3" s="2" t="s">
        <x:v>108</x:v>
      </x:c>
      <x:c r="E3" s="2" t="s">
        <x:v>109</x:v>
      </x:c>
      <x:c r="F3" s="2" t="s">
        <x:v>94</x:v>
      </x:c>
      <x:c r="G3" s="2" t="s">
        <x:v>572</x:v>
      </x:c>
      <x:c r="H3" s="2" t="s">
        <x:v>96</x:v>
      </x:c>
      <x:c r="I3" s="2" t="s">
        <x:v>111</x:v>
      </x:c>
      <x:c r="J3" s="2" t="s">
        <x:v>98</x:v>
      </x:c>
      <x:c r="K3" s="2"/>
      <x:c r="L3" s="2" t="s">
        <x:v>112</x:v>
      </x:c>
      <x:c r="M3" s="2" t="s">
        <x:v>113</x:v>
      </x:c>
      <x:c r="N3" s="2">
        <x:v>1</x:v>
      </x:c>
      <x:c r="O3" s="2" t="s">
        <x:v>101</x:v>
      </x:c>
      <x:c r="P3" s="2" t="s">
        <x:v>114</x:v>
      </x:c>
      <x:c r="Q3" s="2"/>
      <x:c r="R3" s="3">
        <x:v>2</x:v>
      </x:c>
      <x:c r="S3" s="3">
        <x:v>1</x:v>
      </x:c>
      <x:c r="T3" s="2" t="s">
        <x:v>103</x:v>
      </x:c>
      <x:c r="U3" s="2" t="s">
        <x:v>115</x:v>
      </x:c>
      <x:c r="V3" s="2" t="s">
        <x:v>105</x:v>
      </x:c>
      <x:c r="W3" s="2"/>
      <x:c r="X3" s="3"/>
      <x:c r="Y3" s="3"/>
      <x:c r="Z3" s="2"/>
      <x:c r="AA3" s="2"/>
      <x:c r="AB3" s="2"/>
      <x:c r="AC3" s="2"/>
      <x:c r="AD3" s="2"/>
      <x:c r="AE3" s="2"/>
      <x:c r="AF3" s="2"/>
      <x:c r="AG3" s="2"/>
      <x:c r="AH3" s="2"/>
      <x:c r="AI3" s="4"/>
      <x:c r="AJ3" s="2"/>
      <x:c r="AK3" s="2" t="s">
        <x:v>106</x:v>
      </x:c>
      <x:c r="AL3" s="2" t="s">
        <x:v>3262</x:v>
      </x:c>
      <x:c r="AM3" s="2">
        <x:v>3</x:v>
      </x:c>
      <x:c r="AN3" s="2">
        <x:v>3</x:v>
      </x:c>
    </x:row>
    <x:row r="4" ht="65">
      <x:c r="A4" s="2" t="s">
        <x:v>91</x:v>
      </x:c>
      <x:c r="B4" s="2" t="s">
        <x:v>13</x:v>
      </x:c>
      <x:c r="C4" s="3">
        <x:v>2</x:v>
      </x:c>
      <x:c r="D4" s="2" t="s">
        <x:v>116</x:v>
      </x:c>
      <x:c r="E4" s="2" t="s">
        <x:v>117</x:v>
      </x:c>
      <x:c r="F4" s="2" t="s">
        <x:v>118</x:v>
      </x:c>
      <x:c r="G4" s="2" t="s">
        <x:v>864</x:v>
      </x:c>
      <x:c r="H4" s="2" t="s">
        <x:v>96</x:v>
      </x:c>
      <x:c r="I4" s="2" t="s">
        <x:v>120</x:v>
      </x:c>
      <x:c r="J4" s="2" t="s">
        <x:v>98</x:v>
      </x:c>
      <x:c r="K4" s="2"/>
      <x:c r="L4" s="2" t="s">
        <x:v>121</x:v>
      </x:c>
      <x:c r="M4" s="2" t="s">
        <x:v>100</x:v>
      </x:c>
      <x:c r="N4" s="2">
        <x:v>1</x:v>
      </x:c>
      <x:c r="O4" s="2" t="s">
        <x:v>101</x:v>
      </x:c>
      <x:c r="P4" s="2" t="s">
        <x:v>102</x:v>
      </x:c>
      <x:c r="Q4" s="2"/>
      <x:c r="R4" s="3">
        <x:v>3</x:v>
      </x:c>
      <x:c r="S4" s="3">
        <x:v>1</x:v>
      </x:c>
      <x:c r="T4" s="2" t="s">
        <x:v>103</x:v>
      </x:c>
      <x:c r="U4" s="2" t="s">
        <x:v>122</x:v>
      </x:c>
      <x:c r="V4" s="2" t="s">
        <x:v>123</x:v>
      </x:c>
      <x:c r="W4" s="2"/>
      <x:c r="X4" s="3"/>
      <x:c r="Y4" s="3"/>
      <x:c r="Z4" s="2"/>
      <x:c r="AA4" s="2"/>
      <x:c r="AB4" s="2"/>
      <x:c r="AC4" s="2"/>
      <x:c r="AD4" s="2"/>
      <x:c r="AE4" s="2"/>
      <x:c r="AF4" s="2"/>
      <x:c r="AG4" s="2"/>
      <x:c r="AH4" s="2"/>
      <x:c r="AI4" s="4"/>
      <x:c r="AJ4" s="2"/>
      <x:c r="AK4" s="2" t="s">
        <x:v>106</x:v>
      </x:c>
      <x:c r="AL4" s="2" t="s">
        <x:v>3262</x:v>
      </x:c>
      <x:c r="AM4" s="2">
        <x:v>4</x:v>
      </x:c>
      <x:c r="AN4" s="2">
        <x:v>4</x:v>
      </x:c>
    </x:row>
    <x:row r="5" ht="39">
      <x:c r="A5" s="2" t="s">
        <x:v>91</x:v>
      </x:c>
      <x:c r="B5" s="2" t="s">
        <x:v>13</x:v>
      </x:c>
      <x:c r="C5" s="3">
        <x:v>3</x:v>
      </x:c>
      <x:c r="D5" s="2" t="s">
        <x:v>124</x:v>
      </x:c>
      <x:c r="E5" s="2" t="s">
        <x:v>125</x:v>
      </x:c>
      <x:c r="F5" s="2" t="s">
        <x:v>118</x:v>
      </x:c>
      <x:c r="G5" s="2" t="s">
        <x:v>2790</x:v>
      </x:c>
      <x:c r="H5" s="2" t="s">
        <x:v>96</x:v>
      </x:c>
      <x:c r="I5" s="2" t="s">
        <x:v>127</x:v>
      </x:c>
      <x:c r="J5" s="2" t="s">
        <x:v>98</x:v>
      </x:c>
      <x:c r="K5" s="2"/>
      <x:c r="L5" s="2" t="s">
        <x:v>128</x:v>
      </x:c>
      <x:c r="M5" s="2" t="s">
        <x:v>113</x:v>
      </x:c>
      <x:c r="N5" s="2">
        <x:v>1</x:v>
      </x:c>
      <x:c r="O5" s="2" t="s">
        <x:v>101</x:v>
      </x:c>
      <x:c r="P5" s="2" t="s">
        <x:v>114</x:v>
      </x:c>
      <x:c r="Q5" s="2"/>
      <x:c r="R5" s="3">
        <x:v>4</x:v>
      </x:c>
      <x:c r="S5" s="3">
        <x:v>1</x:v>
      </x:c>
      <x:c r="T5" s="2" t="s">
        <x:v>103</x:v>
      </x:c>
      <x:c r="U5" s="2" t="s">
        <x:v>129</x:v>
      </x:c>
      <x:c r="V5" s="2" t="s">
        <x:v>123</x:v>
      </x:c>
      <x:c r="W5" s="2"/>
      <x:c r="X5" s="3"/>
      <x:c r="Y5" s="3"/>
      <x:c r="Z5" s="2"/>
      <x:c r="AA5" s="2"/>
      <x:c r="AB5" s="2"/>
      <x:c r="AC5" s="2"/>
      <x:c r="AD5" s="2"/>
      <x:c r="AE5" s="2"/>
      <x:c r="AF5" s="2"/>
      <x:c r="AG5" s="2"/>
      <x:c r="AH5" s="2"/>
      <x:c r="AI5" s="4"/>
      <x:c r="AJ5" s="2"/>
      <x:c r="AK5" s="2" t="s">
        <x:v>106</x:v>
      </x:c>
      <x:c r="AL5" s="2" t="s">
        <x:v>3262</x:v>
      </x:c>
      <x:c r="AM5" s="2">
        <x:v>5</x:v>
      </x:c>
      <x:c r="AN5" s="2">
        <x:v>5</x:v>
      </x:c>
    </x:row>
    <x:row r="6" ht="65">
      <x:c r="A6" s="2" t="s">
        <x:v>6</x:v>
      </x:c>
      <x:c r="B6" s="2" t="s">
        <x:v>13</x:v>
      </x:c>
      <x:c r="C6" s="3">
        <x:v>4</x:v>
      </x:c>
      <x:c r="D6" s="2" t="s">
        <x:v>130</x:v>
      </x:c>
      <x:c r="E6" s="2" t="s">
        <x:v>131</x:v>
      </x:c>
      <x:c r="F6" s="2" t="s">
        <x:v>132</x:v>
      </x:c>
      <x:c r="G6" s="2"/>
      <x:c r="H6" s="2" t="s">
        <x:v>96</x:v>
      </x:c>
      <x:c r="I6" s="2" t="s">
        <x:v>134</x:v>
      </x:c>
      <x:c r="J6" s="2" t="s">
        <x:v>98</x:v>
      </x:c>
      <x:c r="K6" s="2"/>
      <x:c r="L6" s="2" t="s">
        <x:v>135</x:v>
      </x:c>
      <x:c r="M6" s="2" t="s">
        <x:v>100</x:v>
      </x:c>
      <x:c r="N6" s="2">
        <x:v>1</x:v>
      </x:c>
      <x:c r="O6" s="2" t="s">
        <x:v>101</x:v>
      </x:c>
      <x:c r="P6" s="2" t="s">
        <x:v>102</x:v>
      </x:c>
      <x:c r="Q6" s="2"/>
      <x:c r="R6" s="3">
        <x:v>3</x:v>
      </x:c>
      <x:c r="S6" s="3">
        <x:v>1</x:v>
      </x:c>
      <x:c r="T6" s="2" t="s">
        <x:v>103</x:v>
      </x:c>
      <x:c r="U6" s="2" t="s">
        <x:v>104</x:v>
      </x:c>
      <x:c r="V6" s="2" t="s">
        <x:v>136</x:v>
      </x:c>
      <x:c r="W6" s="2"/>
      <x:c r="X6" s="3"/>
      <x:c r="Y6" s="3"/>
      <x:c r="Z6" s="2"/>
      <x:c r="AA6" s="2"/>
      <x:c r="AB6" s="2"/>
      <x:c r="AC6" s="2"/>
      <x:c r="AD6" s="2"/>
      <x:c r="AE6" s="2"/>
      <x:c r="AF6" s="2"/>
      <x:c r="AG6" s="2"/>
      <x:c r="AH6" s="2"/>
      <x:c r="AI6" s="4"/>
      <x:c r="AJ6" s="2"/>
      <x:c r="AK6" s="2" t="s">
        <x:v>106</x:v>
      </x:c>
      <x:c r="AL6" s="2" t="s">
        <x:v>3262</x:v>
      </x:c>
      <x:c r="AM6" s="2">
        <x:v>6</x:v>
      </x:c>
      <x:c r="AN6" s="2">
        <x:v>6</x:v>
      </x:c>
    </x:row>
    <x:row r="7" ht="39">
      <x:c r="A7" s="2" t="s">
        <x:v>91</x:v>
      </x:c>
      <x:c r="B7" s="2" t="s">
        <x:v>13</x:v>
      </x:c>
      <x:c r="C7" s="3">
        <x:v>5</x:v>
      </x:c>
      <x:c r="D7" s="2" t="s">
        <x:v>137</x:v>
      </x:c>
      <x:c r="E7" s="2" t="s">
        <x:v>138</x:v>
      </x:c>
      <x:c r="F7" s="2" t="s">
        <x:v>139</x:v>
      </x:c>
      <x:c r="G7" s="2" t="s">
        <x:v>3263</x:v>
      </x:c>
      <x:c r="H7" s="2" t="s">
        <x:v>96</x:v>
      </x:c>
      <x:c r="I7" s="2" t="s">
        <x:v>140</x:v>
      </x:c>
      <x:c r="J7" s="2" t="s">
        <x:v>98</x:v>
      </x:c>
      <x:c r="K7" s="2"/>
      <x:c r="L7" s="2" t="s">
        <x:v>141</x:v>
      </x:c>
      <x:c r="M7" s="2" t="s">
        <x:v>113</x:v>
      </x:c>
      <x:c r="N7" s="2">
        <x:v>1</x:v>
      </x:c>
      <x:c r="O7" s="2" t="s">
        <x:v>101</x:v>
      </x:c>
      <x:c r="P7" s="2" t="s">
        <x:v>114</x:v>
      </x:c>
      <x:c r="Q7" s="2"/>
      <x:c r="R7" s="3">
        <x:v>2</x:v>
      </x:c>
      <x:c r="S7" s="3">
        <x:v>1</x:v>
      </x:c>
      <x:c r="T7" s="2" t="s">
        <x:v>103</x:v>
      </x:c>
      <x:c r="U7" s="2" t="s">
        <x:v>129</x:v>
      </x:c>
      <x:c r="V7" s="2" t="s">
        <x:v>136</x:v>
      </x:c>
      <x:c r="W7" s="2"/>
      <x:c r="X7" s="3"/>
      <x:c r="Y7" s="3"/>
      <x:c r="Z7" s="2"/>
      <x:c r="AA7" s="2"/>
      <x:c r="AB7" s="2"/>
      <x:c r="AC7" s="2"/>
      <x:c r="AD7" s="2"/>
      <x:c r="AE7" s="2"/>
      <x:c r="AF7" s="2"/>
      <x:c r="AG7" s="2"/>
      <x:c r="AH7" s="2"/>
      <x:c r="AI7" s="4"/>
      <x:c r="AJ7" s="2"/>
      <x:c r="AK7" s="2" t="s">
        <x:v>106</x:v>
      </x:c>
      <x:c r="AL7" s="2" t="s">
        <x:v>3262</x:v>
      </x:c>
      <x:c r="AM7" s="2">
        <x:v>7</x:v>
      </x:c>
      <x:c r="AN7" s="2">
        <x:v>7</x:v>
      </x:c>
    </x:row>
    <x:row r="8" ht="39">
      <x:c r="A8" s="2" t="s">
        <x:v>91</x:v>
      </x:c>
      <x:c r="B8" s="2" t="s">
        <x:v>13</x:v>
      </x:c>
      <x:c r="C8" s="3">
        <x:v>6</x:v>
      </x:c>
      <x:c r="D8" s="2" t="s">
        <x:v>142</x:v>
      </x:c>
      <x:c r="E8" s="2" t="s">
        <x:v>143</x:v>
      </x:c>
      <x:c r="F8" s="2" t="s">
        <x:v>132</x:v>
      </x:c>
      <x:c r="G8" s="2" t="s">
        <x:v>3264</x:v>
      </x:c>
      <x:c r="H8" s="2" t="s">
        <x:v>96</x:v>
      </x:c>
      <x:c r="I8" s="2" t="s">
        <x:v>145</x:v>
      </x:c>
      <x:c r="J8" s="2" t="s">
        <x:v>98</x:v>
      </x:c>
      <x:c r="K8" s="2"/>
      <x:c r="L8" s="2" t="s">
        <x:v>146</x:v>
      </x:c>
      <x:c r="M8" s="2" t="s">
        <x:v>113</x:v>
      </x:c>
      <x:c r="N8" s="2">
        <x:v>1</x:v>
      </x:c>
      <x:c r="O8" s="2" t="s">
        <x:v>101</x:v>
      </x:c>
      <x:c r="P8" s="2" t="s">
        <x:v>147</x:v>
      </x:c>
      <x:c r="Q8" s="2"/>
      <x:c r="R8" s="3">
        <x:v>2</x:v>
      </x:c>
      <x:c r="S8" s="3">
        <x:v>1</x:v>
      </x:c>
      <x:c r="T8" s="2" t="s">
        <x:v>103</x:v>
      </x:c>
      <x:c r="U8" s="2" t="s">
        <x:v>115</x:v>
      </x:c>
      <x:c r="V8" s="2" t="s">
        <x:v>136</x:v>
      </x:c>
      <x:c r="W8" s="2"/>
      <x:c r="X8" s="3"/>
      <x:c r="Y8" s="3"/>
      <x:c r="Z8" s="2"/>
      <x:c r="AA8" s="2"/>
      <x:c r="AB8" s="2"/>
      <x:c r="AC8" s="2"/>
      <x:c r="AD8" s="2"/>
      <x:c r="AE8" s="2"/>
      <x:c r="AF8" s="2"/>
      <x:c r="AG8" s="2"/>
      <x:c r="AH8" s="2"/>
      <x:c r="AI8" s="4"/>
      <x:c r="AJ8" s="2"/>
      <x:c r="AK8" s="2" t="s">
        <x:v>106</x:v>
      </x:c>
      <x:c r="AL8" s="2" t="s">
        <x:v>3262</x:v>
      </x:c>
      <x:c r="AM8" s="2">
        <x:v>8</x:v>
      </x:c>
      <x:c r="AN8" s="2">
        <x:v>8</x:v>
      </x:c>
    </x:row>
    <x:row r="9" ht="65">
      <x:c r="A9" s="2" t="s">
        <x:v>6</x:v>
      </x:c>
      <x:c r="B9" s="2" t="s">
        <x:v>13</x:v>
      </x:c>
      <x:c r="C9" s="3">
        <x:v>7</x:v>
      </x:c>
      <x:c r="D9" s="2" t="s">
        <x:v>148</x:v>
      </x:c>
      <x:c r="E9" s="2" t="s">
        <x:v>149</x:v>
      </x:c>
      <x:c r="F9" s="2" t="s">
        <x:v>150</x:v>
      </x:c>
      <x:c r="G9" s="2"/>
      <x:c r="H9" s="2" t="s">
        <x:v>96</x:v>
      </x:c>
      <x:c r="I9" s="2" t="s">
        <x:v>152</x:v>
      </x:c>
      <x:c r="J9" s="2" t="s">
        <x:v>98</x:v>
      </x:c>
      <x:c r="K9" s="2"/>
      <x:c r="L9" s="2" t="s">
        <x:v>153</x:v>
      </x:c>
      <x:c r="M9" s="2" t="s">
        <x:v>100</x:v>
      </x:c>
      <x:c r="N9" s="2">
        <x:v>1</x:v>
      </x:c>
      <x:c r="O9" s="2" t="s">
        <x:v>101</x:v>
      </x:c>
      <x:c r="P9" s="2" t="s">
        <x:v>102</x:v>
      </x:c>
      <x:c r="Q9" s="2"/>
      <x:c r="R9" s="3">
        <x:v>3</x:v>
      </x:c>
      <x:c r="S9" s="3">
        <x:v>1</x:v>
      </x:c>
      <x:c r="T9" s="2" t="s">
        <x:v>103</x:v>
      </x:c>
      <x:c r="U9" s="2" t="s">
        <x:v>122</x:v>
      </x:c>
      <x:c r="V9" s="2" t="s">
        <x:v>154</x:v>
      </x:c>
      <x:c r="W9" s="2"/>
      <x:c r="X9" s="3"/>
      <x:c r="Y9" s="3"/>
      <x:c r="Z9" s="2"/>
      <x:c r="AA9" s="2"/>
      <x:c r="AB9" s="2"/>
      <x:c r="AC9" s="2"/>
      <x:c r="AD9" s="2"/>
      <x:c r="AE9" s="2"/>
      <x:c r="AF9" s="2"/>
      <x:c r="AG9" s="2"/>
      <x:c r="AH9" s="2"/>
      <x:c r="AI9" s="4"/>
      <x:c r="AJ9" s="2"/>
      <x:c r="AK9" s="2" t="s">
        <x:v>106</x:v>
      </x:c>
      <x:c r="AL9" s="2" t="s">
        <x:v>3262</x:v>
      </x:c>
      <x:c r="AM9" s="2">
        <x:v>9</x:v>
      </x:c>
      <x:c r="AN9" s="2">
        <x:v>9</x:v>
      </x:c>
    </x:row>
    <x:row r="10" ht="65">
      <x:c r="A10" s="2" t="s">
        <x:v>6</x:v>
      </x:c>
      <x:c r="B10" s="2" t="s">
        <x:v>13</x:v>
      </x:c>
      <x:c r="C10" s="3">
        <x:v>8</x:v>
      </x:c>
      <x:c r="D10" s="2" t="s">
        <x:v>155</x:v>
      </x:c>
      <x:c r="E10" s="2" t="s">
        <x:v>156</x:v>
      </x:c>
      <x:c r="F10" s="2" t="s">
        <x:v>157</x:v>
      </x:c>
      <x:c r="G10" s="2"/>
      <x:c r="H10" s="2" t="s">
        <x:v>96</x:v>
      </x:c>
      <x:c r="I10" s="2" t="s">
        <x:v>159</x:v>
      </x:c>
      <x:c r="J10" s="2" t="s">
        <x:v>98</x:v>
      </x:c>
      <x:c r="K10" s="2"/>
      <x:c r="L10" s="2" t="s">
        <x:v>160</x:v>
      </x:c>
      <x:c r="M10" s="2" t="s">
        <x:v>100</x:v>
      </x:c>
      <x:c r="N10" s="2">
        <x:v>1</x:v>
      </x:c>
      <x:c r="O10" s="2" t="s">
        <x:v>101</x:v>
      </x:c>
      <x:c r="P10" s="2" t="s">
        <x:v>102</x:v>
      </x:c>
      <x:c r="Q10" s="2"/>
      <x:c r="R10" s="3">
        <x:v>3</x:v>
      </x:c>
      <x:c r="S10" s="3">
        <x:v>1</x:v>
      </x:c>
      <x:c r="T10" s="2" t="s">
        <x:v>103</x:v>
      </x:c>
      <x:c r="U10" s="2" t="s">
        <x:v>104</x:v>
      </x:c>
      <x:c r="V10" s="2" t="s">
        <x:v>154</x:v>
      </x:c>
      <x:c r="W10" s="2"/>
      <x:c r="X10" s="3"/>
      <x:c r="Y10" s="3"/>
      <x:c r="Z10" s="2"/>
      <x:c r="AA10" s="2"/>
      <x:c r="AB10" s="2"/>
      <x:c r="AC10" s="2"/>
      <x:c r="AD10" s="2"/>
      <x:c r="AE10" s="2"/>
      <x:c r="AF10" s="2"/>
      <x:c r="AG10" s="2"/>
      <x:c r="AH10" s="2"/>
      <x:c r="AI10" s="4"/>
      <x:c r="AJ10" s="2"/>
      <x:c r="AK10" s="2" t="s">
        <x:v>106</x:v>
      </x:c>
      <x:c r="AL10" s="2" t="s">
        <x:v>3262</x:v>
      </x:c>
      <x:c r="AM10" s="2">
        <x:v>10</x:v>
      </x:c>
      <x:c r="AN10" s="2">
        <x:v>10</x:v>
      </x:c>
    </x:row>
    <x:row r="11" ht="39">
      <x:c r="A11" s="2" t="s">
        <x:v>6</x:v>
      </x:c>
      <x:c r="B11" s="2" t="s">
        <x:v>13</x:v>
      </x:c>
      <x:c r="C11" s="3">
        <x:v>9</x:v>
      </x:c>
      <x:c r="D11" s="2" t="s">
        <x:v>161</x:v>
      </x:c>
      <x:c r="E11" s="2" t="s">
        <x:v>162</x:v>
      </x:c>
      <x:c r="F11" s="2" t="s">
        <x:v>157</x:v>
      </x:c>
      <x:c r="G11" s="2"/>
      <x:c r="H11" s="2" t="s">
        <x:v>96</x:v>
      </x:c>
      <x:c r="I11" s="2" t="s">
        <x:v>164</x:v>
      </x:c>
      <x:c r="J11" s="2" t="s">
        <x:v>98</x:v>
      </x:c>
      <x:c r="K11" s="2"/>
      <x:c r="L11" s="2" t="s">
        <x:v>165</x:v>
      </x:c>
      <x:c r="M11" s="2" t="s">
        <x:v>113</x:v>
      </x:c>
      <x:c r="N11" s="2">
        <x:v>1</x:v>
      </x:c>
      <x:c r="O11" s="2" t="s">
        <x:v>101</x:v>
      </x:c>
      <x:c r="P11" s="2" t="s">
        <x:v>147</x:v>
      </x:c>
      <x:c r="Q11" s="2"/>
      <x:c r="R11" s="3">
        <x:v>2</x:v>
      </x:c>
      <x:c r="S11" s="3">
        <x:v>1</x:v>
      </x:c>
      <x:c r="T11" s="2" t="s">
        <x:v>103</x:v>
      </x:c>
      <x:c r="U11" s="2" t="s">
        <x:v>129</x:v>
      </x:c>
      <x:c r="V11" s="2" t="s">
        <x:v>154</x:v>
      </x:c>
      <x:c r="W11" s="2"/>
      <x:c r="X11" s="3"/>
      <x:c r="Y11" s="3"/>
      <x:c r="Z11" s="2"/>
      <x:c r="AA11" s="2"/>
      <x:c r="AB11" s="2"/>
      <x:c r="AC11" s="2"/>
      <x:c r="AD11" s="2"/>
      <x:c r="AE11" s="2"/>
      <x:c r="AF11" s="2"/>
      <x:c r="AG11" s="2"/>
      <x:c r="AH11" s="2"/>
      <x:c r="AI11" s="4"/>
      <x:c r="AJ11" s="2"/>
      <x:c r="AK11" s="2" t="s">
        <x:v>106</x:v>
      </x:c>
      <x:c r="AL11" s="2" t="s">
        <x:v>3262</x:v>
      </x:c>
      <x:c r="AM11" s="2">
        <x:v>11</x:v>
      </x:c>
      <x:c r="AN11" s="2">
        <x:v>11</x:v>
      </x:c>
    </x:row>
    <x:row r="12" ht="65">
      <x:c r="A12" s="2" t="s">
        <x:v>91</x:v>
      </x:c>
      <x:c r="B12" s="2" t="s">
        <x:v>13</x:v>
      </x:c>
      <x:c r="C12" s="3">
        <x:v>10</x:v>
      </x:c>
      <x:c r="D12" s="2" t="s">
        <x:v>574</x:v>
      </x:c>
      <x:c r="E12" s="2" t="s">
        <x:v>575</x:v>
      </x:c>
      <x:c r="F12" s="2" t="s">
        <x:v>576</x:v>
      </x:c>
      <x:c r="G12" s="2" t="s">
        <x:v>3070</x:v>
      </x:c>
      <x:c r="H12" s="2" t="s">
        <x:v>96</x:v>
      </x:c>
      <x:c r="I12" s="2" t="s">
        <x:v>578</x:v>
      </x:c>
      <x:c r="J12" s="2" t="s">
        <x:v>98</x:v>
      </x:c>
      <x:c r="K12" s="2"/>
      <x:c r="L12" s="2" t="s">
        <x:v>579</x:v>
      </x:c>
      <x:c r="M12" s="2" t="s">
        <x:v>100</x:v>
      </x:c>
      <x:c r="N12" s="2">
        <x:v>1</x:v>
      </x:c>
      <x:c r="O12" s="2" t="s">
        <x:v>101</x:v>
      </x:c>
      <x:c r="P12" s="2" t="s">
        <x:v>102</x:v>
      </x:c>
      <x:c r="Q12" s="2"/>
      <x:c r="R12" s="3">
        <x:v>4</x:v>
      </x:c>
      <x:c r="S12" s="3">
        <x:v>1</x:v>
      </x:c>
      <x:c r="T12" s="2" t="s">
        <x:v>103</x:v>
      </x:c>
      <x:c r="U12" s="2" t="s">
        <x:v>122</x:v>
      </x:c>
      <x:c r="V12" s="2" t="s">
        <x:v>105</x:v>
      </x:c>
      <x:c r="W12" s="2"/>
      <x:c r="X12" s="3"/>
      <x:c r="Y12" s="3"/>
      <x:c r="Z12" s="2"/>
      <x:c r="AA12" s="2"/>
      <x:c r="AB12" s="2"/>
      <x:c r="AC12" s="2"/>
      <x:c r="AD12" s="2"/>
      <x:c r="AE12" s="2"/>
      <x:c r="AF12" s="2"/>
      <x:c r="AG12" s="2"/>
      <x:c r="AH12" s="2"/>
      <x:c r="AI12" s="4"/>
      <x:c r="AJ12" s="2"/>
      <x:c r="AK12" s="2" t="s">
        <x:v>106</x:v>
      </x:c>
      <x:c r="AL12" s="2" t="s">
        <x:v>3262</x:v>
      </x:c>
      <x:c r="AM12" s="2">
        <x:v>12</x:v>
      </x:c>
      <x:c r="AN12" s="2">
        <x:v>12</x:v>
      </x:c>
    </x:row>
    <x:row r="13" ht="65">
      <x:c r="A13" s="2" t="s">
        <x:v>91</x:v>
      </x:c>
      <x:c r="B13" s="2" t="s">
        <x:v>13</x:v>
      </x:c>
      <x:c r="C13" s="3">
        <x:v>11</x:v>
      </x:c>
      <x:c r="D13" s="2" t="s">
        <x:v>580</x:v>
      </x:c>
      <x:c r="E13" s="2" t="s">
        <x:v>581</x:v>
      </x:c>
      <x:c r="F13" s="2" t="s">
        <x:v>94</x:v>
      </x:c>
      <x:c r="G13" s="2" t="s">
        <x:v>778</x:v>
      </x:c>
      <x:c r="H13" s="2" t="s">
        <x:v>96</x:v>
      </x:c>
      <x:c r="I13" s="2" t="s">
        <x:v>582</x:v>
      </x:c>
      <x:c r="J13" s="2" t="s">
        <x:v>98</x:v>
      </x:c>
      <x:c r="K13" s="2"/>
      <x:c r="L13" s="2" t="s">
        <x:v>583</x:v>
      </x:c>
      <x:c r="M13" s="2" t="s">
        <x:v>100</x:v>
      </x:c>
      <x:c r="N13" s="2">
        <x:v>1</x:v>
      </x:c>
      <x:c r="O13" s="2" t="s">
        <x:v>101</x:v>
      </x:c>
      <x:c r="P13" s="2" t="s">
        <x:v>102</x:v>
      </x:c>
      <x:c r="Q13" s="2"/>
      <x:c r="R13" s="3">
        <x:v>3</x:v>
      </x:c>
      <x:c r="S13" s="3">
        <x:v>1</x:v>
      </x:c>
      <x:c r="T13" s="2" t="s">
        <x:v>103</x:v>
      </x:c>
      <x:c r="U13" s="2" t="s">
        <x:v>122</x:v>
      </x:c>
      <x:c r="V13" s="2" t="s">
        <x:v>105</x:v>
      </x:c>
      <x:c r="W13" s="2"/>
      <x:c r="X13" s="3"/>
      <x:c r="Y13" s="3"/>
      <x:c r="Z13" s="2"/>
      <x:c r="AA13" s="2"/>
      <x:c r="AB13" s="2"/>
      <x:c r="AC13" s="2"/>
      <x:c r="AD13" s="2"/>
      <x:c r="AE13" s="2"/>
      <x:c r="AF13" s="2"/>
      <x:c r="AG13" s="2"/>
      <x:c r="AH13" s="2"/>
      <x:c r="AI13" s="4"/>
      <x:c r="AJ13" s="2"/>
      <x:c r="AK13" s="2" t="s">
        <x:v>106</x:v>
      </x:c>
      <x:c r="AL13" s="2" t="s">
        <x:v>3262</x:v>
      </x:c>
      <x:c r="AM13" s="2">
        <x:v>13</x:v>
      </x:c>
      <x:c r="AN13" s="2">
        <x:v>13</x:v>
      </x:c>
    </x:row>
    <x:row r="14" ht="65">
      <x:c r="A14" s="2" t="s">
        <x:v>91</x:v>
      </x:c>
      <x:c r="B14" s="2" t="s">
        <x:v>13</x:v>
      </x:c>
      <x:c r="C14" s="3">
        <x:v>12</x:v>
      </x:c>
      <x:c r="D14" s="2" t="s">
        <x:v>92</x:v>
      </x:c>
      <x:c r="E14" s="2" t="s">
        <x:v>584</x:v>
      </x:c>
      <x:c r="F14" s="2" t="s">
        <x:v>576</x:v>
      </x:c>
      <x:c r="G14" s="2" t="s">
        <x:v>3265</x:v>
      </x:c>
      <x:c r="H14" s="2" t="s">
        <x:v>96</x:v>
      </x:c>
      <x:c r="I14" s="2" t="s">
        <x:v>585</x:v>
      </x:c>
      <x:c r="J14" s="2" t="s">
        <x:v>98</x:v>
      </x:c>
      <x:c r="K14" s="2"/>
      <x:c r="L14" s="2" t="s">
        <x:v>586</x:v>
      </x:c>
      <x:c r="M14" s="2" t="s">
        <x:v>100</x:v>
      </x:c>
      <x:c r="N14" s="2">
        <x:v>1</x:v>
      </x:c>
      <x:c r="O14" s="2" t="s">
        <x:v>101</x:v>
      </x:c>
      <x:c r="P14" s="2" t="s">
        <x:v>102</x:v>
      </x:c>
      <x:c r="Q14" s="2"/>
      <x:c r="R14" s="3">
        <x:v>3</x:v>
      </x:c>
      <x:c r="S14" s="3">
        <x:v>1</x:v>
      </x:c>
      <x:c r="T14" s="2" t="s">
        <x:v>103</x:v>
      </x:c>
      <x:c r="U14" s="2" t="s">
        <x:v>104</x:v>
      </x:c>
      <x:c r="V14" s="2" t="s">
        <x:v>105</x:v>
      </x:c>
      <x:c r="W14" s="2"/>
      <x:c r="X14" s="3"/>
      <x:c r="Y14" s="3"/>
      <x:c r="Z14" s="2"/>
      <x:c r="AA14" s="2"/>
      <x:c r="AB14" s="2"/>
      <x:c r="AC14" s="2"/>
      <x:c r="AD14" s="2"/>
      <x:c r="AE14" s="2"/>
      <x:c r="AF14" s="2"/>
      <x:c r="AG14" s="2"/>
      <x:c r="AH14" s="2"/>
      <x:c r="AI14" s="4"/>
      <x:c r="AJ14" s="2"/>
      <x:c r="AK14" s="2" t="s">
        <x:v>106</x:v>
      </x:c>
      <x:c r="AL14" s="2" t="s">
        <x:v>3262</x:v>
      </x:c>
      <x:c r="AM14" s="2">
        <x:v>14</x:v>
      </x:c>
      <x:c r="AN14" s="2">
        <x:v>14</x:v>
      </x:c>
    </x:row>
    <x:row r="15" ht="52">
      <x:c r="A15" s="2" t="s">
        <x:v>6</x:v>
      </x:c>
      <x:c r="B15" s="2" t="s">
        <x:v>13</x:v>
      </x:c>
      <x:c r="C15" s="3">
        <x:v>13</x:v>
      </x:c>
      <x:c r="D15" s="2" t="s">
        <x:v>587</x:v>
      </x:c>
      <x:c r="E15" s="2" t="s">
        <x:v>588</x:v>
      </x:c>
      <x:c r="F15" s="2" t="s">
        <x:v>589</x:v>
      </x:c>
      <x:c r="G15" s="2"/>
      <x:c r="H15" s="2" t="s">
        <x:v>96</x:v>
      </x:c>
      <x:c r="I15" s="2" t="s">
        <x:v>590</x:v>
      </x:c>
      <x:c r="J15" s="2" t="s">
        <x:v>98</x:v>
      </x:c>
      <x:c r="K15" s="2"/>
      <x:c r="L15" s="2" t="s">
        <x:v>591</x:v>
      </x:c>
      <x:c r="M15" s="2" t="s">
        <x:v>113</x:v>
      </x:c>
      <x:c r="N15" s="2">
        <x:v>1</x:v>
      </x:c>
      <x:c r="O15" s="2" t="s">
        <x:v>101</x:v>
      </x:c>
      <x:c r="P15" s="2" t="s">
        <x:v>114</x:v>
      </x:c>
      <x:c r="Q15" s="2"/>
      <x:c r="R15" s="3">
        <x:v>2</x:v>
      </x:c>
      <x:c r="S15" s="3">
        <x:v>1</x:v>
      </x:c>
      <x:c r="T15" s="2" t="s">
        <x:v>103</x:v>
      </x:c>
      <x:c r="U15" s="2" t="s">
        <x:v>129</x:v>
      </x:c>
      <x:c r="V15" s="2" t="s">
        <x:v>123</x:v>
      </x:c>
      <x:c r="W15" s="2"/>
      <x:c r="X15" s="3"/>
      <x:c r="Y15" s="3"/>
      <x:c r="Z15" s="2"/>
      <x:c r="AA15" s="2"/>
      <x:c r="AB15" s="2"/>
      <x:c r="AC15" s="2"/>
      <x:c r="AD15" s="2"/>
      <x:c r="AE15" s="2"/>
      <x:c r="AF15" s="2"/>
      <x:c r="AG15" s="2"/>
      <x:c r="AH15" s="2"/>
      <x:c r="AI15" s="4"/>
      <x:c r="AJ15" s="2"/>
      <x:c r="AK15" s="2" t="s">
        <x:v>106</x:v>
      </x:c>
      <x:c r="AL15" s="2" t="s">
        <x:v>3262</x:v>
      </x:c>
      <x:c r="AM15" s="2">
        <x:v>15</x:v>
      </x:c>
      <x:c r="AN15" s="2">
        <x:v>15</x:v>
      </x:c>
    </x:row>
    <x:row r="16" ht="52">
      <x:c r="A16" s="2" t="s">
        <x:v>91</x:v>
      </x:c>
      <x:c r="B16" s="2" t="s">
        <x:v>13</x:v>
      </x:c>
      <x:c r="C16" s="3">
        <x:v>14</x:v>
      </x:c>
      <x:c r="D16" s="2" t="s">
        <x:v>592</x:v>
      </x:c>
      <x:c r="E16" s="2" t="s">
        <x:v>593</x:v>
      </x:c>
      <x:c r="F16" s="2" t="s">
        <x:v>589</x:v>
      </x:c>
      <x:c r="G16" s="2" t="s">
        <x:v>3266</x:v>
      </x:c>
      <x:c r="H16" s="2" t="s">
        <x:v>96</x:v>
      </x:c>
      <x:c r="I16" s="2" t="s">
        <x:v>594</x:v>
      </x:c>
      <x:c r="J16" s="2" t="s">
        <x:v>98</x:v>
      </x:c>
      <x:c r="K16" s="2"/>
      <x:c r="L16" s="2" t="s">
        <x:v>595</x:v>
      </x:c>
      <x:c r="M16" s="2" t="s">
        <x:v>113</x:v>
      </x:c>
      <x:c r="N16" s="2">
        <x:v>1</x:v>
      </x:c>
      <x:c r="O16" s="2" t="s">
        <x:v>101</x:v>
      </x:c>
      <x:c r="P16" s="2" t="s">
        <x:v>114</x:v>
      </x:c>
      <x:c r="Q16" s="2"/>
      <x:c r="R16" s="3">
        <x:v>4</x:v>
      </x:c>
      <x:c r="S16" s="3">
        <x:v>1</x:v>
      </x:c>
      <x:c r="T16" s="2" t="s">
        <x:v>103</x:v>
      </x:c>
      <x:c r="U16" s="2" t="s">
        <x:v>115</x:v>
      </x:c>
      <x:c r="V16" s="2" t="s">
        <x:v>123</x:v>
      </x:c>
      <x:c r="W16" s="2"/>
      <x:c r="X16" s="3"/>
      <x:c r="Y16" s="3"/>
      <x:c r="Z16" s="2"/>
      <x:c r="AA16" s="2"/>
      <x:c r="AB16" s="2"/>
      <x:c r="AC16" s="2"/>
      <x:c r="AD16" s="2"/>
      <x:c r="AE16" s="2"/>
      <x:c r="AF16" s="2"/>
      <x:c r="AG16" s="2"/>
      <x:c r="AH16" s="2"/>
      <x:c r="AI16" s="4"/>
      <x:c r="AJ16" s="2"/>
      <x:c r="AK16" s="2" t="s">
        <x:v>106</x:v>
      </x:c>
      <x:c r="AL16" s="2" t="s">
        <x:v>3262</x:v>
      </x:c>
      <x:c r="AM16" s="2">
        <x:v>16</x:v>
      </x:c>
      <x:c r="AN16" s="2">
        <x:v>16</x:v>
      </x:c>
    </x:row>
    <x:row r="17" ht="52">
      <x:c r="A17" s="2" t="s">
        <x:v>91</x:v>
      </x:c>
      <x:c r="B17" s="2" t="s">
        <x:v>13</x:v>
      </x:c>
      <x:c r="C17" s="3">
        <x:v>15</x:v>
      </x:c>
      <x:c r="D17" s="2" t="s">
        <x:v>596</x:v>
      </x:c>
      <x:c r="E17" s="2" t="s">
        <x:v>597</x:v>
      </x:c>
      <x:c r="F17" s="2" t="s">
        <x:v>118</x:v>
      </x:c>
      <x:c r="G17" s="2" t="s">
        <x:v>2795</x:v>
      </x:c>
      <x:c r="H17" s="2" t="s">
        <x:v>96</x:v>
      </x:c>
      <x:c r="I17" s="2" t="s">
        <x:v>598</x:v>
      </x:c>
      <x:c r="J17" s="2" t="s">
        <x:v>98</x:v>
      </x:c>
      <x:c r="K17" s="2"/>
      <x:c r="L17" s="2" t="s">
        <x:v>599</x:v>
      </x:c>
      <x:c r="M17" s="2" t="s">
        <x:v>113</x:v>
      </x:c>
      <x:c r="N17" s="2">
        <x:v>1</x:v>
      </x:c>
      <x:c r="O17" s="2" t="s">
        <x:v>101</x:v>
      </x:c>
      <x:c r="P17" s="2" t="s">
        <x:v>147</x:v>
      </x:c>
      <x:c r="Q17" s="2"/>
      <x:c r="R17" s="3">
        <x:v>2</x:v>
      </x:c>
      <x:c r="S17" s="3">
        <x:v>1</x:v>
      </x:c>
      <x:c r="T17" s="2" t="s">
        <x:v>103</x:v>
      </x:c>
      <x:c r="U17" s="2" t="s">
        <x:v>115</x:v>
      </x:c>
      <x:c r="V17" s="2" t="s">
        <x:v>123</x:v>
      </x:c>
      <x:c r="W17" s="2"/>
      <x:c r="X17" s="3"/>
      <x:c r="Y17" s="3"/>
      <x:c r="Z17" s="2"/>
      <x:c r="AA17" s="2"/>
      <x:c r="AB17" s="2"/>
      <x:c r="AC17" s="2"/>
      <x:c r="AD17" s="2"/>
      <x:c r="AE17" s="2"/>
      <x:c r="AF17" s="2"/>
      <x:c r="AG17" s="2"/>
      <x:c r="AH17" s="2"/>
      <x:c r="AI17" s="4"/>
      <x:c r="AJ17" s="2"/>
      <x:c r="AK17" s="2" t="s">
        <x:v>106</x:v>
      </x:c>
      <x:c r="AL17" s="2" t="s">
        <x:v>3262</x:v>
      </x:c>
      <x:c r="AM17" s="2">
        <x:v>17</x:v>
      </x:c>
      <x:c r="AN17" s="2">
        <x:v>17</x:v>
      </x:c>
    </x:row>
    <x:row r="18" ht="52">
      <x:c r="A18" s="2" t="s">
        <x:v>6</x:v>
      </x:c>
      <x:c r="B18" s="2" t="s">
        <x:v>13</x:v>
      </x:c>
      <x:c r="C18" s="3">
        <x:v>16</x:v>
      </x:c>
      <x:c r="D18" s="2" t="s">
        <x:v>600</x:v>
      </x:c>
      <x:c r="E18" s="2" t="s">
        <x:v>601</x:v>
      </x:c>
      <x:c r="F18" s="2" t="s">
        <x:v>139</x:v>
      </x:c>
      <x:c r="G18" s="2"/>
      <x:c r="H18" s="2" t="s">
        <x:v>96</x:v>
      </x:c>
      <x:c r="I18" s="2" t="s">
        <x:v>603</x:v>
      </x:c>
      <x:c r="J18" s="2" t="s">
        <x:v>98</x:v>
      </x:c>
      <x:c r="K18" s="2"/>
      <x:c r="L18" s="2" t="s">
        <x:v>604</x:v>
      </x:c>
      <x:c r="M18" s="2" t="s">
        <x:v>113</x:v>
      </x:c>
      <x:c r="N18" s="2">
        <x:v>1</x:v>
      </x:c>
      <x:c r="O18" s="2" t="s">
        <x:v>101</x:v>
      </x:c>
      <x:c r="P18" s="2" t="s">
        <x:v>147</x:v>
      </x:c>
      <x:c r="Q18" s="2"/>
      <x:c r="R18" s="3">
        <x:v>4</x:v>
      </x:c>
      <x:c r="S18" s="3">
        <x:v>1</x:v>
      </x:c>
      <x:c r="T18" s="2" t="s">
        <x:v>103</x:v>
      </x:c>
      <x:c r="U18" s="2" t="s">
        <x:v>129</x:v>
      </x:c>
      <x:c r="V18" s="2" t="s">
        <x:v>136</x:v>
      </x:c>
      <x:c r="W18" s="2"/>
      <x:c r="X18" s="3"/>
      <x:c r="Y18" s="3"/>
      <x:c r="Z18" s="2"/>
      <x:c r="AA18" s="2"/>
      <x:c r="AB18" s="2"/>
      <x:c r="AC18" s="2"/>
      <x:c r="AD18" s="2"/>
      <x:c r="AE18" s="2"/>
      <x:c r="AF18" s="2"/>
      <x:c r="AG18" s="2"/>
      <x:c r="AH18" s="2"/>
      <x:c r="AI18" s="4"/>
      <x:c r="AJ18" s="2"/>
      <x:c r="AK18" s="2" t="s">
        <x:v>106</x:v>
      </x:c>
      <x:c r="AL18" s="2" t="s">
        <x:v>3262</x:v>
      </x:c>
      <x:c r="AM18" s="2">
        <x:v>18</x:v>
      </x:c>
      <x:c r="AN18" s="2">
        <x:v>18</x:v>
      </x:c>
    </x:row>
    <x:row r="19" ht="52">
      <x:c r="A19" s="2" t="s">
        <x:v>91</x:v>
      </x:c>
      <x:c r="B19" s="2" t="s">
        <x:v>13</x:v>
      </x:c>
      <x:c r="C19" s="3">
        <x:v>17</x:v>
      </x:c>
      <x:c r="D19" s="2" t="s">
        <x:v>605</x:v>
      </x:c>
      <x:c r="E19" s="2" t="s">
        <x:v>606</x:v>
      </x:c>
      <x:c r="F19" s="2" t="s">
        <x:v>139</x:v>
      </x:c>
      <x:c r="G19" s="2" t="s">
        <x:v>2797</x:v>
      </x:c>
      <x:c r="H19" s="2" t="s">
        <x:v>96</x:v>
      </x:c>
      <x:c r="I19" s="2" t="s">
        <x:v>607</x:v>
      </x:c>
      <x:c r="J19" s="2" t="s">
        <x:v>98</x:v>
      </x:c>
      <x:c r="K19" s="2"/>
      <x:c r="L19" s="2" t="s">
        <x:v>608</x:v>
      </x:c>
      <x:c r="M19" s="2" t="s">
        <x:v>113</x:v>
      </x:c>
      <x:c r="N19" s="2">
        <x:v>1</x:v>
      </x:c>
      <x:c r="O19" s="2" t="s">
        <x:v>101</x:v>
      </x:c>
      <x:c r="P19" s="2" t="s">
        <x:v>147</x:v>
      </x:c>
      <x:c r="Q19" s="2"/>
      <x:c r="R19" s="3">
        <x:v>3</x:v>
      </x:c>
      <x:c r="S19" s="3">
        <x:v>1</x:v>
      </x:c>
      <x:c r="T19" s="2" t="s">
        <x:v>103</x:v>
      </x:c>
      <x:c r="U19" s="2" t="s">
        <x:v>115</x:v>
      </x:c>
      <x:c r="V19" s="2" t="s">
        <x:v>136</x:v>
      </x:c>
      <x:c r="W19" s="2"/>
      <x:c r="X19" s="3"/>
      <x:c r="Y19" s="3"/>
      <x:c r="Z19" s="2"/>
      <x:c r="AA19" s="2"/>
      <x:c r="AB19" s="2"/>
      <x:c r="AC19" s="2"/>
      <x:c r="AD19" s="2"/>
      <x:c r="AE19" s="2"/>
      <x:c r="AF19" s="2"/>
      <x:c r="AG19" s="2"/>
      <x:c r="AH19" s="2"/>
      <x:c r="AI19" s="4"/>
      <x:c r="AJ19" s="2"/>
      <x:c r="AK19" s="2" t="s">
        <x:v>106</x:v>
      </x:c>
      <x:c r="AL19" s="2" t="s">
        <x:v>3262</x:v>
      </x:c>
      <x:c r="AM19" s="2">
        <x:v>19</x:v>
      </x:c>
      <x:c r="AN19" s="2">
        <x:v>19</x:v>
      </x:c>
    </x:row>
    <x:row r="20" ht="65">
      <x:c r="A20" s="2" t="s">
        <x:v>91</x:v>
      </x:c>
      <x:c r="B20" s="2" t="s">
        <x:v>13</x:v>
      </x:c>
      <x:c r="C20" s="3">
        <x:v>18</x:v>
      </x:c>
      <x:c r="D20" s="2" t="s">
        <x:v>609</x:v>
      </x:c>
      <x:c r="E20" s="2" t="s">
        <x:v>610</x:v>
      </x:c>
      <x:c r="F20" s="2" t="s">
        <x:v>150</x:v>
      </x:c>
      <x:c r="G20" s="2" t="s">
        <x:v>3070</x:v>
      </x:c>
      <x:c r="H20" s="2" t="s">
        <x:v>96</x:v>
      </x:c>
      <x:c r="I20" s="2" t="s">
        <x:v>611</x:v>
      </x:c>
      <x:c r="J20" s="2" t="s">
        <x:v>98</x:v>
      </x:c>
      <x:c r="K20" s="2"/>
      <x:c r="L20" s="2" t="s">
        <x:v>612</x:v>
      </x:c>
      <x:c r="M20" s="2" t="s">
        <x:v>100</x:v>
      </x:c>
      <x:c r="N20" s="2">
        <x:v>1</x:v>
      </x:c>
      <x:c r="O20" s="2" t="s">
        <x:v>101</x:v>
      </x:c>
      <x:c r="P20" s="2" t="s">
        <x:v>102</x:v>
      </x:c>
      <x:c r="Q20" s="2"/>
      <x:c r="R20" s="3">
        <x:v>4</x:v>
      </x:c>
      <x:c r="S20" s="3">
        <x:v>1</x:v>
      </x:c>
      <x:c r="T20" s="2" t="s">
        <x:v>103</x:v>
      </x:c>
      <x:c r="U20" s="2" t="s">
        <x:v>122</x:v>
      </x:c>
      <x:c r="V20" s="2" t="s">
        <x:v>154</x:v>
      </x:c>
      <x:c r="W20" s="2"/>
      <x:c r="X20" s="3"/>
      <x:c r="Y20" s="3"/>
      <x:c r="Z20" s="2"/>
      <x:c r="AA20" s="2"/>
      <x:c r="AB20" s="2"/>
      <x:c r="AC20" s="2"/>
      <x:c r="AD20" s="2"/>
      <x:c r="AE20" s="2"/>
      <x:c r="AF20" s="2"/>
      <x:c r="AG20" s="2"/>
      <x:c r="AH20" s="2"/>
      <x:c r="AI20" s="4"/>
      <x:c r="AJ20" s="2"/>
      <x:c r="AK20" s="2" t="s">
        <x:v>106</x:v>
      </x:c>
      <x:c r="AL20" s="2" t="s">
        <x:v>3262</x:v>
      </x:c>
      <x:c r="AM20" s="2">
        <x:v>20</x:v>
      </x:c>
      <x:c r="AN20" s="2">
        <x:v>20</x:v>
      </x:c>
    </x:row>
    <x:row r="21" ht="65">
      <x:c r="A21" s="2" t="s">
        <x:v>91</x:v>
      </x:c>
      <x:c r="B21" s="2" t="s">
        <x:v>13</x:v>
      </x:c>
      <x:c r="C21" s="3">
        <x:v>19</x:v>
      </x:c>
      <x:c r="D21" s="2" t="s">
        <x:v>155</x:v>
      </x:c>
      <x:c r="E21" s="2" t="s">
        <x:v>613</x:v>
      </x:c>
      <x:c r="F21" s="2" t="s">
        <x:v>157</x:v>
      </x:c>
      <x:c r="G21" s="2" t="s">
        <x:v>3267</x:v>
      </x:c>
      <x:c r="H21" s="2" t="s">
        <x:v>96</x:v>
      </x:c>
      <x:c r="I21" s="2" t="s">
        <x:v>614</x:v>
      </x:c>
      <x:c r="J21" s="2" t="s">
        <x:v>98</x:v>
      </x:c>
      <x:c r="K21" s="2"/>
      <x:c r="L21" s="2" t="s">
        <x:v>615</x:v>
      </x:c>
      <x:c r="M21" s="2" t="s">
        <x:v>100</x:v>
      </x:c>
      <x:c r="N21" s="2">
        <x:v>1</x:v>
      </x:c>
      <x:c r="O21" s="2" t="s">
        <x:v>101</x:v>
      </x:c>
      <x:c r="P21" s="2" t="s">
        <x:v>102</x:v>
      </x:c>
      <x:c r="Q21" s="2"/>
      <x:c r="R21" s="3">
        <x:v>4</x:v>
      </x:c>
      <x:c r="S21" s="3">
        <x:v>1</x:v>
      </x:c>
      <x:c r="T21" s="2" t="s">
        <x:v>103</x:v>
      </x:c>
      <x:c r="U21" s="2" t="s">
        <x:v>104</x:v>
      </x:c>
      <x:c r="V21" s="2" t="s">
        <x:v>154</x:v>
      </x:c>
      <x:c r="W21" s="2"/>
      <x:c r="X21" s="3"/>
      <x:c r="Y21" s="3"/>
      <x:c r="Z21" s="2"/>
      <x:c r="AA21" s="2"/>
      <x:c r="AB21" s="2"/>
      <x:c r="AC21" s="2"/>
      <x:c r="AD21" s="2"/>
      <x:c r="AE21" s="2"/>
      <x:c r="AF21" s="2"/>
      <x:c r="AG21" s="2"/>
      <x:c r="AH21" s="2"/>
      <x:c r="AI21" s="4"/>
      <x:c r="AJ21" s="2"/>
      <x:c r="AK21" s="2" t="s">
        <x:v>106</x:v>
      </x:c>
      <x:c r="AL21" s="2" t="s">
        <x:v>3262</x:v>
      </x:c>
      <x:c r="AM21" s="2">
        <x:v>21</x:v>
      </x:c>
      <x:c r="AN21" s="2">
        <x:v>21</x:v>
      </x:c>
    </x:row>
  </x:sheetData>
  <x:conditionalFormatting sqref="A2:A21">
    <x:cfRule type="containsText" dxfId="1" priority="1" operator="containsText" text="Success"/>
    <x:cfRule type="containsText" dxfId="0" priority="2" operator="containsText" text="Failure"/>
  </x:conditionalFormatting>
  <x:dataValidations count="1">
    <x:dataValidation type="list" sqref="A2:A21">
      <x:formula1>"Success,Failure"</x:formula1>
    </x:dataValidation>
  </x:dataValidations>
  <x:pageMargins left="0.7" right="0.7" top="0.75" bottom="0.75" header="0.3" footer="0.3"/>
  <x:tableParts count="1">
    <x:tablePart xmlns:r="http://schemas.openxmlformats.org/officeDocument/2006/relationships" r:id="R8df3f6f4c22f408e"/>
  </x:tableParts>
</x:worksheet>
</file>

<file path=xl/worksheets/sheet9.xml><?xml version="1.0" encoding="utf-8"?>
<x:worksheet xmlns:x="http://schemas.openxmlformats.org/spreadsheetml/2006/main">
  <x:sheetViews>
    <x:sheetView showGridLines="0" workbookViewId="0"/>
  </x:sheetViews>
  <x:sheetFormatPr baseColWidth="10" defaultColWidth="8.83203125" defaultRowHeight="14"/>
  <x:cols>
    <x:col min="1" max="1" width="17" customWidth="1"/>
    <x:col min="2" max="2" width="31" customWidth="1"/>
    <x:col min="3" max="3" width="35" customWidth="1"/>
    <x:col min="4" max="4" width="22" customWidth="1"/>
    <x:col min="5" max="7" width="12" customWidth="1"/>
    <x:col min="8" max="9" width="15" customWidth="1"/>
    <x:col min="10" max="10" width="17" customWidth="1"/>
    <x:col min="11" max="12" width="13" customWidth="1"/>
    <x:col min="13" max="13" width="24" customWidth="1"/>
    <x:col min="14" max="14" width="28" customWidth="1"/>
    <x:col min="15" max="15" width="36" customWidth="1"/>
    <x:col min="17" max="17" width="18" customWidth="1"/>
    <x:col min="18" max="22" width="20" customWidth="1"/>
  </x:cols>
  <x:sheetData>
    <x:row r="1" ht="15">
      <x:c r="A1" s="5" t="s">
        <x:v>3268</x:v>
      </x:c>
      <x:c r="B1" s="5" t="s">
        <x:v>12</x:v>
      </x:c>
      <x:c r="C1" s="5" t="s">
        <x:v>5</x:v>
      </x:c>
      <x:c r="D1" s="5" t="s">
        <x:v>3269</x:v>
      </x:c>
      <x:c r="E1" s="5" t="s">
        <x:v>6</x:v>
      </x:c>
      <x:c r="F1" s="5" t="s">
        <x:v>91</x:v>
      </x:c>
      <x:c r="G1" s="5" t="s">
        <x:v>7</x:v>
      </x:c>
      <x:c r="H1" s="5" t="s">
        <x:v>3270</x:v>
      </x:c>
      <x:c r="I1" s="5" t="s">
        <x:v>3271</x:v>
      </x:c>
      <x:c r="J1" s="5" t="s">
        <x:v>3272</x:v>
      </x:c>
      <x:c r="K1" s="5" t="s">
        <x:v>9</x:v>
      </x:c>
      <x:c r="L1" s="5" t="s">
        <x:v>10</x:v>
      </x:c>
      <x:c r="M1" s="5" t="s">
        <x:v>11</x:v>
      </x:c>
      <x:c r="N1" s="5" t="s">
        <x:v>3273</x:v>
      </x:c>
      <x:c r="O1" s="5" t="s">
        <x:v>3274</x:v>
      </x:c>
      <x:c r="Q1" s="10" t="s">
        <x:v>12</x:v>
      </x:c>
      <x:c r="R1" s="10" t="s">
        <x:v>2</x:v>
      </x:c>
      <x:c r="S1" s="10" t="str">
        <x:v>GR00T Frozen LLM</x:v>
      </x:c>
      <x:c r="T1" s="10" t="str">
        <x:v>GR00T Full Fine-Tune</x:v>
      </x:c>
      <x:c r="U1" s="10" t="s">
        <x:v>3</x:v>
      </x:c>
      <x:c r="V1" s="10" t="s">
        <x:v>4</x:v>
      </x:c>
    </x:row>
    <x:row r="2" ht="15">
      <x:c r="A2" s="6" t="s">
        <x:v>40</x:v>
      </x:c>
      <x:c r="B2" s="6" t="s">
        <x:v>3275</x:v>
      </x:c>
      <x:c r="C2" s="6" t="s">
        <x:v>2</x:v>
      </x:c>
      <x:c r="D2" s="6" t="s">
        <x:v>2</x:v>
      </x:c>
      <x:c r="E2" s="7" t="n">
        <x:f>COUNTIFS('VLA-0'!$A$2:$A$73,"Success",'VLA-0'!$H$2:$H$73,$O$2)</x:f>
        <x:v>0</x:v>
      </x:c>
      <x:c r="F2" s="7" t="n">
        <x:f>COUNTIFS('VLA-0'!$A$2:$A$73,"Failure",'VLA-0'!$H$2:$H$73,$O$2)</x:f>
        <x:v>72</x:v>
      </x:c>
      <x:c r="G2" s="7" t="n">
        <x:f t="shared" ref="G2:G33" si="0">E2+F2</x:f>
        <x:v>72</x:v>
      </x:c>
      <x:c r="H2" s="8" t="n">
        <x:f t="shared" ref="H2:H33" si="1">IF(G2=0,"",E2/G2)</x:f>
        <x:v>0</x:v>
      </x:c>
      <x:c r="I2" s="8" t="n">
        <x:f t="shared" ref="I2:I33" si="2">IF(G2=0,"",(H2+$O$4^2/(2*G2))/(1+$O$4^2/G2))</x:f>
        <x:v>0.02532646990569819</x:v>
      </x:c>
      <x:c r="J2" s="8" t="n">
        <x:f t="shared" ref="J2:J33" si="3">IF(G2=0,"",$O$4*SQRT(H2*(1-H2)/G2+$O$4^2/(4*G2^2))/(1+$O$4^2/G2))</x:f>
        <x:v>0.02532646990569819</x:v>
      </x:c>
      <x:c r="K2" s="8" t="n">
        <x:f t="shared" ref="K2:K33" si="4">IF(G2=0,"",MAX(0,I2-J2))</x:f>
        <x:v>0</x:v>
      </x:c>
      <x:c r="L2" s="8" t="n">
        <x:f t="shared" ref="L2:L33" si="5">IF(G2=0,"",MIN(1,I2+J2))</x:f>
        <x:v>0.05065293981139638</x:v>
      </x:c>
      <x:c r="M2" s="6" t="str">
        <x:f t="shared" ref="M2:M33" si="6">IF(G2=0,"",TEXT(K2,"0.0%")&amp;" – "&amp;TEXT(L2,"0.0%"))</x:f>
        <x:v>0.0% – 5.1%</x:v>
      </x:c>
      <x:c r="N2" s="6" t="s">
        <x:v>3276</x:v>
      </x:c>
      <x:c r="O2" s="6" t="s">
        <x:v>96</x:v>
      </x:c>
      <x:c r="Q2" s="9" t="s">
        <x:v>3275</x:v>
      </x:c>
      <x:c r="R2" s="11" t="n">
        <x:f>H2</x:f>
        <x:v>0</x:v>
      </x:c>
      <x:c r="S2" s="11" t="n">
        <x:f>H3</x:f>
        <x:v>0.675</x:v>
      </x:c>
      <x:c r="T2" s="11" t="n">
        <x:f>H4</x:f>
        <x:v>0.20833333333333334</x:v>
      </x:c>
      <x:c r="U2" s="11" t="n">
        <x:f>H5</x:f>
        <x:v>0.725</x:v>
      </x:c>
      <x:c r="V2" s="11" t="n">
        <x:f>H6</x:f>
        <x:v>0.6833333333333333</x:v>
      </x:c>
    </x:row>
    <x:row r="3" ht="15">
      <x:c r="A3" s="6" t="s">
        <x:v>40</x:v>
      </x:c>
      <x:c r="B3" s="6" t="s">
        <x:v>3275</x:v>
      </x:c>
      <x:c r="C3" s="6" t="str">
        <x:v>GR00T Frozen LLM</x:v>
      </x:c>
      <x:c r="D3" s="6" t="str">
        <x:v>GR00T Frozen LLM</x:v>
      </x:c>
      <x:c r="E3" s="7" t="n">
        <x:f>COUNTIFS('GR00T Vision'!$A$2:$A$901,"Success",'GR00T Vision'!$H$2:$H$901,$O$2)</x:f>
        <x:v>81</x:v>
      </x:c>
      <x:c r="F3" s="7" t="n">
        <x:f>COUNTIFS('GR00T Vision'!$A$2:$A$901,"Failure",'GR00T Vision'!$H$2:$H$901,$O$2)</x:f>
        <x:v>39</x:v>
      </x:c>
      <x:c r="G3" s="7">
        <x:f t="shared" si="0"/>
        <x:v>120</x:v>
      </x:c>
      <x:c r="H3" s="8">
        <x:f t="shared" si="1"/>
        <x:v>0.67500000000000004</x:v>
      </x:c>
      <x:c r="I3" s="8">
        <x:f t="shared" si="2"/>
        <x:v>0.66957145256521244</x:v>
      </x:c>
      <x:c r="J3" s="8">
        <x:f t="shared" si="3"/>
        <x:v>8.2671283346433394E-2</x:v>
      </x:c>
      <x:c r="K3" s="8">
        <x:f t="shared" si="4"/>
        <x:v>0.58690016921877908</x:v>
      </x:c>
      <x:c r="L3" s="8">
        <x:f t="shared" si="5"/>
        <x:v>0.75224273591164581</x:v>
      </x:c>
      <x:c r="M3" s="6" t="str">
        <x:f t="shared" si="6"/>
        <x:v>58.7% – 75.2%</x:v>
      </x:c>
      <x:c r="N3" s="6" t="s">
        <x:v>3277</x:v>
      </x:c>
      <x:c r="O3" s="6" t="s">
        <x:v>618</x:v>
      </x:c>
    </x:row>
    <x:row r="4" ht="15">
      <x:c r="A4" s="6" t="s">
        <x:v>40</x:v>
      </x:c>
      <x:c r="B4" s="6" t="s">
        <x:v>3275</x:v>
      </x:c>
      <x:c r="C4" s="6" t="str">
        <x:v>GR00T Full Fine-Tune</x:v>
      </x:c>
      <x:c r="D4" s="6" t="s">
        <x:v>34</x:v>
      </x:c>
      <x:c r="E4" s="7" t="n">
        <x:f>COUNTIFS('GR00T Full'!$A$2:$A$121,"Success",'GR00T Full'!$H$2:$H$121,$O$2)</x:f>
        <x:v>25</x:v>
      </x:c>
      <x:c r="F4" s="7" t="n">
        <x:f>COUNTIFS('GR00T Full'!$A$2:$A$121,"Failure",'GR00T Full'!$H$2:$H$121,$O$2)</x:f>
        <x:v>95</x:v>
      </x:c>
      <x:c r="G4" s="7" t="n">
        <x:f t="shared" si="0">E4+F4</x:f>
        <x:v>120</x:v>
      </x:c>
      <x:c r="H4" s="8" t="n">
        <x:f t="shared" si="1">IF(G4=0,0,E4/G4)</x:f>
        <x:v>0.20833333333333334</x:v>
      </x:c>
      <x:c r="I4" s="8" t="n">
        <x:f t="shared" si="2">IF(G4=0,0,(H4+$O$4^2/(2*G4))/(1+$O$4^2/G4))</x:f>
        <x:v>0.2173809123913128</x:v>
      </x:c>
      <x:c r="J4" s="8" t="n">
        <x:f t="shared" si="3">IF(G4=0,0,$O$4*SQRT((H4*(1-H4)+$O$4^2/(4*G4))/G4)/(1+$O$4^2/G4))</x:f>
        <x:v>0.07209749805332195</x:v>
      </x:c>
      <x:c r="K4" s="8" t="n">
        <x:f t="shared" si="4">MAX(0,I4-J4)</x:f>
        <x:v>0.14528341433799086</x:v>
      </x:c>
      <x:c r="L4" s="8" t="n">
        <x:f t="shared" si="5">MIN(1,I4+J4)</x:f>
        <x:v>0.28947841044463474</x:v>
      </x:c>
      <x:c r="M4" s="6" t="str">
        <x:f t="shared" si="6">TEXT(K4,"0.0%")&amp;" – "&amp;TEXT(L4,"0.0%")</x:f>
        <x:v>14.5% – 28.9%</x:v>
      </x:c>
      <x:c r="N4" s="6" t="s">
        <x:v>3278</x:v>
      </x:c>
      <x:c r="O4" s="6">
        <x:v>1.96</x:v>
      </x:c>
    </x:row>
    <x:row r="5" ht="15">
      <x:c r="A5" s="6" t="s">
        <x:v>40</x:v>
      </x:c>
      <x:c r="B5" s="6" t="s">
        <x:v>3275</x:v>
      </x:c>
      <x:c r="C5" s="6" t="s">
        <x:v>3</x:v>
      </x:c>
      <x:c r="D5" s="6" t="s">
        <x:v>3</x:v>
      </x:c>
      <x:c r="E5" s="7" t="n">
        <x:f>COUNTIFS(MolmoAct2!$A$2:$A$901,"Success",MolmoAct2!$H$2:$H$901,$O$2)</x:f>
        <x:v>87</x:v>
      </x:c>
      <x:c r="F5" s="7" t="n">
        <x:f>COUNTIFS(MolmoAct2!$A$2:$A$901,"Failure",MolmoAct2!$H$2:$H$901,$O$2)</x:f>
        <x:v>33</x:v>
      </x:c>
      <x:c r="G5" s="7">
        <x:f t="shared" si="0"/>
        <x:v>120</x:v>
      </x:c>
      <x:c r="H5" s="8">
        <x:f t="shared" si="1"/>
        <x:v>0.72499999999999998</x:v>
      </x:c>
      <x:c r="I5" s="8">
        <x:f t="shared" si="2"/>
        <x:v>0.71802043901241586</x:v>
      </x:c>
      <x:c r="J5" s="8">
        <x:f t="shared" si="3"/>
        <x:v>7.8951762572822617E-2</x:v>
      </x:c>
      <x:c r="K5" s="8">
        <x:f t="shared" si="4"/>
        <x:v>0.6390686764395932</x:v>
      </x:c>
      <x:c r="L5" s="8">
        <x:f t="shared" si="5"/>
        <x:v>0.79697220158523852</x:v>
      </x:c>
      <x:c r="M5" s="6" t="str">
        <x:f t="shared" si="6"/>
        <x:v>63.9% – 79.7%</x:v>
      </x:c>
      <x:c r="N5" s="6"/>
      <x:c r="O5" s="6"/>
      <x:c r="Q5" s="10" t="s">
        <x:v>12</x:v>
      </x:c>
      <x:c r="R5" s="10" t="str">
        <x:v>GR00T Frozen LLM</x:v>
      </x:c>
      <x:c r="S5" s="10" t="s">
        <x:v>3</x:v>
      </x:c>
      <x:c r="T5" s="10" t="s">
        <x:v>4</x:v>
      </x:c>
    </x:row>
    <x:row r="6" ht="15">
      <x:c r="A6" s="6" t="s">
        <x:v>40</x:v>
      </x:c>
      <x:c r="B6" s="6" t="s">
        <x:v>3275</x:v>
      </x:c>
      <x:c r="C6" s="6" t="s">
        <x:v>4</x:v>
      </x:c>
      <x:c r="D6" s="6" t="s">
        <x:v>4</x:v>
      </x:c>
      <x:c r="E6" s="7" t="n">
        <x:f>COUNTIFS('Pi0.5'!$A$2:$A$901,"Success",'Pi0.5'!$H$2:$H$901,$O$2)</x:f>
        <x:v>82</x:v>
      </x:c>
      <x:c r="F6" s="7" t="n">
        <x:f>COUNTIFS('Pi0.5'!$A$2:$A$901,"Failure",'Pi0.5'!$H$2:$H$901,$O$2)</x:f>
        <x:v>38</x:v>
      </x:c>
      <x:c r="G6" s="7">
        <x:f t="shared" si="0"/>
        <x:v>120</x:v>
      </x:c>
      <x:c r="H6" s="8">
        <x:f t="shared" si="1"/>
        <x:v>0.68333333333333335</x:v>
      </x:c>
      <x:c r="I6" s="8">
        <x:f t="shared" si="2"/>
        <x:v>0.67764628363974633</x:v>
      </x:c>
      <x:c r="J6" s="8">
        <x:f t="shared" si="3"/>
        <x:v>8.2126637098094285E-2</x:v>
      </x:c>
      <x:c r="K6" s="8">
        <x:f t="shared" si="4"/>
        <x:v>0.59551964654165201</x:v>
      </x:c>
      <x:c r="L6" s="8">
        <x:f t="shared" si="5"/>
        <x:v>0.75977292073784064</x:v>
      </x:c>
      <x:c r="M6" s="6" t="str">
        <x:f t="shared" si="6"/>
        <x:v>59.6% – 76.0%</x:v>
      </x:c>
      <x:c r="N6" s="6"/>
      <x:c r="O6" s="6"/>
      <x:c r="Q6" s="9" t="s">
        <x:v>3275</x:v>
      </x:c>
      <x:c r="R6" s="11" t="n">
        <x:f>H7</x:f>
        <x:v>0.44333333333333336</x:v>
      </x:c>
      <x:c r="S6" s="11" t="n">
        <x:f>H8</x:f>
        <x:v>0.52</x:v>
      </x:c>
      <x:c r="T6" s="11" t="n">
        <x:f>H9</x:f>
        <x:v>0.4066666666666667</x:v>
      </x:c>
    </x:row>
    <x:row r="7" ht="15">
      <x:c r="A7" s="6" t="s">
        <x:v>42</x:v>
      </x:c>
      <x:c r="B7" s="6" t="s">
        <x:v>3275</x:v>
      </x:c>
      <x:c r="C7" s="6" t="str">
        <x:v>GR00T Frozen LLM</x:v>
      </x:c>
      <x:c r="D7" s="6" t="str">
        <x:v>GR00T Frozen LLM</x:v>
      </x:c>
      <x:c r="E7" s="7" t="n">
        <x:f>COUNTIFS('GR00T Vision'!$A$2:$A$901,"Success",'GR00T Vision'!$H$2:$H$901,$O$3)</x:f>
        <x:v>133</x:v>
      </x:c>
      <x:c r="F7" s="7" t="n">
        <x:f>COUNTIFS('GR00T Vision'!$A$2:$A$901,"Failure",'GR00T Vision'!$H$2:$H$901,$O$3)</x:f>
        <x:v>167</x:v>
      </x:c>
      <x:c r="G7" s="7">
        <x:f t="shared" si="0"/>
        <x:v>300</x:v>
      </x:c>
      <x:c r="H7" s="8">
        <x:f t="shared" si="1"/>
        <x:v>0.44333333333333336</x:v>
      </x:c>
      <x:c r="I7" s="8">
        <x:f t="shared" si="2"/>
        <x:v>0.44404979436653835</x:v>
      </x:c>
      <x:c r="J7" s="8">
        <x:f t="shared" si="3"/>
        <x:v>5.5863864503789322E-2</x:v>
      </x:c>
      <x:c r="K7" s="8">
        <x:f t="shared" si="4"/>
        <x:v>0.38818592986274902</x:v>
      </x:c>
      <x:c r="L7" s="8">
        <x:f t="shared" si="5"/>
        <x:v>0.49991365887032768</x:v>
      </x:c>
      <x:c r="M7" s="6" t="str">
        <x:f t="shared" si="6"/>
        <x:v>38.8% – 50.0%</x:v>
      </x:c>
      <x:c r="N7" s="6"/>
      <x:c r="O7" s="6"/>
    </x:row>
    <x:row r="8" ht="15">
      <x:c r="A8" s="6" t="s">
        <x:v>42</x:v>
      </x:c>
      <x:c r="B8" s="6" t="s">
        <x:v>3275</x:v>
      </x:c>
      <x:c r="C8" s="6" t="s">
        <x:v>3</x:v>
      </x:c>
      <x:c r="D8" s="6" t="s">
        <x:v>3</x:v>
      </x:c>
      <x:c r="E8" s="7" t="n">
        <x:f>COUNTIFS(MolmoAct2!$A$2:$A$901,"Success",MolmoAct2!$H$2:$H$901,$O$3)</x:f>
        <x:v>156</x:v>
      </x:c>
      <x:c r="F8" s="7" t="n">
        <x:f>COUNTIFS(MolmoAct2!$A$2:$A$901,"Failure",MolmoAct2!$H$2:$H$901,$O$3)</x:f>
        <x:v>144</x:v>
      </x:c>
      <x:c r="G8" s="7">
        <x:f t="shared" si="0"/>
        <x:v>300</x:v>
      </x:c>
      <x:c r="H8" s="8">
        <x:f t="shared" si="1"/>
        <x:v>0.52</x:v>
      </x:c>
      <x:c r="I8" s="8">
        <x:f t="shared" si="2"/>
        <x:v>0.51974713140004536</x:v>
      </x:c>
      <x:c r="J8" s="8">
        <x:f t="shared" si="3"/>
        <x:v>5.6177077798365983E-2</x:v>
      </x:c>
      <x:c r="K8" s="8">
        <x:f t="shared" si="4"/>
        <x:v>0.46357005360167935</x:v>
      </x:c>
      <x:c r="L8" s="8">
        <x:f t="shared" si="5"/>
        <x:v>0.57592420919841136</x:v>
      </x:c>
      <x:c r="M8" s="6" t="str">
        <x:f t="shared" si="6"/>
        <x:v>46.4% – 57.6%</x:v>
      </x:c>
      <x:c r="N8" s="6"/>
      <x:c r="O8" s="6"/>
    </x:row>
    <x:row r="9" ht="15">
      <x:c r="A9" s="6" t="s">
        <x:v>42</x:v>
      </x:c>
      <x:c r="B9" s="6" t="s">
        <x:v>3275</x:v>
      </x:c>
      <x:c r="C9" s="6" t="s">
        <x:v>4</x:v>
      </x:c>
      <x:c r="D9" s="6" t="s">
        <x:v>4</x:v>
      </x:c>
      <x:c r="E9" s="7" t="n">
        <x:f>COUNTIFS('Pi0.5'!$A$2:$A$901,"Success",'Pi0.5'!$H$2:$H$901,$O$3)</x:f>
        <x:v>122</x:v>
      </x:c>
      <x:c r="F9" s="7" t="n">
        <x:f>COUNTIFS('Pi0.5'!$A$2:$A$901,"Failure",'Pi0.5'!$H$2:$H$901,$O$3)</x:f>
        <x:v>178</x:v>
      </x:c>
      <x:c r="G9" s="7">
        <x:f t="shared" si="0"/>
        <x:v>300</x:v>
      </x:c>
      <x:c r="H9" s="8">
        <x:f t="shared" si="1"/>
        <x:v>0.40666666666666668</x:v>
      </x:c>
      <x:c r="I9" s="8">
        <x:f t="shared" si="2"/>
        <x:v>0.40784672013312201</x:v>
      </x:c>
      <x:c r="J9" s="8">
        <x:f t="shared" si="3"/>
        <x:v>5.5245920230201417E-2</x:v>
      </x:c>
      <x:c r="K9" s="8">
        <x:f t="shared" si="4"/>
        <x:v>0.35260079990292059</x:v>
      </x:c>
      <x:c r="L9" s="8">
        <x:f t="shared" si="5"/>
        <x:v>0.46309264036332343</x:v>
      </x:c>
      <x:c r="M9" s="6" t="str">
        <x:f t="shared" si="6"/>
        <x:v>35.3% – 46.3%</x:v>
      </x:c>
      <x:c r="N9" s="6"/>
      <x:c r="O9" s="6"/>
      <x:c r="Q9" s="10" t="s">
        <x:v>12</x:v>
      </x:c>
      <x:c r="R9" s="10" t="s">
        <x:v>2</x:v>
      </x:c>
      <x:c r="S9" s="10" t="str">
        <x:v>GR00T Frozen LLM</x:v>
      </x:c>
      <x:c r="T9" s="10" t="str">
        <x:v>GR00T Full Fine-Tune</x:v>
      </x:c>
      <x:c r="U9" s="10" t="s">
        <x:v>3</x:v>
      </x:c>
      <x:c r="V9" s="10" t="s">
        <x:v>4</x:v>
      </x:c>
    </x:row>
    <x:row r="10" ht="15">
      <x:c r="A10" s="6" t="s">
        <x:v>40</x:v>
      </x:c>
      <x:c r="B10" s="6" t="s">
        <x:v>13</x:v>
      </x:c>
      <x:c r="C10" s="6" t="s">
        <x:v>2</x:v>
      </x:c>
      <x:c r="D10" s="6" t="s">
        <x:v>2</x:v>
      </x:c>
      <x:c r="E10" s="7" t="n">
        <x:f>COUNTIFS('VLA-0'!$A$2:$A$73,"Success",'VLA-0'!$H$2:$H$73,$O$2,'VLA-0'!$B$2:$B$73,$B10)</x:f>
        <x:v>0</x:v>
      </x:c>
      <x:c r="F10" s="7" t="n">
        <x:f>COUNTIFS('VLA-0'!$A$2:$A$73,"Failure",'VLA-0'!$H$2:$H$73,$O$2,'VLA-0'!$B$2:$B$73,$B10)</x:f>
        <x:v>10</x:v>
      </x:c>
      <x:c r="G10" s="7">
        <x:f t="shared" si="0"/>
        <x:v>10</x:v>
      </x:c>
      <x:c r="H10" s="8">
        <x:f t="shared" si="1"/>
        <x:v>0</x:v>
      </x:c>
      <x:c r="I10" s="8">
        <x:f t="shared" si="2"/>
        <x:v>0.13877008438330826</x:v>
      </x:c>
      <x:c r="J10" s="8">
        <x:f t="shared" si="3"/>
        <x:v>0.13877008438330829</x:v>
      </x:c>
      <x:c r="K10" s="8">
        <x:f t="shared" si="4"/>
        <x:v>0</x:v>
      </x:c>
      <x:c r="L10" s="8">
        <x:f t="shared" si="5"/>
        <x:v>0.27754016876661658</x:v>
      </x:c>
      <x:c r="M10" s="6" t="str">
        <x:f t="shared" si="6"/>
        <x:v>0.0% – 27.8%</x:v>
      </x:c>
      <x:c r="N10" s="6"/>
      <x:c r="O10" s="6"/>
      <x:c r="Q10" s="9" t="s">
        <x:v>3279</x:v>
      </x:c>
      <x:c r="R10" s="11" t="n">
        <x:f>H10</x:f>
        <x:v>0</x:v>
      </x:c>
      <x:c r="S10" s="11" t="n">
        <x:f>H11</x:f>
        <x:v>0.85</x:v>
      </x:c>
      <x:c r="T10" s="11" t="n">
        <x:f>H12</x:f>
        <x:v>0.2</x:v>
      </x:c>
      <x:c r="U10" s="11" t="n">
        <x:f>H13</x:f>
        <x:v>0.9</x:v>
      </x:c>
      <x:c r="V10" s="11" t="n">
        <x:f>H14</x:f>
        <x:v>0.8</x:v>
      </x:c>
    </x:row>
    <x:row r="11" ht="15">
      <x:c r="A11" s="6" t="s">
        <x:v>40</x:v>
      </x:c>
      <x:c r="B11" s="6" t="s">
        <x:v>13</x:v>
      </x:c>
      <x:c r="C11" s="6" t="str">
        <x:v>GR00T Frozen LLM</x:v>
      </x:c>
      <x:c r="D11" s="6" t="str">
        <x:v>GR00T Frozen LLM</x:v>
      </x:c>
      <x:c r="E11" s="7" t="n">
        <x:f>COUNTIFS('GR00T Vision'!$A$2:$A$901,"Success",'GR00T Vision'!$H$2:$H$901,$O$2,'GR00T Vision'!$B$2:$B$901,$B11)</x:f>
        <x:v>17</x:v>
      </x:c>
      <x:c r="F11" s="7" t="n">
        <x:f>COUNTIFS('GR00T Vision'!$A$2:$A$901,"Failure",'GR00T Vision'!$H$2:$H$901,$O$2,'GR00T Vision'!$B$2:$B$901,$B11)</x:f>
        <x:v>3</x:v>
      </x:c>
      <x:c r="G11" s="7">
        <x:f t="shared" si="0"/>
        <x:v>20</x:v>
      </x:c>
      <x:c r="H11" s="8">
        <x:f t="shared" si="1"/>
        <x:v>0.85</x:v>
      </x:c>
      <x:c r="I11" s="8">
        <x:f t="shared" si="2"/>
        <x:v>0.79360445607677332</x:v>
      </x:c>
      <x:c r="J11" s="8">
        <x:f t="shared" si="3"/>
        <x:v>0.15402775196373078</x:v>
      </x:c>
      <x:c r="K11" s="8">
        <x:f t="shared" si="4"/>
        <x:v>0.63957670411304257</x:v>
      </x:c>
      <x:c r="L11" s="8">
        <x:f t="shared" si="5"/>
        <x:v>0.94763220804050408</x:v>
      </x:c>
      <x:c r="M11" s="6" t="str">
        <x:f t="shared" si="6"/>
        <x:v>64.0% – 94.8%</x:v>
      </x:c>
      <x:c r="N11" s="6"/>
      <x:c r="O11" s="6"/>
      <x:c r="Q11" s="9" t="s">
        <x:v>14</x:v>
      </x:c>
      <x:c r="R11" s="11" t="n">
        <x:f>H15</x:f>
        <x:v>0</x:v>
      </x:c>
      <x:c r="S11" s="11" t="n">
        <x:f>H16</x:f>
        <x:v>0.6</x:v>
      </x:c>
      <x:c r="T11" s="11" t="n">
        <x:f>H17</x:f>
        <x:v>0.35</x:v>
      </x:c>
      <x:c r="U11" s="11" t="n">
        <x:f>H18</x:f>
        <x:v>0.6</x:v>
      </x:c>
      <x:c r="V11" s="11" t="n">
        <x:f>H19</x:f>
        <x:v>0.55</x:v>
      </x:c>
    </x:row>
    <x:row r="12" ht="15">
      <x:c r="A12" s="6" t="s">
        <x:v>40</x:v>
      </x:c>
      <x:c r="B12" s="6" t="s">
        <x:v>13</x:v>
      </x:c>
      <x:c r="C12" s="6" t="str">
        <x:v>GR00T Full Fine-Tune</x:v>
      </x:c>
      <x:c r="D12" s="6" t="s">
        <x:v>34</x:v>
      </x:c>
      <x:c r="E12" s="7" t="n">
        <x:f>COUNTIFS('GR00T Full'!$A$2:$A$121,"Success",'GR00T Full'!$H$2:$H$121,$O$2,'GR00T Full'!$B$2:$B$121,$B12)</x:f>
        <x:v>4</x:v>
      </x:c>
      <x:c r="F12" s="7" t="n">
        <x:f>COUNTIFS('GR00T Full'!$A$2:$A$121,"Failure",'GR00T Full'!$H$2:$H$121,$O$2,'GR00T Full'!$B$2:$B$121,$B12)</x:f>
        <x:v>16</x:v>
      </x:c>
      <x:c r="G12" s="7" t="n">
        <x:f t="shared" si="0">E12+F12</x:f>
        <x:v>20</x:v>
      </x:c>
      <x:c r="H12" s="8" t="n">
        <x:f t="shared" si="1">IF(G12=0,0,E12/G12)</x:f>
        <x:v>0.2</x:v>
      </x:c>
      <x:c r="I12" s="8" t="n">
        <x:f t="shared" si="2">IF(G12=0,0,(H12+$O$4^2/(2*G12))/(1+$O$4^2/G12))</x:f>
        <x:v>0.24833903764847995</x:v>
      </x:c>
      <x:c r="J12" s="8" t="n">
        <x:f t="shared" si="3">IF(G12=0,0,$O$4*SQRT((H12*(1-H12)+$O$4^2/(4*G12))/G12)/(1+$O$4^2/G12))</x:f>
        <x:v>0.16768268437727996</x:v>
      </x:c>
      <x:c r="K12" s="8" t="n">
        <x:f t="shared" si="4">MAX(0,I12-J12)</x:f>
        <x:v>0.0806563532712</x:v>
      </x:c>
      <x:c r="L12" s="8" t="n">
        <x:f t="shared" si="5">MIN(1,I12+J12)</x:f>
        <x:v>0.41602172202575993</x:v>
      </x:c>
      <x:c r="M12" s="6" t="str">
        <x:f t="shared" si="6">TEXT(K12,"0.0%")&amp;" – "&amp;TEXT(L12,"0.0%")</x:f>
        <x:v>8.1% – 41.6%</x:v>
      </x:c>
      <x:c r="N12" s="6"/>
      <x:c r="O12" s="6"/>
      <x:c r="Q12" s="9" t="s">
        <x:v>3280</x:v>
      </x:c>
      <x:c r="R12" s="11" t="n">
        <x:f>H20</x:f>
        <x:v>0</x:v>
      </x:c>
      <x:c r="S12" s="11" t="n">
        <x:f>H21</x:f>
        <x:v>0.45</x:v>
      </x:c>
      <x:c r="T12" s="11" t="n">
        <x:f>H22</x:f>
        <x:v>0.15</x:v>
      </x:c>
      <x:c r="U12" s="11" t="n">
        <x:f>H23</x:f>
        <x:v>0.5</x:v>
      </x:c>
      <x:c r="V12" s="11" t="n">
        <x:f>H24</x:f>
        <x:v>0.35</x:v>
      </x:c>
    </x:row>
    <x:row r="13" ht="15">
      <x:c r="A13" s="6" t="s">
        <x:v>40</x:v>
      </x:c>
      <x:c r="B13" s="6" t="s">
        <x:v>13</x:v>
      </x:c>
      <x:c r="C13" s="6" t="s">
        <x:v>3</x:v>
      </x:c>
      <x:c r="D13" s="6" t="s">
        <x:v>3</x:v>
      </x:c>
      <x:c r="E13" s="7" t="n">
        <x:f>COUNTIFS(MolmoAct2!$A$2:$A$901,"Success",MolmoAct2!$H$2:$H$901,$O$2,MolmoAct2!$B$2:$B$901,$B13)</x:f>
        <x:v>18</x:v>
      </x:c>
      <x:c r="F13" s="7" t="n">
        <x:f>COUNTIFS(MolmoAct2!$A$2:$A$901,"Failure",MolmoAct2!$H$2:$H$901,$O$2,MolmoAct2!$B$2:$B$901,$B13)</x:f>
        <x:v>2</x:v>
      </x:c>
      <x:c r="G13" s="7">
        <x:f t="shared" si="0"/>
        <x:v>20</x:v>
      </x:c>
      <x:c r="H13" s="8">
        <x:f t="shared" si="1"/>
        <x:v>0.9</x:v>
      </x:c>
      <x:c r="I13" s="8">
        <x:f t="shared" si="2"/>
        <x:v>0.83554794980202673</x:v>
      </x:c>
      <x:c r="J13" s="8">
        <x:f t="shared" si="3"/>
        <x:v>0.13658615621382006</x:v>
      </x:c>
      <x:c r="K13" s="8">
        <x:f t="shared" si="4"/>
        <x:v>0.69896179358820665</x:v>
      </x:c>
      <x:c r="L13" s="8">
        <x:f t="shared" si="5"/>
        <x:v>0.97213410601584682</x:v>
      </x:c>
      <x:c r="M13" s="6" t="str">
        <x:f t="shared" si="6"/>
        <x:v>69.9% – 97.2%</x:v>
      </x:c>
      <x:c r="N13" s="6"/>
      <x:c r="O13" s="6"/>
      <x:c r="Q13" s="9" t="s">
        <x:v>3281</x:v>
      </x:c>
      <x:c r="R13" s="11" t="n">
        <x:f>H25</x:f>
        <x:v>0</x:v>
      </x:c>
      <x:c r="S13" s="11" t="n">
        <x:f>H26</x:f>
        <x:v>0.7</x:v>
      </x:c>
      <x:c r="T13" s="11" t="n">
        <x:f>H27</x:f>
        <x:v>0</x:v>
      </x:c>
      <x:c r="U13" s="11" t="n">
        <x:f>H28</x:f>
        <x:v>0.8</x:v>
      </x:c>
      <x:c r="V13" s="11" t="n">
        <x:f>H29</x:f>
        <x:v>0.65</x:v>
      </x:c>
    </x:row>
    <x:row r="14" ht="15">
      <x:c r="A14" s="6" t="s">
        <x:v>40</x:v>
      </x:c>
      <x:c r="B14" s="6" t="s">
        <x:v>13</x:v>
      </x:c>
      <x:c r="C14" s="6" t="s">
        <x:v>4</x:v>
      </x:c>
      <x:c r="D14" s="6" t="s">
        <x:v>4</x:v>
      </x:c>
      <x:c r="E14" s="7" t="n">
        <x:f>COUNTIFS('Pi0.5'!$A$2:$A$901,"Success",'Pi0.5'!$H$2:$H$901,$O$2,'Pi0.5'!$B$2:$B$901,$B14)</x:f>
        <x:v>16</x:v>
      </x:c>
      <x:c r="F14" s="7" t="n">
        <x:f>COUNTIFS('Pi0.5'!$A$2:$A$901,"Failure",'Pi0.5'!$H$2:$H$901,$O$2,'Pi0.5'!$B$2:$B$901,$B14)</x:f>
        <x:v>4</x:v>
      </x:c>
      <x:c r="G14" s="7">
        <x:f t="shared" si="0"/>
        <x:v>20</x:v>
      </x:c>
      <x:c r="H14" s="8">
        <x:f t="shared" si="1"/>
        <x:v>0.8</x:v>
      </x:c>
      <x:c r="I14" s="8">
        <x:f t="shared" si="2"/>
        <x:v>0.75166096235152002</x:v>
      </x:c>
      <x:c r="J14" s="8">
        <x:f t="shared" si="3"/>
        <x:v>0.16768268437727993</x:v>
      </x:c>
      <x:c r="K14" s="8">
        <x:f t="shared" si="4"/>
        <x:v>0.58397827797424007</x:v>
      </x:c>
      <x:c r="L14" s="8">
        <x:f t="shared" si="5"/>
        <x:v>0.91934364672879998</x:v>
      </x:c>
      <x:c r="M14" s="6" t="str">
        <x:f t="shared" si="6"/>
        <x:v>58.4% – 91.9%</x:v>
      </x:c>
      <x:c r="N14" s="6"/>
      <x:c r="O14" s="6"/>
      <x:c r="Q14" s="9" t="s">
        <x:v>3282</x:v>
      </x:c>
      <x:c r="R14" s="11" t="n">
        <x:f>H30</x:f>
        <x:v>0</x:v>
      </x:c>
      <x:c r="S14" s="11" t="n">
        <x:f>H31</x:f>
        <x:v>0.6</x:v>
      </x:c>
      <x:c r="T14" s="11" t="n">
        <x:f>H32</x:f>
        <x:v>0.2</x:v>
      </x:c>
      <x:c r="U14" s="11" t="n">
        <x:f>H33</x:f>
        <x:v>0.75</x:v>
      </x:c>
      <x:c r="V14" s="11" t="n">
        <x:f>H34</x:f>
        <x:v>0.8</x:v>
      </x:c>
    </x:row>
    <x:row r="15" ht="15">
      <x:c r="A15" s="6" t="s">
        <x:v>40</x:v>
      </x:c>
      <x:c r="B15" s="6" t="s">
        <x:v>14</x:v>
      </x:c>
      <x:c r="C15" s="6" t="s">
        <x:v>2</x:v>
      </x:c>
      <x:c r="D15" s="6" t="s">
        <x:v>2</x:v>
      </x:c>
      <x:c r="E15" s="7" t="n">
        <x:f>COUNTIFS('VLA-0'!$A$2:$A$73,"Success",'VLA-0'!$H$2:$H$73,$O$2,'VLA-0'!$B$2:$B$73,$B15)</x:f>
        <x:v>0</x:v>
      </x:c>
      <x:c r="F15" s="7" t="n">
        <x:f>COUNTIFS('VLA-0'!$A$2:$A$73,"Failure",'VLA-0'!$H$2:$H$73,$O$2,'VLA-0'!$B$2:$B$73,$B15)</x:f>
        <x:v>10</x:v>
      </x:c>
      <x:c r="G15" s="7">
        <x:f t="shared" si="0"/>
        <x:v>10</x:v>
      </x:c>
      <x:c r="H15" s="8">
        <x:f t="shared" si="1"/>
        <x:v>0</x:v>
      </x:c>
      <x:c r="I15" s="8">
        <x:f t="shared" si="2"/>
        <x:v>0.13877008438330826</x:v>
      </x:c>
      <x:c r="J15" s="8">
        <x:f t="shared" si="3"/>
        <x:v>0.13877008438330829</x:v>
      </x:c>
      <x:c r="K15" s="8">
        <x:f t="shared" si="4"/>
        <x:v>0</x:v>
      </x:c>
      <x:c r="L15" s="8">
        <x:f t="shared" si="5"/>
        <x:v>0.27754016876661658</x:v>
      </x:c>
      <x:c r="M15" s="6" t="str">
        <x:f t="shared" si="6"/>
        <x:v>0.0% – 27.8%</x:v>
      </x:c>
      <x:c r="N15" s="6"/>
      <x:c r="O15" s="6"/>
      <x:c r="Q15" s="9" t="s">
        <x:v>3283</x:v>
      </x:c>
      <x:c r="R15" s="11" t="n">
        <x:f>H35</x:f>
        <x:v>0</x:v>
      </x:c>
      <x:c r="S15" s="11" t="n">
        <x:f>H36</x:f>
        <x:v>0.85</x:v>
      </x:c>
      <x:c r="T15" s="11" t="n">
        <x:f>H37</x:f>
        <x:v>0.35</x:v>
      </x:c>
      <x:c r="U15" s="11" t="n">
        <x:f>H38</x:f>
        <x:v>0.8</x:v>
      </x:c>
      <x:c r="V15" s="11" t="n">
        <x:f>H39</x:f>
        <x:v>0.95</x:v>
      </x:c>
    </x:row>
    <x:row r="16" ht="15">
      <x:c r="A16" s="6" t="s">
        <x:v>40</x:v>
      </x:c>
      <x:c r="B16" s="6" t="s">
        <x:v>14</x:v>
      </x:c>
      <x:c r="C16" s="6" t="str">
        <x:v>GR00T Frozen LLM</x:v>
      </x:c>
      <x:c r="D16" s="6" t="str">
        <x:v>GR00T Frozen LLM</x:v>
      </x:c>
      <x:c r="E16" s="7" t="n">
        <x:f>COUNTIFS('GR00T Vision'!$A$2:$A$901,"Success",'GR00T Vision'!$H$2:$H$901,$O$2,'GR00T Vision'!$B$2:$B$901,$B16)</x:f>
        <x:v>12</x:v>
      </x:c>
      <x:c r="F16" s="7" t="n">
        <x:f>COUNTIFS('GR00T Vision'!$A$2:$A$901,"Failure",'GR00T Vision'!$H$2:$H$901,$O$2,'GR00T Vision'!$B$2:$B$901,$B16)</x:f>
        <x:v>8</x:v>
      </x:c>
      <x:c r="G16" s="7">
        <x:f t="shared" si="0"/>
        <x:v>20</x:v>
      </x:c>
      <x:c r="H16" s="8">
        <x:f t="shared" si="1"/>
        <x:v>0.6</x:v>
      </x:c>
      <x:c r="I16" s="8">
        <x:f t="shared" si="2"/>
        <x:v>0.58388698745050671</x:v>
      </x:c>
      <x:c r="J16" s="8">
        <x:f t="shared" si="3"/>
        <x:v>0.19730904513530062</x:v>
      </x:c>
      <x:c r="K16" s="8">
        <x:f t="shared" si="4"/>
        <x:v>0.38657794231520609</x:v>
      </x:c>
      <x:c r="L16" s="8">
        <x:f t="shared" si="5"/>
        <x:v>0.78119603258580739</x:v>
      </x:c>
      <x:c r="M16" s="6" t="str">
        <x:f t="shared" si="6"/>
        <x:v>38.7% – 78.1%</x:v>
      </x:c>
      <x:c r="N16" s="6"/>
      <x:c r="O16" s="6"/>
    </x:row>
    <x:row r="17" ht="15">
      <x:c r="A17" s="6" t="s">
        <x:v>40</x:v>
      </x:c>
      <x:c r="B17" s="6" t="s">
        <x:v>14</x:v>
      </x:c>
      <x:c r="C17" s="6" t="str">
        <x:v>GR00T Full Fine-Tune</x:v>
      </x:c>
      <x:c r="D17" s="6" t="s">
        <x:v>34</x:v>
      </x:c>
      <x:c r="E17" s="7" t="n">
        <x:f>COUNTIFS('GR00T Full'!$A$2:$A$121,"Success",'GR00T Full'!$H$2:$H$121,$O$2,'GR00T Full'!$B$2:$B$121,$B17)</x:f>
        <x:v>7</x:v>
      </x:c>
      <x:c r="F17" s="7" t="n">
        <x:f>COUNTIFS('GR00T Full'!$A$2:$A$121,"Failure",'GR00T Full'!$H$2:$H$121,$O$2,'GR00T Full'!$B$2:$B$121,$B17)</x:f>
        <x:v>13</x:v>
      </x:c>
      <x:c r="G17" s="7" t="n">
        <x:f t="shared" si="0">E17+F17</x:f>
        <x:v>20</x:v>
      </x:c>
      <x:c r="H17" s="8" t="n">
        <x:f t="shared" si="1">IF(G17=0,0,E17/G17)</x:f>
        <x:v>0.35</x:v>
      </x:c>
      <x:c r="I17" s="8" t="n">
        <x:f t="shared" si="2">IF(G17=0,0,(H17+$O$4^2/(2*G17))/(1+$O$4^2/G17))</x:f>
        <x:v>0.37416951882424</x:v>
      </x:c>
      <x:c r="J17" s="8" t="n">
        <x:f t="shared" si="3">IF(G17=0,0,$O$4*SQRT((H17*(1-H17)+$O$4^2/(4*G17))/G17)/(1+$O$4^2/G17))</x:f>
        <x:v>0.19297997095629535</x:v>
      </x:c>
      <x:c r="K17" s="8" t="n">
        <x:f t="shared" si="4">MAX(0,I17-J17)</x:f>
        <x:v>0.18118954786794464</x:v>
      </x:c>
      <x:c r="L17" s="8" t="n">
        <x:f t="shared" si="5">MIN(1,I17+J17)</x:f>
        <x:v>0.5671494897805354</x:v>
      </x:c>
      <x:c r="M17" s="6" t="str">
        <x:f t="shared" si="6">TEXT(K17,"0.0%")&amp;" – "&amp;TEXT(L17,"0.0%")</x:f>
        <x:v>18.1% – 56.7%</x:v>
      </x:c>
      <x:c r="N17" s="6"/>
      <x:c r="O17" s="6"/>
    </x:row>
    <x:row r="18" ht="15">
      <x:c r="A18" s="6" t="s">
        <x:v>40</x:v>
      </x:c>
      <x:c r="B18" s="6" t="s">
        <x:v>14</x:v>
      </x:c>
      <x:c r="C18" s="6" t="s">
        <x:v>3</x:v>
      </x:c>
      <x:c r="D18" s="6" t="s">
        <x:v>3</x:v>
      </x:c>
      <x:c r="E18" s="7" t="n">
        <x:f>COUNTIFS(MolmoAct2!$A$2:$A$901,"Success",MolmoAct2!$H$2:$H$901,$O$2,MolmoAct2!$B$2:$B$901,$B18)</x:f>
        <x:v>12</x:v>
      </x:c>
      <x:c r="F18" s="7" t="n">
        <x:f>COUNTIFS(MolmoAct2!$A$2:$A$901,"Failure",MolmoAct2!$H$2:$H$901,$O$2,MolmoAct2!$B$2:$B$901,$B18)</x:f>
        <x:v>8</x:v>
      </x:c>
      <x:c r="G18" s="7">
        <x:f t="shared" si="0"/>
        <x:v>20</x:v>
      </x:c>
      <x:c r="H18" s="8">
        <x:f t="shared" si="1"/>
        <x:v>0.6</x:v>
      </x:c>
      <x:c r="I18" s="8">
        <x:f t="shared" si="2"/>
        <x:v>0.58388698745050671</x:v>
      </x:c>
      <x:c r="J18" s="8">
        <x:f t="shared" si="3"/>
        <x:v>0.19730904513530062</x:v>
      </x:c>
      <x:c r="K18" s="8">
        <x:f t="shared" si="4"/>
        <x:v>0.38657794231520609</x:v>
      </x:c>
      <x:c r="L18" s="8">
        <x:f t="shared" si="5"/>
        <x:v>0.78119603258580739</x:v>
      </x:c>
      <x:c r="M18" s="6" t="str">
        <x:f t="shared" si="6"/>
        <x:v>38.7% – 78.1%</x:v>
      </x:c>
      <x:c r="N18" s="6"/>
      <x:c r="O18" s="6"/>
      <x:c r="Q18" s="10" t="s">
        <x:v>12</x:v>
      </x:c>
      <x:c r="R18" s="10" t="str">
        <x:v>GR00T Frozen LLM</x:v>
      </x:c>
      <x:c r="S18" s="10" t="s">
        <x:v>3</x:v>
      </x:c>
      <x:c r="T18" s="10" t="s">
        <x:v>4</x:v>
      </x:c>
    </x:row>
    <x:row r="19" ht="15">
      <x:c r="A19" s="6" t="s">
        <x:v>40</x:v>
      </x:c>
      <x:c r="B19" s="6" t="s">
        <x:v>14</x:v>
      </x:c>
      <x:c r="C19" s="6" t="s">
        <x:v>4</x:v>
      </x:c>
      <x:c r="D19" s="6" t="s">
        <x:v>4</x:v>
      </x:c>
      <x:c r="E19" s="7" t="n">
        <x:f>COUNTIFS('Pi0.5'!$A$2:$A$901,"Success",'Pi0.5'!$H$2:$H$901,$O$2,'Pi0.5'!$B$2:$B$901,$B19)</x:f>
        <x:v>11</x:v>
      </x:c>
      <x:c r="F19" s="7" t="n">
        <x:f>COUNTIFS('Pi0.5'!$A$2:$A$901,"Failure",'Pi0.5'!$H$2:$H$901,$O$2,'Pi0.5'!$B$2:$B$901,$B19)</x:f>
        <x:v>9</x:v>
      </x:c>
      <x:c r="G19" s="7">
        <x:f t="shared" si="0"/>
        <x:v>20</x:v>
      </x:c>
      <x:c r="H19" s="8">
        <x:f t="shared" si="1"/>
        <x:v>0.55000000000000004</x:v>
      </x:c>
      <x:c r="I19" s="8">
        <x:f t="shared" si="2"/>
        <x:v>0.54194349372525341</x:v>
      </x:c>
      <x:c r="J19" s="8">
        <x:f t="shared" si="3"/>
        <x:v>0.19986148541765369</x:v>
      </x:c>
      <x:c r="K19" s="8">
        <x:f t="shared" si="4"/>
        <x:v>0.34208200830759972</x:v>
      </x:c>
      <x:c r="L19" s="8">
        <x:f t="shared" si="5"/>
        <x:v>0.74180497914290711</x:v>
      </x:c>
      <x:c r="M19" s="6" t="str">
        <x:f t="shared" si="6"/>
        <x:v>34.2% – 74.2%</x:v>
      </x:c>
      <x:c r="N19" s="6"/>
      <x:c r="O19" s="6"/>
      <x:c r="Q19" s="9" t="s">
        <x:v>3279</x:v>
      </x:c>
      <x:c r="R19" s="11" t="n">
        <x:f>H40</x:f>
        <x:v>0.34</x:v>
      </x:c>
      <x:c r="S19" s="11" t="n">
        <x:f>H41</x:f>
        <x:v>0.76</x:v>
      </x:c>
      <x:c r="T19" s="11" t="n">
        <x:f>H42</x:f>
        <x:v>0.36</x:v>
      </x:c>
    </x:row>
    <x:row r="20" ht="15">
      <x:c r="A20" s="6" t="s">
        <x:v>40</x:v>
      </x:c>
      <x:c r="B20" s="6" t="s">
        <x:v>15</x:v>
      </x:c>
      <x:c r="C20" s="6" t="s">
        <x:v>2</x:v>
      </x:c>
      <x:c r="D20" s="6" t="s">
        <x:v>2</x:v>
      </x:c>
      <x:c r="E20" s="7" t="n">
        <x:f>COUNTIFS('VLA-0'!$A$2:$A$73,"Success",'VLA-0'!$H$2:$H$73,$O$2,'VLA-0'!$B$2:$B$73,$B20)</x:f>
        <x:v>0</x:v>
      </x:c>
      <x:c r="F20" s="7" t="n">
        <x:f>COUNTIFS('VLA-0'!$A$2:$A$73,"Failure",'VLA-0'!$H$2:$H$73,$O$2,'VLA-0'!$B$2:$B$73,$B20)</x:f>
        <x:v>10</x:v>
      </x:c>
      <x:c r="G20" s="7">
        <x:f t="shared" si="0"/>
        <x:v>10</x:v>
      </x:c>
      <x:c r="H20" s="8">
        <x:f t="shared" si="1"/>
        <x:v>0</x:v>
      </x:c>
      <x:c r="I20" s="8">
        <x:f t="shared" si="2"/>
        <x:v>0.13877008438330826</x:v>
      </x:c>
      <x:c r="J20" s="8">
        <x:f t="shared" si="3"/>
        <x:v>0.13877008438330829</x:v>
      </x:c>
      <x:c r="K20" s="8">
        <x:f t="shared" si="4"/>
        <x:v>0</x:v>
      </x:c>
      <x:c r="L20" s="8">
        <x:f t="shared" si="5"/>
        <x:v>0.27754016876661658</x:v>
      </x:c>
      <x:c r="M20" s="6" t="str">
        <x:f t="shared" si="6"/>
        <x:v>0.0% – 27.8%</x:v>
      </x:c>
      <x:c r="N20" s="6"/>
      <x:c r="O20" s="6"/>
      <x:c r="Q20" s="9" t="s">
        <x:v>14</x:v>
      </x:c>
      <x:c r="R20" s="11" t="n">
        <x:f>H43</x:f>
        <x:v>0</x:v>
      </x:c>
      <x:c r="S20" s="11" t="n">
        <x:f>H44</x:f>
        <x:v>0</x:v>
      </x:c>
      <x:c r="T20" s="11" t="n">
        <x:f>H45</x:f>
        <x:v>0</x:v>
      </x:c>
    </x:row>
    <x:row r="21" ht="15">
      <x:c r="A21" s="6" t="s">
        <x:v>40</x:v>
      </x:c>
      <x:c r="B21" s="6" t="s">
        <x:v>15</x:v>
      </x:c>
      <x:c r="C21" s="6" t="str">
        <x:v>GR00T Frozen LLM</x:v>
      </x:c>
      <x:c r="D21" s="6" t="str">
        <x:v>GR00T Frozen LLM</x:v>
      </x:c>
      <x:c r="E21" s="7" t="n">
        <x:f>COUNTIFS('GR00T Vision'!$A$2:$A$901,"Success",'GR00T Vision'!$H$2:$H$901,$O$2,'GR00T Vision'!$B$2:$B$901,$B21)</x:f>
        <x:v>9</x:v>
      </x:c>
      <x:c r="F21" s="7" t="n">
        <x:f>COUNTIFS('GR00T Vision'!$A$2:$A$901,"Failure",'GR00T Vision'!$H$2:$H$901,$O$2,'GR00T Vision'!$B$2:$B$901,$B21)</x:f>
        <x:v>11</x:v>
      </x:c>
      <x:c r="G21" s="7">
        <x:f t="shared" si="0"/>
        <x:v>20</x:v>
      </x:c>
      <x:c r="H21" s="8">
        <x:f t="shared" si="1"/>
        <x:v>0.45</x:v>
      </x:c>
      <x:c r="I21" s="8">
        <x:f t="shared" si="2"/>
        <x:v>0.45805650627474664</x:v>
      </x:c>
      <x:c r="J21" s="8">
        <x:f t="shared" si="3"/>
        <x:v>0.19986148541765369</x:v>
      </x:c>
      <x:c r="K21" s="8">
        <x:f t="shared" si="4"/>
        <x:v>0.25819502085709295</x:v>
      </x:c>
      <x:c r="L21" s="8">
        <x:f t="shared" si="5"/>
        <x:v>0.65791799169240028</x:v>
      </x:c>
      <x:c r="M21" s="6" t="str">
        <x:f t="shared" si="6"/>
        <x:v>25.8% – 65.8%</x:v>
      </x:c>
      <x:c r="N21" s="6"/>
      <x:c r="O21" s="6"/>
      <x:c r="Q21" s="9" t="s">
        <x:v>3280</x:v>
      </x:c>
      <x:c r="R21" s="11" t="n">
        <x:f>H46</x:f>
        <x:v>0.42</x:v>
      </x:c>
      <x:c r="S21" s="11" t="n">
        <x:f>H47</x:f>
        <x:v>0.54</x:v>
      </x:c>
      <x:c r="T21" s="11" t="n">
        <x:f>H48</x:f>
        <x:v>0.46</x:v>
      </x:c>
    </x:row>
    <x:row r="22" ht="15">
      <x:c r="A22" s="6" t="s">
        <x:v>40</x:v>
      </x:c>
      <x:c r="B22" s="6" t="s">
        <x:v>15</x:v>
      </x:c>
      <x:c r="C22" s="6" t="str">
        <x:v>GR00T Full Fine-Tune</x:v>
      </x:c>
      <x:c r="D22" s="6" t="s">
        <x:v>34</x:v>
      </x:c>
      <x:c r="E22" s="7" t="n">
        <x:f>COUNTIFS('GR00T Full'!$A$2:$A$121,"Success",'GR00T Full'!$H$2:$H$121,$O$2,'GR00T Full'!$B$2:$B$121,$B22)</x:f>
        <x:v>3</x:v>
      </x:c>
      <x:c r="F22" s="7" t="n">
        <x:f>COUNTIFS('GR00T Full'!$A$2:$A$121,"Failure",'GR00T Full'!$H$2:$H$121,$O$2,'GR00T Full'!$B$2:$B$121,$B22)</x:f>
        <x:v>17</x:v>
      </x:c>
      <x:c r="G22" s="7" t="n">
        <x:f t="shared" si="0">E22+F22</x:f>
        <x:v>20</x:v>
      </x:c>
      <x:c r="H22" s="8" t="n">
        <x:f t="shared" si="1">IF(G22=0,0,E22/G22)</x:f>
        <x:v>0.15</x:v>
      </x:c>
      <x:c r="I22" s="8" t="n">
        <x:f t="shared" si="2">IF(G22=0,0,(H22+$O$4^2/(2*G22))/(1+$O$4^2/G22))</x:f>
        <x:v>0.20639554392322662</x:v>
      </x:c>
      <x:c r="J22" s="8" t="n">
        <x:f t="shared" si="3">IF(G22=0,0,$O$4*SQRT((H22*(1-H22)+$O$4^2/(4*G22))/G22)/(1+$O$4^2/G22))</x:f>
        <x:v>0.15402775196373078</x:v>
      </x:c>
      <x:c r="K22" s="8" t="n">
        <x:f t="shared" si="4">MAX(0,I22-J22)</x:f>
        <x:v>0.05236779195949584</x:v>
      </x:c>
      <x:c r="L22" s="8" t="n">
        <x:f t="shared" si="5">MIN(1,I22+J22)</x:f>
        <x:v>0.36042329588695743</x:v>
      </x:c>
      <x:c r="M22" s="6" t="str">
        <x:f t="shared" si="6">TEXT(K22,"0.0%")&amp;" – "&amp;TEXT(L22,"0.0%")</x:f>
        <x:v>5.2% – 36.0%</x:v>
      </x:c>
      <x:c r="N22" s="6"/>
      <x:c r="O22" s="6"/>
      <x:c r="Q22" s="9" t="s">
        <x:v>3281</x:v>
      </x:c>
      <x:c r="R22" s="11" t="n">
        <x:f>H49</x:f>
        <x:v>0.78</x:v>
      </x:c>
      <x:c r="S22" s="11" t="n">
        <x:f>H50</x:f>
        <x:v>0.5</x:v>
      </x:c>
      <x:c r="T22" s="11" t="n">
        <x:f>H51</x:f>
        <x:v>0.72</x:v>
      </x:c>
    </x:row>
    <x:row r="23" ht="15">
      <x:c r="A23" s="6" t="s">
        <x:v>40</x:v>
      </x:c>
      <x:c r="B23" s="6" t="s">
        <x:v>15</x:v>
      </x:c>
      <x:c r="C23" s="6" t="s">
        <x:v>3</x:v>
      </x:c>
      <x:c r="D23" s="6" t="s">
        <x:v>3</x:v>
      </x:c>
      <x:c r="E23" s="7" t="n">
        <x:f>COUNTIFS(MolmoAct2!$A$2:$A$901,"Success",MolmoAct2!$H$2:$H$901,$O$2,MolmoAct2!$B$2:$B$901,$B23)</x:f>
        <x:v>10</x:v>
      </x:c>
      <x:c r="F23" s="7" t="n">
        <x:f>COUNTIFS(MolmoAct2!$A$2:$A$901,"Failure",MolmoAct2!$H$2:$H$901,$O$2,MolmoAct2!$B$2:$B$901,$B23)</x:f>
        <x:v>10</x:v>
      </x:c>
      <x:c r="G23" s="7">
        <x:f t="shared" si="0"/>
        <x:v>20</x:v>
      </x:c>
      <x:c r="H23" s="8">
        <x:f t="shared" si="1"/>
        <x:v>0.5</x:v>
      </x:c>
      <x:c r="I23" s="8">
        <x:f t="shared" si="2"/>
        <x:v>0.5</x:v>
      </x:c>
      <x:c r="J23" s="8">
        <x:f t="shared" si="3"/>
        <x:v>0.20070508557018005</x:v>
      </x:c>
      <x:c r="K23" s="8">
        <x:f t="shared" si="4"/>
        <x:v>0.29929491442981992</x:v>
      </x:c>
      <x:c r="L23" s="8">
        <x:f t="shared" si="5"/>
        <x:v>0.70070508557018008</x:v>
      </x:c>
      <x:c r="M23" s="6" t="str">
        <x:f t="shared" si="6"/>
        <x:v>29.9% – 70.1%</x:v>
      </x:c>
      <x:c r="N23" s="6"/>
      <x:c r="O23" s="6"/>
      <x:c r="Q23" s="9" t="s">
        <x:v>3282</x:v>
      </x:c>
      <x:c r="R23" s="11" t="n">
        <x:f>H52</x:f>
        <x:v>0.54</x:v>
      </x:c>
      <x:c r="S23" s="11" t="n">
        <x:f>H53</x:f>
        <x:v>0.68</x:v>
      </x:c>
      <x:c r="T23" s="11" t="n">
        <x:f>H54</x:f>
        <x:v>0.36</x:v>
      </x:c>
    </x:row>
    <x:row r="24" ht="15">
      <x:c r="A24" s="6" t="s">
        <x:v>40</x:v>
      </x:c>
      <x:c r="B24" s="6" t="s">
        <x:v>15</x:v>
      </x:c>
      <x:c r="C24" s="6" t="s">
        <x:v>4</x:v>
      </x:c>
      <x:c r="D24" s="6" t="s">
        <x:v>4</x:v>
      </x:c>
      <x:c r="E24" s="7" t="n">
        <x:f>COUNTIFS('Pi0.5'!$A$2:$A$901,"Success",'Pi0.5'!$H$2:$H$901,$O$2,'Pi0.5'!$B$2:$B$901,$B24)</x:f>
        <x:v>7</x:v>
      </x:c>
      <x:c r="F24" s="7" t="n">
        <x:f>COUNTIFS('Pi0.5'!$A$2:$A$901,"Failure",'Pi0.5'!$H$2:$H$901,$O$2,'Pi0.5'!$B$2:$B$901,$B24)</x:f>
        <x:v>13</x:v>
      </x:c>
      <x:c r="G24" s="7">
        <x:f t="shared" si="0"/>
        <x:v>20</x:v>
      </x:c>
      <x:c r="H24" s="8">
        <x:f t="shared" si="1"/>
        <x:v>0.35</x:v>
      </x:c>
      <x:c r="I24" s="8">
        <x:f t="shared" si="2"/>
        <x:v>0.37416951882423999</x:v>
      </x:c>
      <x:c r="J24" s="8">
        <x:f t="shared" si="3"/>
        <x:v>0.19297997095629535</x:v>
      </x:c>
      <x:c r="K24" s="8">
        <x:f t="shared" si="4"/>
        <x:v>0.18118954786794464</x:v>
      </x:c>
      <x:c r="L24" s="8">
        <x:f t="shared" si="5"/>
        <x:v>0.56714948978053537</x:v>
      </x:c>
      <x:c r="M24" s="6" t="str">
        <x:f t="shared" si="6"/>
        <x:v>18.1% – 56.7%</x:v>
      </x:c>
      <x:c r="N24" s="6"/>
      <x:c r="O24" s="6"/>
      <x:c r="Q24" s="9" t="s">
        <x:v>3283</x:v>
      </x:c>
      <x:c r="R24" s="11" t="n">
        <x:f>H55</x:f>
        <x:v>0.58</x:v>
      </x:c>
      <x:c r="S24" s="11" t="n">
        <x:f>H56</x:f>
        <x:v>0.64</x:v>
      </x:c>
      <x:c r="T24" s="11" t="n">
        <x:f>H57</x:f>
        <x:v>0.54</x:v>
      </x:c>
    </x:row>
    <x:row r="25" ht="15">
      <x:c r="A25" s="6" t="s">
        <x:v>40</x:v>
      </x:c>
      <x:c r="B25" s="6" t="s">
        <x:v>16</x:v>
      </x:c>
      <x:c r="C25" s="6" t="s">
        <x:v>2</x:v>
      </x:c>
      <x:c r="D25" s="6" t="s">
        <x:v>2</x:v>
      </x:c>
      <x:c r="E25" s="7" t="n">
        <x:f>COUNTIFS('VLA-0'!$A$2:$A$73,"Success",'VLA-0'!$H$2:$H$73,$O$2,'VLA-0'!$B$2:$B$73,$B25)</x:f>
        <x:v>0</x:v>
      </x:c>
      <x:c r="F25" s="7" t="n">
        <x:f>COUNTIFS('VLA-0'!$A$2:$A$73,"Failure",'VLA-0'!$H$2:$H$73,$O$2,'VLA-0'!$B$2:$B$73,$B25)</x:f>
        <x:v>12</x:v>
      </x:c>
      <x:c r="G25" s="7">
        <x:f t="shared" si="0"/>
        <x:v>12</x:v>
      </x:c>
      <x:c r="H25" s="8">
        <x:f t="shared" si="1"/>
        <x:v>0</x:v>
      </x:c>
      <x:c r="I25" s="8">
        <x:f t="shared" si="2"/>
        <x:v>0.12125037874962125</x:v>
      </x:c>
      <x:c r="J25" s="8">
        <x:f t="shared" si="3"/>
        <x:v>0.12125037874962125</x:v>
      </x:c>
      <x:c r="K25" s="8">
        <x:f t="shared" si="4"/>
        <x:v>0</x:v>
      </x:c>
      <x:c r="L25" s="8">
        <x:f t="shared" si="5"/>
        <x:v>0.24250075749924249</x:v>
      </x:c>
      <x:c r="M25" s="6" t="str">
        <x:f t="shared" si="6"/>
        <x:v>0.0% – 24.3%</x:v>
      </x:c>
      <x:c r="N25" s="6"/>
      <x:c r="O25" s="6"/>
    </x:row>
    <x:row r="26" ht="15">
      <x:c r="A26" s="6" t="s">
        <x:v>40</x:v>
      </x:c>
      <x:c r="B26" s="6" t="s">
        <x:v>16</x:v>
      </x:c>
      <x:c r="C26" s="6" t="str">
        <x:v>GR00T Frozen LLM</x:v>
      </x:c>
      <x:c r="D26" s="6" t="str">
        <x:v>GR00T Frozen LLM</x:v>
      </x:c>
      <x:c r="E26" s="7" t="n">
        <x:f>COUNTIFS('GR00T Vision'!$A$2:$A$901,"Success",'GR00T Vision'!$H$2:$H$901,$O$2,'GR00T Vision'!$B$2:$B$901,$B26)</x:f>
        <x:v>14</x:v>
      </x:c>
      <x:c r="F26" s="7" t="n">
        <x:f>COUNTIFS('GR00T Vision'!$A$2:$A$901,"Failure",'GR00T Vision'!$H$2:$H$901,$O$2,'GR00T Vision'!$B$2:$B$901,$B26)</x:f>
        <x:v>6</x:v>
      </x:c>
      <x:c r="G26" s="7">
        <x:f t="shared" si="0"/>
        <x:v>20</x:v>
      </x:c>
      <x:c r="H26" s="8">
        <x:f t="shared" si="1"/>
        <x:v>0.7</x:v>
      </x:c>
      <x:c r="I26" s="8">
        <x:f t="shared" si="2"/>
        <x:v>0.66777397490101331</x:v>
      </x:c>
      <x:c r="J26" s="8">
        <x:f t="shared" si="3"/>
        <x:v>0.18675075112999276</x:v>
      </x:c>
      <x:c r="K26" s="8">
        <x:f t="shared" si="4"/>
        <x:v>0.48102322377102058</x:v>
      </x:c>
      <x:c r="L26" s="8">
        <x:f t="shared" si="5"/>
        <x:v>0.85452472603100604</x:v>
      </x:c>
      <x:c r="M26" s="6" t="str">
        <x:f t="shared" si="6"/>
        <x:v>48.1% – 85.5%</x:v>
      </x:c>
      <x:c r="N26" s="6"/>
      <x:c r="O26" s="6"/>
    </x:row>
    <x:row r="27" ht="15">
      <x:c r="A27" s="6" t="s">
        <x:v>40</x:v>
      </x:c>
      <x:c r="B27" s="6" t="s">
        <x:v>16</x:v>
      </x:c>
      <x:c r="C27" s="6" t="str">
        <x:v>GR00T Full Fine-Tune</x:v>
      </x:c>
      <x:c r="D27" s="6" t="s">
        <x:v>34</x:v>
      </x:c>
      <x:c r="E27" s="7" t="n">
        <x:f>COUNTIFS('GR00T Full'!$A$2:$A$121,"Success",'GR00T Full'!$H$2:$H$121,$O$2,'GR00T Full'!$B$2:$B$121,$B27)</x:f>
        <x:v>0</x:v>
      </x:c>
      <x:c r="F27" s="7" t="n">
        <x:f>COUNTIFS('GR00T Full'!$A$2:$A$121,"Failure",'GR00T Full'!$H$2:$H$121,$O$2,'GR00T Full'!$B$2:$B$121,$B27)</x:f>
        <x:v>20</x:v>
      </x:c>
      <x:c r="G27" s="7" t="n">
        <x:f t="shared" si="0">E27+F27</x:f>
        <x:v>20</x:v>
      </x:c>
      <x:c r="H27" s="8" t="n">
        <x:f t="shared" si="1">IF(G27=0,0,E27/G27)</x:f>
        <x:v>0</x:v>
      </x:c>
      <x:c r="I27" s="8" t="n">
        <x:f t="shared" si="2">IF(G27=0,0,(H27+$O$4^2/(2*G27))/(1+$O$4^2/G27))</x:f>
        <x:v>0.0805650627474666</x:v>
      </x:c>
      <x:c r="J27" s="8" t="n">
        <x:f t="shared" si="3">IF(G27=0,0,$O$4*SQRT((H27*(1-H27)+$O$4^2/(4*G27))/G27)/(1+$O$4^2/G27))</x:f>
        <x:v>0.0805650627474666</x:v>
      </x:c>
      <x:c r="K27" s="8" t="n">
        <x:f t="shared" si="4">MAX(0,I27-J27)</x:f>
        <x:v>0</x:v>
      </x:c>
      <x:c r="L27" s="8" t="n">
        <x:f t="shared" si="5">MIN(1,I27+J27)</x:f>
        <x:v>0.1611301254949332</x:v>
      </x:c>
      <x:c r="M27" s="6" t="str">
        <x:f t="shared" si="6">TEXT(K27,"0.0%")&amp;" – "&amp;TEXT(L27,"0.0%")</x:f>
        <x:v>0.0% – 16.1%</x:v>
      </x:c>
      <x:c r="N27" s="6"/>
      <x:c r="O27" s="6"/>
    </x:row>
    <x:row r="28" ht="15">
      <x:c r="A28" s="6" t="s">
        <x:v>40</x:v>
      </x:c>
      <x:c r="B28" s="6" t="s">
        <x:v>16</x:v>
      </x:c>
      <x:c r="C28" s="6" t="s">
        <x:v>3</x:v>
      </x:c>
      <x:c r="D28" s="6" t="s">
        <x:v>3</x:v>
      </x:c>
      <x:c r="E28" s="7" t="n">
        <x:f>COUNTIFS(MolmoAct2!$A$2:$A$901,"Success",MolmoAct2!$H$2:$H$901,$O$2,MolmoAct2!$B$2:$B$901,$B28)</x:f>
        <x:v>16</x:v>
      </x:c>
      <x:c r="F28" s="7" t="n">
        <x:f>COUNTIFS(MolmoAct2!$A$2:$A$901,"Failure",MolmoAct2!$H$2:$H$901,$O$2,MolmoAct2!$B$2:$B$901,$B28)</x:f>
        <x:v>4</x:v>
      </x:c>
      <x:c r="G28" s="7">
        <x:f t="shared" si="0"/>
        <x:v>20</x:v>
      </x:c>
      <x:c r="H28" s="8">
        <x:f t="shared" si="1"/>
        <x:v>0.8</x:v>
      </x:c>
      <x:c r="I28" s="8">
        <x:f t="shared" si="2"/>
        <x:v>0.75166096235152002</x:v>
      </x:c>
      <x:c r="J28" s="8">
        <x:f t="shared" si="3"/>
        <x:v>0.16768268437727993</x:v>
      </x:c>
      <x:c r="K28" s="8">
        <x:f t="shared" si="4"/>
        <x:v>0.58397827797424007</x:v>
      </x:c>
      <x:c r="L28" s="8">
        <x:f t="shared" si="5"/>
        <x:v>0.91934364672879998</x:v>
      </x:c>
      <x:c r="M28" s="6" t="str">
        <x:f t="shared" si="6"/>
        <x:v>58.4% – 91.9%</x:v>
      </x:c>
      <x:c r="N28" s="6"/>
      <x:c r="O28" s="6"/>
    </x:row>
    <x:row r="29" ht="15">
      <x:c r="A29" s="6" t="s">
        <x:v>40</x:v>
      </x:c>
      <x:c r="B29" s="6" t="s">
        <x:v>16</x:v>
      </x:c>
      <x:c r="C29" s="6" t="s">
        <x:v>4</x:v>
      </x:c>
      <x:c r="D29" s="6" t="s">
        <x:v>4</x:v>
      </x:c>
      <x:c r="E29" s="7" t="n">
        <x:f>COUNTIFS('Pi0.5'!$A$2:$A$901,"Success",'Pi0.5'!$H$2:$H$901,$O$2,'Pi0.5'!$B$2:$B$901,$B29)</x:f>
        <x:v>13</x:v>
      </x:c>
      <x:c r="F29" s="7" t="n">
        <x:f>COUNTIFS('Pi0.5'!$A$2:$A$901,"Failure",'Pi0.5'!$H$2:$H$901,$O$2,'Pi0.5'!$B$2:$B$901,$B29)</x:f>
        <x:v>7</x:v>
      </x:c>
      <x:c r="G29" s="7">
        <x:f t="shared" si="0"/>
        <x:v>20</x:v>
      </x:c>
      <x:c r="H29" s="8">
        <x:f t="shared" si="1"/>
        <x:v>0.65</x:v>
      </x:c>
      <x:c r="I29" s="8">
        <x:f t="shared" si="2"/>
        <x:v>0.62583048117576001</x:v>
      </x:c>
      <x:c r="J29" s="8">
        <x:f t="shared" si="3"/>
        <x:v>0.19297997095629535</x:v>
      </x:c>
      <x:c r="K29" s="8">
        <x:f t="shared" si="4"/>
        <x:v>0.43285051021946463</x:v>
      </x:c>
      <x:c r="L29" s="8">
        <x:f t="shared" si="5"/>
        <x:v>0.81881045213205539</x:v>
      </x:c>
      <x:c r="M29" s="6" t="str">
        <x:f t="shared" si="6"/>
        <x:v>43.3% – 81.9%</x:v>
      </x:c>
      <x:c r="N29" s="6"/>
      <x:c r="O29" s="6"/>
    </x:row>
    <x:row r="30" ht="15">
      <x:c r="A30" s="6" t="s">
        <x:v>40</x:v>
      </x:c>
      <x:c r="B30" s="6" t="s">
        <x:v>17</x:v>
      </x:c>
      <x:c r="C30" s="6" t="s">
        <x:v>2</x:v>
      </x:c>
      <x:c r="D30" s="6" t="s">
        <x:v>2</x:v>
      </x:c>
      <x:c r="E30" s="7" t="n">
        <x:f>COUNTIFS('VLA-0'!$A$2:$A$73,"Success",'VLA-0'!$H$2:$H$73,$O$2,'VLA-0'!$B$2:$B$73,$B30)</x:f>
        <x:v>0</x:v>
      </x:c>
      <x:c r="F30" s="7" t="n">
        <x:f>COUNTIFS('VLA-0'!$A$2:$A$73,"Failure",'VLA-0'!$H$2:$H$73,$O$2,'VLA-0'!$B$2:$B$73,$B30)</x:f>
        <x:v>10</x:v>
      </x:c>
      <x:c r="G30" s="7">
        <x:f t="shared" si="0"/>
        <x:v>10</x:v>
      </x:c>
      <x:c r="H30" s="8">
        <x:f t="shared" si="1"/>
        <x:v>0</x:v>
      </x:c>
      <x:c r="I30" s="8">
        <x:f t="shared" si="2"/>
        <x:v>0.13877008438330826</x:v>
      </x:c>
      <x:c r="J30" s="8">
        <x:f t="shared" si="3"/>
        <x:v>0.13877008438330829</x:v>
      </x:c>
      <x:c r="K30" s="8">
        <x:f t="shared" si="4"/>
        <x:v>0</x:v>
      </x:c>
      <x:c r="L30" s="8">
        <x:f t="shared" si="5"/>
        <x:v>0.27754016876661658</x:v>
      </x:c>
      <x:c r="M30" s="6" t="str">
        <x:f t="shared" si="6"/>
        <x:v>0.0% – 27.8%</x:v>
      </x:c>
      <x:c r="N30" s="6"/>
      <x:c r="O30" s="6"/>
    </x:row>
    <x:row r="31" ht="15">
      <x:c r="A31" s="6" t="s">
        <x:v>40</x:v>
      </x:c>
      <x:c r="B31" s="6" t="s">
        <x:v>17</x:v>
      </x:c>
      <x:c r="C31" s="6" t="str">
        <x:v>GR00T Frozen LLM</x:v>
      </x:c>
      <x:c r="D31" s="6" t="str">
        <x:v>GR00T Frozen LLM</x:v>
      </x:c>
      <x:c r="E31" s="7" t="n">
        <x:f>COUNTIFS('GR00T Vision'!$A$2:$A$901,"Success",'GR00T Vision'!$H$2:$H$901,$O$2,'GR00T Vision'!$B$2:$B$901,$B31)</x:f>
        <x:v>12</x:v>
      </x:c>
      <x:c r="F31" s="7" t="n">
        <x:f>COUNTIFS('GR00T Vision'!$A$2:$A$901,"Failure",'GR00T Vision'!$H$2:$H$901,$O$2,'GR00T Vision'!$B$2:$B$901,$B31)</x:f>
        <x:v>8</x:v>
      </x:c>
      <x:c r="G31" s="7">
        <x:f t="shared" si="0"/>
        <x:v>20</x:v>
      </x:c>
      <x:c r="H31" s="8">
        <x:f t="shared" si="1"/>
        <x:v>0.6</x:v>
      </x:c>
      <x:c r="I31" s="8">
        <x:f t="shared" si="2"/>
        <x:v>0.58388698745050671</x:v>
      </x:c>
      <x:c r="J31" s="8">
        <x:f t="shared" si="3"/>
        <x:v>0.19730904513530062</x:v>
      </x:c>
      <x:c r="K31" s="8">
        <x:f t="shared" si="4"/>
        <x:v>0.38657794231520609</x:v>
      </x:c>
      <x:c r="L31" s="8">
        <x:f t="shared" si="5"/>
        <x:v>0.78119603258580739</x:v>
      </x:c>
      <x:c r="M31" s="6" t="str">
        <x:f t="shared" si="6"/>
        <x:v>38.7% – 78.1%</x:v>
      </x:c>
      <x:c r="N31" s="6"/>
      <x:c r="O31" s="6"/>
    </x:row>
    <x:row r="32" ht="15">
      <x:c r="A32" s="6" t="s">
        <x:v>40</x:v>
      </x:c>
      <x:c r="B32" s="6" t="s">
        <x:v>17</x:v>
      </x:c>
      <x:c r="C32" s="6" t="str">
        <x:v>GR00T Full Fine-Tune</x:v>
      </x:c>
      <x:c r="D32" s="6" t="s">
        <x:v>34</x:v>
      </x:c>
      <x:c r="E32" s="7" t="n">
        <x:f>COUNTIFS('GR00T Full'!$A$2:$A$121,"Success",'GR00T Full'!$H$2:$H$121,$O$2,'GR00T Full'!$B$2:$B$121,$B32)</x:f>
        <x:v>4</x:v>
      </x:c>
      <x:c r="F32" s="7" t="n">
        <x:f>COUNTIFS('GR00T Full'!$A$2:$A$121,"Failure",'GR00T Full'!$H$2:$H$121,$O$2,'GR00T Full'!$B$2:$B$121,$B32)</x:f>
        <x:v>16</x:v>
      </x:c>
      <x:c r="G32" s="7" t="n">
        <x:f t="shared" si="0">E32+F32</x:f>
        <x:v>20</x:v>
      </x:c>
      <x:c r="H32" s="8" t="n">
        <x:f t="shared" si="1">IF(G32=0,0,E32/G32)</x:f>
        <x:v>0.2</x:v>
      </x:c>
      <x:c r="I32" s="8" t="n">
        <x:f t="shared" si="2">IF(G32=0,0,(H32+$O$4^2/(2*G32))/(1+$O$4^2/G32))</x:f>
        <x:v>0.24833903764847995</x:v>
      </x:c>
      <x:c r="J32" s="8" t="n">
        <x:f t="shared" si="3">IF(G32=0,0,$O$4*SQRT((H32*(1-H32)+$O$4^2/(4*G32))/G32)/(1+$O$4^2/G32))</x:f>
        <x:v>0.16768268437727996</x:v>
      </x:c>
      <x:c r="K32" s="8" t="n">
        <x:f t="shared" si="4">MAX(0,I32-J32)</x:f>
        <x:v>0.0806563532712</x:v>
      </x:c>
      <x:c r="L32" s="8" t="n">
        <x:f t="shared" si="5">MIN(1,I32+J32)</x:f>
        <x:v>0.41602172202575993</x:v>
      </x:c>
      <x:c r="M32" s="6" t="str">
        <x:f t="shared" si="6">TEXT(K32,"0.0%")&amp;" – "&amp;TEXT(L32,"0.0%")</x:f>
        <x:v>8.1% – 41.6%</x:v>
      </x:c>
      <x:c r="N32" s="6"/>
      <x:c r="O32" s="6"/>
    </x:row>
    <x:row r="33" ht="15">
      <x:c r="A33" s="6" t="s">
        <x:v>40</x:v>
      </x:c>
      <x:c r="B33" s="6" t="s">
        <x:v>17</x:v>
      </x:c>
      <x:c r="C33" s="6" t="s">
        <x:v>3</x:v>
      </x:c>
      <x:c r="D33" s="6" t="s">
        <x:v>3</x:v>
      </x:c>
      <x:c r="E33" s="7" t="n">
        <x:f>COUNTIFS(MolmoAct2!$A$2:$A$901,"Success",MolmoAct2!$H$2:$H$901,$O$2,MolmoAct2!$B$2:$B$901,$B33)</x:f>
        <x:v>15</x:v>
      </x:c>
      <x:c r="F33" s="7" t="n">
        <x:f>COUNTIFS(MolmoAct2!$A$2:$A$901,"Failure",MolmoAct2!$H$2:$H$901,$O$2,MolmoAct2!$B$2:$B$901,$B33)</x:f>
        <x:v>5</x:v>
      </x:c>
      <x:c r="G33" s="7">
        <x:f t="shared" si="0"/>
        <x:v>20</x:v>
      </x:c>
      <x:c r="H33" s="8">
        <x:f t="shared" si="1"/>
        <x:v>0.75</x:v>
      </x:c>
      <x:c r="I33" s="8">
        <x:f t="shared" si="2"/>
        <x:v>0.70971746862626672</x:v>
      </x:c>
      <x:c r="J33" s="8">
        <x:f t="shared" si="3"/>
        <x:v>0.17842247858433025</x:v>
      </x:c>
      <x:c r="K33" s="8">
        <x:f t="shared" si="4"/>
        <x:v>0.53129499004193648</x:v>
      </x:c>
      <x:c r="L33" s="8">
        <x:f t="shared" si="5"/>
        <x:v>0.88813994721059697</x:v>
      </x:c>
      <x:c r="M33" s="6" t="str">
        <x:f t="shared" si="6"/>
        <x:v>53.1% – 88.8%</x:v>
      </x:c>
      <x:c r="N33" s="6"/>
      <x:c r="O33" s="6"/>
    </x:row>
    <x:row r="34" ht="15">
      <x:c r="A34" s="6" t="s">
        <x:v>40</x:v>
      </x:c>
      <x:c r="B34" s="6" t="s">
        <x:v>17</x:v>
      </x:c>
      <x:c r="C34" s="6" t="s">
        <x:v>4</x:v>
      </x:c>
      <x:c r="D34" s="6" t="s">
        <x:v>4</x:v>
      </x:c>
      <x:c r="E34" s="7" t="n">
        <x:f>COUNTIFS('Pi0.5'!$A$2:$A$901,"Success",'Pi0.5'!$H$2:$H$901,$O$2,'Pi0.5'!$B$2:$B$901,$B34)</x:f>
        <x:v>16</x:v>
      </x:c>
      <x:c r="F34" s="7" t="n">
        <x:f>COUNTIFS('Pi0.5'!$A$2:$A$901,"Failure",'Pi0.5'!$H$2:$H$901,$O$2,'Pi0.5'!$B$2:$B$901,$B34)</x:f>
        <x:v>4</x:v>
      </x:c>
      <x:c r="G34" s="7" t="n">
        <x:f t="shared" ref="G34:G57" si="7">E34+F34</x:f>
        <x:v>20</x:v>
      </x:c>
      <x:c r="H34" s="8" t="n">
        <x:f t="shared" ref="H34:H57" si="8">IF(G34=0,"",E34/G34)</x:f>
        <x:v>0.8</x:v>
      </x:c>
      <x:c r="I34" s="8" t="n">
        <x:f t="shared" ref="I34:I57" si="9">IF(G34=0,"",(H34+$O$4^2/(2*G34))/(1+$O$4^2/G34))</x:f>
        <x:v>0.75166096235152</x:v>
      </x:c>
      <x:c r="J34" s="8" t="n">
        <x:f t="shared" ref="J34:J57" si="10">IF(G34=0,"",$O$4*SQRT(H34*(1-H34)/G34+$O$4^2/(4*G34^2))/(1+$O$4^2/G34))</x:f>
        <x:v>0.16768268437727993</x:v>
      </x:c>
      <x:c r="K34" s="8" t="n">
        <x:f t="shared" ref="K34:K57" si="11">IF(G34=0,"",MAX(0,I34-J34))</x:f>
        <x:v>0.5839782779742401</x:v>
      </x:c>
      <x:c r="L34" s="8" t="n">
        <x:f t="shared" ref="L34:L57" si="12">IF(G34=0,"",MIN(1,I34+J34))</x:f>
        <x:v>0.9193436467288</x:v>
      </x:c>
      <x:c r="M34" s="6" t="str">
        <x:f t="shared" ref="M34:M57" si="13">IF(G34=0,"",TEXT(K34,"0.0%")&amp;" – "&amp;TEXT(L34,"0.0%"))</x:f>
        <x:v>58.4% – 91.9%</x:v>
      </x:c>
      <x:c r="N34" s="6"/>
      <x:c r="O34" s="6"/>
    </x:row>
    <x:row r="35" ht="15">
      <x:c r="A35" s="6" t="s">
        <x:v>40</x:v>
      </x:c>
      <x:c r="B35" s="6" t="s">
        <x:v>18</x:v>
      </x:c>
      <x:c r="C35" s="6" t="s">
        <x:v>2</x:v>
      </x:c>
      <x:c r="D35" s="6" t="s">
        <x:v>2</x:v>
      </x:c>
      <x:c r="E35" s="7" t="n">
        <x:f>COUNTIFS('VLA-0'!$A$2:$A$73,"Success",'VLA-0'!$H$2:$H$73,$O$2,'VLA-0'!$B$2:$B$73,$B35)</x:f>
        <x:v>0</x:v>
      </x:c>
      <x:c r="F35" s="7" t="n">
        <x:f>COUNTIFS('VLA-0'!$A$2:$A$73,"Failure",'VLA-0'!$H$2:$H$73,$O$2,'VLA-0'!$B$2:$B$73,$B35)</x:f>
        <x:v>20</x:v>
      </x:c>
      <x:c r="G35" s="7">
        <x:f t="shared" si="7"/>
        <x:v>20</x:v>
      </x:c>
      <x:c r="H35" s="8">
        <x:f t="shared" si="8"/>
        <x:v>0</x:v>
      </x:c>
      <x:c r="I35" s="8">
        <x:f t="shared" si="9"/>
        <x:v>8.0565062747466595E-2</x:v>
      </x:c>
      <x:c r="J35" s="8">
        <x:f t="shared" si="10"/>
        <x:v>8.0565062747466609E-2</x:v>
      </x:c>
      <x:c r="K35" s="8">
        <x:f t="shared" si="11"/>
        <x:v>0</x:v>
      </x:c>
      <x:c r="L35" s="8">
        <x:f t="shared" si="12"/>
        <x:v>0.16113012549493322</x:v>
      </x:c>
      <x:c r="M35" s="6" t="str">
        <x:f t="shared" si="13"/>
        <x:v>0.0% – 16.1%</x:v>
      </x:c>
      <x:c r="N35" s="6"/>
      <x:c r="O35" s="6"/>
    </x:row>
    <x:row r="36" ht="15">
      <x:c r="A36" s="6" t="s">
        <x:v>40</x:v>
      </x:c>
      <x:c r="B36" s="6" t="s">
        <x:v>18</x:v>
      </x:c>
      <x:c r="C36" s="6" t="str">
        <x:v>GR00T Frozen LLM</x:v>
      </x:c>
      <x:c r="D36" s="6" t="str">
        <x:v>GR00T Frozen LLM</x:v>
      </x:c>
      <x:c r="E36" s="7" t="n">
        <x:f>COUNTIFS('GR00T Vision'!$A$2:$A$901,"Success",'GR00T Vision'!$H$2:$H$901,$O$2,'GR00T Vision'!$B$2:$B$901,$B36)</x:f>
        <x:v>17</x:v>
      </x:c>
      <x:c r="F36" s="7" t="n">
        <x:f>COUNTIFS('GR00T Vision'!$A$2:$A$901,"Failure",'GR00T Vision'!$H$2:$H$901,$O$2,'GR00T Vision'!$B$2:$B$901,$B36)</x:f>
        <x:v>3</x:v>
      </x:c>
      <x:c r="G36" s="7">
        <x:f t="shared" si="7"/>
        <x:v>20</x:v>
      </x:c>
      <x:c r="H36" s="8">
        <x:f t="shared" si="8"/>
        <x:v>0.85</x:v>
      </x:c>
      <x:c r="I36" s="8">
        <x:f t="shared" si="9"/>
        <x:v>0.79360445607677332</x:v>
      </x:c>
      <x:c r="J36" s="8">
        <x:f t="shared" si="10"/>
        <x:v>0.15402775196373078</x:v>
      </x:c>
      <x:c r="K36" s="8">
        <x:f t="shared" si="11"/>
        <x:v>0.63957670411304257</x:v>
      </x:c>
      <x:c r="L36" s="8">
        <x:f t="shared" si="12"/>
        <x:v>0.94763220804050408</x:v>
      </x:c>
      <x:c r="M36" s="6" t="str">
        <x:f t="shared" si="13"/>
        <x:v>64.0% – 94.8%</x:v>
      </x:c>
      <x:c r="N36" s="6"/>
      <x:c r="O36" s="6"/>
    </x:row>
    <x:row r="37" ht="15">
      <x:c r="A37" s="6" t="s">
        <x:v>40</x:v>
      </x:c>
      <x:c r="B37" s="6" t="s">
        <x:v>18</x:v>
      </x:c>
      <x:c r="C37" s="6" t="str">
        <x:v>GR00T Full Fine-Tune</x:v>
      </x:c>
      <x:c r="D37" s="6" t="s">
        <x:v>34</x:v>
      </x:c>
      <x:c r="E37" s="7" t="n">
        <x:f>COUNTIFS('GR00T Full'!$A$2:$A$121,"Success",'GR00T Full'!$H$2:$H$121,$O$2,'GR00T Full'!$B$2:$B$121,$B37)</x:f>
        <x:v>7</x:v>
      </x:c>
      <x:c r="F37" s="7" t="n">
        <x:f>COUNTIFS('GR00T Full'!$A$2:$A$121,"Failure",'GR00T Full'!$H$2:$H$121,$O$2,'GR00T Full'!$B$2:$B$121,$B37)</x:f>
        <x:v>13</x:v>
      </x:c>
      <x:c r="G37" s="7" t="n">
        <x:f t="shared" si="7">E37+F37</x:f>
        <x:v>20</x:v>
      </x:c>
      <x:c r="H37" s="8" t="n">
        <x:f t="shared" si="8">IF(G37=0,0,E37/G37)</x:f>
        <x:v>0.35</x:v>
      </x:c>
      <x:c r="I37" s="8" t="n">
        <x:f t="shared" si="9">IF(G37=0,0,(H37+$O$4^2/(2*G37))/(1+$O$4^2/G37))</x:f>
        <x:v>0.37416951882424</x:v>
      </x:c>
      <x:c r="J37" s="8" t="n">
        <x:f t="shared" si="10">IF(G37=0,0,$O$4*SQRT((H37*(1-H37)+$O$4^2/(4*G37))/G37)/(1+$O$4^2/G37))</x:f>
        <x:v>0.19297997095629535</x:v>
      </x:c>
      <x:c r="K37" s="8" t="n">
        <x:f t="shared" si="11">MAX(0,I37-J37)</x:f>
        <x:v>0.18118954786794464</x:v>
      </x:c>
      <x:c r="L37" s="8" t="n">
        <x:f t="shared" si="12">MIN(1,I37+J37)</x:f>
        <x:v>0.5671494897805354</x:v>
      </x:c>
      <x:c r="M37" s="6" t="str">
        <x:f t="shared" si="13">TEXT(K37,"0.0%")&amp;" – "&amp;TEXT(L37,"0.0%")</x:f>
        <x:v>18.1% – 56.7%</x:v>
      </x:c>
      <x:c r="N37" s="6"/>
      <x:c r="O37" s="6"/>
    </x:row>
    <x:row r="38" ht="15">
      <x:c r="A38" s="6" t="s">
        <x:v>40</x:v>
      </x:c>
      <x:c r="B38" s="6" t="s">
        <x:v>18</x:v>
      </x:c>
      <x:c r="C38" s="6" t="s">
        <x:v>3</x:v>
      </x:c>
      <x:c r="D38" s="6" t="s">
        <x:v>3</x:v>
      </x:c>
      <x:c r="E38" s="7" t="n">
        <x:f>COUNTIFS(MolmoAct2!$A$2:$A$901,"Success",MolmoAct2!$H$2:$H$901,$O$2,MolmoAct2!$B$2:$B$901,$B38)</x:f>
        <x:v>16</x:v>
      </x:c>
      <x:c r="F38" s="7" t="n">
        <x:f>COUNTIFS(MolmoAct2!$A$2:$A$901,"Failure",MolmoAct2!$H$2:$H$901,$O$2,MolmoAct2!$B$2:$B$901,$B38)</x:f>
        <x:v>4</x:v>
      </x:c>
      <x:c r="G38" s="7">
        <x:f t="shared" si="7"/>
        <x:v>20</x:v>
      </x:c>
      <x:c r="H38" s="8">
        <x:f t="shared" si="8"/>
        <x:v>0.8</x:v>
      </x:c>
      <x:c r="I38" s="8">
        <x:f t="shared" si="9"/>
        <x:v>0.75166096235152002</x:v>
      </x:c>
      <x:c r="J38" s="8">
        <x:f t="shared" si="10"/>
        <x:v>0.16768268437727993</x:v>
      </x:c>
      <x:c r="K38" s="8">
        <x:f t="shared" si="11"/>
        <x:v>0.58397827797424007</x:v>
      </x:c>
      <x:c r="L38" s="8">
        <x:f t="shared" si="12"/>
        <x:v>0.91934364672879998</x:v>
      </x:c>
      <x:c r="M38" s="6" t="str">
        <x:f t="shared" si="13"/>
        <x:v>58.4% – 91.9%</x:v>
      </x:c>
      <x:c r="N38" s="6"/>
      <x:c r="O38" s="6"/>
    </x:row>
    <x:row r="39" ht="15">
      <x:c r="A39" s="6" t="s">
        <x:v>40</x:v>
      </x:c>
      <x:c r="B39" s="6" t="s">
        <x:v>18</x:v>
      </x:c>
      <x:c r="C39" s="6" t="s">
        <x:v>4</x:v>
      </x:c>
      <x:c r="D39" s="6" t="s">
        <x:v>4</x:v>
      </x:c>
      <x:c r="E39" s="7" t="n">
        <x:f>COUNTIFS('Pi0.5'!$A$2:$A$901,"Success",'Pi0.5'!$H$2:$H$901,$O$2,'Pi0.5'!$B$2:$B$901,$B39)</x:f>
        <x:v>19</x:v>
      </x:c>
      <x:c r="F39" s="7" t="n">
        <x:f>COUNTIFS('Pi0.5'!$A$2:$A$901,"Failure",'Pi0.5'!$H$2:$H$901,$O$2,'Pi0.5'!$B$2:$B$901,$B39)</x:f>
        <x:v>1</x:v>
      </x:c>
      <x:c r="G39" s="7">
        <x:f t="shared" si="7"/>
        <x:v>20</x:v>
      </x:c>
      <x:c r="H39" s="8">
        <x:f t="shared" si="8"/>
        <x:v>0.95</x:v>
      </x:c>
      <x:c r="I39" s="8">
        <x:f t="shared" si="9"/>
        <x:v>0.87749144352727992</x:v>
      </x:c>
      <x:c r="J39" s="8">
        <x:f t="shared" si="10"/>
        <x:v>0.11362733703984686</x:v>
      </x:c>
      <x:c r="K39" s="8">
        <x:f t="shared" si="11"/>
        <x:v>0.76386410648743308</x:v>
      </x:c>
      <x:c r="L39" s="8">
        <x:f t="shared" si="12"/>
        <x:v>0.99111878056712677</x:v>
      </x:c>
      <x:c r="M39" s="6" t="str">
        <x:f t="shared" si="13"/>
        <x:v>76.4% – 99.1%</x:v>
      </x:c>
      <x:c r="N39" s="6"/>
      <x:c r="O39" s="6"/>
    </x:row>
    <x:row r="40" ht="15">
      <x:c r="A40" s="6" t="s">
        <x:v>42</x:v>
      </x:c>
      <x:c r="B40" s="6" t="s">
        <x:v>13</x:v>
      </x:c>
      <x:c r="C40" s="6" t="str">
        <x:v>GR00T Frozen LLM</x:v>
      </x:c>
      <x:c r="D40" s="6" t="str">
        <x:v>GR00T Frozen LLM</x:v>
      </x:c>
      <x:c r="E40" s="7" t="n">
        <x:f>COUNTIFS('GR00T Vision'!$A$2:$A$901,"Success",'GR00T Vision'!$H$2:$H$901,$O$3,'GR00T Vision'!$B$2:$B$901,$B40)</x:f>
        <x:v>17</x:v>
      </x:c>
      <x:c r="F40" s="7" t="n">
        <x:f>COUNTIFS('GR00T Vision'!$A$2:$A$901,"Failure",'GR00T Vision'!$H$2:$H$901,$O$3,'GR00T Vision'!$B$2:$B$901,$B40)</x:f>
        <x:v>33</x:v>
      </x:c>
      <x:c r="G40" s="7">
        <x:f t="shared" si="7"/>
        <x:v>50</x:v>
      </x:c>
      <x:c r="H40" s="8">
        <x:f t="shared" si="8"/>
        <x:v>0.34</x:v>
      </x:c>
      <x:c r="I40" s="8">
        <x:f t="shared" si="9"/>
        <x:v>0.35141600546789103</x:v>
      </x:c>
      <x:c r="J40" s="8">
        <x:f t="shared" si="10"/>
        <x:v>0.12704830911728043</x:v>
      </x:c>
      <x:c r="K40" s="8">
        <x:f t="shared" si="11"/>
        <x:v>0.2243676963506106</x:v>
      </x:c>
      <x:c r="L40" s="8">
        <x:f t="shared" si="12"/>
        <x:v>0.47846431458517147</x:v>
      </x:c>
      <x:c r="M40" s="6" t="str">
        <x:f t="shared" si="13"/>
        <x:v>22.4% – 47.8%</x:v>
      </x:c>
      <x:c r="N40" s="6"/>
      <x:c r="O40" s="6"/>
    </x:row>
    <x:row r="41" ht="15">
      <x:c r="A41" s="6" t="s">
        <x:v>42</x:v>
      </x:c>
      <x:c r="B41" s="6" t="s">
        <x:v>13</x:v>
      </x:c>
      <x:c r="C41" s="6" t="s">
        <x:v>3</x:v>
      </x:c>
      <x:c r="D41" s="6" t="s">
        <x:v>3</x:v>
      </x:c>
      <x:c r="E41" s="7" t="n">
        <x:f>COUNTIFS(MolmoAct2!$A$2:$A$901,"Success",MolmoAct2!$H$2:$H$901,$O$3,MolmoAct2!$B$2:$B$901,$B41)</x:f>
        <x:v>38</x:v>
      </x:c>
      <x:c r="F41" s="7" t="n">
        <x:f>COUNTIFS(MolmoAct2!$A$2:$A$901,"Failure",MolmoAct2!$H$2:$H$901,$O$3,MolmoAct2!$B$2:$B$901,$B41)</x:f>
        <x:v>12</x:v>
      </x:c>
      <x:c r="G41" s="7">
        <x:f t="shared" si="7"/>
        <x:v>50</x:v>
      </x:c>
      <x:c r="H41" s="8">
        <x:f t="shared" si="8"/>
        <x:v>0.76</x:v>
      </x:c>
      <x:c r="I41" s="8">
        <x:f t="shared" si="9"/>
        <x:v>0.7414489911146771</x:v>
      </x:c>
      <x:c r="J41" s="8">
        <x:f t="shared" si="10"/>
        <x:v>0.11557848486660079</x:v>
      </x:c>
      <x:c r="K41" s="8">
        <x:f t="shared" si="11"/>
        <x:v>0.62587050624807627</x:v>
      </x:c>
      <x:c r="L41" s="8">
        <x:f t="shared" si="12"/>
        <x:v>0.85702747598127793</x:v>
      </x:c>
      <x:c r="M41" s="6" t="str">
        <x:f t="shared" si="13"/>
        <x:v>62.6% – 85.7%</x:v>
      </x:c>
      <x:c r="N41" s="6"/>
      <x:c r="O41" s="6"/>
    </x:row>
    <x:row r="42" ht="15">
      <x:c r="A42" s="6" t="s">
        <x:v>42</x:v>
      </x:c>
      <x:c r="B42" s="6" t="s">
        <x:v>13</x:v>
      </x:c>
      <x:c r="C42" s="6" t="s">
        <x:v>4</x:v>
      </x:c>
      <x:c r="D42" s="6" t="s">
        <x:v>4</x:v>
      </x:c>
      <x:c r="E42" s="7" t="n">
        <x:f>COUNTIFS('Pi0.5'!$A$2:$A$901,"Success",'Pi0.5'!$H$2:$H$901,$O$3,'Pi0.5'!$B$2:$B$901,$B42)</x:f>
        <x:v>18</x:v>
      </x:c>
      <x:c r="F42" s="7" t="n">
        <x:f>COUNTIFS('Pi0.5'!$A$2:$A$901,"Failure",'Pi0.5'!$H$2:$H$901,$O$3,'Pi0.5'!$B$2:$B$901,$B42)</x:f>
        <x:v>32</x:v>
      </x:c>
      <x:c r="G42" s="7">
        <x:f t="shared" si="7"/>
        <x:v>50</x:v>
      </x:c>
      <x:c r="H42" s="8">
        <x:f t="shared" si="8"/>
        <x:v>0.36</x:v>
      </x:c>
      <x:c r="I42" s="8">
        <x:f t="shared" si="9"/>
        <x:v>0.36998900478440461</x:v>
      </x:c>
      <x:c r="J42" s="8">
        <x:f t="shared" si="10"/>
        <x:v>0.12860337511257586</x:v>
      </x:c>
      <x:c r="K42" s="8">
        <x:f t="shared" si="11"/>
        <x:v>0.24138562967182875</x:v>
      </x:c>
      <x:c r="L42" s="8">
        <x:f t="shared" si="12"/>
        <x:v>0.49859237989698046</x:v>
      </x:c>
      <x:c r="M42" s="6" t="str">
        <x:f t="shared" si="13"/>
        <x:v>24.1% – 49.9%</x:v>
      </x:c>
      <x:c r="N42" s="6"/>
      <x:c r="O42" s="6"/>
    </x:row>
    <x:row r="43" ht="15">
      <x:c r="A43" s="6" t="s">
        <x:v>42</x:v>
      </x:c>
      <x:c r="B43" s="6" t="s">
        <x:v>14</x:v>
      </x:c>
      <x:c r="C43" s="6" t="str">
        <x:v>GR00T Frozen LLM</x:v>
      </x:c>
      <x:c r="D43" s="6" t="str">
        <x:v>GR00T Frozen LLM</x:v>
      </x:c>
      <x:c r="E43" s="7" t="n">
        <x:f>COUNTIFS('GR00T Vision'!$A$2:$A$901,"Success",'GR00T Vision'!$H$2:$H$901,$O$3,'GR00T Vision'!$B$2:$B$901,$B43)</x:f>
        <x:v>0</x:v>
      </x:c>
      <x:c r="F43" s="7" t="n">
        <x:f>COUNTIFS('GR00T Vision'!$A$2:$A$901,"Failure",'GR00T Vision'!$H$2:$H$901,$O$3,'GR00T Vision'!$B$2:$B$901,$B43)</x:f>
        <x:v>50</x:v>
      </x:c>
      <x:c r="G43" s="7">
        <x:f t="shared" si="7"/>
        <x:v>50</x:v>
      </x:c>
      <x:c r="H43" s="8">
        <x:f t="shared" si="8"/>
        <x:v>0</x:v>
      </x:c>
      <x:c r="I43" s="8">
        <x:f t="shared" si="9"/>
        <x:v>3.5675017087159366E-2</x:v>
      </x:c>
      <x:c r="J43" s="8">
        <x:f t="shared" si="10"/>
        <x:v>3.5675017087159366E-2</x:v>
      </x:c>
      <x:c r="K43" s="8">
        <x:f t="shared" si="11"/>
        <x:v>0</x:v>
      </x:c>
      <x:c r="L43" s="8">
        <x:f t="shared" si="12"/>
        <x:v>7.1350034174318733E-2</x:v>
      </x:c>
      <x:c r="M43" s="6" t="str">
        <x:f t="shared" si="13"/>
        <x:v>0.0% – 7.1%</x:v>
      </x:c>
      <x:c r="N43" s="6"/>
      <x:c r="O43" s="6"/>
    </x:row>
    <x:row r="44" ht="15">
      <x:c r="A44" s="6" t="s">
        <x:v>42</x:v>
      </x:c>
      <x:c r="B44" s="6" t="s">
        <x:v>14</x:v>
      </x:c>
      <x:c r="C44" s="6" t="s">
        <x:v>3</x:v>
      </x:c>
      <x:c r="D44" s="6" t="s">
        <x:v>3</x:v>
      </x:c>
      <x:c r="E44" s="7" t="n">
        <x:f>COUNTIFS(MolmoAct2!$A$2:$A$901,"Success",MolmoAct2!$H$2:$H$901,$O$3,MolmoAct2!$B$2:$B$901,$B44)</x:f>
        <x:v>0</x:v>
      </x:c>
      <x:c r="F44" s="7" t="n">
        <x:f>COUNTIFS(MolmoAct2!$A$2:$A$901,"Failure",MolmoAct2!$H$2:$H$901,$O$3,MolmoAct2!$B$2:$B$901,$B44)</x:f>
        <x:v>50</x:v>
      </x:c>
      <x:c r="G44" s="7">
        <x:f t="shared" si="7"/>
        <x:v>50</x:v>
      </x:c>
      <x:c r="H44" s="8">
        <x:f t="shared" si="8"/>
        <x:v>0</x:v>
      </x:c>
      <x:c r="I44" s="8">
        <x:f t="shared" si="9"/>
        <x:v>3.5675017087159366E-2</x:v>
      </x:c>
      <x:c r="J44" s="8">
        <x:f t="shared" si="10"/>
        <x:v>3.5675017087159366E-2</x:v>
      </x:c>
      <x:c r="K44" s="8">
        <x:f t="shared" si="11"/>
        <x:v>0</x:v>
      </x:c>
      <x:c r="L44" s="8">
        <x:f t="shared" si="12"/>
        <x:v>7.1350034174318733E-2</x:v>
      </x:c>
      <x:c r="M44" s="6" t="str">
        <x:f t="shared" si="13"/>
        <x:v>0.0% – 7.1%</x:v>
      </x:c>
      <x:c r="N44" s="6"/>
      <x:c r="O44" s="6"/>
    </x:row>
    <x:row r="45" ht="15">
      <x:c r="A45" s="6" t="s">
        <x:v>42</x:v>
      </x:c>
      <x:c r="B45" s="6" t="s">
        <x:v>14</x:v>
      </x:c>
      <x:c r="C45" s="6" t="s">
        <x:v>4</x:v>
      </x:c>
      <x:c r="D45" s="6" t="s">
        <x:v>4</x:v>
      </x:c>
      <x:c r="E45" s="7" t="n">
        <x:f>COUNTIFS('Pi0.5'!$A$2:$A$901,"Success",'Pi0.5'!$H$2:$H$901,$O$3,'Pi0.5'!$B$2:$B$901,$B45)</x:f>
        <x:v>0</x:v>
      </x:c>
      <x:c r="F45" s="7" t="n">
        <x:f>COUNTIFS('Pi0.5'!$A$2:$A$901,"Failure",'Pi0.5'!$H$2:$H$901,$O$3,'Pi0.5'!$B$2:$B$901,$B45)</x:f>
        <x:v>50</x:v>
      </x:c>
      <x:c r="G45" s="7">
        <x:f t="shared" si="7"/>
        <x:v>50</x:v>
      </x:c>
      <x:c r="H45" s="8">
        <x:f t="shared" si="8"/>
        <x:v>0</x:v>
      </x:c>
      <x:c r="I45" s="8">
        <x:f t="shared" si="9"/>
        <x:v>3.5675017087159366E-2</x:v>
      </x:c>
      <x:c r="J45" s="8">
        <x:f t="shared" si="10"/>
        <x:v>3.5675017087159366E-2</x:v>
      </x:c>
      <x:c r="K45" s="8">
        <x:f t="shared" si="11"/>
        <x:v>0</x:v>
      </x:c>
      <x:c r="L45" s="8">
        <x:f t="shared" si="12"/>
        <x:v>7.1350034174318733E-2</x:v>
      </x:c>
      <x:c r="M45" s="6" t="str">
        <x:f t="shared" si="13"/>
        <x:v>0.0% – 7.1%</x:v>
      </x:c>
      <x:c r="N45" s="6"/>
      <x:c r="O45" s="6"/>
    </x:row>
    <x:row r="46" ht="15">
      <x:c r="A46" s="6" t="s">
        <x:v>42</x:v>
      </x:c>
      <x:c r="B46" s="6" t="s">
        <x:v>15</x:v>
      </x:c>
      <x:c r="C46" s="6" t="str">
        <x:v>GR00T Frozen LLM</x:v>
      </x:c>
      <x:c r="D46" s="6" t="str">
        <x:v>GR00T Frozen LLM</x:v>
      </x:c>
      <x:c r="E46" s="7" t="n">
        <x:f>COUNTIFS('GR00T Vision'!$A$2:$A$901,"Success",'GR00T Vision'!$H$2:$H$901,$O$3,'GR00T Vision'!$B$2:$B$901,$B46)</x:f>
        <x:v>21</x:v>
      </x:c>
      <x:c r="F46" s="7" t="n">
        <x:f>COUNTIFS('GR00T Vision'!$A$2:$A$901,"Failure",'GR00T Vision'!$H$2:$H$901,$O$3,'GR00T Vision'!$B$2:$B$901,$B46)</x:f>
        <x:v>29</x:v>
      </x:c>
      <x:c r="G46" s="7">
        <x:f t="shared" si="7"/>
        <x:v>50</x:v>
      </x:c>
      <x:c r="H46" s="8">
        <x:f t="shared" si="8"/>
        <x:v>0.42</x:v>
      </x:c>
      <x:c r="I46" s="8">
        <x:f t="shared" si="9"/>
        <x:v>0.42570800273394549</x:v>
      </x:c>
      <x:c r="J46" s="8">
        <x:f t="shared" si="10"/>
        <x:v>0.13196003038827617</x:v>
      </x:c>
      <x:c r="K46" s="8">
        <x:f t="shared" si="11"/>
        <x:v>0.29374797234566929</x:v>
      </x:c>
      <x:c r="L46" s="8">
        <x:f t="shared" si="12"/>
        <x:v>0.55766803312222168</x:v>
      </x:c>
      <x:c r="M46" s="6" t="str">
        <x:f t="shared" si="13"/>
        <x:v>29.4% – 55.8%</x:v>
      </x:c>
      <x:c r="N46" s="6"/>
      <x:c r="O46" s="6"/>
    </x:row>
    <x:row r="47" ht="15">
      <x:c r="A47" s="6" t="s">
        <x:v>42</x:v>
      </x:c>
      <x:c r="B47" s="6" t="s">
        <x:v>15</x:v>
      </x:c>
      <x:c r="C47" s="6" t="s">
        <x:v>3</x:v>
      </x:c>
      <x:c r="D47" s="6" t="s">
        <x:v>3</x:v>
      </x:c>
      <x:c r="E47" s="7" t="n">
        <x:f>COUNTIFS(MolmoAct2!$A$2:$A$901,"Success",MolmoAct2!$H$2:$H$901,$O$3,MolmoAct2!$B$2:$B$901,$B47)</x:f>
        <x:v>27</x:v>
      </x:c>
      <x:c r="F47" s="7" t="n">
        <x:f>COUNTIFS(MolmoAct2!$A$2:$A$901,"Failure",MolmoAct2!$H$2:$H$901,$O$3,MolmoAct2!$B$2:$B$901,$B47)</x:f>
        <x:v>23</x:v>
      </x:c>
      <x:c r="G47" s="7">
        <x:f t="shared" si="7"/>
        <x:v>50</x:v>
      </x:c>
      <x:c r="H47" s="8">
        <x:f t="shared" si="8"/>
        <x:v>0.54</x:v>
      </x:c>
      <x:c r="I47" s="8">
        <x:f t="shared" si="9"/>
        <x:v>0.53714599863302726</x:v>
      </x:c>
      <x:c r="J47" s="8">
        <x:f t="shared" si="10"/>
        <x:v>0.13315965534914642</x:v>
      </x:c>
      <x:c r="K47" s="8">
        <x:f t="shared" si="11"/>
        <x:v>0.40398634328388083</x:v>
      </x:c>
      <x:c r="L47" s="8">
        <x:f t="shared" si="12"/>
        <x:v>0.67030565398217368</x:v>
      </x:c>
      <x:c r="M47" s="6" t="str">
        <x:f t="shared" si="13"/>
        <x:v>40.4% – 67.0%</x:v>
      </x:c>
      <x:c r="N47" s="6"/>
      <x:c r="O47" s="6"/>
    </x:row>
    <x:row r="48" ht="15">
      <x:c r="A48" s="6" t="s">
        <x:v>42</x:v>
      </x:c>
      <x:c r="B48" s="6" t="s">
        <x:v>15</x:v>
      </x:c>
      <x:c r="C48" s="6" t="s">
        <x:v>4</x:v>
      </x:c>
      <x:c r="D48" s="6" t="s">
        <x:v>4</x:v>
      </x:c>
      <x:c r="E48" s="7" t="n">
        <x:f>COUNTIFS('Pi0.5'!$A$2:$A$901,"Success",'Pi0.5'!$H$2:$H$901,$O$3,'Pi0.5'!$B$2:$B$901,$B48)</x:f>
        <x:v>23</x:v>
      </x:c>
      <x:c r="F48" s="7" t="n">
        <x:f>COUNTIFS('Pi0.5'!$A$2:$A$901,"Failure",'Pi0.5'!$H$2:$H$901,$O$3,'Pi0.5'!$B$2:$B$901,$B48)</x:f>
        <x:v>27</x:v>
      </x:c>
      <x:c r="G48" s="7">
        <x:f t="shared" si="7"/>
        <x:v>50</x:v>
      </x:c>
      <x:c r="H48" s="8">
        <x:f t="shared" si="8"/>
        <x:v>0.46</x:v>
      </x:c>
      <x:c r="I48" s="8">
        <x:f t="shared" si="9"/>
        <x:v>0.46285400136697274</x:v>
      </x:c>
      <x:c r="J48" s="8">
        <x:f t="shared" si="10"/>
        <x:v>0.13315965534914642</x:v>
      </x:c>
      <x:c r="K48" s="8">
        <x:f t="shared" si="11"/>
        <x:v>0.32969434601782632</x:v>
      </x:c>
      <x:c r="L48" s="8">
        <x:f t="shared" si="12"/>
        <x:v>0.59601365671611917</x:v>
      </x:c>
      <x:c r="M48" s="6" t="str">
        <x:f t="shared" si="13"/>
        <x:v>33.0% – 59.6%</x:v>
      </x:c>
      <x:c r="N48" s="6"/>
      <x:c r="O48" s="6"/>
    </x:row>
    <x:row r="49" ht="15">
      <x:c r="A49" s="6" t="s">
        <x:v>42</x:v>
      </x:c>
      <x:c r="B49" s="6" t="s">
        <x:v>16</x:v>
      </x:c>
      <x:c r="C49" s="6" t="str">
        <x:v>GR00T Frozen LLM</x:v>
      </x:c>
      <x:c r="D49" s="6" t="str">
        <x:v>GR00T Frozen LLM</x:v>
      </x:c>
      <x:c r="E49" s="7" t="n">
        <x:f>COUNTIFS('GR00T Vision'!$A$2:$A$901,"Success",'GR00T Vision'!$H$2:$H$901,$O$3,'GR00T Vision'!$B$2:$B$901,$B49)</x:f>
        <x:v>39</x:v>
      </x:c>
      <x:c r="F49" s="7" t="n">
        <x:f>COUNTIFS('GR00T Vision'!$A$2:$A$901,"Failure",'GR00T Vision'!$H$2:$H$901,$O$3,'GR00T Vision'!$B$2:$B$901,$B49)</x:f>
        <x:v>11</x:v>
      </x:c>
      <x:c r="G49" s="7">
        <x:f t="shared" si="7"/>
        <x:v>50</x:v>
      </x:c>
      <x:c r="H49" s="8">
        <x:f t="shared" si="8"/>
        <x:v>0.78</x:v>
      </x:c>
      <x:c r="I49" s="8">
        <x:f t="shared" si="9"/>
        <x:v>0.76002199043119079</x:v>
      </x:c>
      <x:c r="J49" s="8">
        <x:f t="shared" si="10"/>
        <x:v>0.1124401473257863</x:v>
      </x:c>
      <x:c r="K49" s="8">
        <x:f t="shared" si="11"/>
        <x:v>0.64758184310540445</x:v>
      </x:c>
      <x:c r="L49" s="8">
        <x:f t="shared" si="12"/>
        <x:v>0.87246213775697712</x:v>
      </x:c>
      <x:c r="M49" s="6" t="str">
        <x:f t="shared" si="13"/>
        <x:v>64.8% – 87.2%</x:v>
      </x:c>
      <x:c r="N49" s="6"/>
      <x:c r="O49" s="6"/>
    </x:row>
    <x:row r="50" ht="15">
      <x:c r="A50" s="6" t="s">
        <x:v>42</x:v>
      </x:c>
      <x:c r="B50" s="6" t="s">
        <x:v>16</x:v>
      </x:c>
      <x:c r="C50" s="6" t="s">
        <x:v>3</x:v>
      </x:c>
      <x:c r="D50" s="6" t="s">
        <x:v>3</x:v>
      </x:c>
      <x:c r="E50" s="7" t="n">
        <x:f>COUNTIFS(MolmoAct2!$A$2:$A$901,"Success",MolmoAct2!$H$2:$H$901,$O$3,MolmoAct2!$B$2:$B$901,$B50)</x:f>
        <x:v>25</x:v>
      </x:c>
      <x:c r="F50" s="7" t="n">
        <x:f>COUNTIFS(MolmoAct2!$A$2:$A$901,"Failure",MolmoAct2!$H$2:$H$901,$O$3,MolmoAct2!$B$2:$B$901,$B50)</x:f>
        <x:v>25</x:v>
      </x:c>
      <x:c r="G50" s="7">
        <x:f t="shared" si="7"/>
        <x:v>50</x:v>
      </x:c>
      <x:c r="H50" s="8">
        <x:f t="shared" si="8"/>
        <x:v>0.5</x:v>
      </x:c>
      <x:c r="I50" s="8">
        <x:f t="shared" si="9"/>
        <x:v>0.5</x:v>
      </x:c>
      <x:c r="J50" s="8">
        <x:f t="shared" si="10"/>
        <x:v>0.13355713587667145</x:v>
      </x:c>
      <x:c r="K50" s="8">
        <x:f t="shared" si="11"/>
        <x:v>0.36644286412332855</x:v>
      </x:c>
      <x:c r="L50" s="8">
        <x:f t="shared" si="12"/>
        <x:v>0.6335571358766714</x:v>
      </x:c>
      <x:c r="M50" s="6" t="str">
        <x:f t="shared" si="13"/>
        <x:v>36.6% – 63.4%</x:v>
      </x:c>
      <x:c r="N50" s="6"/>
      <x:c r="O50" s="6"/>
    </x:row>
    <x:row r="51" ht="15">
      <x:c r="A51" s="6" t="s">
        <x:v>42</x:v>
      </x:c>
      <x:c r="B51" s="6" t="s">
        <x:v>16</x:v>
      </x:c>
      <x:c r="C51" s="6" t="s">
        <x:v>4</x:v>
      </x:c>
      <x:c r="D51" s="6" t="s">
        <x:v>4</x:v>
      </x:c>
      <x:c r="E51" s="7" t="n">
        <x:f>COUNTIFS('Pi0.5'!$A$2:$A$901,"Success",'Pi0.5'!$H$2:$H$901,$O$3,'Pi0.5'!$B$2:$B$901,$B51)</x:f>
        <x:v>36</x:v>
      </x:c>
      <x:c r="F51" s="7" t="n">
        <x:f>COUNTIFS('Pi0.5'!$A$2:$A$901,"Failure",'Pi0.5'!$H$2:$H$901,$O$3,'Pi0.5'!$B$2:$B$901,$B51)</x:f>
        <x:v>14</x:v>
      </x:c>
      <x:c r="G51" s="7">
        <x:f t="shared" si="7"/>
        <x:v>50</x:v>
      </x:c>
      <x:c r="H51" s="8">
        <x:f t="shared" si="8"/>
        <x:v>0.72</x:v>
      </x:c>
      <x:c r="I51" s="8">
        <x:f t="shared" si="9"/>
        <x:v>0.70430299248164985</x:v>
      </x:c>
      <x:c r="J51" s="8">
        <x:f t="shared" si="10"/>
        <x:v>0.12095686394154652</x:v>
      </x:c>
      <x:c r="K51" s="8">
        <x:f t="shared" si="11"/>
        <x:v>0.58334612854010337</x:v>
      </x:c>
      <x:c r="L51" s="8">
        <x:f t="shared" si="12"/>
        <x:v>0.82525985642319633</x:v>
      </x:c>
      <x:c r="M51" s="6" t="str">
        <x:f t="shared" si="13"/>
        <x:v>58.3% – 82.5%</x:v>
      </x:c>
      <x:c r="N51" s="6"/>
      <x:c r="O51" s="6"/>
    </x:row>
    <x:row r="52" ht="15">
      <x:c r="A52" s="6" t="s">
        <x:v>42</x:v>
      </x:c>
      <x:c r="B52" s="6" t="s">
        <x:v>17</x:v>
      </x:c>
      <x:c r="C52" s="6" t="str">
        <x:v>GR00T Frozen LLM</x:v>
      </x:c>
      <x:c r="D52" s="6" t="str">
        <x:v>GR00T Frozen LLM</x:v>
      </x:c>
      <x:c r="E52" s="7" t="n">
        <x:f>COUNTIFS('GR00T Vision'!$A$2:$A$901,"Success",'GR00T Vision'!$H$2:$H$901,$O$3,'GR00T Vision'!$B$2:$B$901,$B52)</x:f>
        <x:v>27</x:v>
      </x:c>
      <x:c r="F52" s="7" t="n">
        <x:f>COUNTIFS('GR00T Vision'!$A$2:$A$901,"Failure",'GR00T Vision'!$H$2:$H$901,$O$3,'GR00T Vision'!$B$2:$B$901,$B52)</x:f>
        <x:v>23</x:v>
      </x:c>
      <x:c r="G52" s="7">
        <x:f t="shared" si="7"/>
        <x:v>50</x:v>
      </x:c>
      <x:c r="H52" s="8">
        <x:f t="shared" si="8"/>
        <x:v>0.54</x:v>
      </x:c>
      <x:c r="I52" s="8">
        <x:f t="shared" si="9"/>
        <x:v>0.53714599863302726</x:v>
      </x:c>
      <x:c r="J52" s="8">
        <x:f t="shared" si="10"/>
        <x:v>0.13315965534914642</x:v>
      </x:c>
      <x:c r="K52" s="8">
        <x:f t="shared" si="11"/>
        <x:v>0.40398634328388083</x:v>
      </x:c>
      <x:c r="L52" s="8">
        <x:f t="shared" si="12"/>
        <x:v>0.67030565398217368</x:v>
      </x:c>
      <x:c r="M52" s="6" t="str">
        <x:f t="shared" si="13"/>
        <x:v>40.4% – 67.0%</x:v>
      </x:c>
      <x:c r="N52" s="6"/>
      <x:c r="O52" s="6"/>
    </x:row>
    <x:row r="53" ht="15">
      <x:c r="A53" s="6" t="s">
        <x:v>42</x:v>
      </x:c>
      <x:c r="B53" s="6" t="s">
        <x:v>17</x:v>
      </x:c>
      <x:c r="C53" s="6" t="s">
        <x:v>3</x:v>
      </x:c>
      <x:c r="D53" s="6" t="s">
        <x:v>3</x:v>
      </x:c>
      <x:c r="E53" s="7" t="n">
        <x:f>COUNTIFS(MolmoAct2!$A$2:$A$901,"Success",MolmoAct2!$H$2:$H$901,$O$3,MolmoAct2!$B$2:$B$901,$B53)</x:f>
        <x:v>34</x:v>
      </x:c>
      <x:c r="F53" s="7" t="n">
        <x:f>COUNTIFS(MolmoAct2!$A$2:$A$901,"Failure",MolmoAct2!$H$2:$H$901,$O$3,MolmoAct2!$B$2:$B$901,$B53)</x:f>
        <x:v>16</x:v>
      </x:c>
      <x:c r="G53" s="7">
        <x:f t="shared" si="7"/>
        <x:v>50</x:v>
      </x:c>
      <x:c r="H53" s="8">
        <x:f t="shared" si="8"/>
        <x:v>0.68</x:v>
      </x:c>
      <x:c r="I53" s="8">
        <x:f t="shared" si="9"/>
        <x:v>0.6671569938486227</x:v>
      </x:c>
      <x:c r="J53" s="8">
        <x:f t="shared" si="10"/>
        <x:v>0.12526256521138338</x:v>
      </x:c>
      <x:c r="K53" s="8">
        <x:f t="shared" si="11"/>
        <x:v>0.54189442863723936</x:v>
      </x:c>
      <x:c r="L53" s="8">
        <x:f t="shared" si="12"/>
        <x:v>0.79241955906000605</x:v>
      </x:c>
      <x:c r="M53" s="6" t="str">
        <x:f t="shared" si="13"/>
        <x:v>54.2% – 79.2%</x:v>
      </x:c>
      <x:c r="N53" s="6"/>
      <x:c r="O53" s="6"/>
    </x:row>
    <x:row r="54" ht="15">
      <x:c r="A54" s="6" t="s">
        <x:v>42</x:v>
      </x:c>
      <x:c r="B54" s="6" t="s">
        <x:v>17</x:v>
      </x:c>
      <x:c r="C54" s="6" t="s">
        <x:v>4</x:v>
      </x:c>
      <x:c r="D54" s="6" t="s">
        <x:v>4</x:v>
      </x:c>
      <x:c r="E54" s="7" t="n">
        <x:f>COUNTIFS('Pi0.5'!$A$2:$A$901,"Success",'Pi0.5'!$H$2:$H$901,$O$3,'Pi0.5'!$B$2:$B$901,$B54)</x:f>
        <x:v>18</x:v>
      </x:c>
      <x:c r="F54" s="7" t="n">
        <x:f>COUNTIFS('Pi0.5'!$A$2:$A$901,"Failure",'Pi0.5'!$H$2:$H$901,$O$3,'Pi0.5'!$B$2:$B$901,$B54)</x:f>
        <x:v>32</x:v>
      </x:c>
      <x:c r="G54" s="7">
        <x:f t="shared" si="7"/>
        <x:v>50</x:v>
      </x:c>
      <x:c r="H54" s="8">
        <x:f t="shared" si="8"/>
        <x:v>0.36</x:v>
      </x:c>
      <x:c r="I54" s="8">
        <x:f t="shared" si="9"/>
        <x:v>0.36998900478440461</x:v>
      </x:c>
      <x:c r="J54" s="8">
        <x:f t="shared" si="10"/>
        <x:v>0.12860337511257586</x:v>
      </x:c>
      <x:c r="K54" s="8">
        <x:f t="shared" si="11"/>
        <x:v>0.24138562967182875</x:v>
      </x:c>
      <x:c r="L54" s="8">
        <x:f t="shared" si="12"/>
        <x:v>0.49859237989698046</x:v>
      </x:c>
      <x:c r="M54" s="6" t="str">
        <x:f t="shared" si="13"/>
        <x:v>24.1% – 49.9%</x:v>
      </x:c>
      <x:c r="N54" s="6"/>
      <x:c r="O54" s="6"/>
    </x:row>
    <x:row r="55" ht="15">
      <x:c r="A55" s="6" t="s">
        <x:v>42</x:v>
      </x:c>
      <x:c r="B55" s="6" t="s">
        <x:v>18</x:v>
      </x:c>
      <x:c r="C55" s="6" t="str">
        <x:v>GR00T Frozen LLM</x:v>
      </x:c>
      <x:c r="D55" s="6" t="str">
        <x:v>GR00T Frozen LLM</x:v>
      </x:c>
      <x:c r="E55" s="7" t="n">
        <x:f>COUNTIFS('GR00T Vision'!$A$2:$A$901,"Success",'GR00T Vision'!$H$2:$H$901,$O$3,'GR00T Vision'!$B$2:$B$901,$B55)</x:f>
        <x:v>29</x:v>
      </x:c>
      <x:c r="F55" s="7" t="n">
        <x:f>COUNTIFS('GR00T Vision'!$A$2:$A$901,"Failure",'GR00T Vision'!$H$2:$H$901,$O$3,'GR00T Vision'!$B$2:$B$901,$B55)</x:f>
        <x:v>21</x:v>
      </x:c>
      <x:c r="G55" s="7">
        <x:f t="shared" si="7"/>
        <x:v>50</x:v>
      </x:c>
      <x:c r="H55" s="8">
        <x:f t="shared" si="8"/>
        <x:v>0.57999999999999996</x:v>
      </x:c>
      <x:c r="I55" s="8">
        <x:f t="shared" si="9"/>
        <x:v>0.57429199726605451</x:v>
      </x:c>
      <x:c r="J55" s="8">
        <x:f t="shared" si="10"/>
        <x:v>0.13196003038827617</x:v>
      </x:c>
      <x:c r="K55" s="8">
        <x:f t="shared" si="11"/>
        <x:v>0.44233196687777832</x:v>
      </x:c>
      <x:c r="L55" s="8">
        <x:f t="shared" si="12"/>
        <x:v>0.70625202765433071</x:v>
      </x:c>
      <x:c r="M55" s="6" t="str">
        <x:f t="shared" si="13"/>
        <x:v>44.2% – 70.6%</x:v>
      </x:c>
      <x:c r="N55" s="6"/>
      <x:c r="O55" s="6"/>
    </x:row>
    <x:row r="56" ht="15">
      <x:c r="A56" s="6" t="s">
        <x:v>42</x:v>
      </x:c>
      <x:c r="B56" s="6" t="s">
        <x:v>18</x:v>
      </x:c>
      <x:c r="C56" s="6" t="s">
        <x:v>3</x:v>
      </x:c>
      <x:c r="D56" s="6" t="s">
        <x:v>3</x:v>
      </x:c>
      <x:c r="E56" s="7" t="n">
        <x:f>COUNTIFS(MolmoAct2!$A$2:$A$901,"Success",MolmoAct2!$H$2:$H$901,$O$3,MolmoAct2!$B$2:$B$901,$B56)</x:f>
        <x:v>32</x:v>
      </x:c>
      <x:c r="F56" s="7" t="n">
        <x:f>COUNTIFS(MolmoAct2!$A$2:$A$901,"Failure",MolmoAct2!$H$2:$H$901,$O$3,MolmoAct2!$B$2:$B$901,$B56)</x:f>
        <x:v>18</x:v>
      </x:c>
      <x:c r="G56" s="7">
        <x:f t="shared" si="7"/>
        <x:v>50</x:v>
      </x:c>
      <x:c r="H56" s="8">
        <x:f t="shared" si="8"/>
        <x:v>0.64</x:v>
      </x:c>
      <x:c r="I56" s="8">
        <x:f t="shared" si="9"/>
        <x:v>0.63001099521559534</x:v>
      </x:c>
      <x:c r="J56" s="8">
        <x:f t="shared" si="10"/>
        <x:v>0.12860337511257586</x:v>
      </x:c>
      <x:c r="K56" s="8">
        <x:f t="shared" si="11"/>
        <x:v>0.50140762010301954</x:v>
      </x:c>
      <x:c r="L56" s="8">
        <x:f t="shared" si="12"/>
        <x:v>0.75861437032817114</x:v>
      </x:c>
      <x:c r="M56" s="6" t="str">
        <x:f t="shared" si="13"/>
        <x:v>50.1% – 75.9%</x:v>
      </x:c>
      <x:c r="N56" s="6"/>
      <x:c r="O56" s="6"/>
    </x:row>
    <x:row r="57" ht="15">
      <x:c r="A57" s="6" t="s">
        <x:v>42</x:v>
      </x:c>
      <x:c r="B57" s="6" t="s">
        <x:v>18</x:v>
      </x:c>
      <x:c r="C57" s="6" t="s">
        <x:v>4</x:v>
      </x:c>
      <x:c r="D57" s="6" t="s">
        <x:v>4</x:v>
      </x:c>
      <x:c r="E57" s="7" t="n">
        <x:f>COUNTIFS('Pi0.5'!$A$2:$A$901,"Success",'Pi0.5'!$H$2:$H$901,$O$3,'Pi0.5'!$B$2:$B$901,$B57)</x:f>
        <x:v>27</x:v>
      </x:c>
      <x:c r="F57" s="7" t="n">
        <x:f>COUNTIFS('Pi0.5'!$A$2:$A$901,"Failure",'Pi0.5'!$H$2:$H$901,$O$3,'Pi0.5'!$B$2:$B$901,$B57)</x:f>
        <x:v>23</x:v>
      </x:c>
      <x:c r="G57" s="7">
        <x:f t="shared" si="7"/>
        <x:v>50</x:v>
      </x:c>
      <x:c r="H57" s="8">
        <x:f t="shared" si="8"/>
        <x:v>0.54</x:v>
      </x:c>
      <x:c r="I57" s="8">
        <x:f t="shared" si="9"/>
        <x:v>0.53714599863302726</x:v>
      </x:c>
      <x:c r="J57" s="8">
        <x:f t="shared" si="10"/>
        <x:v>0.13315965534914642</x:v>
      </x:c>
      <x:c r="K57" s="8">
        <x:f t="shared" si="11"/>
        <x:v>0.40398634328388083</x:v>
      </x:c>
      <x:c r="L57" s="8">
        <x:f t="shared" si="12"/>
        <x:v>0.67030565398217368</x:v>
      </x:c>
      <x:c r="M57" s="6" t="str">
        <x:f t="shared" si="13"/>
        <x:v>40.4% – 67.0%</x:v>
      </x:c>
      <x:c r="N57" s="6"/>
      <x:c r="O57" s="6"/>
    </x:row>
  </x:sheetData>
  <x:pageMargins left="0.7" right="0.7" top="0.75" bottom="0.75" header="0.3" footer="0.3"/>
  <x:tableParts count="1">
    <x:tablePart xmlns:r="http://schemas.openxmlformats.org/officeDocument/2006/relationships" r:id="Rff4b1472113147a9"/>
  </x:tableParts>
</x:worksheet>
</file>

<file path=xl/worksheets/sheet10.xml><?xml version="1.0" encoding="utf-8"?>
<x:worksheet xmlns:x="http://schemas.openxmlformats.org/spreadsheetml/2006/main">
  <x:sheetViews>
    <x:sheetView showGridLines="0" workbookViewId="0"/>
  </x:sheetViews>
  <x:sheetFormatPr baseColWidth="10" defaultColWidth="8.83203125" defaultRowHeight="14"/>
  <x:cols>
    <x:col min="1" max="8" width="6.5" customWidth="1"/>
    <x:col min="9" max="9" width="2.1640625" customWidth="1"/>
    <x:col min="10" max="17" width="6.5" customWidth="1"/>
    <x:col min="18" max="18" width="2.1640625" customWidth="1"/>
    <x:col min="19" max="26" width="6.5" customWidth="1"/>
  </x:cols>
  <x:sheetData>
    <x:row r="1" ht="24" customHeight="1">
      <x:c r="A1" s="29" t="s">
        <x:v>3284</x:v>
      </x:c>
      <x:c r="B1" s="29"/>
      <x:c r="C1" s="29"/>
      <x:c r="D1" s="29"/>
      <x:c r="E1" s="29"/>
      <x:c r="F1" s="29"/>
      <x:c r="G1" s="29"/>
      <x:c r="H1" s="29"/>
      <x:c r="I1" s="29"/>
      <x:c r="J1" s="29"/>
      <x:c r="K1" s="29"/>
      <x:c r="L1" s="29"/>
      <x:c r="M1" s="29"/>
      <x:c r="N1" s="29"/>
      <x:c r="O1" s="29"/>
      <x:c r="P1" s="29"/>
      <x:c r="Q1" s="29"/>
      <x:c r="R1" s="29"/>
      <x:c r="S1" s="29"/>
      <x:c r="T1" s="29"/>
      <x:c r="U1" s="29"/>
      <x:c r="V1" s="29"/>
      <x:c r="W1" s="29"/>
      <x:c r="X1" s="29"/>
      <x:c r="Y1" s="29"/>
      <x:c r="Z1" s="29"/>
    </x:row>
    <x:row r="2" ht="25.5" customHeight="1">
      <x:c r="A2" s="30" t="s">
        <x:v>3285</x:v>
      </x:c>
      <x:c r="B2" s="30"/>
      <x:c r="C2" s="30"/>
      <x:c r="D2" s="30"/>
      <x:c r="E2" s="30"/>
      <x:c r="F2" s="30"/>
      <x:c r="G2" s="30"/>
      <x:c r="H2" s="30"/>
      <x:c r="I2" s="30"/>
      <x:c r="J2" s="30"/>
      <x:c r="K2" s="30"/>
      <x:c r="L2" s="30"/>
      <x:c r="M2" s="30"/>
      <x:c r="N2" s="30"/>
      <x:c r="O2" s="30"/>
      <x:c r="P2" s="30"/>
      <x:c r="Q2" s="30"/>
      <x:c r="R2" s="30"/>
      <x:c r="S2" s="30"/>
      <x:c r="T2" s="30"/>
      <x:c r="U2" s="30"/>
      <x:c r="V2" s="30"/>
      <x:c r="W2" s="30"/>
      <x:c r="X2" s="30"/>
      <x:c r="Y2" s="30"/>
      <x:c r="Z2" s="30"/>
    </x:row>
    <x:row r="3" ht="18" customHeight="1">
      <x:c r="A3" s="31" t="s">
        <x:v>3286</x:v>
      </x:c>
      <x:c r="B3" s="31"/>
      <x:c r="C3" s="31"/>
      <x:c r="D3" s="31"/>
      <x:c r="E3" s="31"/>
      <x:c r="F3" s="31"/>
      <x:c r="G3" s="31"/>
      <x:c r="H3" s="31"/>
      <x:c r="I3" s="31"/>
      <x:c r="J3" s="31"/>
      <x:c r="K3" s="31"/>
      <x:c r="L3" s="31"/>
      <x:c r="M3" s="31"/>
      <x:c r="N3" s="31"/>
      <x:c r="O3" s="31"/>
      <x:c r="P3" s="31"/>
      <x:c r="Q3" s="31"/>
      <x:c r="R3" s="31"/>
      <x:c r="S3" s="31"/>
      <x:c r="T3" s="31"/>
      <x:c r="U3" s="31"/>
      <x:c r="V3" s="31"/>
      <x:c r="W3" s="31"/>
      <x:c r="X3" s="31"/>
      <x:c r="Y3" s="31"/>
      <x:c r="Z3" s="31"/>
    </x:row>
    <x:row r="4" ht="15" customHeight="1"/>
    <x:row r="5" ht="15" customHeight="1"/>
    <x:row r="6" ht="15" customHeight="1"/>
    <x:row r="7" ht="15" customHeight="1"/>
    <x:row r="8" ht="15" customHeight="1"/>
    <x:row r="9" ht="15" customHeight="1"/>
    <x:row r="10" ht="15" customHeight="1"/>
    <x:row r="11" ht="15" customHeight="1"/>
    <x:row r="12" ht="15" customHeight="1"/>
    <x:row r="13" ht="15" customHeight="1"/>
    <x:row r="14" ht="15" customHeight="1"/>
    <x:row r="15" ht="15" customHeight="1"/>
    <x:row r="16" ht="15" customHeight="1"/>
    <x:row r="17" ht="15" customHeight="1"/>
    <x:row r="18" ht="15" customHeight="1">
      <x:c r="A18" s="23" t="s">
        <x:v>3287</x:v>
      </x:c>
      <x:c r="B18" s="23" t="s">
        <x:v>2</x:v>
      </x:c>
      <x:c r="C18" s="23" t="str">
        <x:v>GR00T Frozen LLM</x:v>
      </x:c>
      <x:c r="D18" s="23" t="str">
        <x:v>GR00T Full Fine-Tune</x:v>
      </x:c>
      <x:c r="E18" s="23" t="s">
        <x:v>3</x:v>
      </x:c>
      <x:c r="F18" s="23" t="s">
        <x:v>4</x:v>
      </x:c>
      <x:c r="J18" s="23" t="s">
        <x:v>3287</x:v>
      </x:c>
      <x:c r="K18" s="23" t="s">
        <x:v>2</x:v>
      </x:c>
      <x:c r="L18" s="23" t="str">
        <x:v>GR00T Frozen LLM</x:v>
      </x:c>
      <x:c r="M18" s="23" t="str">
        <x:v>GR00T Full Fine-Tune</x:v>
      </x:c>
      <x:c r="N18" s="23" t="s">
        <x:v>3</x:v>
      </x:c>
      <x:c r="O18" s="23" t="s">
        <x:v>4</x:v>
      </x:c>
      <x:c r="S18" s="23" t="s">
        <x:v>3287</x:v>
      </x:c>
      <x:c r="T18" s="23" t="s">
        <x:v>2</x:v>
      </x:c>
      <x:c r="U18" s="23" t="str">
        <x:v>GR00T Frozen LLM</x:v>
      </x:c>
      <x:c r="V18" s="23" t="str">
        <x:v>GR00T Full Fine-Tune</x:v>
      </x:c>
      <x:c r="W18" s="23" t="s">
        <x:v>3</x:v>
      </x:c>
      <x:c r="X18" s="23" t="s">
        <x:v>4</x:v>
      </x:c>
    </x:row>
    <x:row r="19" ht="15" customHeight="1">
      <x:c r="A19" s="24" t="s">
        <x:v>8</x:v>
      </x:c>
      <x:c r="B19" s="25" t="n">
        <x:f>'Analysis Data'!H15</x:f>
        <x:v>0</x:v>
      </x:c>
      <x:c r="C19" s="25" t="n">
        <x:f>'Analysis Data'!H16</x:f>
        <x:v>0.6</x:v>
      </x:c>
      <x:c r="D19" s="25" t="n">
        <x:f>'Analysis Data'!H17</x:f>
        <x:v>0.35</x:v>
      </x:c>
      <x:c r="E19" s="25" t="n">
        <x:f>'Analysis Data'!H18</x:f>
        <x:v>0.6</x:v>
      </x:c>
      <x:c r="F19" s="25" t="n">
        <x:f>'Analysis Data'!H19</x:f>
        <x:v>0.55</x:v>
      </x:c>
      <x:c r="J19" s="24" t="s">
        <x:v>8</x:v>
      </x:c>
      <x:c r="K19" s="25" t="n">
        <x:f>'Analysis Data'!H20</x:f>
        <x:v>0</x:v>
      </x:c>
      <x:c r="L19" s="25" t="n">
        <x:f>'Analysis Data'!H21</x:f>
        <x:v>0.45</x:v>
      </x:c>
      <x:c r="M19" s="25" t="n">
        <x:f>'Analysis Data'!H22</x:f>
        <x:v>0.15</x:v>
      </x:c>
      <x:c r="N19" s="25" t="n">
        <x:f>'Analysis Data'!H23</x:f>
        <x:v>0.5</x:v>
      </x:c>
      <x:c r="O19" s="25" t="n">
        <x:f>'Analysis Data'!H24</x:f>
        <x:v>0.35</x:v>
      </x:c>
      <x:c r="S19" s="24" t="s">
        <x:v>8</x:v>
      </x:c>
      <x:c r="T19" s="25" t="n">
        <x:f>'Analysis Data'!H25</x:f>
        <x:v>0</x:v>
      </x:c>
      <x:c r="U19" s="25" t="n">
        <x:f>'Analysis Data'!H26</x:f>
        <x:v>0.7</x:v>
      </x:c>
      <x:c r="V19" s="25" t="n">
        <x:f>'Analysis Data'!H27</x:f>
        <x:v>0</x:v>
      </x:c>
      <x:c r="W19" s="25" t="n">
        <x:f>'Analysis Data'!H28</x:f>
        <x:v>0.8</x:v>
      </x:c>
      <x:c r="X19" s="25" t="n">
        <x:f>'Analysis Data'!H29</x:f>
        <x:v>0.65</x:v>
      </x:c>
    </x:row>
    <x:row r="20" ht="15" customHeight="1">
      <x:c r="A20" s="24" t="s">
        <x:v>3288</x:v>
      </x:c>
      <x:c r="B20" s="25" t="n">
        <x:f>'Analysis Data'!K15</x:f>
        <x:v>0</x:v>
      </x:c>
      <x:c r="C20" s="25" t="n">
        <x:f>'Analysis Data'!K16</x:f>
        <x:v>0.3865779423152061</x:v>
      </x:c>
      <x:c r="D20" s="25" t="n">
        <x:f>'Analysis Data'!K17</x:f>
        <x:v>0.18118954786794464</x:v>
      </x:c>
      <x:c r="E20" s="25" t="n">
        <x:f>'Analysis Data'!K18</x:f>
        <x:v>0.3865779423152061</x:v>
      </x:c>
      <x:c r="F20" s="25" t="n">
        <x:f>'Analysis Data'!K19</x:f>
        <x:v>0.3420820083075997</x:v>
      </x:c>
      <x:c r="J20" s="24" t="s">
        <x:v>3288</x:v>
      </x:c>
      <x:c r="K20" s="25" t="n">
        <x:f>'Analysis Data'!K20</x:f>
        <x:v>0</x:v>
      </x:c>
      <x:c r="L20" s="25" t="n">
        <x:f>'Analysis Data'!K21</x:f>
        <x:v>0.25819502085709295</x:v>
      </x:c>
      <x:c r="M20" s="25" t="n">
        <x:f>'Analysis Data'!K22</x:f>
        <x:v>0.05236779195949584</x:v>
      </x:c>
      <x:c r="N20" s="25" t="n">
        <x:f>'Analysis Data'!K23</x:f>
        <x:v>0.2992949144298199</x:v>
      </x:c>
      <x:c r="O20" s="25" t="n">
        <x:f>'Analysis Data'!K24</x:f>
        <x:v>0.18118954786794464</x:v>
      </x:c>
      <x:c r="S20" s="24" t="s">
        <x:v>3288</x:v>
      </x:c>
      <x:c r="T20" s="25" t="n">
        <x:f>'Analysis Data'!K25</x:f>
        <x:v>0</x:v>
      </x:c>
      <x:c r="U20" s="25" t="n">
        <x:f>'Analysis Data'!K26</x:f>
        <x:v>0.4810232237710206</x:v>
      </x:c>
      <x:c r="V20" s="25" t="n">
        <x:f>'Analysis Data'!K27</x:f>
        <x:v>0</x:v>
      </x:c>
      <x:c r="W20" s="25" t="n">
        <x:f>'Analysis Data'!K28</x:f>
        <x:v>0.5839782779742401</x:v>
      </x:c>
      <x:c r="X20" s="25" t="n">
        <x:f>'Analysis Data'!K29</x:f>
        <x:v>0.43285051021946463</x:v>
      </x:c>
    </x:row>
    <x:row r="21" ht="15" customHeight="1">
      <x:c r="A21" s="24" t="s">
        <x:v>3289</x:v>
      </x:c>
      <x:c r="B21" s="25" t="n">
        <x:f>'Analysis Data'!L15</x:f>
        <x:v>0.2775401687666166</x:v>
      </x:c>
      <x:c r="C21" s="25" t="n">
        <x:f>'Analysis Data'!L16</x:f>
        <x:v>0.7811960325858074</x:v>
      </x:c>
      <x:c r="D21" s="25" t="n">
        <x:f>'Analysis Data'!L17</x:f>
        <x:v>0.5671494897805354</x:v>
      </x:c>
      <x:c r="E21" s="25" t="n">
        <x:f>'Analysis Data'!L18</x:f>
        <x:v>0.7811960325858074</x:v>
      </x:c>
      <x:c r="F21" s="25" t="n">
        <x:f>'Analysis Data'!L19</x:f>
        <x:v>0.7418049791429071</x:v>
      </x:c>
      <x:c r="J21" s="24" t="s">
        <x:v>3289</x:v>
      </x:c>
      <x:c r="K21" s="25" t="n">
        <x:f>'Analysis Data'!L20</x:f>
        <x:v>0.2775401687666166</x:v>
      </x:c>
      <x:c r="L21" s="25" t="n">
        <x:f>'Analysis Data'!L21</x:f>
        <x:v>0.6579179916924003</x:v>
      </x:c>
      <x:c r="M21" s="25" t="n">
        <x:f>'Analysis Data'!L22</x:f>
        <x:v>0.36042329588695743</x:v>
      </x:c>
      <x:c r="N21" s="25" t="n">
        <x:f>'Analysis Data'!L23</x:f>
        <x:v>0.7007050855701801</x:v>
      </x:c>
      <x:c r="O21" s="25" t="n">
        <x:f>'Analysis Data'!L24</x:f>
        <x:v>0.5671494897805354</x:v>
      </x:c>
      <x:c r="S21" s="24" t="s">
        <x:v>3289</x:v>
      </x:c>
      <x:c r="T21" s="25" t="n">
        <x:f>'Analysis Data'!L25</x:f>
        <x:v>0.2425007574992425</x:v>
      </x:c>
      <x:c r="U21" s="25" t="n">
        <x:f>'Analysis Data'!L26</x:f>
        <x:v>0.854524726031006</x:v>
      </x:c>
      <x:c r="V21" s="25" t="n">
        <x:f>'Analysis Data'!L27</x:f>
        <x:v>0.1611301254949332</x:v>
      </x:c>
      <x:c r="W21" s="25" t="n">
        <x:f>'Analysis Data'!L28</x:f>
        <x:v>0.9193436467288</x:v>
      </x:c>
      <x:c r="X21" s="25" t="n">
        <x:f>'Analysis Data'!L29</x:f>
        <x:v>0.8188104521320554</x:v>
      </x:c>
    </x:row>
    <x:row r="22" ht="15" customHeight="1">
      <x:c r="A22" s="24" t="s">
        <x:v>3290</x:v>
      </x:c>
      <x:c r="B22" s="25" t="n">
        <x:f>B19-B20</x:f>
        <x:v>0</x:v>
      </x:c>
      <x:c r="C22" s="25" t="n">
        <x:f>C19-C20</x:f>
        <x:v>0.2134220576847939</x:v>
      </x:c>
      <x:c r="D22" s="25" t="n">
        <x:f>D19-D20</x:f>
        <x:v>0.16881045213205534</x:v>
      </x:c>
      <x:c r="E22" s="25" t="n">
        <x:f>E19-E20</x:f>
        <x:v>0.2134220576847939</x:v>
      </x:c>
      <x:c r="F22" s="25" t="n">
        <x:f>F19-F20</x:f>
        <x:v>0.20791799169240033</x:v>
      </x:c>
      <x:c r="J22" s="24" t="s">
        <x:v>3290</x:v>
      </x:c>
      <x:c r="K22" s="25" t="n">
        <x:f>K19-K20</x:f>
        <x:v>0</x:v>
      </x:c>
      <x:c r="L22" s="25" t="n">
        <x:f>L19-L20</x:f>
        <x:v>0.19180497914290706</x:v>
      </x:c>
      <x:c r="M22" s="25" t="n">
        <x:f>M19-M20</x:f>
        <x:v>0.09763220804050415</x:v>
      </x:c>
      <x:c r="N22" s="25" t="n">
        <x:f>N19-N20</x:f>
        <x:v>0.20070508557018008</x:v>
      </x:c>
      <x:c r="O22" s="25" t="n">
        <x:f>O19-O20</x:f>
        <x:v>0.16881045213205534</x:v>
      </x:c>
      <x:c r="S22" s="24" t="s">
        <x:v>3290</x:v>
      </x:c>
      <x:c r="T22" s="25" t="n">
        <x:f>T19-T20</x:f>
        <x:v>0</x:v>
      </x:c>
      <x:c r="U22" s="25" t="n">
        <x:f>U19-U20</x:f>
        <x:v>0.21897677622897938</x:v>
      </x:c>
      <x:c r="V22" s="25" t="n">
        <x:f>V19-V20</x:f>
        <x:v>0</x:v>
      </x:c>
      <x:c r="W22" s="25" t="n">
        <x:f>W19-W20</x:f>
        <x:v>0.21602172202575998</x:v>
      </x:c>
      <x:c r="X22" s="25" t="n">
        <x:f>X19-X20</x:f>
        <x:v>0.2171494897805354</x:v>
      </x:c>
    </x:row>
    <x:row r="23" ht="15" customHeight="1">
      <x:c r="A23" s="24" t="s">
        <x:v>3291</x:v>
      </x:c>
      <x:c r="B23" s="25" t="n">
        <x:f>B21-B19</x:f>
        <x:v>0.2775401687666166</x:v>
      </x:c>
      <x:c r="C23" s="25" t="n">
        <x:f>C21-C19</x:f>
        <x:v>0.1811960325858074</x:v>
      </x:c>
      <x:c r="D23" s="25" t="n">
        <x:f>D21-D19</x:f>
        <x:v>0.2171494897805354</x:v>
      </x:c>
      <x:c r="E23" s="25" t="n">
        <x:f>E21-E19</x:f>
        <x:v>0.1811960325858074</x:v>
      </x:c>
      <x:c r="F23" s="25" t="n">
        <x:f>F21-F19</x:f>
        <x:v>0.19180497914290706</x:v>
      </x:c>
      <x:c r="J23" s="24" t="s">
        <x:v>3291</x:v>
      </x:c>
      <x:c r="K23" s="25" t="n">
        <x:f>K21-K19</x:f>
        <x:v>0.2775401687666166</x:v>
      </x:c>
      <x:c r="L23" s="25" t="n">
        <x:f>L21-L19</x:f>
        <x:v>0.20791799169240027</x:v>
      </x:c>
      <x:c r="M23" s="25" t="n">
        <x:f>M21-M19</x:f>
        <x:v>0.21042329588695743</x:v>
      </x:c>
      <x:c r="N23" s="25" t="n">
        <x:f>N21-N19</x:f>
        <x:v>0.20070508557018008</x:v>
      </x:c>
      <x:c r="O23" s="25" t="n">
        <x:f>O21-O19</x:f>
        <x:v>0.2171494897805354</x:v>
      </x:c>
      <x:c r="S23" s="24" t="s">
        <x:v>3291</x:v>
      </x:c>
      <x:c r="T23" s="25" t="n">
        <x:f>T21-T19</x:f>
        <x:v>0.2425007574992425</x:v>
      </x:c>
      <x:c r="U23" s="25" t="n">
        <x:f>U21-U19</x:f>
        <x:v>0.1545247260310061</x:v>
      </x:c>
      <x:c r="V23" s="25" t="n">
        <x:f>V21-V19</x:f>
        <x:v>0.1611301254949332</x:v>
      </x:c>
      <x:c r="W23" s="25" t="n">
        <x:f>W21-W19</x:f>
        <x:v>0.11934364672879993</x:v>
      </x:c>
      <x:c r="X23" s="25" t="n">
        <x:f>X21-X19</x:f>
        <x:v>0.16881045213205537</x:v>
      </x:c>
    </x:row>
    <x:row r="24" ht="15" customHeight="1">
      <x:c r="A24" s="24" t="s">
        <x:v>7</x:v>
      </x:c>
      <x:c r="B24" s="26" t="n">
        <x:f>'Analysis Data'!G15</x:f>
        <x:v>10</x:v>
      </x:c>
      <x:c r="C24" s="26" t="n">
        <x:f>'Analysis Data'!G16</x:f>
        <x:v>20</x:v>
      </x:c>
      <x:c r="D24" s="26" t="n">
        <x:f>'Analysis Data'!G17</x:f>
        <x:v>20</x:v>
      </x:c>
      <x:c r="E24" s="26" t="n">
        <x:f>'Analysis Data'!G18</x:f>
        <x:v>20</x:v>
      </x:c>
      <x:c r="F24" s="26" t="n">
        <x:f>'Analysis Data'!G19</x:f>
        <x:v>20</x:v>
      </x:c>
      <x:c r="J24" s="24" t="s">
        <x:v>7</x:v>
      </x:c>
      <x:c r="K24" s="26" t="n">
        <x:f>'Analysis Data'!G20</x:f>
        <x:v>10</x:v>
      </x:c>
      <x:c r="L24" s="26" t="n">
        <x:f>'Analysis Data'!G21</x:f>
        <x:v>20</x:v>
      </x:c>
      <x:c r="M24" s="26" t="n">
        <x:f>'Analysis Data'!G22</x:f>
        <x:v>20</x:v>
      </x:c>
      <x:c r="N24" s="26" t="n">
        <x:f>'Analysis Data'!G23</x:f>
        <x:v>20</x:v>
      </x:c>
      <x:c r="O24" s="26" t="n">
        <x:f>'Analysis Data'!G24</x:f>
        <x:v>20</x:v>
      </x:c>
      <x:c r="S24" s="24" t="s">
        <x:v>7</x:v>
      </x:c>
      <x:c r="T24" s="26" t="n">
        <x:f>'Analysis Data'!G25</x:f>
        <x:v>12</x:v>
      </x:c>
      <x:c r="U24" s="26" t="n">
        <x:f>'Analysis Data'!G26</x:f>
        <x:v>20</x:v>
      </x:c>
      <x:c r="V24" s="26" t="n">
        <x:f>'Analysis Data'!G27</x:f>
        <x:v>20</x:v>
      </x:c>
      <x:c r="W24" s="26" t="n">
        <x:f>'Analysis Data'!G28</x:f>
        <x:v>20</x:v>
      </x:c>
      <x:c r="X24" s="26" t="n">
        <x:f>'Analysis Data'!G29</x:f>
        <x:v>20</x:v>
      </x:c>
    </x:row>
    <x:row r="25" ht="15" customHeight="1"/>
    <x:row r="26" ht="15" customHeight="1"/>
    <x:row r="27" ht="15" customHeight="1"/>
    <x:row r="28" ht="15" customHeight="1"/>
    <x:row r="29" ht="15" customHeight="1"/>
    <x:row r="30" ht="15" customHeight="1"/>
    <x:row r="31" ht="15" customHeight="1"/>
    <x:row r="32" ht="15" customHeight="1"/>
    <x:row r="33" ht="15" customHeight="1"/>
    <x:row r="34" ht="15" customHeight="1"/>
    <x:row r="35" ht="15" customHeight="1"/>
    <x:row r="36" ht="15" customHeight="1"/>
    <x:row r="37" ht="15" customHeight="1"/>
    <x:row r="38" ht="15" customHeight="1"/>
    <x:row r="39" ht="15" customHeight="1"/>
    <x:row r="40" ht="15" customHeight="1"/>
    <x:row r="41" ht="15" customHeight="1"/>
    <x:row r="42" ht="15" customHeight="1">
      <x:c r="A42" s="23" t="s">
        <x:v>3287</x:v>
      </x:c>
      <x:c r="B42" s="23" t="s">
        <x:v>2</x:v>
      </x:c>
      <x:c r="C42" s="23" t="str">
        <x:v>GR00T Frozen LLM</x:v>
      </x:c>
      <x:c r="D42" s="23" t="str">
        <x:v>GR00T Full Fine-Tune</x:v>
      </x:c>
      <x:c r="E42" s="23" t="s">
        <x:v>3</x:v>
      </x:c>
      <x:c r="F42" s="23" t="s">
        <x:v>4</x:v>
      </x:c>
      <x:c r="J42" s="23" t="s">
        <x:v>3287</x:v>
      </x:c>
      <x:c r="K42" s="23" t="s">
        <x:v>2</x:v>
      </x:c>
      <x:c r="L42" s="23" t="str">
        <x:v>GR00T Frozen LLM</x:v>
      </x:c>
      <x:c r="M42" s="23" t="str">
        <x:v>GR00T Full Fine-Tune</x:v>
      </x:c>
      <x:c r="N42" s="23" t="s">
        <x:v>3</x:v>
      </x:c>
      <x:c r="O42" s="23" t="s">
        <x:v>4</x:v>
      </x:c>
      <x:c r="S42" s="23" t="s">
        <x:v>3287</x:v>
      </x:c>
      <x:c r="T42" s="23" t="s">
        <x:v>2</x:v>
      </x:c>
      <x:c r="U42" s="23" t="str">
        <x:v>GR00T Frozen LLM</x:v>
      </x:c>
      <x:c r="V42" s="23" t="str">
        <x:v>GR00T Full Fine-Tune</x:v>
      </x:c>
      <x:c r="W42" s="23" t="s">
        <x:v>3</x:v>
      </x:c>
      <x:c r="X42" s="23" t="s">
        <x:v>4</x:v>
      </x:c>
    </x:row>
    <x:row r="43" ht="15" customHeight="1">
      <x:c r="A43" s="24" t="s">
        <x:v>8</x:v>
      </x:c>
      <x:c r="B43" s="25" t="n">
        <x:f>'Analysis Data'!H10</x:f>
        <x:v>0</x:v>
      </x:c>
      <x:c r="C43" s="25" t="n">
        <x:f>'Analysis Data'!H11</x:f>
        <x:v>0.85</x:v>
      </x:c>
      <x:c r="D43" s="25" t="n">
        <x:f>'Analysis Data'!H12</x:f>
        <x:v>0.2</x:v>
      </x:c>
      <x:c r="E43" s="25" t="n">
        <x:f>'Analysis Data'!H13</x:f>
        <x:v>0.9</x:v>
      </x:c>
      <x:c r="F43" s="25" t="n">
        <x:f>'Analysis Data'!H14</x:f>
        <x:v>0.8</x:v>
      </x:c>
      <x:c r="J43" s="24" t="s">
        <x:v>8</x:v>
      </x:c>
      <x:c r="K43" s="25" t="n">
        <x:f>'Analysis Data'!H35</x:f>
        <x:v>0</x:v>
      </x:c>
      <x:c r="L43" s="25" t="n">
        <x:f>'Analysis Data'!H36</x:f>
        <x:v>0.85</x:v>
      </x:c>
      <x:c r="M43" s="25" t="n">
        <x:f>'Analysis Data'!H37</x:f>
        <x:v>0.35</x:v>
      </x:c>
      <x:c r="N43" s="25" t="n">
        <x:f>'Analysis Data'!H38</x:f>
        <x:v>0.8</x:v>
      </x:c>
      <x:c r="O43" s="25" t="n">
        <x:f>'Analysis Data'!H39</x:f>
        <x:v>0.95</x:v>
      </x:c>
      <x:c r="S43" s="24" t="s">
        <x:v>8</x:v>
      </x:c>
      <x:c r="T43" s="25" t="n">
        <x:f>'Analysis Data'!H30</x:f>
        <x:v>0</x:v>
      </x:c>
      <x:c r="U43" s="25" t="n">
        <x:f>'Analysis Data'!H31</x:f>
        <x:v>0.6</x:v>
      </x:c>
      <x:c r="V43" s="25" t="n">
        <x:f>'Analysis Data'!H32</x:f>
        <x:v>0.2</x:v>
      </x:c>
      <x:c r="W43" s="25" t="n">
        <x:f>'Analysis Data'!H33</x:f>
        <x:v>0.75</x:v>
      </x:c>
      <x:c r="X43" s="25" t="n">
        <x:f>'Analysis Data'!H34</x:f>
        <x:v>0.8</x:v>
      </x:c>
    </x:row>
    <x:row r="44" ht="15" customHeight="1">
      <x:c r="A44" s="24" t="s">
        <x:v>3288</x:v>
      </x:c>
      <x:c r="B44" s="25" t="n">
        <x:f>'Analysis Data'!K10</x:f>
        <x:v>0</x:v>
      </x:c>
      <x:c r="C44" s="25" t="n">
        <x:f>'Analysis Data'!K11</x:f>
        <x:v>0.6395767041130426</x:v>
      </x:c>
      <x:c r="D44" s="25" t="n">
        <x:f>'Analysis Data'!K12</x:f>
        <x:v>0.0806563532712</x:v>
      </x:c>
      <x:c r="E44" s="25" t="n">
        <x:f>'Analysis Data'!K13</x:f>
        <x:v>0.6989617935882066</x:v>
      </x:c>
      <x:c r="F44" s="25" t="n">
        <x:f>'Analysis Data'!K14</x:f>
        <x:v>0.5839782779742401</x:v>
      </x:c>
      <x:c r="J44" s="24" t="s">
        <x:v>3288</x:v>
      </x:c>
      <x:c r="K44" s="25" t="n">
        <x:f>'Analysis Data'!K35</x:f>
        <x:v>0</x:v>
      </x:c>
      <x:c r="L44" s="25" t="n">
        <x:f>'Analysis Data'!K36</x:f>
        <x:v>0.6395767041130426</x:v>
      </x:c>
      <x:c r="M44" s="25" t="n">
        <x:f>'Analysis Data'!K37</x:f>
        <x:v>0.18118954786794464</x:v>
      </x:c>
      <x:c r="N44" s="25" t="n">
        <x:f>'Analysis Data'!K38</x:f>
        <x:v>0.5839782779742401</x:v>
      </x:c>
      <x:c r="O44" s="25" t="n">
        <x:f>'Analysis Data'!K39</x:f>
        <x:v>0.7638641064874331</x:v>
      </x:c>
      <x:c r="S44" s="24" t="s">
        <x:v>3288</x:v>
      </x:c>
      <x:c r="T44" s="25" t="n">
        <x:f>'Analysis Data'!K30</x:f>
        <x:v>0</x:v>
      </x:c>
      <x:c r="U44" s="25" t="n">
        <x:f>'Analysis Data'!K31</x:f>
        <x:v>0.3865779423152061</x:v>
      </x:c>
      <x:c r="V44" s="25" t="n">
        <x:f>'Analysis Data'!K32</x:f>
        <x:v>0.0806563532712</x:v>
      </x:c>
      <x:c r="W44" s="25" t="n">
        <x:f>'Analysis Data'!K33</x:f>
        <x:v>0.5312949900419365</x:v>
      </x:c>
      <x:c r="X44" s="25" t="n">
        <x:f>'Analysis Data'!K34</x:f>
        <x:v>0.5839782779742401</x:v>
      </x:c>
    </x:row>
    <x:row r="45" ht="15" customHeight="1">
      <x:c r="A45" s="24" t="s">
        <x:v>3289</x:v>
      </x:c>
      <x:c r="B45" s="25" t="n">
        <x:f>'Analysis Data'!L10</x:f>
        <x:v>0.2775401687666166</x:v>
      </x:c>
      <x:c r="C45" s="25" t="n">
        <x:f>'Analysis Data'!L11</x:f>
        <x:v>0.9476322080405041</x:v>
      </x:c>
      <x:c r="D45" s="25" t="n">
        <x:f>'Analysis Data'!L12</x:f>
        <x:v>0.41602172202575993</x:v>
      </x:c>
      <x:c r="E45" s="25" t="n">
        <x:f>'Analysis Data'!L13</x:f>
        <x:v>0.9721341060158468</x:v>
      </x:c>
      <x:c r="F45" s="25" t="n">
        <x:f>'Analysis Data'!L14</x:f>
        <x:v>0.9193436467288</x:v>
      </x:c>
      <x:c r="J45" s="24" t="s">
        <x:v>3289</x:v>
      </x:c>
      <x:c r="K45" s="25" t="n">
        <x:f>'Analysis Data'!L35</x:f>
        <x:v>0.16113012549493322</x:v>
      </x:c>
      <x:c r="L45" s="25" t="n">
        <x:f>'Analysis Data'!L36</x:f>
        <x:v>0.9476322080405041</x:v>
      </x:c>
      <x:c r="M45" s="25" t="n">
        <x:f>'Analysis Data'!L37</x:f>
        <x:v>0.5671494897805354</x:v>
      </x:c>
      <x:c r="N45" s="25" t="n">
        <x:f>'Analysis Data'!L38</x:f>
        <x:v>0.9193436467288</x:v>
      </x:c>
      <x:c r="O45" s="25" t="n">
        <x:f>'Analysis Data'!L39</x:f>
        <x:v>0.9911187805671268</x:v>
      </x:c>
      <x:c r="S45" s="24" t="s">
        <x:v>3289</x:v>
      </x:c>
      <x:c r="T45" s="25" t="n">
        <x:f>'Analysis Data'!L30</x:f>
        <x:v>0.2775401687666166</x:v>
      </x:c>
      <x:c r="U45" s="25" t="n">
        <x:f>'Analysis Data'!L31</x:f>
        <x:v>0.7811960325858074</x:v>
      </x:c>
      <x:c r="V45" s="25" t="n">
        <x:f>'Analysis Data'!L32</x:f>
        <x:v>0.41602172202575993</x:v>
      </x:c>
      <x:c r="W45" s="25" t="n">
        <x:f>'Analysis Data'!L33</x:f>
        <x:v>0.888139947210597</x:v>
      </x:c>
      <x:c r="X45" s="25" t="n">
        <x:f>'Analysis Data'!L34</x:f>
        <x:v>0.9193436467288</x:v>
      </x:c>
    </x:row>
    <x:row r="46" ht="15" customHeight="1">
      <x:c r="A46" s="24" t="s">
        <x:v>3290</x:v>
      </x:c>
      <x:c r="B46" s="25" t="n">
        <x:f>B43-B44</x:f>
        <x:v>0</x:v>
      </x:c>
      <x:c r="C46" s="25" t="n">
        <x:f>C43-C44</x:f>
        <x:v>0.2104232958869574</x:v>
      </x:c>
      <x:c r="D46" s="25" t="n">
        <x:f>D43-D44</x:f>
        <x:v>0.11934364672880002</x:v>
      </x:c>
      <x:c r="E46" s="25" t="n">
        <x:f>E43-E44</x:f>
        <x:v>0.20103820641179337</x:v>
      </x:c>
      <x:c r="F46" s="25" t="n">
        <x:f>F43-F44</x:f>
        <x:v>0.21602172202575998</x:v>
      </x:c>
      <x:c r="J46" s="24" t="s">
        <x:v>3290</x:v>
      </x:c>
      <x:c r="K46" s="25" t="n">
        <x:f>K43-K44</x:f>
        <x:v>0</x:v>
      </x:c>
      <x:c r="L46" s="25" t="n">
        <x:f>L43-L44</x:f>
        <x:v>0.2104232958869574</x:v>
      </x:c>
      <x:c r="M46" s="25" t="n">
        <x:f>M43-M44</x:f>
        <x:v>0.16881045213205534</x:v>
      </x:c>
      <x:c r="N46" s="25" t="n">
        <x:f>N43-N44</x:f>
        <x:v>0.21602172202575998</x:v>
      </x:c>
      <x:c r="O46" s="25" t="n">
        <x:f>O43-O44</x:f>
        <x:v>0.18613589351256687</x:v>
      </x:c>
      <x:c r="S46" s="24" t="s">
        <x:v>3290</x:v>
      </x:c>
      <x:c r="T46" s="25" t="n">
        <x:f>T43-T44</x:f>
        <x:v>0</x:v>
      </x:c>
      <x:c r="U46" s="25" t="n">
        <x:f>U43-U44</x:f>
        <x:v>0.2134220576847939</x:v>
      </x:c>
      <x:c r="V46" s="25" t="n">
        <x:f>V43-V44</x:f>
        <x:v>0.11934364672880002</x:v>
      </x:c>
      <x:c r="W46" s="25" t="n">
        <x:f>W43-W44</x:f>
        <x:v>0.21870500995806352</x:v>
      </x:c>
      <x:c r="X46" s="25" t="n">
        <x:f>X43-X44</x:f>
        <x:v>0.21602172202575998</x:v>
      </x:c>
    </x:row>
    <x:row r="47" ht="15" customHeight="1">
      <x:c r="A47" s="24" t="s">
        <x:v>3291</x:v>
      </x:c>
      <x:c r="B47" s="25" t="n">
        <x:f>B45-B43</x:f>
        <x:v>0.2775401687666166</x:v>
      </x:c>
      <x:c r="C47" s="25" t="n">
        <x:f>C45-C43</x:f>
        <x:v>0.0976322080405041</x:v>
      </x:c>
      <x:c r="D47" s="25" t="n">
        <x:f>D45-D43</x:f>
        <x:v>0.21602172202575992</x:v>
      </x:c>
      <x:c r="E47" s="25" t="n">
        <x:f>E45-E43</x:f>
        <x:v>0.0721341060158468</x:v>
      </x:c>
      <x:c r="F47" s="25" t="n">
        <x:f>F45-F43</x:f>
        <x:v>0.11934364672879993</x:v>
      </x:c>
      <x:c r="J47" s="24" t="s">
        <x:v>3291</x:v>
      </x:c>
      <x:c r="K47" s="25" t="n">
        <x:f>K45-K43</x:f>
        <x:v>0.16113012549493322</x:v>
      </x:c>
      <x:c r="L47" s="25" t="n">
        <x:f>L45-L43</x:f>
        <x:v>0.0976322080405041</x:v>
      </x:c>
      <x:c r="M47" s="25" t="n">
        <x:f>M45-M43</x:f>
        <x:v>0.2171494897805354</x:v>
      </x:c>
      <x:c r="N47" s="25" t="n">
        <x:f>N45-N43</x:f>
        <x:v>0.11934364672879993</x:v>
      </x:c>
      <x:c r="O47" s="25" t="n">
        <x:f>O45-O43</x:f>
        <x:v>0.04111878056712681</x:v>
      </x:c>
      <x:c r="S47" s="24" t="s">
        <x:v>3291</x:v>
      </x:c>
      <x:c r="T47" s="25" t="n">
        <x:f>T45-T43</x:f>
        <x:v>0.2775401687666166</x:v>
      </x:c>
      <x:c r="U47" s="25" t="n">
        <x:f>U45-U43</x:f>
        <x:v>0.1811960325858074</x:v>
      </x:c>
      <x:c r="V47" s="25" t="n">
        <x:f>V45-V43</x:f>
        <x:v>0.21602172202575992</x:v>
      </x:c>
      <x:c r="W47" s="25" t="n">
        <x:f>W45-W43</x:f>
        <x:v>0.13813994721059697</x:v>
      </x:c>
      <x:c r="X47" s="25" t="n">
        <x:f>X45-X43</x:f>
        <x:v>0.11934364672879993</x:v>
      </x:c>
    </x:row>
    <x:row r="48" ht="15" customHeight="1">
      <x:c r="A48" s="24" t="s">
        <x:v>7</x:v>
      </x:c>
      <x:c r="B48" s="26" t="n">
        <x:f>'Analysis Data'!G10</x:f>
        <x:v>10</x:v>
      </x:c>
      <x:c r="C48" s="26" t="n">
        <x:f>'Analysis Data'!G11</x:f>
        <x:v>20</x:v>
      </x:c>
      <x:c r="D48" s="26" t="n">
        <x:f>'Analysis Data'!G12</x:f>
        <x:v>20</x:v>
      </x:c>
      <x:c r="E48" s="26" t="n">
        <x:f>'Analysis Data'!G13</x:f>
        <x:v>20</x:v>
      </x:c>
      <x:c r="F48" s="26" t="n">
        <x:f>'Analysis Data'!G14</x:f>
        <x:v>20</x:v>
      </x:c>
      <x:c r="J48" s="24" t="s">
        <x:v>7</x:v>
      </x:c>
      <x:c r="K48" s="26" t="n">
        <x:f>'Analysis Data'!G35</x:f>
        <x:v>20</x:v>
      </x:c>
      <x:c r="L48" s="26" t="n">
        <x:f>'Analysis Data'!G36</x:f>
        <x:v>20</x:v>
      </x:c>
      <x:c r="M48" s="26" t="n">
        <x:f>'Analysis Data'!G37</x:f>
        <x:v>20</x:v>
      </x:c>
      <x:c r="N48" s="26" t="n">
        <x:f>'Analysis Data'!G38</x:f>
        <x:v>20</x:v>
      </x:c>
      <x:c r="O48" s="26" t="n">
        <x:f>'Analysis Data'!G39</x:f>
        <x:v>20</x:v>
      </x:c>
      <x:c r="S48" s="24" t="s">
        <x:v>7</x:v>
      </x:c>
      <x:c r="T48" s="26" t="n">
        <x:f>'Analysis Data'!G30</x:f>
        <x:v>10</x:v>
      </x:c>
      <x:c r="U48" s="26" t="n">
        <x:f>'Analysis Data'!G31</x:f>
        <x:v>20</x:v>
      </x:c>
      <x:c r="V48" s="26" t="n">
        <x:f>'Analysis Data'!G32</x:f>
        <x:v>20</x:v>
      </x:c>
      <x:c r="W48" s="26" t="n">
        <x:f>'Analysis Data'!G33</x:f>
        <x:v>20</x:v>
      </x:c>
      <x:c r="X48" s="26" t="n">
        <x:f>'Analysis Data'!G34</x:f>
        <x:v>20</x:v>
      </x:c>
    </x:row>
    <x:row r="49" ht="15" customHeight="1"/>
    <x:row r="50" ht="15" customHeight="1"/>
    <x:row r="51" ht="18" customHeight="1">
      <x:c r="A51" s="31" t="s">
        <x:v>3292</x:v>
      </x:c>
      <x:c r="B51" s="31"/>
      <x:c r="C51" s="31"/>
      <x:c r="D51" s="31"/>
      <x:c r="E51" s="31"/>
      <x:c r="F51" s="31"/>
      <x:c r="G51" s="31"/>
      <x:c r="H51" s="31"/>
      <x:c r="I51" s="31"/>
      <x:c r="J51" s="31"/>
      <x:c r="K51" s="31"/>
      <x:c r="L51" s="31"/>
      <x:c r="M51" s="31"/>
      <x:c r="N51" s="31"/>
      <x:c r="O51" s="31"/>
      <x:c r="P51" s="31"/>
      <x:c r="Q51" s="31"/>
      <x:c r="R51" s="31"/>
      <x:c r="S51" s="31"/>
      <x:c r="T51" s="31"/>
      <x:c r="U51" s="31"/>
      <x:c r="V51" s="31"/>
      <x:c r="W51" s="31"/>
      <x:c r="X51" s="31"/>
      <x:c r="Y51" s="31"/>
      <x:c r="Z51" s="31"/>
    </x:row>
    <x:row r="52" ht="15" customHeight="1"/>
    <x:row r="53" ht="15" customHeight="1"/>
    <x:row r="54" ht="15" customHeight="1"/>
    <x:row r="55" ht="15" customHeight="1"/>
    <x:row r="56" ht="15" customHeight="1"/>
    <x:row r="57" ht="15" customHeight="1"/>
    <x:row r="58" ht="15" customHeight="1"/>
    <x:row r="59" ht="15" customHeight="1"/>
    <x:row r="60" ht="15" customHeight="1"/>
    <x:row r="61" ht="15" customHeight="1"/>
    <x:row r="62" ht="15" customHeight="1"/>
    <x:row r="63" ht="15" customHeight="1"/>
    <x:row r="64" ht="15" customHeight="1"/>
    <x:row r="65" ht="15" customHeight="1"/>
    <x:row r="66" ht="15" customHeight="1"/>
    <x:row r="67" ht="15" customHeight="1">
      <x:c r="A67" s="23" t="s">
        <x:v>3287</x:v>
      </x:c>
      <x:c r="B67" s="23" t="str">
        <x:v>GR00T Frozen LLM</x:v>
      </x:c>
      <x:c r="C67" s="23" t="s">
        <x:v>3</x:v>
      </x:c>
      <x:c r="D67" s="23" t="s">
        <x:v>4</x:v>
      </x:c>
      <x:c r="J67" s="23" t="s">
        <x:v>3287</x:v>
      </x:c>
      <x:c r="K67" s="23" t="str">
        <x:v>GR00T Frozen LLM</x:v>
      </x:c>
      <x:c r="L67" s="23" t="s">
        <x:v>3</x:v>
      </x:c>
      <x:c r="M67" s="23" t="s">
        <x:v>4</x:v>
      </x:c>
      <x:c r="S67" s="23" t="s">
        <x:v>3287</x:v>
      </x:c>
      <x:c r="T67" s="23" t="str">
        <x:v>GR00T Frozen LLM</x:v>
      </x:c>
      <x:c r="U67" s="23" t="s">
        <x:v>3</x:v>
      </x:c>
      <x:c r="V67" s="23" t="s">
        <x:v>4</x:v>
      </x:c>
    </x:row>
    <x:row r="68" ht="15" customHeight="1">
      <x:c r="A68" s="24" t="s">
        <x:v>8</x:v>
      </x:c>
      <x:c r="B68" s="25" t="n">
        <x:f>'Analysis Data'!H43</x:f>
        <x:v>0</x:v>
      </x:c>
      <x:c r="C68" s="25" t="n">
        <x:f>'Analysis Data'!H44</x:f>
        <x:v>0</x:v>
      </x:c>
      <x:c r="D68" s="25" t="n">
        <x:f>'Analysis Data'!H45</x:f>
        <x:v>0</x:v>
      </x:c>
      <x:c r="J68" s="24" t="s">
        <x:v>8</x:v>
      </x:c>
      <x:c r="K68" s="25" t="n">
        <x:f>'Analysis Data'!H46</x:f>
        <x:v>0.42</x:v>
      </x:c>
      <x:c r="L68" s="25" t="n">
        <x:f>'Analysis Data'!H47</x:f>
        <x:v>0.54</x:v>
      </x:c>
      <x:c r="M68" s="25" t="n">
        <x:f>'Analysis Data'!H48</x:f>
        <x:v>0.46</x:v>
      </x:c>
      <x:c r="S68" s="24" t="s">
        <x:v>8</x:v>
      </x:c>
      <x:c r="T68" s="25" t="n">
        <x:f>'Analysis Data'!H49</x:f>
        <x:v>0.78</x:v>
      </x:c>
      <x:c r="U68" s="25" t="n">
        <x:f>'Analysis Data'!H50</x:f>
        <x:v>0.5</x:v>
      </x:c>
      <x:c r="V68" s="25" t="n">
        <x:f>'Analysis Data'!H51</x:f>
        <x:v>0.72</x:v>
      </x:c>
    </x:row>
    <x:row r="69" ht="15" customHeight="1">
      <x:c r="A69" s="24" t="s">
        <x:v>3288</x:v>
      </x:c>
      <x:c r="B69" s="25" t="n">
        <x:f>'Analysis Data'!K43</x:f>
        <x:v>0</x:v>
      </x:c>
      <x:c r="C69" s="25" t="n">
        <x:f>'Analysis Data'!K44</x:f>
        <x:v>0</x:v>
      </x:c>
      <x:c r="D69" s="25" t="n">
        <x:f>'Analysis Data'!K45</x:f>
        <x:v>0</x:v>
      </x:c>
      <x:c r="J69" s="24" t="s">
        <x:v>3288</x:v>
      </x:c>
      <x:c r="K69" s="25" t="n">
        <x:f>'Analysis Data'!K46</x:f>
        <x:v>0.2937479723456693</x:v>
      </x:c>
      <x:c r="L69" s="25" t="n">
        <x:f>'Analysis Data'!K47</x:f>
        <x:v>0.40398634328388083</x:v>
      </x:c>
      <x:c r="M69" s="25" t="n">
        <x:f>'Analysis Data'!K48</x:f>
        <x:v>0.3296943460178263</x:v>
      </x:c>
      <x:c r="S69" s="24" t="s">
        <x:v>3288</x:v>
      </x:c>
      <x:c r="T69" s="25" t="n">
        <x:f>'Analysis Data'!K49</x:f>
        <x:v>0.6475818431054045</x:v>
      </x:c>
      <x:c r="U69" s="25" t="n">
        <x:f>'Analysis Data'!K50</x:f>
        <x:v>0.36644286412332855</x:v>
      </x:c>
      <x:c r="V69" s="25" t="n">
        <x:f>'Analysis Data'!K51</x:f>
        <x:v>0.5833461285401034</x:v>
      </x:c>
    </x:row>
    <x:row r="70" ht="15" customHeight="1">
      <x:c r="A70" s="24" t="s">
        <x:v>3289</x:v>
      </x:c>
      <x:c r="B70" s="25" t="n">
        <x:f>'Analysis Data'!L43</x:f>
        <x:v>0.07135003417431873</x:v>
      </x:c>
      <x:c r="C70" s="25" t="n">
        <x:f>'Analysis Data'!L44</x:f>
        <x:v>0.07135003417431873</x:v>
      </x:c>
      <x:c r="D70" s="25" t="n">
        <x:f>'Analysis Data'!L45</x:f>
        <x:v>0.07135003417431873</x:v>
      </x:c>
      <x:c r="J70" s="24" t="s">
        <x:v>3289</x:v>
      </x:c>
      <x:c r="K70" s="25" t="n">
        <x:f>'Analysis Data'!L46</x:f>
        <x:v>0.5576680331222217</x:v>
      </x:c>
      <x:c r="L70" s="25" t="n">
        <x:f>'Analysis Data'!L47</x:f>
        <x:v>0.6703056539821737</x:v>
      </x:c>
      <x:c r="M70" s="25" t="n">
        <x:f>'Analysis Data'!L48</x:f>
        <x:v>0.5960136567161192</x:v>
      </x:c>
      <x:c r="S70" s="24" t="s">
        <x:v>3289</x:v>
      </x:c>
      <x:c r="T70" s="25" t="n">
        <x:f>'Analysis Data'!L49</x:f>
        <x:v>0.8724621377569771</x:v>
      </x:c>
      <x:c r="U70" s="25" t="n">
        <x:f>'Analysis Data'!L50</x:f>
        <x:v>0.6335571358766714</x:v>
      </x:c>
      <x:c r="V70" s="25" t="n">
        <x:f>'Analysis Data'!L51</x:f>
        <x:v>0.8252598564231963</x:v>
      </x:c>
    </x:row>
    <x:row r="71" ht="15" customHeight="1">
      <x:c r="A71" s="24" t="s">
        <x:v>3290</x:v>
      </x:c>
      <x:c r="B71" s="25" t="n">
        <x:f>B68-B69</x:f>
        <x:v>0</x:v>
      </x:c>
      <x:c r="C71" s="25" t="n">
        <x:f>C68-C69</x:f>
        <x:v>0</x:v>
      </x:c>
      <x:c r="D71" s="25" t="n">
        <x:f>D68-D69</x:f>
        <x:v>0</x:v>
      </x:c>
      <x:c r="J71" s="24" t="s">
        <x:v>3290</x:v>
      </x:c>
      <x:c r="K71" s="25" t="n">
        <x:f>K68-K69</x:f>
        <x:v>0.1262520276543307</x:v>
      </x:c>
      <x:c r="L71" s="25" t="n">
        <x:f>L68-L69</x:f>
        <x:v>0.1360136567161192</x:v>
      </x:c>
      <x:c r="M71" s="25" t="n">
        <x:f>M68-M69</x:f>
        <x:v>0.1303056539821737</x:v>
      </x:c>
      <x:c r="S71" s="24" t="s">
        <x:v>3290</x:v>
      </x:c>
      <x:c r="T71" s="25" t="n">
        <x:f>T68-T69</x:f>
        <x:v>0.13241815689459557</x:v>
      </x:c>
      <x:c r="U71" s="25" t="n">
        <x:f>U68-U69</x:f>
        <x:v>0.13355713587667145</x:v>
      </x:c>
      <x:c r="V71" s="25" t="n">
        <x:f>V68-V69</x:f>
        <x:v>0.1366538714598966</x:v>
      </x:c>
    </x:row>
    <x:row r="72" ht="15" customHeight="1">
      <x:c r="A72" s="24" t="s">
        <x:v>3291</x:v>
      </x:c>
      <x:c r="B72" s="25" t="n">
        <x:f>B70-B68</x:f>
        <x:v>0.07135003417431873</x:v>
      </x:c>
      <x:c r="C72" s="25" t="n">
        <x:f>C70-C68</x:f>
        <x:v>0.07135003417431873</x:v>
      </x:c>
      <x:c r="D72" s="25" t="n">
        <x:f>D70-D68</x:f>
        <x:v>0.07135003417431873</x:v>
      </x:c>
      <x:c r="J72" s="24" t="s">
        <x:v>3291</x:v>
      </x:c>
      <x:c r="K72" s="25" t="n">
        <x:f>K70-K68</x:f>
        <x:v>0.1376680331222217</x:v>
      </x:c>
      <x:c r="L72" s="25" t="n">
        <x:f>L70-L68</x:f>
        <x:v>0.13030565398217364</x:v>
      </x:c>
      <x:c r="M72" s="25" t="n">
        <x:f>M70-M68</x:f>
        <x:v>0.13601365671611915</x:v>
      </x:c>
      <x:c r="S72" s="24" t="s">
        <x:v>3291</x:v>
      </x:c>
      <x:c r="T72" s="25" t="n">
        <x:f>T70-T68</x:f>
        <x:v>0.09246213775697709</x:v>
      </x:c>
      <x:c r="U72" s="25" t="n">
        <x:f>U70-U68</x:f>
        <x:v>0.1335571358766714</x:v>
      </x:c>
      <x:c r="V72" s="25" t="n">
        <x:f>V70-V68</x:f>
        <x:v>0.10525985642319635</x:v>
      </x:c>
    </x:row>
    <x:row r="73" ht="15" customHeight="1">
      <x:c r="A73" s="24" t="s">
        <x:v>7</x:v>
      </x:c>
      <x:c r="B73" s="26" t="n">
        <x:f>'Analysis Data'!G43</x:f>
        <x:v>50</x:v>
      </x:c>
      <x:c r="C73" s="26" t="n">
        <x:f>'Analysis Data'!G44</x:f>
        <x:v>50</x:v>
      </x:c>
      <x:c r="D73" s="26" t="n">
        <x:f>'Analysis Data'!G45</x:f>
        <x:v>50</x:v>
      </x:c>
      <x:c r="J73" s="24" t="s">
        <x:v>7</x:v>
      </x:c>
      <x:c r="K73" s="26" t="n">
        <x:f>'Analysis Data'!G46</x:f>
        <x:v>50</x:v>
      </x:c>
      <x:c r="L73" s="26" t="n">
        <x:f>'Analysis Data'!G47</x:f>
        <x:v>50</x:v>
      </x:c>
      <x:c r="M73" s="26" t="n">
        <x:f>'Analysis Data'!G48</x:f>
        <x:v>50</x:v>
      </x:c>
      <x:c r="S73" s="24" t="s">
        <x:v>7</x:v>
      </x:c>
      <x:c r="T73" s="26" t="n">
        <x:f>'Analysis Data'!G49</x:f>
        <x:v>50</x:v>
      </x:c>
      <x:c r="U73" s="26" t="n">
        <x:f>'Analysis Data'!G50</x:f>
        <x:v>50</x:v>
      </x:c>
      <x:c r="V73" s="26" t="n">
        <x:f>'Analysis Data'!G51</x:f>
        <x:v>50</x:v>
      </x:c>
    </x:row>
    <x:row r="74" ht="15" customHeight="1"/>
    <x:row r="75" ht="15" customHeight="1"/>
    <x:row r="76" ht="15" customHeight="1"/>
    <x:row r="77" ht="15" customHeight="1"/>
    <x:row r="78" ht="15" customHeight="1"/>
    <x:row r="79" ht="15" customHeight="1"/>
    <x:row r="80" ht="15" customHeight="1"/>
    <x:row r="81" ht="15" customHeight="1"/>
    <x:row r="82" ht="15" customHeight="1"/>
    <x:row r="83" ht="15" customHeight="1"/>
    <x:row r="84" ht="15" customHeight="1"/>
    <x:row r="85" ht="15" customHeight="1"/>
    <x:row r="86" ht="15" customHeight="1"/>
    <x:row r="87" ht="15" customHeight="1"/>
    <x:row r="88" ht="15" customHeight="1"/>
    <x:row r="89" ht="15" customHeight="1"/>
    <x:row r="90" ht="15" customHeight="1"/>
    <x:row r="91" ht="15" customHeight="1">
      <x:c r="A91" s="23" t="s">
        <x:v>3287</x:v>
      </x:c>
      <x:c r="B91" s="23" t="str">
        <x:v>GR00T Frozen LLM</x:v>
      </x:c>
      <x:c r="C91" s="23" t="s">
        <x:v>3</x:v>
      </x:c>
      <x:c r="D91" s="23" t="s">
        <x:v>4</x:v>
      </x:c>
      <x:c r="J91" s="23" t="s">
        <x:v>3287</x:v>
      </x:c>
      <x:c r="K91" s="23" t="str">
        <x:v>GR00T Frozen LLM</x:v>
      </x:c>
      <x:c r="L91" s="23" t="s">
        <x:v>3</x:v>
      </x:c>
      <x:c r="M91" s="23" t="s">
        <x:v>4</x:v>
      </x:c>
      <x:c r="S91" s="23" t="s">
        <x:v>3287</x:v>
      </x:c>
      <x:c r="T91" s="23" t="str">
        <x:v>GR00T Frozen LLM</x:v>
      </x:c>
      <x:c r="U91" s="23" t="s">
        <x:v>3</x:v>
      </x:c>
      <x:c r="V91" s="23" t="s">
        <x:v>4</x:v>
      </x:c>
    </x:row>
    <x:row r="92" ht="15" customHeight="1">
      <x:c r="A92" s="24" t="s">
        <x:v>8</x:v>
      </x:c>
      <x:c r="B92" s="25" t="n">
        <x:f>'Analysis Data'!H40</x:f>
        <x:v>0.34</x:v>
      </x:c>
      <x:c r="C92" s="25" t="n">
        <x:f>'Analysis Data'!H41</x:f>
        <x:v>0.76</x:v>
      </x:c>
      <x:c r="D92" s="25" t="n">
        <x:f>'Analysis Data'!H42</x:f>
        <x:v>0.36</x:v>
      </x:c>
      <x:c r="J92" s="24" t="s">
        <x:v>8</x:v>
      </x:c>
      <x:c r="K92" s="25" t="n">
        <x:f>'Analysis Data'!H55</x:f>
        <x:v>0.58</x:v>
      </x:c>
      <x:c r="L92" s="25" t="n">
        <x:f>'Analysis Data'!H56</x:f>
        <x:v>0.64</x:v>
      </x:c>
      <x:c r="M92" s="25" t="n">
        <x:f>'Analysis Data'!H57</x:f>
        <x:v>0.54</x:v>
      </x:c>
      <x:c r="S92" s="24" t="s">
        <x:v>8</x:v>
      </x:c>
      <x:c r="T92" s="25" t="n">
        <x:f>'Analysis Data'!H52</x:f>
        <x:v>0.54</x:v>
      </x:c>
      <x:c r="U92" s="25" t="n">
        <x:f>'Analysis Data'!H53</x:f>
        <x:v>0.68</x:v>
      </x:c>
      <x:c r="V92" s="25" t="n">
        <x:f>'Analysis Data'!H54</x:f>
        <x:v>0.36</x:v>
      </x:c>
    </x:row>
    <x:row r="93" ht="15" customHeight="1">
      <x:c r="A93" s="24" t="s">
        <x:v>3288</x:v>
      </x:c>
      <x:c r="B93" s="25" t="n">
        <x:f>'Analysis Data'!K40</x:f>
        <x:v>0.2243676963506106</x:v>
      </x:c>
      <x:c r="C93" s="25" t="n">
        <x:f>'Analysis Data'!K41</x:f>
        <x:v>0.6258705062480763</x:v>
      </x:c>
      <x:c r="D93" s="25" t="n">
        <x:f>'Analysis Data'!K42</x:f>
        <x:v>0.24138562967182875</x:v>
      </x:c>
      <x:c r="J93" s="24" t="s">
        <x:v>3288</x:v>
      </x:c>
      <x:c r="K93" s="25" t="n">
        <x:f>'Analysis Data'!K55</x:f>
        <x:v>0.4423319668777783</x:v>
      </x:c>
      <x:c r="L93" s="25" t="n">
        <x:f>'Analysis Data'!K56</x:f>
        <x:v>0.5014076201030195</x:v>
      </x:c>
      <x:c r="M93" s="25" t="n">
        <x:f>'Analysis Data'!K57</x:f>
        <x:v>0.40398634328388083</x:v>
      </x:c>
      <x:c r="S93" s="24" t="s">
        <x:v>3288</x:v>
      </x:c>
      <x:c r="T93" s="25" t="n">
        <x:f>'Analysis Data'!K52</x:f>
        <x:v>0.40398634328388083</x:v>
      </x:c>
      <x:c r="U93" s="25" t="n">
        <x:f>'Analysis Data'!K53</x:f>
        <x:v>0.5418944286372394</x:v>
      </x:c>
      <x:c r="V93" s="25" t="n">
        <x:f>'Analysis Data'!K54</x:f>
        <x:v>0.24138562967182875</x:v>
      </x:c>
    </x:row>
    <x:row r="94" ht="15" customHeight="1">
      <x:c r="A94" s="24" t="s">
        <x:v>3289</x:v>
      </x:c>
      <x:c r="B94" s="25" t="n">
        <x:f>'Analysis Data'!L40</x:f>
        <x:v>0.47846431458517147</x:v>
      </x:c>
      <x:c r="C94" s="25" t="n">
        <x:f>'Analysis Data'!L41</x:f>
        <x:v>0.8570274759812779</x:v>
      </x:c>
      <x:c r="D94" s="25" t="n">
        <x:f>'Analysis Data'!L42</x:f>
        <x:v>0.49859237989698046</x:v>
      </x:c>
      <x:c r="J94" s="24" t="s">
        <x:v>3289</x:v>
      </x:c>
      <x:c r="K94" s="25" t="n">
        <x:f>'Analysis Data'!L55</x:f>
        <x:v>0.7062520276543307</x:v>
      </x:c>
      <x:c r="L94" s="25" t="n">
        <x:f>'Analysis Data'!L56</x:f>
        <x:v>0.7586143703281711</x:v>
      </x:c>
      <x:c r="M94" s="25" t="n">
        <x:f>'Analysis Data'!L57</x:f>
        <x:v>0.6703056539821737</x:v>
      </x:c>
      <x:c r="S94" s="24" t="s">
        <x:v>3289</x:v>
      </x:c>
      <x:c r="T94" s="25" t="n">
        <x:f>'Analysis Data'!L52</x:f>
        <x:v>0.6703056539821737</x:v>
      </x:c>
      <x:c r="U94" s="25" t="n">
        <x:f>'Analysis Data'!L53</x:f>
        <x:v>0.792419559060006</x:v>
      </x:c>
      <x:c r="V94" s="25" t="n">
        <x:f>'Analysis Data'!L54</x:f>
        <x:v>0.49859237989698046</x:v>
      </x:c>
    </x:row>
    <x:row r="95" ht="15" customHeight="1">
      <x:c r="A95" s="24" t="s">
        <x:v>3290</x:v>
      </x:c>
      <x:c r="B95" s="25" t="n">
        <x:f>B92-B93</x:f>
        <x:v>0.11563230364938942</x:v>
      </x:c>
      <x:c r="C95" s="25" t="n">
        <x:f>C92-C93</x:f>
        <x:v>0.13412949375192373</x:v>
      </x:c>
      <x:c r="D95" s="25" t="n">
        <x:f>D92-D93</x:f>
        <x:v>0.11861437032817124</x:v>
      </x:c>
      <x:c r="J95" s="24" t="s">
        <x:v>3290</x:v>
      </x:c>
      <x:c r="K95" s="25" t="n">
        <x:f>K92-K93</x:f>
        <x:v>0.13766803312222164</x:v>
      </x:c>
      <x:c r="L95" s="25" t="n">
        <x:f>L92-L93</x:f>
        <x:v>0.13859237989698048</x:v>
      </x:c>
      <x:c r="M95" s="25" t="n">
        <x:f>M92-M93</x:f>
        <x:v>0.1360136567161192</x:v>
      </x:c>
      <x:c r="S95" s="24" t="s">
        <x:v>3290</x:v>
      </x:c>
      <x:c r="T95" s="25" t="n">
        <x:f>T92-T93</x:f>
        <x:v>0.1360136567161192</x:v>
      </x:c>
      <x:c r="U95" s="25" t="n">
        <x:f>U92-U93</x:f>
        <x:v>0.1381055713627607</x:v>
      </x:c>
      <x:c r="V95" s="25" t="n">
        <x:f>V92-V93</x:f>
        <x:v>0.11861437032817124</x:v>
      </x:c>
    </x:row>
    <x:row r="96" ht="15" customHeight="1">
      <x:c r="A96" s="24" t="s">
        <x:v>3291</x:v>
      </x:c>
      <x:c r="B96" s="25" t="n">
        <x:f>B94-B92</x:f>
        <x:v>0.13846431458517144</x:v>
      </x:c>
      <x:c r="C96" s="25" t="n">
        <x:f>C94-C92</x:f>
        <x:v>0.09702747598127792</x:v>
      </x:c>
      <x:c r="D96" s="25" t="n">
        <x:f>D94-D92</x:f>
        <x:v>0.13859237989698048</x:v>
      </x:c>
      <x:c r="J96" s="24" t="s">
        <x:v>3291</x:v>
      </x:c>
      <x:c r="K96" s="25" t="n">
        <x:f>K94-K92</x:f>
        <x:v>0.12625202765433075</x:v>
      </x:c>
      <x:c r="L96" s="25" t="n">
        <x:f>L94-L92</x:f>
        <x:v>0.11861437032817113</x:v>
      </x:c>
      <x:c r="M96" s="25" t="n">
        <x:f>M94-M92</x:f>
        <x:v>0.13030565398217364</x:v>
      </x:c>
      <x:c r="S96" s="24" t="s">
        <x:v>3291</x:v>
      </x:c>
      <x:c r="T96" s="25" t="n">
        <x:f>T94-T92</x:f>
        <x:v>0.13030565398217364</x:v>
      </x:c>
      <x:c r="U96" s="25" t="n">
        <x:f>U94-U92</x:f>
        <x:v>0.112419559060006</x:v>
      </x:c>
      <x:c r="V96" s="25" t="n">
        <x:f>V94-V92</x:f>
        <x:v>0.13859237989698048</x:v>
      </x:c>
    </x:row>
    <x:row r="97" ht="15" customHeight="1">
      <x:c r="A97" s="24" t="s">
        <x:v>7</x:v>
      </x:c>
      <x:c r="B97" s="26" t="n">
        <x:f>'Analysis Data'!G40</x:f>
        <x:v>50</x:v>
      </x:c>
      <x:c r="C97" s="26" t="n">
        <x:f>'Analysis Data'!G41</x:f>
        <x:v>50</x:v>
      </x:c>
      <x:c r="D97" s="26" t="n">
        <x:f>'Analysis Data'!G42</x:f>
        <x:v>50</x:v>
      </x:c>
      <x:c r="J97" s="24" t="s">
        <x:v>7</x:v>
      </x:c>
      <x:c r="K97" s="26" t="n">
        <x:f>'Analysis Data'!G55</x:f>
        <x:v>50</x:v>
      </x:c>
      <x:c r="L97" s="26" t="n">
        <x:f>'Analysis Data'!G56</x:f>
        <x:v>50</x:v>
      </x:c>
      <x:c r="M97" s="26" t="n">
        <x:f>'Analysis Data'!G57</x:f>
        <x:v>50</x:v>
      </x:c>
      <x:c r="S97" s="24" t="s">
        <x:v>7</x:v>
      </x:c>
      <x:c r="T97" s="26" t="n">
        <x:f>'Analysis Data'!G52</x:f>
        <x:v>50</x:v>
      </x:c>
      <x:c r="U97" s="26" t="n">
        <x:f>'Analysis Data'!G53</x:f>
        <x:v>50</x:v>
      </x:c>
      <x:c r="V97" s="26" t="n">
        <x:f>'Analysis Data'!G54</x:f>
        <x:v>50</x:v>
      </x:c>
    </x:row>
    <x:row r="98" ht="15" customHeight="1"/>
    <x:row r="99" ht="15" customHeight="1">
      <x:c r="A99" s="27"/>
      <x:c r="B99" s="27"/>
      <x:c r="C99" s="27"/>
      <x:c r="D99" s="27"/>
      <x:c r="E99" s="27"/>
      <x:c r="F99" s="27"/>
      <x:c r="G99" s="27"/>
      <x:c r="H99" s="27"/>
      <x:c r="I99" s="27"/>
      <x:c r="J99" s="27"/>
      <x:c r="K99" s="27"/>
      <x:c r="L99" s="27"/>
      <x:c r="M99" s="27"/>
      <x:c r="N99" s="27"/>
      <x:c r="O99" s="27"/>
      <x:c r="P99" s="27"/>
      <x:c r="Q99" s="27"/>
      <x:c r="R99" s="27"/>
      <x:c r="S99" s="27"/>
      <x:c r="T99" s="27"/>
      <x:c r="U99" s="27"/>
      <x:c r="V99" s="27"/>
      <x:c r="W99" s="27"/>
      <x:c r="X99" s="27"/>
      <x:c r="Y99" s="27"/>
      <x:c r="Z99" s="27"/>
      <x:c r="AA99" s="27"/>
      <x:c r="AB99" s="27"/>
      <x:c r="AC99" s="27"/>
      <x:c r="AD99" s="27"/>
      <x:c r="AE99" s="27"/>
      <x:c r="AF99" s="27"/>
      <x:c r="AG99" s="27"/>
      <x:c r="AH99" s="27"/>
      <x:c r="AI99" s="27"/>
      <x:c r="AJ99" s="27"/>
      <x:c r="AK99" s="27"/>
      <x:c r="AL99" s="27"/>
    </x:row>
    <x:row r="100" ht="15" customHeight="1"/>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c r="W119" s="27"/>
      <x:c r="X119" s="27"/>
      <x:c r="Y119" s="27"/>
      <x:c r="Z119" s="27"/>
      <x:c r="AA119" s="27"/>
      <x:c r="AB119" s="27"/>
      <x:c r="AC119" s="27"/>
      <x:c r="AD119" s="27"/>
      <x:c r="AE119" s="27"/>
      <x:c r="AF119" s="27"/>
      <x:c r="AG119" s="27"/>
      <x:c r="AH119" s="27"/>
      <x:c r="AI119" s="27"/>
      <x:c r="AJ119" s="27"/>
      <x:c r="AK119" s="27"/>
      <x:c r="AL119" s="27"/>
    </x:row>
    <x:row r="138">
      <x:c r="A138" s="28"/>
      <x:c r="B138" s="28"/>
      <x:c r="C138" s="28"/>
      <x:c r="D138" s="28"/>
      <x:c r="E138" s="28"/>
      <x:c r="F138" s="28"/>
      <x:c r="G138" s="28"/>
      <x:c r="H138" s="28"/>
      <x:c r="I138" s="28"/>
      <x:c r="J138" s="28"/>
      <x:c r="K138" s="28"/>
      <x:c r="L138" s="28"/>
      <x:c r="M138" s="28"/>
      <x:c r="N138" s="28"/>
      <x:c r="O138" s="28"/>
      <x:c r="P138" s="28"/>
      <x:c r="Q138" s="28"/>
      <x:c r="R138" s="28"/>
      <x:c r="S138" s="28"/>
      <x:c r="T138" s="28"/>
      <x:c r="U138" s="28"/>
      <x:c r="V138" s="28"/>
      <x:c r="W138" s="28"/>
      <x:c r="X138" s="28"/>
      <x:c r="Y138" s="28"/>
      <x:c r="Z138" s="28"/>
      <x:c r="AA138" s="28"/>
      <x:c r="AB138" s="28"/>
      <x:c r="AC138" s="28"/>
      <x:c r="AD138" s="28"/>
      <x:c r="AE138" s="28"/>
      <x:c r="AF138" s="28"/>
      <x:c r="AG138" s="28"/>
      <x:c r="AH138" s="28"/>
      <x:c r="AI138" s="28"/>
      <x:c r="AJ138" s="28"/>
      <x:c r="AK138" s="28"/>
      <x:c r="AL138" s="28"/>
    </x:row>
  </x:sheetData>
  <x:mergeCells>
    <x:mergeCell ref="A1:Z1"/>
    <x:mergeCell ref="A2:Z2"/>
    <x:mergeCell ref="A3:Z3"/>
    <x:mergeCell ref="A51:Z51"/>
  </x:mergeCells>
  <x:pageMargins left="0.7" right="0.7" top="0.75" bottom="0.75" header="0.3" footer="0.3"/>
  <x:drawing xmlns:r="http://schemas.openxmlformats.org/officeDocument/2006/relationships" r:id="Rbe2117fa3d264db0"/>
</x:worksheet>
</file>

<file path=xl/worksheets/sheet11.xml><?xml version="1.0" encoding="utf-8"?>
<x:worksheet xmlns:x="http://schemas.openxmlformats.org/spreadsheetml/2006/main">
  <x:sheetPr>
    <x:tabColor rgb="FF1F4E78"/>
  </x:sheetPr>
  <x:sheetFormatPr baseColWidth="10" defaultRowHeight="14"/>
  <x:sheetData/>
  <x:pageMargins left="0.7" right="0.7" top="0.75" bottom="0.75" header="0.3" footer="0.3"/>
  <x:drawing xmlns:r="http://schemas.openxmlformats.org/officeDocument/2006/relationships" r:id="R2a91b3e787584f9a"/>
</x:worksheet>
</file>

<file path=xl/worksheets/sheet12.xml><?xml version="1.0" encoding="utf-8"?>
<x:worksheet xmlns:x="http://schemas.openxmlformats.org/spreadsheetml/2006/main">
  <x:sheetPr>
    <x:tabColor rgb="FFF4B183"/>
  </x:sheetPr>
  <x:sheetViews>
    <x:sheetView showGridLines="0" workbookViewId="0">
      <x:pane ySplit="4" topLeftCell="A5" activePane="bottomLeft" state="frozen"/>
    </x:sheetView>
  </x:sheetViews>
  <x:sheetFormatPr defaultRowHeight="15"/>
  <x:cols>
    <x:col min="1" max="1" width="30" hidden="0" customWidth="1"/>
    <x:col min="2" max="2" width="29" hidden="0" customWidth="1"/>
    <x:col min="3" max="3" width="21" hidden="0" customWidth="1"/>
    <x:col min="4" max="4" width="25" hidden="0" customWidth="1"/>
    <x:col min="5" max="5" width="18" hidden="0" customWidth="1"/>
    <x:col min="6" max="6" width="18" hidden="0" customWidth="1"/>
    <x:col min="7" max="7" width="18" hidden="0" customWidth="1"/>
    <x:col min="8" max="8" width="18" hidden="0" customWidth="1"/>
    <x:col min="9" max="9" width="18" hidden="0" customWidth="1"/>
    <x:col min="11" max="11" width="12" hidden="0" customWidth="1"/>
  </x:cols>
  <x:sheetData>
    <x:row r="1" ht="30" customHeight="1">
      <x:c r="A1" s="81" t="str">
        <x:v>Counterfactual and matched-scene family audit</x:v>
      </x:c>
      <x:c r="B1" s="59"/>
      <x:c r="C1" s="59"/>
      <x:c r="D1" s="59"/>
      <x:c r="E1" s="59"/>
      <x:c r="F1" s="59"/>
      <x:c r="G1" s="59"/>
      <x:c r="H1" s="59"/>
      <x:c r="I1" s="59"/>
      <x:c r="K1" s="63" t="str">
        <x:v>Wilson z</x:v>
      </x:c>
    </x:row>
    <x:row r="2" ht="34" customHeight="1">
      <x:c r="A2" s="60" t="str">
        <x:v>Reference Episode identifies the root episode whose nominal scene setup is reused. Reference-linked families include matched manipulation and prompt-paraphrase controls; only families containing multiple primary novel instructions are counted below as explicit primary counterfactual families.</x:v>
      </x:c>
      <x:c r="B2" s="60"/>
      <x:c r="C2" s="60"/>
      <x:c r="D2" s="60"/>
      <x:c r="E2" s="60"/>
      <x:c r="F2" s="60"/>
      <x:c r="G2" s="60"/>
      <x:c r="H2" s="60"/>
      <x:c r="I2" s="60"/>
      <x:c r="K2" s="61" t="n">
        <x:v>1.96</x:v>
      </x:c>
    </x:row>
    <x:row r="4" ht="34" customHeight="1">
      <x:c r="A4" s="73" t="str">
        <x:v>Task</x:v>
      </x:c>
      <x:c r="B4" s="73" t="str">
        <x:v>Scored rollouts</x:v>
      </x:c>
      <x:c r="C4" s="73" t="str">
        <x:v>Scene families</x:v>
      </x:c>
      <x:c r="D4" s="73" t="str">
        <x:v>Multi-episode families</x:v>
      </x:c>
      <x:c r="E4" s="73" t="str">
        <x:v>Rollouts in multi-episode families</x:v>
      </x:c>
      <x:c r="F4" s="73" t="str">
        <x:v>Singleton rollouts</x:v>
      </x:c>
      <x:c r="G4" s="73" t="str">
        <x:v>Multi-family size distribution</x:v>
      </x:c>
    </x:row>
    <x:row r="5">
      <x:c r="A5" s="76" t="str">
        <x:v>State Recognition</x:v>
      </x:c>
      <x:c r="B5" s="76" t="n">
        <x:v>150</x:v>
      </x:c>
      <x:c r="C5" s="76" t="n">
        <x:v>100</x:v>
      </x:c>
      <x:c r="D5" s="76" t="n">
        <x:v>30</x:v>
      </x:c>
      <x:c r="E5" s="76" t="n">
        <x:v>80</x:v>
      </x:c>
      <x:c r="F5" s="76" t="n">
        <x:v>70</x:v>
      </x:c>
      <x:c r="G5" s="76" t="str">
        <x:v>20×2; 10×4</x:v>
      </x:c>
    </x:row>
    <x:row r="6">
      <x:c r="A6" s="76" t="str">
        <x:v>Counting</x:v>
      </x:c>
      <x:c r="B6" s="76" t="n">
        <x:v>150</x:v>
      </x:c>
      <x:c r="C6" s="76" t="n">
        <x:v>85</x:v>
      </x:c>
      <x:c r="D6" s="76" t="n">
        <x:v>45</x:v>
      </x:c>
      <x:c r="E6" s="76" t="n">
        <x:v>110</x:v>
      </x:c>
      <x:c r="F6" s="76" t="n">
        <x:v>40</x:v>
      </x:c>
      <x:c r="G6" s="76" t="str">
        <x:v>35×2; 10×4</x:v>
      </x:c>
    </x:row>
    <x:row r="7">
      <x:c r="A7" s="76" t="str">
        <x:v>Ordinal Reference Ordering</x:v>
      </x:c>
      <x:c r="B7" s="76" t="n">
        <x:v>150</x:v>
      </x:c>
      <x:c r="C7" s="76" t="n">
        <x:v>65</x:v>
      </x:c>
      <x:c r="D7" s="76" t="n">
        <x:v>45</x:v>
      </x:c>
      <x:c r="E7" s="76" t="n">
        <x:v>130</x:v>
      </x:c>
      <x:c r="F7" s="76" t="n">
        <x:v>20</x:v>
      </x:c>
      <x:c r="G7" s="76" t="str">
        <x:v>35×2; 5×4; 5×8</x:v>
      </x:c>
    </x:row>
    <x:row r="8">
      <x:c r="A8" s="76" t="str">
        <x:v>Relational Placement</x:v>
      </x:c>
      <x:c r="B8" s="76" t="n">
        <x:v>170</x:v>
      </x:c>
      <x:c r="C8" s="76" t="n">
        <x:v>62</x:v>
      </x:c>
      <x:c r="D8" s="76" t="n">
        <x:v>56</x:v>
      </x:c>
      <x:c r="E8" s="76" t="n">
        <x:v>164</x:v>
      </x:c>
      <x:c r="F8" s="76" t="n">
        <x:v>6</x:v>
      </x:c>
      <x:c r="G8" s="76" t="str">
        <x:v>30×2; 26×4</x:v>
      </x:c>
    </x:row>
    <x:row r="9">
      <x:c r="A9" s="76" t="str">
        <x:v>Referential Disambiguation</x:v>
      </x:c>
      <x:c r="B9" s="76" t="n">
        <x:v>150</x:v>
      </x:c>
      <x:c r="C9" s="76" t="n">
        <x:v>103</x:v>
      </x:c>
      <x:c r="D9" s="76" t="n">
        <x:v>27</x:v>
      </x:c>
      <x:c r="E9" s="76" t="n">
        <x:v>74</x:v>
      </x:c>
      <x:c r="F9" s="76" t="n">
        <x:v>76</x:v>
      </x:c>
      <x:c r="G9" s="76" t="str">
        <x:v>17×2; 10×4</x:v>
      </x:c>
    </x:row>
    <x:row r="10">
      <x:c r="A10" s="76" t="str">
        <x:v>Size Recognition</x:v>
      </x:c>
      <x:c r="B10" s="76" t="n">
        <x:v>130</x:v>
      </x:c>
      <x:c r="C10" s="76" t="n">
        <x:v>80</x:v>
      </x:c>
      <x:c r="D10" s="76" t="n">
        <x:v>30</x:v>
      </x:c>
      <x:c r="E10" s="76" t="n">
        <x:v>80</x:v>
      </x:c>
      <x:c r="F10" s="76" t="n">
        <x:v>50</x:v>
      </x:c>
      <x:c r="G10" s="76" t="str">
        <x:v>20×2; 10×4</x:v>
      </x:c>
    </x:row>
    <x:row r="11">
      <x:c r="A11" s="78" t="str">
        <x:v>Total</x:v>
      </x:c>
      <x:c r="B11" s="78" t="n">
        <x:v>900</x:v>
      </x:c>
      <x:c r="C11" s="78" t="n">
        <x:v>495</x:v>
      </x:c>
      <x:c r="D11" s="78" t="n">
        <x:v>233</x:v>
      </x:c>
      <x:c r="E11" s="78" t="n">
        <x:v>638</x:v>
      </x:c>
      <x:c r="F11" s="78" t="n">
        <x:v>262</x:v>
      </x:c>
      <x:c r="G11" s="78" t="str">
        <x:v>157×2; 71×4; 5×8</x:v>
      </x:c>
    </x:row>
    <x:row r="14" ht="34" customHeight="1">
      <x:c r="A14" s="73" t="str">
        <x:v>Task</x:v>
      </x:c>
      <x:c r="B14" s="73" t="str">
        <x:v>Primary novel rollouts</x:v>
      </x:c>
      <x:c r="C14" s="73" t="str">
        <x:v>Explicit counterfactual families</x:v>
      </x:c>
      <x:c r="D14" s="73" t="str">
        <x:v>Rollouts in those families</x:v>
      </x:c>
      <x:c r="E14" s="73" t="str">
        <x:v>Other primary novel trials</x:v>
      </x:c>
      <x:c r="F14" s="73" t="str">
        <x:v>Counterfactual family sizes</x:v>
      </x:c>
    </x:row>
    <x:row r="15">
      <x:c r="A15" s="76" t="str">
        <x:v>State Recognition</x:v>
      </x:c>
      <x:c r="B15" s="76" t="n">
        <x:v>50</x:v>
      </x:c>
      <x:c r="C15" s="76" t="n">
        <x:v>0</x:v>
      </x:c>
      <x:c r="D15" s="76" t="n">
        <x:v>0</x:v>
      </x:c>
      <x:c r="E15" s="76" t="n">
        <x:v>50</x:v>
      </x:c>
      <x:c r="F15" s="76" t="str">
        <x:v>—</x:v>
      </x:c>
    </x:row>
    <x:row r="16">
      <x:c r="A16" s="76" t="str">
        <x:v>Counting</x:v>
      </x:c>
      <x:c r="B16" s="76" t="n">
        <x:v>50</x:v>
      </x:c>
      <x:c r="C16" s="76" t="n">
        <x:v>15</x:v>
      </x:c>
      <x:c r="D16" s="76" t="n">
        <x:v>30</x:v>
      </x:c>
      <x:c r="E16" s="76" t="n">
        <x:v>20</x:v>
      </x:c>
      <x:c r="F16" s="76" t="str">
        <x:v>15×2</x:v>
      </x:c>
    </x:row>
    <x:row r="17">
      <x:c r="A17" s="76" t="str">
        <x:v>Ordinal Reference Ordering</x:v>
      </x:c>
      <x:c r="B17" s="76" t="n">
        <x:v>50</x:v>
      </x:c>
      <x:c r="C17" s="76" t="n">
        <x:v>25</x:v>
      </x:c>
      <x:c r="D17" s="76" t="n">
        <x:v>50</x:v>
      </x:c>
      <x:c r="E17" s="76" t="n">
        <x:v>0</x:v>
      </x:c>
      <x:c r="F17" s="76" t="str">
        <x:v>25×2</x:v>
      </x:c>
    </x:row>
    <x:row r="18">
      <x:c r="A18" s="76" t="str">
        <x:v>Relational Placement</x:v>
      </x:c>
      <x:c r="B18" s="76" t="n">
        <x:v>50</x:v>
      </x:c>
      <x:c r="C18" s="76" t="n">
        <x:v>6</x:v>
      </x:c>
      <x:c r="D18" s="76" t="n">
        <x:v>24</x:v>
      </x:c>
      <x:c r="E18" s="76" t="n">
        <x:v>26</x:v>
      </x:c>
      <x:c r="F18" s="76" t="str">
        <x:v>6×4</x:v>
      </x:c>
    </x:row>
    <x:row r="19">
      <x:c r="A19" s="76" t="str">
        <x:v>Referential Disambiguation</x:v>
      </x:c>
      <x:c r="B19" s="76" t="n">
        <x:v>50</x:v>
      </x:c>
      <x:c r="C19" s="76" t="n">
        <x:v>0</x:v>
      </x:c>
      <x:c r="D19" s="76" t="n">
        <x:v>0</x:v>
      </x:c>
      <x:c r="E19" s="76" t="n">
        <x:v>50</x:v>
      </x:c>
      <x:c r="F19" s="76" t="str">
        <x:v>—</x:v>
      </x:c>
    </x:row>
    <x:row r="20">
      <x:c r="A20" s="76" t="str">
        <x:v>Size Recognition</x:v>
      </x:c>
      <x:c r="B20" s="76" t="n">
        <x:v>50</x:v>
      </x:c>
      <x:c r="C20" s="76" t="n">
        <x:v>0</x:v>
      </x:c>
      <x:c r="D20" s="76" t="n">
        <x:v>0</x:v>
      </x:c>
      <x:c r="E20" s="76" t="n">
        <x:v>50</x:v>
      </x:c>
      <x:c r="F20" s="76" t="str">
        <x:v>—</x:v>
      </x:c>
    </x:row>
    <x:row r="21">
      <x:c r="A21" s="78" t="str">
        <x:v>Total</x:v>
      </x:c>
      <x:c r="B21" s="78" t="n">
        <x:v>300</x:v>
      </x:c>
      <x:c r="C21" s="78" t="n">
        <x:v>46</x:v>
      </x:c>
      <x:c r="D21" s="78" t="n">
        <x:v>104</x:v>
      </x:c>
      <x:c r="E21" s="78" t="n">
        <x:v>196</x:v>
      </x:c>
      <x:c r="F21" s="78" t="str">
        <x:v>40×2; 6×4</x:v>
      </x:c>
    </x:row>
    <x:row r="23" ht="34" customHeight="1">
      <x:c r="A23" s="73" t="str">
        <x:v>Model</x:v>
      </x:c>
      <x:c r="B23" s="73" t="str">
        <x:v>Task</x:v>
      </x:c>
      <x:c r="C23" s="73" t="str">
        <x:v>Consistent families</x:v>
      </x:c>
      <x:c r="D23" s="73" t="str">
        <x:v>Families</x:v>
      </x:c>
      <x:c r="E23" s="73" t="str">
        <x:v>Consistency rate</x:v>
      </x:c>
      <x:c r="F23" s="73" t="str">
        <x:v>Wilson lower</x:v>
      </x:c>
      <x:c r="G23" s="73" t="str">
        <x:v>Wilson upper</x:v>
      </x:c>
      <x:c r="H23" s="73" t="str">
        <x:v>Wilson 95% CI</x:v>
      </x:c>
    </x:row>
    <x:row r="24">
      <x:c r="A24" s="76" t="str">
        <x:v>GR00T Frozen LLM</x:v>
      </x:c>
      <x:c r="B24" s="76" t="str">
        <x:v>Counting</x:v>
      </x:c>
      <x:c r="C24" s="76" t="n">
        <x:f>COUNTIFS($A$41:$A$178,A24,$B$41:$B$178,B24,$I$41:$I$178,1)</x:f>
        <x:v>0</x:v>
      </x:c>
      <x:c r="D24" s="76" t="n">
        <x:f>COUNTIFS($A$41:$A$178,A24,$B$41:$B$178,B24)</x:f>
        <x:v>15</x:v>
      </x:c>
      <x:c r="E24" s="79" t="n">
        <x:f>C24/D24</x:f>
        <x:v>0</x:v>
      </x:c>
      <x:c r="F24" s="79" t="n">
        <x:f>MAX(0,(E24+$K$2^2/(2*D24))/(1+$K$2^2/D24)-$K$2*SQRT((E24*(1-E24)+$K$2^2/(4*D24))/D24)/(1+$K$2^2/D24))</x:f>
        <x:v>0</x:v>
      </x:c>
      <x:c r="G24" s="79" t="n">
        <x:f>MIN(1,(E24+$K$2^2/(2*D24))/(1+$K$2^2/D24)+$K$2*SQRT((E24*(1-E24)+$K$2^2/(4*D24))/D24)/(1+$K$2^2/D24))</x:f>
        <x:v>0.20388926630434784</x:v>
      </x:c>
      <x:c r="H24" s="76" t="str">
        <x:f>TEXT(E24,"0.0%")&amp;" ["&amp;TEXT(F24,"0.0%")&amp;"–"&amp;TEXT(G24,"0.0%")&amp;"]"</x:f>
        <x:v>0.0% [0.0%–20.4%]</x:v>
      </x:c>
    </x:row>
    <x:row r="25">
      <x:c r="A25" s="76" t="str">
        <x:v>GR00T Frozen LLM</x:v>
      </x:c>
      <x:c r="B25" s="76" t="str">
        <x:v>Ordinal Reference Ordering</x:v>
      </x:c>
      <x:c r="C25" s="76" t="n">
        <x:f>COUNTIFS($A$41:$A$178,A25,$B$41:$B$178,B25,$I$41:$I$178,1)</x:f>
        <x:v>2</x:v>
      </x:c>
      <x:c r="D25" s="76" t="n">
        <x:f>COUNTIFS($A$41:$A$178,A25,$B$41:$B$178,B25)</x:f>
        <x:v>25</x:v>
      </x:c>
      <x:c r="E25" s="79" t="n">
        <x:f>C25/D25</x:f>
        <x:v>0.08</x:v>
      </x:c>
      <x:c r="F25" s="79" t="n">
        <x:f>MAX(0,(E25+$K$2^2/(2*D25))/(1+$K$2^2/D25)-$K$2*SQRT((E25*(1-E25)+$K$2^2/(4*D25))/D25)/(1+$K$2^2/D25))</x:f>
        <x:v>0.02221993369109193</x:v>
      </x:c>
      <x:c r="G25" s="79" t="n">
        <x:f>MIN(1,(E25+$K$2^2/(2*D25))/(1+$K$2^2/D25)+$K$2*SQRT((E25*(1-E25)+$K$2^2/(4*D25))/D25)/(1+$K$2^2/D25))</x:f>
        <x:v>0.24966512122957818</x:v>
      </x:c>
      <x:c r="H25" s="76" t="str">
        <x:f>TEXT(E25,"0.0%")&amp;" ["&amp;TEXT(F25,"0.0%")&amp;"–"&amp;TEXT(G25,"0.0%")&amp;"]"</x:f>
        <x:v>8.0% [2.2%–25.0%]</x:v>
      </x:c>
    </x:row>
    <x:row r="26">
      <x:c r="A26" s="76" t="str">
        <x:v>GR00T Frozen LLM</x:v>
      </x:c>
      <x:c r="B26" s="76" t="str">
        <x:v>Relational Placement</x:v>
      </x:c>
      <x:c r="C26" s="76" t="n">
        <x:f>COUNTIFS($A$41:$A$178,A26,$B$41:$B$178,B26,$I$41:$I$178,1)</x:f>
        <x:v>3</x:v>
      </x:c>
      <x:c r="D26" s="76" t="n">
        <x:f>COUNTIFS($A$41:$A$178,A26,$B$41:$B$178,B26)</x:f>
        <x:v>6</x:v>
      </x:c>
      <x:c r="E26" s="79" t="n">
        <x:f>C26/D26</x:f>
        <x:v>0.5</x:v>
      </x:c>
      <x:c r="F26" s="79" t="n">
        <x:f>MAX(0,(E26+$K$2^2/(2*D26))/(1+$K$2^2/D26)-$K$2*SQRT((E26*(1-E26)+$K$2^2/(4*D26))/D26)/(1+$K$2^2/D26))</x:f>
        <x:v>0.18761280689940868</x:v>
      </x:c>
      <x:c r="G26" s="79" t="n">
        <x:f>MIN(1,(E26+$K$2^2/(2*D26))/(1+$K$2^2/D26)+$K$2*SQRT((E26*(1-E26)+$K$2^2/(4*D26))/D26)/(1+$K$2^2/D26))</x:f>
        <x:v>0.8123871931005913</x:v>
      </x:c>
      <x:c r="H26" s="76" t="str">
        <x:f>TEXT(E26,"0.0%")&amp;" ["&amp;TEXT(F26,"0.0%")&amp;"–"&amp;TEXT(G26,"0.0%")&amp;"]"</x:f>
        <x:v>50.0% [18.8%–81.2%]</x:v>
      </x:c>
    </x:row>
    <x:row r="27">
      <x:c r="A27" s="76" t="str">
        <x:v>GR00T Frozen LLM</x:v>
      </x:c>
      <x:c r="B27" s="76" t="str">
        <x:v>All primary families</x:v>
      </x:c>
      <x:c r="C27" s="76" t="n">
        <x:f>COUNTIFS($A$41:$A$178,A27,$I$41:$I$178,1)</x:f>
        <x:v>5</x:v>
      </x:c>
      <x:c r="D27" s="76" t="n">
        <x:f>COUNTIF($A$41:$A$178,A27)</x:f>
        <x:v>46</x:v>
      </x:c>
      <x:c r="E27" s="79" t="n">
        <x:f>C27/D27</x:f>
        <x:v>0.10869565217391304</x:v>
      </x:c>
      <x:c r="F27" s="79" t="n">
        <x:f>MAX(0,(E27+$K$2^2/(2*D27))/(1+$K$2^2/D27)-$K$2*SQRT((E27*(1-E27)+$K$2^2/(4*D27))/D27)/(1+$K$2^2/D27))</x:f>
        <x:v>0.047330760827426877</x:v>
      </x:c>
      <x:c r="G27" s="79" t="n">
        <x:f>MIN(1,(E27+$K$2^2/(2*D27))/(1+$K$2^2/D27)+$K$2*SQRT((E27*(1-E27)+$K$2^2/(4*D27))/D27)/(1+$K$2^2/D27))</x:f>
        <x:v>0.23038103012631456</x:v>
      </x:c>
      <x:c r="H27" s="76" t="str">
        <x:f>TEXT(E27,"0.0%")&amp;" ["&amp;TEXT(F27,"0.0%")&amp;"–"&amp;TEXT(G27,"0.0%")&amp;"]"</x:f>
        <x:v>10.9% [4.7%–23.0%]</x:v>
      </x:c>
    </x:row>
    <x:row r="28">
      <x:c r="A28" s="76" t="str">
        <x:v>MolmoAct2</x:v>
      </x:c>
      <x:c r="B28" s="76" t="str">
        <x:v>Counting</x:v>
      </x:c>
      <x:c r="C28" s="76" t="n">
        <x:f>COUNTIFS($A$41:$A$178,A28,$B$41:$B$178,B28,$I$41:$I$178,1)</x:f>
        <x:v>0</x:v>
      </x:c>
      <x:c r="D28" s="76" t="n">
        <x:f>COUNTIFS($A$41:$A$178,A28,$B$41:$B$178,B28)</x:f>
        <x:v>15</x:v>
      </x:c>
      <x:c r="E28" s="79" t="n">
        <x:f>C28/D28</x:f>
        <x:v>0</x:v>
      </x:c>
      <x:c r="F28" s="79" t="n">
        <x:f>MAX(0,(E28+$K$2^2/(2*D28))/(1+$K$2^2/D28)-$K$2*SQRT((E28*(1-E28)+$K$2^2/(4*D28))/D28)/(1+$K$2^2/D28))</x:f>
        <x:v>0</x:v>
      </x:c>
      <x:c r="G28" s="79" t="n">
        <x:f>MIN(1,(E28+$K$2^2/(2*D28))/(1+$K$2^2/D28)+$K$2*SQRT((E28*(1-E28)+$K$2^2/(4*D28))/D28)/(1+$K$2^2/D28))</x:f>
        <x:v>0.20388926630434784</x:v>
      </x:c>
      <x:c r="H28" s="76" t="str">
        <x:f>TEXT(E28,"0.0%")&amp;" ["&amp;TEXT(F28,"0.0%")&amp;"–"&amp;TEXT(G28,"0.0%")&amp;"]"</x:f>
        <x:v>0.0% [0.0%–20.4%]</x:v>
      </x:c>
    </x:row>
    <x:row r="29">
      <x:c r="A29" s="76" t="str">
        <x:v>MolmoAct2</x:v>
      </x:c>
      <x:c r="B29" s="76" t="str">
        <x:v>Ordinal Reference Ordering</x:v>
      </x:c>
      <x:c r="C29" s="76" t="n">
        <x:f>COUNTIFS($A$41:$A$178,A29,$B$41:$B$178,B29,$I$41:$I$178,1)</x:f>
        <x:v>5</x:v>
      </x:c>
      <x:c r="D29" s="76" t="n">
        <x:f>COUNTIFS($A$41:$A$178,A29,$B$41:$B$178,B29)</x:f>
        <x:v>25</x:v>
      </x:c>
      <x:c r="E29" s="79" t="n">
        <x:f>C29/D29</x:f>
        <x:v>0.2</x:v>
      </x:c>
      <x:c r="F29" s="79" t="n">
        <x:f>MAX(0,(E29+$K$2^2/(2*D29))/(1+$K$2^2/D29)-$K$2*SQRT((E29*(1-E29)+$K$2^2/(4*D29))/D29)/(1+$K$2^2/D29))</x:f>
        <x:v>0.08860454100652487</x:v>
      </x:c>
      <x:c r="G29" s="79" t="n">
        <x:f>MIN(1,(E29+$K$2^2/(2*D29))/(1+$K$2^2/D29)+$K$2*SQRT((E29*(1-E29)+$K$2^2/(4*D29))/D29)/(1+$K$2^2/D29))</x:f>
        <x:v>0.3913133553653824</x:v>
      </x:c>
      <x:c r="H29" s="76" t="str">
        <x:f>TEXT(E29,"0.0%")&amp;" ["&amp;TEXT(F29,"0.0%")&amp;"–"&amp;TEXT(G29,"0.0%")&amp;"]"</x:f>
        <x:v>20.0% [8.9%–39.1%]</x:v>
      </x:c>
    </x:row>
    <x:row r="30">
      <x:c r="A30" s="76" t="str">
        <x:v>MolmoAct2</x:v>
      </x:c>
      <x:c r="B30" s="76" t="str">
        <x:v>Relational Placement</x:v>
      </x:c>
      <x:c r="C30" s="76" t="n">
        <x:f>COUNTIFS($A$41:$A$178,A30,$B$41:$B$178,B30,$I$41:$I$178,1)</x:f>
        <x:v>0</x:v>
      </x:c>
      <x:c r="D30" s="76" t="n">
        <x:f>COUNTIFS($A$41:$A$178,A30,$B$41:$B$178,B30)</x:f>
        <x:v>6</x:v>
      </x:c>
      <x:c r="E30" s="79" t="n">
        <x:f>C30/D30</x:f>
        <x:v>0</x:v>
      </x:c>
      <x:c r="F30" s="79" t="n">
        <x:f>MAX(0,(E30+$K$2^2/(2*D30))/(1+$K$2^2/D30)-$K$2*SQRT((E30*(1-E30)+$K$2^2/(4*D30))/D30)/(1+$K$2^2/D30))</x:f>
        <x:v>0</x:v>
      </x:c>
      <x:c r="G30" s="79" t="n">
        <x:f>MIN(1,(E30+$K$2^2/(2*D30))/(1+$K$2^2/D30)+$K$2*SQRT((E30*(1-E30)+$K$2^2/(4*D30))/D30)/(1+$K$2^2/D30))</x:f>
        <x:v>0.3903430336530645</x:v>
      </x:c>
      <x:c r="H30" s="76" t="str">
        <x:f>TEXT(E30,"0.0%")&amp;" ["&amp;TEXT(F30,"0.0%")&amp;"–"&amp;TEXT(G30,"0.0%")&amp;"]"</x:f>
        <x:v>0.0% [0.0%–39.0%]</x:v>
      </x:c>
    </x:row>
    <x:row r="31">
      <x:c r="A31" s="76" t="str">
        <x:v>MolmoAct2</x:v>
      </x:c>
      <x:c r="B31" s="76" t="str">
        <x:v>All primary families</x:v>
      </x:c>
      <x:c r="C31" s="76" t="n">
        <x:f>COUNTIFS($A$41:$A$178,A31,$I$41:$I$178,1)</x:f>
        <x:v>5</x:v>
      </x:c>
      <x:c r="D31" s="76" t="n">
        <x:f>COUNTIF($A$41:$A$178,A31)</x:f>
        <x:v>46</x:v>
      </x:c>
      <x:c r="E31" s="79" t="n">
        <x:f>C31/D31</x:f>
        <x:v>0.10869565217391304</x:v>
      </x:c>
      <x:c r="F31" s="79" t="n">
        <x:f>MAX(0,(E31+$K$2^2/(2*D31))/(1+$K$2^2/D31)-$K$2*SQRT((E31*(1-E31)+$K$2^2/(4*D31))/D31)/(1+$K$2^2/D31))</x:f>
        <x:v>0.047330760827426877</x:v>
      </x:c>
      <x:c r="G31" s="79" t="n">
        <x:f>MIN(1,(E31+$K$2^2/(2*D31))/(1+$K$2^2/D31)+$K$2*SQRT((E31*(1-E31)+$K$2^2/(4*D31))/D31)/(1+$K$2^2/D31))</x:f>
        <x:v>0.23038103012631456</x:v>
      </x:c>
      <x:c r="H31" s="76" t="str">
        <x:f>TEXT(E31,"0.0%")&amp;" ["&amp;TEXT(F31,"0.0%")&amp;"–"&amp;TEXT(G31,"0.0%")&amp;"]"</x:f>
        <x:v>10.9% [4.7%–23.0%]</x:v>
      </x:c>
    </x:row>
    <x:row r="32">
      <x:c r="A32" s="76" t="str">
        <x:v>π0.5</x:v>
      </x:c>
      <x:c r="B32" s="76" t="str">
        <x:v>Counting</x:v>
      </x:c>
      <x:c r="C32" s="76" t="n">
        <x:f>COUNTIFS($A$41:$A$178,A32,$B$41:$B$178,B32,$I$41:$I$178,1)</x:f>
        <x:v>0</x:v>
      </x:c>
      <x:c r="D32" s="76" t="n">
        <x:f>COUNTIFS($A$41:$A$178,A32,$B$41:$B$178,B32)</x:f>
        <x:v>15</x:v>
      </x:c>
      <x:c r="E32" s="79" t="n">
        <x:f>C32/D32</x:f>
        <x:v>0</x:v>
      </x:c>
      <x:c r="F32" s="79" t="n">
        <x:f>MAX(0,(E32+$K$2^2/(2*D32))/(1+$K$2^2/D32)-$K$2*SQRT((E32*(1-E32)+$K$2^2/(4*D32))/D32)/(1+$K$2^2/D32))</x:f>
        <x:v>0</x:v>
      </x:c>
      <x:c r="G32" s="79" t="n">
        <x:f>MIN(1,(E32+$K$2^2/(2*D32))/(1+$K$2^2/D32)+$K$2*SQRT((E32*(1-E32)+$K$2^2/(4*D32))/D32)/(1+$K$2^2/D32))</x:f>
        <x:v>0.20388926630434784</x:v>
      </x:c>
      <x:c r="H32" s="76" t="str">
        <x:f>TEXT(E32,"0.0%")&amp;" ["&amp;TEXT(F32,"0.0%")&amp;"–"&amp;TEXT(G32,"0.0%")&amp;"]"</x:f>
        <x:v>0.0% [0.0%–20.4%]</x:v>
      </x:c>
    </x:row>
    <x:row r="33">
      <x:c r="A33" s="76" t="str">
        <x:v>π0.5</x:v>
      </x:c>
      <x:c r="B33" s="76" t="str">
        <x:v>Ordinal Reference Ordering</x:v>
      </x:c>
      <x:c r="C33" s="76" t="n">
        <x:f>COUNTIFS($A$41:$A$178,A33,$B$41:$B$178,B33,$I$41:$I$178,1)</x:f>
        <x:v>2</x:v>
      </x:c>
      <x:c r="D33" s="76" t="n">
        <x:f>COUNTIFS($A$41:$A$178,A33,$B$41:$B$178,B33)</x:f>
        <x:v>25</x:v>
      </x:c>
      <x:c r="E33" s="79" t="n">
        <x:f>C33/D33</x:f>
        <x:v>0.08</x:v>
      </x:c>
      <x:c r="F33" s="79" t="n">
        <x:f>MAX(0,(E33+$K$2^2/(2*D33))/(1+$K$2^2/D33)-$K$2*SQRT((E33*(1-E33)+$K$2^2/(4*D33))/D33)/(1+$K$2^2/D33))</x:f>
        <x:v>0.02221993369109193</x:v>
      </x:c>
      <x:c r="G33" s="79" t="n">
        <x:f>MIN(1,(E33+$K$2^2/(2*D33))/(1+$K$2^2/D33)+$K$2*SQRT((E33*(1-E33)+$K$2^2/(4*D33))/D33)/(1+$K$2^2/D33))</x:f>
        <x:v>0.24966512122957818</x:v>
      </x:c>
      <x:c r="H33" s="76" t="str">
        <x:f>TEXT(E33,"0.0%")&amp;" ["&amp;TEXT(F33,"0.0%")&amp;"–"&amp;TEXT(G33,"0.0%")&amp;"]"</x:f>
        <x:v>8.0% [2.2%–25.0%]</x:v>
      </x:c>
    </x:row>
    <x:row r="34">
      <x:c r="A34" s="76" t="str">
        <x:v>π0.5</x:v>
      </x:c>
      <x:c r="B34" s="76" t="str">
        <x:v>Relational Placement</x:v>
      </x:c>
      <x:c r="C34" s="76" t="n">
        <x:f>COUNTIFS($A$41:$A$178,A34,$B$41:$B$178,B34,$I$41:$I$178,1)</x:f>
        <x:v>1</x:v>
      </x:c>
      <x:c r="D34" s="76" t="n">
        <x:f>COUNTIFS($A$41:$A$178,A34,$B$41:$B$178,B34)</x:f>
        <x:v>6</x:v>
      </x:c>
      <x:c r="E34" s="79" t="n">
        <x:f>C34/D34</x:f>
        <x:v>0.16666666666666666</x:v>
      </x:c>
      <x:c r="F34" s="79" t="n">
        <x:f>MAX(0,(E34+$K$2^2/(2*D34))/(1+$K$2^2/D34)-$K$2*SQRT((E34*(1-E34)+$K$2^2/(4*D34))/D34)/(1+$K$2^2/D34))</x:f>
        <x:v>0.03005258587173032</x:v>
      </x:c>
      <x:c r="G34" s="79" t="n">
        <x:f>MIN(1,(E34+$K$2^2/(2*D34))/(1+$K$2^2/D34)+$K$2*SQRT((E34*(1-E34)+$K$2^2/(4*D34))/D34)/(1+$K$2^2/D34))</x:f>
        <x:v>0.563509436563646</x:v>
      </x:c>
      <x:c r="H34" s="76" t="str">
        <x:f>TEXT(E34,"0.0%")&amp;" ["&amp;TEXT(F34,"0.0%")&amp;"–"&amp;TEXT(G34,"0.0%")&amp;"]"</x:f>
        <x:v>16.7% [3.0%–56.4%]</x:v>
      </x:c>
    </x:row>
    <x:row r="35">
      <x:c r="A35" s="76" t="str">
        <x:v>π0.5</x:v>
      </x:c>
      <x:c r="B35" s="76" t="str">
        <x:v>All primary families</x:v>
      </x:c>
      <x:c r="C35" s="76" t="n">
        <x:f>COUNTIFS($A$41:$A$178,A35,$I$41:$I$178,1)</x:f>
        <x:v>3</x:v>
      </x:c>
      <x:c r="D35" s="76" t="n">
        <x:f>COUNTIF($A$41:$A$178,A35)</x:f>
        <x:v>46</x:v>
      </x:c>
      <x:c r="E35" s="79" t="n">
        <x:f>C35/D35</x:f>
        <x:v>0.06521739130434782</x:v>
      </x:c>
      <x:c r="F35" s="79" t="n">
        <x:f>MAX(0,(E35+$K$2^2/(2*D35))/(1+$K$2^2/D35)-$K$2*SQRT((E35*(1-E35)+$K$2^2/(4*D35))/D35)/(1+$K$2^2/D35))</x:f>
        <x:v>0.022427454466343574</x:v>
      </x:c>
      <x:c r="G35" s="79" t="n">
        <x:f>MIN(1,(E35+$K$2^2/(2*D35))/(1+$K$2^2/D35)+$K$2*SQRT((E35*(1-E35)+$K$2^2/(4*D35))/D35)/(1+$K$2^2/D35))</x:f>
        <x:v>0.17503009103781358</x:v>
      </x:c>
      <x:c r="H35" s="76" t="str">
        <x:f>TEXT(E35,"0.0%")&amp;" ["&amp;TEXT(F35,"0.0%")&amp;"–"&amp;TEXT(G35,"0.0%")&amp;"]"</x:f>
        <x:v>6.5% [2.2%–17.5%]</x:v>
      </x:c>
    </x:row>
    <x:row r="40" ht="34" customHeight="1">
      <x:c r="A40" s="73" t="str">
        <x:v>Model</x:v>
      </x:c>
      <x:c r="B40" s="73" t="str">
        <x:v>Task</x:v>
      </x:c>
      <x:c r="C40" s="73" t="str">
        <x:v>Reference/root episode</x:v>
      </x:c>
      <x:c r="D40" s="73" t="str">
        <x:v>Primary member episodes</x:v>
      </x:c>
      <x:c r="E40" s="73" t="str">
        <x:v>Family size</x:v>
      </x:c>
      <x:c r="F40" s="73" t="str">
        <x:v>Successes</x:v>
      </x:c>
      <x:c r="G40" s="73" t="str">
        <x:v>Failures</x:v>
      </x:c>
      <x:c r="H40" s="73" t="str">
        <x:v>Complete</x:v>
      </x:c>
      <x:c r="I40" s="73" t="str">
        <x:v>Family consistent</x:v>
      </x:c>
    </x:row>
    <x:row r="41">
      <x:c r="A41" s="76" t="str">
        <x:v>GR00T Frozen LLM</x:v>
      </x:c>
      <x:c r="B41" s="76" t="str">
        <x:v>Counting</x:v>
      </x:c>
      <x:c r="C41" s="76" t="n">
        <x:v>24</x:v>
      </x:c>
      <x:c r="D41" s="76" t="str">
        <x:v>24, 25</x:v>
      </x:c>
      <x:c r="E41" s="76" t="n">
        <x:v>2</x:v>
      </x:c>
      <x:c r="F41" s="76" t="n">
        <x:v>0</x:v>
      </x:c>
      <x:c r="G41" s="76" t="n">
        <x:v>2</x:v>
      </x:c>
      <x:c r="H41" s="76" t="str">
        <x:v>Yes</x:v>
      </x:c>
      <x:c r="I41" s="80" t="n">
        <x:f>IF(H41="Yes",IF(F41=E41,1,0),"")</x:f>
        <x:v>0</x:v>
      </x:c>
    </x:row>
    <x:row r="42">
      <x:c r="A42" s="76" t="str">
        <x:v>GR00T Frozen LLM</x:v>
      </x:c>
      <x:c r="B42" s="76" t="str">
        <x:v>Counting</x:v>
      </x:c>
      <x:c r="C42" s="76" t="n">
        <x:v>50</x:v>
      </x:c>
      <x:c r="D42" s="76" t="str">
        <x:v>50, 51</x:v>
      </x:c>
      <x:c r="E42" s="76" t="n">
        <x:v>2</x:v>
      </x:c>
      <x:c r="F42" s="76" t="n">
        <x:v>0</x:v>
      </x:c>
      <x:c r="G42" s="76" t="n">
        <x:v>2</x:v>
      </x:c>
      <x:c r="H42" s="76" t="str">
        <x:v>Yes</x:v>
      </x:c>
      <x:c r="I42" s="80" t="n">
        <x:f>IF(H42="Yes",IF(F42=E42,1,0),"")</x:f>
        <x:v>0</x:v>
      </x:c>
    </x:row>
    <x:row r="43">
      <x:c r="A43" s="76" t="str">
        <x:v>GR00T Frozen LLM</x:v>
      </x:c>
      <x:c r="B43" s="76" t="str">
        <x:v>Counting</x:v>
      </x:c>
      <x:c r="C43" s="76" t="n">
        <x:v>52</x:v>
      </x:c>
      <x:c r="D43" s="76" t="str">
        <x:v>52, 53</x:v>
      </x:c>
      <x:c r="E43" s="76" t="n">
        <x:v>2</x:v>
      </x:c>
      <x:c r="F43" s="76" t="n">
        <x:v>0</x:v>
      </x:c>
      <x:c r="G43" s="76" t="n">
        <x:v>2</x:v>
      </x:c>
      <x:c r="H43" s="76" t="str">
        <x:v>Yes</x:v>
      </x:c>
      <x:c r="I43" s="80" t="n">
        <x:f>IF(H43="Yes",IF(F43=E43,1,0),"")</x:f>
        <x:v>0</x:v>
      </x:c>
    </x:row>
    <x:row r="44">
      <x:c r="A44" s="76" t="str">
        <x:v>GR00T Frozen LLM</x:v>
      </x:c>
      <x:c r="B44" s="76" t="str">
        <x:v>Counting</x:v>
      </x:c>
      <x:c r="C44" s="76" t="n">
        <x:v>62</x:v>
      </x:c>
      <x:c r="D44" s="76" t="str">
        <x:v>62, 63</x:v>
      </x:c>
      <x:c r="E44" s="76" t="n">
        <x:v>2</x:v>
      </x:c>
      <x:c r="F44" s="76" t="n">
        <x:v>0</x:v>
      </x:c>
      <x:c r="G44" s="76" t="n">
        <x:v>2</x:v>
      </x:c>
      <x:c r="H44" s="76" t="str">
        <x:v>Yes</x:v>
      </x:c>
      <x:c r="I44" s="80" t="n">
        <x:f>IF(H44="Yes",IF(F44=E44,1,0),"")</x:f>
        <x:v>0</x:v>
      </x:c>
    </x:row>
    <x:row r="45">
      <x:c r="A45" s="76" t="str">
        <x:v>GR00T Frozen LLM</x:v>
      </x:c>
      <x:c r="B45" s="76" t="str">
        <x:v>Counting</x:v>
      </x:c>
      <x:c r="C45" s="76" t="n">
        <x:v>64</x:v>
      </x:c>
      <x:c r="D45" s="76" t="str">
        <x:v>64, 65</x:v>
      </x:c>
      <x:c r="E45" s="76" t="n">
        <x:v>2</x:v>
      </x:c>
      <x:c r="F45" s="76" t="n">
        <x:v>0</x:v>
      </x:c>
      <x:c r="G45" s="76" t="n">
        <x:v>2</x:v>
      </x:c>
      <x:c r="H45" s="76" t="str">
        <x:v>Yes</x:v>
      </x:c>
      <x:c r="I45" s="80" t="n">
        <x:f>IF(H45="Yes",IF(F45=E45,1,0),"")</x:f>
        <x:v>0</x:v>
      </x:c>
    </x:row>
    <x:row r="46">
      <x:c r="A46" s="76" t="str">
        <x:v>GR00T Frozen LLM</x:v>
      </x:c>
      <x:c r="B46" s="76" t="str">
        <x:v>Counting</x:v>
      </x:c>
      <x:c r="C46" s="76" t="n">
        <x:v>66</x:v>
      </x:c>
      <x:c r="D46" s="76" t="str">
        <x:v>66, 67</x:v>
      </x:c>
      <x:c r="E46" s="76" t="n">
        <x:v>2</x:v>
      </x:c>
      <x:c r="F46" s="76" t="n">
        <x:v>0</x:v>
      </x:c>
      <x:c r="G46" s="76" t="n">
        <x:v>2</x:v>
      </x:c>
      <x:c r="H46" s="76" t="str">
        <x:v>Yes</x:v>
      </x:c>
      <x:c r="I46" s="80" t="n">
        <x:f>IF(H46="Yes",IF(F46=E46,1,0),"")</x:f>
        <x:v>0</x:v>
      </x:c>
    </x:row>
    <x:row r="47">
      <x:c r="A47" s="76" t="str">
        <x:v>GR00T Frozen LLM</x:v>
      </x:c>
      <x:c r="B47" s="76" t="str">
        <x:v>Counting</x:v>
      </x:c>
      <x:c r="C47" s="76" t="n">
        <x:v>76</x:v>
      </x:c>
      <x:c r="D47" s="76" t="str">
        <x:v>76, 77</x:v>
      </x:c>
      <x:c r="E47" s="76" t="n">
        <x:v>2</x:v>
      </x:c>
      <x:c r="F47" s="76" t="n">
        <x:v>0</x:v>
      </x:c>
      <x:c r="G47" s="76" t="n">
        <x:v>2</x:v>
      </x:c>
      <x:c r="H47" s="76" t="str">
        <x:v>Yes</x:v>
      </x:c>
      <x:c r="I47" s="80" t="n">
        <x:f>IF(H47="Yes",IF(F47=E47,1,0),"")</x:f>
        <x:v>0</x:v>
      </x:c>
    </x:row>
    <x:row r="48">
      <x:c r="A48" s="76" t="str">
        <x:v>GR00T Frozen LLM</x:v>
      </x:c>
      <x:c r="B48" s="76" t="str">
        <x:v>Counting</x:v>
      </x:c>
      <x:c r="C48" s="76" t="n">
        <x:v>82</x:v>
      </x:c>
      <x:c r="D48" s="76" t="str">
        <x:v>82, 83</x:v>
      </x:c>
      <x:c r="E48" s="76" t="n">
        <x:v>2</x:v>
      </x:c>
      <x:c r="F48" s="76" t="n">
        <x:v>0</x:v>
      </x:c>
      <x:c r="G48" s="76" t="n">
        <x:v>2</x:v>
      </x:c>
      <x:c r="H48" s="76" t="str">
        <x:v>Yes</x:v>
      </x:c>
      <x:c r="I48" s="80" t="n">
        <x:f>IF(H48="Yes",IF(F48=E48,1,0),"")</x:f>
        <x:v>0</x:v>
      </x:c>
    </x:row>
    <x:row r="49">
      <x:c r="A49" s="76" t="str">
        <x:v>GR00T Frozen LLM</x:v>
      </x:c>
      <x:c r="B49" s="76" t="str">
        <x:v>Counting</x:v>
      </x:c>
      <x:c r="C49" s="76" t="n">
        <x:v>92</x:v>
      </x:c>
      <x:c r="D49" s="76" t="str">
        <x:v>92, 93</x:v>
      </x:c>
      <x:c r="E49" s="76" t="n">
        <x:v>2</x:v>
      </x:c>
      <x:c r="F49" s="76" t="n">
        <x:v>0</x:v>
      </x:c>
      <x:c r="G49" s="76" t="n">
        <x:v>2</x:v>
      </x:c>
      <x:c r="H49" s="76" t="str">
        <x:v>Yes</x:v>
      </x:c>
      <x:c r="I49" s="80" t="n">
        <x:f>IF(H49="Yes",IF(F49=E49,1,0),"")</x:f>
        <x:v>0</x:v>
      </x:c>
    </x:row>
    <x:row r="50">
      <x:c r="A50" s="76" t="str">
        <x:v>GR00T Frozen LLM</x:v>
      </x:c>
      <x:c r="B50" s="76" t="str">
        <x:v>Counting</x:v>
      </x:c>
      <x:c r="C50" s="76" t="n">
        <x:v>114</x:v>
      </x:c>
      <x:c r="D50" s="76" t="str">
        <x:v>114, 115</x:v>
      </x:c>
      <x:c r="E50" s="76" t="n">
        <x:v>2</x:v>
      </x:c>
      <x:c r="F50" s="76" t="n">
        <x:v>0</x:v>
      </x:c>
      <x:c r="G50" s="76" t="n">
        <x:v>2</x:v>
      </x:c>
      <x:c r="H50" s="76" t="str">
        <x:v>Yes</x:v>
      </x:c>
      <x:c r="I50" s="80" t="n">
        <x:f>IF(H50="Yes",IF(F50=E50,1,0),"")</x:f>
        <x:v>0</x:v>
      </x:c>
    </x:row>
    <x:row r="51">
      <x:c r="A51" s="76" t="str">
        <x:v>GR00T Frozen LLM</x:v>
      </x:c>
      <x:c r="B51" s="76" t="str">
        <x:v>Counting</x:v>
      </x:c>
      <x:c r="C51" s="76" t="n">
        <x:v>116</x:v>
      </x:c>
      <x:c r="D51" s="76" t="str">
        <x:v>116, 117</x:v>
      </x:c>
      <x:c r="E51" s="76" t="n">
        <x:v>2</x:v>
      </x:c>
      <x:c r="F51" s="76" t="n">
        <x:v>0</x:v>
      </x:c>
      <x:c r="G51" s="76" t="n">
        <x:v>2</x:v>
      </x:c>
      <x:c r="H51" s="76" t="str">
        <x:v>Yes</x:v>
      </x:c>
      <x:c r="I51" s="80" t="n">
        <x:f>IF(H51="Yes",IF(F51=E51,1,0),"")</x:f>
        <x:v>0</x:v>
      </x:c>
    </x:row>
    <x:row r="52">
      <x:c r="A52" s="76" t="str">
        <x:v>GR00T Frozen LLM</x:v>
      </x:c>
      <x:c r="B52" s="76" t="str">
        <x:v>Counting</x:v>
      </x:c>
      <x:c r="C52" s="76" t="n">
        <x:v>122</x:v>
      </x:c>
      <x:c r="D52" s="76" t="str">
        <x:v>122, 123</x:v>
      </x:c>
      <x:c r="E52" s="76" t="n">
        <x:v>2</x:v>
      </x:c>
      <x:c r="F52" s="76" t="n">
        <x:v>0</x:v>
      </x:c>
      <x:c r="G52" s="76" t="n">
        <x:v>2</x:v>
      </x:c>
      <x:c r="H52" s="76" t="str">
        <x:v>Yes</x:v>
      </x:c>
      <x:c r="I52" s="80" t="n">
        <x:f>IF(H52="Yes",IF(F52=E52,1,0),"")</x:f>
        <x:v>0</x:v>
      </x:c>
    </x:row>
    <x:row r="53">
      <x:c r="A53" s="76" t="str">
        <x:v>GR00T Frozen LLM</x:v>
      </x:c>
      <x:c r="B53" s="76" t="str">
        <x:v>Counting</x:v>
      </x:c>
      <x:c r="C53" s="76" t="n">
        <x:v>140</x:v>
      </x:c>
      <x:c r="D53" s="76" t="str">
        <x:v>140, 141</x:v>
      </x:c>
      <x:c r="E53" s="76" t="n">
        <x:v>2</x:v>
      </x:c>
      <x:c r="F53" s="76" t="n">
        <x:v>0</x:v>
      </x:c>
      <x:c r="G53" s="76" t="n">
        <x:v>2</x:v>
      </x:c>
      <x:c r="H53" s="76" t="str">
        <x:v>Yes</x:v>
      </x:c>
      <x:c r="I53" s="80" t="n">
        <x:f>IF(H53="Yes",IF(F53=E53,1,0),"")</x:f>
        <x:v>0</x:v>
      </x:c>
    </x:row>
    <x:row r="54">
      <x:c r="A54" s="76" t="str">
        <x:v>GR00T Frozen LLM</x:v>
      </x:c>
      <x:c r="B54" s="76" t="str">
        <x:v>Counting</x:v>
      </x:c>
      <x:c r="C54" s="76" t="n">
        <x:v>146</x:v>
      </x:c>
      <x:c r="D54" s="76" t="str">
        <x:v>146, 147</x:v>
      </x:c>
      <x:c r="E54" s="76" t="n">
        <x:v>2</x:v>
      </x:c>
      <x:c r="F54" s="76" t="n">
        <x:v>0</x:v>
      </x:c>
      <x:c r="G54" s="76" t="n">
        <x:v>2</x:v>
      </x:c>
      <x:c r="H54" s="76" t="str">
        <x:v>Yes</x:v>
      </x:c>
      <x:c r="I54" s="80" t="n">
        <x:f>IF(H54="Yes",IF(F54=E54,1,0),"")</x:f>
        <x:v>0</x:v>
      </x:c>
    </x:row>
    <x:row r="55">
      <x:c r="A55" s="76" t="str">
        <x:v>GR00T Frozen LLM</x:v>
      </x:c>
      <x:c r="B55" s="76" t="str">
        <x:v>Counting</x:v>
      </x:c>
      <x:c r="C55" s="76" t="n">
        <x:v>148</x:v>
      </x:c>
      <x:c r="D55" s="76" t="str">
        <x:v>148, 149</x:v>
      </x:c>
      <x:c r="E55" s="76" t="n">
        <x:v>2</x:v>
      </x:c>
      <x:c r="F55" s="76" t="n">
        <x:v>0</x:v>
      </x:c>
      <x:c r="G55" s="76" t="n">
        <x:v>2</x:v>
      </x:c>
      <x:c r="H55" s="76" t="str">
        <x:v>Yes</x:v>
      </x:c>
      <x:c r="I55" s="80" t="n">
        <x:f>IF(H55="Yes",IF(F55=E55,1,0),"")</x:f>
        <x:v>0</x:v>
      </x:c>
    </x:row>
    <x:row r="56">
      <x:c r="A56" s="76" t="str">
        <x:v>GR00T Frozen LLM</x:v>
      </x:c>
      <x:c r="B56" s="76" t="str">
        <x:v>Ordinal Reference Ordering</x:v>
      </x:c>
      <x:c r="C56" s="76" t="n">
        <x:v>20</x:v>
      </x:c>
      <x:c r="D56" s="76" t="str">
        <x:v>20, 27</x:v>
      </x:c>
      <x:c r="E56" s="76" t="n">
        <x:v>2</x:v>
      </x:c>
      <x:c r="F56" s="76" t="n">
        <x:v>1</x:v>
      </x:c>
      <x:c r="G56" s="76" t="n">
        <x:v>1</x:v>
      </x:c>
      <x:c r="H56" s="76" t="str">
        <x:v>Yes</x:v>
      </x:c>
      <x:c r="I56" s="80" t="n">
        <x:f>IF(H56="Yes",IF(F56=E56,1,0),"")</x:f>
        <x:v>0</x:v>
      </x:c>
    </x:row>
    <x:row r="57">
      <x:c r="A57" s="76" t="str">
        <x:v>GR00T Frozen LLM</x:v>
      </x:c>
      <x:c r="B57" s="76" t="str">
        <x:v>Ordinal Reference Ordering</x:v>
      </x:c>
      <x:c r="C57" s="76" t="n">
        <x:v>28</x:v>
      </x:c>
      <x:c r="D57" s="76" t="str">
        <x:v>28, 35</x:v>
      </x:c>
      <x:c r="E57" s="76" t="n">
        <x:v>2</x:v>
      </x:c>
      <x:c r="F57" s="76" t="n">
        <x:v>1</x:v>
      </x:c>
      <x:c r="G57" s="76" t="n">
        <x:v>1</x:v>
      </x:c>
      <x:c r="H57" s="76" t="str">
        <x:v>Yes</x:v>
      </x:c>
      <x:c r="I57" s="80" t="n">
        <x:f>IF(H57="Yes",IF(F57=E57,1,0),"")</x:f>
        <x:v>0</x:v>
      </x:c>
    </x:row>
    <x:row r="58">
      <x:c r="A58" s="76" t="str">
        <x:v>GR00T Frozen LLM</x:v>
      </x:c>
      <x:c r="B58" s="76" t="str">
        <x:v>Ordinal Reference Ordering</x:v>
      </x:c>
      <x:c r="C58" s="76" t="n">
        <x:v>36</x:v>
      </x:c>
      <x:c r="D58" s="76" t="str">
        <x:v>36, 43</x:v>
      </x:c>
      <x:c r="E58" s="76" t="n">
        <x:v>2</x:v>
      </x:c>
      <x:c r="F58" s="76" t="n">
        <x:v>1</x:v>
      </x:c>
      <x:c r="G58" s="76" t="n">
        <x:v>1</x:v>
      </x:c>
      <x:c r="H58" s="76" t="str">
        <x:v>Yes</x:v>
      </x:c>
      <x:c r="I58" s="80" t="n">
        <x:f>IF(H58="Yes",IF(F58=E58,1,0),"")</x:f>
        <x:v>0</x:v>
      </x:c>
    </x:row>
    <x:row r="59">
      <x:c r="A59" s="76" t="str">
        <x:v>GR00T Frozen LLM</x:v>
      </x:c>
      <x:c r="B59" s="76" t="str">
        <x:v>Ordinal Reference Ordering</x:v>
      </x:c>
      <x:c r="C59" s="76" t="n">
        <x:v>44</x:v>
      </x:c>
      <x:c r="D59" s="76" t="str">
        <x:v>44, 51</x:v>
      </x:c>
      <x:c r="E59" s="76" t="n">
        <x:v>2</x:v>
      </x:c>
      <x:c r="F59" s="76" t="n">
        <x:v>1</x:v>
      </x:c>
      <x:c r="G59" s="76" t="n">
        <x:v>1</x:v>
      </x:c>
      <x:c r="H59" s="76" t="str">
        <x:v>Yes</x:v>
      </x:c>
      <x:c r="I59" s="80" t="n">
        <x:f>IF(H59="Yes",IF(F59=E59,1,0),"")</x:f>
        <x:v>0</x:v>
      </x:c>
    </x:row>
    <x:row r="60">
      <x:c r="A60" s="76" t="str">
        <x:v>GR00T Frozen LLM</x:v>
      </x:c>
      <x:c r="B60" s="76" t="str">
        <x:v>Ordinal Reference Ordering</x:v>
      </x:c>
      <x:c r="C60" s="76" t="n">
        <x:v>52</x:v>
      </x:c>
      <x:c r="D60" s="76" t="str">
        <x:v>52, 59</x:v>
      </x:c>
      <x:c r="E60" s="76" t="n">
        <x:v>2</x:v>
      </x:c>
      <x:c r="F60" s="76" t="n">
        <x:v>0</x:v>
      </x:c>
      <x:c r="G60" s="76" t="n">
        <x:v>2</x:v>
      </x:c>
      <x:c r="H60" s="76" t="str">
        <x:v>Yes</x:v>
      </x:c>
      <x:c r="I60" s="80" t="n">
        <x:f>IF(H60="Yes",IF(F60=E60,1,0),"")</x:f>
        <x:v>0</x:v>
      </x:c>
    </x:row>
    <x:row r="61">
      <x:c r="A61" s="76" t="str">
        <x:v>GR00T Frozen LLM</x:v>
      </x:c>
      <x:c r="B61" s="76" t="str">
        <x:v>Ordinal Reference Ordering</x:v>
      </x:c>
      <x:c r="C61" s="76" t="n">
        <x:v>60</x:v>
      </x:c>
      <x:c r="D61" s="76" t="str">
        <x:v>60, 63</x:v>
      </x:c>
      <x:c r="E61" s="76" t="n">
        <x:v>2</x:v>
      </x:c>
      <x:c r="F61" s="76" t="n">
        <x:v>1</x:v>
      </x:c>
      <x:c r="G61" s="76" t="n">
        <x:v>1</x:v>
      </x:c>
      <x:c r="H61" s="76" t="str">
        <x:v>Yes</x:v>
      </x:c>
      <x:c r="I61" s="80" t="n">
        <x:f>IF(H61="Yes",IF(F61=E61,1,0),"")</x:f>
        <x:v>0</x:v>
      </x:c>
    </x:row>
    <x:row r="62">
      <x:c r="A62" s="76" t="str">
        <x:v>GR00T Frozen LLM</x:v>
      </x:c>
      <x:c r="B62" s="76" t="str">
        <x:v>Ordinal Reference Ordering</x:v>
      </x:c>
      <x:c r="C62" s="76" t="n">
        <x:v>64</x:v>
      </x:c>
      <x:c r="D62" s="76" t="str">
        <x:v>64, 67</x:v>
      </x:c>
      <x:c r="E62" s="76" t="n">
        <x:v>2</x:v>
      </x:c>
      <x:c r="F62" s="76" t="n">
        <x:v>1</x:v>
      </x:c>
      <x:c r="G62" s="76" t="n">
        <x:v>1</x:v>
      </x:c>
      <x:c r="H62" s="76" t="str">
        <x:v>Yes</x:v>
      </x:c>
      <x:c r="I62" s="80" t="n">
        <x:f>IF(H62="Yes",IF(F62=E62,1,0),"")</x:f>
        <x:v>0</x:v>
      </x:c>
    </x:row>
    <x:row r="63">
      <x:c r="A63" s="76" t="str">
        <x:v>GR00T Frozen LLM</x:v>
      </x:c>
      <x:c r="B63" s="76" t="str">
        <x:v>Ordinal Reference Ordering</x:v>
      </x:c>
      <x:c r="C63" s="76" t="n">
        <x:v>68</x:v>
      </x:c>
      <x:c r="D63" s="76" t="str">
        <x:v>68, 71</x:v>
      </x:c>
      <x:c r="E63" s="76" t="n">
        <x:v>2</x:v>
      </x:c>
      <x:c r="F63" s="76" t="n">
        <x:v>0</x:v>
      </x:c>
      <x:c r="G63" s="76" t="n">
        <x:v>2</x:v>
      </x:c>
      <x:c r="H63" s="76" t="str">
        <x:v>Yes</x:v>
      </x:c>
      <x:c r="I63" s="80" t="n">
        <x:f>IF(H63="Yes",IF(F63=E63,1,0),"")</x:f>
        <x:v>0</x:v>
      </x:c>
    </x:row>
    <x:row r="64">
      <x:c r="A64" s="76" t="str">
        <x:v>GR00T Frozen LLM</x:v>
      </x:c>
      <x:c r="B64" s="76" t="str">
        <x:v>Ordinal Reference Ordering</x:v>
      </x:c>
      <x:c r="C64" s="76" t="n">
        <x:v>72</x:v>
      </x:c>
      <x:c r="D64" s="76" t="str">
        <x:v>72, 75</x:v>
      </x:c>
      <x:c r="E64" s="76" t="n">
        <x:v>2</x:v>
      </x:c>
      <x:c r="F64" s="76" t="n">
        <x:v>1</x:v>
      </x:c>
      <x:c r="G64" s="76" t="n">
        <x:v>1</x:v>
      </x:c>
      <x:c r="H64" s="76" t="str">
        <x:v>Yes</x:v>
      </x:c>
      <x:c r="I64" s="80" t="n">
        <x:f>IF(H64="Yes",IF(F64=E64,1,0),"")</x:f>
        <x:v>0</x:v>
      </x:c>
    </x:row>
    <x:row r="65">
      <x:c r="A65" s="76" t="str">
        <x:v>GR00T Frozen LLM</x:v>
      </x:c>
      <x:c r="B65" s="76" t="str">
        <x:v>Ordinal Reference Ordering</x:v>
      </x:c>
      <x:c r="C65" s="76" t="n">
        <x:v>76</x:v>
      </x:c>
      <x:c r="D65" s="76" t="str">
        <x:v>76, 79</x:v>
      </x:c>
      <x:c r="E65" s="76" t="n">
        <x:v>2</x:v>
      </x:c>
      <x:c r="F65" s="76" t="n">
        <x:v>1</x:v>
      </x:c>
      <x:c r="G65" s="76" t="n">
        <x:v>1</x:v>
      </x:c>
      <x:c r="H65" s="76" t="str">
        <x:v>Yes</x:v>
      </x:c>
      <x:c r="I65" s="80" t="n">
        <x:f>IF(H65="Yes",IF(F65=E65,1,0),"")</x:f>
        <x:v>0</x:v>
      </x:c>
    </x:row>
    <x:row r="66">
      <x:c r="A66" s="76" t="str">
        <x:v>GR00T Frozen LLM</x:v>
      </x:c>
      <x:c r="B66" s="76" t="str">
        <x:v>Ordinal Reference Ordering</x:v>
      </x:c>
      <x:c r="C66" s="76" t="n">
        <x:v>80</x:v>
      </x:c>
      <x:c r="D66" s="76" t="str">
        <x:v>80, 81</x:v>
      </x:c>
      <x:c r="E66" s="76" t="n">
        <x:v>2</x:v>
      </x:c>
      <x:c r="F66" s="76" t="n">
        <x:v>0</x:v>
      </x:c>
      <x:c r="G66" s="76" t="n">
        <x:v>2</x:v>
      </x:c>
      <x:c r="H66" s="76" t="str">
        <x:v>Yes</x:v>
      </x:c>
      <x:c r="I66" s="80" t="n">
        <x:f>IF(H66="Yes",IF(F66=E66,1,0),"")</x:f>
        <x:v>0</x:v>
      </x:c>
    </x:row>
    <x:row r="67">
      <x:c r="A67" s="76" t="str">
        <x:v>GR00T Frozen LLM</x:v>
      </x:c>
      <x:c r="B67" s="76" t="str">
        <x:v>Ordinal Reference Ordering</x:v>
      </x:c>
      <x:c r="C67" s="76" t="n">
        <x:v>82</x:v>
      </x:c>
      <x:c r="D67" s="76" t="str">
        <x:v>82, 83</x:v>
      </x:c>
      <x:c r="E67" s="76" t="n">
        <x:v>2</x:v>
      </x:c>
      <x:c r="F67" s="76" t="n">
        <x:v>1</x:v>
      </x:c>
      <x:c r="G67" s="76" t="n">
        <x:v>1</x:v>
      </x:c>
      <x:c r="H67" s="76" t="str">
        <x:v>Yes</x:v>
      </x:c>
      <x:c r="I67" s="80" t="n">
        <x:f>IF(H67="Yes",IF(F67=E67,1,0),"")</x:f>
        <x:v>0</x:v>
      </x:c>
    </x:row>
    <x:row r="68">
      <x:c r="A68" s="76" t="str">
        <x:v>GR00T Frozen LLM</x:v>
      </x:c>
      <x:c r="B68" s="76" t="str">
        <x:v>Ordinal Reference Ordering</x:v>
      </x:c>
      <x:c r="C68" s="76" t="n">
        <x:v>84</x:v>
      </x:c>
      <x:c r="D68" s="76" t="str">
        <x:v>84, 85</x:v>
      </x:c>
      <x:c r="E68" s="76" t="n">
        <x:v>2</x:v>
      </x:c>
      <x:c r="F68" s="76" t="n">
        <x:v>1</x:v>
      </x:c>
      <x:c r="G68" s="76" t="n">
        <x:v>1</x:v>
      </x:c>
      <x:c r="H68" s="76" t="str">
        <x:v>Yes</x:v>
      </x:c>
      <x:c r="I68" s="80" t="n">
        <x:f>IF(H68="Yes",IF(F68=E68,1,0),"")</x:f>
        <x:v>0</x:v>
      </x:c>
    </x:row>
    <x:row r="69">
      <x:c r="A69" s="76" t="str">
        <x:v>GR00T Frozen LLM</x:v>
      </x:c>
      <x:c r="B69" s="76" t="str">
        <x:v>Ordinal Reference Ordering</x:v>
      </x:c>
      <x:c r="C69" s="76" t="n">
        <x:v>86</x:v>
      </x:c>
      <x:c r="D69" s="76" t="str">
        <x:v>86, 87</x:v>
      </x:c>
      <x:c r="E69" s="76" t="n">
        <x:v>2</x:v>
      </x:c>
      <x:c r="F69" s="76" t="n">
        <x:v>1</x:v>
      </x:c>
      <x:c r="G69" s="76" t="n">
        <x:v>1</x:v>
      </x:c>
      <x:c r="H69" s="76" t="str">
        <x:v>Yes</x:v>
      </x:c>
      <x:c r="I69" s="80" t="n">
        <x:f>IF(H69="Yes",IF(F69=E69,1,0),"")</x:f>
        <x:v>0</x:v>
      </x:c>
    </x:row>
    <x:row r="70">
      <x:c r="A70" s="76" t="str">
        <x:v>GR00T Frozen LLM</x:v>
      </x:c>
      <x:c r="B70" s="76" t="str">
        <x:v>Ordinal Reference Ordering</x:v>
      </x:c>
      <x:c r="C70" s="76" t="n">
        <x:v>88</x:v>
      </x:c>
      <x:c r="D70" s="76" t="str">
        <x:v>88, 89</x:v>
      </x:c>
      <x:c r="E70" s="76" t="n">
        <x:v>2</x:v>
      </x:c>
      <x:c r="F70" s="76" t="n">
        <x:v>1</x:v>
      </x:c>
      <x:c r="G70" s="76" t="n">
        <x:v>1</x:v>
      </x:c>
      <x:c r="H70" s="76" t="str">
        <x:v>Yes</x:v>
      </x:c>
      <x:c r="I70" s="80" t="n">
        <x:f>IF(H70="Yes",IF(F70=E70,1,0),"")</x:f>
        <x:v>0</x:v>
      </x:c>
    </x:row>
    <x:row r="71">
      <x:c r="A71" s="76" t="str">
        <x:v>GR00T Frozen LLM</x:v>
      </x:c>
      <x:c r="B71" s="76" t="str">
        <x:v>Ordinal Reference Ordering</x:v>
      </x:c>
      <x:c r="C71" s="76" t="n">
        <x:v>90</x:v>
      </x:c>
      <x:c r="D71" s="76" t="str">
        <x:v>90, 91</x:v>
      </x:c>
      <x:c r="E71" s="76" t="n">
        <x:v>2</x:v>
      </x:c>
      <x:c r="F71" s="76" t="n">
        <x:v>0</x:v>
      </x:c>
      <x:c r="G71" s="76" t="n">
        <x:v>2</x:v>
      </x:c>
      <x:c r="H71" s="76" t="str">
        <x:v>Yes</x:v>
      </x:c>
      <x:c r="I71" s="80" t="n">
        <x:f>IF(H71="Yes",IF(F71=E71,1,0),"")</x:f>
        <x:v>0</x:v>
      </x:c>
    </x:row>
    <x:row r="72">
      <x:c r="A72" s="76" t="str">
        <x:v>GR00T Frozen LLM</x:v>
      </x:c>
      <x:c r="B72" s="76" t="str">
        <x:v>Ordinal Reference Ordering</x:v>
      </x:c>
      <x:c r="C72" s="76" t="n">
        <x:v>92</x:v>
      </x:c>
      <x:c r="D72" s="76" t="str">
        <x:v>92, 93</x:v>
      </x:c>
      <x:c r="E72" s="76" t="n">
        <x:v>2</x:v>
      </x:c>
      <x:c r="F72" s="76" t="n">
        <x:v>1</x:v>
      </x:c>
      <x:c r="G72" s="76" t="n">
        <x:v>1</x:v>
      </x:c>
      <x:c r="H72" s="76" t="str">
        <x:v>Yes</x:v>
      </x:c>
      <x:c r="I72" s="80" t="n">
        <x:f>IF(H72="Yes",IF(F72=E72,1,0),"")</x:f>
        <x:v>0</x:v>
      </x:c>
    </x:row>
    <x:row r="73">
      <x:c r="A73" s="76" t="str">
        <x:v>GR00T Frozen LLM</x:v>
      </x:c>
      <x:c r="B73" s="76" t="str">
        <x:v>Ordinal Reference Ordering</x:v>
      </x:c>
      <x:c r="C73" s="76" t="n">
        <x:v>94</x:v>
      </x:c>
      <x:c r="D73" s="76" t="str">
        <x:v>94, 95</x:v>
      </x:c>
      <x:c r="E73" s="76" t="n">
        <x:v>2</x:v>
      </x:c>
      <x:c r="F73" s="76" t="n">
        <x:v>1</x:v>
      </x:c>
      <x:c r="G73" s="76" t="n">
        <x:v>1</x:v>
      </x:c>
      <x:c r="H73" s="76" t="str">
        <x:v>Yes</x:v>
      </x:c>
      <x:c r="I73" s="80" t="n">
        <x:f>IF(H73="Yes",IF(F73=E73,1,0),"")</x:f>
        <x:v>0</x:v>
      </x:c>
    </x:row>
    <x:row r="74">
      <x:c r="A74" s="76" t="str">
        <x:v>GR00T Frozen LLM</x:v>
      </x:c>
      <x:c r="B74" s="76" t="str">
        <x:v>Ordinal Reference Ordering</x:v>
      </x:c>
      <x:c r="C74" s="76" t="n">
        <x:v>96</x:v>
      </x:c>
      <x:c r="D74" s="76" t="str">
        <x:v>96, 97</x:v>
      </x:c>
      <x:c r="E74" s="76" t="n">
        <x:v>2</x:v>
      </x:c>
      <x:c r="F74" s="76" t="n">
        <x:v>0</x:v>
      </x:c>
      <x:c r="G74" s="76" t="n">
        <x:v>2</x:v>
      </x:c>
      <x:c r="H74" s="76" t="str">
        <x:v>Yes</x:v>
      </x:c>
      <x:c r="I74" s="80" t="n">
        <x:f>IF(H74="Yes",IF(F74=E74,1,0),"")</x:f>
        <x:v>0</x:v>
      </x:c>
    </x:row>
    <x:row r="75">
      <x:c r="A75" s="76" t="str">
        <x:v>GR00T Frozen LLM</x:v>
      </x:c>
      <x:c r="B75" s="76" t="str">
        <x:v>Ordinal Reference Ordering</x:v>
      </x:c>
      <x:c r="C75" s="76" t="n">
        <x:v>98</x:v>
      </x:c>
      <x:c r="D75" s="76" t="str">
        <x:v>98, 99</x:v>
      </x:c>
      <x:c r="E75" s="76" t="n">
        <x:v>2</x:v>
      </x:c>
      <x:c r="F75" s="76" t="n">
        <x:v>0</x:v>
      </x:c>
      <x:c r="G75" s="76" t="n">
        <x:v>2</x:v>
      </x:c>
      <x:c r="H75" s="76" t="str">
        <x:v>Yes</x:v>
      </x:c>
      <x:c r="I75" s="80" t="n">
        <x:f>IF(H75="Yes",IF(F75=E75,1,0),"")</x:f>
        <x:v>0</x:v>
      </x:c>
    </x:row>
    <x:row r="76">
      <x:c r="A76" s="76" t="str">
        <x:v>GR00T Frozen LLM</x:v>
      </x:c>
      <x:c r="B76" s="76" t="str">
        <x:v>Ordinal Reference Ordering</x:v>
      </x:c>
      <x:c r="C76" s="76" t="n">
        <x:v>100</x:v>
      </x:c>
      <x:c r="D76" s="76" t="str">
        <x:v>100, 101</x:v>
      </x:c>
      <x:c r="E76" s="76" t="n">
        <x:v>2</x:v>
      </x:c>
      <x:c r="F76" s="76" t="n">
        <x:v>2</x:v>
      </x:c>
      <x:c r="G76" s="76" t="n">
        <x:v>0</x:v>
      </x:c>
      <x:c r="H76" s="76" t="str">
        <x:v>Yes</x:v>
      </x:c>
      <x:c r="I76" s="80" t="n">
        <x:f>IF(H76="Yes",IF(F76=E76,1,0),"")</x:f>
        <x:v>1</x:v>
      </x:c>
    </x:row>
    <x:row r="77">
      <x:c r="A77" s="76" t="str">
        <x:v>GR00T Frozen LLM</x:v>
      </x:c>
      <x:c r="B77" s="76" t="str">
        <x:v>Ordinal Reference Ordering</x:v>
      </x:c>
      <x:c r="C77" s="76" t="n">
        <x:v>102</x:v>
      </x:c>
      <x:c r="D77" s="76" t="str">
        <x:v>102, 103</x:v>
      </x:c>
      <x:c r="E77" s="76" t="n">
        <x:v>2</x:v>
      </x:c>
      <x:c r="F77" s="76" t="n">
        <x:v>2</x:v>
      </x:c>
      <x:c r="G77" s="76" t="n">
        <x:v>0</x:v>
      </x:c>
      <x:c r="H77" s="76" t="str">
        <x:v>Yes</x:v>
      </x:c>
      <x:c r="I77" s="80" t="n">
        <x:f>IF(H77="Yes",IF(F77=E77,1,0),"")</x:f>
        <x:v>1</x:v>
      </x:c>
    </x:row>
    <x:row r="78">
      <x:c r="A78" s="76" t="str">
        <x:v>GR00T Frozen LLM</x:v>
      </x:c>
      <x:c r="B78" s="76" t="str">
        <x:v>Ordinal Reference Ordering</x:v>
      </x:c>
      <x:c r="C78" s="76" t="n">
        <x:v>104</x:v>
      </x:c>
      <x:c r="D78" s="76" t="str">
        <x:v>104, 105</x:v>
      </x:c>
      <x:c r="E78" s="76" t="n">
        <x:v>2</x:v>
      </x:c>
      <x:c r="F78" s="76" t="n">
        <x:v>1</x:v>
      </x:c>
      <x:c r="G78" s="76" t="n">
        <x:v>1</x:v>
      </x:c>
      <x:c r="H78" s="76" t="str">
        <x:v>Yes</x:v>
      </x:c>
      <x:c r="I78" s="80" t="n">
        <x:f>IF(H78="Yes",IF(F78=E78,1,0),"")</x:f>
        <x:v>0</x:v>
      </x:c>
    </x:row>
    <x:row r="79">
      <x:c r="A79" s="76" t="str">
        <x:v>GR00T Frozen LLM</x:v>
      </x:c>
      <x:c r="B79" s="76" t="str">
        <x:v>Ordinal Reference Ordering</x:v>
      </x:c>
      <x:c r="C79" s="76" t="n">
        <x:v>106</x:v>
      </x:c>
      <x:c r="D79" s="76" t="str">
        <x:v>106, 107</x:v>
      </x:c>
      <x:c r="E79" s="76" t="n">
        <x:v>2</x:v>
      </x:c>
      <x:c r="F79" s="76" t="n">
        <x:v>1</x:v>
      </x:c>
      <x:c r="G79" s="76" t="n">
        <x:v>1</x:v>
      </x:c>
      <x:c r="H79" s="76" t="str">
        <x:v>Yes</x:v>
      </x:c>
      <x:c r="I79" s="80" t="n">
        <x:f>IF(H79="Yes",IF(F79=E79,1,0),"")</x:f>
        <x:v>0</x:v>
      </x:c>
    </x:row>
    <x:row r="80">
      <x:c r="A80" s="76" t="str">
        <x:v>GR00T Frozen LLM</x:v>
      </x:c>
      <x:c r="B80" s="76" t="str">
        <x:v>Ordinal Reference Ordering</x:v>
      </x:c>
      <x:c r="C80" s="76" t="n">
        <x:v>108</x:v>
      </x:c>
      <x:c r="D80" s="76" t="str">
        <x:v>108, 109</x:v>
      </x:c>
      <x:c r="E80" s="76" t="n">
        <x:v>2</x:v>
      </x:c>
      <x:c r="F80" s="76" t="n">
        <x:v>1</x:v>
      </x:c>
      <x:c r="G80" s="76" t="n">
        <x:v>1</x:v>
      </x:c>
      <x:c r="H80" s="76" t="str">
        <x:v>Yes</x:v>
      </x:c>
      <x:c r="I80" s="80" t="n">
        <x:f>IF(H80="Yes",IF(F80=E80,1,0),"")</x:f>
        <x:v>0</x:v>
      </x:c>
    </x:row>
    <x:row r="81">
      <x:c r="A81" s="76" t="str">
        <x:v>GR00T Frozen LLM</x:v>
      </x:c>
      <x:c r="B81" s="76" t="str">
        <x:v>Relational Placement</x:v>
      </x:c>
      <x:c r="C81" s="76" t="n">
        <x:v>20</x:v>
      </x:c>
      <x:c r="D81" s="76" t="str">
        <x:v>20, 21, 22, 23</x:v>
      </x:c>
      <x:c r="E81" s="76" t="n">
        <x:v>4</x:v>
      </x:c>
      <x:c r="F81" s="76" t="n">
        <x:v>3</x:v>
      </x:c>
      <x:c r="G81" s="76" t="n">
        <x:v>1</x:v>
      </x:c>
      <x:c r="H81" s="76" t="str">
        <x:v>Yes</x:v>
      </x:c>
      <x:c r="I81" s="80" t="n">
        <x:f>IF(H81="Yes",IF(F81=E81,1,0),"")</x:f>
        <x:v>0</x:v>
      </x:c>
    </x:row>
    <x:row r="82">
      <x:c r="A82" s="76" t="str">
        <x:v>GR00T Frozen LLM</x:v>
      </x:c>
      <x:c r="B82" s="76" t="str">
        <x:v>Relational Placement</x:v>
      </x:c>
      <x:c r="C82" s="76" t="n">
        <x:v>24</x:v>
      </x:c>
      <x:c r="D82" s="76" t="str">
        <x:v>24, 25, 26, 27</x:v>
      </x:c>
      <x:c r="E82" s="76" t="n">
        <x:v>4</x:v>
      </x:c>
      <x:c r="F82" s="76" t="n">
        <x:v>4</x:v>
      </x:c>
      <x:c r="G82" s="76" t="n">
        <x:v>0</x:v>
      </x:c>
      <x:c r="H82" s="76" t="str">
        <x:v>Yes</x:v>
      </x:c>
      <x:c r="I82" s="80" t="n">
        <x:f>IF(H82="Yes",IF(F82=E82,1,0),"")</x:f>
        <x:v>1</x:v>
      </x:c>
    </x:row>
    <x:row r="83">
      <x:c r="A83" s="76" t="str">
        <x:v>GR00T Frozen LLM</x:v>
      </x:c>
      <x:c r="B83" s="76" t="str">
        <x:v>Relational Placement</x:v>
      </x:c>
      <x:c r="C83" s="76" t="n">
        <x:v>28</x:v>
      </x:c>
      <x:c r="D83" s="76" t="str">
        <x:v>28, 29, 30, 31</x:v>
      </x:c>
      <x:c r="E83" s="76" t="n">
        <x:v>4</x:v>
      </x:c>
      <x:c r="F83" s="76" t="n">
        <x:v>3</x:v>
      </x:c>
      <x:c r="G83" s="76" t="n">
        <x:v>1</x:v>
      </x:c>
      <x:c r="H83" s="76" t="str">
        <x:v>Yes</x:v>
      </x:c>
      <x:c r="I83" s="80" t="n">
        <x:f>IF(H83="Yes",IF(F83=E83,1,0),"")</x:f>
        <x:v>0</x:v>
      </x:c>
    </x:row>
    <x:row r="84">
      <x:c r="A84" s="76" t="str">
        <x:v>GR00T Frozen LLM</x:v>
      </x:c>
      <x:c r="B84" s="76" t="str">
        <x:v>Relational Placement</x:v>
      </x:c>
      <x:c r="C84" s="76" t="n">
        <x:v>32</x:v>
      </x:c>
      <x:c r="D84" s="76" t="str">
        <x:v>32, 33, 34, 35</x:v>
      </x:c>
      <x:c r="E84" s="76" t="n">
        <x:v>4</x:v>
      </x:c>
      <x:c r="F84" s="76" t="n">
        <x:v>3</x:v>
      </x:c>
      <x:c r="G84" s="76" t="n">
        <x:v>1</x:v>
      </x:c>
      <x:c r="H84" s="76" t="str">
        <x:v>Yes</x:v>
      </x:c>
      <x:c r="I84" s="80" t="n">
        <x:f>IF(H84="Yes",IF(F84=E84,1,0),"")</x:f>
        <x:v>0</x:v>
      </x:c>
    </x:row>
    <x:row r="85">
      <x:c r="A85" s="76" t="str">
        <x:v>GR00T Frozen LLM</x:v>
      </x:c>
      <x:c r="B85" s="76" t="str">
        <x:v>Relational Placement</x:v>
      </x:c>
      <x:c r="C85" s="76" t="n">
        <x:v>36</x:v>
      </x:c>
      <x:c r="D85" s="76" t="str">
        <x:v>36, 37, 38, 39</x:v>
      </x:c>
      <x:c r="E85" s="76" t="n">
        <x:v>4</x:v>
      </x:c>
      <x:c r="F85" s="76" t="n">
        <x:v>4</x:v>
      </x:c>
      <x:c r="G85" s="76" t="n">
        <x:v>0</x:v>
      </x:c>
      <x:c r="H85" s="76" t="str">
        <x:v>Yes</x:v>
      </x:c>
      <x:c r="I85" s="80" t="n">
        <x:f>IF(H85="Yes",IF(F85=E85,1,0),"")</x:f>
        <x:v>1</x:v>
      </x:c>
    </x:row>
    <x:row r="86">
      <x:c r="A86" s="76" t="str">
        <x:v>GR00T Frozen LLM</x:v>
      </x:c>
      <x:c r="B86" s="76" t="str">
        <x:v>Relational Placement</x:v>
      </x:c>
      <x:c r="C86" s="76" t="n">
        <x:v>40</x:v>
      </x:c>
      <x:c r="D86" s="76" t="str">
        <x:v>40, 41, 42, 43</x:v>
      </x:c>
      <x:c r="E86" s="76" t="n">
        <x:v>4</x:v>
      </x:c>
      <x:c r="F86" s="76" t="n">
        <x:v>4</x:v>
      </x:c>
      <x:c r="G86" s="76" t="n">
        <x:v>0</x:v>
      </x:c>
      <x:c r="H86" s="76" t="str">
        <x:v>Yes</x:v>
      </x:c>
      <x:c r="I86" s="80" t="n">
        <x:f>IF(H86="Yes",IF(F86=E86,1,0),"")</x:f>
        <x:v>1</x:v>
      </x:c>
    </x:row>
    <x:row r="87">
      <x:c r="A87" s="76" t="str">
        <x:v>MolmoAct2</x:v>
      </x:c>
      <x:c r="B87" s="76" t="str">
        <x:v>Counting</x:v>
      </x:c>
      <x:c r="C87" s="76" t="n">
        <x:v>24</x:v>
      </x:c>
      <x:c r="D87" s="76" t="str">
        <x:v>24, 25</x:v>
      </x:c>
      <x:c r="E87" s="76" t="n">
        <x:v>2</x:v>
      </x:c>
      <x:c r="F87" s="76" t="n">
        <x:v>0</x:v>
      </x:c>
      <x:c r="G87" s="76" t="n">
        <x:v>2</x:v>
      </x:c>
      <x:c r="H87" s="76" t="str">
        <x:v>Yes</x:v>
      </x:c>
      <x:c r="I87" s="80" t="n">
        <x:f>IF(H87="Yes",IF(F87=E87,1,0),"")</x:f>
        <x:v>0</x:v>
      </x:c>
    </x:row>
    <x:row r="88">
      <x:c r="A88" s="76" t="str">
        <x:v>MolmoAct2</x:v>
      </x:c>
      <x:c r="B88" s="76" t="str">
        <x:v>Counting</x:v>
      </x:c>
      <x:c r="C88" s="76" t="n">
        <x:v>50</x:v>
      </x:c>
      <x:c r="D88" s="76" t="str">
        <x:v>50, 51</x:v>
      </x:c>
      <x:c r="E88" s="76" t="n">
        <x:v>2</x:v>
      </x:c>
      <x:c r="F88" s="76" t="n">
        <x:v>0</x:v>
      </x:c>
      <x:c r="G88" s="76" t="n">
        <x:v>2</x:v>
      </x:c>
      <x:c r="H88" s="76" t="str">
        <x:v>Yes</x:v>
      </x:c>
      <x:c r="I88" s="80" t="n">
        <x:f>IF(H88="Yes",IF(F88=E88,1,0),"")</x:f>
        <x:v>0</x:v>
      </x:c>
    </x:row>
    <x:row r="89">
      <x:c r="A89" s="76" t="str">
        <x:v>MolmoAct2</x:v>
      </x:c>
      <x:c r="B89" s="76" t="str">
        <x:v>Counting</x:v>
      </x:c>
      <x:c r="C89" s="76" t="n">
        <x:v>52</x:v>
      </x:c>
      <x:c r="D89" s="76" t="str">
        <x:v>52, 53</x:v>
      </x:c>
      <x:c r="E89" s="76" t="n">
        <x:v>2</x:v>
      </x:c>
      <x:c r="F89" s="76" t="n">
        <x:v>0</x:v>
      </x:c>
      <x:c r="G89" s="76" t="n">
        <x:v>2</x:v>
      </x:c>
      <x:c r="H89" s="76" t="str">
        <x:v>Yes</x:v>
      </x:c>
      <x:c r="I89" s="80" t="n">
        <x:f>IF(H89="Yes",IF(F89=E89,1,0),"")</x:f>
        <x:v>0</x:v>
      </x:c>
    </x:row>
    <x:row r="90">
      <x:c r="A90" s="76" t="str">
        <x:v>MolmoAct2</x:v>
      </x:c>
      <x:c r="B90" s="76" t="str">
        <x:v>Counting</x:v>
      </x:c>
      <x:c r="C90" s="76" t="n">
        <x:v>62</x:v>
      </x:c>
      <x:c r="D90" s="76" t="str">
        <x:v>62, 63</x:v>
      </x:c>
      <x:c r="E90" s="76" t="n">
        <x:v>2</x:v>
      </x:c>
      <x:c r="F90" s="76" t="n">
        <x:v>0</x:v>
      </x:c>
      <x:c r="G90" s="76" t="n">
        <x:v>2</x:v>
      </x:c>
      <x:c r="H90" s="76" t="str">
        <x:v>Yes</x:v>
      </x:c>
      <x:c r="I90" s="80" t="n">
        <x:f>IF(H90="Yes",IF(F90=E90,1,0),"")</x:f>
        <x:v>0</x:v>
      </x:c>
    </x:row>
    <x:row r="91">
      <x:c r="A91" s="76" t="str">
        <x:v>MolmoAct2</x:v>
      </x:c>
      <x:c r="B91" s="76" t="str">
        <x:v>Counting</x:v>
      </x:c>
      <x:c r="C91" s="76" t="n">
        <x:v>64</x:v>
      </x:c>
      <x:c r="D91" s="76" t="str">
        <x:v>64, 65</x:v>
      </x:c>
      <x:c r="E91" s="76" t="n">
        <x:v>2</x:v>
      </x:c>
      <x:c r="F91" s="76" t="n">
        <x:v>0</x:v>
      </x:c>
      <x:c r="G91" s="76" t="n">
        <x:v>2</x:v>
      </x:c>
      <x:c r="H91" s="76" t="str">
        <x:v>Yes</x:v>
      </x:c>
      <x:c r="I91" s="80" t="n">
        <x:f>IF(H91="Yes",IF(F91=E91,1,0),"")</x:f>
        <x:v>0</x:v>
      </x:c>
    </x:row>
    <x:row r="92">
      <x:c r="A92" s="76" t="str">
        <x:v>MolmoAct2</x:v>
      </x:c>
      <x:c r="B92" s="76" t="str">
        <x:v>Counting</x:v>
      </x:c>
      <x:c r="C92" s="76" t="n">
        <x:v>66</x:v>
      </x:c>
      <x:c r="D92" s="76" t="str">
        <x:v>66, 67</x:v>
      </x:c>
      <x:c r="E92" s="76" t="n">
        <x:v>2</x:v>
      </x:c>
      <x:c r="F92" s="76" t="n">
        <x:v>0</x:v>
      </x:c>
      <x:c r="G92" s="76" t="n">
        <x:v>2</x:v>
      </x:c>
      <x:c r="H92" s="76" t="str">
        <x:v>Yes</x:v>
      </x:c>
      <x:c r="I92" s="80" t="n">
        <x:f>IF(H92="Yes",IF(F92=E92,1,0),"")</x:f>
        <x:v>0</x:v>
      </x:c>
    </x:row>
    <x:row r="93">
      <x:c r="A93" s="76" t="str">
        <x:v>MolmoAct2</x:v>
      </x:c>
      <x:c r="B93" s="76" t="str">
        <x:v>Counting</x:v>
      </x:c>
      <x:c r="C93" s="76" t="n">
        <x:v>76</x:v>
      </x:c>
      <x:c r="D93" s="76" t="str">
        <x:v>76, 77</x:v>
      </x:c>
      <x:c r="E93" s="76" t="n">
        <x:v>2</x:v>
      </x:c>
      <x:c r="F93" s="76" t="n">
        <x:v>0</x:v>
      </x:c>
      <x:c r="G93" s="76" t="n">
        <x:v>2</x:v>
      </x:c>
      <x:c r="H93" s="76" t="str">
        <x:v>Yes</x:v>
      </x:c>
      <x:c r="I93" s="80" t="n">
        <x:f>IF(H93="Yes",IF(F93=E93,1,0),"")</x:f>
        <x:v>0</x:v>
      </x:c>
    </x:row>
    <x:row r="94">
      <x:c r="A94" s="76" t="str">
        <x:v>MolmoAct2</x:v>
      </x:c>
      <x:c r="B94" s="76" t="str">
        <x:v>Counting</x:v>
      </x:c>
      <x:c r="C94" s="76" t="n">
        <x:v>82</x:v>
      </x:c>
      <x:c r="D94" s="76" t="str">
        <x:v>82, 83</x:v>
      </x:c>
      <x:c r="E94" s="76" t="n">
        <x:v>2</x:v>
      </x:c>
      <x:c r="F94" s="76" t="n">
        <x:v>0</x:v>
      </x:c>
      <x:c r="G94" s="76" t="n">
        <x:v>2</x:v>
      </x:c>
      <x:c r="H94" s="76" t="str">
        <x:v>Yes</x:v>
      </x:c>
      <x:c r="I94" s="80" t="n">
        <x:f>IF(H94="Yes",IF(F94=E94,1,0),"")</x:f>
        <x:v>0</x:v>
      </x:c>
    </x:row>
    <x:row r="95">
      <x:c r="A95" s="76" t="str">
        <x:v>MolmoAct2</x:v>
      </x:c>
      <x:c r="B95" s="76" t="str">
        <x:v>Counting</x:v>
      </x:c>
      <x:c r="C95" s="76" t="n">
        <x:v>92</x:v>
      </x:c>
      <x:c r="D95" s="76" t="str">
        <x:v>92, 93</x:v>
      </x:c>
      <x:c r="E95" s="76" t="n">
        <x:v>2</x:v>
      </x:c>
      <x:c r="F95" s="76" t="n">
        <x:v>0</x:v>
      </x:c>
      <x:c r="G95" s="76" t="n">
        <x:v>2</x:v>
      </x:c>
      <x:c r="H95" s="76" t="str">
        <x:v>Yes</x:v>
      </x:c>
      <x:c r="I95" s="80" t="n">
        <x:f>IF(H95="Yes",IF(F95=E95,1,0),"")</x:f>
        <x:v>0</x:v>
      </x:c>
    </x:row>
    <x:row r="96">
      <x:c r="A96" s="76" t="str">
        <x:v>MolmoAct2</x:v>
      </x:c>
      <x:c r="B96" s="76" t="str">
        <x:v>Counting</x:v>
      </x:c>
      <x:c r="C96" s="76" t="n">
        <x:v>114</x:v>
      </x:c>
      <x:c r="D96" s="76" t="str">
        <x:v>114, 115</x:v>
      </x:c>
      <x:c r="E96" s="76" t="n">
        <x:v>2</x:v>
      </x:c>
      <x:c r="F96" s="76" t="n">
        <x:v>0</x:v>
      </x:c>
      <x:c r="G96" s="76" t="n">
        <x:v>2</x:v>
      </x:c>
      <x:c r="H96" s="76" t="str">
        <x:v>Yes</x:v>
      </x:c>
      <x:c r="I96" s="80" t="n">
        <x:f>IF(H96="Yes",IF(F96=E96,1,0),"")</x:f>
        <x:v>0</x:v>
      </x:c>
    </x:row>
    <x:row r="97">
      <x:c r="A97" s="76" t="str">
        <x:v>MolmoAct2</x:v>
      </x:c>
      <x:c r="B97" s="76" t="str">
        <x:v>Counting</x:v>
      </x:c>
      <x:c r="C97" s="76" t="n">
        <x:v>116</x:v>
      </x:c>
      <x:c r="D97" s="76" t="str">
        <x:v>116, 117</x:v>
      </x:c>
      <x:c r="E97" s="76" t="n">
        <x:v>2</x:v>
      </x:c>
      <x:c r="F97" s="76" t="n">
        <x:v>0</x:v>
      </x:c>
      <x:c r="G97" s="76" t="n">
        <x:v>2</x:v>
      </x:c>
      <x:c r="H97" s="76" t="str">
        <x:v>Yes</x:v>
      </x:c>
      <x:c r="I97" s="80" t="n">
        <x:f>IF(H97="Yes",IF(F97=E97,1,0),"")</x:f>
        <x:v>0</x:v>
      </x:c>
    </x:row>
    <x:row r="98">
      <x:c r="A98" s="76" t="str">
        <x:v>MolmoAct2</x:v>
      </x:c>
      <x:c r="B98" s="76" t="str">
        <x:v>Counting</x:v>
      </x:c>
      <x:c r="C98" s="76" t="n">
        <x:v>122</x:v>
      </x:c>
      <x:c r="D98" s="76" t="str">
        <x:v>122, 123</x:v>
      </x:c>
      <x:c r="E98" s="76" t="n">
        <x:v>2</x:v>
      </x:c>
      <x:c r="F98" s="76" t="n">
        <x:v>0</x:v>
      </x:c>
      <x:c r="G98" s="76" t="n">
        <x:v>2</x:v>
      </x:c>
      <x:c r="H98" s="76" t="str">
        <x:v>Yes</x:v>
      </x:c>
      <x:c r="I98" s="80" t="n">
        <x:f>IF(H98="Yes",IF(F98=E98,1,0),"")</x:f>
        <x:v>0</x:v>
      </x:c>
    </x:row>
    <x:row r="99">
      <x:c r="A99" s="76" t="str">
        <x:v>MolmoAct2</x:v>
      </x:c>
      <x:c r="B99" s="76" t="str">
        <x:v>Counting</x:v>
      </x:c>
      <x:c r="C99" s="76" t="n">
        <x:v>140</x:v>
      </x:c>
      <x:c r="D99" s="76" t="str">
        <x:v>140, 141</x:v>
      </x:c>
      <x:c r="E99" s="76" t="n">
        <x:v>2</x:v>
      </x:c>
      <x:c r="F99" s="76" t="n">
        <x:v>0</x:v>
      </x:c>
      <x:c r="G99" s="76" t="n">
        <x:v>2</x:v>
      </x:c>
      <x:c r="H99" s="76" t="str">
        <x:v>Yes</x:v>
      </x:c>
      <x:c r="I99" s="80" t="n">
        <x:f>IF(H99="Yes",IF(F99=E99,1,0),"")</x:f>
        <x:v>0</x:v>
      </x:c>
    </x:row>
    <x:row r="100">
      <x:c r="A100" s="76" t="str">
        <x:v>MolmoAct2</x:v>
      </x:c>
      <x:c r="B100" s="76" t="str">
        <x:v>Counting</x:v>
      </x:c>
      <x:c r="C100" s="76" t="n">
        <x:v>146</x:v>
      </x:c>
      <x:c r="D100" s="76" t="str">
        <x:v>146, 147</x:v>
      </x:c>
      <x:c r="E100" s="76" t="n">
        <x:v>2</x:v>
      </x:c>
      <x:c r="F100" s="76" t="n">
        <x:v>0</x:v>
      </x:c>
      <x:c r="G100" s="76" t="n">
        <x:v>2</x:v>
      </x:c>
      <x:c r="H100" s="76" t="str">
        <x:v>Yes</x:v>
      </x:c>
      <x:c r="I100" s="80" t="n">
        <x:f>IF(H100="Yes",IF(F100=E100,1,0),"")</x:f>
        <x:v>0</x:v>
      </x:c>
    </x:row>
    <x:row r="101">
      <x:c r="A101" s="76" t="str">
        <x:v>MolmoAct2</x:v>
      </x:c>
      <x:c r="B101" s="76" t="str">
        <x:v>Counting</x:v>
      </x:c>
      <x:c r="C101" s="76" t="n">
        <x:v>148</x:v>
      </x:c>
      <x:c r="D101" s="76" t="str">
        <x:v>148, 149</x:v>
      </x:c>
      <x:c r="E101" s="76" t="n">
        <x:v>2</x:v>
      </x:c>
      <x:c r="F101" s="76" t="n">
        <x:v>0</x:v>
      </x:c>
      <x:c r="G101" s="76" t="n">
        <x:v>2</x:v>
      </x:c>
      <x:c r="H101" s="76" t="str">
        <x:v>Yes</x:v>
      </x:c>
      <x:c r="I101" s="80" t="n">
        <x:f>IF(H101="Yes",IF(F101=E101,1,0),"")</x:f>
        <x:v>0</x:v>
      </x:c>
    </x:row>
    <x:row r="102">
      <x:c r="A102" s="76" t="str">
        <x:v>MolmoAct2</x:v>
      </x:c>
      <x:c r="B102" s="76" t="str">
        <x:v>Ordinal Reference Ordering</x:v>
      </x:c>
      <x:c r="C102" s="76" t="n">
        <x:v>20</x:v>
      </x:c>
      <x:c r="D102" s="76" t="str">
        <x:v>20, 27</x:v>
      </x:c>
      <x:c r="E102" s="76" t="n">
        <x:v>2</x:v>
      </x:c>
      <x:c r="F102" s="76" t="n">
        <x:v>1</x:v>
      </x:c>
      <x:c r="G102" s="76" t="n">
        <x:v>1</x:v>
      </x:c>
      <x:c r="H102" s="76" t="str">
        <x:v>Yes</x:v>
      </x:c>
      <x:c r="I102" s="80" t="n">
        <x:f>IF(H102="Yes",IF(F102=E102,1,0),"")</x:f>
        <x:v>0</x:v>
      </x:c>
    </x:row>
    <x:row r="103">
      <x:c r="A103" s="76" t="str">
        <x:v>MolmoAct2</x:v>
      </x:c>
      <x:c r="B103" s="76" t="str">
        <x:v>Ordinal Reference Ordering</x:v>
      </x:c>
      <x:c r="C103" s="76" t="n">
        <x:v>28</x:v>
      </x:c>
      <x:c r="D103" s="76" t="str">
        <x:v>28, 35</x:v>
      </x:c>
      <x:c r="E103" s="76" t="n">
        <x:v>2</x:v>
      </x:c>
      <x:c r="F103" s="76" t="n">
        <x:v>2</x:v>
      </x:c>
      <x:c r="G103" s="76" t="n">
        <x:v>0</x:v>
      </x:c>
      <x:c r="H103" s="76" t="str">
        <x:v>Yes</x:v>
      </x:c>
      <x:c r="I103" s="80" t="n">
        <x:f>IF(H103="Yes",IF(F103=E103,1,0),"")</x:f>
        <x:v>1</x:v>
      </x:c>
    </x:row>
    <x:row r="104">
      <x:c r="A104" s="76" t="str">
        <x:v>MolmoAct2</x:v>
      </x:c>
      <x:c r="B104" s="76" t="str">
        <x:v>Ordinal Reference Ordering</x:v>
      </x:c>
      <x:c r="C104" s="76" t="n">
        <x:v>36</x:v>
      </x:c>
      <x:c r="D104" s="76" t="str">
        <x:v>36, 43</x:v>
      </x:c>
      <x:c r="E104" s="76" t="n">
        <x:v>2</x:v>
      </x:c>
      <x:c r="F104" s="76" t="n">
        <x:v>2</x:v>
      </x:c>
      <x:c r="G104" s="76" t="n">
        <x:v>0</x:v>
      </x:c>
      <x:c r="H104" s="76" t="str">
        <x:v>Yes</x:v>
      </x:c>
      <x:c r="I104" s="80" t="n">
        <x:f>IF(H104="Yes",IF(F104=E104,1,0),"")</x:f>
        <x:v>1</x:v>
      </x:c>
    </x:row>
    <x:row r="105">
      <x:c r="A105" s="76" t="str">
        <x:v>MolmoAct2</x:v>
      </x:c>
      <x:c r="B105" s="76" t="str">
        <x:v>Ordinal Reference Ordering</x:v>
      </x:c>
      <x:c r="C105" s="76" t="n">
        <x:v>44</x:v>
      </x:c>
      <x:c r="D105" s="76" t="str">
        <x:v>44, 51</x:v>
      </x:c>
      <x:c r="E105" s="76" t="n">
        <x:v>2</x:v>
      </x:c>
      <x:c r="F105" s="76" t="n">
        <x:v>1</x:v>
      </x:c>
      <x:c r="G105" s="76" t="n">
        <x:v>1</x:v>
      </x:c>
      <x:c r="H105" s="76" t="str">
        <x:v>Yes</x:v>
      </x:c>
      <x:c r="I105" s="80" t="n">
        <x:f>IF(H105="Yes",IF(F105=E105,1,0),"")</x:f>
        <x:v>0</x:v>
      </x:c>
    </x:row>
    <x:row r="106">
      <x:c r="A106" s="76" t="str">
        <x:v>MolmoAct2</x:v>
      </x:c>
      <x:c r="B106" s="76" t="str">
        <x:v>Ordinal Reference Ordering</x:v>
      </x:c>
      <x:c r="C106" s="76" t="n">
        <x:v>52</x:v>
      </x:c>
      <x:c r="D106" s="76" t="str">
        <x:v>52, 59</x:v>
      </x:c>
      <x:c r="E106" s="76" t="n">
        <x:v>2</x:v>
      </x:c>
      <x:c r="F106" s="76" t="n">
        <x:v>1</x:v>
      </x:c>
      <x:c r="G106" s="76" t="n">
        <x:v>1</x:v>
      </x:c>
      <x:c r="H106" s="76" t="str">
        <x:v>Yes</x:v>
      </x:c>
      <x:c r="I106" s="80" t="n">
        <x:f>IF(H106="Yes",IF(F106=E106,1,0),"")</x:f>
        <x:v>0</x:v>
      </x:c>
    </x:row>
    <x:row r="107">
      <x:c r="A107" s="76" t="str">
        <x:v>MolmoAct2</x:v>
      </x:c>
      <x:c r="B107" s="76" t="str">
        <x:v>Ordinal Reference Ordering</x:v>
      </x:c>
      <x:c r="C107" s="76" t="n">
        <x:v>60</x:v>
      </x:c>
      <x:c r="D107" s="76" t="str">
        <x:v>60, 63</x:v>
      </x:c>
      <x:c r="E107" s="76" t="n">
        <x:v>2</x:v>
      </x:c>
      <x:c r="F107" s="76" t="n">
        <x:v>1</x:v>
      </x:c>
      <x:c r="G107" s="76" t="n">
        <x:v>1</x:v>
      </x:c>
      <x:c r="H107" s="76" t="str">
        <x:v>Yes</x:v>
      </x:c>
      <x:c r="I107" s="80" t="n">
        <x:f>IF(H107="Yes",IF(F107=E107,1,0),"")</x:f>
        <x:v>0</x:v>
      </x:c>
    </x:row>
    <x:row r="108">
      <x:c r="A108" s="76" t="str">
        <x:v>MolmoAct2</x:v>
      </x:c>
      <x:c r="B108" s="76" t="str">
        <x:v>Ordinal Reference Ordering</x:v>
      </x:c>
      <x:c r="C108" s="76" t="n">
        <x:v>64</x:v>
      </x:c>
      <x:c r="D108" s="76" t="str">
        <x:v>64, 67</x:v>
      </x:c>
      <x:c r="E108" s="76" t="n">
        <x:v>2</x:v>
      </x:c>
      <x:c r="F108" s="76" t="n">
        <x:v>1</x:v>
      </x:c>
      <x:c r="G108" s="76" t="n">
        <x:v>1</x:v>
      </x:c>
      <x:c r="H108" s="76" t="str">
        <x:v>Yes</x:v>
      </x:c>
      <x:c r="I108" s="80" t="n">
        <x:f>IF(H108="Yes",IF(F108=E108,1,0),"")</x:f>
        <x:v>0</x:v>
      </x:c>
    </x:row>
    <x:row r="109">
      <x:c r="A109" s="76" t="str">
        <x:v>MolmoAct2</x:v>
      </x:c>
      <x:c r="B109" s="76" t="str">
        <x:v>Ordinal Reference Ordering</x:v>
      </x:c>
      <x:c r="C109" s="76" t="n">
        <x:v>68</x:v>
      </x:c>
      <x:c r="D109" s="76" t="str">
        <x:v>68, 71</x:v>
      </x:c>
      <x:c r="E109" s="76" t="n">
        <x:v>2</x:v>
      </x:c>
      <x:c r="F109" s="76" t="n">
        <x:v>0</x:v>
      </x:c>
      <x:c r="G109" s="76" t="n">
        <x:v>2</x:v>
      </x:c>
      <x:c r="H109" s="76" t="str">
        <x:v>Yes</x:v>
      </x:c>
      <x:c r="I109" s="80" t="n">
        <x:f>IF(H109="Yes",IF(F109=E109,1,0),"")</x:f>
        <x:v>0</x:v>
      </x:c>
    </x:row>
    <x:row r="110">
      <x:c r="A110" s="76" t="str">
        <x:v>MolmoAct2</x:v>
      </x:c>
      <x:c r="B110" s="76" t="str">
        <x:v>Ordinal Reference Ordering</x:v>
      </x:c>
      <x:c r="C110" s="76" t="n">
        <x:v>72</x:v>
      </x:c>
      <x:c r="D110" s="76" t="str">
        <x:v>72, 75</x:v>
      </x:c>
      <x:c r="E110" s="76" t="n">
        <x:v>2</x:v>
      </x:c>
      <x:c r="F110" s="76" t="n">
        <x:v>2</x:v>
      </x:c>
      <x:c r="G110" s="76" t="n">
        <x:v>0</x:v>
      </x:c>
      <x:c r="H110" s="76" t="str">
        <x:v>Yes</x:v>
      </x:c>
      <x:c r="I110" s="80" t="n">
        <x:f>IF(H110="Yes",IF(F110=E110,1,0),"")</x:f>
        <x:v>1</x:v>
      </x:c>
    </x:row>
    <x:row r="111">
      <x:c r="A111" s="76" t="str">
        <x:v>MolmoAct2</x:v>
      </x:c>
      <x:c r="B111" s="76" t="str">
        <x:v>Ordinal Reference Ordering</x:v>
      </x:c>
      <x:c r="C111" s="76" t="n">
        <x:v>76</x:v>
      </x:c>
      <x:c r="D111" s="76" t="str">
        <x:v>76, 79</x:v>
      </x:c>
      <x:c r="E111" s="76" t="n">
        <x:v>2</x:v>
      </x:c>
      <x:c r="F111" s="76" t="n">
        <x:v>1</x:v>
      </x:c>
      <x:c r="G111" s="76" t="n">
        <x:v>1</x:v>
      </x:c>
      <x:c r="H111" s="76" t="str">
        <x:v>Yes</x:v>
      </x:c>
      <x:c r="I111" s="80" t="n">
        <x:f>IF(H111="Yes",IF(F111=E111,1,0),"")</x:f>
        <x:v>0</x:v>
      </x:c>
    </x:row>
    <x:row r="112">
      <x:c r="A112" s="76" t="str">
        <x:v>MolmoAct2</x:v>
      </x:c>
      <x:c r="B112" s="76" t="str">
        <x:v>Ordinal Reference Ordering</x:v>
      </x:c>
      <x:c r="C112" s="76" t="n">
        <x:v>80</x:v>
      </x:c>
      <x:c r="D112" s="76" t="str">
        <x:v>80, 81</x:v>
      </x:c>
      <x:c r="E112" s="76" t="n">
        <x:v>2</x:v>
      </x:c>
      <x:c r="F112" s="76" t="n">
        <x:v>1</x:v>
      </x:c>
      <x:c r="G112" s="76" t="n">
        <x:v>1</x:v>
      </x:c>
      <x:c r="H112" s="76" t="str">
        <x:v>Yes</x:v>
      </x:c>
      <x:c r="I112" s="80" t="n">
        <x:f>IF(H112="Yes",IF(F112=E112,1,0),"")</x:f>
        <x:v>0</x:v>
      </x:c>
    </x:row>
    <x:row r="113">
      <x:c r="A113" s="76" t="str">
        <x:v>MolmoAct2</x:v>
      </x:c>
      <x:c r="B113" s="76" t="str">
        <x:v>Ordinal Reference Ordering</x:v>
      </x:c>
      <x:c r="C113" s="76" t="n">
        <x:v>82</x:v>
      </x:c>
      <x:c r="D113" s="76" t="str">
        <x:v>82, 83</x:v>
      </x:c>
      <x:c r="E113" s="76" t="n">
        <x:v>2</x:v>
      </x:c>
      <x:c r="F113" s="76" t="n">
        <x:v>1</x:v>
      </x:c>
      <x:c r="G113" s="76" t="n">
        <x:v>1</x:v>
      </x:c>
      <x:c r="H113" s="76" t="str">
        <x:v>Yes</x:v>
      </x:c>
      <x:c r="I113" s="80" t="n">
        <x:f>IF(H113="Yes",IF(F113=E113,1,0),"")</x:f>
        <x:v>0</x:v>
      </x:c>
    </x:row>
    <x:row r="114">
      <x:c r="A114" s="76" t="str">
        <x:v>MolmoAct2</x:v>
      </x:c>
      <x:c r="B114" s="76" t="str">
        <x:v>Ordinal Reference Ordering</x:v>
      </x:c>
      <x:c r="C114" s="76" t="n">
        <x:v>84</x:v>
      </x:c>
      <x:c r="D114" s="76" t="str">
        <x:v>84, 85</x:v>
      </x:c>
      <x:c r="E114" s="76" t="n">
        <x:v>2</x:v>
      </x:c>
      <x:c r="F114" s="76" t="n">
        <x:v>1</x:v>
      </x:c>
      <x:c r="G114" s="76" t="n">
        <x:v>1</x:v>
      </x:c>
      <x:c r="H114" s="76" t="str">
        <x:v>Yes</x:v>
      </x:c>
      <x:c r="I114" s="80" t="n">
        <x:f>IF(H114="Yes",IF(F114=E114,1,0),"")</x:f>
        <x:v>0</x:v>
      </x:c>
    </x:row>
    <x:row r="115">
      <x:c r="A115" s="76" t="str">
        <x:v>MolmoAct2</x:v>
      </x:c>
      <x:c r="B115" s="76" t="str">
        <x:v>Ordinal Reference Ordering</x:v>
      </x:c>
      <x:c r="C115" s="76" t="n">
        <x:v>86</x:v>
      </x:c>
      <x:c r="D115" s="76" t="str">
        <x:v>86, 87</x:v>
      </x:c>
      <x:c r="E115" s="76" t="n">
        <x:v>2</x:v>
      </x:c>
      <x:c r="F115" s="76" t="n">
        <x:v>2</x:v>
      </x:c>
      <x:c r="G115" s="76" t="n">
        <x:v>0</x:v>
      </x:c>
      <x:c r="H115" s="76" t="str">
        <x:v>Yes</x:v>
      </x:c>
      <x:c r="I115" s="80" t="n">
        <x:f>IF(H115="Yes",IF(F115=E115,1,0),"")</x:f>
        <x:v>1</x:v>
      </x:c>
    </x:row>
    <x:row r="116">
      <x:c r="A116" s="76" t="str">
        <x:v>MolmoAct2</x:v>
      </x:c>
      <x:c r="B116" s="76" t="str">
        <x:v>Ordinal Reference Ordering</x:v>
      </x:c>
      <x:c r="C116" s="76" t="n">
        <x:v>88</x:v>
      </x:c>
      <x:c r="D116" s="76" t="str">
        <x:v>88, 89</x:v>
      </x:c>
      <x:c r="E116" s="76" t="n">
        <x:v>2</x:v>
      </x:c>
      <x:c r="F116" s="76" t="n">
        <x:v>1</x:v>
      </x:c>
      <x:c r="G116" s="76" t="n">
        <x:v>1</x:v>
      </x:c>
      <x:c r="H116" s="76" t="str">
        <x:v>Yes</x:v>
      </x:c>
      <x:c r="I116" s="80" t="n">
        <x:f>IF(H116="Yes",IF(F116=E116,1,0),"")</x:f>
        <x:v>0</x:v>
      </x:c>
    </x:row>
    <x:row r="117">
      <x:c r="A117" s="76" t="str">
        <x:v>MolmoAct2</x:v>
      </x:c>
      <x:c r="B117" s="76" t="str">
        <x:v>Ordinal Reference Ordering</x:v>
      </x:c>
      <x:c r="C117" s="76" t="n">
        <x:v>90</x:v>
      </x:c>
      <x:c r="D117" s="76" t="str">
        <x:v>90, 91</x:v>
      </x:c>
      <x:c r="E117" s="76" t="n">
        <x:v>2</x:v>
      </x:c>
      <x:c r="F117" s="76" t="n">
        <x:v>1</x:v>
      </x:c>
      <x:c r="G117" s="76" t="n">
        <x:v>1</x:v>
      </x:c>
      <x:c r="H117" s="76" t="str">
        <x:v>Yes</x:v>
      </x:c>
      <x:c r="I117" s="80" t="n">
        <x:f>IF(H117="Yes",IF(F117=E117,1,0),"")</x:f>
        <x:v>0</x:v>
      </x:c>
    </x:row>
    <x:row r="118">
      <x:c r="A118" s="76" t="str">
        <x:v>MolmoAct2</x:v>
      </x:c>
      <x:c r="B118" s="76" t="str">
        <x:v>Ordinal Reference Ordering</x:v>
      </x:c>
      <x:c r="C118" s="76" t="n">
        <x:v>92</x:v>
      </x:c>
      <x:c r="D118" s="76" t="str">
        <x:v>92, 93</x:v>
      </x:c>
      <x:c r="E118" s="76" t="n">
        <x:v>2</x:v>
      </x:c>
      <x:c r="F118" s="76" t="n">
        <x:v>1</x:v>
      </x:c>
      <x:c r="G118" s="76" t="n">
        <x:v>1</x:v>
      </x:c>
      <x:c r="H118" s="76" t="str">
        <x:v>Yes</x:v>
      </x:c>
      <x:c r="I118" s="80" t="n">
        <x:f>IF(H118="Yes",IF(F118=E118,1,0),"")</x:f>
        <x:v>0</x:v>
      </x:c>
    </x:row>
    <x:row r="119">
      <x:c r="A119" s="76" t="str">
        <x:v>MolmoAct2</x:v>
      </x:c>
      <x:c r="B119" s="76" t="str">
        <x:v>Ordinal Reference Ordering</x:v>
      </x:c>
      <x:c r="C119" s="76" t="n">
        <x:v>94</x:v>
      </x:c>
      <x:c r="D119" s="76" t="str">
        <x:v>94, 95</x:v>
      </x:c>
      <x:c r="E119" s="76" t="n">
        <x:v>2</x:v>
      </x:c>
      <x:c r="F119" s="76" t="n">
        <x:v>1</x:v>
      </x:c>
      <x:c r="G119" s="76" t="n">
        <x:v>1</x:v>
      </x:c>
      <x:c r="H119" s="76" t="str">
        <x:v>Yes</x:v>
      </x:c>
      <x:c r="I119" s="80" t="n">
        <x:f>IF(H119="Yes",IF(F119=E119,1,0),"")</x:f>
        <x:v>0</x:v>
      </x:c>
    </x:row>
    <x:row r="120">
      <x:c r="A120" s="76" t="str">
        <x:v>MolmoAct2</x:v>
      </x:c>
      <x:c r="B120" s="76" t="str">
        <x:v>Ordinal Reference Ordering</x:v>
      </x:c>
      <x:c r="C120" s="76" t="n">
        <x:v>96</x:v>
      </x:c>
      <x:c r="D120" s="76" t="str">
        <x:v>96, 97</x:v>
      </x:c>
      <x:c r="E120" s="76" t="n">
        <x:v>2</x:v>
      </x:c>
      <x:c r="F120" s="76" t="n">
        <x:v>0</x:v>
      </x:c>
      <x:c r="G120" s="76" t="n">
        <x:v>2</x:v>
      </x:c>
      <x:c r="H120" s="76" t="str">
        <x:v>Yes</x:v>
      </x:c>
      <x:c r="I120" s="80" t="n">
        <x:f>IF(H120="Yes",IF(F120=E120,1,0),"")</x:f>
        <x:v>0</x:v>
      </x:c>
    </x:row>
    <x:row r="121">
      <x:c r="A121" s="76" t="str">
        <x:v>MolmoAct2</x:v>
      </x:c>
      <x:c r="B121" s="76" t="str">
        <x:v>Ordinal Reference Ordering</x:v>
      </x:c>
      <x:c r="C121" s="76" t="n">
        <x:v>98</x:v>
      </x:c>
      <x:c r="D121" s="76" t="str">
        <x:v>98, 99</x:v>
      </x:c>
      <x:c r="E121" s="76" t="n">
        <x:v>2</x:v>
      </x:c>
      <x:c r="F121" s="76" t="n">
        <x:v>1</x:v>
      </x:c>
      <x:c r="G121" s="76" t="n">
        <x:v>1</x:v>
      </x:c>
      <x:c r="H121" s="76" t="str">
        <x:v>Yes</x:v>
      </x:c>
      <x:c r="I121" s="80" t="n">
        <x:f>IF(H121="Yes",IF(F121=E121,1,0),"")</x:f>
        <x:v>0</x:v>
      </x:c>
    </x:row>
    <x:row r="122">
      <x:c r="A122" s="76" t="str">
        <x:v>MolmoAct2</x:v>
      </x:c>
      <x:c r="B122" s="76" t="str">
        <x:v>Ordinal Reference Ordering</x:v>
      </x:c>
      <x:c r="C122" s="76" t="n">
        <x:v>100</x:v>
      </x:c>
      <x:c r="D122" s="76" t="str">
        <x:v>100, 101</x:v>
      </x:c>
      <x:c r="E122" s="76" t="n">
        <x:v>2</x:v>
      </x:c>
      <x:c r="F122" s="76" t="n">
        <x:v>1</x:v>
      </x:c>
      <x:c r="G122" s="76" t="n">
        <x:v>1</x:v>
      </x:c>
      <x:c r="H122" s="76" t="str">
        <x:v>Yes</x:v>
      </x:c>
      <x:c r="I122" s="80" t="n">
        <x:f>IF(H122="Yes",IF(F122=E122,1,0),"")</x:f>
        <x:v>0</x:v>
      </x:c>
    </x:row>
    <x:row r="123">
      <x:c r="A123" s="76" t="str">
        <x:v>MolmoAct2</x:v>
      </x:c>
      <x:c r="B123" s="76" t="str">
        <x:v>Ordinal Reference Ordering</x:v>
      </x:c>
      <x:c r="C123" s="76" t="n">
        <x:v>102</x:v>
      </x:c>
      <x:c r="D123" s="76" t="str">
        <x:v>102, 103</x:v>
      </x:c>
      <x:c r="E123" s="76" t="n">
        <x:v>2</x:v>
      </x:c>
      <x:c r="F123" s="76" t="n">
        <x:v>1</x:v>
      </x:c>
      <x:c r="G123" s="76" t="n">
        <x:v>1</x:v>
      </x:c>
      <x:c r="H123" s="76" t="str">
        <x:v>Yes</x:v>
      </x:c>
      <x:c r="I123" s="80" t="n">
        <x:f>IF(H123="Yes",IF(F123=E123,1,0),"")</x:f>
        <x:v>0</x:v>
      </x:c>
    </x:row>
    <x:row r="124">
      <x:c r="A124" s="76" t="str">
        <x:v>MolmoAct2</x:v>
      </x:c>
      <x:c r="B124" s="76" t="str">
        <x:v>Ordinal Reference Ordering</x:v>
      </x:c>
      <x:c r="C124" s="76" t="n">
        <x:v>104</x:v>
      </x:c>
      <x:c r="D124" s="76" t="str">
        <x:v>104, 105</x:v>
      </x:c>
      <x:c r="E124" s="76" t="n">
        <x:v>2</x:v>
      </x:c>
      <x:c r="F124" s="76" t="n">
        <x:v>1</x:v>
      </x:c>
      <x:c r="G124" s="76" t="n">
        <x:v>1</x:v>
      </x:c>
      <x:c r="H124" s="76" t="str">
        <x:v>Yes</x:v>
      </x:c>
      <x:c r="I124" s="80" t="n">
        <x:f>IF(H124="Yes",IF(F124=E124,1,0),"")</x:f>
        <x:v>0</x:v>
      </x:c>
    </x:row>
    <x:row r="125">
      <x:c r="A125" s="76" t="str">
        <x:v>MolmoAct2</x:v>
      </x:c>
      <x:c r="B125" s="76" t="str">
        <x:v>Ordinal Reference Ordering</x:v>
      </x:c>
      <x:c r="C125" s="76" t="n">
        <x:v>106</x:v>
      </x:c>
      <x:c r="D125" s="76" t="str">
        <x:v>106, 107</x:v>
      </x:c>
      <x:c r="E125" s="76" t="n">
        <x:v>2</x:v>
      </x:c>
      <x:c r="F125" s="76" t="n">
        <x:v>2</x:v>
      </x:c>
      <x:c r="G125" s="76" t="n">
        <x:v>0</x:v>
      </x:c>
      <x:c r="H125" s="76" t="str">
        <x:v>Yes</x:v>
      </x:c>
      <x:c r="I125" s="80" t="n">
        <x:f>IF(H125="Yes",IF(F125=E125,1,0),"")</x:f>
        <x:v>1</x:v>
      </x:c>
    </x:row>
    <x:row r="126">
      <x:c r="A126" s="76" t="str">
        <x:v>MolmoAct2</x:v>
      </x:c>
      <x:c r="B126" s="76" t="str">
        <x:v>Ordinal Reference Ordering</x:v>
      </x:c>
      <x:c r="C126" s="76" t="n">
        <x:v>108</x:v>
      </x:c>
      <x:c r="D126" s="76" t="str">
        <x:v>108, 109</x:v>
      </x:c>
      <x:c r="E126" s="76" t="n">
        <x:v>2</x:v>
      </x:c>
      <x:c r="F126" s="76" t="n">
        <x:v>0</x:v>
      </x:c>
      <x:c r="G126" s="76" t="n">
        <x:v>2</x:v>
      </x:c>
      <x:c r="H126" s="76" t="str">
        <x:v>Yes</x:v>
      </x:c>
      <x:c r="I126" s="80" t="n">
        <x:f>IF(H126="Yes",IF(F126=E126,1,0),"")</x:f>
        <x:v>0</x:v>
      </x:c>
    </x:row>
    <x:row r="127">
      <x:c r="A127" s="76" t="str">
        <x:v>MolmoAct2</x:v>
      </x:c>
      <x:c r="B127" s="76" t="str">
        <x:v>Relational Placement</x:v>
      </x:c>
      <x:c r="C127" s="76" t="n">
        <x:v>20</x:v>
      </x:c>
      <x:c r="D127" s="76" t="str">
        <x:v>20, 21, 22, 23</x:v>
      </x:c>
      <x:c r="E127" s="76" t="n">
        <x:v>4</x:v>
      </x:c>
      <x:c r="F127" s="76" t="n">
        <x:v>2</x:v>
      </x:c>
      <x:c r="G127" s="76" t="n">
        <x:v>2</x:v>
      </x:c>
      <x:c r="H127" s="76" t="str">
        <x:v>Yes</x:v>
      </x:c>
      <x:c r="I127" s="80" t="n">
        <x:f>IF(H127="Yes",IF(F127=E127,1,0),"")</x:f>
        <x:v>0</x:v>
      </x:c>
    </x:row>
    <x:row r="128">
      <x:c r="A128" s="76" t="str">
        <x:v>MolmoAct2</x:v>
      </x:c>
      <x:c r="B128" s="76" t="str">
        <x:v>Relational Placement</x:v>
      </x:c>
      <x:c r="C128" s="76" t="n">
        <x:v>24</x:v>
      </x:c>
      <x:c r="D128" s="76" t="str">
        <x:v>24, 25, 26, 27</x:v>
      </x:c>
      <x:c r="E128" s="76" t="n">
        <x:v>4</x:v>
      </x:c>
      <x:c r="F128" s="76" t="n">
        <x:v>2</x:v>
      </x:c>
      <x:c r="G128" s="76" t="n">
        <x:v>2</x:v>
      </x:c>
      <x:c r="H128" s="76" t="str">
        <x:v>Yes</x:v>
      </x:c>
      <x:c r="I128" s="80" t="n">
        <x:f>IF(H128="Yes",IF(F128=E128,1,0),"")</x:f>
        <x:v>0</x:v>
      </x:c>
    </x:row>
    <x:row r="129">
      <x:c r="A129" s="76" t="str">
        <x:v>MolmoAct2</x:v>
      </x:c>
      <x:c r="B129" s="76" t="str">
        <x:v>Relational Placement</x:v>
      </x:c>
      <x:c r="C129" s="76" t="n">
        <x:v>28</x:v>
      </x:c>
      <x:c r="D129" s="76" t="str">
        <x:v>28, 29, 30, 31</x:v>
      </x:c>
      <x:c r="E129" s="76" t="n">
        <x:v>4</x:v>
      </x:c>
      <x:c r="F129" s="76" t="n">
        <x:v>3</x:v>
      </x:c>
      <x:c r="G129" s="76" t="n">
        <x:v>1</x:v>
      </x:c>
      <x:c r="H129" s="76" t="str">
        <x:v>Yes</x:v>
      </x:c>
      <x:c r="I129" s="80" t="n">
        <x:f>IF(H129="Yes",IF(F129=E129,1,0),"")</x:f>
        <x:v>0</x:v>
      </x:c>
    </x:row>
    <x:row r="130">
      <x:c r="A130" s="76" t="str">
        <x:v>MolmoAct2</x:v>
      </x:c>
      <x:c r="B130" s="76" t="str">
        <x:v>Relational Placement</x:v>
      </x:c>
      <x:c r="C130" s="76" t="n">
        <x:v>32</x:v>
      </x:c>
      <x:c r="D130" s="76" t="str">
        <x:v>32, 33, 34, 35</x:v>
      </x:c>
      <x:c r="E130" s="76" t="n">
        <x:v>4</x:v>
      </x:c>
      <x:c r="F130" s="76" t="n">
        <x:v>2</x:v>
      </x:c>
      <x:c r="G130" s="76" t="n">
        <x:v>2</x:v>
      </x:c>
      <x:c r="H130" s="76" t="str">
        <x:v>Yes</x:v>
      </x:c>
      <x:c r="I130" s="80" t="n">
        <x:f>IF(H130="Yes",IF(F130=E130,1,0),"")</x:f>
        <x:v>0</x:v>
      </x:c>
    </x:row>
    <x:row r="131">
      <x:c r="A131" s="76" t="str">
        <x:v>MolmoAct2</x:v>
      </x:c>
      <x:c r="B131" s="76" t="str">
        <x:v>Relational Placement</x:v>
      </x:c>
      <x:c r="C131" s="76" t="n">
        <x:v>36</x:v>
      </x:c>
      <x:c r="D131" s="76" t="str">
        <x:v>36, 37, 38, 39</x:v>
      </x:c>
      <x:c r="E131" s="76" t="n">
        <x:v>4</x:v>
      </x:c>
      <x:c r="F131" s="76" t="n">
        <x:v>2</x:v>
      </x:c>
      <x:c r="G131" s="76" t="n">
        <x:v>2</x:v>
      </x:c>
      <x:c r="H131" s="76" t="str">
        <x:v>Yes</x:v>
      </x:c>
      <x:c r="I131" s="80" t="n">
        <x:f>IF(H131="Yes",IF(F131=E131,1,0),"")</x:f>
        <x:v>0</x:v>
      </x:c>
    </x:row>
    <x:row r="132">
      <x:c r="A132" s="76" t="str">
        <x:v>MolmoAct2</x:v>
      </x:c>
      <x:c r="B132" s="76" t="str">
        <x:v>Relational Placement</x:v>
      </x:c>
      <x:c r="C132" s="76" t="n">
        <x:v>40</x:v>
      </x:c>
      <x:c r="D132" s="76" t="str">
        <x:v>40, 41, 42, 43</x:v>
      </x:c>
      <x:c r="E132" s="76" t="n">
        <x:v>4</x:v>
      </x:c>
      <x:c r="F132" s="76" t="n">
        <x:v>0</x:v>
      </x:c>
      <x:c r="G132" s="76" t="n">
        <x:v>4</x:v>
      </x:c>
      <x:c r="H132" s="76" t="str">
        <x:v>Yes</x:v>
      </x:c>
      <x:c r="I132" s="80" t="n">
        <x:f>IF(H132="Yes",IF(F132=E132,1,0),"")</x:f>
        <x:v>0</x:v>
      </x:c>
    </x:row>
    <x:row r="133">
      <x:c r="A133" s="76" t="str">
        <x:v>π0.5</x:v>
      </x:c>
      <x:c r="B133" s="76" t="str">
        <x:v>Counting</x:v>
      </x:c>
      <x:c r="C133" s="76" t="n">
        <x:v>24</x:v>
      </x:c>
      <x:c r="D133" s="76" t="str">
        <x:v>24, 25</x:v>
      </x:c>
      <x:c r="E133" s="76" t="n">
        <x:v>2</x:v>
      </x:c>
      <x:c r="F133" s="76" t="n">
        <x:v>0</x:v>
      </x:c>
      <x:c r="G133" s="76" t="n">
        <x:v>2</x:v>
      </x:c>
      <x:c r="H133" s="76" t="str">
        <x:v>Yes</x:v>
      </x:c>
      <x:c r="I133" s="80" t="n">
        <x:f>IF(H133="Yes",IF(F133=E133,1,0),"")</x:f>
        <x:v>0</x:v>
      </x:c>
    </x:row>
    <x:row r="134">
      <x:c r="A134" s="76" t="str">
        <x:v>π0.5</x:v>
      </x:c>
      <x:c r="B134" s="76" t="str">
        <x:v>Counting</x:v>
      </x:c>
      <x:c r="C134" s="76" t="n">
        <x:v>50</x:v>
      </x:c>
      <x:c r="D134" s="76" t="str">
        <x:v>50, 51</x:v>
      </x:c>
      <x:c r="E134" s="76" t="n">
        <x:v>2</x:v>
      </x:c>
      <x:c r="F134" s="76" t="n">
        <x:v>0</x:v>
      </x:c>
      <x:c r="G134" s="76" t="n">
        <x:v>2</x:v>
      </x:c>
      <x:c r="H134" s="76" t="str">
        <x:v>Yes</x:v>
      </x:c>
      <x:c r="I134" s="80" t="n">
        <x:f>IF(H134="Yes",IF(F134=E134,1,0),"")</x:f>
        <x:v>0</x:v>
      </x:c>
    </x:row>
    <x:row r="135">
      <x:c r="A135" s="76" t="str">
        <x:v>π0.5</x:v>
      </x:c>
      <x:c r="B135" s="76" t="str">
        <x:v>Counting</x:v>
      </x:c>
      <x:c r="C135" s="76" t="n">
        <x:v>52</x:v>
      </x:c>
      <x:c r="D135" s="76" t="str">
        <x:v>52, 53</x:v>
      </x:c>
      <x:c r="E135" s="76" t="n">
        <x:v>2</x:v>
      </x:c>
      <x:c r="F135" s="76" t="n">
        <x:v>0</x:v>
      </x:c>
      <x:c r="G135" s="76" t="n">
        <x:v>2</x:v>
      </x:c>
      <x:c r="H135" s="76" t="str">
        <x:v>Yes</x:v>
      </x:c>
      <x:c r="I135" s="80" t="n">
        <x:f>IF(H135="Yes",IF(F135=E135,1,0),"")</x:f>
        <x:v>0</x:v>
      </x:c>
    </x:row>
    <x:row r="136">
      <x:c r="A136" s="76" t="str">
        <x:v>π0.5</x:v>
      </x:c>
      <x:c r="B136" s="76" t="str">
        <x:v>Counting</x:v>
      </x:c>
      <x:c r="C136" s="76" t="n">
        <x:v>62</x:v>
      </x:c>
      <x:c r="D136" s="76" t="str">
        <x:v>62, 63</x:v>
      </x:c>
      <x:c r="E136" s="76" t="n">
        <x:v>2</x:v>
      </x:c>
      <x:c r="F136" s="76" t="n">
        <x:v>0</x:v>
      </x:c>
      <x:c r="G136" s="76" t="n">
        <x:v>2</x:v>
      </x:c>
      <x:c r="H136" s="76" t="str">
        <x:v>Yes</x:v>
      </x:c>
      <x:c r="I136" s="80" t="n">
        <x:f>IF(H136="Yes",IF(F136=E136,1,0),"")</x:f>
        <x:v>0</x:v>
      </x:c>
    </x:row>
    <x:row r="137">
      <x:c r="A137" s="76" t="str">
        <x:v>π0.5</x:v>
      </x:c>
      <x:c r="B137" s="76" t="str">
        <x:v>Counting</x:v>
      </x:c>
      <x:c r="C137" s="76" t="n">
        <x:v>64</x:v>
      </x:c>
      <x:c r="D137" s="76" t="str">
        <x:v>64, 65</x:v>
      </x:c>
      <x:c r="E137" s="76" t="n">
        <x:v>2</x:v>
      </x:c>
      <x:c r="F137" s="76" t="n">
        <x:v>0</x:v>
      </x:c>
      <x:c r="G137" s="76" t="n">
        <x:v>2</x:v>
      </x:c>
      <x:c r="H137" s="76" t="str">
        <x:v>Yes</x:v>
      </x:c>
      <x:c r="I137" s="80" t="n">
        <x:f>IF(H137="Yes",IF(F137=E137,1,0),"")</x:f>
        <x:v>0</x:v>
      </x:c>
    </x:row>
    <x:row r="138">
      <x:c r="A138" s="76" t="str">
        <x:v>π0.5</x:v>
      </x:c>
      <x:c r="B138" s="76" t="str">
        <x:v>Counting</x:v>
      </x:c>
      <x:c r="C138" s="76" t="n">
        <x:v>66</x:v>
      </x:c>
      <x:c r="D138" s="76" t="str">
        <x:v>66, 67</x:v>
      </x:c>
      <x:c r="E138" s="76" t="n">
        <x:v>2</x:v>
      </x:c>
      <x:c r="F138" s="76" t="n">
        <x:v>0</x:v>
      </x:c>
      <x:c r="G138" s="76" t="n">
        <x:v>2</x:v>
      </x:c>
      <x:c r="H138" s="76" t="str">
        <x:v>Yes</x:v>
      </x:c>
      <x:c r="I138" s="80" t="n">
        <x:f>IF(H138="Yes",IF(F138=E138,1,0),"")</x:f>
        <x:v>0</x:v>
      </x:c>
    </x:row>
    <x:row r="139">
      <x:c r="A139" s="76" t="str">
        <x:v>π0.5</x:v>
      </x:c>
      <x:c r="B139" s="76" t="str">
        <x:v>Counting</x:v>
      </x:c>
      <x:c r="C139" s="76" t="n">
        <x:v>76</x:v>
      </x:c>
      <x:c r="D139" s="76" t="str">
        <x:v>76, 77</x:v>
      </x:c>
      <x:c r="E139" s="76" t="n">
        <x:v>2</x:v>
      </x:c>
      <x:c r="F139" s="76" t="n">
        <x:v>0</x:v>
      </x:c>
      <x:c r="G139" s="76" t="n">
        <x:v>2</x:v>
      </x:c>
      <x:c r="H139" s="76" t="str">
        <x:v>Yes</x:v>
      </x:c>
      <x:c r="I139" s="80" t="n">
        <x:f>IF(H139="Yes",IF(F139=E139,1,0),"")</x:f>
        <x:v>0</x:v>
      </x:c>
    </x:row>
    <x:row r="140">
      <x:c r="A140" s="76" t="str">
        <x:v>π0.5</x:v>
      </x:c>
      <x:c r="B140" s="76" t="str">
        <x:v>Counting</x:v>
      </x:c>
      <x:c r="C140" s="76" t="n">
        <x:v>82</x:v>
      </x:c>
      <x:c r="D140" s="76" t="str">
        <x:v>82, 83</x:v>
      </x:c>
      <x:c r="E140" s="76" t="n">
        <x:v>2</x:v>
      </x:c>
      <x:c r="F140" s="76" t="n">
        <x:v>0</x:v>
      </x:c>
      <x:c r="G140" s="76" t="n">
        <x:v>2</x:v>
      </x:c>
      <x:c r="H140" s="76" t="str">
        <x:v>Yes</x:v>
      </x:c>
      <x:c r="I140" s="80" t="n">
        <x:f>IF(H140="Yes",IF(F140=E140,1,0),"")</x:f>
        <x:v>0</x:v>
      </x:c>
    </x:row>
    <x:row r="141">
      <x:c r="A141" s="76" t="str">
        <x:v>π0.5</x:v>
      </x:c>
      <x:c r="B141" s="76" t="str">
        <x:v>Counting</x:v>
      </x:c>
      <x:c r="C141" s="76" t="n">
        <x:v>92</x:v>
      </x:c>
      <x:c r="D141" s="76" t="str">
        <x:v>92, 93</x:v>
      </x:c>
      <x:c r="E141" s="76" t="n">
        <x:v>2</x:v>
      </x:c>
      <x:c r="F141" s="76" t="n">
        <x:v>0</x:v>
      </x:c>
      <x:c r="G141" s="76" t="n">
        <x:v>2</x:v>
      </x:c>
      <x:c r="H141" s="76" t="str">
        <x:v>Yes</x:v>
      </x:c>
      <x:c r="I141" s="80" t="n">
        <x:f>IF(H141="Yes",IF(F141=E141,1,0),"")</x:f>
        <x:v>0</x:v>
      </x:c>
    </x:row>
    <x:row r="142">
      <x:c r="A142" s="76" t="str">
        <x:v>π0.5</x:v>
      </x:c>
      <x:c r="B142" s="76" t="str">
        <x:v>Counting</x:v>
      </x:c>
      <x:c r="C142" s="76" t="n">
        <x:v>114</x:v>
      </x:c>
      <x:c r="D142" s="76" t="str">
        <x:v>114, 115</x:v>
      </x:c>
      <x:c r="E142" s="76" t="n">
        <x:v>2</x:v>
      </x:c>
      <x:c r="F142" s="76" t="n">
        <x:v>0</x:v>
      </x:c>
      <x:c r="G142" s="76" t="n">
        <x:v>2</x:v>
      </x:c>
      <x:c r="H142" s="76" t="str">
        <x:v>Yes</x:v>
      </x:c>
      <x:c r="I142" s="80" t="n">
        <x:f>IF(H142="Yes",IF(F142=E142,1,0),"")</x:f>
        <x:v>0</x:v>
      </x:c>
    </x:row>
    <x:row r="143">
      <x:c r="A143" s="76" t="str">
        <x:v>π0.5</x:v>
      </x:c>
      <x:c r="B143" s="76" t="str">
        <x:v>Counting</x:v>
      </x:c>
      <x:c r="C143" s="76" t="n">
        <x:v>116</x:v>
      </x:c>
      <x:c r="D143" s="76" t="str">
        <x:v>116, 117</x:v>
      </x:c>
      <x:c r="E143" s="76" t="n">
        <x:v>2</x:v>
      </x:c>
      <x:c r="F143" s="76" t="n">
        <x:v>0</x:v>
      </x:c>
      <x:c r="G143" s="76" t="n">
        <x:v>2</x:v>
      </x:c>
      <x:c r="H143" s="76" t="str">
        <x:v>Yes</x:v>
      </x:c>
      <x:c r="I143" s="80" t="n">
        <x:f>IF(H143="Yes",IF(F143=E143,1,0),"")</x:f>
        <x:v>0</x:v>
      </x:c>
    </x:row>
    <x:row r="144">
      <x:c r="A144" s="76" t="str">
        <x:v>π0.5</x:v>
      </x:c>
      <x:c r="B144" s="76" t="str">
        <x:v>Counting</x:v>
      </x:c>
      <x:c r="C144" s="76" t="n">
        <x:v>122</x:v>
      </x:c>
      <x:c r="D144" s="76" t="str">
        <x:v>122, 123</x:v>
      </x:c>
      <x:c r="E144" s="76" t="n">
        <x:v>2</x:v>
      </x:c>
      <x:c r="F144" s="76" t="n">
        <x:v>0</x:v>
      </x:c>
      <x:c r="G144" s="76" t="n">
        <x:v>2</x:v>
      </x:c>
      <x:c r="H144" s="76" t="str">
        <x:v>Yes</x:v>
      </x:c>
      <x:c r="I144" s="80" t="n">
        <x:f>IF(H144="Yes",IF(F144=E144,1,0),"")</x:f>
        <x:v>0</x:v>
      </x:c>
    </x:row>
    <x:row r="145">
      <x:c r="A145" s="76" t="str">
        <x:v>π0.5</x:v>
      </x:c>
      <x:c r="B145" s="76" t="str">
        <x:v>Counting</x:v>
      </x:c>
      <x:c r="C145" s="76" t="n">
        <x:v>140</x:v>
      </x:c>
      <x:c r="D145" s="76" t="str">
        <x:v>140, 141</x:v>
      </x:c>
      <x:c r="E145" s="76" t="n">
        <x:v>2</x:v>
      </x:c>
      <x:c r="F145" s="76" t="n">
        <x:v>0</x:v>
      </x:c>
      <x:c r="G145" s="76" t="n">
        <x:v>2</x:v>
      </x:c>
      <x:c r="H145" s="76" t="str">
        <x:v>Yes</x:v>
      </x:c>
      <x:c r="I145" s="80" t="n">
        <x:f>IF(H145="Yes",IF(F145=E145,1,0),"")</x:f>
        <x:v>0</x:v>
      </x:c>
    </x:row>
    <x:row r="146">
      <x:c r="A146" s="76" t="str">
        <x:v>π0.5</x:v>
      </x:c>
      <x:c r="B146" s="76" t="str">
        <x:v>Counting</x:v>
      </x:c>
      <x:c r="C146" s="76" t="n">
        <x:v>146</x:v>
      </x:c>
      <x:c r="D146" s="76" t="str">
        <x:v>146, 147</x:v>
      </x:c>
      <x:c r="E146" s="76" t="n">
        <x:v>2</x:v>
      </x:c>
      <x:c r="F146" s="76" t="n">
        <x:v>0</x:v>
      </x:c>
      <x:c r="G146" s="76" t="n">
        <x:v>2</x:v>
      </x:c>
      <x:c r="H146" s="76" t="str">
        <x:v>Yes</x:v>
      </x:c>
      <x:c r="I146" s="80" t="n">
        <x:f>IF(H146="Yes",IF(F146=E146,1,0),"")</x:f>
        <x:v>0</x:v>
      </x:c>
    </x:row>
    <x:row r="147">
      <x:c r="A147" s="76" t="str">
        <x:v>π0.5</x:v>
      </x:c>
      <x:c r="B147" s="76" t="str">
        <x:v>Counting</x:v>
      </x:c>
      <x:c r="C147" s="76" t="n">
        <x:v>148</x:v>
      </x:c>
      <x:c r="D147" s="76" t="str">
        <x:v>148, 149</x:v>
      </x:c>
      <x:c r="E147" s="76" t="n">
        <x:v>2</x:v>
      </x:c>
      <x:c r="F147" s="76" t="n">
        <x:v>0</x:v>
      </x:c>
      <x:c r="G147" s="76" t="n">
        <x:v>2</x:v>
      </x:c>
      <x:c r="H147" s="76" t="str">
        <x:v>Yes</x:v>
      </x:c>
      <x:c r="I147" s="80" t="n">
        <x:f>IF(H147="Yes",IF(F147=E147,1,0),"")</x:f>
        <x:v>0</x:v>
      </x:c>
    </x:row>
    <x:row r="148">
      <x:c r="A148" s="76" t="str">
        <x:v>π0.5</x:v>
      </x:c>
      <x:c r="B148" s="76" t="str">
        <x:v>Ordinal Reference Ordering</x:v>
      </x:c>
      <x:c r="C148" s="76" t="n">
        <x:v>20</x:v>
      </x:c>
      <x:c r="D148" s="76" t="str">
        <x:v>20, 27</x:v>
      </x:c>
      <x:c r="E148" s="76" t="n">
        <x:v>2</x:v>
      </x:c>
      <x:c r="F148" s="76" t="n">
        <x:v>2</x:v>
      </x:c>
      <x:c r="G148" s="76" t="n">
        <x:v>0</x:v>
      </x:c>
      <x:c r="H148" s="76" t="str">
        <x:v>Yes</x:v>
      </x:c>
      <x:c r="I148" s="80" t="n">
        <x:f>IF(H148="Yes",IF(F148=E148,1,0),"")</x:f>
        <x:v>1</x:v>
      </x:c>
    </x:row>
    <x:row r="149">
      <x:c r="A149" s="76" t="str">
        <x:v>π0.5</x:v>
      </x:c>
      <x:c r="B149" s="76" t="str">
        <x:v>Ordinal Reference Ordering</x:v>
      </x:c>
      <x:c r="C149" s="76" t="n">
        <x:v>28</x:v>
      </x:c>
      <x:c r="D149" s="76" t="str">
        <x:v>28, 35</x:v>
      </x:c>
      <x:c r="E149" s="76" t="n">
        <x:v>2</x:v>
      </x:c>
      <x:c r="F149" s="76" t="n">
        <x:v>1</x:v>
      </x:c>
      <x:c r="G149" s="76" t="n">
        <x:v>1</x:v>
      </x:c>
      <x:c r="H149" s="76" t="str">
        <x:v>Yes</x:v>
      </x:c>
      <x:c r="I149" s="80" t="n">
        <x:f>IF(H149="Yes",IF(F149=E149,1,0),"")</x:f>
        <x:v>0</x:v>
      </x:c>
    </x:row>
    <x:row r="150">
      <x:c r="A150" s="76" t="str">
        <x:v>π0.5</x:v>
      </x:c>
      <x:c r="B150" s="76" t="str">
        <x:v>Ordinal Reference Ordering</x:v>
      </x:c>
      <x:c r="C150" s="76" t="n">
        <x:v>36</x:v>
      </x:c>
      <x:c r="D150" s="76" t="str">
        <x:v>36, 43</x:v>
      </x:c>
      <x:c r="E150" s="76" t="n">
        <x:v>2</x:v>
      </x:c>
      <x:c r="F150" s="76" t="n">
        <x:v>1</x:v>
      </x:c>
      <x:c r="G150" s="76" t="n">
        <x:v>1</x:v>
      </x:c>
      <x:c r="H150" s="76" t="str">
        <x:v>Yes</x:v>
      </x:c>
      <x:c r="I150" s="80" t="n">
        <x:f>IF(H150="Yes",IF(F150=E150,1,0),"")</x:f>
        <x:v>0</x:v>
      </x:c>
    </x:row>
    <x:row r="151">
      <x:c r="A151" s="76" t="str">
        <x:v>π0.5</x:v>
      </x:c>
      <x:c r="B151" s="76" t="str">
        <x:v>Ordinal Reference Ordering</x:v>
      </x:c>
      <x:c r="C151" s="76" t="n">
        <x:v>44</x:v>
      </x:c>
      <x:c r="D151" s="76" t="str">
        <x:v>44, 51</x:v>
      </x:c>
      <x:c r="E151" s="76" t="n">
        <x:v>2</x:v>
      </x:c>
      <x:c r="F151" s="76" t="n">
        <x:v>1</x:v>
      </x:c>
      <x:c r="G151" s="76" t="n">
        <x:v>1</x:v>
      </x:c>
      <x:c r="H151" s="76" t="str">
        <x:v>Yes</x:v>
      </x:c>
      <x:c r="I151" s="80" t="n">
        <x:f>IF(H151="Yes",IF(F151=E151,1,0),"")</x:f>
        <x:v>0</x:v>
      </x:c>
    </x:row>
    <x:row r="152">
      <x:c r="A152" s="76" t="str">
        <x:v>π0.5</x:v>
      </x:c>
      <x:c r="B152" s="76" t="str">
        <x:v>Ordinal Reference Ordering</x:v>
      </x:c>
      <x:c r="C152" s="76" t="n">
        <x:v>52</x:v>
      </x:c>
      <x:c r="D152" s="76" t="str">
        <x:v>52, 59</x:v>
      </x:c>
      <x:c r="E152" s="76" t="n">
        <x:v>2</x:v>
      </x:c>
      <x:c r="F152" s="76" t="n">
        <x:v>1</x:v>
      </x:c>
      <x:c r="G152" s="76" t="n">
        <x:v>1</x:v>
      </x:c>
      <x:c r="H152" s="76" t="str">
        <x:v>Yes</x:v>
      </x:c>
      <x:c r="I152" s="80" t="n">
        <x:f>IF(H152="Yes",IF(F152=E152,1,0),"")</x:f>
        <x:v>0</x:v>
      </x:c>
    </x:row>
    <x:row r="153">
      <x:c r="A153" s="76" t="str">
        <x:v>π0.5</x:v>
      </x:c>
      <x:c r="B153" s="76" t="str">
        <x:v>Ordinal Reference Ordering</x:v>
      </x:c>
      <x:c r="C153" s="76" t="n">
        <x:v>60</x:v>
      </x:c>
      <x:c r="D153" s="76" t="str">
        <x:v>60, 63</x:v>
      </x:c>
      <x:c r="E153" s="76" t="n">
        <x:v>2</x:v>
      </x:c>
      <x:c r="F153" s="76" t="n">
        <x:v>1</x:v>
      </x:c>
      <x:c r="G153" s="76" t="n">
        <x:v>1</x:v>
      </x:c>
      <x:c r="H153" s="76" t="str">
        <x:v>Yes</x:v>
      </x:c>
      <x:c r="I153" s="80" t="n">
        <x:f>IF(H153="Yes",IF(F153=E153,1,0),"")</x:f>
        <x:v>0</x:v>
      </x:c>
    </x:row>
    <x:row r="154">
      <x:c r="A154" s="76" t="str">
        <x:v>π0.5</x:v>
      </x:c>
      <x:c r="B154" s="76" t="str">
        <x:v>Ordinal Reference Ordering</x:v>
      </x:c>
      <x:c r="C154" s="76" t="n">
        <x:v>64</x:v>
      </x:c>
      <x:c r="D154" s="76" t="str">
        <x:v>64, 67</x:v>
      </x:c>
      <x:c r="E154" s="76" t="n">
        <x:v>2</x:v>
      </x:c>
      <x:c r="F154" s="76" t="n">
        <x:v>1</x:v>
      </x:c>
      <x:c r="G154" s="76" t="n">
        <x:v>1</x:v>
      </x:c>
      <x:c r="H154" s="76" t="str">
        <x:v>Yes</x:v>
      </x:c>
      <x:c r="I154" s="80" t="n">
        <x:f>IF(H154="Yes",IF(F154=E154,1,0),"")</x:f>
        <x:v>0</x:v>
      </x:c>
    </x:row>
    <x:row r="155">
      <x:c r="A155" s="76" t="str">
        <x:v>π0.5</x:v>
      </x:c>
      <x:c r="B155" s="76" t="str">
        <x:v>Ordinal Reference Ordering</x:v>
      </x:c>
      <x:c r="C155" s="76" t="n">
        <x:v>68</x:v>
      </x:c>
      <x:c r="D155" s="76" t="str">
        <x:v>68, 71</x:v>
      </x:c>
      <x:c r="E155" s="76" t="n">
        <x:v>2</x:v>
      </x:c>
      <x:c r="F155" s="76" t="n">
        <x:v>1</x:v>
      </x:c>
      <x:c r="G155" s="76" t="n">
        <x:v>1</x:v>
      </x:c>
      <x:c r="H155" s="76" t="str">
        <x:v>Yes</x:v>
      </x:c>
      <x:c r="I155" s="80" t="n">
        <x:f>IF(H155="Yes",IF(F155=E155,1,0),"")</x:f>
        <x:v>0</x:v>
      </x:c>
    </x:row>
    <x:row r="156">
      <x:c r="A156" s="76" t="str">
        <x:v>π0.5</x:v>
      </x:c>
      <x:c r="B156" s="76" t="str">
        <x:v>Ordinal Reference Ordering</x:v>
      </x:c>
      <x:c r="C156" s="76" t="n">
        <x:v>72</x:v>
      </x:c>
      <x:c r="D156" s="76" t="str">
        <x:v>72, 75</x:v>
      </x:c>
      <x:c r="E156" s="76" t="n">
        <x:v>2</x:v>
      </x:c>
      <x:c r="F156" s="76" t="n">
        <x:v>1</x:v>
      </x:c>
      <x:c r="G156" s="76" t="n">
        <x:v>1</x:v>
      </x:c>
      <x:c r="H156" s="76" t="str">
        <x:v>Yes</x:v>
      </x:c>
      <x:c r="I156" s="80" t="n">
        <x:f>IF(H156="Yes",IF(F156=E156,1,0),"")</x:f>
        <x:v>0</x:v>
      </x:c>
    </x:row>
    <x:row r="157">
      <x:c r="A157" s="76" t="str">
        <x:v>π0.5</x:v>
      </x:c>
      <x:c r="B157" s="76" t="str">
        <x:v>Ordinal Reference Ordering</x:v>
      </x:c>
      <x:c r="C157" s="76" t="n">
        <x:v>76</x:v>
      </x:c>
      <x:c r="D157" s="76" t="str">
        <x:v>76, 79</x:v>
      </x:c>
      <x:c r="E157" s="76" t="n">
        <x:v>2</x:v>
      </x:c>
      <x:c r="F157" s="76" t="n">
        <x:v>1</x:v>
      </x:c>
      <x:c r="G157" s="76" t="n">
        <x:v>1</x:v>
      </x:c>
      <x:c r="H157" s="76" t="str">
        <x:v>Yes</x:v>
      </x:c>
      <x:c r="I157" s="80" t="n">
        <x:f>IF(H157="Yes",IF(F157=E157,1,0),"")</x:f>
        <x:v>0</x:v>
      </x:c>
    </x:row>
    <x:row r="158">
      <x:c r="A158" s="76" t="str">
        <x:v>π0.5</x:v>
      </x:c>
      <x:c r="B158" s="76" t="str">
        <x:v>Ordinal Reference Ordering</x:v>
      </x:c>
      <x:c r="C158" s="76" t="n">
        <x:v>80</x:v>
      </x:c>
      <x:c r="D158" s="76" t="str">
        <x:v>80, 81</x:v>
      </x:c>
      <x:c r="E158" s="76" t="n">
        <x:v>2</x:v>
      </x:c>
      <x:c r="F158" s="76" t="n">
        <x:v>1</x:v>
      </x:c>
      <x:c r="G158" s="76" t="n">
        <x:v>1</x:v>
      </x:c>
      <x:c r="H158" s="76" t="str">
        <x:v>Yes</x:v>
      </x:c>
      <x:c r="I158" s="80" t="n">
        <x:f>IF(H158="Yes",IF(F158=E158,1,0),"")</x:f>
        <x:v>0</x:v>
      </x:c>
    </x:row>
    <x:row r="159">
      <x:c r="A159" s="76" t="str">
        <x:v>π0.5</x:v>
      </x:c>
      <x:c r="B159" s="76" t="str">
        <x:v>Ordinal Reference Ordering</x:v>
      </x:c>
      <x:c r="C159" s="76" t="n">
        <x:v>82</x:v>
      </x:c>
      <x:c r="D159" s="76" t="str">
        <x:v>82, 83</x:v>
      </x:c>
      <x:c r="E159" s="76" t="n">
        <x:v>2</x:v>
      </x:c>
      <x:c r="F159" s="76" t="n">
        <x:v>0</x:v>
      </x:c>
      <x:c r="G159" s="76" t="n">
        <x:v>2</x:v>
      </x:c>
      <x:c r="H159" s="76" t="str">
        <x:v>Yes</x:v>
      </x:c>
      <x:c r="I159" s="80" t="n">
        <x:f>IF(H159="Yes",IF(F159=E159,1,0),"")</x:f>
        <x:v>0</x:v>
      </x:c>
    </x:row>
    <x:row r="160">
      <x:c r="A160" s="76" t="str">
        <x:v>π0.5</x:v>
      </x:c>
      <x:c r="B160" s="76" t="str">
        <x:v>Ordinal Reference Ordering</x:v>
      </x:c>
      <x:c r="C160" s="76" t="n">
        <x:v>84</x:v>
      </x:c>
      <x:c r="D160" s="76" t="str">
        <x:v>84, 85</x:v>
      </x:c>
      <x:c r="E160" s="76" t="n">
        <x:v>2</x:v>
      </x:c>
      <x:c r="F160" s="76" t="n">
        <x:v>0</x:v>
      </x:c>
      <x:c r="G160" s="76" t="n">
        <x:v>2</x:v>
      </x:c>
      <x:c r="H160" s="76" t="str">
        <x:v>Yes</x:v>
      </x:c>
      <x:c r="I160" s="80" t="n">
        <x:f>IF(H160="Yes",IF(F160=E160,1,0),"")</x:f>
        <x:v>0</x:v>
      </x:c>
    </x:row>
    <x:row r="161">
      <x:c r="A161" s="76" t="str">
        <x:v>π0.5</x:v>
      </x:c>
      <x:c r="B161" s="76" t="str">
        <x:v>Ordinal Reference Ordering</x:v>
      </x:c>
      <x:c r="C161" s="76" t="n">
        <x:v>86</x:v>
      </x:c>
      <x:c r="D161" s="76" t="str">
        <x:v>86, 87</x:v>
      </x:c>
      <x:c r="E161" s="76" t="n">
        <x:v>2</x:v>
      </x:c>
      <x:c r="F161" s="76" t="n">
        <x:v>1</x:v>
      </x:c>
      <x:c r="G161" s="76" t="n">
        <x:v>1</x:v>
      </x:c>
      <x:c r="H161" s="76" t="str">
        <x:v>Yes</x:v>
      </x:c>
      <x:c r="I161" s="80" t="n">
        <x:f>IF(H161="Yes",IF(F161=E161,1,0),"")</x:f>
        <x:v>0</x:v>
      </x:c>
    </x:row>
    <x:row r="162">
      <x:c r="A162" s="76" t="str">
        <x:v>π0.5</x:v>
      </x:c>
      <x:c r="B162" s="76" t="str">
        <x:v>Ordinal Reference Ordering</x:v>
      </x:c>
      <x:c r="C162" s="76" t="n">
        <x:v>88</x:v>
      </x:c>
      <x:c r="D162" s="76" t="str">
        <x:v>88, 89</x:v>
      </x:c>
      <x:c r="E162" s="76" t="n">
        <x:v>2</x:v>
      </x:c>
      <x:c r="F162" s="76" t="n">
        <x:v>1</x:v>
      </x:c>
      <x:c r="G162" s="76" t="n">
        <x:v>1</x:v>
      </x:c>
      <x:c r="H162" s="76" t="str">
        <x:v>Yes</x:v>
      </x:c>
      <x:c r="I162" s="80" t="n">
        <x:f>IF(H162="Yes",IF(F162=E162,1,0),"")</x:f>
        <x:v>0</x:v>
      </x:c>
    </x:row>
    <x:row r="163">
      <x:c r="A163" s="76" t="str">
        <x:v>π0.5</x:v>
      </x:c>
      <x:c r="B163" s="76" t="str">
        <x:v>Ordinal Reference Ordering</x:v>
      </x:c>
      <x:c r="C163" s="76" t="n">
        <x:v>90</x:v>
      </x:c>
      <x:c r="D163" s="76" t="str">
        <x:v>90, 91</x:v>
      </x:c>
      <x:c r="E163" s="76" t="n">
        <x:v>2</x:v>
      </x:c>
      <x:c r="F163" s="76" t="n">
        <x:v>2</x:v>
      </x:c>
      <x:c r="G163" s="76" t="n">
        <x:v>0</x:v>
      </x:c>
      <x:c r="H163" s="76" t="str">
        <x:v>Yes</x:v>
      </x:c>
      <x:c r="I163" s="80" t="n">
        <x:f>IF(H163="Yes",IF(F163=E163,1,0),"")</x:f>
        <x:v>1</x:v>
      </x:c>
    </x:row>
    <x:row r="164">
      <x:c r="A164" s="76" t="str">
        <x:v>π0.5</x:v>
      </x:c>
      <x:c r="B164" s="76" t="str">
        <x:v>Ordinal Reference Ordering</x:v>
      </x:c>
      <x:c r="C164" s="76" t="n">
        <x:v>92</x:v>
      </x:c>
      <x:c r="D164" s="76" t="str">
        <x:v>92, 93</x:v>
      </x:c>
      <x:c r="E164" s="76" t="n">
        <x:v>2</x:v>
      </x:c>
      <x:c r="F164" s="76" t="n">
        <x:v>1</x:v>
      </x:c>
      <x:c r="G164" s="76" t="n">
        <x:v>1</x:v>
      </x:c>
      <x:c r="H164" s="76" t="str">
        <x:v>Yes</x:v>
      </x:c>
      <x:c r="I164" s="80" t="n">
        <x:f>IF(H164="Yes",IF(F164=E164,1,0),"")</x:f>
        <x:v>0</x:v>
      </x:c>
    </x:row>
    <x:row r="165">
      <x:c r="A165" s="76" t="str">
        <x:v>π0.5</x:v>
      </x:c>
      <x:c r="B165" s="76" t="str">
        <x:v>Ordinal Reference Ordering</x:v>
      </x:c>
      <x:c r="C165" s="76" t="n">
        <x:v>94</x:v>
      </x:c>
      <x:c r="D165" s="76" t="str">
        <x:v>94, 95</x:v>
      </x:c>
      <x:c r="E165" s="76" t="n">
        <x:v>2</x:v>
      </x:c>
      <x:c r="F165" s="76" t="n">
        <x:v>1</x:v>
      </x:c>
      <x:c r="G165" s="76" t="n">
        <x:v>1</x:v>
      </x:c>
      <x:c r="H165" s="76" t="str">
        <x:v>Yes</x:v>
      </x:c>
      <x:c r="I165" s="80" t="n">
        <x:f>IF(H165="Yes",IF(F165=E165,1,0),"")</x:f>
        <x:v>0</x:v>
      </x:c>
    </x:row>
    <x:row r="166">
      <x:c r="A166" s="76" t="str">
        <x:v>π0.5</x:v>
      </x:c>
      <x:c r="B166" s="76" t="str">
        <x:v>Ordinal Reference Ordering</x:v>
      </x:c>
      <x:c r="C166" s="76" t="n">
        <x:v>96</x:v>
      </x:c>
      <x:c r="D166" s="76" t="str">
        <x:v>96, 97</x:v>
      </x:c>
      <x:c r="E166" s="76" t="n">
        <x:v>2</x:v>
      </x:c>
      <x:c r="F166" s="76" t="n">
        <x:v>1</x:v>
      </x:c>
      <x:c r="G166" s="76" t="n">
        <x:v>1</x:v>
      </x:c>
      <x:c r="H166" s="76" t="str">
        <x:v>Yes</x:v>
      </x:c>
      <x:c r="I166" s="80" t="n">
        <x:f>IF(H166="Yes",IF(F166=E166,1,0),"")</x:f>
        <x:v>0</x:v>
      </x:c>
    </x:row>
    <x:row r="167">
      <x:c r="A167" s="76" t="str">
        <x:v>π0.5</x:v>
      </x:c>
      <x:c r="B167" s="76" t="str">
        <x:v>Ordinal Reference Ordering</x:v>
      </x:c>
      <x:c r="C167" s="76" t="n">
        <x:v>98</x:v>
      </x:c>
      <x:c r="D167" s="76" t="str">
        <x:v>98, 99</x:v>
      </x:c>
      <x:c r="E167" s="76" t="n">
        <x:v>2</x:v>
      </x:c>
      <x:c r="F167" s="76" t="n">
        <x:v>1</x:v>
      </x:c>
      <x:c r="G167" s="76" t="n">
        <x:v>1</x:v>
      </x:c>
      <x:c r="H167" s="76" t="str">
        <x:v>Yes</x:v>
      </x:c>
      <x:c r="I167" s="80" t="n">
        <x:f>IF(H167="Yes",IF(F167=E167,1,0),"")</x:f>
        <x:v>0</x:v>
      </x:c>
    </x:row>
    <x:row r="168">
      <x:c r="A168" s="76" t="str">
        <x:v>π0.5</x:v>
      </x:c>
      <x:c r="B168" s="76" t="str">
        <x:v>Ordinal Reference Ordering</x:v>
      </x:c>
      <x:c r="C168" s="76" t="n">
        <x:v>100</x:v>
      </x:c>
      <x:c r="D168" s="76" t="str">
        <x:v>100, 101</x:v>
      </x:c>
      <x:c r="E168" s="76" t="n">
        <x:v>2</x:v>
      </x:c>
      <x:c r="F168" s="76" t="n">
        <x:v>1</x:v>
      </x:c>
      <x:c r="G168" s="76" t="n">
        <x:v>1</x:v>
      </x:c>
      <x:c r="H168" s="76" t="str">
        <x:v>Yes</x:v>
      </x:c>
      <x:c r="I168" s="80" t="n">
        <x:f>IF(H168="Yes",IF(F168=E168,1,0),"")</x:f>
        <x:v>0</x:v>
      </x:c>
    </x:row>
    <x:row r="169">
      <x:c r="A169" s="76" t="str">
        <x:v>π0.5</x:v>
      </x:c>
      <x:c r="B169" s="76" t="str">
        <x:v>Ordinal Reference Ordering</x:v>
      </x:c>
      <x:c r="C169" s="76" t="n">
        <x:v>102</x:v>
      </x:c>
      <x:c r="D169" s="76" t="str">
        <x:v>102, 103</x:v>
      </x:c>
      <x:c r="E169" s="76" t="n">
        <x:v>2</x:v>
      </x:c>
      <x:c r="F169" s="76" t="n">
        <x:v>0</x:v>
      </x:c>
      <x:c r="G169" s="76" t="n">
        <x:v>2</x:v>
      </x:c>
      <x:c r="H169" s="76" t="str">
        <x:v>Yes</x:v>
      </x:c>
      <x:c r="I169" s="80" t="n">
        <x:f>IF(H169="Yes",IF(F169=E169,1,0),"")</x:f>
        <x:v>0</x:v>
      </x:c>
    </x:row>
    <x:row r="170">
      <x:c r="A170" s="76" t="str">
        <x:v>π0.5</x:v>
      </x:c>
      <x:c r="B170" s="76" t="str">
        <x:v>Ordinal Reference Ordering</x:v>
      </x:c>
      <x:c r="C170" s="76" t="n">
        <x:v>104</x:v>
      </x:c>
      <x:c r="D170" s="76" t="str">
        <x:v>104, 105</x:v>
      </x:c>
      <x:c r="E170" s="76" t="n">
        <x:v>2</x:v>
      </x:c>
      <x:c r="F170" s="76" t="n">
        <x:v>1</x:v>
      </x:c>
      <x:c r="G170" s="76" t="n">
        <x:v>1</x:v>
      </x:c>
      <x:c r="H170" s="76" t="str">
        <x:v>Yes</x:v>
      </x:c>
      <x:c r="I170" s="80" t="n">
        <x:f>IF(H170="Yes",IF(F170=E170,1,0),"")</x:f>
        <x:v>0</x:v>
      </x:c>
    </x:row>
    <x:row r="171">
      <x:c r="A171" s="76" t="str">
        <x:v>π0.5</x:v>
      </x:c>
      <x:c r="B171" s="76" t="str">
        <x:v>Ordinal Reference Ordering</x:v>
      </x:c>
      <x:c r="C171" s="76" t="n">
        <x:v>106</x:v>
      </x:c>
      <x:c r="D171" s="76" t="str">
        <x:v>106, 107</x:v>
      </x:c>
      <x:c r="E171" s="76" t="n">
        <x:v>2</x:v>
      </x:c>
      <x:c r="F171" s="76" t="n">
        <x:v>1</x:v>
      </x:c>
      <x:c r="G171" s="76" t="n">
        <x:v>1</x:v>
      </x:c>
      <x:c r="H171" s="76" t="str">
        <x:v>Yes</x:v>
      </x:c>
      <x:c r="I171" s="80" t="n">
        <x:f>IF(H171="Yes",IF(F171=E171,1,0),"")</x:f>
        <x:v>0</x:v>
      </x:c>
    </x:row>
    <x:row r="172">
      <x:c r="A172" s="76" t="str">
        <x:v>π0.5</x:v>
      </x:c>
      <x:c r="B172" s="76" t="str">
        <x:v>Ordinal Reference Ordering</x:v>
      </x:c>
      <x:c r="C172" s="76" t="n">
        <x:v>108</x:v>
      </x:c>
      <x:c r="D172" s="76" t="str">
        <x:v>108, 109</x:v>
      </x:c>
      <x:c r="E172" s="76" t="n">
        <x:v>2</x:v>
      </x:c>
      <x:c r="F172" s="76" t="n">
        <x:v>0</x:v>
      </x:c>
      <x:c r="G172" s="76" t="n">
        <x:v>2</x:v>
      </x:c>
      <x:c r="H172" s="76" t="str">
        <x:v>Yes</x:v>
      </x:c>
      <x:c r="I172" s="80" t="n">
        <x:f>IF(H172="Yes",IF(F172=E172,1,0),"")</x:f>
        <x:v>0</x:v>
      </x:c>
    </x:row>
    <x:row r="173">
      <x:c r="A173" s="76" t="str">
        <x:v>π0.5</x:v>
      </x:c>
      <x:c r="B173" s="76" t="str">
        <x:v>Relational Placement</x:v>
      </x:c>
      <x:c r="C173" s="76" t="n">
        <x:v>20</x:v>
      </x:c>
      <x:c r="D173" s="76" t="str">
        <x:v>20, 21, 22, 23</x:v>
      </x:c>
      <x:c r="E173" s="76" t="n">
        <x:v>4</x:v>
      </x:c>
      <x:c r="F173" s="76" t="n">
        <x:v>3</x:v>
      </x:c>
      <x:c r="G173" s="76" t="n">
        <x:v>1</x:v>
      </x:c>
      <x:c r="H173" s="76" t="str">
        <x:v>Yes</x:v>
      </x:c>
      <x:c r="I173" s="80" t="n">
        <x:f>IF(H173="Yes",IF(F173=E173,1,0),"")</x:f>
        <x:v>0</x:v>
      </x:c>
    </x:row>
    <x:row r="174">
      <x:c r="A174" s="76" t="str">
        <x:v>π0.5</x:v>
      </x:c>
      <x:c r="B174" s="76" t="str">
        <x:v>Relational Placement</x:v>
      </x:c>
      <x:c r="C174" s="76" t="n">
        <x:v>24</x:v>
      </x:c>
      <x:c r="D174" s="76" t="str">
        <x:v>24, 25, 26, 27</x:v>
      </x:c>
      <x:c r="E174" s="76" t="n">
        <x:v>4</x:v>
      </x:c>
      <x:c r="F174" s="76" t="n">
        <x:v>4</x:v>
      </x:c>
      <x:c r="G174" s="76" t="n">
        <x:v>0</x:v>
      </x:c>
      <x:c r="H174" s="76" t="str">
        <x:v>Yes</x:v>
      </x:c>
      <x:c r="I174" s="80" t="n">
        <x:f>IF(H174="Yes",IF(F174=E174,1,0),"")</x:f>
        <x:v>1</x:v>
      </x:c>
    </x:row>
    <x:row r="175">
      <x:c r="A175" s="76" t="str">
        <x:v>π0.5</x:v>
      </x:c>
      <x:c r="B175" s="76" t="str">
        <x:v>Relational Placement</x:v>
      </x:c>
      <x:c r="C175" s="76" t="n">
        <x:v>28</x:v>
      </x:c>
      <x:c r="D175" s="76" t="str">
        <x:v>28, 29, 30, 31</x:v>
      </x:c>
      <x:c r="E175" s="76" t="n">
        <x:v>4</x:v>
      </x:c>
      <x:c r="F175" s="76" t="n">
        <x:v>2</x:v>
      </x:c>
      <x:c r="G175" s="76" t="n">
        <x:v>2</x:v>
      </x:c>
      <x:c r="H175" s="76" t="str">
        <x:v>Yes</x:v>
      </x:c>
      <x:c r="I175" s="80" t="n">
        <x:f>IF(H175="Yes",IF(F175=E175,1,0),"")</x:f>
        <x:v>0</x:v>
      </x:c>
    </x:row>
    <x:row r="176">
      <x:c r="A176" s="76" t="str">
        <x:v>π0.5</x:v>
      </x:c>
      <x:c r="B176" s="76" t="str">
        <x:v>Relational Placement</x:v>
      </x:c>
      <x:c r="C176" s="76" t="n">
        <x:v>32</x:v>
      </x:c>
      <x:c r="D176" s="76" t="str">
        <x:v>32, 33, 34, 35</x:v>
      </x:c>
      <x:c r="E176" s="76" t="n">
        <x:v>4</x:v>
      </x:c>
      <x:c r="F176" s="76" t="n">
        <x:v>1</x:v>
      </x:c>
      <x:c r="G176" s="76" t="n">
        <x:v>3</x:v>
      </x:c>
      <x:c r="H176" s="76" t="str">
        <x:v>Yes</x:v>
      </x:c>
      <x:c r="I176" s="80" t="n">
        <x:f>IF(H176="Yes",IF(F176=E176,1,0),"")</x:f>
        <x:v>0</x:v>
      </x:c>
    </x:row>
    <x:row r="177">
      <x:c r="A177" s="76" t="str">
        <x:v>π0.5</x:v>
      </x:c>
      <x:c r="B177" s="76" t="str">
        <x:v>Relational Placement</x:v>
      </x:c>
      <x:c r="C177" s="76" t="n">
        <x:v>36</x:v>
      </x:c>
      <x:c r="D177" s="76" t="str">
        <x:v>36, 37, 38, 39</x:v>
      </x:c>
      <x:c r="E177" s="76" t="n">
        <x:v>4</x:v>
      </x:c>
      <x:c r="F177" s="76" t="n">
        <x:v>3</x:v>
      </x:c>
      <x:c r="G177" s="76" t="n">
        <x:v>1</x:v>
      </x:c>
      <x:c r="H177" s="76" t="str">
        <x:v>Yes</x:v>
      </x:c>
      <x:c r="I177" s="80" t="n">
        <x:f>IF(H177="Yes",IF(F177=E177,1,0),"")</x:f>
        <x:v>0</x:v>
      </x:c>
    </x:row>
    <x:row r="178">
      <x:c r="A178" s="76" t="str">
        <x:v>π0.5</x:v>
      </x:c>
      <x:c r="B178" s="76" t="str">
        <x:v>Relational Placement</x:v>
      </x:c>
      <x:c r="C178" s="76" t="n">
        <x:v>40</x:v>
      </x:c>
      <x:c r="D178" s="76" t="str">
        <x:v>40, 41, 42, 43</x:v>
      </x:c>
      <x:c r="E178" s="76" t="n">
        <x:v>4</x:v>
      </x:c>
      <x:c r="F178" s="76" t="n">
        <x:v>2</x:v>
      </x:c>
      <x:c r="G178" s="76" t="n">
        <x:v>2</x:v>
      </x:c>
      <x:c r="H178" s="76" t="str">
        <x:v>Yes</x:v>
      </x:c>
      <x:c r="I178" s="80" t="n">
        <x:f>IF(H178="Yes",IF(F178=E178,1,0),"")</x:f>
        <x:v>0</x:v>
      </x:c>
    </x:row>
  </x:sheetData>
  <x:mergeCells>
    <x:mergeCell ref="A1:I1"/>
    <x:mergeCell ref="A2:I2"/>
  </x:mergeCells>
  <x:conditionalFormatting sqref="A41:I178">
    <x:cfRule type="expression" dxfId="12" priority="1">
      <x:formula>$I41=1</x:formula>
    </x:cfRule>
    <x:cfRule type="expression" dxfId="13" priority="2">
      <x:formula>$I41=0</x:formula>
    </x:cfRule>
  </x:conditionalFormatting>
  <x:pageMargins left="0.7" right="0.7" top="0.75" bottom="0.75" header="0.3" footer="0.3"/>
</x:worksheet>
</file>

<file path=pivotCache/_rels/pivotCacheDefinition1.xml.rels>&#65279;<?xml version="1.0" encoding="utf-8"?><Relationships xmlns="http://schemas.openxmlformats.org/package/2006/relationships"><Relationship Type="http://schemas.openxmlformats.org/officeDocument/2006/relationships/pivotCacheRecords" Target="/pivotCache/pivotCacheRecords1.xml" Id="R2d9ceb9d5808442c" /></Relationships>
</file>

<file path=pivotCache/_rels/pivotCacheDefinition2.xml.rels>&#65279;<?xml version="1.0" encoding="utf-8"?><Relationships xmlns="http://schemas.openxmlformats.org/package/2006/relationships"><Relationship Type="http://schemas.openxmlformats.org/officeDocument/2006/relationships/pivotCacheRecords" Target="/pivotCache/pivotCacheRecords2.xml" Id="R4391cd7e959d41da" /></Relationships>
</file>

<file path=pivotCache/_rels/pivotCacheDefinition3.xml.rels>&#65279;<?xml version="1.0" encoding="utf-8"?><Relationships xmlns="http://schemas.openxmlformats.org/package/2006/relationships"><Relationship Type="http://schemas.openxmlformats.org/officeDocument/2006/relationships/pivotCacheRecords" Target="/pivotCache/pivotCacheRecords3.xml" Id="R0f52ba01515e4f53" /></Relationships>
</file>

<file path=pivotCache/pivotCacheDefinition1.xml><?xml version="1.0" encoding="utf-8"?>
<x:pivotCacheDefinition xmlns:x="http://schemas.openxmlformats.org/spreadsheetml/2006/main" refreshedBy="Justin Tien-Smith" refreshedDate="46269.46597800926" createdVersion="8" refreshedVersion="8" minRefreshableVersion="3" recordCount="900">
  <x:cacheSource type="worksheet">
    <x:worksheetSource ref="A1:H901" sheet="GR00T Vision"/>
  </x:cacheSource>
  <x:cacheFields count="8">
    <x:cacheField name="Status" numFmtId="165">
      <x:sharedItems count="2">
        <x:s v="Success"/>
        <x:s v="Failure"/>
      </x:sharedItems>
    </x:cacheField>
    <x:cacheField name="Task" numFmtId="0">
      <x:sharedItems/>
    </x:cacheField>
    <x:cacheField name="Episode" numFmtId="1">
      <x:sharedItems containsSemiMixedTypes="0" containsString="0" containsNumber="1" minValue="0" maxValue="169"/>
    </x:cacheField>
    <x:cacheField name="Prompt" numFmtId="0">
      <x:sharedItems/>
    </x:cacheField>
    <x:cacheField name="Scene Setup" numFmtId="0">
      <x:sharedItems/>
    </x:cacheField>
    <x:cacheField name="Expected Target / Action" numFmtId="0">
      <x:sharedItems/>
    </x:cacheField>
    <x:cacheField name="Observations" numFmtId="0">
      <x:sharedItems/>
    </x:cacheField>
    <x:cacheField name="Condition" numFmtId="0">
      <x:sharedItems count="17">
        <x:s v="In-distribution concept baseline"/>
        <x:s v="Concept/compositional transfer"/>
        <x:s v="Matched manipulation control"/>
        <x:s v="Language robustness"/>
        <x:s v="Novel-object state reasoning"/>
        <x:s v="No valid target / no movement"/>
        <x:s v="Goal already satisfied / no movement"/>
        <x:s v="Cross-task object reasoning"/>
        <x:s v="Cross-task ordinal transfer — red block target"/>
        <x:s v="Cross-task ordinal counterfactual — red block distractor"/>
        <x:s v="Invalid ordinal / no-movement diagnostic"/>
        <x:s v="Cross-task-object directional reasoning"/>
        <x:s v="Violated-relation correction control"/>
        <x:s v="Cross-task block reasoning"/>
        <x:s v="No valid candidate category / no movement"/>
        <x:s v="Cross-task airplane reasoning"/>
        <x:s v="Cross-task airplane counterfactual"/>
      </x:sharedItems>
    </x:cacheField>
  </x:cacheFields>
  <x:extLst xmlns:x="http://schemas.openxmlformats.org/spreadsheetml/2006/main">
    <x:ext xmlns:x14="http://schemas.microsoft.com/office/spreadsheetml/2009/9/main" uri="{725AE2AE-9491-48be-B2B4-4EB974FC3084}">
      <x14:pivotCacheDefinition/>
    </x:ext>
  </x:extLst>
</x:pivotCacheDefinition>
</file>

<file path=pivotCache/pivotCacheDefinition2.xml><?xml version="1.0" encoding="utf-8"?>
<x:pivotCacheDefinition xmlns:x="http://schemas.openxmlformats.org/spreadsheetml/2006/main" refreshedBy="Justin Tien-Smith" refreshedDate="46269.4661625" createdVersion="8" refreshedVersion="8" minRefreshableVersion="3" recordCount="900">
  <x:cacheSource type="worksheet">
    <x:worksheetSource ref="A1:H901" sheet="MolmoAct2"/>
  </x:cacheSource>
  <x:cacheFields count="8">
    <x:cacheField name="Status" numFmtId="165">
      <x:sharedItems count="2">
        <x:s v="Success"/>
        <x:s v="Failure"/>
      </x:sharedItems>
    </x:cacheField>
    <x:cacheField name="Task" numFmtId="0">
      <x:sharedItems/>
    </x:cacheField>
    <x:cacheField name="Episode" numFmtId="1">
      <x:sharedItems containsSemiMixedTypes="0" containsString="0" containsNumber="1" minValue="0" maxValue="169"/>
    </x:cacheField>
    <x:cacheField name="Prompt" numFmtId="0">
      <x:sharedItems/>
    </x:cacheField>
    <x:cacheField name="Scene Setup" numFmtId="0">
      <x:sharedItems/>
    </x:cacheField>
    <x:cacheField name="Expected Target / Action" numFmtId="0">
      <x:sharedItems/>
    </x:cacheField>
    <x:cacheField name="Observations" numFmtId="0">
      <x:sharedItems/>
    </x:cacheField>
    <x:cacheField name="Condition" numFmtId="0">
      <x:sharedItems count="17">
        <x:s v="In-distribution concept baseline"/>
        <x:s v="Concept/compositional transfer"/>
        <x:s v="Matched manipulation control"/>
        <x:s v="Language robustness"/>
        <x:s v="Novel-object state reasoning"/>
        <x:s v="No valid target / no movement"/>
        <x:s v="Goal already satisfied / no movement"/>
        <x:s v="Cross-task object reasoning"/>
        <x:s v="Cross-task ordinal transfer — red block target"/>
        <x:s v="Cross-task ordinal counterfactual — red block distractor"/>
        <x:s v="Invalid ordinal / no-movement diagnostic"/>
        <x:s v="Cross-task-object directional reasoning"/>
        <x:s v="Violated-relation correction control"/>
        <x:s v="Cross-task block reasoning"/>
        <x:s v="No valid candidate category / no movement"/>
        <x:s v="Cross-task airplane reasoning"/>
        <x:s v="Cross-task airplane counterfactual"/>
      </x:sharedItems>
    </x:cacheField>
  </x:cacheFields>
  <x:extLst xmlns:x="http://schemas.openxmlformats.org/spreadsheetml/2006/main">
    <x:ext xmlns:x14="http://schemas.microsoft.com/office/spreadsheetml/2009/9/main" uri="{725AE2AE-9491-48be-B2B4-4EB974FC3084}">
      <x14:pivotCacheDefinition/>
    </x:ext>
  </x:extLst>
</x:pivotCacheDefinition>
</file>

<file path=pivotCache/pivotCacheDefinition3.xml><?xml version="1.0" encoding="utf-8"?>
<x:pivotCacheDefinition xmlns:x="http://schemas.openxmlformats.org/spreadsheetml/2006/main" refreshedBy="Justin Tien-Smith" refreshedDate="46269.466163310186" createdVersion="8" refreshedVersion="8" minRefreshableVersion="3" recordCount="900">
  <x:cacheSource type="worksheet">
    <x:worksheetSource ref="A1:H901" sheet="Pi0.5"/>
  </x:cacheSource>
  <x:cacheFields count="8">
    <x:cacheField name="Status" numFmtId="165">
      <x:sharedItems count="2">
        <x:s v="Success"/>
        <x:s v="Failure"/>
      </x:sharedItems>
    </x:cacheField>
    <x:cacheField name="Task" numFmtId="0">
      <x:sharedItems/>
    </x:cacheField>
    <x:cacheField name="Episode" numFmtId="1">
      <x:sharedItems containsSemiMixedTypes="0" containsString="0" containsNumber="1" minValue="0" maxValue="169"/>
    </x:cacheField>
    <x:cacheField name="Prompt" numFmtId="0">
      <x:sharedItems/>
    </x:cacheField>
    <x:cacheField name="Scene Setup" numFmtId="0">
      <x:sharedItems/>
    </x:cacheField>
    <x:cacheField name="Expected Target / Action" numFmtId="0">
      <x:sharedItems/>
    </x:cacheField>
    <x:cacheField name="Observations" numFmtId="0">
      <x:sharedItems/>
    </x:cacheField>
    <x:cacheField name="Condition" numFmtId="0">
      <x:sharedItems count="17">
        <x:s v="In-distribution concept baseline"/>
        <x:s v="Concept/compositional transfer"/>
        <x:s v="Matched manipulation control"/>
        <x:s v="Language robustness"/>
        <x:s v="Novel-object state reasoning"/>
        <x:s v="No valid target / no movement"/>
        <x:s v="Goal already satisfied / no movement"/>
        <x:s v="Cross-task object reasoning"/>
        <x:s v="Cross-task ordinal transfer — red block target"/>
        <x:s v="Cross-task ordinal counterfactual — red block distractor"/>
        <x:s v="Invalid ordinal / no-movement diagnostic"/>
        <x:s v="Cross-task-object directional reasoning"/>
        <x:s v="Violated-relation correction control"/>
        <x:s v="Cross-task block reasoning"/>
        <x:s v="No valid candidate category / no movement"/>
        <x:s v="Cross-task airplane reasoning"/>
        <x:s v="Cross-task airplane counterfactual"/>
      </x:sharedItems>
    </x:cacheField>
  </x:cacheFields>
  <x:extLst xmlns:x="http://schemas.openxmlformats.org/spreadsheetml/2006/main">
    <x:ext xmlns:x14="http://schemas.microsoft.com/office/spreadsheetml/2009/9/main" uri="{725AE2AE-9491-48be-B2B4-4EB974FC3084}">
      <x14:pivotCacheDefinition/>
    </x:ext>
  </x:extLst>
</x:pivotCacheDefinition>
</file>

<file path=pivotCache/pivotCacheRecords1.xml><?xml version="1.0" encoding="utf-8"?>
<x:pivotCacheRecords xmlns:x="http://schemas.openxmlformats.org/spreadsheetml/2006/main" count="900">
  <x:r>
    <x:x v="0"/>
    <x:s v="State Recognition"/>
    <x:n v="0"/>
    <x:s v="Put the open white cup in the bowl."/>
    <x:s v="white cup A (O, RU); white cup B (C, RU); glass spice container A (O, RU); yellow-white striped cup B (O, RU)"/>
    <x:s v="white cup A"/>
    <x:m/>
    <x:x v="0"/>
  </x:r>
  <x:r>
    <x:x v="0"/>
    <x:s v="State Recognition"/>
    <x:n v="1"/>
    <x:s v="Put the upright white cup in the bowl."/>
    <x:s v="white cup A (O, RU); white cup B (O, UD)"/>
    <x:s v="white cup A"/>
    <x:m/>
    <x:x v="0"/>
  </x:r>
  <x:r>
    <x:x v="0"/>
    <x:s v="State Recognition"/>
    <x:n v="2"/>
    <x:s v="Move the closed yellow-white striped cup into the bowl."/>
    <x:s v="yellow-white striped cup B (C, RU); yellow-white striped cup A (O, RU); white cup A (C, RU)"/>
    <x:s v="yellow-white striped cup B"/>
    <x:m/>
    <x:x v="0"/>
  </x:r>
  <x:r>
    <x:x v="0"/>
    <x:s v="State Recognition"/>
    <x:n v="3"/>
    <x:s v="Move the upside-down yellow-white striped cup into the bowl."/>
    <x:s v="yellow-white striped cup B (O, UD); yellow-white striped cup A (O, RU); brown cup B (C, RU); glass spice container A (O, RU)"/>
    <x:s v="yellow-white striped cup B"/>
    <x:m/>
    <x:x v="0"/>
  </x:r>
  <x:r>
    <x:x v="0"/>
    <x:s v="State Recognition"/>
    <x:n v="4"/>
    <x:s v="Put the open brown cup in the bowl."/>
    <x:s v="brown cup B (O, RU); brown cup A (C, RU); glass spice container A (O, RU)"/>
    <x:s v="brown cup B"/>
    <x:m/>
    <x:x v="0"/>
  </x:r>
  <x:r>
    <x:x v="0"/>
    <x:s v="State Recognition"/>
    <x:n v="5"/>
    <x:s v="Put the upside-down brown cup in the bowl."/>
    <x:s v="brown cup A (O, UD); brown cup B (O, RU)"/>
    <x:s v="brown cup A"/>
    <x:m/>
    <x:x v="0"/>
  </x:r>
  <x:r>
    <x:x v="1"/>
    <x:s v="State Recognition"/>
    <x:n v="6"/>
    <x:s v="Put the upright brown cup in the bowl."/>
    <x:s v="brown cup B (C, RU); brown cup A (C, UD)"/>
    <x:s v="brown cup B"/>
    <x:s v="picked upside down cup"/>
    <x:x v="0"/>
  </x:r>
  <x:r>
    <x:x v="0"/>
    <x:s v="State Recognition"/>
    <x:n v="7"/>
    <x:s v="Place the closed glass spice container in the bowl."/>
    <x:s v="glass spice container A (C, RU); glass spice container B (O, RU); yellow-white striped cup A (C, RU)"/>
    <x:s v="glass spice container A"/>
    <x:m/>
    <x:x v="0"/>
  </x:r>
  <x:r>
    <x:x v="1"/>
    <x:s v="State Recognition"/>
    <x:n v="8"/>
    <x:s v="Move the open glass spice container into the bowl."/>
    <x:s v="glass spice container B (O, RU); glass spice container A (C, RU); white cup B (O, RU)"/>
    <x:s v="glass spice container B"/>
    <x:s v="grabbed open one and hesitated to move to bowl; after taking the open one, moved the closed one to the bowl too. IDK if this count as a success or not"/>
    <x:x v="0"/>
  </x:r>
  <x:r>
    <x:x v="0"/>
    <x:s v="State Recognition"/>
    <x:n v="9"/>
    <x:s v="Put the upside-down glass spice container in the bowl."/>
    <x:s v="glass spice container B (C, UD); glass spice container A (C, RU)"/>
    <x:s v="glass spice container B"/>
    <x:m/>
    <x:x v="0"/>
  </x:r>
  <x:r>
    <x:x v="0"/>
    <x:s v="State Recognition"/>
    <x:n v="10"/>
    <x:s v="Move the closed white cup into the bowl."/>
    <x:s v="white cup B (C, RU); white cup A (O, RU); yellow-white striped cup A (C, RU); brown cup B (C, RU)"/>
    <x:s v="white cup B"/>
    <x:s v="popped cap off"/>
    <x:x v="0"/>
  </x:r>
  <x:r>
    <x:x v="0"/>
    <x:s v="State Recognition"/>
    <x:n v="11"/>
    <x:s v="Place the closed white cup in the bowl."/>
    <x:s v="white cup A (C, RU); white cup B (O, RU); brown cup B (O, RU)"/>
    <x:s v="white cup A"/>
    <x:m/>
    <x:x v="0"/>
  </x:r>
  <x:r>
    <x:x v="0"/>
    <x:s v="State Recognition"/>
    <x:n v="12"/>
    <x:s v="Put the open white cup in the bowl."/>
    <x:s v="white cup B (O, RU); white cup A (C, RU); glass spice container B (O, RU)"/>
    <x:s v="white cup B"/>
    <x:m/>
    <x:x v="0"/>
  </x:r>
  <x:r>
    <x:x v="0"/>
    <x:s v="State Recognition"/>
    <x:n v="13"/>
    <x:s v="Place the upside-down yellow-white striped cup in the bowl."/>
    <x:s v="yellow-white striped cup A (O, UD); yellow-white striped cup B (O, RU)"/>
    <x:s v="yellow-white striped cup A"/>
    <x:m/>
    <x:x v="0"/>
  </x:r>
  <x:r>
    <x:x v="0"/>
    <x:s v="State Recognition"/>
    <x:n v="14"/>
    <x:s v="Move the upright yellow-white striped cup into the bowl."/>
    <x:s v="yellow-white striped cup A (O, RU); yellow-white striped cup B (O, UD); glass spice container A (O, RU); white cup B (C, UD)"/>
    <x:s v="yellow-white striped cup A"/>
    <x:m/>
    <x:x v="0"/>
  </x:r>
  <x:r>
    <x:x v="0"/>
    <x:s v="State Recognition"/>
    <x:n v="15"/>
    <x:s v="Put the upright yellow-white striped cup in the bowl."/>
    <x:s v="yellow-white striped cup B (C, RU); yellow-white striped cup A (C, UD)"/>
    <x:s v="yellow-white striped cup B"/>
    <x:m/>
    <x:x v="0"/>
  </x:r>
  <x:r>
    <x:x v="1"/>
    <x:s v="State Recognition"/>
    <x:n v="16"/>
    <x:s v="Move the upside-down brown cup into the bowl."/>
    <x:s v="brown cup A (C, UD); brown cup B (C, RU); yellow-white striped cup B (C, UD); glass spice container A (O, RU)"/>
    <x:s v="brown cup A"/>
    <x:s v="picked upright cup"/>
    <x:x v="0"/>
  </x:r>
  <x:r>
    <x:x v="0"/>
    <x:s v="State Recognition"/>
    <x:n v="17"/>
    <x:s v="Place the upright brown cup in the bowl."/>
    <x:s v="brown cup A (C, RU); brown cup B (C, UD); glass spice container B (C, UD)"/>
    <x:s v="brown cup A"/>
    <x:m/>
    <x:x v="0"/>
  </x:r>
  <x:r>
    <x:x v="0"/>
    <x:s v="State Recognition"/>
    <x:n v="18"/>
    <x:s v="Put the closed glass spice container in the bowl."/>
    <x:s v="glass spice container A (C, RU); glass spice container B (O, RU); brown cup A (C, RU); white cup B (O, RU)"/>
    <x:s v="glass spice container A"/>
    <x:m/>
    <x:x v="0"/>
  </x:r>
  <x:r>
    <x:x v="0"/>
    <x:s v="State Recognition"/>
    <x:n v="19"/>
    <x:s v="Move the open glass spice container into the bowl."/>
    <x:s v="glass spice container B (O, RU); glass spice container A (C, RU); white cup B (O, RU); yellow-white striped cup A (O, RU)"/>
    <x:s v="glass spice container B"/>
    <x:m/>
    <x:x v="0"/>
  </x:r>
  <x:r>
    <x:x v="1"/>
    <x:s v="State Recognition"/>
    <x:n v="20"/>
    <x:s v="Place the upside-down white cup in the bowl."/>
    <x:s v="white cup A (C, UD); white cup B (C, RU)"/>
    <x:s v="white cup A"/>
    <x:s v="picked upright cup"/>
    <x:x v="1"/>
  </x:r>
  <x:r>
    <x:x v="1"/>
    <x:s v="State Recognition"/>
    <x:n v="21"/>
    <x:s v="Put a white cup in the bowl."/>
    <x:s v="white cup A (C, UD); yellow-white striped cup A (C, RU)"/>
    <x:s v="white cup A"/>
    <x:s v="didn't move"/>
    <x:x v="2"/>
  </x:r>
  <x:r>
    <x:x v="1"/>
    <x:s v="State Recognition"/>
    <x:n v="22"/>
    <x:s v="Move the inverted white cup into the bowl."/>
    <x:s v="white cup A (C, UD); white cup B (C, RU)"/>
    <x:s v="white cup A"/>
    <x:s v="picked upright cup"/>
    <x:x v="3"/>
  </x:r>
  <x:r>
    <x:x v="0"/>
    <x:s v="State Recognition"/>
    <x:n v="23"/>
    <x:s v="Transfer the white cup from the table into the bowl."/>
    <x:s v="white cup A (C, UD); yellow-white striped cup A (C, RU)"/>
    <x:s v="white cup A"/>
    <x:m/>
    <x:x v="3"/>
  </x:r>
  <x:r>
    <x:x v="0"/>
    <x:s v="State Recognition"/>
    <x:n v="24"/>
    <x:s v="Place the open yellow-white striped cup in the bowl."/>
    <x:s v="yellow-white striped cup B (O, RU); yellow-white striped cup A (C, RU); brown cup B (O, RU)"/>
    <x:s v="yellow-white striped cup B"/>
    <x:m/>
    <x:x v="1"/>
  </x:r>
  <x:r>
    <x:x v="0"/>
    <x:s v="State Recognition"/>
    <x:n v="25"/>
    <x:s v="Place a yellow-white striped cup in the bowl."/>
    <x:s v="yellow-white striped cup B (O, RU); glass spice container B (C, RU); brown cup B (O, RU)"/>
    <x:s v="yellow-white striped cup B"/>
    <x:m/>
    <x:x v="2"/>
  </x:r>
  <x:r>
    <x:x v="0"/>
    <x:s v="State Recognition"/>
    <x:n v="26"/>
    <x:s v="Move the yellow-white striped cup whose opening is uncovered into the bowl."/>
    <x:s v="yellow-white striped cup B (O, RU); yellow-white striped cup A (C, RU); brown cup B (O, RU)"/>
    <x:s v="yellow-white striped cup B"/>
    <x:m/>
    <x:x v="3"/>
  </x:r>
  <x:r>
    <x:x v="0"/>
    <x:s v="State Recognition"/>
    <x:n v="27"/>
    <x:s v="Lift the yellow-white striped cup and set it inside the bowl."/>
    <x:s v="yellow-white striped cup B (O, RU); glass spice container B (C, RU); brown cup B (O, RU)"/>
    <x:s v="yellow-white striped cup B"/>
    <x:m/>
    <x:x v="3"/>
  </x:r>
  <x:r>
    <x:x v="1"/>
    <x:s v="State Recognition"/>
    <x:n v="28"/>
    <x:s v="Place the upright glass spice container in the bowl."/>
    <x:s v="glass spice container B (C, RU); glass spice container A (C, UD)"/>
    <x:s v="glass spice container B"/>
    <x:s v="picked upside down container"/>
    <x:x v="1"/>
  </x:r>
  <x:r>
    <x:x v="0"/>
    <x:s v="State Recognition"/>
    <x:n v="29"/>
    <x:s v="Place a glass spice container in the bowl."/>
    <x:s v="glass spice container B (C, RU); white cup B (C, UD)"/>
    <x:s v="glass spice container B"/>
    <x:m/>
    <x:x v="2"/>
  </x:r>
  <x:r>
    <x:x v="1"/>
    <x:s v="State Recognition"/>
    <x:n v="30"/>
    <x:s v="Move the right-side-up glass spice container into the bowl."/>
    <x:s v="glass spice container B (C, RU); glass spice container A (C, UD)"/>
    <x:s v="glass spice container B"/>
    <x:s v="picked upside down container"/>
    <x:x v="3"/>
  </x:r>
  <x:r>
    <x:x v="0"/>
    <x:s v="State Recognition"/>
    <x:n v="31"/>
    <x:s v="Move the glass spice container from the workspace into the bowl."/>
    <x:s v="glass spice container B (C, RU); white cup B (C, UD)"/>
    <x:s v="glass spice container B"/>
    <x:m/>
    <x:x v="3"/>
  </x:r>
  <x:r>
    <x:x v="0"/>
    <x:s v="State Recognition"/>
    <x:n v="32"/>
    <x:s v="Place the upside-down white cup in the bowl."/>
    <x:s v="white cup A (O, UD); white cup B (O, RU); brown cup A (C, RU)"/>
    <x:s v="white cup A"/>
    <x:m/>
    <x:x v="1"/>
  </x:r>
  <x:r>
    <x:x v="0"/>
    <x:s v="State Recognition"/>
    <x:n v="33"/>
    <x:s v="Move a white cup into the bowl."/>
    <x:s v="white cup A (O, UD); yellow-white striped cup A (O, RU); brown cup A (C, RU)"/>
    <x:s v="white cup A"/>
    <x:m/>
    <x:x v="2"/>
  </x:r>
  <x:r>
    <x:x v="0"/>
    <x:s v="State Recognition"/>
    <x:n v="34"/>
    <x:s v="Move the inverted white cup into the bowl."/>
    <x:s v="white cup A (O, UD); white cup B (O, RU); brown cup A (C, RU)"/>
    <x:s v="white cup A"/>
    <x:m/>
    <x:x v="3"/>
  </x:r>
  <x:r>
    <x:x v="0"/>
    <x:s v="State Recognition"/>
    <x:n v="35"/>
    <x:s v="Set the white cup inside the bowl."/>
    <x:s v="white cup A (O, UD); yellow-white striped cup A (O, RU); brown cup A (C, RU)"/>
    <x:s v="white cup A"/>
    <x:m/>
    <x:x v="3"/>
  </x:r>
  <x:r>
    <x:x v="0"/>
    <x:s v="State Recognition"/>
    <x:n v="36"/>
    <x:s v="Place the closed brown cup in the bowl."/>
    <x:s v="brown cup A (C, RU); brown cup B (O, RU); glass spice container A (C, RU); white cup B (O, RU)"/>
    <x:s v="brown cup A"/>
    <x:m/>
    <x:x v="1"/>
  </x:r>
  <x:r>
    <x:x v="0"/>
    <x:s v="State Recognition"/>
    <x:n v="37"/>
    <x:s v="Place a brown cup in the bowl."/>
    <x:s v="brown cup A (C, RU); yellow-white striped cup A (O, RU); glass spice container A (C, RU); white cup B (O, RU)"/>
    <x:s v="brown cup A"/>
    <x:m/>
    <x:x v="2"/>
  </x:r>
  <x:r>
    <x:x v="1"/>
    <x:s v="State Recognition"/>
    <x:n v="38"/>
    <x:s v="Move the brown cup whose opening is covered into the bowl."/>
    <x:s v="brown cup A (C, RU); brown cup B (O, RU); glass spice container A (C, RU); white cup B (O, RU)"/>
    <x:s v="brown cup A"/>
    <x:s v="got open cup"/>
    <x:x v="3"/>
  </x:r>
  <x:r>
    <x:x v="0"/>
    <x:s v="State Recognition"/>
    <x:n v="39"/>
    <x:s v="Take the brown cup off the table and place it in the bowl."/>
    <x:s v="brown cup A (C, RU); yellow-white striped cup A (O, RU); glass spice container A (C, RU); white cup B (O, RU)"/>
    <x:s v="brown cup A"/>
    <x:m/>
    <x:x v="3"/>
  </x:r>
  <x:r>
    <x:x v="1"/>
    <x:s v="State Recognition"/>
    <x:n v="40"/>
    <x:s v="Place the open yellow-white striped cup in the bowl."/>
    <x:s v="yellow-white striped cup B (O, RU); yellow-white striped cup A (C, RU); glass spice container B (O, RU); white cup A (C, RU)"/>
    <x:s v="yellow-white striped cup B"/>
    <x:s v="picked closed striped cup"/>
    <x:x v="1"/>
  </x:r>
  <x:r>
    <x:x v="0"/>
    <x:s v="State Recognition"/>
    <x:n v="41"/>
    <x:s v="Put a yellow-white striped cup in the bowl."/>
    <x:s v="yellow-white striped cup B (O, RU); brown cup B (C, RU); glass spice container B (O, RU); white cup A (C, RU)"/>
    <x:s v="yellow-white striped cup B"/>
    <x:m/>
    <x:x v="2"/>
  </x:r>
  <x:r>
    <x:x v="1"/>
    <x:s v="State Recognition"/>
    <x:n v="42"/>
    <x:s v="Move the yellow-white striped cup whose opening is uncovered into the bowl."/>
    <x:s v="yellow-white striped cup B (O, RU); yellow-white striped cup A (C, RU); glass spice container B (O, RU); white cup A (C, RU)"/>
    <x:s v="yellow-white striped cup B"/>
    <x:s v="picked closed striped cup"/>
    <x:x v="3"/>
  </x:r>
  <x:r>
    <x:x v="1"/>
    <x:s v="State Recognition"/>
    <x:n v="43"/>
    <x:s v="Transfer the yellow-white striped cup from the table into the bowl."/>
    <x:s v="yellow-white striped cup B (O, RU); brown cup B (C, RU); glass spice container B (O, RU); white cup A (C, RU)"/>
    <x:s v="yellow-white striped cup B"/>
    <x:s v="picked brown cup"/>
    <x:x v="3"/>
  </x:r>
  <x:r>
    <x:x v="1"/>
    <x:s v="State Recognition"/>
    <x:n v="44"/>
    <x:s v="Place the closed brown cup in the bowl."/>
    <x:s v="brown cup A (C, RU); brown cup B (O, RU)"/>
    <x:s v="brown cup A"/>
    <x:s v="picked open cup"/>
    <x:x v="1"/>
  </x:r>
  <x:r>
    <x:x v="0"/>
    <x:s v="State Recognition"/>
    <x:n v="45"/>
    <x:s v="Put a brown cup in the bowl."/>
    <x:s v="brown cup A (C, RU); white cup A (O, RU)"/>
    <x:s v="brown cup A"/>
    <x:m/>
    <x:x v="2"/>
  </x:r>
  <x:r>
    <x:x v="1"/>
    <x:s v="State Recognition"/>
    <x:n v="46"/>
    <x:s v="Move the brown cup whose opening is covered into the bowl."/>
    <x:s v="brown cup A (C, RU); brown cup B (O, RU)"/>
    <x:s v="brown cup A"/>
    <x:s v="picked open cup"/>
    <x:x v="3"/>
  </x:r>
  <x:r>
    <x:x v="0"/>
    <x:s v="State Recognition"/>
    <x:n v="47"/>
    <x:s v="Lift the brown cup and set it inside the bowl."/>
    <x:s v="brown cup A (C, RU); white cup A (O, RU)"/>
    <x:s v="brown cup A"/>
    <x:m/>
    <x:x v="3"/>
  </x:r>
  <x:r>
    <x:x v="1"/>
    <x:s v="State Recognition"/>
    <x:n v="48"/>
    <x:s v="Place the upright glass spice container in the bowl."/>
    <x:s v="glass spice container B (O, RU); glass spice container A (O, UD); yellow-white striped cup B (O, UD)"/>
    <x:s v="glass spice container B"/>
    <x:s v="picked upside down container"/>
    <x:x v="1"/>
  </x:r>
  <x:r>
    <x:x v="0"/>
    <x:s v="State Recognition"/>
    <x:n v="49"/>
    <x:s v="Move a glass spice container into the bowl."/>
    <x:s v="glass spice container B (O, RU); brown cup B (O, UD); yellow-white striped cup B (O, UD)"/>
    <x:s v="glass spice container B"/>
    <x:m/>
    <x:x v="2"/>
  </x:r>
  <x:r>
    <x:x v="0"/>
    <x:s v="State Recognition"/>
    <x:n v="50"/>
    <x:s v="Move the right-side-up glass spice container into the bowl."/>
    <x:s v="glass spice container B (O, RU); glass spice container A (O, UD); yellow-white striped cup B (O, UD)"/>
    <x:s v="glass spice container B"/>
    <x:m/>
    <x:x v="3"/>
  </x:r>
  <x:r>
    <x:x v="0"/>
    <x:s v="State Recognition"/>
    <x:n v="51"/>
    <x:s v="Take the glass spice container off the table and place it in the bowl."/>
    <x:s v="glass spice container B (O, RU); brown cup B (O, UD); yellow-white striped cup B (O, UD)"/>
    <x:s v="glass spice container B"/>
    <x:m/>
    <x:x v="3"/>
  </x:r>
  <x:r>
    <x:x v="1"/>
    <x:s v="State Recognition"/>
    <x:n v="52"/>
    <x:s v="Place the upside-down white cup in the bowl."/>
    <x:s v="white cup A (C, UD); white cup B (C, RU); glass spice container A (C, RU); yellow-white striped cup B (O, RU)"/>
    <x:s v="white cup A"/>
    <x:s v="picked upright cup"/>
    <x:x v="1"/>
  </x:r>
  <x:r>
    <x:x v="0"/>
    <x:s v="State Recognition"/>
    <x:n v="53"/>
    <x:s v="Move a white cup into the bowl."/>
    <x:s v="white cup A (C, UD); brown cup A (C, RU); glass spice container A (C, RU); yellow-white striped cup B (O, RU)"/>
    <x:s v="white cup A"/>
    <x:s v="popped lid off"/>
    <x:x v="2"/>
  </x:r>
  <x:r>
    <x:x v="1"/>
    <x:s v="State Recognition"/>
    <x:n v="54"/>
    <x:s v="Move the inverted white cup into the bowl."/>
    <x:s v="white cup A (C, UD); white cup B (C, RU); glass spice container A (C, RU); yellow-white striped cup B (O, RU)"/>
    <x:s v="white cup A"/>
    <x:s v="picked upright cup"/>
    <x:x v="3"/>
  </x:r>
  <x:r>
    <x:x v="0"/>
    <x:s v="State Recognition"/>
    <x:n v="55"/>
    <x:s v="Move the white cup from the workspace into the bowl."/>
    <x:s v="white cup A (C, UD); brown cup A (C, RU); glass spice container A (C, RU); yellow-white striped cup B (O, RU)"/>
    <x:s v="white cup A"/>
    <x:m/>
    <x:x v="3"/>
  </x:r>
  <x:r>
    <x:x v="0"/>
    <x:s v="State Recognition"/>
    <x:n v="56"/>
    <x:s v="Place the open yellow-white striped cup in the bowl."/>
    <x:s v="yellow-white striped cup B (O, RU); yellow-white striped cup A (C, RU)"/>
    <x:s v="yellow-white striped cup B"/>
    <x:m/>
    <x:x v="1"/>
  </x:r>
  <x:r>
    <x:x v="0"/>
    <x:s v="State Recognition"/>
    <x:n v="57"/>
    <x:s v="Put a yellow-white striped cup in the bowl."/>
    <x:s v="yellow-white striped cup B (O, RU); white cup B (C, RU)"/>
    <x:s v="yellow-white striped cup B"/>
    <x:m/>
    <x:x v="2"/>
  </x:r>
  <x:r>
    <x:x v="0"/>
    <x:s v="State Recognition"/>
    <x:n v="58"/>
    <x:s v="Move the yellow-white striped cup whose opening is uncovered into the bowl."/>
    <x:s v="yellow-white striped cup B (O, RU); yellow-white striped cup A (C, RU)"/>
    <x:s v="yellow-white striped cup B"/>
    <x:m/>
    <x:x v="3"/>
  </x:r>
  <x:r>
    <x:x v="0"/>
    <x:s v="State Recognition"/>
    <x:n v="59"/>
    <x:s v="Set the yellow-white striped cup inside the bowl."/>
    <x:s v="yellow-white striped cup B (O, RU); white cup B (C, RU)"/>
    <x:s v="yellow-white striped cup B"/>
    <x:m/>
    <x:x v="3"/>
  </x:r>
  <x:r>
    <x:x v="1"/>
    <x:s v="State Recognition"/>
    <x:n v="60"/>
    <x:s v="Place the closed brown cup in the bowl."/>
    <x:s v="brown cup A (C, RU); brown cup B (O, RU); yellow-white striped cup A (C, RU)"/>
    <x:s v="brown cup A"/>
    <x:s v="picked the open cup"/>
    <x:x v="1"/>
  </x:r>
  <x:r>
    <x:x v="0"/>
    <x:s v="State Recognition"/>
    <x:n v="61"/>
    <x:s v="Move a brown cup into the bowl."/>
    <x:s v="brown cup A (C, RU); white cup A (O, RU); yellow-white striped cup A (C, RU)"/>
    <x:s v="brown cup A"/>
    <x:m/>
    <x:x v="2"/>
  </x:r>
  <x:r>
    <x:x v="1"/>
    <x:s v="State Recognition"/>
    <x:n v="62"/>
    <x:s v="Place the upright glass spice container in the bowl."/>
    <x:s v="glass spice container B (C, RU); glass spice container A (C, UD); brown cup B (O, UD); white cup A (C, RU)"/>
    <x:s v="glass spice container B"/>
    <x:s v="picked upside down container"/>
    <x:x v="1"/>
  </x:r>
  <x:r>
    <x:x v="0"/>
    <x:s v="State Recognition"/>
    <x:n v="63"/>
    <x:s v="Place a glass spice container in the bowl."/>
    <x:s v="glass spice container B (C, RU); yellow-white striped cup B (C, UD); brown cup B (O, UD); white cup A (C, RU)"/>
    <x:s v="glass spice container B"/>
    <x:m/>
    <x:x v="2"/>
  </x:r>
  <x:r>
    <x:x v="0"/>
    <x:s v="State Recognition"/>
    <x:n v="64"/>
    <x:s v="Place the upside-down white cup in the bowl."/>
    <x:s v="white cup A (O, UD); white cup B (O, RU)"/>
    <x:s v="white cup A"/>
    <x:m/>
    <x:x v="1"/>
  </x:r>
  <x:r>
    <x:x v="0"/>
    <x:s v="State Recognition"/>
    <x:n v="65"/>
    <x:s v="Put a white cup in the bowl."/>
    <x:s v="white cup A (O, UD); yellow-white striped cup A (O, RU)"/>
    <x:s v="white cup A"/>
    <x:m/>
    <x:x v="2"/>
  </x:r>
  <x:r>
    <x:x v="1"/>
    <x:s v="State Recognition"/>
    <x:n v="66"/>
    <x:s v="Place the open yellow-white striped cup in the bowl."/>
    <x:s v="yellow-white striped cup B (O, RU); yellow-white striped cup A (C, RU); brown cup B (O, RU)"/>
    <x:s v="yellow-white striped cup B"/>
    <x:s v="picked closed striped cup"/>
    <x:x v="1"/>
  </x:r>
  <x:r>
    <x:x v="0"/>
    <x:s v="State Recognition"/>
    <x:n v="67"/>
    <x:s v="Put a yellow-white striped cup in the bowl."/>
    <x:s v="yellow-white striped cup B (O, RU); glass spice container B (C, RU); brown cup B (O, RU)"/>
    <x:s v="yellow-white striped cup B"/>
    <x:m/>
    <x:x v="2"/>
  </x:r>
  <x:r>
    <x:x v="1"/>
    <x:s v="State Recognition"/>
    <x:n v="68"/>
    <x:s v="Place the closed brown cup in the bowl."/>
    <x:s v="brown cup A (C, RU); brown cup B (O, RU); glass spice container A (C, RU); white cup B (O, RU)"/>
    <x:s v="brown cup A"/>
    <x:s v="placed open brown cup in the bowl"/>
    <x:x v="1"/>
  </x:r>
  <x:r>
    <x:x v="0"/>
    <x:s v="State Recognition"/>
    <x:n v="69"/>
    <x:s v="Move a brown cup into the bowl."/>
    <x:s v="brown cup A (C, RU); yellow-white striped cup A (O, RU); glass spice container A (C, RU); white cup B (O, RU)"/>
    <x:s v="brown cup A"/>
    <x:m/>
    <x:x v="2"/>
  </x:r>
  <x:r>
    <x:x v="0"/>
    <x:s v="State Recognition"/>
    <x:n v="70"/>
    <x:s v="Place the upright glass spice container in the bowl."/>
    <x:s v="glass spice container B (O, RU); glass spice container A (O, UD)"/>
    <x:s v="glass spice container B"/>
    <x:m/>
    <x:x v="1"/>
  </x:r>
  <x:r>
    <x:x v="0"/>
    <x:s v="State Recognition"/>
    <x:n v="71"/>
    <x:s v="Place a glass spice container in the bowl."/>
    <x:s v="glass spice container B (O, RU); white cup B (O, UD)"/>
    <x:s v="glass spice container B"/>
    <x:m/>
    <x:x v="2"/>
  </x:r>
  <x:r>
    <x:x v="1"/>
    <x:s v="State Recognition"/>
    <x:n v="72"/>
    <x:s v="Place the upside-down white cup in the bowl."/>
    <x:s v="white cup A (C, UD); white cup B (C, RU); brown cup A (C, RU)"/>
    <x:s v="white cup A"/>
    <x:s v="picked upright"/>
    <x:x v="1"/>
  </x:r>
  <x:r>
    <x:x v="0"/>
    <x:s v="State Recognition"/>
    <x:n v="73"/>
    <x:s v="Put a white cup in the bowl."/>
    <x:s v="white cup A (C, UD); yellow-white striped cup A (C, RU); brown cup A (C, RU)"/>
    <x:s v="white cup A"/>
    <x:m/>
    <x:x v="2"/>
  </x:r>
  <x:r>
    <x:x v="0"/>
    <x:s v="State Recognition"/>
    <x:n v="74"/>
    <x:s v="Place the open yellow-white striped cup in the bowl."/>
    <x:s v="yellow-white striped cup B (O, RU); yellow-white striped cup A (C, RU); glass spice container B (O, RU); white cup A (C, RU)"/>
    <x:s v="yellow-white striped cup B"/>
    <x:m/>
    <x:x v="1"/>
  </x:r>
  <x:r>
    <x:x v="0"/>
    <x:s v="State Recognition"/>
    <x:n v="75"/>
    <x:s v="Move a yellow-white striped cup into the bowl."/>
    <x:s v="yellow-white striped cup B (O, RU); brown cup B (C, RU); glass spice container B (O, RU); white cup A (C, RU)"/>
    <x:s v="yellow-white striped cup B"/>
    <x:m/>
    <x:x v="2"/>
  </x:r>
  <x:r>
    <x:x v="1"/>
    <x:s v="State Recognition"/>
    <x:n v="76"/>
    <x:s v="Place the closed brown cup in the bowl."/>
    <x:s v="brown cup A (C, RU); brown cup B (O, RU)"/>
    <x:s v="brown cup A"/>
    <x:s v="picked open brown cup"/>
    <x:x v="1"/>
  </x:r>
  <x:r>
    <x:x v="0"/>
    <x:s v="State Recognition"/>
    <x:n v="77"/>
    <x:s v="Move a brown cup into the bowl."/>
    <x:s v="brown cup A (C, RU); white cup A (O, RU)"/>
    <x:s v="brown cup A"/>
    <x:m/>
    <x:x v="2"/>
  </x:r>
  <x:r>
    <x:x v="1"/>
    <x:s v="State Recognition"/>
    <x:n v="78"/>
    <x:s v="Place the upright glass spice container in the bowl."/>
    <x:s v="glass spice container B (C, RU); glass spice container A (C, UD); yellow-white striped cup B (O, UD)"/>
    <x:s v="glass spice container B"/>
    <x:s v="picked upside down spice container"/>
    <x:x v="1"/>
  </x:r>
  <x:r>
    <x:x v="0"/>
    <x:s v="State Recognition"/>
    <x:n v="79"/>
    <x:s v="Put a glass spice container in the bowl."/>
    <x:s v="glass spice container B (C, RU); brown cup B (C, UD); yellow-white striped cup B (O, UD)"/>
    <x:s v="glass spice container B"/>
    <x:m/>
    <x:x v="2"/>
  </x:r>
  <x:r>
    <x:x v="0"/>
    <x:s v="State Recognition"/>
    <x:n v="80"/>
    <x:s v="Place the upside-down white cup in the bowl."/>
    <x:s v="white cup A (O, UD); white cup B (O, RU); glass spice container A (C, RU); yellow-white striped cup B (O, RU)"/>
    <x:s v="white cup A"/>
    <x:m/>
    <x:x v="1"/>
  </x:r>
  <x:r>
    <x:x v="0"/>
    <x:s v="State Recognition"/>
    <x:n v="81"/>
    <x:s v="Place the open yellow-white striped cup in the bowl."/>
    <x:s v="yellow-white striped cup B (O, RU); yellow-white striped cup A (C, RU)"/>
    <x:s v="yellow-white striped cup B"/>
    <x:m/>
    <x:x v="1"/>
  </x:r>
  <x:r>
    <x:x v="1"/>
    <x:s v="State Recognition"/>
    <x:n v="82"/>
    <x:s v="Place the closed brown cup in the bowl."/>
    <x:s v="brown cup A (C, RU); brown cup B (O, RU); yellow-white striped cup A (C, RU)"/>
    <x:s v="brown cup A"/>
    <x:s v="picked the open brown cup"/>
    <x:x v="1"/>
  </x:r>
  <x:r>
    <x:x v="1"/>
    <x:s v="State Recognition"/>
    <x:n v="83"/>
    <x:s v="Place the upright glass spice container in the bowl."/>
    <x:s v="glass spice container B (O, RU); glass spice container A (O, UD); brown cup B (O, UD); white cup A (C, RU)"/>
    <x:s v="glass spice container B"/>
    <x:s v="picked upside down container"/>
    <x:x v="1"/>
  </x:r>
  <x:r>
    <x:x v="1"/>
    <x:s v="State Recognition"/>
    <x:n v="84"/>
    <x:s v="Place the upside-down white cup in the bowl."/>
    <x:s v="white cup A (C, UD); white cup B (C, RU)"/>
    <x:s v="white cup A"/>
    <x:s v="picked upright cup; popped off lid"/>
    <x:x v="1"/>
  </x:r>
  <x:r>
    <x:x v="0"/>
    <x:s v="State Recognition"/>
    <x:n v="85"/>
    <x:s v="Place the open yellow-white striped cup in the bowl."/>
    <x:s v="yellow-white striped cup B (O, RU); yellow-white striped cup A (C, RU); brown cup B (O, RU)"/>
    <x:s v="yellow-white striped cup B"/>
    <x:m/>
    <x:x v="1"/>
  </x:r>
  <x:r>
    <x:x v="1"/>
    <x:s v="State Recognition"/>
    <x:n v="86"/>
    <x:s v="Place the closed brown cup in the bowl."/>
    <x:s v="brown cup A (C, RU); brown cup B (O, RU); glass spice container A (C, RU); white cup B (O, RU)"/>
    <x:s v="brown cup A"/>
    <x:s v="picked open brown cup"/>
    <x:x v="1"/>
  </x:r>
  <x:r>
    <x:x v="1"/>
    <x:s v="State Recognition"/>
    <x:n v="87"/>
    <x:s v="Place the upright glass spice container in the bowl."/>
    <x:s v="glass spice container B (C, RU); glass spice container A (C, UD)"/>
    <x:s v="glass spice container B"/>
    <x:s v="picked upside down container"/>
    <x:x v="1"/>
  </x:r>
  <x:r>
    <x:x v="1"/>
    <x:s v="State Recognition"/>
    <x:n v="88"/>
    <x:s v="Place the upside-down white cup in the bowl."/>
    <x:s v="white cup A (O, UD); white cup B (O, RU); brown cup A (C, RU)"/>
    <x:s v="white cup A"/>
    <x:s v="picked upright white cup"/>
    <x:x v="1"/>
  </x:r>
  <x:r>
    <x:x v="0"/>
    <x:s v="State Recognition"/>
    <x:n v="89"/>
    <x:s v="Place the open yellow-white striped cup in the bowl."/>
    <x:s v="yellow-white striped cup B (O, RU); yellow-white striped cup A (C, RU); glass spice container B (O, RU); white cup A (C, RU)"/>
    <x:s v="yellow-white striped cup B"/>
    <x:m/>
    <x:x v="1"/>
  </x:r>
  <x:r>
    <x:x v="1"/>
    <x:s v="State Recognition"/>
    <x:n v="90"/>
    <x:s v="Place the closed brown cup in the bowl."/>
    <x:s v="brown cup A (C, RU); brown cup B (O, RU)"/>
    <x:s v="brown cup A"/>
    <x:s v="picked open cup"/>
    <x:x v="1"/>
  </x:r>
  <x:r>
    <x:x v="0"/>
    <x:s v="State Recognition"/>
    <x:n v="91"/>
    <x:s v="Place the upright glass spice container in the bowl."/>
    <x:s v="glass spice container B (O, RU); glass spice container A (O, UD); yellow-white striped cup B (O, UD)"/>
    <x:s v="glass spice container B"/>
    <x:m/>
    <x:x v="1"/>
  </x:r>
  <x:r>
    <x:x v="0"/>
    <x:s v="State Recognition"/>
    <x:n v="92"/>
    <x:s v="Place the upside-down white cup in the bowl."/>
    <x:s v="white cup A (C, UD); white cup B (C, RU); glass spice container A (C, RU); yellow-white striped cup B (O, RU)"/>
    <x:s v="white cup A"/>
    <x:m/>
    <x:x v="1"/>
  </x:r>
  <x:r>
    <x:x v="0"/>
    <x:s v="State Recognition"/>
    <x:n v="93"/>
    <x:s v="Place the open yellow-white striped cup in the bowl."/>
    <x:s v="yellow-white striped cup B (O, RU); yellow-white striped cup A (C, RU)"/>
    <x:s v="yellow-white striped cup B"/>
    <x:m/>
    <x:x v="1"/>
  </x:r>
  <x:r>
    <x:x v="1"/>
    <x:s v="State Recognition"/>
    <x:n v="94"/>
    <x:s v="Place the closed brown cup in the bowl."/>
    <x:s v="brown cup A (C, RU); brown cup B (O, RU); yellow-white striped cup A (C, RU)"/>
    <x:s v="brown cup A"/>
    <x:s v="picked open brown cup"/>
    <x:x v="1"/>
  </x:r>
  <x:r>
    <x:x v="1"/>
    <x:s v="State Recognition"/>
    <x:n v="95"/>
    <x:s v="Place the upright glass spice container in the bowl."/>
    <x:s v="glass spice container B (C, RU); glass spice container A (C, UD); brown cup B (O, UD); white cup A (C, RU)"/>
    <x:s v="glass spice container B"/>
    <x:s v="picked the upside down container"/>
    <x:x v="1"/>
  </x:r>
  <x:r>
    <x:x v="0"/>
    <x:s v="State Recognition"/>
    <x:n v="96"/>
    <x:s v="Place the upside-down white cup in the bowl."/>
    <x:s v="white cup A (O, UD); white cup B (O, RU)"/>
    <x:s v="white cup A"/>
    <x:m/>
    <x:x v="1"/>
  </x:r>
  <x:r>
    <x:x v="1"/>
    <x:s v="State Recognition"/>
    <x:n v="97"/>
    <x:s v="Place the open yellow-white striped cup in the bowl."/>
    <x:s v="yellow-white striped cup B (O, RU); yellow-white striped cup A (C, RU); brown cup B (O, RU)"/>
    <x:s v="yellow-white striped cup B"/>
    <x:s v="picked closed striped cup"/>
    <x:x v="1"/>
  </x:r>
  <x:r>
    <x:x v="1"/>
    <x:s v="State Recognition"/>
    <x:n v="98"/>
    <x:s v="Place the closed brown cup in the bowl."/>
    <x:s v="brown cup A (C, RU); brown cup B (O, RU); glass spice container A (C, RU); white cup B (O, RU)"/>
    <x:s v="brown cup A"/>
    <x:s v="picked open brown cup"/>
    <x:x v="1"/>
  </x:r>
  <x:r>
    <x:x v="1"/>
    <x:s v="State Recognition"/>
    <x:n v="99"/>
    <x:s v="Place the upright glass spice container in the bowl."/>
    <x:s v="glass spice container B (O, RU); glass spice container A (O, UD)"/>
    <x:s v="glass spice container B"/>
    <x:s v="picked upside down cup"/>
    <x:x v="1"/>
  </x:r>
  <x:r>
    <x:x v="1"/>
    <x:s v="State Recognition"/>
    <x:n v="100"/>
    <x:s v="Place the upside-down white cup in the bowl."/>
    <x:s v="white cup A (C, UD); white cup B (C, RU); brown cup A (C, RU)"/>
    <x:s v="white cup A"/>
    <x:s v="picked upright cup"/>
    <x:x v="1"/>
  </x:r>
  <x:r>
    <x:x v="1"/>
    <x:s v="State Recognition"/>
    <x:n v="101"/>
    <x:s v="Place the open yellow-white striped cup in the bowl."/>
    <x:s v="yellow-white striped cup B (O, RU); yellow-white striped cup A (C, RU); glass spice container B (O, RU); white cup A (C, RU)"/>
    <x:s v="yellow-white striped cup B"/>
    <x:s v="picked closed striped cup"/>
    <x:x v="1"/>
  </x:r>
  <x:r>
    <x:x v="1"/>
    <x:s v="State Recognition"/>
    <x:n v="102"/>
    <x:s v="Place the closed brown cup in the bowl."/>
    <x:s v="brown cup A (C, RU); brown cup B (O, RU)"/>
    <x:s v="brown cup A"/>
    <x:s v="picked open brown cup"/>
    <x:x v="1"/>
  </x:r>
  <x:r>
    <x:x v="1"/>
    <x:s v="State Recognition"/>
    <x:n v="103"/>
    <x:s v="Place the upright glass spice container in the bowl."/>
    <x:s v="glass spice container B (C, RU); glass spice container A (C, UD); yellow-white striped cup B (O, UD)"/>
    <x:s v="glass spice container B"/>
    <x:s v="picked upside down container"/>
    <x:x v="1"/>
  </x:r>
  <x:r>
    <x:x v="1"/>
    <x:s v="State Recognition"/>
    <x:n v="104"/>
    <x:s v="Place the upside-down white cup in the bowl."/>
    <x:s v="white cup A (O, UD); white cup B (O, RU); glass spice container A (C, RU); yellow-white striped cup B (O, RU)"/>
    <x:s v="white cup A"/>
    <x:s v="picked upright cup"/>
    <x:x v="1"/>
  </x:r>
  <x:r>
    <x:x v="0"/>
    <x:s v="State Recognition"/>
    <x:n v="105"/>
    <x:s v="Place the open yellow-white striped cup in the bowl."/>
    <x:s v="yellow-white striped cup B (O, RU); yellow-white striped cup A (C, RU)"/>
    <x:s v="yellow-white striped cup B"/>
    <x:m/>
    <x:x v="1"/>
  </x:r>
  <x:r>
    <x:x v="1"/>
    <x:s v="State Recognition"/>
    <x:n v="106"/>
    <x:s v="Place the closed brown cup in the bowl."/>
    <x:s v="brown cup A (C, RU); brown cup B (O, RU); yellow-white striped cup A (C, RU)"/>
    <x:s v="brown cup A"/>
    <x:s v="picked open brown cup"/>
    <x:x v="1"/>
  </x:r>
  <x:r>
    <x:x v="1"/>
    <x:s v="State Recognition"/>
    <x:n v="107"/>
    <x:s v="Place the upright glass spice container in the bowl."/>
    <x:s v="glass spice container B (O, RU); glass spice container A (O, UD); brown cup B (O, UD); white cup A (C, RU)"/>
    <x:s v="glass spice container B"/>
    <x:s v="picked upside down container"/>
    <x:x v="1"/>
  </x:r>
  <x:r>
    <x:x v="0"/>
    <x:s v="State Recognition"/>
    <x:n v="108"/>
    <x:s v="Place the upside-down white cup in the bowl."/>
    <x:s v="white cup A (C, UD); white cup B (C, RU)"/>
    <x:s v="white cup A"/>
    <x:s v="popped off lid"/>
    <x:x v="1"/>
  </x:r>
  <x:r>
    <x:x v="1"/>
    <x:s v="State Recognition"/>
    <x:n v="109"/>
    <x:s v="Place the open yellow-white striped cup in the bowl."/>
    <x:s v="yellow-white striped cup B (O, RU); yellow-white striped cup A (C, RU); brown cup B (O, RU)"/>
    <x:s v="yellow-white striped cup B"/>
    <x:s v="picked the closed striped cup"/>
    <x:x v="1"/>
  </x:r>
  <x:r>
    <x:x v="0"/>
    <x:s v="State Recognition"/>
    <x:n v="110"/>
    <x:s v="Place the closed black cup in the bowl."/>
    <x:s v="black cup A (C, RU); black cup B (O, RU)"/>
    <x:s v="black cup A"/>
    <x:m/>
    <x:x v="4"/>
  </x:r>
  <x:r>
    <x:x v="0"/>
    <x:s v="State Recognition"/>
    <x:n v="111"/>
    <x:s v="Place the open black cup in the bowl."/>
    <x:s v="black cup A (C, RU); black cup B (O, RU)"/>
    <x:s v="black cup B"/>
    <x:m/>
    <x:x v="4"/>
  </x:r>
  <x:r>
    <x:x v="1"/>
    <x:s v="State Recognition"/>
    <x:n v="112"/>
    <x:s v="Place the upside-down black cup in the bowl."/>
    <x:s v="black cup A (C, UD); black cup B (C, RU); yellow-white striped cup B (O, UD)"/>
    <x:s v="black cup A"/>
    <x:s v="tried to pick upright cup but couldn't failed reasoning and grasping"/>
    <x:x v="4"/>
  </x:r>
  <x:r>
    <x:x v="0"/>
    <x:s v="State Recognition"/>
    <x:n v="113"/>
    <x:s v="Place the upright black cup in the bowl."/>
    <x:s v="black cup A (C, UD); black cup B (C, RU); yellow-white striped cup B (O, UD)"/>
    <x:s v="black cup B"/>
    <x:m/>
    <x:x v="4"/>
  </x:r>
  <x:r>
    <x:x v="0"/>
    <x:s v="State Recognition"/>
    <x:n v="114"/>
    <x:s v="Place the closed black cup in the bowl."/>
    <x:s v="black cup A (O, RU); black cup B (C, RU); brown cup A (C, RU); glass spice container B (O, RU)"/>
    <x:s v="black cup B"/>
    <x:m/>
    <x:x v="4"/>
  </x:r>
  <x:r>
    <x:x v="1"/>
    <x:s v="State Recognition"/>
    <x:n v="115"/>
    <x:s v="Place the open black cup in the bowl."/>
    <x:s v="black cup A (O, RU); black cup B (C, RU); brown cup A (C, RU); glass spice container B (O, RU)"/>
    <x:s v="black cup A"/>
    <x:s v="picked the closed black cup"/>
    <x:x v="4"/>
  </x:r>
  <x:r>
    <x:x v="1"/>
    <x:s v="State Recognition"/>
    <x:n v="116"/>
    <x:s v="Place the upside-down black cup in the bowl."/>
    <x:s v="black cup A (O, RU); black cup B (O, UD)"/>
    <x:s v="black cup B"/>
    <x:s v="picked upright cup"/>
    <x:x v="4"/>
  </x:r>
  <x:r>
    <x:x v="0"/>
    <x:s v="State Recognition"/>
    <x:n v="117"/>
    <x:s v="Place the upright black cup in the bowl."/>
    <x:s v="black cup A (O, RU); black cup B (O, UD)"/>
    <x:s v="black cup A"/>
    <x:m/>
    <x:x v="4"/>
  </x:r>
  <x:r>
    <x:x v="1"/>
    <x:s v="State Recognition"/>
    <x:n v="118"/>
    <x:s v="Place the closed black cup in the bowl."/>
    <x:s v="black cup A (C, RU); black cup B (O, RU); white cup A (C, RU)"/>
    <x:s v="black cup A"/>
    <x:s v="tried to pick closed white cup, but didn't grasp it"/>
    <x:x v="4"/>
  </x:r>
  <x:r>
    <x:x v="1"/>
    <x:s v="State Recognition"/>
    <x:n v="119"/>
    <x:s v="Place the open black cup in the bowl."/>
    <x:s v="black cup A (C, RU); black cup B (O, RU); white cup A (C, RU)"/>
    <x:s v="black cup B"/>
    <x:s v="picked the closed white cup"/>
    <x:x v="4"/>
  </x:r>
  <x:r>
    <x:x v="1"/>
    <x:s v="State Recognition"/>
    <x:n v="120"/>
    <x:s v="Place the upside-down black cup in the bowl."/>
    <x:s v="black cup A (C, UD); black cup B (C, RU); yellow-white striped cup B (O, UD); brown cup A (C, RU)"/>
    <x:s v="black cup A"/>
    <x:s v="picked upright black cup"/>
    <x:x v="4"/>
  </x:r>
  <x:r>
    <x:x v="0"/>
    <x:s v="State Recognition"/>
    <x:n v="121"/>
    <x:s v="Place the upright black cup in the bowl."/>
    <x:s v="black cup A (C, UD); black cup B (C, RU); yellow-white striped cup B (O, UD); brown cup A (C, RU)"/>
    <x:s v="black cup B"/>
    <x:m/>
    <x:x v="4"/>
  </x:r>
  <x:r>
    <x:x v="0"/>
    <x:s v="State Recognition"/>
    <x:n v="122"/>
    <x:s v="Place the closed black cup in the bowl."/>
    <x:s v="black cup A (O, RU); black cup B (C, RU)"/>
    <x:s v="black cup B"/>
    <x:s v="struggled to grasp but did get it"/>
    <x:x v="4"/>
  </x:r>
  <x:r>
    <x:x v="1"/>
    <x:s v="State Recognition"/>
    <x:n v="123"/>
    <x:s v="Place the open black cup in the bowl."/>
    <x:s v="black cup A (O, RU); black cup B (C, RU)"/>
    <x:s v="black cup A"/>
    <x:s v="picked closed cup"/>
    <x:x v="4"/>
  </x:r>
  <x:r>
    <x:x v="1"/>
    <x:s v="State Recognition"/>
    <x:n v="124"/>
    <x:s v="Place the upside-down black cup in the bowl."/>
    <x:s v="black cup A (O, RU); black cup B (O, UD); glass spice container B (O, UD)"/>
    <x:s v="black cup B"/>
    <x:s v="picked the upright"/>
    <x:x v="4"/>
  </x:r>
  <x:r>
    <x:x v="0"/>
    <x:s v="State Recognition"/>
    <x:n v="125"/>
    <x:s v="Place the upright black cup in the bowl."/>
    <x:s v="black cup A (O, RU); black cup B (O, UD); glass spice container B (O, UD)"/>
    <x:s v="black cup A"/>
    <x:m/>
    <x:x v="4"/>
  </x:r>
  <x:r>
    <x:x v="1"/>
    <x:s v="State Recognition"/>
    <x:n v="126"/>
    <x:s v="Place the closed black cup in the bowl."/>
    <x:s v="black cup A (C, RU); black cup B (O, RU); white cup A (C, RU); yellow-white striped cup B (O, RU)"/>
    <x:s v="black cup A"/>
    <x:s v="tried to pick closed white cup but couldn't"/>
    <x:x v="4"/>
  </x:r>
  <x:r>
    <x:x v="1"/>
    <x:s v="State Recognition"/>
    <x:n v="127"/>
    <x:s v="Place the open black cup in the bowl."/>
    <x:s v="black cup A (C, RU); black cup B (O, RU); white cup A (C, RU); yellow-white striped cup B (O, RU)"/>
    <x:s v="black cup B"/>
    <x:s v="picked the closed white cup"/>
    <x:x v="4"/>
  </x:r>
  <x:r>
    <x:x v="1"/>
    <x:s v="State Recognition"/>
    <x:n v="128"/>
    <x:s v="Place the upside-down black cup in the bowl."/>
    <x:s v="black cup A (C, UD); black cup B (C, RU); yellow-white striped cup B (O, UD)"/>
    <x:s v="black cup A"/>
    <x:s v="picked the upright cup"/>
    <x:x v="4"/>
  </x:r>
  <x:r>
    <x:x v="0"/>
    <x:s v="State Recognition"/>
    <x:n v="129"/>
    <x:s v="Place the upright black cup in the bowl."/>
    <x:s v="black cup A (C, UD); black cup B (C, RU); yellow-white striped cup B (O, UD)"/>
    <x:s v="black cup B"/>
    <x:m/>
    <x:x v="4"/>
  </x:r>
  <x:r>
    <x:x v="1"/>
    <x:s v="State Recognition"/>
    <x:n v="130"/>
    <x:s v="Place the closed white cup in the bowl."/>
    <x:s v="white cup A (O, RU); white cup B (O, RU)"/>
    <x:s v="NO-OP; no object has state C, so nothing should be picked up"/>
    <x:s v="picked the open cup closer to the bowl"/>
    <x:x v="5"/>
  </x:r>
  <x:r>
    <x:x v="1"/>
    <x:s v="State Recognition"/>
    <x:n v="131"/>
    <x:s v="Place the upside-down yellow-white striped cup in the bowl."/>
    <x:s v="yellow-white striped cup A (C, RU); yellow-white striped cup B (C, RU); brown cup B (O, RU)"/>
    <x:s v="NO-OP; no object has state UD, so nothing should be picked up"/>
    <x:s v="picked the striped cup furthest from the bowl"/>
    <x:x v="5"/>
  </x:r>
  <x:r>
    <x:x v="1"/>
    <x:s v="State Recognition"/>
    <x:n v="132"/>
    <x:s v="Place the open brown cup in the bowl."/>
    <x:s v="brown cup A (C, RU); brown cup B (C, RU); glass spice container A (C, RU); white cup B (C, RU)"/>
    <x:s v="NO-OP; no object has state O, so nothing should be picked up"/>
    <x:s v="picked brown cup closest to the bowl"/>
    <x:x v="5"/>
  </x:r>
  <x:r>
    <x:x v="1"/>
    <x:s v="State Recognition"/>
    <x:n v="133"/>
    <x:s v="Place the closed glass spice container in the bowl."/>
    <x:s v="glass spice container A (O, RU); glass spice container B (O, RU)"/>
    <x:s v="NO-OP; no object has state C, so nothing should be picked up"/>
    <x:s v="picked container further from bowl"/>
    <x:x v="5"/>
  </x:r>
  <x:r>
    <x:x v="1"/>
    <x:s v="State Recognition"/>
    <x:n v="134"/>
    <x:s v="Place the open white cup in the bowl."/>
    <x:s v="white cup A (C, RU); white cup B (C, RU); glass spice container B (C, RU)"/>
    <x:s v="NO-OP; no object has state O, so nothing should be picked up"/>
    <x:s v="picked the cup closer to the bowl"/>
    <x:x v="5"/>
  </x:r>
  <x:r>
    <x:x v="1"/>
    <x:s v="State Recognition"/>
    <x:n v="135"/>
    <x:s v="Place the upright yellow-white striped cup in the bowl."/>
    <x:s v="yellow-white striped cup A (O, UD); yellow-white striped cup B (O, UD); white cup A (C, UD); brown cup B (O, UD)"/>
    <x:s v="NO-OP; no object has state RU, so nothing should be picked up"/>
    <x:s v="picked the upside down white cup"/>
    <x:x v="5"/>
  </x:r>
  <x:r>
    <x:x v="1"/>
    <x:s v="State Recognition"/>
    <x:n v="136"/>
    <x:s v="Place the upside-down brown cup in the bowl."/>
    <x:s v="brown cup A (O, RU); brown cup B (O, RU)"/>
    <x:s v="NO-OP; no object has state UD, so nothing should be picked up"/>
    <x:s v="picked cup closest to bowl"/>
    <x:x v="5"/>
  </x:r>
  <x:r>
    <x:x v="1"/>
    <x:s v="State Recognition"/>
    <x:n v="137"/>
    <x:s v="Place the open glass spice container in the bowl."/>
    <x:s v="glass spice container A (C, RU); glass spice container B (C, RU); brown cup A (C, RU)"/>
    <x:s v="NO-OP; no object has state O, so nothing should be picked up"/>
    <x:s v="picked the container further from the bowl"/>
    <x:x v="5"/>
  </x:r>
  <x:r>
    <x:x v="1"/>
    <x:s v="State Recognition"/>
    <x:n v="138"/>
    <x:s v="Place the upright white cup in the bowl."/>
    <x:s v="white cup A (C, UD); white cup B (C, UD); brown cup A (C, UD); glass spice container B (O, UD)"/>
    <x:s v="NO-OP; no object has state RU, so nothing should be picked up"/>
    <x:s v="picked upside down white cup furthest from bowl"/>
    <x:x v="5"/>
  </x:r>
  <x:r>
    <x:x v="1"/>
    <x:s v="State Recognition"/>
    <x:n v="139"/>
    <x:s v="Place the closed yellow-white striped cup in the bowl."/>
    <x:s v="yellow-white striped cup A (O, RU); yellow-white striped cup B (O, RU)"/>
    <x:s v="NO-OP; no object has state C, so nothing should be picked up"/>
    <x:s v="picked cup furthest from bowl"/>
    <x:x v="5"/>
  </x:r>
  <x:r>
    <x:x v="1"/>
    <x:s v="State Recognition"/>
    <x:n v="140"/>
    <x:s v="Place the upright brown cup in the bowl."/>
    <x:s v="brown cup A (C, UD); brown cup B (C, UD); white cup A (C, UD)"/>
    <x:s v="NO-OP; no object has state RU, so nothing should be picked up"/>
    <x:s v="placed the upside down brown cup furthest from the bowl"/>
    <x:x v="5"/>
  </x:r>
  <x:r>
    <x:x v="1"/>
    <x:s v="State Recognition"/>
    <x:n v="141"/>
    <x:s v="Place the upside-down glass spice container in the bowl."/>
    <x:s v="glass spice container A (C, RU); glass spice container B (C, RU); yellow-white striped cup B (O, RU); brown cup A (C, RU)"/>
    <x:s v="NO-OP; no object has state UD, so nothing should be picked up"/>
    <x:s v="picked conatiner further from bowl"/>
    <x:x v="5"/>
  </x:r>
  <x:r>
    <x:x v="1"/>
    <x:s v="State Recognition"/>
    <x:n v="142"/>
    <x:s v="Place the closed white cup in the bowl."/>
    <x:s v="white cup A (O, RU); white cup B (O, RU)"/>
    <x:s v="NO-OP; no object has state C, so nothing should be picked up"/>
    <x:s v="picked cup closest to the bowl"/>
    <x:x v="5"/>
  </x:r>
  <x:r>
    <x:x v="1"/>
    <x:s v="State Recognition"/>
    <x:n v="143"/>
    <x:s v="Place the upside-down yellow-white striped cup in the bowl."/>
    <x:s v="yellow-white striped cup A (O, RU); yellow-white striped cup B (O, RU); brown cup A (C, RU)"/>
    <x:s v="NO-OP; no object has state UD, so nothing should be picked up"/>
    <x:s v="picked cup closest to the bowl"/>
    <x:x v="5"/>
  </x:r>
  <x:r>
    <x:x v="1"/>
    <x:s v="State Recognition"/>
    <x:n v="144"/>
    <x:s v="Place the upside-down brown cup in the bowl."/>
    <x:s v="brown cup A (O, RU); brown cup B (O, RU); glass spice container B (O, RU); white cup A (C, RU)"/>
    <x:s v="NO-OP; no object has state UD, so nothing should be picked up"/>
    <x:s v="picked brown cup furthest from bowl"/>
    <x:x v="5"/>
  </x:r>
  <x:r>
    <x:x v="1"/>
    <x:s v="State Recognition"/>
    <x:n v="145"/>
    <x:s v="Place the closed glass spice container in the bowl."/>
    <x:s v="glass spice container A (O, RU); glass spice container B (O, RU)"/>
    <x:s v="NO-OP; no object has state C, so nothing should be picked up"/>
    <x:s v="picked furthest container from bowl"/>
    <x:x v="5"/>
  </x:r>
  <x:r>
    <x:x v="1"/>
    <x:s v="State Recognition"/>
    <x:n v="146"/>
    <x:s v="Place the open white cup in the bowl."/>
    <x:s v="white cup A (C, RU); white cup B (C, RU); glass spice container A (C, RU)"/>
    <x:s v="NO-OP; no object has state O, so nothing should be picked up"/>
    <x:s v="picked white cup furthest from bowl; popped off lid"/>
    <x:x v="5"/>
  </x:r>
  <x:r>
    <x:x v="1"/>
    <x:s v="State Recognition"/>
    <x:n v="147"/>
    <x:s v="Place the upright yellow-white striped cup in the bowl."/>
    <x:s v="yellow-white striped cup A (C, UD); yellow-white striped cup B (C, UD); white cup B (O, UD); brown cup A (C, UD)"/>
    <x:s v="NO-OP; no object has state RU, so nothing should be picked up"/>
    <x:s v="picked the striped cup closest to the bowl"/>
    <x:x v="5"/>
  </x:r>
  <x:r>
    <x:x v="1"/>
    <x:s v="State Recognition"/>
    <x:n v="148"/>
    <x:s v="Place the upright brown cup in the bowl."/>
    <x:s v="brown cup A (C, UD); brown cup B (C, UD)"/>
    <x:s v="NO-OP; no object has state RU, so nothing should be picked up"/>
    <x:s v="picked brown cup furthest from bowl; lid popped off"/>
    <x:x v="5"/>
  </x:r>
  <x:r>
    <x:x v="1"/>
    <x:s v="State Recognition"/>
    <x:n v="149"/>
    <x:s v="Place the open glass spice container in the bowl."/>
    <x:s v="glass spice container A (C, RU); glass spice container B (C, RU); brown cup B (C, RU)"/>
    <x:s v="NO-OP; no object has state O, so nothing should be picked up"/>
    <x:s v="picked the container closest to the bowl"/>
    <x:x v="5"/>
  </x:r>
  <x:r>
    <x:x v="0"/>
    <x:s v="Counting"/>
    <x:n v="0"/>
    <x:s v="Leave exactly one object in the bowl."/>
    <x:s v="Bowl objects: [none] | Table objects: [blue pen, yellow block, green pencil sharpener]"/>
    <x:s v="ADD any one table object; finish with 1 object in the bowl"/>
    <x:s v="picked the yellow block"/>
    <x:x v="0"/>
  </x:r>
  <x:r>
    <x:x v="1"/>
    <x:s v="Counting"/>
    <x:n v="1"/>
    <x:s v="Adjust the bowl so that it contains two objects."/>
    <x:s v="Bowl objects: [yellow block] | Table objects: [blue pen, green pencil sharpener]"/>
    <x:s v="ADD any one table object; finish with 2 objects in the bowl"/>
    <x:s v="didn't move"/>
    <x:x v="0"/>
  </x:r>
  <x:r>
    <x:x v="1"/>
    <x:s v="Counting"/>
    <x:n v="2"/>
    <x:s v="Leave exactly three objects in the bowl."/>
    <x:s v="Bowl objects: [blue pen, yellow block, green pencil sharpener, airplane toy without propellers] | Table objects: [none]"/>
    <x:s v="REMOVE any one bowl object; finish with 3 objects in the bowl"/>
    <x:s v="picked both the airplane toy and green pencil sharpener simulataneously so left two items int he bowl"/>
    <x:x v="0"/>
  </x:r>
  <x:r>
    <x:x v="0"/>
    <x:s v="Counting"/>
    <x:n v="3"/>
    <x:s v="Adjust the bowl so that it contains zero objects."/>
    <x:s v="Bowl objects: [blue pen] | Table objects: [green pencil sharpener, airplane toy without propellers]"/>
    <x:s v="REMOVE the only bowl object; finish with 0 objects in the bowl"/>
    <x:m/>
    <x:x v="0"/>
  </x:r>
  <x:r>
    <x:x v="0"/>
    <x:s v="Counting"/>
    <x:n v="4"/>
    <x:s v="Leave exactly one object in the bowl."/>
    <x:s v="Bowl objects: [none] | Table objects: [yellow block, blue pen]"/>
    <x:s v="ADD any one table object; finish with 1 object in the bowl"/>
    <x:m/>
    <x:x v="0"/>
  </x:r>
  <x:r>
    <x:x v="1"/>
    <x:s v="Counting"/>
    <x:n v="5"/>
    <x:s v="Adjust the bowl so that it contains two objects."/>
    <x:s v="Bowl objects: [green pencil sharpener] | Table objects: [yellow block, airplane toy without propellers]"/>
    <x:s v="ADD any one table object; finish with 2 objects in the bowl"/>
    <x:s v="tried to pick yellow block but couldn't"/>
    <x:x v="0"/>
  </x:r>
  <x:r>
    <x:x v="1"/>
    <x:s v="Counting"/>
    <x:n v="6"/>
    <x:s v="Leave exactly three objects in the bowl."/>
    <x:s v="Bowl objects: [yellow block, green pencil sharpener, airplane toy without propellers, blue pen] | Table objects: [none]"/>
    <x:s v="REMOVE any one bowl object; finish with 3 objects in the bowl"/>
    <x:s v="went to bowl, but couldn't grab anything"/>
    <x:x v="0"/>
  </x:r>
  <x:r>
    <x:x v="0"/>
    <x:s v="Counting"/>
    <x:n v="7"/>
    <x:s v="Adjust the bowl so that it contains zero objects."/>
    <x:s v="Bowl objects: [yellow block] | Table objects: [blue pen]"/>
    <x:s v="REMOVE the only bowl object; finish with 0 objects in the bowl"/>
    <x:m/>
    <x:x v="0"/>
  </x:r>
  <x:r>
    <x:x v="0"/>
    <x:s v="Counting"/>
    <x:n v="8"/>
    <x:s v="Leave exactly one object in the bowl."/>
    <x:s v="Bowl objects: [none] | Table objects: [green pencil sharpener, yellow block]"/>
    <x:s v="ADD any one table object; finish with 1 object in the bowl"/>
    <x:m/>
    <x:x v="0"/>
  </x:r>
  <x:r>
    <x:x v="1"/>
    <x:s v="Counting"/>
    <x:n v="9"/>
    <x:s v="Adjust the bowl so that it contains two objects."/>
    <x:s v="Bowl objects: [blue pen] | Table objects: [green pencil sharpener, airplane toy without propellers]"/>
    <x:s v="ADD any one table object; finish with 2 objects in the bowl"/>
    <x:s v="went for the airplane toy 5 times, but never moved it."/>
    <x:x v="0"/>
  </x:r>
  <x:r>
    <x:x v="1"/>
    <x:s v="Counting"/>
    <x:n v="10"/>
    <x:s v="Leave exactly three objects in the bowl."/>
    <x:s v="Bowl objects: [green pencil sharpener, airplane toy without propellers, blue pen, yellow block] | Table objects: [none]"/>
    <x:s v="REMOVE any one bowl object; finish with 3 objects in the bowl"/>
    <x:s v="went to bowl but couldn't pick anything up"/>
    <x:x v="0"/>
  </x:r>
  <x:r>
    <x:x v="0"/>
    <x:s v="Counting"/>
    <x:n v="11"/>
    <x:s v="Make the bowl contain exactly zero objects."/>
    <x:s v="Bowl objects: [green pencil sharpener] | Table objects: [yellow block]"/>
    <x:s v="REMOVE the only bowl object; finish with 0 objects in the bowl"/>
    <x:m/>
    <x:x v="0"/>
  </x:r>
  <x:r>
    <x:x v="0"/>
    <x:s v="Counting"/>
    <x:n v="12"/>
    <x:s v="Leave exactly one object in the bowl."/>
    <x:s v="Bowl objects: [none] | Table objects: [airplane toy without propellers, blue pen, yellow block]"/>
    <x:s v="ADD any one table object; finish with 1 object in the bowl"/>
    <x:m/>
    <x:x v="0"/>
  </x:r>
  <x:r>
    <x:x v="0"/>
    <x:s v="Counting"/>
    <x:n v="13"/>
    <x:s v="Make the bowl contain exactly two objects."/>
    <x:s v="Bowl objects: [green pencil sharpener] | Table objects: [airplane toy without propellers, yellow block]"/>
    <x:s v="ADD any one table object; finish with 2 objects in the bowl"/>
    <x:m/>
    <x:x v="0"/>
  </x:r>
  <x:r>
    <x:x v="1"/>
    <x:s v="Counting"/>
    <x:n v="14"/>
    <x:s v="Leave exactly three objects in the bowl."/>
    <x:s v="Bowl objects: [airplane toy without propellers, blue pen, yellow block, green pencil sharpener] | Table objects: [none]"/>
    <x:s v="REMOVE any one bowl object; finish with 3 objects in the bowl"/>
    <x:s v="went to bowl but couldn't remove anything"/>
    <x:x v="0"/>
  </x:r>
  <x:r>
    <x:x v="0"/>
    <x:s v="Counting"/>
    <x:n v="15"/>
    <x:s v="Leave no objects in the bowl."/>
    <x:s v="Bowl objects: [airplane toy without propellers] | Table objects: [green pencil sharpener]"/>
    <x:s v="REMOVE the only bowl object; finish with 0 objects in the bowl"/>
    <x:m/>
    <x:x v="0"/>
  </x:r>
  <x:r>
    <x:x v="0"/>
    <x:s v="Counting"/>
    <x:n v="16"/>
    <x:s v="Leave exactly one object in the bowl."/>
    <x:s v="Bowl objects: [none] | Table objects: [yellow block]"/>
    <x:s v="ADD the only table object; finish with 1 object in the bowl"/>
    <x:m/>
    <x:x v="0"/>
  </x:r>
  <x:r>
    <x:x v="1"/>
    <x:s v="Counting"/>
    <x:n v="17"/>
    <x:s v="Make the bowl contain exactly two objects."/>
    <x:s v="Bowl objects: [green pencil sharpener] | Table objects: [yellow block]"/>
    <x:s v="ADD the only table object; finish with 2 objects in the bowl"/>
    <x:s v="didn't move"/>
    <x:x v="0"/>
  </x:r>
  <x:r>
    <x:x v="0"/>
    <x:s v="Counting"/>
    <x:n v="18"/>
    <x:s v="Leave exactly three objects in the bowl."/>
    <x:s v="Bowl objects: [airplane toy without propellers, blue pen, yellow block, green pencil sharpener] | Table objects: [none]"/>
    <x:s v="REMOVE any one bowl object; finish with 3 objects in the bowl"/>
    <x:m/>
    <x:x v="0"/>
  </x:r>
  <x:r>
    <x:x v="0"/>
    <x:s v="Counting"/>
    <x:n v="19"/>
    <x:s v="Make the bowl contain exactly zero objects."/>
    <x:s v="Bowl objects: [yellow block] | Table objects: [none]"/>
    <x:s v="REMOVE the only bowl object; finish with 0 objects in the bowl"/>
    <x:m/>
    <x:x v="0"/>
  </x:r>
  <x:r>
    <x:x v="1"/>
    <x:s v="Counting"/>
    <x:n v="20"/>
    <x:s v="Leave exactly one object in the bowl."/>
    <x:s v="Bowl objects: [blue pen, airplane toy without propellers] | Table objects: [yellow block, green pencil sharpener]"/>
    <x:s v="REMOVE any one bowl object; finish with 1 object in the bowl"/>
    <x:s v="didn't move"/>
    <x:x v="1"/>
  </x:r>
  <x:r>
    <x:x v="0"/>
    <x:s v="Counting"/>
    <x:n v="21"/>
    <x:s v="Move the airplane toy without propellers from the bowl to the table."/>
    <x:s v="Bowl objects: [blue pen, airplane toy without propellers] | Table objects: [yellow block, green pencil sharpener]"/>
    <x:s v="REMOVE airplane toy without propellers"/>
    <x:m/>
    <x:x v="2"/>
  </x:r>
  <x:r>
    <x:x v="0"/>
    <x:s v="Counting"/>
    <x:n v="22"/>
    <x:s v="Move the green pencil sharpener into the bowl."/>
    <x:s v="Bowl objects: [blue pen, airplane toy without propellers] | Table objects: [yellow block, green pencil sharpener]"/>
    <x:s v="ADD green pencil sharpener"/>
    <x:m/>
    <x:x v="2"/>
  </x:r>
  <x:r>
    <x:x v="1"/>
    <x:s v="Counting"/>
    <x:n v="23"/>
    <x:s v="Leave exactly three objects in the bowl."/>
    <x:s v="Bowl objects: [blue pen, airplane toy without propellers] | Table objects: [yellow block, green pencil sharpener]"/>
    <x:s v="ADD any one table object; finish with 3 objects in the bowl"/>
    <x:s v="didn't move"/>
    <x:x v="1"/>
  </x:r>
  <x:r>
    <x:x v="1"/>
    <x:s v="Counting"/>
    <x:n v="24"/>
    <x:s v="Leave exactly three objects in the bowl."/>
    <x:s v="Bowl objects: [green pencil sharpener, airplane toy without propellers] | Table objects: [blue pen, yellow block]"/>
    <x:s v="ADD any one table object; finish with 3 objects in the bowl"/>
    <x:s v="didn't move"/>
    <x:x v="1"/>
  </x:r>
  <x:r>
    <x:x v="1"/>
    <x:s v="Counting"/>
    <x:n v="25"/>
    <x:s v="Leave exactly one object in the bowl."/>
    <x:s v="Bowl objects: [green pencil sharpener, airplane toy without propellers] | Table objects: [blue pen, yellow block]"/>
    <x:s v="REMOVE any one bowl object; finish with 1 object in the bowl"/>
    <x:s v="didn't move"/>
    <x:x v="1"/>
  </x:r>
  <x:r>
    <x:x v="1"/>
    <x:s v="Counting"/>
    <x:n v="26"/>
    <x:s v="Leave exactly one object in the bowl."/>
    <x:s v="Bowl objects: [blue pen, yellow block] | Table objects: [green pencil sharpener]"/>
    <x:s v="REMOVE any one bowl object; finish with 1 object in the bowl"/>
    <x:s v="didn't move"/>
    <x:x v="1"/>
  </x:r>
  <x:r>
    <x:x v="1"/>
    <x:s v="Counting"/>
    <x:n v="27"/>
    <x:s v="Move the blue pen from the bowl to the table."/>
    <x:s v="Bowl objects: [blue pen, yellow block] | Table objects: [green pencil sharpener]"/>
    <x:s v="REMOVE blue pen"/>
    <x:s v="went to bowl but couldn't take the pen out"/>
    <x:x v="2"/>
  </x:r>
  <x:r>
    <x:x v="1"/>
    <x:s v="Counting"/>
    <x:n v="28"/>
    <x:s v="Finish with one object in the bowl."/>
    <x:s v="Bowl objects: [blue pen, yellow block] | Table objects: [green pencil sharpener]"/>
    <x:s v="REMOVE any one bowl object; finish with 1 object in the bowl"/>
    <x:s v="didn't move"/>
    <x:x v="3"/>
  </x:r>
  <x:r>
    <x:x v="1"/>
    <x:s v="Counting"/>
    <x:n v="29"/>
    <x:s v="Lift the blue pen out of the bowl and set it on the table."/>
    <x:s v="Bowl objects: [blue pen, yellow block] | Table objects: [green pencil sharpener]"/>
    <x:s v="REMOVE blue pen"/>
    <x:s v="went to bowl but couldn't take the pen out"/>
    <x:x v="3"/>
  </x:r>
  <x:r>
    <x:x v="0"/>
    <x:s v="Counting"/>
    <x:n v="30"/>
    <x:s v="Move the green pencil sharpener into the bowl."/>
    <x:s v="Bowl objects: [blue pen, yellow block] | Table objects: [green pencil sharpener]"/>
    <x:s v="ADD green pencil sharpener"/>
    <x:m/>
    <x:x v="2"/>
  </x:r>
  <x:r>
    <x:x v="1"/>
    <x:s v="Counting"/>
    <x:n v="31"/>
    <x:s v="Leave exactly three objects in the bowl."/>
    <x:s v="Bowl objects: [blue pen, yellow block] | Table objects: [green pencil sharpener]"/>
    <x:s v="ADD any one table object; finish with 3 objects in the bowl"/>
    <x:s v="didn't move"/>
    <x:x v="1"/>
  </x:r>
  <x:r>
    <x:x v="1"/>
    <x:s v="Counting"/>
    <x:n v="32"/>
    <x:s v="Lift the green pencil sharpener from the table and set it inside the bowl."/>
    <x:s v="Bowl objects: [blue pen, yellow block] | Table objects: [green pencil sharpener]"/>
    <x:s v="ADD green pencil sharpener"/>
    <x:s v="didn't move"/>
    <x:x v="3"/>
  </x:r>
  <x:r>
    <x:x v="1"/>
    <x:s v="Counting"/>
    <x:n v="33"/>
    <x:s v="Finish with three objects in the bowl."/>
    <x:s v="Bowl objects: [blue pen, yellow block] | Table objects: [green pencil sharpener]"/>
    <x:s v="ADD any one table object; finish with 3 objects in the bowl"/>
    <x:s v="didn't move"/>
    <x:x v="3"/>
  </x:r>
  <x:r>
    <x:x v="1"/>
    <x:s v="Counting"/>
    <x:n v="34"/>
    <x:s v="Leave exactly three objects in the bowl."/>
    <x:s v="Bowl objects: [yellow block, green pencil sharpener] | Table objects: [blue pen, airplane toy without propellers]"/>
    <x:s v="ADD any one table object; finish with 3 objects in the bowl"/>
    <x:s v="didn't move"/>
    <x:x v="1"/>
  </x:r>
  <x:r>
    <x:x v="1"/>
    <x:s v="Counting"/>
    <x:n v="35"/>
    <x:s v="Move the airplane toy without propellers into the bowl."/>
    <x:s v="Bowl objects: [yellow block, green pencil sharpener] | Table objects: [blue pen, airplane toy without propellers]"/>
    <x:s v="ADD airplane toy without propellers"/>
    <x:s v="didn't move"/>
    <x:x v="2"/>
  </x:r>
  <x:r>
    <x:x v="0"/>
    <x:s v="Counting"/>
    <x:n v="36"/>
    <x:s v="Move the green pencil sharpener from the bowl to the table."/>
    <x:s v="Bowl objects: [yellow block, green pencil sharpener] | Table objects: [blue pen, airplane toy without propellers]"/>
    <x:s v="REMOVE green pencil sharpener"/>
    <x:m/>
    <x:x v="2"/>
  </x:r>
  <x:r>
    <x:x v="1"/>
    <x:s v="Counting"/>
    <x:n v="37"/>
    <x:s v="Leave exactly one object in the bowl."/>
    <x:s v="Bowl objects: [yellow block, green pencil sharpener] | Table objects: [blue pen, airplane toy without propellers]"/>
    <x:s v="REMOVE any one bowl object; finish with 1 object in the bowl"/>
    <x:s v="didn't move"/>
    <x:x v="1"/>
  </x:r>
  <x:r>
    <x:x v="0"/>
    <x:s v="Counting"/>
    <x:n v="38"/>
    <x:s v="Leave exactly three objects in the bowl."/>
    <x:s v="Bowl objects: [airplane toy without propellers, green pencil sharpener, yellow block] | Table objects: [blue pen]"/>
    <x:s v="NO-OP; preserve 3 objects in the bowl and do not initiate a grasp"/>
    <x:m/>
    <x:x v="6"/>
  </x:r>
  <x:r>
    <x:x v="0"/>
    <x:s v="Counting"/>
    <x:n v="39"/>
    <x:s v="Leave exactly two objects in the bowl."/>
    <x:s v="Bowl objects: [airplane toy without propellers, green pencil sharpener] | Table objects: [yellow block]"/>
    <x:s v="NO-OP; preserve 2 objects in the bowl and do not initiate a grasp"/>
    <x:m/>
    <x:x v="6"/>
  </x:r>
  <x:r>
    <x:x v="0"/>
    <x:s v="Counting"/>
    <x:n v="40"/>
    <x:s v="Leave exactly one object in the bowl."/>
    <x:s v="Bowl objects: [airplane toy without propellers] | Table objects: [green pencil sharpener]"/>
    <x:s v="NO-OP; preserve 1 object in the bowl and do not initiate a grasp"/>
    <x:m/>
    <x:x v="6"/>
  </x:r>
  <x:r>
    <x:x v="0"/>
    <x:s v="Counting"/>
    <x:n v="41"/>
    <x:s v="Leave no objects in the bowl."/>
    <x:s v="Bowl objects: [none] | Table objects: [airplane toy without propellers]"/>
    <x:s v="NO-OP; preserve 0 objects in the bowl and do not initiate a grasp"/>
    <x:m/>
    <x:x v="6"/>
  </x:r>
  <x:r>
    <x:x v="0"/>
    <x:s v="Counting"/>
    <x:n v="42"/>
    <x:s v="Leave no objects in the bowl."/>
    <x:s v="Bowl objects: [none] | Table objects: [blue pen]"/>
    <x:s v="NO-OP; preserve 0 objects in the bowl and do not initiate a grasp"/>
    <x:m/>
    <x:x v="6"/>
  </x:r>
  <x:r>
    <x:x v="0"/>
    <x:s v="Counting"/>
    <x:n v="43"/>
    <x:s v="Leave exactly one object in the bowl."/>
    <x:s v="Bowl objects: [blue pen] | Table objects: [none]"/>
    <x:s v="NO-OP; preserve 1 object in the bowl and do not initiate a grasp"/>
    <x:m/>
    <x:x v="6"/>
  </x:r>
  <x:r>
    <x:x v="1"/>
    <x:s v="Counting"/>
    <x:n v="44"/>
    <x:s v="Leave exactly two objects in the bowl."/>
    <x:s v="Bowl objects: [blue pen, yellow block] | Table objects: [none]"/>
    <x:s v="NO-OP; preserve 2 objects in the bowl and do not initiate a grasp"/>
    <x:s v="tried to remove the yellow block"/>
    <x:x v="6"/>
  </x:r>
  <x:r>
    <x:x v="1"/>
    <x:s v="Counting"/>
    <x:n v="45"/>
    <x:s v="Leave exactly three objects in the bowl."/>
    <x:s v="Bowl objects: [blue pen, yellow block, green pencil sharpener] | Table objects: [none]"/>
    <x:s v="NO-OP; preserve 3 objects in the bowl and do not initiate a grasp"/>
    <x:s v="went to the bowl"/>
    <x:x v="6"/>
  </x:r>
  <x:r>
    <x:x v="1"/>
    <x:s v="Counting"/>
    <x:n v="46"/>
    <x:s v="Leave exactly three objects in the bowl."/>
    <x:s v="Bowl objects: [green pencil sharpener, airplane toy without propellers] | Table objects: [yellow block]"/>
    <x:s v="ADD any one table object; finish with 3 objects in the bowl"/>
    <x:s v="didn't move"/>
    <x:x v="1"/>
  </x:r>
  <x:r>
    <x:x v="0"/>
    <x:s v="Counting"/>
    <x:n v="47"/>
    <x:s v="Move the yellow block into the bowl."/>
    <x:s v="Bowl objects: [green pencil sharpener, airplane toy without propellers] | Table objects: [yellow block]"/>
    <x:s v="ADD yellow block"/>
    <x:m/>
    <x:x v="2"/>
  </x:r>
  <x:r>
    <x:x v="1"/>
    <x:s v="Counting"/>
    <x:n v="48"/>
    <x:s v="Move the airplane toy without propellers from the bowl to the table."/>
    <x:s v="Bowl objects: [green pencil sharpener, airplane toy without propellers] | Table objects: [yellow block]"/>
    <x:s v="REMOVE airplane toy without propellers"/>
    <x:s v="tried to get the airplane toy out of the bowl, but didn't"/>
    <x:x v="2"/>
  </x:r>
  <x:r>
    <x:x v="1"/>
    <x:s v="Counting"/>
    <x:n v="49"/>
    <x:s v="Leave exactly one object in the bowl."/>
    <x:s v="Bowl objects: [green pencil sharpener, airplane toy without propellers] | Table objects: [yellow block]"/>
    <x:s v="REMOVE any one bowl object; finish with 1 object in the bowl"/>
    <x:s v="didn't move"/>
    <x:x v="1"/>
  </x:r>
  <x:r>
    <x:x v="1"/>
    <x:s v="Counting"/>
    <x:n v="50"/>
    <x:s v="Leave exactly one object in the bowl."/>
    <x:s v="Bowl objects: [blue pen, airplane toy without propellers] | Table objects: [yellow block, green pencil sharpener]"/>
    <x:s v="REMOVE any one bowl object; finish with 1 object in the bowl"/>
    <x:s v="didn't move"/>
    <x:x v="1"/>
  </x:r>
  <x:r>
    <x:x v="1"/>
    <x:s v="Counting"/>
    <x:n v="51"/>
    <x:s v="Leave exactly three objects in the bowl."/>
    <x:s v="Bowl objects: [blue pen, airplane toy without propellers] | Table objects: [yellow block, green pencil sharpener]"/>
    <x:s v="ADD any one table object; finish with 3 objects in the bowl"/>
    <x:s v="didn't move"/>
    <x:x v="1"/>
  </x:r>
  <x:r>
    <x:x v="1"/>
    <x:s v="Counting"/>
    <x:n v="52"/>
    <x:s v="Leave exactly one object in the bowl."/>
    <x:s v="Bowl objects: [blue pen, yellow block] | Table objects: [green pencil sharpener, airplane toy without propellers]"/>
    <x:s v="REMOVE any one bowl object; finish with 1 object in the bowl"/>
    <x:s v="didn't move"/>
    <x:x v="1"/>
  </x:r>
  <x:r>
    <x:x v="1"/>
    <x:s v="Counting"/>
    <x:n v="53"/>
    <x:s v="Leave exactly three objects in the bowl."/>
    <x:s v="Bowl objects: [blue pen, yellow block] | Table objects: [green pencil sharpener, airplane toy without propellers]"/>
    <x:s v="ADD any one table object; finish with 3 objects in the bowl"/>
    <x:s v="didn't move"/>
    <x:x v="1"/>
  </x:r>
  <x:r>
    <x:x v="0"/>
    <x:s v="Counting"/>
    <x:n v="54"/>
    <x:s v="Make the bowl contain exactly zero objects."/>
    <x:s v="Bowl objects: [green highlighter] | Table objects: [blue pen]"/>
    <x:s v="REMOVE green highlighter; finish with 0 objects in the bowl"/>
    <x:m/>
    <x:x v="7"/>
  </x:r>
  <x:r>
    <x:x v="1"/>
    <x:s v="Counting"/>
    <x:n v="55"/>
    <x:s v="Make the bowl contain exactly two objects."/>
    <x:s v="Bowl objects: [green highlighter] | Table objects: [blue pen]"/>
    <x:s v="ADD blue pen; finish with 2 objects in the bowl"/>
    <x:s v="didn't move"/>
    <x:x v="7"/>
  </x:r>
  <x:r>
    <x:x v="0"/>
    <x:s v="Counting"/>
    <x:n v="56"/>
    <x:s v="Make the bowl contain exactly two objects."/>
    <x:s v="Bowl objects: [blue pen] | Table objects: [green highlighter]"/>
    <x:s v="ADD green highlighter; finish with 2 objects in the bowl"/>
    <x:m/>
    <x:x v="7"/>
  </x:r>
  <x:r>
    <x:x v="1"/>
    <x:s v="Counting"/>
    <x:n v="57"/>
    <x:s v="Make the bowl contain exactly zero objects."/>
    <x:s v="Bowl objects: [blue pen] | Table objects: [green highlighter]"/>
    <x:s v="REMOVE blue pen; finish with 0 objects in the bowl"/>
    <x:s v="picked up the green highlighter and moved it closer to the bowl, but didn't put it in . Went back for green highlighter, but couldn't grab it"/>
    <x:x v="7"/>
  </x:r>
  <x:r>
    <x:x v="0"/>
    <x:s v="Counting"/>
    <x:n v="58"/>
    <x:s v="Make the bowl contain exactly zero objects."/>
    <x:s v="Bowl objects: [green highlighter] | Table objects: [blue pen]"/>
    <x:s v="REMOVE green highlighter; finish with 0 objects in the bowl"/>
    <x:m/>
    <x:x v="7"/>
  </x:r>
  <x:r>
    <x:x v="1"/>
    <x:s v="Counting"/>
    <x:n v="59"/>
    <x:s v="Make the bowl contain exactly two objects."/>
    <x:s v="Bowl objects: [green highlighter] | Table objects: [blue pen]"/>
    <x:s v="ADD blue pen; finish with 2 objects in the bowl"/>
    <x:s v="didn't move"/>
    <x:x v="7"/>
  </x:r>
  <x:r>
    <x:x v="0"/>
    <x:s v="Counting"/>
    <x:n v="60"/>
    <x:s v="Make the bowl contain exactly two objects."/>
    <x:s v="Bowl objects: [blue pen] | Table objects: [green highlighter]"/>
    <x:s v="ADD green highlighter; finish with 2 objects in the bowl"/>
    <x:m/>
    <x:x v="7"/>
  </x:r>
  <x:r>
    <x:x v="0"/>
    <x:s v="Counting"/>
    <x:n v="61"/>
    <x:s v="Make the bowl contain exactly zero objects."/>
    <x:s v="Bowl objects: [blue pen] | Table objects: [green highlighter]"/>
    <x:s v="REMOVE blue pen; finish with 0 objects in the bowl"/>
    <x:m/>
    <x:x v="7"/>
  </x:r>
  <x:r>
    <x:x v="1"/>
    <x:s v="Counting"/>
    <x:n v="62"/>
    <x:s v="Leave exactly one object in the bowl."/>
    <x:s v="Bowl objects: [blue pen, yellow block] | Table objects: [green pencil sharpener, airplane toy without propellers]"/>
    <x:s v="REMOVE any one bowl object; finish with 1 object in the bowl"/>
    <x:s v="didn't move"/>
    <x:x v="1"/>
  </x:r>
  <x:r>
    <x:x v="1"/>
    <x:s v="Counting"/>
    <x:n v="63"/>
    <x:s v="Leave exactly three objects in the bowl."/>
    <x:s v="Bowl objects: [blue pen, yellow block] | Table objects: [green pencil sharpener, airplane toy without propellers]"/>
    <x:s v="ADD any one table object; finish with 3 objects in the bowl"/>
    <x:s v="didn't move"/>
    <x:x v="1"/>
  </x:r>
  <x:r>
    <x:x v="1"/>
    <x:s v="Counting"/>
    <x:n v="64"/>
    <x:s v="Leave exactly three objects in the bowl."/>
    <x:s v="Bowl objects: [blue pen, green pencil sharpener] | Table objects: [yellow block, airplane toy without propellers]"/>
    <x:s v="ADD any one table object; finish with 3 objects in the bowl"/>
    <x:s v="didn't move"/>
    <x:x v="1"/>
  </x:r>
  <x:r>
    <x:x v="1"/>
    <x:s v="Counting"/>
    <x:n v="65"/>
    <x:s v="Leave exactly one object in the bowl."/>
    <x:s v="Bowl objects: [blue pen, green pencil sharpener] | Table objects: [yellow block, airplane toy without propellers]"/>
    <x:s v="REMOVE any one bowl object; finish with 1 object in the bowl"/>
    <x:s v="didn't move"/>
    <x:x v="1"/>
  </x:r>
  <x:r>
    <x:x v="1"/>
    <x:s v="Counting"/>
    <x:n v="66"/>
    <x:s v="Leave exactly three objects in the bowl."/>
    <x:s v="Bowl objects: [blue pen, green pencil sharpener] | Table objects: [yellow block, airplane toy without propellers]"/>
    <x:s v="ADD any one table object; finish with 3 objects in the bowl"/>
    <x:s v="didn't move"/>
    <x:x v="1"/>
  </x:r>
  <x:r>
    <x:x v="1"/>
    <x:s v="Counting"/>
    <x:n v="67"/>
    <x:s v="Leave exactly one object in the bowl."/>
    <x:s v="Bowl objects: [blue pen, green pencil sharpener] | Table objects: [yellow block, airplane toy without propellers]"/>
    <x:s v="REMOVE any one bowl object; finish with 1 object in the bowl"/>
    <x:s v="didn't move"/>
    <x:x v="1"/>
  </x:r>
  <x:r>
    <x:x v="1"/>
    <x:s v="Counting"/>
    <x:n v="68"/>
    <x:s v="Leave exactly one object in the bowl."/>
    <x:s v="Bowl objects: [blue pen, yellow block] | Table objects: [green pencil sharpener]"/>
    <x:s v="REMOVE any one bowl object; finish with 1 object in the bowl"/>
    <x:s v="didn't move"/>
    <x:x v="1"/>
  </x:r>
  <x:r>
    <x:x v="1"/>
    <x:s v="Counting"/>
    <x:n v="69"/>
    <x:s v="Move the yellow block from the bowl to the table."/>
    <x:s v="Bowl objects: [blue pen, yellow block] | Table objects: [green pencil sharpener]"/>
    <x:s v="REMOVE yellow block"/>
    <x:s v="removed the blue pen and left the yellow block in the bowl"/>
    <x:x v="2"/>
  </x:r>
  <x:r>
    <x:x v="0"/>
    <x:s v="Counting"/>
    <x:n v="70"/>
    <x:s v="Move the green pencil sharpener into the bowl."/>
    <x:s v="Bowl objects: [blue pen, yellow block] | Table objects: [green pencil sharpener]"/>
    <x:s v="ADD green pencil sharpener"/>
    <x:m/>
    <x:x v="2"/>
  </x:r>
  <x:r>
    <x:x v="1"/>
    <x:s v="Counting"/>
    <x:n v="71"/>
    <x:s v="Leave exactly three objects in the bowl."/>
    <x:s v="Bowl objects: [blue pen, yellow block] | Table objects: [green pencil sharpener]"/>
    <x:s v="ADD any one table object; finish with 3 objects in the bowl"/>
    <x:s v="didn't move"/>
    <x:x v="1"/>
  </x:r>
  <x:r>
    <x:x v="1"/>
    <x:s v="Counting"/>
    <x:n v="72"/>
    <x:s v="Leave exactly three objects in the bowl."/>
    <x:s v="Bowl objects: [blue pen, green pencil sharpener] | Table objects: [yellow block, airplane toy without propellers]"/>
    <x:s v="ADD any one table object; finish with 3 objects in the bowl"/>
    <x:s v="didn't move"/>
    <x:x v="1"/>
  </x:r>
  <x:r>
    <x:x v="0"/>
    <x:s v="Counting"/>
    <x:n v="73"/>
    <x:s v="Move the airplane toy without propellers into the bowl."/>
    <x:s v="Bowl objects: [blue pen, green pencil sharpener] | Table objects: [yellow block, airplane toy without propellers]"/>
    <x:s v="ADD airplane toy without propellers"/>
    <x:m/>
    <x:x v="2"/>
  </x:r>
  <x:r>
    <x:x v="1"/>
    <x:s v="Counting"/>
    <x:n v="74"/>
    <x:s v="Move the green pencil sharpener from the bowl to the table."/>
    <x:s v="Bowl objects: [blue pen, green pencil sharpener] | Table objects: [yellow block, airplane toy without propellers]"/>
    <x:s v="REMOVE green pencil sharpener"/>
    <x:s v="picked the pen first, then tried to pick the green pencil sharpener, but timed out"/>
    <x:x v="2"/>
  </x:r>
  <x:r>
    <x:x v="1"/>
    <x:s v="Counting"/>
    <x:n v="75"/>
    <x:s v="Leave exactly one object in the bowl."/>
    <x:s v="Bowl objects: [blue pen, green pencil sharpener] | Table objects: [yellow block, airplane toy without propellers]"/>
    <x:s v="REMOVE any one bowl object; finish with 1 object in the bowl"/>
    <x:s v="didn't move"/>
    <x:x v="1"/>
  </x:r>
  <x:r>
    <x:x v="1"/>
    <x:s v="Counting"/>
    <x:n v="76"/>
    <x:s v="Leave exactly one object in the bowl."/>
    <x:s v="Bowl objects: [yellow block, airplane toy without propellers] | Table objects: [blue pen]"/>
    <x:s v="REMOVE any one bowl object; finish with 1 object in the bowl"/>
    <x:s v="didn't move"/>
    <x:x v="1"/>
  </x:r>
  <x:r>
    <x:x v="1"/>
    <x:s v="Counting"/>
    <x:n v="77"/>
    <x:s v="Leave exactly three objects in the bowl."/>
    <x:s v="Bowl objects: [yellow block, airplane toy without propellers] | Table objects: [blue pen]"/>
    <x:s v="ADD any one table object; finish with 3 objects in the bowl"/>
    <x:s v="didn't move"/>
    <x:x v="1"/>
  </x:r>
  <x:r>
    <x:x v="0"/>
    <x:s v="Counting"/>
    <x:n v="78"/>
    <x:s v="Make the bowl contain exactly zero objects."/>
    <x:s v="Bowl objects: [green highlighter] | Table objects: [green pencil sharpener]"/>
    <x:s v="REMOVE green highlighter; finish with 0 objects in the bowl"/>
    <x:m/>
    <x:x v="7"/>
  </x:r>
  <x:r>
    <x:x v="1"/>
    <x:s v="Counting"/>
    <x:n v="79"/>
    <x:s v="Make the bowl contain exactly two objects."/>
    <x:s v="Bowl objects: [green highlighter] | Table objects: [green pencil sharpener]"/>
    <x:s v="ADD green pencil sharpener; finish with 2 objects in the bowl"/>
    <x:s v="didn't move"/>
    <x:x v="7"/>
  </x:r>
  <x:r>
    <x:x v="1"/>
    <x:s v="Counting"/>
    <x:n v="80"/>
    <x:s v="Make the bowl contain exactly two objects."/>
    <x:s v="Bowl objects: [green pencil sharpener] | Table objects: [green highlighter]"/>
    <x:s v="ADD green highlighter; finish with 2 objects in the bowl"/>
    <x:s v="went to the highlighter and was pinching it hten went back home. Then proceded to go back and forth to the green highlighter 3 times"/>
    <x:x v="7"/>
  </x:r>
  <x:r>
    <x:x v="0"/>
    <x:s v="Counting"/>
    <x:n v="81"/>
    <x:s v="Make the bowl contain exactly zero objects."/>
    <x:s v="Bowl objects: [green pencil sharpener] | Table objects: [green highlighter]"/>
    <x:s v="REMOVE green pencil sharpener; finish with 0 objects in the bowl"/>
    <x:m/>
    <x:x v="7"/>
  </x:r>
  <x:r>
    <x:x v="1"/>
    <x:s v="Counting"/>
    <x:n v="82"/>
    <x:s v="Leave exactly one object in the bowl."/>
    <x:s v="Bowl objects: [yellow block, airplane toy without propellers] | Table objects: [blue pen]"/>
    <x:s v="REMOVE any one bowl object; finish with 1 object in the bowl"/>
    <x:s v="didn't move"/>
    <x:x v="1"/>
  </x:r>
  <x:r>
    <x:x v="1"/>
    <x:s v="Counting"/>
    <x:n v="83"/>
    <x:s v="Leave exactly three objects in the bowl."/>
    <x:s v="Bowl objects: [yellow block, airplane toy without propellers] | Table objects: [blue pen]"/>
    <x:s v="ADD any one table object; finish with 3 objects in the bowl"/>
    <x:s v="didn't move"/>
    <x:x v="1"/>
  </x:r>
  <x:r>
    <x:x v="1"/>
    <x:s v="Counting"/>
    <x:n v="84"/>
    <x:s v="Leave exactly one object in the bowl."/>
    <x:s v="Bowl objects: [blue pen, airplane toy without propellers] | Table objects: [yellow block, green pencil sharpener]"/>
    <x:s v="REMOVE any one bowl object; finish with 1 object in the bowl"/>
    <x:s v="didn't move"/>
    <x:x v="1"/>
  </x:r>
  <x:r>
    <x:x v="0"/>
    <x:s v="Counting"/>
    <x:n v="85"/>
    <x:s v="Move the blue pen from the bowl to the table."/>
    <x:s v="Bowl objects: [blue pen, airplane toy without propellers] | Table objects: [yellow block, green pencil sharpener]"/>
    <x:s v="REMOVE blue pen"/>
    <x:m/>
    <x:x v="2"/>
  </x:r>
  <x:r>
    <x:x v="1"/>
    <x:s v="Counting"/>
    <x:n v="86"/>
    <x:s v="Change the contents so the bowl ends up holding one item."/>
    <x:s v="Bowl objects: [blue pen, airplane toy without propellers] | Table objects: [yellow block, green pencil sharpener]"/>
    <x:s v="REMOVE any one bowl object; finish with 1 object in the bowl"/>
    <x:s v="didn't move"/>
    <x:x v="3"/>
  </x:r>
  <x:r>
    <x:x v="0"/>
    <x:s v="Counting"/>
    <x:n v="87"/>
    <x:s v="Lift the blue pen out of the bowl and set it on the table."/>
    <x:s v="Bowl objects: [blue pen, airplane toy without propellers] | Table objects: [yellow block, green pencil sharpener]"/>
    <x:s v="REMOVE blue pen"/>
    <x:m/>
    <x:x v="3"/>
  </x:r>
  <x:r>
    <x:x v="1"/>
    <x:s v="Counting"/>
    <x:n v="88"/>
    <x:s v="Move the yellow block into the bowl."/>
    <x:s v="Bowl objects: [blue pen, airplane toy without propellers] | Table objects: [yellow block, green pencil sharpener]"/>
    <x:s v="ADD yellow block"/>
    <x:s v="succeeded reasoning; got the block to the bowl, but didn't return home"/>
    <x:x v="2"/>
  </x:r>
  <x:r>
    <x:x v="1"/>
    <x:s v="Counting"/>
    <x:n v="89"/>
    <x:s v="Leave exactly three objects in the bowl."/>
    <x:s v="Bowl objects: [blue pen, airplane toy without propellers] | Table objects: [yellow block, green pencil sharpener]"/>
    <x:s v="ADD any one table object; finish with 3 objects in the bowl"/>
    <x:s v="didn't move"/>
    <x:x v="1"/>
  </x:r>
  <x:r>
    <x:x v="1"/>
    <x:s v="Counting"/>
    <x:n v="90"/>
    <x:s v="Lift the yellow block from the table and set it inside the bowl."/>
    <x:s v="Bowl objects: [blue pen, airplane toy without propellers] | Table objects: [yellow block, green pencil sharpener]"/>
    <x:s v="ADD yellow block"/>
    <x:s v="didn't move"/>
    <x:x v="3"/>
  </x:r>
  <x:r>
    <x:x v="1"/>
    <x:s v="Counting"/>
    <x:n v="91"/>
    <x:s v="Change the contents so the bowl ends up holding three items."/>
    <x:s v="Bowl objects: [blue pen, airplane toy without propellers] | Table objects: [yellow block, green pencil sharpener]"/>
    <x:s v="ADD any one table object; finish with 3 objects in the bowl"/>
    <x:s v="didn't move"/>
    <x:x v="3"/>
  </x:r>
  <x:r>
    <x:x v="1"/>
    <x:s v="Counting"/>
    <x:n v="92"/>
    <x:s v="Leave exactly one object in the bowl."/>
    <x:s v="Bowl objects: [blue pen, yellow block] | Table objects: [green pencil sharpener, airplane toy without propellers]"/>
    <x:s v="REMOVE any one bowl object; finish with 1 object in the bowl"/>
    <x:s v="didn't move"/>
    <x:x v="1"/>
  </x:r>
  <x:r>
    <x:x v="1"/>
    <x:s v="Counting"/>
    <x:n v="93"/>
    <x:s v="Leave exactly three objects in the bowl."/>
    <x:s v="Bowl objects: [blue pen, yellow block] | Table objects: [green pencil sharpener, airplane toy without propellers]"/>
    <x:s v="ADD any one table object; finish with 3 objects in the bowl"/>
    <x:s v="didn't move"/>
    <x:x v="1"/>
  </x:r>
  <x:r>
    <x:x v="1"/>
    <x:s v="Counting"/>
    <x:n v="94"/>
    <x:s v="Leave exactly three objects in the bowl."/>
    <x:s v="Bowl objects: [yellow block, green pencil sharpener] | Table objects: [blue pen, airplane toy without propellers]"/>
    <x:s v="ADD any one table object; finish with 3 objects in the bowl"/>
    <x:s v="didn't move"/>
    <x:x v="1"/>
  </x:r>
  <x:r>
    <x:x v="0"/>
    <x:s v="Counting"/>
    <x:n v="95"/>
    <x:s v="Move the blue pen into the bowl."/>
    <x:s v="Bowl objects: [yellow block, green pencil sharpener] | Table objects: [blue pen, airplane toy without propellers]"/>
    <x:s v="ADD blue pen"/>
    <x:m/>
    <x:x v="2"/>
  </x:r>
  <x:r>
    <x:x v="1"/>
    <x:s v="Counting"/>
    <x:n v="96"/>
    <x:s v="End with three items inside the bowl."/>
    <x:s v="Bowl objects: [yellow block, green pencil sharpener] | Table objects: [blue pen, airplane toy without propellers]"/>
    <x:s v="ADD any one table object; finish with 3 objects in the bowl"/>
    <x:s v="didn't move"/>
    <x:x v="3"/>
  </x:r>
  <x:r>
    <x:x v="0"/>
    <x:s v="Counting"/>
    <x:n v="97"/>
    <x:s v="Lift the blue pen from the table and set it inside the bowl."/>
    <x:s v="Bowl objects: [yellow block, green pencil sharpener] | Table objects: [blue pen, airplane toy without propellers]"/>
    <x:s v="ADD blue pen"/>
    <x:m/>
    <x:x v="3"/>
  </x:r>
  <x:r>
    <x:x v="1"/>
    <x:s v="Counting"/>
    <x:n v="98"/>
    <x:s v="Move the yellow block from the bowl to the table."/>
    <x:s v="Bowl objects: [yellow block, green pencil sharpener] | Table objects: [blue pen, airplane toy without propellers]"/>
    <x:s v="REMOVE yellow block"/>
    <x:s v="succeeded reasoning; tried to pick the yellow block but couldn't"/>
    <x:x v="2"/>
  </x:r>
  <x:r>
    <x:x v="1"/>
    <x:s v="Counting"/>
    <x:n v="99"/>
    <x:s v="Leave exactly one object in the bowl."/>
    <x:s v="Bowl objects: [yellow block, green pencil sharpener] | Table objects: [blue pen, airplane toy without propellers]"/>
    <x:s v="REMOVE any one bowl object; finish with 1 object in the bowl"/>
    <x:s v="didn't move"/>
    <x:x v="1"/>
  </x:r>
  <x:r>
    <x:x v="1"/>
    <x:s v="Counting"/>
    <x:n v="100"/>
    <x:s v="Lift the yellow block out of the bowl and set it on the table."/>
    <x:s v="Bowl objects: [yellow block, green pencil sharpener] | Table objects: [blue pen, airplane toy without propellers]"/>
    <x:s v="REMOVE yellow block"/>
    <x:s v="took out the green pencil sharpener"/>
    <x:x v="3"/>
  </x:r>
  <x:r>
    <x:x v="1"/>
    <x:s v="Counting"/>
    <x:n v="101"/>
    <x:s v="End with a single object in the bowl."/>
    <x:s v="Bowl objects: [yellow block, green pencil sharpener] | Table objects: [blue pen, airplane toy without propellers]"/>
    <x:s v="REMOVE any one bowl object; finish with 1 object in the bowl"/>
    <x:s v="didn't move"/>
    <x:x v="3"/>
  </x:r>
  <x:r>
    <x:x v="0"/>
    <x:s v="Counting"/>
    <x:n v="102"/>
    <x:s v="Leave no objects in the bowl."/>
    <x:s v="Bowl objects: [none] | Table objects: [green pencil sharpener]"/>
    <x:s v="NO-OP; preserve 0 objects in the bowl and do not initiate a grasp"/>
    <x:m/>
    <x:x v="6"/>
  </x:r>
  <x:r>
    <x:x v="0"/>
    <x:s v="Counting"/>
    <x:n v="103"/>
    <x:s v="Leave exactly one object in the bowl."/>
    <x:s v="Bowl objects: [green pencil sharpener] | Table objects: [airplane toy without propellers]"/>
    <x:s v="NO-OP; preserve 1 object in the bowl and do not initiate a grasp"/>
    <x:m/>
    <x:x v="6"/>
  </x:r>
  <x:r>
    <x:x v="0"/>
    <x:s v="Counting"/>
    <x:n v="104"/>
    <x:s v="Leave exactly two objects in the bowl."/>
    <x:s v="Bowl objects: [green pencil sharpener, airplane toy without propellers] | Table objects: [blue pen]"/>
    <x:s v="NO-OP; preserve 2 objects in the bowl and do not initiate a grasp"/>
    <x:m/>
    <x:x v="6"/>
  </x:r>
  <x:r>
    <x:x v="0"/>
    <x:s v="Counting"/>
    <x:n v="105"/>
    <x:s v="Leave exactly three objects in the bowl."/>
    <x:s v="Bowl objects: [green pencil sharpener, airplane toy without propellers, blue pen] | Table objects: [yellow block]"/>
    <x:s v="NO-OP; preserve 3 objects in the bowl and do not initiate a grasp"/>
    <x:m/>
    <x:x v="6"/>
  </x:r>
  <x:r>
    <x:x v="1"/>
    <x:s v="Counting"/>
    <x:n v="106"/>
    <x:s v="Leave exactly one object in the bowl."/>
    <x:s v="Bowl objects: [yellow block, airplane toy without propellers] | Table objects: [blue pen, green pencil sharpener]"/>
    <x:s v="REMOVE any one bowl object; finish with 1 object in the bowl"/>
    <x:s v="didn't move"/>
    <x:x v="1"/>
  </x:r>
  <x:r>
    <x:x v="0"/>
    <x:s v="Counting"/>
    <x:n v="107"/>
    <x:s v="Move the yellow block from the bowl to the table."/>
    <x:s v="Bowl objects: [yellow block, airplane toy without propellers] | Table objects: [blue pen, green pencil sharpener]"/>
    <x:s v="REMOVE yellow block"/>
    <x:m/>
    <x:x v="2"/>
  </x:r>
  <x:r>
    <x:x v="1"/>
    <x:s v="Counting"/>
    <x:n v="108"/>
    <x:s v="Adjust the contents until only one object remains in the bowl."/>
    <x:s v="Bowl objects: [yellow block, airplane toy without propellers] | Table objects: [blue pen, green pencil sharpener]"/>
    <x:s v="REMOVE any one bowl object; finish with 1 object in the bowl"/>
    <x:s v="didn't move"/>
    <x:x v="3"/>
  </x:r>
  <x:r>
    <x:x v="1"/>
    <x:s v="Counting"/>
    <x:n v="109"/>
    <x:s v="Lift the yellow block out of the bowl and set it on the table."/>
    <x:s v="Bowl objects: [yellow block, airplane toy without propellers] | Table objects: [blue pen, green pencil sharpener]"/>
    <x:s v="REMOVE yellow block"/>
    <x:s v="didn't move"/>
    <x:x v="3"/>
  </x:r>
  <x:r>
    <x:x v="0"/>
    <x:s v="Counting"/>
    <x:n v="110"/>
    <x:s v="Move the blue pen into the bowl."/>
    <x:s v="Bowl objects: [yellow block, airplane toy without propellers] | Table objects: [blue pen, green pencil sharpener]"/>
    <x:s v="ADD blue pen"/>
    <x:m/>
    <x:x v="2"/>
  </x:r>
  <x:r>
    <x:x v="1"/>
    <x:s v="Counting"/>
    <x:n v="111"/>
    <x:s v="Leave exactly three objects in the bowl."/>
    <x:s v="Bowl objects: [yellow block, airplane toy without propellers] | Table objects: [blue pen, green pencil sharpener]"/>
    <x:s v="ADD any one table object; finish with 3 objects in the bowl"/>
    <x:s v="didn't move"/>
    <x:x v="1"/>
  </x:r>
  <x:r>
    <x:x v="0"/>
    <x:s v="Counting"/>
    <x:n v="112"/>
    <x:s v="Lift the blue pen from the table and set it inside the bowl."/>
    <x:s v="Bowl objects: [yellow block, airplane toy without propellers] | Table objects: [blue pen, green pencil sharpener]"/>
    <x:s v="ADD blue pen"/>
    <x:m/>
    <x:x v="3"/>
  </x:r>
  <x:r>
    <x:x v="1"/>
    <x:s v="Counting"/>
    <x:n v="113"/>
    <x:s v="Adjust the contents until three objects remain in the bowl."/>
    <x:s v="Bowl objects: [yellow block, airplane toy without propellers] | Table objects: [blue pen, green pencil sharpener]"/>
    <x:s v="ADD any one table object; finish with 3 objects in the bowl"/>
    <x:s v="didn't move"/>
    <x:x v="3"/>
  </x:r>
  <x:r>
    <x:x v="1"/>
    <x:s v="Counting"/>
    <x:n v="114"/>
    <x:s v="Leave exactly three objects in the bowl."/>
    <x:s v="Bowl objects: [yellow block, green pencil sharpener] | Table objects: [airplane toy without propellers]"/>
    <x:s v="ADD any one table object; finish with 3 objects in the bowl"/>
    <x:s v="didn't move"/>
    <x:x v="1"/>
  </x:r>
  <x:r>
    <x:x v="1"/>
    <x:s v="Counting"/>
    <x:n v="115"/>
    <x:s v="Leave exactly one object in the bowl."/>
    <x:s v="Bowl objects: [yellow block, green pencil sharpener] | Table objects: [airplane toy without propellers]"/>
    <x:s v="REMOVE any one bowl object; finish with 1 object in the bowl"/>
    <x:s v="didn't move"/>
    <x:x v="1"/>
  </x:r>
  <x:r>
    <x:x v="1"/>
    <x:s v="Counting"/>
    <x:n v="116"/>
    <x:s v="Leave exactly one object in the bowl."/>
    <x:s v="Bowl objects: [blue pen, airplane toy without propellers] | Table objects: [yellow block]"/>
    <x:s v="REMOVE any one bowl object; finish with 1 object in the bowl"/>
    <x:s v="didn't move"/>
    <x:x v="1"/>
  </x:r>
  <x:r>
    <x:x v="1"/>
    <x:s v="Counting"/>
    <x:n v="117"/>
    <x:s v="Leave exactly three objects in the bowl."/>
    <x:s v="Bowl objects: [blue pen, airplane toy without propellers] | Table objects: [yellow block]"/>
    <x:s v="ADD any one table object; finish with 3 objects in the bowl"/>
    <x:s v="didn't move"/>
    <x:x v="1"/>
  </x:r>
  <x:r>
    <x:x v="0"/>
    <x:s v="Counting"/>
    <x:n v="118"/>
    <x:s v="Make the bowl contain exactly zero objects."/>
    <x:s v="Bowl objects: [yellow block] | Table objects: [green highlighter]"/>
    <x:s v="REMOVE yellow block; finish with 0 objects in the bowl"/>
    <x:m/>
    <x:x v="7"/>
  </x:r>
  <x:r>
    <x:x v="1"/>
    <x:s v="Counting"/>
    <x:n v="119"/>
    <x:s v="Make the bowl contain exactly two objects."/>
    <x:s v="Bowl objects: [yellow block] | Table objects: [green highlighter]"/>
    <x:s v="ADD green highlighter; finish with 2 objects in the bowl"/>
    <x:s v="didn't move"/>
    <x:x v="7"/>
  </x:r>
  <x:r>
    <x:x v="1"/>
    <x:s v="Counting"/>
    <x:n v="120"/>
    <x:s v="Make the bowl contain exactly two objects."/>
    <x:s v="Bowl objects: [green highlighter] | Table objects: [yellow block]"/>
    <x:s v="ADD yellow block; finish with 2 objects in the bowl"/>
    <x:s v="didn't move"/>
    <x:x v="7"/>
  </x:r>
  <x:r>
    <x:x v="0"/>
    <x:s v="Counting"/>
    <x:n v="121"/>
    <x:s v="Make the bowl contain exactly zero objects."/>
    <x:s v="Bowl objects: [green highlighter] | Table objects: [yellow block]"/>
    <x:s v="REMOVE green highlighter; finish with 0 objects in the bowl"/>
    <x:m/>
    <x:x v="7"/>
  </x:r>
  <x:r>
    <x:x v="1"/>
    <x:s v="Counting"/>
    <x:n v="122"/>
    <x:s v="Leave exactly three objects in the bowl."/>
    <x:s v="Bowl objects: [yellow block, green pencil sharpener] | Table objects: [airplane toy without propellers]"/>
    <x:s v="ADD any one table object; finish with 3 objects in the bowl"/>
    <x:s v="didn't move"/>
    <x:x v="1"/>
  </x:r>
  <x:r>
    <x:x v="1"/>
    <x:s v="Counting"/>
    <x:n v="123"/>
    <x:s v="Leave exactly one object in the bowl."/>
    <x:s v="Bowl objects: [yellow block, green pencil sharpener] | Table objects: [airplane toy without propellers]"/>
    <x:s v="REMOVE any one bowl object; finish with 1 object in the bowl"/>
    <x:s v="didn't move"/>
    <x:x v="1"/>
  </x:r>
  <x:r>
    <x:x v="0"/>
    <x:s v="Counting"/>
    <x:n v="124"/>
    <x:s v="Make the bowl contain exactly zero objects."/>
    <x:s v="Bowl objects: [airplane toy without propellers] | Table objects: [green highlighter]"/>
    <x:s v="REMOVE airplane toy without propellers; finish with 0 objects in the bowl"/>
    <x:m/>
    <x:x v="7"/>
  </x:r>
  <x:r>
    <x:x v="1"/>
    <x:s v="Counting"/>
    <x:n v="125"/>
    <x:s v="Make the bowl contain exactly two objects."/>
    <x:s v="Bowl objects: [airplane toy without propellers] | Table objects: [green highlighter]"/>
    <x:s v="ADD green highlighter; finish with 2 objects in the bowl"/>
    <x:s v="put the green highlighter in and then took out the airplane toy"/>
    <x:x v="7"/>
  </x:r>
  <x:r>
    <x:x v="1"/>
    <x:s v="Counting"/>
    <x:n v="126"/>
    <x:s v="Make the bowl contain exactly two objects."/>
    <x:s v="Bowl objects: [green highlighter] | Table objects: [airplane toy without propellers]"/>
    <x:s v="ADD airplane toy without propellers; finish with 2 objects in the bowl"/>
    <x:s v="put the green highlighter in the bowl and then took it out. the robot then drifted to the right edge of workspace"/>
    <x:x v="7"/>
  </x:r>
  <x:r>
    <x:x v="0"/>
    <x:s v="Counting"/>
    <x:n v="127"/>
    <x:s v="Make the bowl contain exactly zero objects."/>
    <x:s v="Bowl objects: [green highlighter] | Table objects: [airplane toy without propellers]"/>
    <x:s v="REMOVE green highlighter; finish with 0 objects in the bowl"/>
    <x:m/>
    <x:x v="7"/>
  </x:r>
  <x:r>
    <x:x v="0"/>
    <x:s v="Counting"/>
    <x:n v="128"/>
    <x:s v="Leave no objects in the bowl."/>
    <x:s v="Bowl objects: [none] | Table objects: [yellow block]"/>
    <x:s v="NO-OP; preserve 0 objects in the bowl and do not initiate a grasp"/>
    <x:m/>
    <x:x v="6"/>
  </x:r>
  <x:r>
    <x:x v="0"/>
    <x:s v="Counting"/>
    <x:n v="129"/>
    <x:s v="Leave exactly one object in the bowl."/>
    <x:s v="Bowl objects: [yellow block] | Table objects: [blue pen]"/>
    <x:s v="NO-OP; preserve 1 object in the bowl and do not initiate a grasp"/>
    <x:m/>
    <x:x v="6"/>
  </x:r>
  <x:r>
    <x:x v="0"/>
    <x:s v="Counting"/>
    <x:n v="130"/>
    <x:s v="Leave exactly two objects in the bowl."/>
    <x:s v="Bowl objects: [yellow block, blue pen] | Table objects: [airplane toy without propellers]"/>
    <x:s v="NO-OP; preserve 2 objects in the bowl and do not initiate a grasp"/>
    <x:m/>
    <x:x v="6"/>
  </x:r>
  <x:r>
    <x:x v="0"/>
    <x:s v="Counting"/>
    <x:n v="131"/>
    <x:s v="Leave exactly three objects in the bowl."/>
    <x:s v="Bowl objects: [yellow block, blue pen, airplane toy without propellers] | Table objects: [green pencil sharpener]"/>
    <x:s v="NO-OP; preserve 3 objects in the bowl and do not initiate a grasp"/>
    <x:m/>
    <x:x v="6"/>
  </x:r>
  <x:r>
    <x:x v="1"/>
    <x:s v="Counting"/>
    <x:n v="132"/>
    <x:s v="Leave exactly three objects in the bowl."/>
    <x:s v="Bowl objects: [blue pen, green pencil sharpener] | Table objects: [airplane toy without propellers]"/>
    <x:s v="ADD any one table object; finish with 3 objects in the bowl"/>
    <x:s v="didn't move"/>
    <x:x v="1"/>
  </x:r>
  <x:r>
    <x:x v="0"/>
    <x:s v="Counting"/>
    <x:n v="133"/>
    <x:s v="Move the airplane toy without propellers into the bowl."/>
    <x:s v="Bowl objects: [blue pen, green pencil sharpener] | Table objects: [airplane toy without propellers]"/>
    <x:s v="ADD airplane toy without propellers"/>
    <x:m/>
    <x:x v="2"/>
  </x:r>
  <x:r>
    <x:x v="1"/>
    <x:s v="Counting"/>
    <x:n v="134"/>
    <x:s v="Set the bowl's final object count to three."/>
    <x:s v="Bowl objects: [blue pen, green pencil sharpener] | Table objects: [airplane toy without propellers]"/>
    <x:s v="ADD any one table object; finish with 3 objects in the bowl"/>
    <x:s v="didn't move"/>
    <x:x v="3"/>
  </x:r>
  <x:r>
    <x:x v="1"/>
    <x:s v="Counting"/>
    <x:n v="135"/>
    <x:s v="Lift the airplane toy without propellers from the table and set it inside the bowl."/>
    <x:s v="Bowl objects: [blue pen, green pencil sharpener] | Table objects: [airplane toy without propellers]"/>
    <x:s v="ADD airplane toy without propellers"/>
    <x:s v="knocked the airplane out of range and then the arm drifted to the right edge of the workspace"/>
    <x:x v="3"/>
  </x:r>
  <x:r>
    <x:x v="1"/>
    <x:s v="Counting"/>
    <x:n v="136"/>
    <x:s v="Move the blue pen from the bowl to the table."/>
    <x:s v="Bowl objects: [blue pen, green pencil sharpener] | Table objects: [airplane toy without propellers]"/>
    <x:s v="REMOVE blue pen"/>
    <x:s v="went to the bowl, but couldn't grab the blue pen"/>
    <x:x v="2"/>
  </x:r>
  <x:r>
    <x:x v="1"/>
    <x:s v="Counting"/>
    <x:n v="137"/>
    <x:s v="Leave exactly one object in the bowl."/>
    <x:s v="Bowl objects: [blue pen, green pencil sharpener] | Table objects: [airplane toy without propellers]"/>
    <x:s v="REMOVE any one bowl object; finish with 1 object in the bowl"/>
    <x:s v="didn't move"/>
    <x:x v="1"/>
  </x:r>
  <x:r>
    <x:x v="1"/>
    <x:s v="Counting"/>
    <x:n v="138"/>
    <x:s v="Lift the blue pen out of the bowl and set it on the table."/>
    <x:s v="Bowl objects: [blue pen, green pencil sharpener] | Table objects: [airplane toy without propellers]"/>
    <x:s v="REMOVE blue pen"/>
    <x:s v="took pencil sharpener out"/>
    <x:x v="3"/>
  </x:r>
  <x:r>
    <x:x v="1"/>
    <x:s v="Counting"/>
    <x:n v="139"/>
    <x:s v="Set the bowl's final object count to one."/>
    <x:s v="Bowl objects: [blue pen, green pencil sharpener] | Table objects: [airplane toy without propellers]"/>
    <x:s v="REMOVE any one bowl object; finish with 1 object in the bowl"/>
    <x:s v="didn't move"/>
    <x:x v="3"/>
  </x:r>
  <x:r>
    <x:x v="1"/>
    <x:s v="Counting"/>
    <x:n v="140"/>
    <x:s v="Leave exactly three objects in the bowl."/>
    <x:s v="Bowl objects: [green pencil sharpener, airplane toy without propellers] | Table objects: [yellow block]"/>
    <x:s v="ADD any one table object; finish with 3 objects in the bowl"/>
    <x:s v="didn't move"/>
    <x:x v="1"/>
  </x:r>
  <x:r>
    <x:x v="1"/>
    <x:s v="Counting"/>
    <x:n v="141"/>
    <x:s v="Leave exactly one object in the bowl."/>
    <x:s v="Bowl objects: [green pencil sharpener, airplane toy without propellers] | Table objects: [yellow block]"/>
    <x:s v="REMOVE any one bowl object; finish with 1 object in the bowl"/>
    <x:s v="didn't move"/>
    <x:x v="1"/>
  </x:r>
  <x:r>
    <x:x v="1"/>
    <x:s v="Counting"/>
    <x:n v="142"/>
    <x:s v="Leave exactly three objects in the bowl."/>
    <x:s v="Bowl objects: [yellow block, airplane toy without propellers, blue pen] | Table objects: [none]"/>
    <x:s v="NO-OP; preserve 3 objects in the bowl and do not initiate a grasp"/>
    <x:s v="took the blue pen out"/>
    <x:x v="6"/>
  </x:r>
  <x:r>
    <x:x v="0"/>
    <x:s v="Counting"/>
    <x:n v="143"/>
    <x:s v="Leave exactly two objects in the bowl."/>
    <x:s v="Bowl objects: [yellow block, airplane toy without propellers] | Table objects: [none]"/>
    <x:s v="NO-OP; preserve 2 objects in the bowl and do not initiate a grasp"/>
    <x:m/>
    <x:x v="6"/>
  </x:r>
  <x:r>
    <x:x v="0"/>
    <x:s v="Counting"/>
    <x:n v="144"/>
    <x:s v="Leave exactly one object in the bowl."/>
    <x:s v="Bowl objects: [yellow block] | Table objects: [none]"/>
    <x:s v="NO-OP; preserve 1 object in the bowl and do not initiate a grasp"/>
    <x:m/>
    <x:x v="6"/>
  </x:r>
  <x:r>
    <x:x v="0"/>
    <x:s v="Counting"/>
    <x:n v="145"/>
    <x:s v="Leave no objects in the bowl."/>
    <x:s v="Bowl objects: [none] | Table objects: [yellow block]"/>
    <x:s v="NO-OP; preserve 0 objects in the bowl and do not initiate a grasp"/>
    <x:m/>
    <x:x v="6"/>
  </x:r>
  <x:r>
    <x:x v="1"/>
    <x:s v="Counting"/>
    <x:n v="146"/>
    <x:s v="Leave exactly three objects in the bowl."/>
    <x:s v="Bowl objects: [green pencil sharpener, airplane toy without propellers] | Table objects: [blue pen, yellow block]"/>
    <x:s v="ADD any one table object; finish with 3 objects in the bowl"/>
    <x:s v="didn't move"/>
    <x:x v="1"/>
  </x:r>
  <x:r>
    <x:x v="1"/>
    <x:s v="Counting"/>
    <x:n v="147"/>
    <x:s v="Leave exactly one object in the bowl."/>
    <x:s v="Bowl objects: [green pencil sharpener, airplane toy without propellers] | Table objects: [blue pen, yellow block]"/>
    <x:s v="REMOVE any one bowl object; finish with 1 object in the bowl"/>
    <x:m/>
    <x:x v="1"/>
  </x:r>
  <x:r>
    <x:x v="1"/>
    <x:s v="Counting"/>
    <x:n v="148"/>
    <x:s v="Leave exactly one object in the bowl."/>
    <x:s v="Bowl objects: [yellow block, airplane toy without propellers] | Table objects: [blue pen, green pencil sharpener]"/>
    <x:s v="REMOVE any one bowl object; finish with 1 object in the bowl"/>
    <x:s v="didn't move"/>
    <x:x v="1"/>
  </x:r>
  <x:r>
    <x:x v="1"/>
    <x:s v="Counting"/>
    <x:n v="149"/>
    <x:s v="Leave exactly three objects in the bowl."/>
    <x:s v="Bowl objects: [yellow block, airplane toy without propellers] | Table objects: [blue pen, green pencil sharpener]"/>
    <x:s v="ADD any one table object; finish with 3 objects in the bowl"/>
    <x:m/>
    <x:x v="1"/>
  </x:r>
  <x:r>
    <x:x v="1"/>
    <x:s v="Ordinal Reference Ordering"/>
    <x:n v="0"/>
    <x:s v="Put the second object from the right in the bowl."/>
    <x:s v="L1: blue tape ball, L2: airplane toy with propellers"/>
    <x:s v="blue tape ball"/>
    <x:s v="picked the airplane toy"/>
    <x:x v="0"/>
  </x:r>
  <x:r>
    <x:x v="0"/>
    <x:s v="Ordinal Reference Ordering"/>
    <x:n v="1"/>
    <x:s v="Put the second object from the left in the bowl."/>
    <x:s v="L1: blue tape ball, L2: airplane toy with propellers"/>
    <x:s v="airplane toy with propellers"/>
    <x:m/>
    <x:x v="0"/>
  </x:r>
  <x:r>
    <x:x v="0"/>
    <x:s v="Ordinal Reference Ordering"/>
    <x:n v="2"/>
    <x:s v="Move the second item counted from the left into the bowl."/>
    <x:s v="L1: airplane toy with propellers, L2: green highlighter"/>
    <x:s v="green highlighter"/>
    <x:m/>
    <x:x v="0"/>
  </x:r>
  <x:r>
    <x:x v="0"/>
    <x:s v="Ordinal Reference Ordering"/>
    <x:n v="3"/>
    <x:s v="Move the second item counted from the right into the bowl."/>
    <x:s v="L1: yellow pen, L2: airplane toy with propellers"/>
    <x:s v="yellow pen"/>
    <x:s v="failed reasoning; tried to grasp the airplane toy and failed, then in recovery, got the yellow pen"/>
    <x:x v="0"/>
  </x:r>
  <x:r>
    <x:x v="1"/>
    <x:s v="Ordinal Reference Ordering"/>
    <x:n v="4"/>
    <x:s v="Put the third object from the right in the bowl."/>
    <x:s v="L1: airplane toy with propellers, L2: yellow pen, L3: blue tape ball"/>
    <x:s v="airplane toy with propellers"/>
    <x:s v="picked yellow pen"/>
    <x:x v="0"/>
  </x:r>
  <x:r>
    <x:x v="0"/>
    <x:s v="Ordinal Reference Ordering"/>
    <x:n v="5"/>
    <x:s v="Put the object that is first from the right in the bowl."/>
    <x:s v="L1: airplane toy with propellers, L2: green highlighter, L3: blue tape ball"/>
    <x:s v="blue tape ball"/>
    <x:m/>
    <x:x v="0"/>
  </x:r>
  <x:r>
    <x:x v="1"/>
    <x:s v="Ordinal Reference Ordering"/>
    <x:n v="6"/>
    <x:s v="Put the object that is third from the left in the bowl."/>
    <x:s v="L1: green highlighter, L2: blue tape ball, L3: yellow pen"/>
    <x:s v="yellow pen"/>
    <x:s v="picked tape ball"/>
    <x:x v="0"/>
  </x:r>
  <x:r>
    <x:x v="0"/>
    <x:s v="Ordinal Reference Ordering"/>
    <x:n v="7"/>
    <x:s v="Put the first object from the left in the bowl."/>
    <x:s v="L1: green highlighter, L2: airplane toy with propellers, L3: blue tape ball"/>
    <x:s v="green highlighter"/>
    <x:s v="succeeded reasoning; picked the green highlighter badly at first and dropped it and then recovered"/>
    <x:x v="0"/>
  </x:r>
  <x:r>
    <x:x v="1"/>
    <x:s v="Ordinal Reference Ordering"/>
    <x:n v="8"/>
    <x:s v="Put the fourth object from the right in the bowl."/>
    <x:s v="L1: blue tape ball, L2: green highlighter, L3: airplane toy with propellers, L4: yellow pen"/>
    <x:s v="blue tape ball"/>
    <x:s v="went for airplane toy but couldn't get it; knocked it out of range"/>
    <x:x v="0"/>
  </x:r>
  <x:r>
    <x:x v="1"/>
    <x:s v="Ordinal Reference Ordering"/>
    <x:n v="9"/>
    <x:s v="Put the second object from the left in the bowl."/>
    <x:s v="L1: blue tape ball, L2: airplane toy with propellers, L3: yellow pen, L4: green highlighter"/>
    <x:s v="airplane toy with propellers"/>
    <x:s v="picked the yellow pen"/>
    <x:x v="0"/>
  </x:r>
  <x:r>
    <x:x v="1"/>
    <x:s v="Ordinal Reference Ordering"/>
    <x:n v="10"/>
    <x:s v="Pick up the object that is second from the left and place it in the bowl."/>
    <x:s v="L1: blue tape ball, L2: yellow pen, L3: green highlighter, L4: airplane toy with propellers"/>
    <x:s v="yellow pen"/>
    <x:s v="succeeded reasoning but picked the yellow pen from the edge and dropped it; couldn't recover"/>
    <x:x v="0"/>
  </x:r>
  <x:r>
    <x:x v="1"/>
    <x:s v="Ordinal Reference Ordering"/>
    <x:n v="11"/>
    <x:s v="Pick up the object that is fourth from the right and place it in the bowl."/>
    <x:s v="L1: green highlighter, L2: airplane toy with propellers, L3: yellow pen, L4: blue tape ball"/>
    <x:s v="green highlighter"/>
    <x:s v="picked airplane toy"/>
    <x:x v="0"/>
  </x:r>
  <x:r>
    <x:x v="1"/>
    <x:s v="Ordinal Reference Ordering"/>
    <x:n v="12"/>
    <x:s v="Move the first item counted from the left into the bowl."/>
    <x:s v="L1: yellow pen, L2: airplane toy with propellers, L3: blue tape ball, L4: green highlighter"/>
    <x:s v="yellow pen"/>
    <x:s v="picked airplane toy"/>
    <x:x v="0"/>
  </x:r>
  <x:r>
    <x:x v="1"/>
    <x:s v="Ordinal Reference Ordering"/>
    <x:n v="13"/>
    <x:s v="Move the third item counted from the right into the bowl."/>
    <x:s v="L1: blue tape ball, L2: green highlighter, L3: yellow pen, L4: airplane toy with propellers"/>
    <x:s v="green highlighter"/>
    <x:s v="went for the yellow pen but didn't grab it"/>
    <x:x v="0"/>
  </x:r>
  <x:r>
    <x:x v="0"/>
    <x:s v="Ordinal Reference Ordering"/>
    <x:n v="14"/>
    <x:s v="Move the fourth from the left object into the bowl."/>
    <x:s v="L1: airplane toy with propellers, L2: blue tape ball, L3: yellow pen, L4: green highlighter"/>
    <x:s v="green highlighter"/>
    <x:m/>
    <x:x v="0"/>
  </x:r>
  <x:r>
    <x:x v="1"/>
    <x:s v="Ordinal Reference Ordering"/>
    <x:n v="15"/>
    <x:s v="Move the second from the right object into the bowl."/>
    <x:s v="L1: green highlighter, L2: blue tape ball, L3: airplane toy with propellers, L4: yellow pen"/>
    <x:s v="airplane toy with propellers"/>
    <x:s v="picked the yellow pen"/>
    <x:x v="0"/>
  </x:r>
  <x:r>
    <x:x v="1"/>
    <x:s v="Ordinal Reference Ordering"/>
    <x:n v="16"/>
    <x:s v="Move the third from the left object into the bowl."/>
    <x:s v="L1: green highlighter, L2: blue tape ball, L3: yellow pen, L4: airplane toy with propellers"/>
    <x:s v="yellow pen"/>
    <x:s v="picked airplane toy; hesitated for a long time before taking it to the bowl"/>
    <x:x v="0"/>
  </x:r>
  <x:r>
    <x:x v="0"/>
    <x:s v="Ordinal Reference Ordering"/>
    <x:n v="17"/>
    <x:s v="Move the first from the right object into the bowl."/>
    <x:s v="L1: airplane toy with propellers, L2: green highlighter, L3: yellow pen, L4: blue tape ball"/>
    <x:s v="blue tape ball"/>
    <x:m/>
    <x:x v="0"/>
  </x:r>
  <x:r>
    <x:x v="0"/>
    <x:s v="Ordinal Reference Ordering"/>
    <x:n v="18"/>
    <x:s v="Pick up the object that is first from the right and place it in the bowl."/>
    <x:s v="L1: green highlighter, L2: airplane toy with propellers, L3: yellow pen, L4: blue tape ball"/>
    <x:s v="blue tape ball"/>
    <x:m/>
    <x:x v="0"/>
  </x:r>
  <x:r>
    <x:x v="0"/>
    <x:s v="Ordinal Reference Ordering"/>
    <x:n v="19"/>
    <x:s v="Pick up the object that is third from the left and place it in the bowl."/>
    <x:s v="L1: blue tape ball, L2: yellow pen, L3: airplane toy with propellers, L4: green highlighter"/>
    <x:s v="airplane toy with propellers"/>
    <x:m/>
    <x:x v="0"/>
  </x:r>
  <x:r>
    <x:x v="1"/>
    <x:s v="Ordinal Reference Ordering"/>
    <x:n v="20"/>
    <x:s v="Pick up the object that is first from the left and place it in the bowl."/>
    <x:s v="L1: airplane toy with propellers, L2: blue tape ball"/>
    <x:s v="airplane toy with propellers"/>
    <x:s v="picked tape ball"/>
    <x:x v="1"/>
  </x:r>
  <x:r>
    <x:x v="0"/>
    <x:s v="Ordinal Reference Ordering"/>
    <x:n v="21"/>
    <x:s v="Pick up the airplane toy with propellers and place it in the bowl."/>
    <x:s v="L1: airplane toy with propellers, L2: blue tape ball"/>
    <x:s v="airplane toy with propellers"/>
    <x:m/>
    <x:x v="2"/>
  </x:r>
  <x:r>
    <x:x v="1"/>
    <x:s v="Ordinal Reference Ordering"/>
    <x:n v="22"/>
    <x:s v="Place the item occupying position first when counted from the left into the bowl."/>
    <x:s v="L1: airplane toy with propellers, L2: blue tape ball"/>
    <x:s v="airplane toy with propellers"/>
    <x:s v="picked tape ball"/>
    <x:x v="3"/>
  </x:r>
  <x:r>
    <x:x v="0"/>
    <x:s v="Ordinal Reference Ordering"/>
    <x:n v="23"/>
    <x:s v="Take the airplane toy with propellers from the row and set it inside the bowl."/>
    <x:s v="L1: airplane toy with propellers, L2: blue tape ball"/>
    <x:s v="airplane toy with propellers"/>
    <x:m/>
    <x:x v="3"/>
  </x:r>
  <x:r>
    <x:x v="0"/>
    <x:s v="Ordinal Reference Ordering"/>
    <x:n v="24"/>
    <x:s v="Lift the blue tape ball and leave it in the bowl."/>
    <x:s v="L1: airplane toy with propellers, L2: blue tape ball"/>
    <x:s v="blue tape ball"/>
    <x:m/>
    <x:x v="3"/>
  </x:r>
  <x:r>
    <x:x v="0"/>
    <x:s v="Ordinal Reference Ordering"/>
    <x:n v="25"/>
    <x:s v="Starting at the left, count to the second item and put that item in the bowl."/>
    <x:s v="L1: airplane toy with propellers, L2: blue tape ball"/>
    <x:s v="blue tape ball"/>
    <x:m/>
    <x:x v="3"/>
  </x:r>
  <x:r>
    <x:x v="0"/>
    <x:s v="Ordinal Reference Ordering"/>
    <x:n v="26"/>
    <x:s v="Move the blue tape ball into the bowl."/>
    <x:s v="L1: airplane toy with propellers, L2: blue tape ball"/>
    <x:s v="blue tape ball"/>
    <x:m/>
    <x:x v="2"/>
  </x:r>
  <x:r>
    <x:x v="0"/>
    <x:s v="Ordinal Reference Ordering"/>
    <x:n v="27"/>
    <x:s v="Pick up the object that is second from the left and place it in the bowl."/>
    <x:s v="L1: airplane toy with propellers, L2: blue tape ball"/>
    <x:s v="blue tape ball"/>
    <x:m/>
    <x:x v="1"/>
  </x:r>
  <x:r>
    <x:x v="1"/>
    <x:s v="Ordinal Reference Ordering"/>
    <x:n v="28"/>
    <x:s v="Pick up the object that is third from the left and place it in the bowl."/>
    <x:s v="L1: blue tape ball, L2: green highlighter, L3: airplane toy with propellers"/>
    <x:s v="airplane toy with propellers"/>
    <x:s v="picked green highlighter"/>
    <x:x v="1"/>
  </x:r>
  <x:r>
    <x:x v="0"/>
    <x:s v="Ordinal Reference Ordering"/>
    <x:n v="29"/>
    <x:s v="Put the airplane toy with propellers in the bowl."/>
    <x:s v="L1: blue tape ball, L2: green highlighter, L3: airplane toy with propellers"/>
    <x:s v="airplane toy with propellers"/>
    <x:m/>
    <x:x v="2"/>
  </x:r>
  <x:r>
    <x:x v="1"/>
    <x:s v="Ordinal Reference Ordering"/>
    <x:n v="30"/>
    <x:s v="Move whichever item comes third when you count from the left into the bowl."/>
    <x:s v="L1: blue tape ball, L2: green highlighter, L3: airplane toy with propellers"/>
    <x:s v="airplane toy with propellers"/>
    <x:s v="picked green highlighter"/>
    <x:x v="3"/>
  </x:r>
  <x:r>
    <x:x v="1"/>
    <x:s v="Ordinal Reference Ordering"/>
    <x:n v="31"/>
    <x:s v="Transfer the airplane toy with propellers from its marked position into the bowl."/>
    <x:s v="L1: blue tape ball, L2: green highlighter, L3: airplane toy with propellers"/>
    <x:s v="airplane toy with propellers"/>
    <x:s v="succeeded reasoning and was trying to grab airplane toy, and couldn't during recovery, picked the green highlighter"/>
    <x:x v="3"/>
  </x:r>
  <x:r>
    <x:x v="0"/>
    <x:s v="Ordinal Reference Ordering"/>
    <x:n v="32"/>
    <x:s v="Lift the blue tape ball and leave it in the bowl."/>
    <x:s v="L1: blue tape ball, L2: green highlighter, L3: airplane toy with propellers"/>
    <x:s v="blue tape ball"/>
    <x:m/>
    <x:x v="3"/>
  </x:r>
  <x:r>
    <x:x v="1"/>
    <x:s v="Ordinal Reference Ordering"/>
    <x:n v="33"/>
    <x:s v="Starting at the left, count to the first item and put that item in the bowl."/>
    <x:s v="L1: blue tape ball, L2: green highlighter, L3: airplane toy with propellers"/>
    <x:s v="blue tape ball"/>
    <x:s v="tried picking the airplane toy, couldn't then grabbed the green highlighter"/>
    <x:x v="3"/>
  </x:r>
  <x:r>
    <x:x v="1"/>
    <x:s v="Ordinal Reference Ordering"/>
    <x:n v="34"/>
    <x:s v="Put the blue tape ball in the bowl."/>
    <x:s v="L1: blue tape ball, L2: green highlighter, L3: airplane toy with propellers"/>
    <x:s v="blue tape ball"/>
    <x:s v="succeeded reasoning; went for the blue tape ball, but knocked it out of range and couldn't recover"/>
    <x:x v="2"/>
  </x:r>
  <x:r>
    <x:x v="0"/>
    <x:s v="Ordinal Reference Ordering"/>
    <x:n v="35"/>
    <x:s v="Pick up the object that is first from the left and place it in the bowl."/>
    <x:s v="L1: blue tape ball, L2: green highlighter, L3: airplane toy with propellers"/>
    <x:s v="blue tape ball"/>
    <x:m/>
    <x:x v="1"/>
  </x:r>
  <x:r>
    <x:x v="1"/>
    <x:s v="Ordinal Reference Ordering"/>
    <x:n v="36"/>
    <x:s v="Pick up the object that is second from the right and place it in the bowl."/>
    <x:s v="L1: green highlighter, L2: yellow pen"/>
    <x:s v="green highlighter"/>
    <x:s v="picked the yellow pen"/>
    <x:x v="1"/>
  </x:r>
  <x:r>
    <x:x v="0"/>
    <x:s v="Ordinal Reference Ordering"/>
    <x:n v="37"/>
    <x:s v="Pick up the green highlighter and place it in the bowl."/>
    <x:s v="L1: green highlighter, L2: yellow pen"/>
    <x:s v="green highlighter"/>
    <x:m/>
    <x:x v="2"/>
  </x:r>
  <x:r>
    <x:x v="1"/>
    <x:s v="Ordinal Reference Ordering"/>
    <x:n v="38"/>
    <x:s v="Move whichever item comes second when you count from the right into the bowl."/>
    <x:s v="L1: green highlighter, L2: yellow pen"/>
    <x:s v="green highlighter"/>
    <x:s v="got gripper on the green highlighter, but couldn't pick it up"/>
    <x:x v="3"/>
  </x:r>
  <x:r>
    <x:x v="0"/>
    <x:s v="Ordinal Reference Ordering"/>
    <x:n v="39"/>
    <x:s v="Transfer the green highlighter from its marked position into the bowl."/>
    <x:s v="L1: green highlighter, L2: yellow pen"/>
    <x:s v="green highlighter"/>
    <x:m/>
    <x:x v="3"/>
  </x:r>
  <x:r>
    <x:x v="0"/>
    <x:s v="Ordinal Reference Ordering"/>
    <x:n v="40"/>
    <x:s v="Grasp the yellow pen, then release it inside the bowl."/>
    <x:s v="L1: green highlighter, L2: yellow pen"/>
    <x:s v="yellow pen"/>
    <x:m/>
    <x:x v="3"/>
  </x:r>
  <x:r>
    <x:x v="1"/>
    <x:s v="Ordinal Reference Ordering"/>
    <x:n v="41"/>
    <x:s v="Count from the left; place item number 2 in the bowl."/>
    <x:s v="L1: green highlighter, L2: yellow pen"/>
    <x:s v="yellow pen"/>
    <x:s v="got gripper on the green highlighter and then didn't move"/>
    <x:x v="3"/>
  </x:r>
  <x:r>
    <x:x v="0"/>
    <x:s v="Ordinal Reference Ordering"/>
    <x:n v="42"/>
    <x:s v="Move the yellow pen into the bowl."/>
    <x:s v="L1: green highlighter, L2: yellow pen"/>
    <x:s v="yellow pen"/>
    <x:m/>
    <x:x v="2"/>
  </x:r>
  <x:r>
    <x:x v="0"/>
    <x:s v="Ordinal Reference Ordering"/>
    <x:n v="43"/>
    <x:s v="Pick up the object that is second from the left and place it in the bowl."/>
    <x:s v="L1: green highlighter, L2: yellow pen"/>
    <x:s v="yellow pen"/>
    <x:m/>
    <x:x v="1"/>
  </x:r>
  <x:r>
    <x:x v="0"/>
    <x:s v="Ordinal Reference Ordering"/>
    <x:n v="44"/>
    <x:s v="Pick up the object that is third from the left and place it in the bowl."/>
    <x:s v="L1: yellow pen, L2: airplane toy with propellers, L3: green highlighter"/>
    <x:s v="green highlighter"/>
    <x:m/>
    <x:x v="1"/>
  </x:r>
  <x:r>
    <x:x v="0"/>
    <x:s v="Ordinal Reference Ordering"/>
    <x:n v="45"/>
    <x:s v="Put the green highlighter in the bowl."/>
    <x:s v="L1: yellow pen, L2: airplane toy with propellers, L3: green highlighter"/>
    <x:s v="green highlighter"/>
    <x:m/>
    <x:x v="2"/>
  </x:r>
  <x:r>
    <x:x v="0"/>
    <x:s v="Ordinal Reference Ordering"/>
    <x:n v="46"/>
    <x:s v="Put the item in the third position from the left into the bowl."/>
    <x:s v="L1: yellow pen, L2: airplane toy with propellers, L3: green highlighter"/>
    <x:s v="green highlighter"/>
    <x:m/>
    <x:x v="3"/>
  </x:r>
  <x:r>
    <x:x v="0"/>
    <x:s v="Ordinal Reference Ordering"/>
    <x:n v="47"/>
    <x:s v="Move the row's green highlighter into the bowl."/>
    <x:s v="L1: yellow pen, L2: airplane toy with propellers, L3: green highlighter"/>
    <x:s v="green highlighter"/>
    <x:m/>
    <x:x v="3"/>
  </x:r>
  <x:r>
    <x:x v="0"/>
    <x:s v="Ordinal Reference Ordering"/>
    <x:n v="48"/>
    <x:s v="Grasp the yellow pen, then release it inside the bowl."/>
    <x:s v="L1: yellow pen, L2: airplane toy with propellers, L3: green highlighter"/>
    <x:s v="yellow pen"/>
    <x:m/>
    <x:x v="3"/>
  </x:r>
  <x:r>
    <x:x v="1"/>
    <x:s v="Ordinal Reference Ordering"/>
    <x:n v="49"/>
    <x:s v="Count from the left; place item number 1 in the bowl."/>
    <x:s v="L1: yellow pen, L2: airplane toy with propellers, L3: green highlighter"/>
    <x:s v="yellow pen"/>
    <x:s v="picked green highlighter"/>
    <x:x v="3"/>
  </x:r>
  <x:r>
    <x:x v="0"/>
    <x:s v="Ordinal Reference Ordering"/>
    <x:n v="50"/>
    <x:s v="Put the yellow pen in the bowl."/>
    <x:s v="L1: yellow pen, L2: airplane toy with propellers, L3: green highlighter"/>
    <x:s v="yellow pen"/>
    <x:m/>
    <x:x v="2"/>
  </x:r>
  <x:r>
    <x:x v="1"/>
    <x:s v="Ordinal Reference Ordering"/>
    <x:n v="51"/>
    <x:s v="Pick up the object that is first from the left and place it in the bowl."/>
    <x:s v="L1: yellow pen, L2: airplane toy with propellers, L3: green highlighter"/>
    <x:s v="yellow pen"/>
    <x:s v="picked the airplane toy"/>
    <x:x v="1"/>
  </x:r>
  <x:r>
    <x:x v="1"/>
    <x:s v="Ordinal Reference Ordering"/>
    <x:n v="52"/>
    <x:s v="Pick up the object that is fourth from the right and place it in the bowl."/>
    <x:s v="L1: airplane toy with propellers, L2: blue tape ball, L3: yellow pen, L4: green highlighter"/>
    <x:s v="airplane toy with propellers"/>
    <x:s v="picked blue tape ball"/>
    <x:x v="1"/>
  </x:r>
  <x:r>
    <x:x v="0"/>
    <x:s v="Ordinal Reference Ordering"/>
    <x:n v="53"/>
    <x:s v="Move the airplane toy with propellers into the bowl."/>
    <x:s v="L1: airplane toy with propellers, L2: blue tape ball, L3: yellow pen, L4: green highlighter"/>
    <x:s v="airplane toy with propellers"/>
    <x:m/>
    <x:x v="2"/>
  </x:r>
  <x:r>
    <x:x v="1"/>
    <x:s v="Ordinal Reference Ordering"/>
    <x:n v="54"/>
    <x:s v="Put the item in the fourth position from the right into the bowl."/>
    <x:s v="L1: airplane toy with propellers, L2: blue tape ball, L3: yellow pen, L4: green highlighter"/>
    <x:s v="airplane toy with propellers"/>
    <x:s v="picked green highlighter"/>
    <x:x v="3"/>
  </x:r>
  <x:r>
    <x:x v="1"/>
    <x:s v="Ordinal Reference Ordering"/>
    <x:n v="55"/>
    <x:s v="Move the row's airplane toy with propellers into the bowl."/>
    <x:s v="L1: airplane toy with propellers, L2: blue tape ball, L3: yellow pen, L4: green highlighter"/>
    <x:s v="airplane toy with propellers"/>
    <x:s v="picked blue tape ball"/>
    <x:x v="3"/>
  </x:r>
  <x:r>
    <x:x v="1"/>
    <x:s v="Ordinal Reference Ordering"/>
    <x:n v="56"/>
    <x:s v="Take the blue tape ball from the row and set it inside the bowl."/>
    <x:s v="L1: airplane toy with propellers, L2: blue tape ball, L3: yellow pen, L4: green highlighter"/>
    <x:s v="blue tape ball"/>
    <x:s v="succeeded in going to the tape ball but didn't grasp it; knocked it out of range"/>
    <x:x v="3"/>
  </x:r>
  <x:r>
    <x:x v="1"/>
    <x:s v="Ordinal Reference Ordering"/>
    <x:n v="57"/>
    <x:s v="Place the item occupying position second when counted from the left into the bowl."/>
    <x:s v="L1: airplane toy with propellers, L2: blue tape ball, L3: yellow pen, L4: green highlighter"/>
    <x:s v="blue tape ball"/>
    <x:s v="picked yellow pen"/>
    <x:x v="3"/>
  </x:r>
  <x:r>
    <x:x v="0"/>
    <x:s v="Ordinal Reference Ordering"/>
    <x:n v="58"/>
    <x:s v="Put the blue tape ball in the bowl."/>
    <x:s v="L1: airplane toy with propellers, L2: blue tape ball, L3: yellow pen, L4: green highlighter"/>
    <x:s v="blue tape ball"/>
    <x:m/>
    <x:x v="2"/>
  </x:r>
  <x:r>
    <x:x v="1"/>
    <x:s v="Ordinal Reference Ordering"/>
    <x:n v="59"/>
    <x:s v="Pick up the object that is second from the left and place it in the bowl."/>
    <x:s v="L1: airplane toy with propellers, L2: blue tape ball, L3: yellow pen, L4: green highlighter"/>
    <x:s v="blue tape ball"/>
    <x:s v="picked yellow pen"/>
    <x:x v="1"/>
  </x:r>
  <x:r>
    <x:x v="0"/>
    <x:s v="Ordinal Reference Ordering"/>
    <x:n v="60"/>
    <x:s v="Pick up the object that is second from the left and place it in the bowl."/>
    <x:s v="L1: green highlighter, L2: blue tape ball"/>
    <x:s v="blue tape ball"/>
    <x:m/>
    <x:x v="1"/>
  </x:r>
  <x:r>
    <x:x v="0"/>
    <x:s v="Ordinal Reference Ordering"/>
    <x:n v="61"/>
    <x:s v="Pick up the blue tape ball and place it in the bowl."/>
    <x:s v="L1: green highlighter, L2: blue tape ball"/>
    <x:s v="blue tape ball"/>
    <x:m/>
    <x:x v="2"/>
  </x:r>
  <x:r>
    <x:x v="0"/>
    <x:s v="Ordinal Reference Ordering"/>
    <x:n v="62"/>
    <x:s v="Move the green highlighter into the bowl."/>
    <x:s v="L1: green highlighter, L2: blue tape ball"/>
    <x:s v="green highlighter"/>
    <x:m/>
    <x:x v="2"/>
  </x:r>
  <x:r>
    <x:x v="1"/>
    <x:s v="Ordinal Reference Ordering"/>
    <x:n v="63"/>
    <x:s v="Pick up the object that is second from the right and place it in the bowl."/>
    <x:s v="L1: green highlighter, L2: blue tape ball"/>
    <x:s v="green highlighter"/>
    <x:s v="picked blue tape ball"/>
    <x:x v="1"/>
  </x:r>
  <x:r>
    <x:x v="1"/>
    <x:s v="Ordinal Reference Ordering"/>
    <x:n v="64"/>
    <x:s v="Pick up the object that is first from the left and place it in the bowl."/>
    <x:s v="L1: yellow pen, L2: blue tape ball, L3: airplane toy with propellers"/>
    <x:s v="yellow pen"/>
    <x:s v="picked airplane toy"/>
    <x:x v="1"/>
  </x:r>
  <x:r>
    <x:x v="0"/>
    <x:s v="Ordinal Reference Ordering"/>
    <x:n v="65"/>
    <x:s v="Move the yellow pen into the bowl."/>
    <x:s v="L1: yellow pen, L2: blue tape ball, L3: airplane toy with propellers"/>
    <x:s v="yellow pen"/>
    <x:m/>
    <x:x v="2"/>
  </x:r>
  <x:r>
    <x:x v="0"/>
    <x:s v="Ordinal Reference Ordering"/>
    <x:n v="66"/>
    <x:s v="Move the airplane toy with propellers into the bowl."/>
    <x:s v="L1: yellow pen, L2: blue tape ball, L3: airplane toy with propellers"/>
    <x:s v="airplane toy with propellers"/>
    <x:m/>
    <x:x v="2"/>
  </x:r>
  <x:r>
    <x:x v="0"/>
    <x:s v="Ordinal Reference Ordering"/>
    <x:n v="67"/>
    <x:s v="Pick up the object that is third from the left and place it in the bowl."/>
    <x:s v="L1: yellow pen, L2: blue tape ball, L3: airplane toy with propellers"/>
    <x:s v="airplane toy with propellers"/>
    <x:m/>
    <x:x v="1"/>
  </x:r>
  <x:r>
    <x:x v="1"/>
    <x:s v="Ordinal Reference Ordering"/>
    <x:n v="68"/>
    <x:s v="Pick up the object that is fourth from the left and place it in the bowl."/>
    <x:s v="L1: blue tape ball, L2: airplane toy with propellers, L3: green highlighter, L4: yellow pen"/>
    <x:s v="yellow pen"/>
    <x:s v="picked green highlighter"/>
    <x:x v="1"/>
  </x:r>
  <x:r>
    <x:x v="0"/>
    <x:s v="Ordinal Reference Ordering"/>
    <x:n v="69"/>
    <x:s v="Pick up the yellow pen and place it in the bowl."/>
    <x:s v="L1: blue tape ball, L2: airplane toy with propellers, L3: green highlighter, L4: yellow pen"/>
    <x:s v="yellow pen"/>
    <x:m/>
    <x:x v="2"/>
  </x:r>
  <x:r>
    <x:x v="0"/>
    <x:s v="Ordinal Reference Ordering"/>
    <x:n v="70"/>
    <x:s v="Put the green highlighter in the bowl."/>
    <x:s v="L1: blue tape ball, L2: airplane toy with propellers, L3: green highlighter, L4: yellow pen"/>
    <x:s v="green highlighter"/>
    <x:m/>
    <x:x v="2"/>
  </x:r>
  <x:r>
    <x:x v="1"/>
    <x:s v="Ordinal Reference Ordering"/>
    <x:n v="71"/>
    <x:s v="Pick up the object that is third from the left and place it in the bowl."/>
    <x:s v="L1: blue tape ball, L2: airplane toy with propellers, L3: green highlighter, L4: yellow pen"/>
    <x:s v="green highlighter"/>
    <x:s v="picked airplane toy"/>
    <x:x v="1"/>
  </x:r>
  <x:r>
    <x:x v="1"/>
    <x:s v="Ordinal Reference Ordering"/>
    <x:n v="72"/>
    <x:s v="Pick up the object that is second from the right and place it in the bowl."/>
    <x:s v="L1: airplane toy with propellers, L2: yellow pen"/>
    <x:s v="airplane toy with propellers"/>
    <x:s v="picked yellow pen"/>
    <x:x v="1"/>
  </x:r>
  <x:r>
    <x:x v="0"/>
    <x:s v="Ordinal Reference Ordering"/>
    <x:n v="73"/>
    <x:s v="Pick up the airplane toy with propellers and place it in the bowl."/>
    <x:s v="L1: airplane toy with propellers, L2: yellow pen"/>
    <x:s v="airplane toy with propellers"/>
    <x:m/>
    <x:x v="2"/>
  </x:r>
  <x:r>
    <x:x v="0"/>
    <x:s v="Ordinal Reference Ordering"/>
    <x:n v="74"/>
    <x:s v="Move the yellow pen into the bowl."/>
    <x:s v="L1: airplane toy with propellers, L2: yellow pen"/>
    <x:s v="yellow pen"/>
    <x:m/>
    <x:x v="2"/>
  </x:r>
  <x:r>
    <x:x v="0"/>
    <x:s v="Ordinal Reference Ordering"/>
    <x:n v="75"/>
    <x:s v="Pick up the object that is second from the left and place it in the bowl."/>
    <x:s v="L1: airplane toy with propellers, L2: yellow pen"/>
    <x:s v="yellow pen"/>
    <x:m/>
    <x:x v="1"/>
  </x:r>
  <x:r>
    <x:x v="0"/>
    <x:s v="Ordinal Reference Ordering"/>
    <x:n v="76"/>
    <x:s v="Pick up the object that is first from the right and place it in the bowl."/>
    <x:s v="L1: blue tape ball, L2: yellow pen, L3: green highlighter"/>
    <x:s v="green highlighter"/>
    <x:m/>
    <x:x v="1"/>
  </x:r>
  <x:r>
    <x:x v="0"/>
    <x:s v="Ordinal Reference Ordering"/>
    <x:n v="77"/>
    <x:s v="Put the green highlighter in the bowl."/>
    <x:s v="L1: blue tape ball, L2: yellow pen, L3: green highlighter"/>
    <x:s v="green highlighter"/>
    <x:m/>
    <x:x v="2"/>
  </x:r>
  <x:r>
    <x:x v="0"/>
    <x:s v="Ordinal Reference Ordering"/>
    <x:n v="78"/>
    <x:s v="Put the blue tape ball in the bowl."/>
    <x:s v="L1: blue tape ball, L2: yellow pen, L3: green highlighter"/>
    <x:s v="blue tape ball"/>
    <x:m/>
    <x:x v="2"/>
  </x:r>
  <x:r>
    <x:x v="1"/>
    <x:s v="Ordinal Reference Ordering"/>
    <x:n v="79"/>
    <x:s v="Pick up the object that is first from the left and place it in the bowl."/>
    <x:s v="L1: blue tape ball, L2: yellow pen, L3: green highlighter"/>
    <x:s v="blue tape ball"/>
    <x:s v="picked the green highlighter"/>
    <x:x v="1"/>
  </x:r>
  <x:r>
    <x:x v="1"/>
    <x:s v="Ordinal Reference Ordering"/>
    <x:n v="80"/>
    <x:s v="Pick up the object that is second from the right and place it in the bowl."/>
    <x:s v="L1: airplane toy with propellers, L2: blue tape ball"/>
    <x:s v="airplane toy with propellers"/>
    <x:s v="succeeded reasoning. tried to get the airplane toy, but knocked it and during recovery got the blue tape ball"/>
    <x:x v="1"/>
  </x:r>
  <x:r>
    <x:x v="1"/>
    <x:s v="Ordinal Reference Ordering"/>
    <x:n v="81"/>
    <x:s v="Pick up the object that is second from the left and place it in the bowl."/>
    <x:s v="L1: airplane toy with propellers, L2: blue tape ball"/>
    <x:s v="blue tape ball"/>
    <x:s v="succeeded reasoning, but overgripped and the tape ball flew away"/>
    <x:x v="1"/>
  </x:r>
  <x:r>
    <x:x v="0"/>
    <x:s v="Ordinal Reference Ordering"/>
    <x:n v="82"/>
    <x:s v="Pick up the object that is first from the right and place it in the bowl."/>
    <x:s v="L1: blue tape ball, L2: yellow pen, L3: airplane toy with propellers"/>
    <x:s v="airplane toy with propellers"/>
    <x:m/>
    <x:x v="1"/>
  </x:r>
  <x:r>
    <x:x v="1"/>
    <x:s v="Ordinal Reference Ordering"/>
    <x:n v="83"/>
    <x:s v="Pick up the object that is first from the left and place it in the bowl."/>
    <x:s v="L1: blue tape ball, L2: yellow pen, L3: airplane toy with propellers"/>
    <x:s v="blue tape ball"/>
    <x:s v="picked airplane toy"/>
    <x:x v="1"/>
  </x:r>
  <x:r>
    <x:x v="1"/>
    <x:s v="Ordinal Reference Ordering"/>
    <x:n v="84"/>
    <x:s v="Pick up the object that is fourth from the right and place it in the bowl."/>
    <x:s v="L1: airplane toy with propellers, L2: yellow pen, L3: green highlighter, L4: blue tape ball"/>
    <x:s v="airplane toy with propellers"/>
    <x:s v="picked yellow pen"/>
    <x:x v="1"/>
  </x:r>
  <x:r>
    <x:x v="0"/>
    <x:s v="Ordinal Reference Ordering"/>
    <x:n v="85"/>
    <x:s v="Pick up the object that is third from the left and place it in the bowl."/>
    <x:s v="L1: airplane toy with propellers, L2: yellow pen, L3: green highlighter, L4: blue tape ball"/>
    <x:s v="green highlighter"/>
    <x:m/>
    <x:x v="1"/>
  </x:r>
  <x:r>
    <x:x v="0"/>
    <x:s v="Ordinal Reference Ordering"/>
    <x:n v="86"/>
    <x:s v="Pick up the object that is second from the left and place it in the bowl."/>
    <x:s v="L1: airplane toy with propellers, L2: yellow pen"/>
    <x:s v="yellow pen"/>
    <x:m/>
    <x:x v="1"/>
  </x:r>
  <x:r>
    <x:x v="1"/>
    <x:s v="Ordinal Reference Ordering"/>
    <x:n v="87"/>
    <x:s v="Pick up the object that is second from the right and place it in the bowl."/>
    <x:s v="L1: airplane toy with propellers, L2: yellow pen"/>
    <x:s v="airplane toy with propellers"/>
    <x:s v="picked yellow pen"/>
    <x:x v="1"/>
  </x:r>
  <x:r>
    <x:x v="0"/>
    <x:s v="Ordinal Reference Ordering"/>
    <x:n v="88"/>
    <x:s v="Pick up the object that is first from the left and place it in the bowl."/>
    <x:s v="L1: blue tape ball, L2: airplane toy with propellers, L3: green highlighter"/>
    <x:s v="blue tape ball"/>
    <x:m/>
    <x:x v="1"/>
  </x:r>
  <x:r>
    <x:x v="1"/>
    <x:s v="Ordinal Reference Ordering"/>
    <x:n v="89"/>
    <x:s v="Pick up the object that is first from the right and place it in the bowl."/>
    <x:s v="L1: blue tape ball, L2: airplane toy with propellers, L3: green highlighter"/>
    <x:s v="green highlighter"/>
    <x:s v="picked airplane toy"/>
    <x:x v="1"/>
  </x:r>
  <x:r>
    <x:x v="1"/>
    <x:s v="Ordinal Reference Ordering"/>
    <x:n v="90"/>
    <x:s v="Pick up the object that is fourth from the left and place it in the bowl."/>
    <x:s v="L1: green highlighter, L2: blue tape ball, L3: airplane toy with propellers, L4: yellow pen"/>
    <x:s v="yellow pen"/>
    <x:s v="tried to pick airplane toy and then misgripped and during recovery got the tape ball"/>
    <x:x v="1"/>
  </x:r>
  <x:r>
    <x:x v="1"/>
    <x:s v="Ordinal Reference Ordering"/>
    <x:n v="91"/>
    <x:s v="Pick up the object that is third from the right and place it in the bowl."/>
    <x:s v="L1: green highlighter, L2: blue tape ball, L3: airplane toy with propellers, L4: yellow pen"/>
    <x:s v="blue tape ball"/>
    <x:s v="picked the green highlighter"/>
    <x:x v="1"/>
  </x:r>
  <x:r>
    <x:x v="1"/>
    <x:s v="Ordinal Reference Ordering"/>
    <x:n v="92"/>
    <x:s v="Pick up the object that is second from the right and place it in the bowl."/>
    <x:s v="L1: green highlighter, L2: blue tape ball"/>
    <x:s v="green highlighter"/>
    <x:s v="picked tape ball"/>
    <x:x v="1"/>
  </x:r>
  <x:r>
    <x:x v="0"/>
    <x:s v="Ordinal Reference Ordering"/>
    <x:n v="93"/>
    <x:s v="Pick up the object that is first from the right and place it in the bowl."/>
    <x:s v="L1: green highlighter, L2: blue tape ball"/>
    <x:s v="blue tape ball"/>
    <x:m/>
    <x:x v="1"/>
  </x:r>
  <x:r>
    <x:x v="0"/>
    <x:s v="Ordinal Reference Ordering"/>
    <x:n v="94"/>
    <x:s v="Pick up the object that is first from the right and place it in the bowl."/>
    <x:s v="L1: yellow pen, L2: green highlighter, L3: airplane toy with propellers"/>
    <x:s v="airplane toy with propellers"/>
    <x:m/>
    <x:x v="1"/>
  </x:r>
  <x:r>
    <x:x v="1"/>
    <x:s v="Ordinal Reference Ordering"/>
    <x:n v="95"/>
    <x:s v="Pick up the object that is third from the right and place it in the bowl."/>
    <x:s v="L1: yellow pen, L2: green highlighter, L3: airplane toy with propellers"/>
    <x:s v="yellow pen"/>
    <x:s v="picked green highlighter"/>
    <x:x v="1"/>
  </x:r>
  <x:r>
    <x:x v="1"/>
    <x:s v="Ordinal Reference Ordering"/>
    <x:n v="96"/>
    <x:s v="Pick up the object that is fourth from the right and place it in the bowl."/>
    <x:s v="L1: airplane toy with propellers, L2: green highlighter, L3: blue tape ball, L4: yellow pen"/>
    <x:s v="airplane toy with propellers"/>
    <x:s v="picked green highlighter"/>
    <x:x v="1"/>
  </x:r>
  <x:r>
    <x:x v="1"/>
    <x:s v="Ordinal Reference Ordering"/>
    <x:n v="97"/>
    <x:s v="Pick up the object that is fourth from the left and place it in the bowl."/>
    <x:s v="L1: airplane toy with propellers, L2: green highlighter, L3: blue tape ball, L4: yellow pen"/>
    <x:s v="yellow pen"/>
    <x:s v="picked blue tape ball"/>
    <x:x v="1"/>
  </x:r>
  <x:r>
    <x:x v="1"/>
    <x:s v="Ordinal Reference Ordering"/>
    <x:n v="98"/>
    <x:s v="Pick up the object that is first from the right and place it in the bowl."/>
    <x:s v="L1: green highlighter, L2: yellow pen"/>
    <x:s v="yellow pen"/>
    <x:s v="went to the right edge of workspace and jittered around"/>
    <x:x v="1"/>
  </x:r>
  <x:r>
    <x:x v="1"/>
    <x:s v="Ordinal Reference Ordering"/>
    <x:n v="99"/>
    <x:s v="Pick up the object that is second from the right and place it in the bowl."/>
    <x:s v="L1: green highlighter, L2: yellow pen"/>
    <x:s v="green highlighter"/>
    <x:s v="picked yellow pen"/>
    <x:x v="1"/>
  </x:r>
  <x:r>
    <x:x v="0"/>
    <x:s v="Ordinal Reference Ordering"/>
    <x:n v="100"/>
    <x:s v="Pick up the object that is third from the right and place it in the bowl."/>
    <x:s v="L1: yellow pen, L2: blue tape ball, L3: green highlighter"/>
    <x:s v="yellow pen"/>
    <x:m/>
    <x:x v="1"/>
  </x:r>
  <x:r>
    <x:x v="0"/>
    <x:s v="Ordinal Reference Ordering"/>
    <x:n v="101"/>
    <x:s v="Pick up the object that is first from the right and place it in the bowl."/>
    <x:s v="L1: yellow pen, L2: blue tape ball, L3: green highlighter"/>
    <x:s v="green highlighter"/>
    <x:m/>
    <x:x v="1"/>
  </x:r>
  <x:r>
    <x:x v="0"/>
    <x:s v="Ordinal Reference Ordering"/>
    <x:n v="102"/>
    <x:s v="Pick up the object that is third from the left and place it in the bowl."/>
    <x:s v="L1: yellow pen, L2: blue tape ball, L3: green highlighter, L4: airplane toy with propellers"/>
    <x:s v="green highlighter"/>
    <x:m/>
    <x:x v="1"/>
  </x:r>
  <x:r>
    <x:x v="0"/>
    <x:s v="Ordinal Reference Ordering"/>
    <x:n v="103"/>
    <x:s v="Pick up the object that is third from the right and place it in the bowl."/>
    <x:s v="L1: yellow pen, L2: blue tape ball, L3: green highlighter, L4: airplane toy with propellers"/>
    <x:s v="blue tape ball"/>
    <x:m/>
    <x:x v="1"/>
  </x:r>
  <x:r>
    <x:x v="1"/>
    <x:s v="Ordinal Reference Ordering"/>
    <x:n v="104"/>
    <x:s v="Pick up the object that is fourth from the right and place it in the bowl."/>
    <x:s v="L1: airplane toy with propellers, L2: blue tape ball, L3: green highlighter, L4: yellow pen"/>
    <x:s v="airplane toy with propellers"/>
    <x:s v="picked blue tape ball"/>
    <x:x v="1"/>
  </x:r>
  <x:r>
    <x:x v="0"/>
    <x:s v="Ordinal Reference Ordering"/>
    <x:n v="105"/>
    <x:s v="Pick up the object that is third from the right and place it in the bowl."/>
    <x:s v="L1: airplane toy with propellers, L2: blue tape ball, L3: green highlighter, L4: yellow pen"/>
    <x:s v="blue tape ball"/>
    <x:m/>
    <x:x v="1"/>
  </x:r>
  <x:r>
    <x:x v="0"/>
    <x:s v="Ordinal Reference Ordering"/>
    <x:n v="106"/>
    <x:s v="Pick up the object that is third from the left and place it in the bowl."/>
    <x:s v="L1: airplane toy with propellers, L2: blue tape ball, L3: green highlighter, L4: yellow pen"/>
    <x:s v="green highlighter"/>
    <x:m/>
    <x:x v="1"/>
  </x:r>
  <x:r>
    <x:x v="1"/>
    <x:s v="Ordinal Reference Ordering"/>
    <x:n v="107"/>
    <x:s v="Pick up the object that is fourth from the right and place it in the bowl."/>
    <x:s v="L1: airplane toy with propellers, L2: blue tape ball, L3: green highlighter, L4: yellow pen"/>
    <x:s v="airplane toy with propellers"/>
    <x:s v="picked green highlighter"/>
    <x:x v="1"/>
  </x:r>
  <x:r>
    <x:x v="0"/>
    <x:s v="Ordinal Reference Ordering"/>
    <x:n v="108"/>
    <x:s v="Pick up the object that is third from the right and place it in the bowl."/>
    <x:s v="L1: airplane toy with propellers, L2: blue tape ball, L3: green highlighter, L4: yellow pen"/>
    <x:s v="blue tape ball"/>
    <x:m/>
    <x:x v="1"/>
  </x:r>
  <x:r>
    <x:x v="1"/>
    <x:s v="Ordinal Reference Ordering"/>
    <x:n v="109"/>
    <x:s v="Pick up the object that is fourth from the left and place it in the bowl."/>
    <x:s v="L1: airplane toy with propellers, L2: blue tape ball, L3: green highlighter, L4: yellow pen"/>
    <x:s v="yellow pen"/>
    <x:s v="tried picking green highlighter and couldn't"/>
    <x:x v="1"/>
  </x:r>
  <x:r>
    <x:x v="0"/>
    <x:s v="Ordinal Reference Ordering"/>
    <x:n v="110"/>
    <x:s v="Pick up the object that is first from the left and place it in the bowl."/>
    <x:s v="L1: red block, L2: airplane toy with propellers"/>
    <x:s v="red block"/>
    <x:m/>
    <x:x v="8"/>
  </x:r>
  <x:r>
    <x:x v="0"/>
    <x:s v="Ordinal Reference Ordering"/>
    <x:n v="111"/>
    <x:s v="Pick up the object that is second from the left and place it in the bowl."/>
    <x:s v="L1: red block, L2: airplane toy with propellers"/>
    <x:s v="airplane toy with propellers"/>
    <x:m/>
    <x:x v="9"/>
  </x:r>
  <x:r>
    <x:x v="1"/>
    <x:s v="Ordinal Reference Ordering"/>
    <x:n v="112"/>
    <x:s v="Pick up the object that is second from the right and place it in the bowl."/>
    <x:s v="L1: blue tape ball, L2: red block"/>
    <x:s v="blue tape ball"/>
    <x:s v="picked red block"/>
    <x:x v="9"/>
  </x:r>
  <x:r>
    <x:x v="0"/>
    <x:s v="Ordinal Reference Ordering"/>
    <x:n v="113"/>
    <x:s v="Pick up the object that is first from the right and place it in the bowl."/>
    <x:s v="L1: blue tape ball, L2: red block"/>
    <x:s v="red block"/>
    <x:m/>
    <x:x v="8"/>
  </x:r>
  <x:r>
    <x:x v="1"/>
    <x:s v="Ordinal Reference Ordering"/>
    <x:n v="114"/>
    <x:s v="Pick up the object that is third from the right and place it in the bowl."/>
    <x:s v="L1: red block, L2: green highlighter, L3: blue tape ball"/>
    <x:s v="red block"/>
    <x:s v="went towards the red block then drifted to green highlighter and took it"/>
    <x:x v="8"/>
  </x:r>
  <x:r>
    <x:x v="0"/>
    <x:s v="Ordinal Reference Ordering"/>
    <x:n v="115"/>
    <x:s v="Pick up the object that is first from the right and place it in the bowl."/>
    <x:s v="L1: red block, L2: green highlighter, L3: blue tape ball"/>
    <x:s v="blue tape ball"/>
    <x:m/>
    <x:x v="9"/>
  </x:r>
  <x:r>
    <x:x v="1"/>
    <x:s v="Ordinal Reference Ordering"/>
    <x:n v="116"/>
    <x:s v="Pick up the object that is third from the right and place it in the bowl."/>
    <x:s v="L1: airplane toy with propellers, L2: yellow pen, L3: red block"/>
    <x:s v="airplane toy with propellers"/>
    <x:s v="picked yellow pen"/>
    <x:x v="9"/>
  </x:r>
  <x:r>
    <x:x v="0"/>
    <x:s v="Ordinal Reference Ordering"/>
    <x:n v="117"/>
    <x:s v="Pick up the object that is third from the left and place it in the bowl."/>
    <x:s v="L1: airplane toy with propellers, L2: yellow pen, L3: red block"/>
    <x:s v="red block"/>
    <x:m/>
    <x:x v="8"/>
  </x:r>
  <x:r>
    <x:x v="1"/>
    <x:s v="Ordinal Reference Ordering"/>
    <x:n v="118"/>
    <x:s v="Pick up the object that is first from the left and place it in the bowl."/>
    <x:s v="L1: red block, L2: green highlighter, L3: yellow pen, L4: blue tape ball"/>
    <x:s v="red block"/>
    <x:s v="picked green highlighter"/>
    <x:x v="8"/>
  </x:r>
  <x:r>
    <x:x v="0"/>
    <x:s v="Ordinal Reference Ordering"/>
    <x:n v="119"/>
    <x:s v="Pick up the object that is third from the right and place it in the bowl."/>
    <x:s v="L1: red block, L2: green highlighter, L3: yellow pen, L4: blue tape ball"/>
    <x:s v="green highlighter"/>
    <x:m/>
    <x:x v="9"/>
  </x:r>
  <x:r>
    <x:x v="0"/>
    <x:s v="Ordinal Reference Ordering"/>
    <x:n v="120"/>
    <x:s v="Pick up the object that is third from the left and place it in the bowl."/>
    <x:s v="L1: yellow pen, L2: red block, L3: airplane toy with propellers, L4: blue tape ball"/>
    <x:s v="airplane toy with propellers"/>
    <x:m/>
    <x:x v="9"/>
  </x:r>
  <x:r>
    <x:x v="0"/>
    <x:s v="Ordinal Reference Ordering"/>
    <x:n v="121"/>
    <x:s v="Pick up the object that is third from the right and place it in the bowl."/>
    <x:s v="L1: yellow pen, L2: red block, L3: airplane toy with propellers, L4: blue tape ball"/>
    <x:s v="red block"/>
    <x:m/>
    <x:x v="8"/>
  </x:r>
  <x:r>
    <x:x v="0"/>
    <x:s v="Ordinal Reference Ordering"/>
    <x:n v="122"/>
    <x:s v="Pick up the object that is second from the left and place it in the bowl."/>
    <x:s v="L1: yellow pen, L2: red block, L3: green highlighter, L4: blue tape ball"/>
    <x:s v="red block"/>
    <x:m/>
    <x:x v="8"/>
  </x:r>
  <x:r>
    <x:x v="0"/>
    <x:s v="Ordinal Reference Ordering"/>
    <x:n v="123"/>
    <x:s v="Pick up the object that is first from the right and place it in the bowl."/>
    <x:s v="L1: yellow pen, L2: red block, L3: green highlighter, L4: blue tape ball"/>
    <x:s v="blue tape ball"/>
    <x:m/>
    <x:x v="9"/>
  </x:r>
  <x:r>
    <x:x v="1"/>
    <x:s v="Ordinal Reference Ordering"/>
    <x:n v="124"/>
    <x:s v="Pick up the object that is second from the left and place it in the bowl."/>
    <x:s v="L1: airplane toy with propellers, L2: yellow pen, L3: red block, L4: blue tape ball"/>
    <x:s v="yellow pen"/>
    <x:s v="picked the red block; seemed to be trying to pick the yellow pen but drifted to the red block"/>
    <x:x v="9"/>
  </x:r>
  <x:r>
    <x:x v="1"/>
    <x:s v="Ordinal Reference Ordering"/>
    <x:n v="125"/>
    <x:s v="Pick up the object that is second from the right and place it in the bowl."/>
    <x:s v="L1: airplane toy with propellers, L2: yellow pen, L3: red block, L4: blue tape ball"/>
    <x:s v="red block"/>
    <x:s v="picked yellow pen"/>
    <x:x v="8"/>
  </x:r>
  <x:r>
    <x:x v="0"/>
    <x:s v="Ordinal Reference Ordering"/>
    <x:n v="126"/>
    <x:s v="Pick up the object that is first from the right and place it in the bowl."/>
    <x:s v="L1: airplane toy with propellers, L2: green highlighter, L3: blue tape ball, L4: red block"/>
    <x:s v="red block"/>
    <x:m/>
    <x:x v="8"/>
  </x:r>
  <x:r>
    <x:x v="0"/>
    <x:s v="Ordinal Reference Ordering"/>
    <x:n v="127"/>
    <x:s v="Pick up the object that is second from the left and place it in the bowl."/>
    <x:s v="L1: airplane toy with propellers, L2: green highlighter, L3: blue tape ball, L4: red block"/>
    <x:s v="green highlighter"/>
    <x:s v="failed reasoning; tried ot pick the blue tape ball and missed and then got the green highlighter"/>
    <x:x v="9"/>
  </x:r>
  <x:r>
    <x:x v="1"/>
    <x:s v="Ordinal Reference Ordering"/>
    <x:n v="128"/>
    <x:s v="Pick up the object that is third from the left and place it in the bowl."/>
    <x:s v="L1: blue tape ball, L2: airplane toy with propellers, L3: yellow pen, L4: red block"/>
    <x:s v="yellow pen"/>
    <x:s v="picked red block"/>
    <x:x v="9"/>
  </x:r>
  <x:r>
    <x:x v="0"/>
    <x:s v="Ordinal Reference Ordering"/>
    <x:n v="129"/>
    <x:s v="Pick up the object that is fourth from the left and place it in the bowl."/>
    <x:s v="L1: blue tape ball, L2: airplane toy with propellers, L3: yellow pen, L4: red block"/>
    <x:s v="red block"/>
    <x:m/>
    <x:x v="8"/>
  </x:r>
  <x:r>
    <x:x v="1"/>
    <x:s v="Ordinal Reference Ordering"/>
    <x:n v="130"/>
    <x:s v="Pick up the object that is fourth from the left and place it in the bowl."/>
    <x:s v="L1: airplane toy with propellers, L2: blue tape ball, L3: green highlighter"/>
    <x:s v="None — requested ordinal does not exist"/>
    <x:s v="picked the green highlighter"/>
    <x:x v="10"/>
  </x:r>
  <x:r>
    <x:x v="1"/>
    <x:s v="Ordinal Reference Ordering"/>
    <x:n v="131"/>
    <x:s v="Pick up the object that is fourth from the right and place it in the bowl."/>
    <x:s v="L1: airplane toy with propellers, L2: blue tape ball, L3: green highlighter"/>
    <x:s v="None — requested ordinal does not exist"/>
    <x:s v="picked tape ball"/>
    <x:x v="10"/>
  </x:r>
  <x:r>
    <x:x v="1"/>
    <x:s v="Ordinal Reference Ordering"/>
    <x:n v="132"/>
    <x:s v="Pick up the object that is fourth from the right and place it in the bowl."/>
    <x:s v="L1: yellow pen, L2: green highlighter, L3: blue tape ball"/>
    <x:s v="None — requested ordinal does not exist"/>
    <x:s v="picked green highlighter"/>
    <x:x v="10"/>
  </x:r>
  <x:r>
    <x:x v="1"/>
    <x:s v="Ordinal Reference Ordering"/>
    <x:n v="133"/>
    <x:s v="Pick up the object that is fourth from the left and place it in the bowl."/>
    <x:s v="L1: yellow pen, L2: green highlighter, L3: blue tape ball"/>
    <x:s v="None — requested ordinal does not exist"/>
    <x:s v="picked blue tape ball"/>
    <x:x v="10"/>
  </x:r>
  <x:r>
    <x:x v="1"/>
    <x:s v="Ordinal Reference Ordering"/>
    <x:n v="134"/>
    <x:s v="Pick up the object that is fourth from the left and place it in the bowl."/>
    <x:s v="L1: blue tape ball, L2: airplane toy with propellers, L3: yellow pen"/>
    <x:s v="None — requested ordinal does not exist"/>
    <x:s v="picked the yellow pen"/>
    <x:x v="10"/>
  </x:r>
  <x:r>
    <x:x v="1"/>
    <x:s v="Ordinal Reference Ordering"/>
    <x:n v="135"/>
    <x:s v="Pick up the object that is fourth from the right and place it in the bowl."/>
    <x:s v="L1: blue tape ball, L2: airplane toy with propellers, L3: yellow pen"/>
    <x:s v="None — requested ordinal does not exist"/>
    <x:s v="picked the airplane toy"/>
    <x:x v="10"/>
  </x:r>
  <x:r>
    <x:x v="1"/>
    <x:s v="Ordinal Reference Ordering"/>
    <x:n v="136"/>
    <x:s v="Pick up the object that is fourth from the right and place it in the bowl."/>
    <x:s v="L1: green highlighter, L2: yellow pen, L3: airplane toy with propellers"/>
    <x:s v="None — requested ordinal does not exist"/>
    <x:s v="picked the yellow pen"/>
    <x:x v="10"/>
  </x:r>
  <x:r>
    <x:x v="1"/>
    <x:s v="Ordinal Reference Ordering"/>
    <x:n v="137"/>
    <x:s v="Pick up the object that is fourth from the left and place it in the bowl."/>
    <x:s v="L1: green highlighter, L2: yellow pen, L3: airplane toy with propellers"/>
    <x:s v="None — requested ordinal does not exist"/>
    <x:s v="picked the airplane toy; hesitated before moving the airplane toy to the bowl"/>
    <x:x v="10"/>
  </x:r>
  <x:r>
    <x:x v="1"/>
    <x:s v="Ordinal Reference Ordering"/>
    <x:n v="138"/>
    <x:s v="Pick up the object that is fourth from the left and place it in the bowl."/>
    <x:s v="L1: airplane toy with propellers, L2: yellow pen, L3: blue tape ball"/>
    <x:s v="None — requested ordinal does not exist"/>
    <x:s v="picked blue tape ball"/>
    <x:x v="10"/>
  </x:r>
  <x:r>
    <x:x v="1"/>
    <x:s v="Ordinal Reference Ordering"/>
    <x:n v="139"/>
    <x:s v="Pick up the object that is fourth from the right and place it in the bowl."/>
    <x:s v="L1: airplane toy with propellers, L2: yellow pen, L3: blue tape ball"/>
    <x:s v="None — requested ordinal does not exist"/>
    <x:s v="picked the yellow pen"/>
    <x:x v="10"/>
  </x:r>
  <x:r>
    <x:x v="1"/>
    <x:s v="Ordinal Reference Ordering"/>
    <x:n v="140"/>
    <x:s v="Pick up the object that is third from the right and place it in the bowl."/>
    <x:s v="L1: airplane toy with propellers, L2: blue tape ball"/>
    <x:s v="None — requested ordinal does not exist"/>
    <x:s v="picked the blue tape ball"/>
    <x:x v="10"/>
  </x:r>
  <x:r>
    <x:x v="1"/>
    <x:s v="Ordinal Reference Ordering"/>
    <x:n v="141"/>
    <x:s v="Pick up the object that is third from the left and place it in the bowl."/>
    <x:s v="L1: airplane toy with propellers, L2: blue tape ball"/>
    <x:s v="None — requested ordinal does not exist"/>
    <x:s v="picked the blue tape ball"/>
    <x:x v="10"/>
  </x:r>
  <x:r>
    <x:x v="1"/>
    <x:s v="Ordinal Reference Ordering"/>
    <x:n v="142"/>
    <x:s v="Pick up the object that is third from the left and place it in the bowl."/>
    <x:s v="L1: green highlighter, L2: yellow pen"/>
    <x:s v="None — requested ordinal does not exist"/>
    <x:s v="picked the yellow pen"/>
    <x:x v="10"/>
  </x:r>
  <x:r>
    <x:x v="1"/>
    <x:s v="Ordinal Reference Ordering"/>
    <x:n v="143"/>
    <x:s v="Pick up the object that is third from the right and place it in the bowl."/>
    <x:s v="L1: green highlighter, L2: yellow pen"/>
    <x:s v="None — requested ordinal does not exist"/>
    <x:s v="picked the yellow pen"/>
    <x:x v="10"/>
  </x:r>
  <x:r>
    <x:x v="1"/>
    <x:s v="Ordinal Reference Ordering"/>
    <x:n v="144"/>
    <x:s v="Pick up the object that is third from the right and place it in the bowl."/>
    <x:s v="L1: blue tape ball, L2: green highlighter"/>
    <x:s v="None — requested ordinal does not exist"/>
    <x:s v="picked the green highlighter"/>
    <x:x v="10"/>
  </x:r>
  <x:r>
    <x:x v="1"/>
    <x:s v="Ordinal Reference Ordering"/>
    <x:n v="145"/>
    <x:s v="Pick up the object that is third from the left and place it in the bowl."/>
    <x:s v="L1: blue tape ball, L2: green highlighter"/>
    <x:s v="None — requested ordinal does not exist"/>
    <x:s v="tried to pick the green highlighter but couldn't"/>
    <x:x v="10"/>
  </x:r>
  <x:r>
    <x:x v="1"/>
    <x:s v="Ordinal Reference Ordering"/>
    <x:n v="146"/>
    <x:s v="Pick up the object that is third from the left and place it in the bowl."/>
    <x:s v="L1: yellow pen, L2: airplane toy with propellers"/>
    <x:s v="None — requested ordinal does not exist"/>
    <x:s v="picked airplane toy"/>
    <x:x v="10"/>
  </x:r>
  <x:r>
    <x:x v="1"/>
    <x:s v="Ordinal Reference Ordering"/>
    <x:n v="147"/>
    <x:s v="Pick up the object that is third from the right and place it in the bowl."/>
    <x:s v="L1: yellow pen, L2: airplane toy with propellers"/>
    <x:s v="None — requested ordinal does not exist"/>
    <x:s v="picked yellow pen"/>
    <x:x v="10"/>
  </x:r>
  <x:r>
    <x:x v="1"/>
    <x:s v="Ordinal Reference Ordering"/>
    <x:n v="148"/>
    <x:s v="Pick up the object that is third from the right and place it in the bowl."/>
    <x:s v="L1: airplane toy with propellers, L2: green highlighter"/>
    <x:s v="None — requested ordinal does not exist"/>
    <x:s v="picked the airplane toy"/>
    <x:x v="10"/>
  </x:r>
  <x:r>
    <x:x v="1"/>
    <x:s v="Ordinal Reference Ordering"/>
    <x:n v="149"/>
    <x:s v="Pick up the object that is third from the left and place it in the bowl."/>
    <x:s v="L1: airplane toy with propellers, L2: green highlighter"/>
    <x:s v="None — requested ordinal does not exist"/>
    <x:s v="tried to pick airplane toy; then picked the green highlighter"/>
    <x:x v="10"/>
  </x:r>
  <x:r>
    <x:x v="1"/>
    <x:s v="Relational Placement"/>
    <x:n v="0"/>
    <x:s v="Move the green pen to the front of the pink marker."/>
    <x:s v="green pen, pink marker, red block"/>
    <x:s v="green pen → 2–8 cm edge gap in front of pink marker; centroid direction within ±45°."/>
    <x:s v="moved the green pen in front of the pink marker, but didn't let go of it; success reasoning"/>
    <x:x v="0"/>
  </x:r>
  <x:r>
    <x:x v="1"/>
    <x:s v="Relational Placement"/>
    <x:n v="1"/>
    <x:s v="Move the green pen to the back of the pink marker."/>
    <x:s v="green pen, pink marker, red block"/>
    <x:s v="green pen → 2–8 cm edge gap behind pink marker; centroid direction within ±45°."/>
    <x:s v="went to the green pen 2 times before grabbing it. Did end up moving it to the back of the pink pen, but didn't let go. Successful reasoning"/>
    <x:x v="0"/>
  </x:r>
  <x:r>
    <x:x v="0"/>
    <x:s v="Relational Placement"/>
    <x:n v="2"/>
    <x:s v="Move the pink marker to the front of the green pen."/>
    <x:s v="green pen, pink marker, red block"/>
    <x:s v="pink marker → 2–8 cm edge gap in front of green pen; centroid direction within ±45°."/>
    <x:s v="went to the green pen 2 times before grabbing it. Did end up moving it to the back of the pink pen, but didn't let go. Successful reasoning"/>
    <x:x v="0"/>
  </x:r>
  <x:r>
    <x:x v="1"/>
    <x:s v="Relational Placement"/>
    <x:n v="3"/>
    <x:s v="Move the pink marker to the back of the green pen."/>
    <x:s v="green pen, pink marker, red block"/>
    <x:s v="pink marker → 2–8 cm edge gap behind green pen; centroid direction within ±45°."/>
    <x:s v="moved pink marker more towards the back of the red block"/>
    <x:x v="0"/>
  </x:r>
  <x:r>
    <x:x v="0"/>
    <x:s v="Relational Placement"/>
    <x:n v="4"/>
    <x:s v="Move the green pen to the front of the blue block."/>
    <x:s v="green pen, blue block, pink marker, red block"/>
    <x:s v="green pen → 2–8 cm edge gap in front of blue block; centroid direction within ±45°."/>
    <x:m/>
    <x:x v="0"/>
  </x:r>
  <x:r>
    <x:x v="1"/>
    <x:s v="Relational Placement"/>
    <x:n v="5"/>
    <x:s v="Move the green pen to the back of the blue block."/>
    <x:s v="green pen, blue block, pink marker, red block"/>
    <x:s v="green pen → 2–8 cm edge gap behind blue block; centroid direction within ±45°."/>
    <x:s v="put the green pen on top of the blue block, then didn't let go of the green pen"/>
    <x:x v="0"/>
  </x:r>
  <x:r>
    <x:x v="0"/>
    <x:s v="Relational Placement"/>
    <x:n v="6"/>
    <x:s v="Put the blue block on the table in front of the green pen."/>
    <x:s v="green pen, blue block, pink marker, red block"/>
    <x:s v="blue block → 2–8 cm edge gap in front of green pen; centroid direction within ±45°."/>
    <x:m/>
    <x:x v="0"/>
  </x:r>
  <x:r>
    <x:x v="0"/>
    <x:s v="Relational Placement"/>
    <x:n v="7"/>
    <x:s v="Put the blue block on the table behind the green pen."/>
    <x:s v="green pen, blue block, pink marker, red block"/>
    <x:s v="blue block → 2–8 cm edge gap behind green pen; centroid direction within ±45°."/>
    <x:m/>
    <x:x v="0"/>
  </x:r>
  <x:r>
    <x:x v="0"/>
    <x:s v="Relational Placement"/>
    <x:n v="8"/>
    <x:s v="Place the red block to the left of the pink marker."/>
    <x:s v="red block, pink marker, blue block"/>
    <x:s v="red block → 2–8 cm edge gap to the left of pink marker; centroid direction within ±45°."/>
    <x:m/>
    <x:x v="0"/>
  </x:r>
  <x:r>
    <x:x v="0"/>
    <x:s v="Relational Placement"/>
    <x:n v="9"/>
    <x:s v="Place the red block to the right of the pink marker."/>
    <x:s v="red block, pink marker, blue block"/>
    <x:s v="red block → 2–8 cm edge gap to the right of pink marker; centroid direction within ±45°."/>
    <x:m/>
    <x:x v="0"/>
  </x:r>
  <x:r>
    <x:x v="0"/>
    <x:s v="Relational Placement"/>
    <x:n v="10"/>
    <x:s v="Place the pink marker to the left of the red block."/>
    <x:s v="red block, pink marker, blue block"/>
    <x:s v="pink marker → 2–8 cm edge gap to the left of red block; centroid direction within ±45°."/>
    <x:m/>
    <x:x v="0"/>
  </x:r>
  <x:r>
    <x:x v="0"/>
    <x:s v="Relational Placement"/>
    <x:n v="11"/>
    <x:s v="Place the pink marker to the right of the red block."/>
    <x:s v="red block, pink marker, blue block"/>
    <x:s v="pink marker → 2–8 cm edge gap to the right of red block; centroid direction within ±45°."/>
    <x:m/>
    <x:x v="0"/>
  </x:r>
  <x:r>
    <x:x v="0"/>
    <x:s v="Relational Placement"/>
    <x:n v="12"/>
    <x:s v="Place the red block to the left of the blue block."/>
    <x:s v="red block, blue block, green pen, pink marker"/>
    <x:s v="red block → 2–8 cm edge gap to the left of blue block; centroid direction within ±45°."/>
    <x:m/>
    <x:x v="0"/>
  </x:r>
  <x:r>
    <x:x v="1"/>
    <x:s v="Relational Placement"/>
    <x:n v="13"/>
    <x:s v="Place the red block to the right of the blue block."/>
    <x:s v="red block, blue block, green pen, pink marker"/>
    <x:s v="red block → 2–8 cm edge gap to the right of blue block; centroid direction within ±45°."/>
    <x:s v="couldn't grasp the red block"/>
    <x:x v="0"/>
  </x:r>
  <x:r>
    <x:x v="1"/>
    <x:s v="Relational Placement"/>
    <x:n v="14"/>
    <x:s v="Place the blue block to the left of the red block."/>
    <x:s v="red block, blue block, green pen, pink marker"/>
    <x:s v="blue block → 2–8 cm edge gap to the left of red block; centroid direction within ±45°."/>
    <x:s v="succeeded reasoning; moved the blue block to the left of the red block but couldn't let go of the blue block"/>
    <x:x v="0"/>
  </x:r>
  <x:r>
    <x:x v="0"/>
    <x:s v="Relational Placement"/>
    <x:n v="15"/>
    <x:s v="Place the blue block to the right of the red block."/>
    <x:s v="red block, blue block, green pen, pink marker"/>
    <x:s v="blue block → 2–8 cm edge gap to the right of red block; centroid direction within ±45°."/>
    <x:m/>
    <x:x v="0"/>
  </x:r>
  <x:r>
    <x:x v="0"/>
    <x:s v="Relational Placement"/>
    <x:n v="16"/>
    <x:s v="Place the green pen to the left of the pink marker."/>
    <x:s v="green pen, pink marker, red block, blue block"/>
    <x:s v="green pen → 2–8 cm edge gap to the left of pink marker; centroid direction within ±45°."/>
    <x:m/>
    <x:x v="0"/>
  </x:r>
  <x:r>
    <x:x v="0"/>
    <x:s v="Relational Placement"/>
    <x:n v="17"/>
    <x:s v="Place the pink marker to the right of the green pen."/>
    <x:s v="green pen, pink marker, red block, blue block"/>
    <x:s v="pink marker → 2–8 cm edge gap to the right of green pen; centroid direction within ±45°."/>
    <x:m/>
    <x:x v="0"/>
  </x:r>
  <x:r>
    <x:x v="0"/>
    <x:s v="Relational Placement"/>
    <x:n v="18"/>
    <x:s v="Move the red block to the front of the blue block."/>
    <x:s v="green pen, pink marker, red block, blue block"/>
    <x:s v="red block → 2–8 cm edge gap in front of blue block; centroid direction within ±45°."/>
    <x:m/>
    <x:x v="0"/>
  </x:r>
  <x:r>
    <x:x v="0"/>
    <x:s v="Relational Placement"/>
    <x:n v="19"/>
    <x:s v="Place the blue block behind the red block."/>
    <x:s v="green pen, pink marker, red block, blue block"/>
    <x:s v="blue block → 2–8 cm edge gap behind red block; centroid direction within ±45°."/>
    <x:m/>
    <x:x v="0"/>
  </x:r>
  <x:r>
    <x:x v="1"/>
    <x:s v="Relational Placement"/>
    <x:n v="20"/>
    <x:s v="Place the green pen in front of the red block."/>
    <x:s v="green pen, red block, pink marker"/>
    <x:s v="green pen → 2–8 cm edge gap in front of red block; centroid direction within ±45°."/>
    <x:s v="succeeded reasoning; moved green pen to the front of the red block but didn't let go"/>
    <x:x v="1"/>
  </x:r>
  <x:r>
    <x:x v="0"/>
    <x:s v="Relational Placement"/>
    <x:n v="21"/>
    <x:s v="Place the green pen behind the red block."/>
    <x:s v="green pen, red block, pink marker"/>
    <x:s v="green pen → 2–8 cm edge gap behind red block; centroid direction within ±45°."/>
    <x:m/>
    <x:x v="1"/>
  </x:r>
  <x:r>
    <x:x v="0"/>
    <x:s v="Relational Placement"/>
    <x:n v="22"/>
    <x:s v="Place the red block in front of the green pen."/>
    <x:s v="green pen, red block, pink marker"/>
    <x:s v="red block → 2–8 cm edge gap in front of green pen; centroid direction within ±45°."/>
    <x:m/>
    <x:x v="1"/>
  </x:r>
  <x:r>
    <x:x v="0"/>
    <x:s v="Relational Placement"/>
    <x:n v="23"/>
    <x:s v="Place the red block behind the green pen."/>
    <x:s v="green pen, red block, pink marker"/>
    <x:s v="red block → 2–8 cm edge gap behind green pen; centroid direction within ±45°."/>
    <x:m/>
    <x:x v="1"/>
  </x:r>
  <x:r>
    <x:x v="0"/>
    <x:s v="Relational Placement"/>
    <x:n v="24"/>
    <x:s v="Place the green pen in front of the red block."/>
    <x:s v="green pen, red block, blue block, pink marker"/>
    <x:s v="green pen → 2–8 cm edge gap in front of red block; centroid direction within ±45°."/>
    <x:m/>
    <x:x v="1"/>
  </x:r>
  <x:r>
    <x:x v="0"/>
    <x:s v="Relational Placement"/>
    <x:n v="25"/>
    <x:s v="Place the green pen behind the red block."/>
    <x:s v="green pen, red block, blue block, pink marker"/>
    <x:s v="green pen → 2–8 cm edge gap behind red block; centroid direction within ±45°."/>
    <x:m/>
    <x:x v="1"/>
  </x:r>
  <x:r>
    <x:x v="0"/>
    <x:s v="Relational Placement"/>
    <x:n v="26"/>
    <x:s v="Place the red block in front of the green pen."/>
    <x:s v="green pen, red block, blue block, pink marker"/>
    <x:s v="red block → 2–8 cm edge gap in front of green pen; centroid direction within ±45°."/>
    <x:m/>
    <x:x v="1"/>
  </x:r>
  <x:r>
    <x:x v="0"/>
    <x:s v="Relational Placement"/>
    <x:n v="27"/>
    <x:s v="Place the red block behind the green pen."/>
    <x:s v="green pen, red block, blue block, pink marker"/>
    <x:s v="red block → 2–8 cm edge gap behind green pen; centroid direction within ±45°."/>
    <x:s v="more to the right of the pink marker but also back of green pen. I'll count it"/>
    <x:x v="1"/>
  </x:r>
  <x:r>
    <x:x v="0"/>
    <x:s v="Relational Placement"/>
    <x:n v="28"/>
    <x:s v="Place the green pen in front of the red block."/>
    <x:s v="green pen, red block, pink marker"/>
    <x:s v="green pen → 2–8 cm edge gap in front of red block; centroid direction within ±45°."/>
    <x:m/>
    <x:x v="1"/>
  </x:r>
  <x:r>
    <x:x v="1"/>
    <x:s v="Relational Placement"/>
    <x:n v="29"/>
    <x:s v="Place the green pen behind the red block."/>
    <x:s v="green pen, red block, pink marker"/>
    <x:s v="green pen → 2–8 cm edge gap behind red block; centroid direction within ±45°."/>
    <x:s v="picked the pen funny and dropped it to the right of the red block; did go back to pick it up, but timed out"/>
    <x:x v="1"/>
  </x:r>
  <x:r>
    <x:x v="0"/>
    <x:s v="Relational Placement"/>
    <x:n v="30"/>
    <x:s v="Place the red block in front of the green pen."/>
    <x:s v="green pen, red block, pink marker"/>
    <x:s v="red block → 2–8 cm edge gap in front of green pen; centroid direction within ±45°."/>
    <x:m/>
    <x:x v="1"/>
  </x:r>
  <x:r>
    <x:x v="0"/>
    <x:s v="Relational Placement"/>
    <x:n v="31"/>
    <x:s v="Place the red block behind the green pen."/>
    <x:s v="green pen, red block, pink marker"/>
    <x:s v="red block → 2–8 cm edge gap behind green pen; centroid direction within ±45°."/>
    <x:m/>
    <x:x v="1"/>
  </x:r>
  <x:r>
    <x:x v="1"/>
    <x:s v="Relational Placement"/>
    <x:n v="32"/>
    <x:s v="Place the green pen to the left of the red block."/>
    <x:s v="green pen, red block, blue block, pink marker"/>
    <x:s v="green pen → 2–8 cm edge gap to the left of red block; centroid direction within ±45°."/>
    <x:s v="moved towards the red block but was at the back and never moved to the left; didn't let go of object and timed out"/>
    <x:x v="1"/>
  </x:r>
  <x:r>
    <x:x v="0"/>
    <x:s v="Relational Placement"/>
    <x:n v="33"/>
    <x:s v="Place the green pen to the right of the red block."/>
    <x:s v="green pen, red block, blue block, pink marker"/>
    <x:s v="green pen → 2–8 cm edge gap to the right of red block; centroid direction within ±45°."/>
    <x:m/>
    <x:x v="1"/>
  </x:r>
  <x:r>
    <x:x v="0"/>
    <x:s v="Relational Placement"/>
    <x:n v="34"/>
    <x:s v="Place the red block to the left of the green pen."/>
    <x:s v="green pen, red block, blue block, pink marker"/>
    <x:s v="red block → 2–8 cm edge gap to the left of green pen; centroid direction within ±45°."/>
    <x:s v="didn't fully go home, but I'll count it. Struggled on the release"/>
    <x:x v="1"/>
  </x:r>
  <x:r>
    <x:x v="0"/>
    <x:s v="Relational Placement"/>
    <x:n v="35"/>
    <x:s v="Place the red block to the right of the green pen."/>
    <x:s v="green pen, red block, blue block, pink marker"/>
    <x:s v="red block → 2–8 cm edge gap to the right of green pen; centroid direction within ±45°."/>
    <x:m/>
    <x:x v="1"/>
  </x:r>
  <x:r>
    <x:x v="0"/>
    <x:s v="Relational Placement"/>
    <x:n v="36"/>
    <x:s v="Place the green pen to the left of the red block."/>
    <x:s v="green pen, red block, pink marker"/>
    <x:s v="green pen → 2–8 cm edge gap to the left of red block; centroid direction within ±45°."/>
    <x:m/>
    <x:x v="1"/>
  </x:r>
  <x:r>
    <x:x v="0"/>
    <x:s v="Relational Placement"/>
    <x:n v="37"/>
    <x:s v="Place the green pen to the right of the red block."/>
    <x:s v="green pen, red block, pink marker"/>
    <x:s v="green pen → 2–8 cm edge gap to the right of red block; centroid direction within ±45°."/>
    <x:m/>
    <x:x v="1"/>
  </x:r>
  <x:r>
    <x:x v="0"/>
    <x:s v="Relational Placement"/>
    <x:n v="38"/>
    <x:s v="Place the red block to the left of the green pen."/>
    <x:s v="green pen, red block, pink marker"/>
    <x:s v="red block → 2–8 cm edge gap to the left of green pen; centroid direction within ±45°."/>
    <x:m/>
    <x:x v="1"/>
  </x:r>
  <x:r>
    <x:x v="0"/>
    <x:s v="Relational Placement"/>
    <x:n v="39"/>
    <x:s v="Place the red block to the right of the green pen."/>
    <x:s v="green pen, red block, pink marker"/>
    <x:s v="red block → 2–8 cm edge gap to the right of green pen; centroid direction within ±45°."/>
    <x:m/>
    <x:x v="1"/>
  </x:r>
  <x:r>
    <x:x v="0"/>
    <x:s v="Relational Placement"/>
    <x:n v="40"/>
    <x:s v="Place the green pen to the left of the red block."/>
    <x:s v="green pen, red block, blue block, pink marker"/>
    <x:s v="green pen → 2–8 cm edge gap to the left of red block; centroid direction within ±45°."/>
    <x:m/>
    <x:x v="1"/>
  </x:r>
  <x:r>
    <x:x v="0"/>
    <x:s v="Relational Placement"/>
    <x:n v="41"/>
    <x:s v="Place the green pen to the right of the red block."/>
    <x:s v="green pen, red block, blue block, pink marker"/>
    <x:s v="green pen → 2–8 cm edge gap to the right of red block; centroid direction within ±45°."/>
    <x:m/>
    <x:x v="1"/>
  </x:r>
  <x:r>
    <x:x v="0"/>
    <x:s v="Relational Placement"/>
    <x:n v="42"/>
    <x:s v="Place the red block to the left of the green pen."/>
    <x:s v="green pen, red block, blue block, pink marker"/>
    <x:s v="red block → 2–8 cm edge gap to the left of green pen; centroid direction within ±45°."/>
    <x:m/>
    <x:x v="1"/>
  </x:r>
  <x:r>
    <x:x v="0"/>
    <x:s v="Relational Placement"/>
    <x:n v="43"/>
    <x:s v="Place the red block to the right of the green pen."/>
    <x:s v="green pen, red block, blue block, pink marker"/>
    <x:s v="red block → 2–8 cm edge gap to the right of green pen; centroid direction within ±45°."/>
    <x:m/>
    <x:x v="1"/>
  </x:r>
  <x:r>
    <x:x v="0"/>
    <x:s v="Relational Placement"/>
    <x:n v="44"/>
    <x:s v="Place the green pen in front of the red block."/>
    <x:s v="green pen, red block, pink marker"/>
    <x:s v="green pen → 2–8 cm edge gap in front of red block; centroid direction within ±45°."/>
    <x:m/>
    <x:x v="1"/>
  </x:r>
  <x:r>
    <x:x v="0"/>
    <x:s v="Relational Placement"/>
    <x:n v="45"/>
    <x:s v="Place the green pen next to the red block."/>
    <x:s v="green pen, red block, pink marker"/>
    <x:s v="green pen → 2–8 cm edge gap near red block; no directional sector required."/>
    <x:s v="leaning on the block; leaning on the right side"/>
    <x:x v="2"/>
  </x:r>
  <x:r>
    <x:x v="1"/>
    <x:s v="Relational Placement"/>
    <x:n v="46"/>
    <x:s v="Position the green pen on the robot-facing side of the red block."/>
    <x:s v="green pen, red block, pink marker"/>
    <x:s v="green pen → 2–8 cm edge gap in front of red block; centroid direction within ±45°."/>
    <x:s v="leaning on the block; leaning on the right side"/>
    <x:x v="3"/>
  </x:r>
  <x:r>
    <x:x v="0"/>
    <x:s v="Relational Placement"/>
    <x:n v="47"/>
    <x:s v="Set the green pen down close to the red block."/>
    <x:s v="green pen, red block, pink marker"/>
    <x:s v="green pen → 2–8 cm edge gap near red block; no directional sector required."/>
    <x:s v="leaning on the block; leaning on the right side"/>
    <x:x v="3"/>
  </x:r>
  <x:r>
    <x:x v="0"/>
    <x:s v="Relational Placement"/>
    <x:n v="48"/>
    <x:s v="Place the green pen in front of the red block."/>
    <x:s v="green pen, red block, blue block, pink marker"/>
    <x:s v="green pen → 2–8 cm edge gap in front of red block; centroid direction within ±45°."/>
    <x:m/>
    <x:x v="1"/>
  </x:r>
  <x:r>
    <x:x v="0"/>
    <x:s v="Relational Placement"/>
    <x:n v="49"/>
    <x:s v="Put the green pen beside the red block."/>
    <x:s v="green pen, red block, blue block, pink marker"/>
    <x:s v="green pen → 2–8 cm edge gap near red block; no directional sector required."/>
    <x:s v="placed behind"/>
    <x:x v="2"/>
  </x:r>
  <x:r>
    <x:x v="1"/>
    <x:s v="Relational Placement"/>
    <x:n v="50"/>
    <x:s v="Position the green pen on the robot-facing side of the red block."/>
    <x:s v="green pen, red block, blue block, pink marker"/>
    <x:s v="green pen → 2–8 cm edge gap in front of red block; centroid direction within ±45°."/>
    <x:s v="placed to the left; technically robot facing in this set up so maybe it is a success..."/>
    <x:x v="3"/>
  </x:r>
  <x:r>
    <x:x v="1"/>
    <x:s v="Relational Placement"/>
    <x:n v="51"/>
    <x:s v="Set the green pen down close to the red block."/>
    <x:s v="green pen, red block, blue block, pink marker"/>
    <x:s v="green pen → 2–8 cm edge gap near red block; no directional sector required."/>
    <x:s v="didn't let go of the pen; had it on top of the red block"/>
    <x:x v="3"/>
  </x:r>
  <x:r>
    <x:x v="0"/>
    <x:s v="Relational Placement"/>
    <x:n v="52"/>
    <x:s v="Place the red block in front of the green pen."/>
    <x:s v="red block, green pen, pink marker"/>
    <x:s v="red block → 2–8 cm edge gap in front of green pen; centroid direction within ±45°."/>
    <x:s v="struggled to release the block"/>
    <x:x v="1"/>
  </x:r>
  <x:r>
    <x:x v="0"/>
    <x:s v="Relational Placement"/>
    <x:n v="53"/>
    <x:s v="Put the red block beside the green pen."/>
    <x:s v="red block, green pen, pink marker"/>
    <x:s v="red block → 2–8 cm edge gap near green pen; no directional sector required."/>
    <x:s v="placed behind/left since knocked the pen"/>
    <x:x v="2"/>
  </x:r>
  <x:r>
    <x:x v="1"/>
    <x:s v="Relational Placement"/>
    <x:n v="54"/>
    <x:s v="Position the red block on the robot-facing side of the green pen."/>
    <x:s v="red block, green pen, pink marker"/>
    <x:s v="red block → 2–8 cm edge gap in front of green pen; centroid direction within ±45°."/>
    <x:s v="placed behind"/>
    <x:x v="3"/>
  </x:r>
  <x:r>
    <x:x v="0"/>
    <x:s v="Relational Placement"/>
    <x:n v="55"/>
    <x:s v="Set the red block down close to the green pen."/>
    <x:s v="red block, green pen, pink marker"/>
    <x:s v="red block → 2–8 cm edge gap near green pen; no directional sector required."/>
    <x:m/>
    <x:x v="3"/>
  </x:r>
  <x:r>
    <x:x v="1"/>
    <x:s v="Relational Placement"/>
    <x:n v="56"/>
    <x:s v="Place the green pen behind the red block."/>
    <x:s v="green pen, red block, blue block, pink marker"/>
    <x:s v="green pen → 2–8 cm edge gap behind red block; centroid direction within ±45°."/>
    <x:s v="grasped green pen funny and was recovering, but ran out of time"/>
    <x:x v="1"/>
  </x:r>
  <x:r>
    <x:x v="0"/>
    <x:s v="Relational Placement"/>
    <x:n v="57"/>
    <x:s v="Place the green pen next to the red block."/>
    <x:s v="green pen, red block, blue block, pink marker"/>
    <x:s v="green pen → 2–8 cm edge gap near red block; no directional sector required."/>
    <x:s v="put pen on the block but didn't let go until end of episode. didn't fully go home but I'll count it; put pen on the left side, leaning on the block"/>
    <x:x v="2"/>
  </x:r>
  <x:r>
    <x:x v="1"/>
    <x:s v="Relational Placement"/>
    <x:n v="58"/>
    <x:s v="Position the green pen on the far side of the red block, away from the robot."/>
    <x:s v="green pen, red block, blue block, pink marker"/>
    <x:s v="green pen → 2–8 cm edge gap behind red block; centroid direction within ±45°."/>
    <x:s v="also put pen on the block and pushed the block; didn't let go of the pen"/>
    <x:x v="3"/>
  </x:r>
  <x:r>
    <x:x v="1"/>
    <x:s v="Relational Placement"/>
    <x:n v="59"/>
    <x:s v="Set the green pen down close to the red block."/>
    <x:s v="green pen, red block, blue block, pink marker"/>
    <x:s v="green pen → 2–8 cm edge gap near red block; no directional sector required."/>
    <x:s v="also put pen on the block and pushed the block; let go of the pen and fell in front of the block"/>
    <x:x v="3"/>
  </x:r>
  <x:r>
    <x:x v="1"/>
    <x:s v="Relational Placement"/>
    <x:n v="60"/>
    <x:s v="Place the red block behind the green pen."/>
    <x:s v="red block, green pen, pink marker"/>
    <x:s v="red block → 2–8 cm edge gap behind green pen; centroid direction within ±45°."/>
    <x:s v="couldn't even pick up the red block"/>
    <x:x v="1"/>
  </x:r>
  <x:r>
    <x:x v="1"/>
    <x:s v="Relational Placement"/>
    <x:n v="61"/>
    <x:s v="Move the red block near the green pen."/>
    <x:s v="red block, green pen, pink marker"/>
    <x:s v="red block → 2–8 cm edge gap near green pen; no directional sector required."/>
    <x:s v="succeeded reasoning; couldn't let go of the red block"/>
    <x:x v="2"/>
  </x:r>
  <x:r>
    <x:x v="0"/>
    <x:s v="Relational Placement"/>
    <x:n v="62"/>
    <x:s v="Position the red block on the far side of the green pen, away from the robot."/>
    <x:s v="red block, green pen, pink marker"/>
    <x:s v="red block → 2–8 cm edge gap behind green pen; centroid direction within ±45°."/>
    <x:m/>
    <x:x v="3"/>
  </x:r>
  <x:r>
    <x:x v="1"/>
    <x:s v="Relational Placement"/>
    <x:n v="63"/>
    <x:s v="Set the red block down close to the green pen."/>
    <x:s v="red block, green pen, pink marker"/>
    <x:s v="red block → 2–8 cm edge gap near green pen; no directional sector required."/>
    <x:s v="overgripped and block sputtered close to green pen, but robot didn't return home"/>
    <x:x v="3"/>
  </x:r>
  <x:r>
    <x:x v="1"/>
    <x:s v="Relational Placement"/>
    <x:n v="64"/>
    <x:s v="Place the red block behind the green pen."/>
    <x:s v="red block, green pen, blue block, pink marker"/>
    <x:s v="red block → 2–8 cm edge gap behind green pen; centroid direction within ±45°."/>
    <x:s v="kept pinching the block when it was on the table; didn't return home; succeeded reasoning"/>
    <x:x v="1"/>
  </x:r>
  <x:r>
    <x:x v="0"/>
    <x:s v="Relational Placement"/>
    <x:n v="65"/>
    <x:s v="Place the red block next to the green pen."/>
    <x:s v="red block, green pen, blue block, pink marker"/>
    <x:s v="red block → 2–8 cm edge gap near green pen; no directional sector required."/>
    <x:s v="placed in front of pen"/>
    <x:x v="2"/>
  </x:r>
  <x:r>
    <x:x v="0"/>
    <x:s v="Relational Placement"/>
    <x:n v="66"/>
    <x:s v="Position the red block on the far side of the green pen, away from the robot."/>
    <x:s v="red block, green pen, blue block, pink marker"/>
    <x:s v="red block → 2–8 cm edge gap behind green pen; centroid direction within ±45°."/>
    <x:m/>
    <x:x v="3"/>
  </x:r>
  <x:r>
    <x:x v="0"/>
    <x:s v="Relational Placement"/>
    <x:n v="67"/>
    <x:s v="Set the red block down close to the green pen."/>
    <x:s v="red block, green pen, blue block, pink marker"/>
    <x:s v="red block → 2–8 cm edge gap near green pen; no directional sector required."/>
    <x:s v="put in front of pen"/>
    <x:x v="3"/>
  </x:r>
  <x:r>
    <x:x v="0"/>
    <x:s v="Relational Placement"/>
    <x:n v="68"/>
    <x:s v="Place the green pen to the left of the red block."/>
    <x:s v="green pen, red block, pink marker"/>
    <x:s v="green pen → 2–8 cm edge gap to the left of red block; centroid direction within ±45°."/>
    <x:m/>
    <x:x v="1"/>
  </x:r>
  <x:r>
    <x:x v="0"/>
    <x:s v="Relational Placement"/>
    <x:n v="69"/>
    <x:s v="Place the green pen next to the red block."/>
    <x:s v="green pen, red block, pink marker"/>
    <x:s v="green pen → 2–8 cm edge gap near red block; no directional sector required."/>
    <x:m/>
    <x:x v="2"/>
  </x:r>
  <x:r>
    <x:x v="0"/>
    <x:s v="Relational Placement"/>
    <x:n v="70"/>
    <x:s v="Position the green pen on the robot's left-hand side of the red block."/>
    <x:s v="green pen, red block, pink marker"/>
    <x:s v="green pen → 2–8 cm edge gap to the left of red block; centroid direction within ±45°."/>
    <x:m/>
    <x:x v="3"/>
  </x:r>
  <x:r>
    <x:x v="0"/>
    <x:s v="Relational Placement"/>
    <x:n v="71"/>
    <x:s v="Set the green pen down close to the red block."/>
    <x:s v="green pen, red block, pink marker"/>
    <x:s v="green pen → 2–8 cm edge gap near red block; no directional sector required."/>
    <x:s v="placed in front"/>
    <x:x v="3"/>
  </x:r>
  <x:r>
    <x:x v="0"/>
    <x:s v="Relational Placement"/>
    <x:n v="72"/>
    <x:s v="Place the red block to the left of the green pen."/>
    <x:s v="red block, green pen, blue block, pink marker"/>
    <x:s v="red block → 2–8 cm edge gap to the left of green pen; centroid direction within ±45°."/>
    <x:m/>
    <x:x v="1"/>
  </x:r>
  <x:r>
    <x:x v="0"/>
    <x:s v="Relational Placement"/>
    <x:n v="73"/>
    <x:s v="Place the red block next to the green pen."/>
    <x:s v="red block, green pen, blue block, pink marker"/>
    <x:s v="red block → 2–8 cm edge gap near green pen; no directional sector required."/>
    <x:s v="placed on left"/>
    <x:x v="2"/>
  </x:r>
  <x:r>
    <x:x v="0"/>
    <x:s v="Relational Placement"/>
    <x:n v="74"/>
    <x:s v="Position the red block on the robot's left-hand side of the green pen."/>
    <x:s v="red block, green pen, blue block, pink marker"/>
    <x:s v="red block → 2–8 cm edge gap to the left of green pen; centroid direction within ±45°."/>
    <x:m/>
    <x:x v="3"/>
  </x:r>
  <x:r>
    <x:x v="0"/>
    <x:s v="Relational Placement"/>
    <x:n v="75"/>
    <x:s v="Set the red block down close to the green pen."/>
    <x:s v="red block, green pen, blue block, pink marker"/>
    <x:s v="red block → 2–8 cm edge gap near green pen; no directional sector required."/>
    <x:s v="placed left"/>
    <x:x v="3"/>
  </x:r>
  <x:r>
    <x:x v="0"/>
    <x:s v="Relational Placement"/>
    <x:n v="76"/>
    <x:s v="Place the green pen to the right of the red block."/>
    <x:s v="green pen, red block, pink marker"/>
    <x:s v="green pen → 2–8 cm edge gap to the right of red block; centroid direction within ±45°."/>
    <x:m/>
    <x:x v="1"/>
  </x:r>
  <x:r>
    <x:x v="0"/>
    <x:s v="Relational Placement"/>
    <x:n v="77"/>
    <x:s v="Place the green pen next to the red block."/>
    <x:s v="green pen, red block, pink marker"/>
    <x:s v="green pen → 2–8 cm edge gap near red block; no directional sector required."/>
    <x:m/>
    <x:x v="2"/>
  </x:r>
  <x:r>
    <x:x v="0"/>
    <x:s v="Relational Placement"/>
    <x:n v="78"/>
    <x:s v="Position the green pen on the robot's right-hand side of the red block."/>
    <x:s v="green pen, red block, pink marker"/>
    <x:s v="green pen → 2–8 cm edge gap to the right of red block; centroid direction within ±45°."/>
    <x:m/>
    <x:x v="3"/>
  </x:r>
  <x:r>
    <x:x v="0"/>
    <x:s v="Relational Placement"/>
    <x:n v="79"/>
    <x:s v="Set the green pen down close to the red block."/>
    <x:s v="green pen, red block, pink marker"/>
    <x:s v="green pen → 2–8 cm edge gap near red block; no directional sector required."/>
    <x:s v="pushed the red block with pen in gripper. green pen ended up on the right of the red block"/>
    <x:x v="3"/>
  </x:r>
  <x:r>
    <x:x v="0"/>
    <x:s v="Relational Placement"/>
    <x:n v="80"/>
    <x:s v="Place the red block to the right of the green pen."/>
    <x:s v="red block, green pen, blue block, pink marker"/>
    <x:s v="red block → 2–8 cm edge gap to the right of green pen; centroid direction within ±45°."/>
    <x:s v="took a long timme to go home after putting the block to the right of the pen"/>
    <x:x v="1"/>
  </x:r>
  <x:r>
    <x:x v="0"/>
    <x:s v="Relational Placement"/>
    <x:n v="81"/>
    <x:s v="Put the red block beside the green pen."/>
    <x:s v="red block, green pen, blue block, pink marker"/>
    <x:s v="red block → 2–8 cm edge gap near green pen; no directional sector required."/>
    <x:m/>
    <x:x v="2"/>
  </x:r>
  <x:r>
    <x:x v="1"/>
    <x:s v="Relational Placement"/>
    <x:n v="82"/>
    <x:s v="Position the red block on the robot's right-hand side of the green pen."/>
    <x:s v="red block, green pen, blue block, pink marker"/>
    <x:s v="red block → 2–8 cm edge gap to the right of green pen; centroid direction within ±45°."/>
    <x:s v="placed on the left"/>
    <x:x v="3"/>
  </x:r>
  <x:r>
    <x:x v="0"/>
    <x:s v="Relational Placement"/>
    <x:n v="83"/>
    <x:s v="Set the red block down close to the green pen."/>
    <x:s v="red block, green pen, blue block, pink marker"/>
    <x:s v="red block → 2–8 cm edge gap near green pen; no directional sector required."/>
    <x:s v="placed on the left"/>
    <x:x v="3"/>
  </x:r>
  <x:r>
    <x:x v="1"/>
    <x:s v="Relational Placement"/>
    <x:n v="84"/>
    <x:s v="Place the green pen in front of the red block."/>
    <x:s v="green pen, red block, pink marker, blue block"/>
    <x:s v="green pen → 2–8 cm edge gap in front of red block; centroid direction within ±45°."/>
    <x:s v="placed more toward the left"/>
    <x:x v="1"/>
  </x:r>
  <x:r>
    <x:x v="0"/>
    <x:s v="Relational Placement"/>
    <x:n v="85"/>
    <x:s v="Put the green pen beside the red block."/>
    <x:s v="green pen, red block, pink marker, blue block"/>
    <x:s v="green pen → 2–8 cm edge gap near red block; no directional sector required."/>
    <x:s v="placed to the right"/>
    <x:x v="2"/>
  </x:r>
  <x:r>
    <x:x v="1"/>
    <x:s v="Relational Placement"/>
    <x:n v="86"/>
    <x:s v="Place the red block in front of the green pen."/>
    <x:s v="red block, green pen, blue block"/>
    <x:s v="red block → 2–8 cm edge gap in front of green pen; centroid direction within ±45°."/>
    <x:s v="succeeded reasoning; put the red block in front of the green pen, but didn't return to home position"/>
    <x:x v="1"/>
  </x:r>
  <x:r>
    <x:x v="0"/>
    <x:s v="Relational Placement"/>
    <x:n v="87"/>
    <x:s v="Place the red block next to the green pen."/>
    <x:s v="red block, green pen, blue block"/>
    <x:s v="red block → 2–8 cm edge gap near green pen; no directional sector required."/>
    <x:s v="did place the red block in front of the green pen"/>
    <x:x v="2"/>
  </x:r>
  <x:r>
    <x:x v="1"/>
    <x:s v="Relational Placement"/>
    <x:n v="88"/>
    <x:s v="Place the green pen behind the red block."/>
    <x:s v="green pen, red block, pink marker"/>
    <x:s v="green pen → 2–8 cm edge gap behind red block; centroid direction within ±45°."/>
    <x:s v="placed behind the pink marker and then didn't return to home position"/>
    <x:x v="1"/>
  </x:r>
  <x:r>
    <x:x v="0"/>
    <x:s v="Relational Placement"/>
    <x:n v="89"/>
    <x:s v="Place the green pen next to the red block."/>
    <x:s v="green pen, red block, pink marker"/>
    <x:s v="green pen → 2–8 cm edge gap near red block; no directional sector required."/>
    <x:s v="placed in front of the red block"/>
    <x:x v="2"/>
  </x:r>
  <x:r>
    <x:x v="0"/>
    <x:s v="Relational Placement"/>
    <x:n v="90"/>
    <x:s v="Place the red block behind the green pen."/>
    <x:s v="red block, green pen, blue block, pink marker"/>
    <x:s v="red block → 2–8 cm edge gap behind green pen; centroid direction within ±45°."/>
    <x:s v="succeeded in reasoning and struggled to go home"/>
    <x:x v="1"/>
  </x:r>
  <x:r>
    <x:x v="0"/>
    <x:s v="Relational Placement"/>
    <x:n v="91"/>
    <x:s v="Place the red block next to the green pen."/>
    <x:s v="red block, green pen, blue block, pink marker"/>
    <x:s v="red block → 2–8 cm edge gap near green pen; no directional sector required."/>
    <x:s v="placed in front of the red block"/>
    <x:x v="2"/>
  </x:r>
  <x:r>
    <x:x v="1"/>
    <x:s v="Relational Placement"/>
    <x:n v="92"/>
    <x:s v="Place the green pen to the left of the red block."/>
    <x:s v="green pen, red block, pink marker, blue block"/>
    <x:s v="green pen → 2–8 cm edge gap to the left of red block; centroid direction within ±45°."/>
    <x:s v="succeeded reasoning; and moved the pen to the left, but couldn't release it"/>
    <x:x v="1"/>
  </x:r>
  <x:r>
    <x:x v="0"/>
    <x:s v="Relational Placement"/>
    <x:n v="93"/>
    <x:s v="Move the green pen near the red block."/>
    <x:s v="green pen, red block, pink marker, blue block"/>
    <x:s v="green pen → 2–8 cm edge gap near red block; no directional sector required."/>
    <x:s v="placed green pen behind the red block"/>
    <x:x v="2"/>
  </x:r>
  <x:r>
    <x:x v="0"/>
    <x:s v="Relational Placement"/>
    <x:n v="94"/>
    <x:s v="Place the red block to the left of the green pen."/>
    <x:s v="red block, green pen, blue block"/>
    <x:s v="red block → 2–8 cm edge gap to the left of green pen; centroid direction within ±45°."/>
    <x:s v="closer to the right of the pink marker; started to go to red block after returning home, but didn't actually move the red block"/>
    <x:x v="1"/>
  </x:r>
  <x:r>
    <x:x v="0"/>
    <x:s v="Relational Placement"/>
    <x:n v="95"/>
    <x:s v="Put the red block beside the green pen."/>
    <x:s v="red block, green pen, blue block"/>
    <x:s v="red block → 2–8 cm edge gap near green pen; no directional sector required."/>
    <x:s v="placed on the left"/>
    <x:x v="2"/>
  </x:r>
  <x:r>
    <x:x v="0"/>
    <x:s v="Relational Placement"/>
    <x:n v="96"/>
    <x:s v="Place the red block to the left of the green pen."/>
    <x:s v="red block, green pen, pink marker, blue block"/>
    <x:s v="red block → 2–8 cm edge gap to the left of green pen; centroid direction within ±45°."/>
    <x:m/>
    <x:x v="1"/>
  </x:r>
  <x:r>
    <x:x v="0"/>
    <x:s v="Relational Placement"/>
    <x:n v="97"/>
    <x:s v="Place the red block next to the green pen."/>
    <x:s v="red block, green pen, pink marker, blue block"/>
    <x:s v="red block → 2–8 cm edge gap near green pen; no directional sector required."/>
    <x:s v="also placed on the left; struggled to release again"/>
    <x:x v="2"/>
  </x:r>
  <x:r>
    <x:x v="0"/>
    <x:s v="Relational Placement"/>
    <x:n v="98"/>
    <x:s v="Place the green pen to the right of the red block."/>
    <x:s v="green pen, red block, blue block"/>
    <x:s v="green pen → 2–8 cm edge gap to the right of red block; centroid direction within ±45°."/>
    <x:m/>
    <x:x v="1"/>
  </x:r>
  <x:r>
    <x:x v="0"/>
    <x:s v="Relational Placement"/>
    <x:n v="99"/>
    <x:s v="Put the green pen beside the red block."/>
    <x:s v="green pen, red block, blue block"/>
    <x:s v="green pen → 2–8 cm edge gap near red block; no directional sector required."/>
    <x:s v="placed on the left"/>
    <x:x v="2"/>
  </x:r>
  <x:r>
    <x:x v="1"/>
    <x:s v="Relational Placement"/>
    <x:n v="100"/>
    <x:s v="Place the green pen to the right of the red block."/>
    <x:s v="green pen, red block, pink marker, blue block"/>
    <x:s v="green pen → 2–8 cm edge gap to the right of red block; centroid direction within ±45°."/>
    <x:s v="brought the green pen to the red block then held it for a while and dropped it in front/left of the red block"/>
    <x:x v="1"/>
  </x:r>
  <x:r>
    <x:x v="1"/>
    <x:s v="Relational Placement"/>
    <x:n v="101"/>
    <x:s v="Move the green pen near the red block."/>
    <x:s v="green pen, red block, pink marker, blue block"/>
    <x:s v="green pen → 2–8 cm edge gap near red block; no directional sector required."/>
    <x:s v="moved the pink marker to the left of the red block, then went and got the green pen. Did end up putting the green pen near the red block, but timed out before releasing it and returning home"/>
    <x:x v="2"/>
  </x:r>
  <x:r>
    <x:x v="0"/>
    <x:s v="Relational Placement"/>
    <x:n v="102"/>
    <x:s v="Place the red block to the right of the green pen."/>
    <x:s v="red block, green pen, blue block"/>
    <x:s v="red block → 2–8 cm edge gap to the right of green pen; centroid direction within ±45°."/>
    <x:m/>
    <x:x v="1"/>
  </x:r>
  <x:r>
    <x:x v="1"/>
    <x:s v="Relational Placement"/>
    <x:n v="103"/>
    <x:s v="Move the red block near the green pen."/>
    <x:s v="red block, green pen, blue block"/>
    <x:s v="red block → 2–8 cm edge gap near green pen; no directional sector required."/>
    <x:s v="succeeded reasoning and moved it near the green block but didn't release it"/>
    <x:x v="2"/>
  </x:r>
  <x:r>
    <x:x v="0"/>
    <x:s v="Relational Placement"/>
    <x:n v="104"/>
    <x:s v="Place the green pen in front of the red block."/>
    <x:s v="green pen, red block, pink marker"/>
    <x:s v="green pen → 2–8 cm edge gap in front of red block; centroid direction within ±45°."/>
    <x:s v="hesitates to go back home"/>
    <x:x v="1"/>
  </x:r>
  <x:r>
    <x:x v="0"/>
    <x:s v="Relational Placement"/>
    <x:n v="105"/>
    <x:s v="Place the red block in front of the green pen."/>
    <x:s v="red block, green pen, blue block, pink marker"/>
    <x:s v="red block → 2–8 cm edge gap in front of green pen; centroid direction within ±45°."/>
    <x:m/>
    <x:x v="1"/>
  </x:r>
  <x:r>
    <x:x v="0"/>
    <x:s v="Relational Placement"/>
    <x:n v="106"/>
    <x:s v="Place the green pen behind the red block."/>
    <x:s v="green pen, red block, pink marker, blue block"/>
    <x:s v="green pen → 2–8 cm edge gap behind red block; centroid direction within ±45°."/>
    <x:m/>
    <x:x v="1"/>
  </x:r>
  <x:r>
    <x:x v="0"/>
    <x:s v="Relational Placement"/>
    <x:n v="107"/>
    <x:s v="Place the red block behind the green pen."/>
    <x:s v="red block, green pen, blue block"/>
    <x:s v="red block → 2–8 cm edge gap behind green pen; centroid direction within ±45°."/>
    <x:m/>
    <x:x v="1"/>
  </x:r>
  <x:r>
    <x:x v="0"/>
    <x:s v="Relational Placement"/>
    <x:n v="108"/>
    <x:s v="Place the green pen to the left of the red block."/>
    <x:s v="green pen, red block, pink marker"/>
    <x:s v="green pen → 2–8 cm edge gap to the left of red block; centroid direction within ±45°."/>
    <x:m/>
    <x:x v="1"/>
  </x:r>
  <x:r>
    <x:x v="0"/>
    <x:s v="Relational Placement"/>
    <x:n v="109"/>
    <x:s v="Place the red block to the right of the green pen."/>
    <x:s v="red block, green pen, blue block, pink marker"/>
    <x:s v="red block → 2–8 cm edge gap to the right of green pen; centroid direction within ±45°."/>
    <x:s v="block leaning on the pen, but I'll count it"/>
    <x:x v="1"/>
  </x:r>
  <x:r>
    <x:x v="0"/>
    <x:s v="Relational Placement"/>
    <x:n v="110"/>
    <x:s v="Place the juggling ball in front of the pink marker."/>
    <x:s v="juggling ball, pink marker, green pen"/>
    <x:s v="juggling ball → 2–8 cm edge gap in front of pink marker; centroid direction within ±45°."/>
    <x:m/>
    <x:x v="11"/>
  </x:r>
  <x:r>
    <x:x v="0"/>
    <x:s v="Relational Placement"/>
    <x:n v="111"/>
    <x:s v="Place the juggling ball behind the pink marker."/>
    <x:s v="juggling ball, pink marker, green pen"/>
    <x:s v="juggling ball → 2–8 cm edge gap behind pink marker; centroid direction within ±45°."/>
    <x:s v="struggled to let go of the juggling ball"/>
    <x:x v="11"/>
  </x:r>
  <x:r>
    <x:x v="1"/>
    <x:s v="Relational Placement"/>
    <x:n v="112"/>
    <x:s v="Place the pink marker in front of the juggling ball."/>
    <x:s v="juggling ball, pink marker, green pen"/>
    <x:s v="pink marker → 2–8 cm edge gap in front of juggling ball; centroid direction within ±45°."/>
    <x:s v="started to take the pink marker to bowl, but then was sort of drifting back and forth with it in the gripper; didn't end up setting it down anywhere"/>
    <x:x v="11"/>
  </x:r>
  <x:r>
    <x:x v="1"/>
    <x:s v="Relational Placement"/>
    <x:n v="113"/>
    <x:s v="Place the pink marker behind the juggling ball."/>
    <x:s v="juggling ball, pink marker, green pen"/>
    <x:s v="pink marker → 2–8 cm edge gap behind juggling ball; centroid direction within ±45°."/>
    <x:s v="went to the pink marker 3 times and gripped it 2 times but let go."/>
    <x:x v="11"/>
  </x:r>
  <x:r>
    <x:x v="0"/>
    <x:s v="Relational Placement"/>
    <x:n v="114"/>
    <x:s v="Place the juggling ball in front of the blue block."/>
    <x:s v="juggling ball, blue block, red block, pink marker"/>
    <x:s v="juggling ball → 2–8 cm edge gap in front of blue block; centroid direction within ±45°."/>
    <x:m/>
    <x:x v="11"/>
  </x:r>
  <x:r>
    <x:x v="0"/>
    <x:s v="Relational Placement"/>
    <x:n v="115"/>
    <x:s v="Place the juggling ball behind the blue block."/>
    <x:s v="juggling ball, blue block, red block, pink marker"/>
    <x:s v="juggling ball → 2–8 cm edge gap behind blue block; centroid direction within ±45°."/>
    <x:m/>
    <x:x v="11"/>
  </x:r>
  <x:r>
    <x:x v="0"/>
    <x:s v="Relational Placement"/>
    <x:n v="116"/>
    <x:s v="Place the blue block in front of the juggling ball."/>
    <x:s v="juggling ball, blue block, red block, pink marker"/>
    <x:s v="blue block → 2–8 cm edge gap in front of juggling ball; centroid direction within ±45°."/>
    <x:m/>
    <x:x v="11"/>
  </x:r>
  <x:r>
    <x:x v="1"/>
    <x:s v="Relational Placement"/>
    <x:n v="117"/>
    <x:s v="Place the blue block behind the juggling ball."/>
    <x:s v="juggling ball, blue block, red block, pink marker"/>
    <x:s v="blue block → 2–8 cm edge gap behind juggling ball; centroid direction within ±45°."/>
    <x:s v="kept gripping and releasing the blue block"/>
    <x:x v="11"/>
  </x:r>
  <x:r>
    <x:x v="0"/>
    <x:s v="Relational Placement"/>
    <x:n v="118"/>
    <x:s v="Place the juggling ball to the left of the green pen."/>
    <x:s v="juggling ball, green pen, blue block"/>
    <x:s v="juggling ball → 2–8 cm edge gap to the left of green pen; centroid direction within ±45°."/>
    <x:m/>
    <x:x v="11"/>
  </x:r>
  <x:r>
    <x:x v="0"/>
    <x:s v="Relational Placement"/>
    <x:n v="119"/>
    <x:s v="Place the juggling ball to the right of the green pen."/>
    <x:s v="juggling ball, green pen, blue block"/>
    <x:s v="juggling ball → 2–8 cm edge gap to the right of green pen; centroid direction within ±45°."/>
    <x:m/>
    <x:x v="11"/>
  </x:r>
  <x:r>
    <x:x v="0"/>
    <x:s v="Relational Placement"/>
    <x:n v="120"/>
    <x:s v="Place the green pen to the left of the juggling ball."/>
    <x:s v="juggling ball, green pen, blue block"/>
    <x:s v="green pen → 2–8 cm edge gap to the left of juggling ball; centroid direction within ±45°."/>
    <x:s v="front left but I'll count it"/>
    <x:x v="11"/>
  </x:r>
  <x:r>
    <x:x v="0"/>
    <x:s v="Relational Placement"/>
    <x:n v="121"/>
    <x:s v="Place the green pen to the right of the juggling ball."/>
    <x:s v="juggling ball, green pen, blue block"/>
    <x:s v="green pen → 2–8 cm edge gap to the right of juggling ball; centroid direction within ±45°."/>
    <x:m/>
    <x:x v="11"/>
  </x:r>
  <x:r>
    <x:x v="0"/>
    <x:s v="Relational Placement"/>
    <x:n v="122"/>
    <x:s v="Place the juggling ball to the left of the red block."/>
    <x:s v="juggling ball, red block, pink marker, blue block"/>
    <x:s v="juggling ball → 2–8 cm edge gap to the left of red block; centroid direction within ±45°."/>
    <x:m/>
    <x:x v="11"/>
  </x:r>
  <x:r>
    <x:x v="1"/>
    <x:s v="Relational Placement"/>
    <x:n v="123"/>
    <x:s v="Place the juggling ball to the right of the red block."/>
    <x:s v="juggling ball, red block, pink marker, blue block"/>
    <x:s v="juggling ball → 2–8 cm edge gap to the right of red block; centroid direction within ±45°."/>
    <x:s v="picked the pink marker and was waving it back and forth"/>
    <x:x v="11"/>
  </x:r>
  <x:r>
    <x:x v="1"/>
    <x:s v="Relational Placement"/>
    <x:n v="124"/>
    <x:s v="Place the red block to the left of the juggling ball."/>
    <x:s v="juggling ball, red block, pink marker, blue block"/>
    <x:s v="red block → 2–8 cm edge gap to the left of juggling ball; centroid direction within ±45°."/>
    <x:s v="grasped the red block but didn't move it"/>
    <x:x v="11"/>
  </x:r>
  <x:r>
    <x:x v="1"/>
    <x:s v="Relational Placement"/>
    <x:n v="125"/>
    <x:s v="Place the red block to the right of the juggling ball."/>
    <x:s v="juggling ball, red block, pink marker, blue block"/>
    <x:s v="red block → 2–8 cm edge gap to the right of juggling ball; centroid direction within ±45°."/>
    <x:s v="placed red block to the left of juggling ball"/>
    <x:x v="11"/>
  </x:r>
  <x:r>
    <x:x v="0"/>
    <x:s v="Relational Placement"/>
    <x:n v="126"/>
    <x:s v="Place the juggling ball in front of the red block."/>
    <x:s v="juggling ball, red block, green pen, blue block"/>
    <x:s v="juggling ball → 2–8 cm edge gap in front of red block; centroid direction within ±45°."/>
    <x:m/>
    <x:x v="11"/>
  </x:r>
  <x:r>
    <x:x v="1"/>
    <x:s v="Relational Placement"/>
    <x:n v="127"/>
    <x:s v="Place the red block behind the juggling ball."/>
    <x:s v="juggling ball, red block, green pen, blue block"/>
    <x:s v="red block → 2–8 cm edge gap behind juggling ball; centroid direction within ±45°."/>
    <x:s v="moved a bit at the start of the episode and then returned back home"/>
    <x:x v="11"/>
  </x:r>
  <x:r>
    <x:x v="1"/>
    <x:s v="Relational Placement"/>
    <x:n v="128"/>
    <x:s v="Place the juggling ball to the left of the green pen."/>
    <x:s v="juggling ball, red block, green pen, blue block"/>
    <x:s v="juggling ball → 2–8 cm edge gap to the left of green pen; centroid direction within ±45°."/>
    <x:s v="didn't move"/>
    <x:x v="11"/>
  </x:r>
  <x:r>
    <x:x v="0"/>
    <x:s v="Relational Placement"/>
    <x:n v="129"/>
    <x:s v="Place the green pen to the right of the juggling ball."/>
    <x:s v="juggling ball, red block, green pen, blue block"/>
    <x:s v="green pen → 2–8 cm edge gap to the right of juggling ball; centroid direction within ±45°."/>
    <x:s v="placed to the right and went home, but then went back towards juggling ball;  I think it counts"/>
    <x:x v="11"/>
  </x:r>
  <x:r>
    <x:x v="0"/>
    <x:s v="Relational Placement"/>
    <x:n v="130"/>
    <x:s v="Place the green pen to the left of the pink marker."/>
    <x:s v="green pen, pink marker, blue block"/>
    <x:s v="NO MOVEMENT — requested relation is already satisfied at the start: green pen → 2–8 cm edge gap to the left of pink marker; centroid direction within ±45°."/>
    <x:m/>
    <x:x v="6"/>
  </x:r>
  <x:r>
    <x:x v="0"/>
    <x:s v="Relational Placement"/>
    <x:n v="131"/>
    <x:s v="Place the pink marker to the right of the green pen."/>
    <x:s v="green pen, pink marker, blue block"/>
    <x:s v="NO MOVEMENT — requested relation is already satisfied at the start: pink marker → 2–8 cm edge gap to the right of green pen; centroid direction within ±45°."/>
    <x:m/>
    <x:x v="6"/>
  </x:r>
  <x:r>
    <x:x v="1"/>
    <x:s v="Relational Placement"/>
    <x:n v="132"/>
    <x:s v="Place the green pen to the left of the pink marker."/>
    <x:s v="green pen, pink marker, blue block"/>
    <x:s v="green pen → 2–8 cm edge gap to the left of pink marker; centroid direction within ±45°."/>
    <x:s v="didn't move"/>
    <x:x v="12"/>
  </x:r>
  <x:r>
    <x:x v="1"/>
    <x:s v="Relational Placement"/>
    <x:n v="133"/>
    <x:s v="Place the pink marker to the right of the green pen."/>
    <x:s v="green pen, pink marker, blue block"/>
    <x:s v="pink marker → 2–8 cm edge gap to the right of green pen; centroid direction within ±45°."/>
    <x:s v="didn't move"/>
    <x:x v="12"/>
  </x:r>
  <x:r>
    <x:x v="1"/>
    <x:s v="Relational Placement"/>
    <x:n v="134"/>
    <x:s v="Place the green pen to the right of the pink marker."/>
    <x:s v="green pen, pink marker, red block, blue block"/>
    <x:s v="green pen → 2–8 cm edge gap to the right of pink marker; centroid direction within ±45°."/>
    <x:s v="didn't move"/>
    <x:x v="12"/>
  </x:r>
  <x:r>
    <x:x v="1"/>
    <x:s v="Relational Placement"/>
    <x:n v="135"/>
    <x:s v="Place the pink marker to the left of the green pen."/>
    <x:s v="green pen, pink marker, red block, blue block"/>
    <x:s v="pink marker → 2–8 cm edge gap to the left of green pen; centroid direction within ±45°."/>
    <x:s v="didn't move"/>
    <x:x v="12"/>
  </x:r>
  <x:r>
    <x:x v="0"/>
    <x:s v="Relational Placement"/>
    <x:n v="136"/>
    <x:s v="Place the green pen to the right of the pink marker."/>
    <x:s v="green pen, pink marker, red block, blue block"/>
    <x:s v="NO MOVEMENT — requested relation is already satisfied at the start: green pen → 2–8 cm edge gap to the right of pink marker; centroid direction within ±45°."/>
    <x:m/>
    <x:x v="6"/>
  </x:r>
  <x:r>
    <x:x v="0"/>
    <x:s v="Relational Placement"/>
    <x:n v="137"/>
    <x:s v="Place the pink marker to the left of the green pen."/>
    <x:s v="green pen, pink marker, red block, blue block"/>
    <x:s v="NO MOVEMENT — requested relation is already satisfied at the start: pink marker → 2–8 cm edge gap to the left of green pen; centroid direction within ±45°."/>
    <x:m/>
    <x:x v="6"/>
  </x:r>
  <x:r>
    <x:x v="0"/>
    <x:s v="Relational Placement"/>
    <x:n v="138"/>
    <x:s v="Place the green pen to the left of the blue block."/>
    <x:s v="green pen, blue block, pink marker"/>
    <x:s v="NO MOVEMENT — requested relation is already satisfied at the start: green pen → 2–8 cm edge gap to the left of blue block; centroid direction within ±45°."/>
    <x:m/>
    <x:x v="6"/>
  </x:r>
  <x:r>
    <x:x v="1"/>
    <x:s v="Relational Placement"/>
    <x:n v="139"/>
    <x:s v="Place the blue block to the right of the green pen."/>
    <x:s v="green pen, blue block, pink marker"/>
    <x:s v="NO MOVEMENT — requested relation is already satisfied at the start: blue block → 2–8 cm edge gap to the right of green pen; centroid direction within ±45°."/>
    <x:s v="moved to blue block 3 times and then returned home; didn't touch the block"/>
    <x:x v="6"/>
  </x:r>
  <x:r>
    <x:x v="1"/>
    <x:s v="Relational Placement"/>
    <x:n v="140"/>
    <x:s v="Place the green pen to the left of the blue block."/>
    <x:s v="green pen, blue block, pink marker"/>
    <x:s v="green pen → 2–8 cm edge gap to the left of blue block; centroid direction within ±45°."/>
    <x:s v="didn't move"/>
    <x:x v="12"/>
  </x:r>
  <x:r>
    <x:x v="0"/>
    <x:s v="Relational Placement"/>
    <x:n v="141"/>
    <x:s v="Place the blue block to the right of the green pen."/>
    <x:s v="green pen, blue block, pink marker"/>
    <x:s v="blue block → 2–8 cm edge gap to the right of green pen; centroid direction within ±45°."/>
    <x:m/>
    <x:x v="12"/>
  </x:r>
  <x:r>
    <x:x v="1"/>
    <x:s v="Relational Placement"/>
    <x:n v="142"/>
    <x:s v="Place the red block to the right of the pink marker."/>
    <x:s v="red block, pink marker, green pen, blue block"/>
    <x:s v="red block → 2–8 cm edge gap to the right of pink marker; centroid direction within ±45°."/>
    <x:s v="didn't move"/>
    <x:x v="12"/>
  </x:r>
  <x:r>
    <x:x v="1"/>
    <x:s v="Relational Placement"/>
    <x:n v="143"/>
    <x:s v="Place the pink marker to the left of the red block."/>
    <x:s v="red block, pink marker, green pen, blue block"/>
    <x:s v="pink marker → 2–8 cm edge gap to the left of red block; centroid direction within ±45°."/>
    <x:m/>
    <x:x v="12"/>
  </x:r>
  <x:r>
    <x:x v="0"/>
    <x:s v="Relational Placement"/>
    <x:n v="144"/>
    <x:s v="Place the red block to the right of the pink marker."/>
    <x:s v="red block, pink marker, green pen, blue block"/>
    <x:s v="NO MOVEMENT — requested relation is already satisfied at the start: red block → 2–8 cm edge gap to the right of pink marker; centroid direction within ±45°."/>
    <x:m/>
    <x:x v="6"/>
  </x:r>
  <x:r>
    <x:x v="0"/>
    <x:s v="Relational Placement"/>
    <x:n v="145"/>
    <x:s v="Place the pink marker to the left of the red block."/>
    <x:s v="red block, pink marker, green pen, blue block"/>
    <x:s v="NO MOVEMENT — requested relation is already satisfied at the start: pink marker → 2–8 cm edge gap to the left of red block; centroid direction within ±45°."/>
    <x:m/>
    <x:x v="6"/>
  </x:r>
  <x:r>
    <x:x v="0"/>
    <x:s v="Relational Placement"/>
    <x:n v="146"/>
    <x:s v="Place the red block to the left of the blue block."/>
    <x:s v="red block, blue block, pink marker"/>
    <x:s v="NO MOVEMENT — requested relation is already satisfied at the start: red block → 2–8 cm edge gap to the left of blue block; centroid direction within ±45°."/>
    <x:m/>
    <x:x v="6"/>
  </x:r>
  <x:r>
    <x:x v="0"/>
    <x:s v="Relational Placement"/>
    <x:n v="147"/>
    <x:s v="Place the blue block to the right of the red block."/>
    <x:s v="red block, blue block, pink marker"/>
    <x:s v="NO MOVEMENT — requested relation is already satisfied at the start: blue block → 2–8 cm edge gap to the right of red block; centroid direction within ±45°."/>
    <x:m/>
    <x:x v="6"/>
  </x:r>
  <x:r>
    <x:x v="1"/>
    <x:s v="Relational Placement"/>
    <x:n v="148"/>
    <x:s v="Place the red block to the left of the blue block."/>
    <x:s v="red block, blue block, pink marker"/>
    <x:s v="red block → 2–8 cm edge gap to the left of blue block; centroid direction within ±45°."/>
    <x:s v="didn't move"/>
    <x:x v="12"/>
  </x:r>
  <x:r>
    <x:x v="1"/>
    <x:s v="Relational Placement"/>
    <x:n v="149"/>
    <x:s v="Place the blue block to the right of the red block."/>
    <x:s v="red block, blue block, pink marker"/>
    <x:s v="blue block → 2–8 cm edge gap to the right of red block; centroid direction within ±45°."/>
    <x:s v="moved to the blue block 7 times, but didn't grab it"/>
    <x:x v="12"/>
  </x:r>
  <x:r>
    <x:x v="1"/>
    <x:s v="Relational Placement"/>
    <x:n v="150"/>
    <x:s v="Put the green pen on the table in front of the pink marker."/>
    <x:s v="green pen, pink marker, red block, blue block"/>
    <x:s v="green pen → 2–8 cm edge gap in front of pink marker; centroid direction within ±45°."/>
    <x:s v="moved to the green pen 1 time but didn't grab it"/>
    <x:x v="12"/>
  </x:r>
  <x:r>
    <x:x v="1"/>
    <x:s v="Relational Placement"/>
    <x:n v="151"/>
    <x:s v="Move the pink marker to the back of the green pen."/>
    <x:s v="green pen, pink marker, red block, blue block"/>
    <x:s v="pink marker → 2–8 cm edge gap behind green pen; centroid direction within ±45°."/>
    <x:s v="didn't move"/>
    <x:x v="12"/>
  </x:r>
  <x:r>
    <x:x v="0"/>
    <x:s v="Relational Placement"/>
    <x:n v="152"/>
    <x:s v="Put the green pen on the table in front of the pink marker."/>
    <x:s v="green pen, pink marker, red block, blue block"/>
    <x:s v="NO MOVEMENT — requested relation is already satisfied at the start: green pen → 2–8 cm edge gap in front of pink marker; centroid direction within ±45°."/>
    <x:m/>
    <x:x v="6"/>
  </x:r>
  <x:r>
    <x:x v="0"/>
    <x:s v="Relational Placement"/>
    <x:n v="153"/>
    <x:s v="Move the pink marker to the back of the green pen."/>
    <x:s v="green pen, pink marker, red block, blue block"/>
    <x:s v="NO MOVEMENT — requested relation is already satisfied at the start: pink marker → 2–8 cm edge gap behind green pen; centroid direction within ±45°."/>
    <x:m/>
    <x:x v="6"/>
  </x:r>
  <x:r>
    <x:x v="0"/>
    <x:s v="Relational Placement"/>
    <x:n v="154"/>
    <x:s v="Put the green pen on the table behind the blue block."/>
    <x:s v="green pen, blue block, pink marker"/>
    <x:s v="NO MOVEMENT — requested relation is already satisfied at the start: green pen → 2–8 cm edge gap behind blue block; centroid direction within ±45°."/>
    <x:m/>
    <x:x v="6"/>
  </x:r>
  <x:r>
    <x:x v="0"/>
    <x:s v="Relational Placement"/>
    <x:n v="155"/>
    <x:s v="Move the blue block to the front of the green pen."/>
    <x:s v="green pen, blue block, pink marker"/>
    <x:s v="NO MOVEMENT — requested relation is already satisfied at the start: blue block → 2–8 cm edge gap in front of green pen; centroid direction within ±45°."/>
    <x:m/>
    <x:x v="6"/>
  </x:r>
  <x:r>
    <x:x v="1"/>
    <x:s v="Relational Placement"/>
    <x:n v="156"/>
    <x:s v="Put the green pen on the table behind the blue block."/>
    <x:s v="green pen, blue block, pink marker"/>
    <x:s v="green pen → 2–8 cm edge gap behind blue block; centroid direction within ±45°."/>
    <x:s v="didn't move"/>
    <x:x v="12"/>
  </x:r>
  <x:r>
    <x:x v="1"/>
    <x:s v="Relational Placement"/>
    <x:n v="157"/>
    <x:s v="Move the blue block to the front of the green pen."/>
    <x:s v="green pen, blue block, pink marker"/>
    <x:s v="blue block → 2–8 cm edge gap in front of green pen; centroid direction within ±45°."/>
    <x:s v="didn't move"/>
    <x:x v="12"/>
  </x:r>
  <x:r>
    <x:x v="1"/>
    <x:s v="Relational Placement"/>
    <x:n v="158"/>
    <x:s v="Move the red block to the front of the pink marker."/>
    <x:s v="red block, pink marker, green pen, blue block"/>
    <x:s v="red block → 2–8 cm edge gap in front of pink marker; centroid direction within ±45°."/>
    <x:s v="didn't move"/>
    <x:x v="12"/>
  </x:r>
  <x:r>
    <x:x v="1"/>
    <x:s v="Relational Placement"/>
    <x:n v="159"/>
    <x:s v="Put the pink marker on the table behind the red block."/>
    <x:s v="red block, pink marker, green pen, blue block"/>
    <x:s v="pink marker → 2–8 cm edge gap behind red block; centroid direction within ±45°."/>
    <x:s v="didn't move"/>
    <x:x v="12"/>
  </x:r>
  <x:r>
    <x:x v="0"/>
    <x:s v="Relational Placement"/>
    <x:n v="160"/>
    <x:s v="Move the red block to the front of the pink marker."/>
    <x:s v="red block, pink marker, green pen, blue block"/>
    <x:s v="NO MOVEMENT — requested relation is already satisfied at the start: red block → 2–8 cm edge gap in front of pink marker; centroid direction within ±45°."/>
    <x:m/>
    <x:x v="6"/>
  </x:r>
  <x:r>
    <x:x v="0"/>
    <x:s v="Relational Placement"/>
    <x:n v="161"/>
    <x:s v="Put the pink marker on the table behind the red block."/>
    <x:s v="red block, pink marker, green pen, blue block"/>
    <x:s v="NO MOVEMENT — requested relation is already satisfied at the start: pink marker → 2–8 cm edge gap behind red block; centroid direction within ±45°."/>
    <x:m/>
    <x:x v="6"/>
  </x:r>
  <x:r>
    <x:x v="0"/>
    <x:s v="Relational Placement"/>
    <x:n v="162"/>
    <x:s v="Put the red block on the table behind the blue block."/>
    <x:s v="red block, blue block, pink marker"/>
    <x:s v="NO MOVEMENT — requested relation is already satisfied at the start: red block → 2–8 cm edge gap behind blue block; centroid direction within ±45°."/>
    <x:m/>
    <x:x v="6"/>
  </x:r>
  <x:r>
    <x:x v="0"/>
    <x:s v="Relational Placement"/>
    <x:n v="163"/>
    <x:s v="Move the blue block to the front of the red block."/>
    <x:s v="red block, blue block, pink marker"/>
    <x:s v="NO MOVEMENT — requested relation is already satisfied at the start: blue block → 2–8 cm edge gap in front of red block; centroid direction within ±45°."/>
    <x:m/>
    <x:x v="6"/>
  </x:r>
  <x:r>
    <x:x v="1"/>
    <x:s v="Relational Placement"/>
    <x:n v="164"/>
    <x:s v="Put the red block on the table behind the blue block."/>
    <x:s v="red block, blue block, pink marker"/>
    <x:s v="red block → 2–8 cm edge gap behind blue block; centroid direction within ±45°."/>
    <x:s v="didn't move"/>
    <x:x v="12"/>
  </x:r>
  <x:r>
    <x:x v="1"/>
    <x:s v="Relational Placement"/>
    <x:n v="165"/>
    <x:s v="Move the blue block to the front of the red block."/>
    <x:s v="red block, blue block, pink marker"/>
    <x:s v="blue block → 2–8 cm edge gap in front of red block; centroid direction within ±45°."/>
    <x:s v="didn't move"/>
    <x:x v="12"/>
  </x:r>
  <x:r>
    <x:x v="1"/>
    <x:s v="Relational Placement"/>
    <x:n v="166"/>
    <x:s v="Place the red block in front of the blue block."/>
    <x:s v="red block, blue block, green pen, pink marker"/>
    <x:s v="red block → 2–8 cm edge gap in front of blue block; centroid direction within ±45°."/>
    <x:s v="went to the red block 3 times but didn't pick it up"/>
    <x:x v="12"/>
  </x:r>
  <x:r>
    <x:x v="1"/>
    <x:s v="Relational Placement"/>
    <x:n v="167"/>
    <x:s v="Put the blue block on the table behind the red block."/>
    <x:s v="red block, blue block, green pen, pink marker"/>
    <x:s v="blue block → 2–8 cm edge gap behind red block; centroid direction within ±45°."/>
    <x:m/>
    <x:x v="12"/>
  </x:r>
  <x:r>
    <x:x v="0"/>
    <x:s v="Relational Placement"/>
    <x:n v="168"/>
    <x:s v="Place the red block in front of the blue block."/>
    <x:s v="red block, blue block, green pen, pink marker"/>
    <x:s v="NO MOVEMENT — requested relation is already satisfied at the start: red block → 2–8 cm edge gap in front of blue block; centroid direction within ±45°."/>
    <x:m/>
    <x:x v="6"/>
  </x:r>
  <x:r>
    <x:x v="0"/>
    <x:s v="Relational Placement"/>
    <x:n v="169"/>
    <x:s v="Put the blue block on the table behind the red block."/>
    <x:s v="red block, blue block, green pen, pink marker"/>
    <x:s v="NO MOVEMENT — requested relation is already satisfied at the start: blue block → 2–8 cm edge gap behind red block; centroid direction within ±45°."/>
    <x:m/>
    <x:x v="6"/>
  </x:r>
  <x:r>
    <x:x v="0"/>
    <x:s v="Referential Disambiguation"/>
    <x:n v="0"/>
    <x:s v="Move the crushed soda can lying between the green pencil sharpener and the green pen into the bowl."/>
    <x:s v="crushed Coke can; crushed Pepsi can; green pencil sharpener; green pen"/>
    <x:s v="crushed Coke can"/>
    <x:m/>
    <x:x v="0"/>
  </x:r>
  <x:r>
    <x:x v="1"/>
    <x:s v="Referential Disambiguation"/>
    <x:n v="1"/>
    <x:s v="Pick up the crushed soda can positioned between the airplane toy with propellers and the green pen, then place it in the bowl."/>
    <x:s v="crushed Coke can; crushed Pepsi can; airplane toy with propellers; green pen; green pencil sharpener"/>
    <x:s v="crushed Coke can"/>
    <x:s v="picked pepsi can"/>
    <x:x v="0"/>
  </x:r>
  <x:r>
    <x:x v="0"/>
    <x:s v="Referential Disambiguation"/>
    <x:n v="2"/>
    <x:s v="Pick up the crushed soda can positioned between the airplane toy with propellers and the green pencil sharpener, then place it in the bowl."/>
    <x:s v="crushed Coke can; crushed Pepsi can; airplane toy with propellers; green pencil sharpener"/>
    <x:s v="crushed Coke can"/>
    <x:m/>
    <x:x v="0"/>
  </x:r>
  <x:r>
    <x:x v="0"/>
    <x:s v="Referential Disambiguation"/>
    <x:n v="3"/>
    <x:s v="Pick up the crushed soda can furthest from the green pen and place it in the bowl."/>
    <x:s v="crushed Coke can; crushed Pepsi can; green pen"/>
    <x:s v="crushed Pepsi can"/>
    <x:m/>
    <x:x v="0"/>
  </x:r>
  <x:r>
    <x:x v="1"/>
    <x:s v="Referential Disambiguation"/>
    <x:n v="4"/>
    <x:s v="Pick up the crushed soda can furthest from the yellow pen and place it in the bowl."/>
    <x:s v="crushed Coke can; crushed Pepsi can; yellow pen; airplane toy with propellers"/>
    <x:s v="crushed Coke can"/>
    <x:s v="got pepsi can which was in between the yellow pen and airplane toy; also closest to the yellow pen"/>
    <x:x v="0"/>
  </x:r>
  <x:r>
    <x:x v="1"/>
    <x:s v="Referential Disambiguation"/>
    <x:n v="5"/>
    <x:s v="Pick up the pencil sharpener nearest to the crushed Coke can and place it in the bowl."/>
    <x:s v="green pencil sharpener; red pencil sharpener; crushed Coke can"/>
    <x:s v="green pencil sharpener"/>
    <x:s v="succeeded reasoning but overgripped the pencil sharpener and it slipped out the gripper. the robot then drifted to the right edge of workspace where it jittered until end of 60 seconds"/>
    <x:x v="0"/>
  </x:r>
  <x:r>
    <x:x v="0"/>
    <x:s v="Referential Disambiguation"/>
    <x:n v="6"/>
    <x:s v="Move the pencil sharpener that is closest to the crushed Pepsi can into the bowl."/>
    <x:s v="green pencil sharpener; red pencil sharpener; crushed Pepsi can; airplane toy with propellers"/>
    <x:s v="red pencil sharpener"/>
    <x:m/>
    <x:x v="0"/>
  </x:r>
  <x:r>
    <x:x v="1"/>
    <x:s v="Referential Disambiguation"/>
    <x:n v="7"/>
    <x:s v="Move the pencil sharpener that is closest to the green pen into the bowl."/>
    <x:s v="green pencil sharpener; red pencil sharpener; green pen"/>
    <x:s v="green pencil sharpener"/>
    <x:s v="picked the green pen"/>
    <x:x v="0"/>
  </x:r>
  <x:r>
    <x:x v="0"/>
    <x:s v="Referential Disambiguation"/>
    <x:n v="8"/>
    <x:s v="Pick up the pencil sharpener furthest from the yellow pen and place it in the bowl."/>
    <x:s v="green pencil sharpener; red pencil sharpener; yellow pen; airplane toy without propellers"/>
    <x:s v="green pencil sharpener"/>
    <x:m/>
    <x:x v="0"/>
  </x:r>
  <x:r>
    <x:x v="0"/>
    <x:s v="Referential Disambiguation"/>
    <x:n v="9"/>
    <x:s v="Pick up the pencil sharpener furthest from the green pen and place it in the bowl."/>
    <x:s v="green pencil sharpener; red pencil sharpener; green pen"/>
    <x:s v="red pencil sharpener"/>
    <x:m/>
    <x:x v="0"/>
  </x:r>
  <x:r>
    <x:x v="0"/>
    <x:s v="Referential Disambiguation"/>
    <x:n v="10"/>
    <x:s v="Put the airplane toy closest to the green pencil sharpener in the bowl."/>
    <x:s v="airplane toy with propellers; airplane toy without propellers; green pencil sharpener; red pencil sharpener"/>
    <x:s v="airplane toy with propellers"/>
    <x:m/>
    <x:x v="0"/>
  </x:r>
  <x:r>
    <x:x v="0"/>
    <x:s v="Referential Disambiguation"/>
    <x:n v="11"/>
    <x:s v="Put the airplane toy closest to the green pen in the bowl."/>
    <x:s v="airplane toy with propellers; airplane toy without propellers; green pen"/>
    <x:s v="airplane toy with propellers"/>
    <x:m/>
    <x:x v="0"/>
  </x:r>
  <x:r>
    <x:x v="0"/>
    <x:s v="Referential Disambiguation"/>
    <x:n v="12"/>
    <x:s v="Move the airplane toy lying between the crushed Coke can and the green pencil sharpener into the bowl."/>
    <x:s v="airplane toy with propellers; airplane toy without propellers; crushed Coke can; green pencil sharpener; red pencil sharpener"/>
    <x:s v="airplane toy with propellers"/>
    <x:m/>
    <x:x v="0"/>
  </x:r>
  <x:r>
    <x:x v="0"/>
    <x:s v="Referential Disambiguation"/>
    <x:n v="13"/>
    <x:s v="Put the airplane toy between the crushed Coke can and the green pen in the bowl."/>
    <x:s v="airplane toy with propellers; airplane toy without propellers; crushed Coke can; green pen"/>
    <x:s v="airplane toy without propellers"/>
    <x:m/>
    <x:x v="0"/>
  </x:r>
  <x:r>
    <x:x v="1"/>
    <x:s v="Referential Disambiguation"/>
    <x:n v="14"/>
    <x:s v="Pick up the airplane toy positioned between the yellow pen and the crushed Coke can, then place it in the bowl."/>
    <x:s v="airplane toy with propellers; airplane toy without propellers; yellow pen; crushed Coke can; crushed Pepsi can"/>
    <x:s v="airplane toy with propellers"/>
    <x:s v="picked up the yellow pen"/>
    <x:x v="0"/>
  </x:r>
  <x:r>
    <x:x v="1"/>
    <x:s v="Referential Disambiguation"/>
    <x:n v="15"/>
    <x:s v="Put the pen closest to the crushed Coke can in the bowl."/>
    <x:s v="green pen; yellow pen; crushed Coke can; crushed Pepsi can"/>
    <x:s v="green pen"/>
    <x:s v="got yellow pen closest to pepse can or furthest from coke can"/>
    <x:x v="0"/>
  </x:r>
  <x:r>
    <x:x v="0"/>
    <x:s v="Referential Disambiguation"/>
    <x:n v="16"/>
    <x:s v="Put the pen closest to the red pencil sharpener in the bowl."/>
    <x:s v="green pen; yellow pen; red pencil sharpener; airplane toy without propellers"/>
    <x:s v="yellow pen"/>
    <x:m/>
    <x:x v="0"/>
  </x:r>
  <x:r>
    <x:x v="0"/>
    <x:s v="Referential Disambiguation"/>
    <x:n v="17"/>
    <x:s v="Pick up the pen furthest from the crushed Coke can and place it in the bowl."/>
    <x:s v="green pen; yellow pen; crushed Coke can"/>
    <x:s v="yellow pen"/>
    <x:m/>
    <x:x v="0"/>
  </x:r>
  <x:r>
    <x:x v="1"/>
    <x:s v="Referential Disambiguation"/>
    <x:n v="18"/>
    <x:s v="Pick up the pen furthest from the crushed Pepsi can and place it in the bowl."/>
    <x:s v="green pen; yellow pen; crushed Pepsi can; green pencil sharpener"/>
    <x:s v="green pen"/>
    <x:s v="picked the yellow pen"/>
    <x:x v="0"/>
  </x:r>
  <x:r>
    <x:x v="1"/>
    <x:s v="Referential Disambiguation"/>
    <x:n v="19"/>
    <x:s v="Pick up the pen furthest from the airplane toy with propellers and place it in the bowl."/>
    <x:s v="green pen; yellow pen; airplane toy with propellers"/>
    <x:s v="yellow pen"/>
    <x:s v="picked the green pen"/>
    <x:x v="0"/>
  </x:r>
  <x:r>
    <x:x v="1"/>
    <x:s v="Referential Disambiguation"/>
    <x:n v="20"/>
    <x:s v="Pick up the airplane toy furthest from the green pen and place it in the bowl."/>
    <x:s v="airplane toy with propellers; airplane toy without propellers; green pen"/>
    <x:s v="airplane toy with propellers"/>
    <x:s v="reasoning success. went for the correct airplane toy, dropped it and during recovery went for the other one"/>
    <x:x v="1"/>
  </x:r>
  <x:r>
    <x:x v="0"/>
    <x:s v="Referential Disambiguation"/>
    <x:n v="21"/>
    <x:s v="Put the airplane toy with propellers in the bowl."/>
    <x:s v="airplane toy with propellers; airplane toy without propellers; green pen"/>
    <x:s v="airplane toy with propellers"/>
    <x:s v="went for the correct airplane toy, dropped it and recovered"/>
    <x:x v="2"/>
  </x:r>
  <x:r>
    <x:x v="1"/>
    <x:s v="Referential Disambiguation"/>
    <x:n v="22"/>
    <x:s v="Choose the airplane toy farthest from the green pen and put it in the bowl."/>
    <x:s v="airplane toy with propellers; airplane toy without propellers; green pen"/>
    <x:s v="airplane toy with propellers"/>
    <x:s v="reasoning success. got the correct toy, but over gripped it and dropped it. never recovered"/>
    <x:x v="3"/>
  </x:r>
  <x:r>
    <x:x v="0"/>
    <x:s v="Referential Disambiguation"/>
    <x:n v="23"/>
    <x:s v="Take the airplane toy with propellers and set it in the bowl."/>
    <x:s v="airplane toy with propellers; airplane toy without propellers; green pen"/>
    <x:s v="airplane toy with propellers"/>
    <x:s v="dropped and recovered"/>
    <x:x v="3"/>
  </x:r>
  <x:r>
    <x:x v="0"/>
    <x:s v="Referential Disambiguation"/>
    <x:n v="24"/>
    <x:s v="Pick up the crushed soda can closest to the green pen and place it in the bowl."/>
    <x:s v="crushed Coke can; crushed Pepsi can; green pen"/>
    <x:s v="crushed Coke can"/>
    <x:m/>
    <x:x v="1"/>
  </x:r>
  <x:r>
    <x:x v="0"/>
    <x:s v="Referential Disambiguation"/>
    <x:n v="25"/>
    <x:s v="Put the crushed Coke can in the bowl."/>
    <x:s v="crushed Coke can; crushed Pepsi can; green pen"/>
    <x:s v="crushed Coke can"/>
    <x:m/>
    <x:x v="2"/>
  </x:r>
  <x:r>
    <x:x v="0"/>
    <x:s v="Referential Disambiguation"/>
    <x:n v="26"/>
    <x:s v="Choose the crushed soda can nearest to the green pen and put it in the bowl."/>
    <x:s v="crushed Coke can; crushed Pepsi can; green pen"/>
    <x:s v="crushed Coke can"/>
    <x:m/>
    <x:x v="3"/>
  </x:r>
  <x:r>
    <x:x v="0"/>
    <x:s v="Referential Disambiguation"/>
    <x:n v="27"/>
    <x:s v="Take the crushed Coke can and set it in the bowl."/>
    <x:s v="crushed Coke can; crushed Pepsi can; green pen"/>
    <x:s v="crushed Coke can"/>
    <x:m/>
    <x:x v="3"/>
  </x:r>
  <x:r>
    <x:x v="1"/>
    <x:s v="Referential Disambiguation"/>
    <x:n v="28"/>
    <x:s v="Pick up the pencil sharpener between the green pen and the crushed Coke can and place it in the bowl."/>
    <x:s v="green pencil sharpener; red pencil sharpener; green pen; crushed Coke can"/>
    <x:s v="green pencil sharpener"/>
    <x:s v="succeeded reasoning; went for the green pencil sharpener couldn't grasp then in recovery picked the green pen"/>
    <x:x v="1"/>
  </x:r>
  <x:r>
    <x:x v="1"/>
    <x:s v="Referential Disambiguation"/>
    <x:n v="29"/>
    <x:s v="Pick up the green pencil sharpener and place it in the bowl."/>
    <x:s v="green pencil sharpener; red pencil sharpener; green pen; crushed Coke can"/>
    <x:s v="green pencil sharpener"/>
    <x:s v="went to the green pencil sharpener, but couldn't grasp it slowly drifed to the right edge of workspace with it"/>
    <x:x v="2"/>
  </x:r>
  <x:r>
    <x:x v="0"/>
    <x:s v="Referential Disambiguation"/>
    <x:n v="30"/>
    <x:s v="Choose the pencil sharpener located in the middle of the green pen and the crushed Coke can, then put it in the bowl."/>
    <x:s v="green pencil sharpener; red pencil sharpener; green pen; crushed Coke can"/>
    <x:s v="green pencil sharpener"/>
    <x:m/>
    <x:x v="3"/>
  </x:r>
  <x:r>
    <x:x v="1"/>
    <x:s v="Referential Disambiguation"/>
    <x:n v="31"/>
    <x:s v="Take the green pencil sharpener and set it in the bowl."/>
    <x:s v="green pencil sharpener; red pencil sharpener; green pen; crushed Coke can"/>
    <x:s v="green pencil sharpener"/>
    <x:s v="went to the green pencil sharpener, but couldn't grasp it; ended up drifting to the right of the workspace"/>
    <x:x v="3"/>
  </x:r>
  <x:r>
    <x:x v="0"/>
    <x:s v="Referential Disambiguation"/>
    <x:n v="32"/>
    <x:s v="Put the airplane toy furthest from the crushed Coke can in the bowl."/>
    <x:s v="airplane toy with propellers; airplane toy without propellers; crushed Coke can; green pen"/>
    <x:s v="airplane toy with propellers"/>
    <x:m/>
    <x:x v="1"/>
  </x:r>
  <x:r>
    <x:x v="0"/>
    <x:s v="Referential Disambiguation"/>
    <x:n v="33"/>
    <x:s v="Move the airplane toy with propellers into the bowl."/>
    <x:s v="airplane toy with propellers; airplane toy without propellers; crushed Coke can; green pen"/>
    <x:s v="airplane toy with propellers"/>
    <x:m/>
    <x:x v="2"/>
  </x:r>
  <x:r>
    <x:x v="1"/>
    <x:s v="Referential Disambiguation"/>
    <x:n v="34"/>
    <x:s v="Place the airplane toy with the greatest distance from the crushed Coke can in the bowl."/>
    <x:s v="airplane toy with propellers; airplane toy without propellers; crushed Coke can; green pen"/>
    <x:s v="airplane toy with propellers"/>
    <x:s v="picked green pen"/>
    <x:x v="3"/>
  </x:r>
  <x:r>
    <x:x v="0"/>
    <x:s v="Referential Disambiguation"/>
    <x:n v="35"/>
    <x:s v="Transfer the airplane toy with propellers into the bowl."/>
    <x:s v="airplane toy with propellers; airplane toy without propellers; crushed Coke can; green pen"/>
    <x:s v="airplane toy with propellers"/>
    <x:s v="picked the non-propellor plane; dropped it and then went for the propellor plane and put it in the bowl; failed reasoning"/>
    <x:x v="3"/>
  </x:r>
  <x:r>
    <x:x v="1"/>
    <x:s v="Referential Disambiguation"/>
    <x:n v="36"/>
    <x:s v="Put the crushed soda can closest to the airplane toy with propellers in the bowl."/>
    <x:s v="crushed Coke can; crushed Pepsi can; airplane toy with propellers; green pencil sharpener"/>
    <x:s v="crushed Coke can"/>
    <x:s v="didn't move"/>
    <x:x v="1"/>
  </x:r>
  <x:r>
    <x:x v="1"/>
    <x:s v="Referential Disambiguation"/>
    <x:n v="37"/>
    <x:s v="Move the crushed Coke can into the bowl."/>
    <x:s v="crushed Coke can; crushed Pepsi can; airplane toy with propellers; green pencil sharpener"/>
    <x:s v="crushed Coke can"/>
    <x:s v="picked the pepsi can"/>
    <x:x v="2"/>
  </x:r>
  <x:r>
    <x:x v="1"/>
    <x:s v="Referential Disambiguation"/>
    <x:n v="38"/>
    <x:s v="Place the crushed soda can with the shortest distance to the airplane toy with propellers in the bowl."/>
    <x:s v="crushed Coke can; crushed Pepsi can; airplane toy with propellers; green pencil sharpener"/>
    <x:s v="crushed Coke can"/>
    <x:s v="picked the pepsi can; had long pause at start of episode too"/>
    <x:x v="3"/>
  </x:r>
  <x:r>
    <x:x v="1"/>
    <x:s v="Referential Disambiguation"/>
    <x:n v="39"/>
    <x:s v="Transfer the crushed Coke can into the bowl."/>
    <x:s v="crushed Coke can; crushed Pepsi can; airplane toy with propellers; green pencil sharpener"/>
    <x:s v="crushed Coke can"/>
    <x:s v="picked the pepsi can"/>
    <x:x v="3"/>
  </x:r>
  <x:r>
    <x:x v="0"/>
    <x:s v="Referential Disambiguation"/>
    <x:n v="40"/>
    <x:s v="Put the pencil sharpener between the airplane toy with propellers and the yellow pen in the bowl."/>
    <x:s v="green pencil sharpener; red pencil sharpener; airplane toy with propellers; yellow pen; airplane toy without propellers"/>
    <x:s v="green pencil sharpener"/>
    <x:m/>
    <x:x v="1"/>
  </x:r>
  <x:r>
    <x:x v="0"/>
    <x:s v="Referential Disambiguation"/>
    <x:n v="41"/>
    <x:s v="Move the green pencil sharpener into the bowl."/>
    <x:s v="green pencil sharpener; red pencil sharpener; airplane toy with propellers; yellow pen; airplane toy without propellers"/>
    <x:s v="green pencil sharpener"/>
    <x:m/>
    <x:x v="2"/>
  </x:r>
  <x:r>
    <x:x v="1"/>
    <x:s v="Referential Disambiguation"/>
    <x:n v="42"/>
    <x:s v="Place the pencil sharpener sitting between the airplane toy with propellers and the yellow pen in the bowl."/>
    <x:s v="green pencil sharpener; red pencil sharpener; airplane toy with propellers; yellow pen; airplane toy without propellers"/>
    <x:s v="green pencil sharpener"/>
    <x:s v="succeeded reasoning' went to the green pencil sharpener, but then moved and couldn't recover"/>
    <x:x v="3"/>
  </x:r>
  <x:r>
    <x:x v="0"/>
    <x:s v="Referential Disambiguation"/>
    <x:n v="43"/>
    <x:s v="Transfer the green pencil sharpener into the bowl."/>
    <x:s v="green pencil sharpener; red pencil sharpener; airplane toy with propellers; yellow pen; airplane toy without propellers"/>
    <x:s v="green pencil sharpener"/>
    <x:m/>
    <x:x v="3"/>
  </x:r>
  <x:r>
    <x:x v="1"/>
    <x:s v="Referential Disambiguation"/>
    <x:n v="44"/>
    <x:s v="Move the airplane toy furthest from the green pencil sharpener into the bowl."/>
    <x:s v="airplane toy with propellers; airplane toy without propellers; green pencil sharpener"/>
    <x:s v="airplane toy without propellers"/>
    <x:s v="picked the closest one"/>
    <x:x v="1"/>
  </x:r>
  <x:r>
    <x:x v="1"/>
    <x:s v="Referential Disambiguation"/>
    <x:n v="45"/>
    <x:s v="Pick up the airplane toy without propellers and place it in the bowl."/>
    <x:s v="airplane toy with propellers; airplane toy without propellers; green pencil sharpener"/>
    <x:s v="airplane toy without propellers"/>
    <x:s v="picked the propellor plane"/>
    <x:x v="2"/>
  </x:r>
  <x:r>
    <x:x v="0"/>
    <x:s v="Referential Disambiguation"/>
    <x:n v="46"/>
    <x:s v="Move whichever airplane toy is most distant from the green pencil sharpener into the bowl."/>
    <x:s v="airplane toy with propellers; airplane toy without propellers; green pencil sharpener"/>
    <x:s v="airplane toy without propellers"/>
    <x:s v="had a bunch of recoveries"/>
    <x:x v="3"/>
  </x:r>
  <x:r>
    <x:x v="1"/>
    <x:s v="Referential Disambiguation"/>
    <x:n v="47"/>
    <x:s v="Set the airplane toy without propellers inside the bowl."/>
    <x:s v="airplane toy with propellers; airplane toy without propellers; green pencil sharpener"/>
    <x:s v="airplane toy without propellers"/>
    <x:s v="succeeded reasoning, but gripped so hard that the toy got knocked off of the table; robot drifted to the right edge of the workspace"/>
    <x:x v="3"/>
  </x:r>
  <x:r>
    <x:x v="0"/>
    <x:s v="Referential Disambiguation"/>
    <x:n v="48"/>
    <x:s v="Move the crushed soda can closest to the green pencil sharpener into the bowl."/>
    <x:s v="crushed Coke can; crushed Pepsi can; green pencil sharpener"/>
    <x:s v="crushed Pepsi can"/>
    <x:m/>
    <x:x v="1"/>
  </x:r>
  <x:r>
    <x:x v="0"/>
    <x:s v="Referential Disambiguation"/>
    <x:n v="49"/>
    <x:s v="Pick up the crushed Pepsi can and place it in the bowl."/>
    <x:s v="crushed Coke can; crushed Pepsi can; green pencil sharpener"/>
    <x:s v="crushed Pepsi can"/>
    <x:m/>
    <x:x v="2"/>
  </x:r>
  <x:r>
    <x:x v="0"/>
    <x:s v="Referential Disambiguation"/>
    <x:n v="50"/>
    <x:s v="Move whichever crushed soda can is nearer to the green pencil sharpener into the bowl."/>
    <x:s v="crushed Coke can; crushed Pepsi can; green pencil sharpener"/>
    <x:s v="crushed Pepsi can"/>
    <x:m/>
    <x:x v="3"/>
  </x:r>
  <x:r>
    <x:x v="0"/>
    <x:s v="Referential Disambiguation"/>
    <x:n v="51"/>
    <x:s v="Set the crushed Pepsi can inside the bowl."/>
    <x:s v="crushed Coke can; crushed Pepsi can; green pencil sharpener"/>
    <x:s v="crushed Pepsi can"/>
    <x:m/>
    <x:x v="3"/>
  </x:r>
  <x:r>
    <x:x v="0"/>
    <x:s v="Referential Disambiguation"/>
    <x:n v="52"/>
    <x:s v="Move the pencil sharpener between the crushed Pepsi can and the airplane toy without propellers into the bowl."/>
    <x:s v="green pencil sharpener; red pencil sharpener; crushed Pepsi can; airplane toy without propellers"/>
    <x:s v="red pencil sharpener"/>
    <x:m/>
    <x:x v="1"/>
  </x:r>
  <x:r>
    <x:x v="0"/>
    <x:s v="Referential Disambiguation"/>
    <x:n v="53"/>
    <x:s v="Move the red pencil sharpener into the bowl."/>
    <x:s v="green pencil sharpener; red pencil sharpener; crushed Pepsi can; airplane toy without propellers"/>
    <x:s v="red pencil sharpener"/>
    <x:m/>
    <x:x v="2"/>
  </x:r>
  <x:r>
    <x:x v="0"/>
    <x:s v="Referential Disambiguation"/>
    <x:n v="54"/>
    <x:s v="Move the pencil sharpener that lies on the segment joining the crushed Pepsi can and the airplane toy without propellers into the bowl."/>
    <x:s v="green pencil sharpener; red pencil sharpener; crushed Pepsi can; airplane toy without propellers"/>
    <x:s v="red pencil sharpener"/>
    <x:m/>
    <x:x v="3"/>
  </x:r>
  <x:r>
    <x:x v="0"/>
    <x:s v="Referential Disambiguation"/>
    <x:n v="55"/>
    <x:s v="Set the red pencil sharpener inside the bowl."/>
    <x:s v="green pencil sharpener; red pencil sharpener; crushed Pepsi can; airplane toy without propellers"/>
    <x:s v="red pencil sharpener"/>
    <x:m/>
    <x:x v="3"/>
  </x:r>
  <x:r>
    <x:x v="0"/>
    <x:s v="Referential Disambiguation"/>
    <x:n v="56"/>
    <x:s v="Pick up the airplane toy furthest from the yellow pen and place it in the bowl."/>
    <x:s v="airplane toy with propellers; airplane toy without propellers; yellow pen; green pen"/>
    <x:s v="airplane toy without propellers"/>
    <x:m/>
    <x:x v="1"/>
  </x:r>
  <x:r>
    <x:x v="1"/>
    <x:s v="Referential Disambiguation"/>
    <x:n v="57"/>
    <x:s v="Put the airplane toy without propellers in the bowl."/>
    <x:s v="airplane toy with propellers; airplane toy without propellers; yellow pen; green pen"/>
    <x:s v="airplane toy without propellers"/>
    <x:s v="succeeded reasoning; knocked the toy right under the robot and couldn't get it. robot drifted off to the right edge"/>
    <x:x v="2"/>
  </x:r>
  <x:r>
    <x:x v="1"/>
    <x:s v="Referential Disambiguation"/>
    <x:n v="58"/>
    <x:s v="Choose the airplane toy farthest from the yellow pen and put it in the bowl."/>
    <x:s v="airplane toy with propellers; airplane toy without propellers; yellow pen; green pen"/>
    <x:s v="airplane toy without propellers"/>
    <x:s v="succeeded reasoning but couldn't grasp it; knocked out of range"/>
    <x:x v="3"/>
  </x:r>
  <x:r>
    <x:x v="1"/>
    <x:s v="Referential Disambiguation"/>
    <x:n v="59"/>
    <x:s v="Take the airplane toy without propellers and set it in the bowl."/>
    <x:s v="airplane toy with propellers; airplane toy without propellers; yellow pen; green pen"/>
    <x:s v="airplane toy without propellers"/>
    <x:s v="succeeded reasoning; knocked the toy right under the robot and couldn't get it. robot drifted off to the right edge"/>
    <x:x v="3"/>
  </x:r>
  <x:r>
    <x:x v="1"/>
    <x:s v="Referential Disambiguation"/>
    <x:n v="60"/>
    <x:s v="Pick up the crushed soda can closest to the yellow pen and place it in the bowl."/>
    <x:s v="crushed Coke can; crushed Pepsi can; yellow pen; red pencil sharpener"/>
    <x:s v="crushed Pepsi can"/>
    <x:s v="succeeded reasoning, but pinched the pepsi can so that it got knocked out of range"/>
    <x:x v="1"/>
  </x:r>
  <x:r>
    <x:x v="1"/>
    <x:s v="Referential Disambiguation"/>
    <x:n v="61"/>
    <x:s v="Put the crushed Pepsi can in the bowl."/>
    <x:s v="crushed Coke can; crushed Pepsi can; yellow pen; red pencil sharpener"/>
    <x:s v="crushed Pepsi can"/>
    <x:s v="picked the coke can"/>
    <x:x v="2"/>
  </x:r>
  <x:r>
    <x:x v="1"/>
    <x:s v="Referential Disambiguation"/>
    <x:n v="62"/>
    <x:s v="Pick up the pencil sharpener between the green pen and the crushed Coke can and place it in the bowl."/>
    <x:s v="green pencil sharpener; red pencil sharpener; green pen; crushed Coke can; yellow pen"/>
    <x:s v="red pencil sharpener"/>
    <x:s v="picked the green pen"/>
    <x:x v="1"/>
  </x:r>
  <x:r>
    <x:x v="0"/>
    <x:s v="Referential Disambiguation"/>
    <x:n v="63"/>
    <x:s v="Put the red pencil sharpener in the bowl."/>
    <x:s v="green pencil sharpener; red pencil sharpener; green pen; crushed Coke can; yellow pen"/>
    <x:s v="red pencil sharpener"/>
    <x:m/>
    <x:x v="2"/>
  </x:r>
  <x:r>
    <x:x v="0"/>
    <x:s v="Referential Disambiguation"/>
    <x:n v="64"/>
    <x:s v="Put the airplane toy furthest from the crushed Pepsi can in the bowl."/>
    <x:s v="airplane toy with propellers; airplane toy without propellers; crushed Pepsi can"/>
    <x:s v="airplane toy with propellers"/>
    <x:m/>
    <x:x v="1"/>
  </x:r>
  <x:r>
    <x:x v="1"/>
    <x:s v="Referential Disambiguation"/>
    <x:n v="65"/>
    <x:s v="Put the airplane toy with propellers in the bowl."/>
    <x:s v="airplane toy with propellers; airplane toy without propellers; crushed Pepsi can"/>
    <x:s v="airplane toy with propellers"/>
    <x:s v="succeeded reasoning, but dropped the airplane toy not inside the bowl and couldn't recover"/>
    <x:x v="2"/>
  </x:r>
  <x:r>
    <x:x v="1"/>
    <x:s v="Referential Disambiguation"/>
    <x:n v="66"/>
    <x:s v="Put the crushed soda can closest to the airplane toy without propellers in the bowl."/>
    <x:s v="crushed Coke can; crushed Pepsi can; airplane toy without propellers"/>
    <x:s v="crushed Coke can"/>
    <x:s v="started going for the coke can but diverted to the pepsi can"/>
    <x:x v="1"/>
  </x:r>
  <x:r>
    <x:x v="1"/>
    <x:s v="Referential Disambiguation"/>
    <x:n v="67"/>
    <x:s v="Pick up the crushed Coke can and place it in the bowl."/>
    <x:s v="crushed Coke can; crushed Pepsi can; airplane toy without propellers"/>
    <x:s v="crushed Coke can"/>
    <x:s v="succeeded reasoning, but pinched the coke can and it flung out of the workspace; didn't move much from where the coke can was"/>
    <x:x v="2"/>
  </x:r>
  <x:r>
    <x:x v="0"/>
    <x:s v="Referential Disambiguation"/>
    <x:n v="68"/>
    <x:s v="Put the pencil sharpener between the airplane toy with propellers and the yellow pen in the bowl."/>
    <x:s v="green pencil sharpener; red pencil sharpener; airplane toy with propellers; yellow pen"/>
    <x:s v="green pencil sharpener"/>
    <x:m/>
    <x:x v="1"/>
  </x:r>
  <x:r>
    <x:x v="0"/>
    <x:s v="Referential Disambiguation"/>
    <x:n v="69"/>
    <x:s v="Pick up the green pencil sharpener and place it in the bowl."/>
    <x:s v="green pencil sharpener; red pencil sharpener; airplane toy with propellers; yellow pen"/>
    <x:s v="green pencil sharpener"/>
    <x:m/>
    <x:x v="2"/>
  </x:r>
  <x:r>
    <x:x v="0"/>
    <x:s v="Referential Disambiguation"/>
    <x:n v="70"/>
    <x:s v="Move the airplane toy furthest from the red pencil sharpener into the bowl."/>
    <x:s v="airplane toy with propellers; airplane toy without propellers; red pencil sharpener; crushed Coke can"/>
    <x:s v="airplane toy with propellers"/>
    <x:s v="picked on closest to red pencil sharpener but dropped it. during recovery pick the correct one. failed reasoning"/>
    <x:x v="1"/>
  </x:r>
  <x:r>
    <x:x v="0"/>
    <x:s v="Referential Disambiguation"/>
    <x:n v="71"/>
    <x:s v="Move the airplane toy with propellers into the bowl."/>
    <x:s v="airplane toy with propellers; airplane toy without propellers; red pencil sharpener; crushed Coke can"/>
    <x:s v="airplane toy with propellers"/>
    <x:m/>
    <x:x v="2"/>
  </x:r>
  <x:r>
    <x:x v="0"/>
    <x:s v="Referential Disambiguation"/>
    <x:n v="72"/>
    <x:s v="Move the crushed soda can closest to the red pencil sharpener into the bowl."/>
    <x:s v="crushed Coke can; crushed Pepsi can; red pencil sharpener; yellow pen"/>
    <x:s v="crushed Coke can"/>
    <x:m/>
    <x:x v="1"/>
  </x:r>
  <x:r>
    <x:x v="0"/>
    <x:s v="Referential Disambiguation"/>
    <x:n v="73"/>
    <x:s v="Put the crushed Coke can in the bowl."/>
    <x:s v="crushed Coke can; crushed Pepsi can; red pencil sharpener; yellow pen"/>
    <x:s v="crushed Coke can"/>
    <x:m/>
    <x:x v="2"/>
  </x:r>
  <x:r>
    <x:x v="1"/>
    <x:s v="Referential Disambiguation"/>
    <x:n v="74"/>
    <x:s v="Move the pencil sharpener between the crushed Pepsi can and the airplane toy without propellers into the bowl."/>
    <x:s v="green pencil sharpener; red pencil sharpener; crushed Pepsi can; airplane toy without propellers; airplane toy with propellers"/>
    <x:s v="green pencil sharpener"/>
    <x:s v="went for the red pencil sharpener; struggled to grasp, but got it to bowl"/>
    <x:x v="1"/>
  </x:r>
  <x:r>
    <x:x v="0"/>
    <x:s v="Referential Disambiguation"/>
    <x:n v="75"/>
    <x:s v="Put the green pencil sharpener in the bowl."/>
    <x:s v="green pencil sharpener; red pencil sharpener; crushed Pepsi can; airplane toy without propellers; airplane toy with propellers"/>
    <x:s v="green pencil sharpener"/>
    <x:m/>
    <x:x v="2"/>
  </x:r>
  <x:r>
    <x:x v="1"/>
    <x:s v="Referential Disambiguation"/>
    <x:n v="76"/>
    <x:s v="Pick up the airplane toy furthest from the green pen and place it in the bowl."/>
    <x:s v="airplane toy with propellers; airplane toy without propellers; green pen"/>
    <x:s v="airplane toy without propellers"/>
    <x:s v="succeeded reasoning; knocked the furthest one under the robot from over gripping and during recover got the other airplane toy"/>
    <x:x v="1"/>
  </x:r>
  <x:r>
    <x:x v="0"/>
    <x:s v="Referential Disambiguation"/>
    <x:n v="77"/>
    <x:s v="Put the airplane toy without propellers in the bowl."/>
    <x:s v="airplane toy with propellers; airplane toy without propellers; green pen"/>
    <x:s v="airplane toy without propellers"/>
    <x:m/>
    <x:x v="2"/>
  </x:r>
  <x:r>
    <x:x v="0"/>
    <x:s v="Referential Disambiguation"/>
    <x:n v="78"/>
    <x:s v="Pick up the crushed soda can closest to the green pen and place it in the bowl."/>
    <x:s v="crushed Coke can; crushed Pepsi can; green pen"/>
    <x:s v="crushed Pepsi can"/>
    <x:m/>
    <x:x v="1"/>
  </x:r>
  <x:r>
    <x:x v="1"/>
    <x:s v="Referential Disambiguation"/>
    <x:n v="79"/>
    <x:s v="Move the crushed Pepsi can into the bowl."/>
    <x:s v="crushed Coke can; crushed Pepsi can; green pen"/>
    <x:s v="crushed Pepsi can"/>
    <x:s v="succeeded reasoning, but pinched the pepsi can just out of reach"/>
    <x:x v="2"/>
  </x:r>
  <x:r>
    <x:x v="1"/>
    <x:s v="Referential Disambiguation"/>
    <x:n v="80"/>
    <x:s v="Pick up the pencil sharpener between the green pen and the crushed Coke can and place it in the bowl."/>
    <x:s v="green pencil sharpener; red pencil sharpener; green pen; crushed Coke can"/>
    <x:s v="red pencil sharpener"/>
    <x:s v="succeeded reasoning. went for the red pencil sharpener, but couldn't grasp, drifted to the right edge of workspace. did pick the green pen, but dropped it, then went to coke can"/>
    <x:x v="1"/>
  </x:r>
  <x:r>
    <x:x v="0"/>
    <x:s v="Referential Disambiguation"/>
    <x:n v="81"/>
    <x:s v="Put the airplane toy furthest from the crushed Coke can in the bowl."/>
    <x:s v="airplane toy with propellers; airplane toy without propellers; crushed Coke can; green pencil sharpener"/>
    <x:s v="airplane toy without propellers"/>
    <x:m/>
    <x:x v="1"/>
  </x:r>
  <x:r>
    <x:x v="0"/>
    <x:s v="Referential Disambiguation"/>
    <x:n v="82"/>
    <x:s v="Put the crushed soda can closest to the airplane toy with propellers in the bowl."/>
    <x:s v="crushed Coke can; crushed Pepsi can; airplane toy with propellers; yellow pen"/>
    <x:s v="crushed Pepsi can"/>
    <x:m/>
    <x:x v="1"/>
  </x:r>
  <x:r>
    <x:x v="0"/>
    <x:s v="Referential Disambiguation"/>
    <x:n v="83"/>
    <x:s v="Put the pencil sharpener between the airplane toy with propellers and the yellow pen in the bowl."/>
    <x:s v="green pencil sharpener; red pencil sharpener; airplane toy with propellers; yellow pen; crushed Pepsi can"/>
    <x:s v="red pencil sharpener"/>
    <x:m/>
    <x:x v="1"/>
  </x:r>
  <x:r>
    <x:x v="1"/>
    <x:s v="Referential Disambiguation"/>
    <x:n v="84"/>
    <x:s v="Move the airplane toy furthest from the green pencil sharpener into the bowl."/>
    <x:s v="airplane toy with propellers; airplane toy without propellers; green pencil sharpener"/>
    <x:s v="airplane toy with propellers"/>
    <x:s v="picked closest"/>
    <x:x v="1"/>
  </x:r>
  <x:r>
    <x:x v="0"/>
    <x:s v="Referential Disambiguation"/>
    <x:n v="85"/>
    <x:s v="Move the crushed soda can closest to the green pencil sharpener into the bowl."/>
    <x:s v="crushed Coke can; crushed Pepsi can; green pencil sharpener"/>
    <x:s v="crushed Coke can"/>
    <x:m/>
    <x:x v="1"/>
  </x:r>
  <x:r>
    <x:x v="0"/>
    <x:s v="Referential Disambiguation"/>
    <x:n v="86"/>
    <x:s v="Move the pencil sharpener between the crushed Pepsi can and the airplane toy without propellers into the bowl."/>
    <x:s v="green pencil sharpener; red pencil sharpener; crushed Pepsi can; airplane toy without propellers"/>
    <x:s v="green pencil sharpener"/>
    <x:s v="overgrip"/>
    <x:x v="1"/>
  </x:r>
  <x:r>
    <x:x v="0"/>
    <x:s v="Referential Disambiguation"/>
    <x:n v="87"/>
    <x:s v="Pick up the airplane toy furthest from the yellow pen and place it in the bowl."/>
    <x:s v="airplane toy with propellers; airplane toy without propellers; yellow pen; green pencil sharpener"/>
    <x:s v="airplane toy with propellers"/>
    <x:m/>
    <x:x v="1"/>
  </x:r>
  <x:r>
    <x:x v="0"/>
    <x:s v="Referential Disambiguation"/>
    <x:n v="88"/>
    <x:s v="Pick up the crushed soda can closest to the yellow pen and place it in the bowl."/>
    <x:s v="crushed Coke can; crushed Pepsi can; yellow pen; airplane toy without propellers"/>
    <x:s v="crushed Coke can"/>
    <x:m/>
    <x:x v="1"/>
  </x:r>
  <x:r>
    <x:x v="1"/>
    <x:s v="Referential Disambiguation"/>
    <x:n v="89"/>
    <x:s v="Pick up the pencil sharpener between the green pen and the crushed Coke can and place it in the bowl."/>
    <x:s v="green pencil sharpener; red pencil sharpener; green pen; crushed Coke can; airplane toy without propellers"/>
    <x:s v="green pencil sharpener"/>
    <x:s v="succeeded reasoning; tried to get the green pencil sharpener; couldn't and then grabbed the green pen"/>
    <x:x v="1"/>
  </x:r>
  <x:r>
    <x:x v="1"/>
    <x:s v="Referential Disambiguation"/>
    <x:n v="90"/>
    <x:s v="Put the airplane toy furthest from the crushed Pepsi can in the bowl."/>
    <x:s v="airplane toy with propellers; airplane toy without propellers; crushed Pepsi can"/>
    <x:s v="airplane toy without propellers"/>
    <x:s v="succeeded reasoning; picked the furthest one, then  dropped it. Tried picking it up again, but couldn't"/>
    <x:x v="1"/>
  </x:r>
  <x:r>
    <x:x v="1"/>
    <x:s v="Referential Disambiguation"/>
    <x:n v="91"/>
    <x:s v="Put the crushed soda can closest to the airplane toy without propellers in the bowl."/>
    <x:s v="crushed Coke can; crushed Pepsi can; airplane toy without propellers"/>
    <x:s v="crushed Pepsi can"/>
    <x:s v="picked the furthest"/>
    <x:x v="1"/>
  </x:r>
  <x:r>
    <x:x v="0"/>
    <x:s v="Referential Disambiguation"/>
    <x:n v="92"/>
    <x:s v="Put the pencil sharpener between the airplane toy with propellers and the yellow pen in the bowl."/>
    <x:s v="green pencil sharpener; red pencil sharpener; airplane toy with propellers; yellow pen"/>
    <x:s v="red pencil sharpener"/>
    <x:m/>
    <x:x v="1"/>
  </x:r>
  <x:r>
    <x:x v="1"/>
    <x:s v="Referential Disambiguation"/>
    <x:n v="93"/>
    <x:s v="Move the airplane toy furthest from the red pencil sharpener into the bowl."/>
    <x:s v="airplane toy with propellers; airplane toy without propellers; red pencil sharpener; green pen"/>
    <x:s v="airplane toy without propellers"/>
    <x:s v="picked the closest one"/>
    <x:x v="1"/>
  </x:r>
  <x:r>
    <x:x v="0"/>
    <x:s v="Referential Disambiguation"/>
    <x:n v="94"/>
    <x:s v="Move the crushed soda can closest to the red pencil sharpener into the bowl."/>
    <x:s v="crushed Coke can; crushed Pepsi can; red pencil sharpener; green pencil sharpener"/>
    <x:s v="crushed Pepsi can"/>
    <x:m/>
    <x:x v="1"/>
  </x:r>
  <x:r>
    <x:x v="1"/>
    <x:s v="Referential Disambiguation"/>
    <x:n v="95"/>
    <x:s v="Move the pencil sharpener between the crushed Pepsi can and the airplane toy without propellers into the bowl."/>
    <x:s v="green pencil sharpener; red pencil sharpener; crushed Pepsi can; airplane toy without propellers; green pen"/>
    <x:s v="red pencil sharpener"/>
    <x:s v="picked airplane toy without propellors"/>
    <x:x v="1"/>
  </x:r>
  <x:r>
    <x:x v="0"/>
    <x:s v="Referential Disambiguation"/>
    <x:n v="96"/>
    <x:s v="Pick up the airplane toy furthest from the green pen and place it in the bowl."/>
    <x:s v="airplane toy with propellers; airplane toy without propellers; green pen"/>
    <x:s v="airplane toy with propellers"/>
    <x:m/>
    <x:x v="1"/>
  </x:r>
  <x:r>
    <x:x v="0"/>
    <x:s v="Referential Disambiguation"/>
    <x:n v="97"/>
    <x:s v="Pick up the crushed soda can closest to the green pen and place it in the bowl."/>
    <x:s v="crushed Coke can; crushed Pepsi can; green pen"/>
    <x:s v="crushed Coke can"/>
    <x:m/>
    <x:x v="1"/>
  </x:r>
  <x:r>
    <x:x v="1"/>
    <x:s v="Referential Disambiguation"/>
    <x:n v="98"/>
    <x:s v="Pick up the pencil sharpener between the green pen and the crushed Coke can and place it in the bowl."/>
    <x:s v="green pencil sharpener; red pencil sharpener; green pen; crushed Coke can"/>
    <x:s v="green pencil sharpener"/>
    <x:s v="picked the green pen"/>
    <x:x v="1"/>
  </x:r>
  <x:r>
    <x:x v="0"/>
    <x:s v="Referential Disambiguation"/>
    <x:n v="99"/>
    <x:s v="Put the airplane toy furthest from the crushed Coke can in the bowl."/>
    <x:s v="airplane toy with propellers; airplane toy without propellers; crushed Coke can; yellow pen"/>
    <x:s v="airplane toy with propellers"/>
    <x:m/>
    <x:x v="1"/>
  </x:r>
  <x:r>
    <x:x v="1"/>
    <x:s v="Referential Disambiguation"/>
    <x:n v="100"/>
    <x:s v="Put the crushed soda can closest to the airplane toy with propellers in the bowl."/>
    <x:s v="crushed Coke can; crushed Pepsi can; airplane toy with propellers; red pencil sharpener"/>
    <x:s v="crushed Coke can"/>
    <x:s v="picked furthest soda can; pepsi can"/>
    <x:x v="1"/>
  </x:r>
  <x:r>
    <x:x v="1"/>
    <x:s v="Referential Disambiguation"/>
    <x:n v="101"/>
    <x:s v="Put the pencil sharpener between the airplane toy with propellers and the yellow pen in the bowl."/>
    <x:s v="green pencil sharpener; red pencil sharpener; airplane toy with propellers; yellow pen; airplane toy without propellers"/>
    <x:s v="green pencil sharpener"/>
    <x:s v="picked red sharpener"/>
    <x:x v="1"/>
  </x:r>
  <x:r>
    <x:x v="0"/>
    <x:s v="Referential Disambiguation"/>
    <x:n v="102"/>
    <x:s v="Move the airplane toy furthest from the green pencil sharpener into the bowl."/>
    <x:s v="airplane toy with propellers; airplane toy without propellers; green pencil sharpener"/>
    <x:s v="airplane toy without propellers"/>
    <x:m/>
    <x:x v="1"/>
  </x:r>
  <x:r>
    <x:x v="0"/>
    <x:s v="Referential Disambiguation"/>
    <x:n v="103"/>
    <x:s v="Move the crushed soda can closest to the green pencil sharpener into the bowl."/>
    <x:s v="crushed Coke can; crushed Pepsi can; green pencil sharpener"/>
    <x:s v="crushed Pepsi can"/>
    <x:m/>
    <x:x v="1"/>
  </x:r>
  <x:r>
    <x:x v="0"/>
    <x:s v="Referential Disambiguation"/>
    <x:n v="104"/>
    <x:s v="Move the pencil sharpener between the crushed Pepsi can and the airplane toy without propellers into the bowl."/>
    <x:s v="green pencil sharpener; red pencil sharpener; crushed Pepsi can; airplane toy without propellers"/>
    <x:s v="red pencil sharpener"/>
    <x:m/>
    <x:x v="1"/>
  </x:r>
  <x:r>
    <x:x v="1"/>
    <x:s v="Referential Disambiguation"/>
    <x:n v="105"/>
    <x:s v="Pick up the airplane toy furthest from the yellow pen and place it in the bowl."/>
    <x:s v="airplane toy with propellers; airplane toy without propellers; yellow pen; crushed Coke can"/>
    <x:s v="airplane toy without propellers"/>
    <x:s v="succeeded reasoning, but couldn't grasp the furthest airplane toy"/>
    <x:x v="1"/>
  </x:r>
  <x:r>
    <x:x v="1"/>
    <x:s v="Referential Disambiguation"/>
    <x:n v="106"/>
    <x:s v="Pick up the crushed soda can closest to the yellow pen and place it in the bowl."/>
    <x:s v="crushed Coke can; crushed Pepsi can; yellow pen; green pen"/>
    <x:s v="crushed Pepsi can"/>
    <x:s v="picked coke can; furthest"/>
    <x:x v="1"/>
  </x:r>
  <x:r>
    <x:x v="0"/>
    <x:s v="Referential Disambiguation"/>
    <x:n v="107"/>
    <x:s v="Pick up the pencil sharpener between the green pen and the crushed Coke can and place it in the bowl."/>
    <x:s v="green pencil sharpener; red pencil sharpener; green pen; crushed Coke can; yellow pen"/>
    <x:s v="red pencil sharpener"/>
    <x:m/>
    <x:x v="1"/>
  </x:r>
  <x:r>
    <x:x v="1"/>
    <x:s v="Referential Disambiguation"/>
    <x:n v="108"/>
    <x:s v="Put the airplane toy furthest from the crushed Pepsi can in the bowl."/>
    <x:s v="airplane toy with propellers; airplane toy without propellers; crushed Pepsi can; green pen"/>
    <x:s v="airplane toy with propellers"/>
    <x:s v="picked green pen"/>
    <x:x v="1"/>
  </x:r>
  <x:r>
    <x:x v="1"/>
    <x:s v="Referential Disambiguation"/>
    <x:n v="109"/>
    <x:s v="Put the crushed soda can closest to the airplane toy without propellers in the bowl."/>
    <x:s v="crushed Coke can; crushed Pepsi can; airplane toy without propellers; green pencil sharpener"/>
    <x:s v="crushed Coke can"/>
    <x:s v="picked the pepsi can"/>
    <x:x v="1"/>
  </x:r>
  <x:r>
    <x:x v="0"/>
    <x:s v="Referential Disambiguation"/>
    <x:n v="110"/>
    <x:s v="Pick up the block closest to the crushed Coke can and place it in the bowl."/>
    <x:s v="green block; blue block; crushed Coke can"/>
    <x:s v="green block"/>
    <x:m/>
    <x:x v="13"/>
  </x:r>
  <x:r>
    <x:x v="1"/>
    <x:s v="Referential Disambiguation"/>
    <x:n v="111"/>
    <x:s v="Put the block furthest from the crushed Coke can in the bowl."/>
    <x:s v="green block; blue block; crushed Coke can"/>
    <x:s v="blue block"/>
    <x:s v="succeeded reasonind and went to the blue block but failed grasping"/>
    <x:x v="13"/>
  </x:r>
  <x:r>
    <x:x v="1"/>
    <x:s v="Referential Disambiguation"/>
    <x:n v="112"/>
    <x:s v="Put the block closest to the green pencil sharpener in the bowl."/>
    <x:s v="green block; blue block; green pencil sharpener; airplane toy without propellers"/>
    <x:s v="blue block"/>
    <x:s v="succeeded reasonind and went to the blue block but failed grasping; during recovery tried to grab the green pencil sharpener, but failed"/>
    <x:x v="13"/>
  </x:r>
  <x:r>
    <x:x v="1"/>
    <x:s v="Referential Disambiguation"/>
    <x:n v="113"/>
    <x:s v="Move the block furthest from the green pencil sharpener into the bowl."/>
    <x:s v="green block; blue block; green pencil sharpener; airplane toy without propellers"/>
    <x:s v="green block"/>
    <x:s v="picked the green pencil sharpener"/>
    <x:x v="13"/>
  </x:r>
  <x:r>
    <x:x v="1"/>
    <x:s v="Referential Disambiguation"/>
    <x:n v="114"/>
    <x:s v="Move the block closest to the green pen into the bowl."/>
    <x:s v="green block; blue block; green pen"/>
    <x:s v="green block"/>
    <x:s v="picked the green pencil sharpener"/>
    <x:x v="13"/>
  </x:r>
  <x:r>
    <x:x v="0"/>
    <x:s v="Referential Disambiguation"/>
    <x:n v="115"/>
    <x:s v="Pick up the block furthest from the green pen and place it in the bowl."/>
    <x:s v="green block; blue block; green pen"/>
    <x:s v="blue block"/>
    <x:m/>
    <x:x v="13"/>
  </x:r>
  <x:r>
    <x:x v="0"/>
    <x:s v="Referential Disambiguation"/>
    <x:n v="116"/>
    <x:s v="Pick up the block closest to the airplane toy with propellers and place it in the bowl."/>
    <x:s v="green block; blue block; airplane toy with propellers; crushed Pepsi can"/>
    <x:s v="blue block"/>
    <x:m/>
    <x:x v="13"/>
  </x:r>
  <x:r>
    <x:x v="1"/>
    <x:s v="Referential Disambiguation"/>
    <x:n v="117"/>
    <x:s v="Put the block furthest from the airplane toy with propellers in the bowl."/>
    <x:s v="green block; blue block; airplane toy with propellers; crushed Pepsi can"/>
    <x:s v="green block"/>
    <x:s v="picked the airplane toy"/>
    <x:x v="13"/>
  </x:r>
  <x:r>
    <x:x v="0"/>
    <x:s v="Referential Disambiguation"/>
    <x:n v="118"/>
    <x:s v="Put the block closest to the crushed Coke can in the bowl."/>
    <x:s v="green block; blue block; crushed Coke can"/>
    <x:s v="green block"/>
    <x:m/>
    <x:x v="13"/>
  </x:r>
  <x:r>
    <x:x v="0"/>
    <x:s v="Referential Disambiguation"/>
    <x:n v="119"/>
    <x:s v="Move the block furthest from the crushed Coke can into the bowl."/>
    <x:s v="green block; blue block; crushed Coke can"/>
    <x:s v="blue block"/>
    <x:m/>
    <x:x v="13"/>
  </x:r>
  <x:r>
    <x:x v="0"/>
    <x:s v="Referential Disambiguation"/>
    <x:n v="120"/>
    <x:s v="Move the block closest to the green pencil sharpener into the bowl."/>
    <x:s v="green block; blue block; green pencil sharpener; green pen"/>
    <x:s v="blue block"/>
    <x:m/>
    <x:x v="13"/>
  </x:r>
  <x:r>
    <x:x v="1"/>
    <x:s v="Referential Disambiguation"/>
    <x:n v="121"/>
    <x:s v="Pick up the block furthest from the green pencil sharpener and place it in the bowl."/>
    <x:s v="green block; blue block; green pencil sharpener; green pen"/>
    <x:s v="green block"/>
    <x:s v="picked blue block again"/>
    <x:x v="13"/>
  </x:r>
  <x:r>
    <x:x v="1"/>
    <x:s v="Referential Disambiguation"/>
    <x:n v="122"/>
    <x:s v="Pick up the block closest to the green pen and place it in the bowl."/>
    <x:s v="green block; blue block; green pen; yellow pen"/>
    <x:s v="green block"/>
    <x:s v="picked blue block"/>
    <x:x v="13"/>
  </x:r>
  <x:r>
    <x:x v="0"/>
    <x:s v="Referential Disambiguation"/>
    <x:n v="123"/>
    <x:s v="Put the block furthest from the green pen in the bowl."/>
    <x:s v="green block; blue block; green pen; yellow pen"/>
    <x:s v="blue block"/>
    <x:m/>
    <x:x v="13"/>
  </x:r>
  <x:r>
    <x:x v="1"/>
    <x:s v="Referential Disambiguation"/>
    <x:n v="124"/>
    <x:s v="Pick up the block between the green pen and the crushed Coke can and place it in the bowl."/>
    <x:s v="green block; blue block; green pen; crushed Coke can"/>
    <x:s v="green block"/>
    <x:s v="succeeded reasoning; tried picking green block but couldn't and drifted to the right"/>
    <x:x v="13"/>
  </x:r>
  <x:r>
    <x:x v="0"/>
    <x:s v="Referential Disambiguation"/>
    <x:n v="125"/>
    <x:s v="Put the block between the yellow pen and the crushed Pepsi can in the bowl."/>
    <x:s v="green block; blue block; yellow pen; crushed Pepsi can; red pencil sharpener"/>
    <x:s v="blue block"/>
    <x:m/>
    <x:x v="13"/>
  </x:r>
  <x:r>
    <x:x v="1"/>
    <x:s v="Referential Disambiguation"/>
    <x:n v="126"/>
    <x:s v="Move the block between the green pencil sharpener and the airplane toy with propellers into the bowl."/>
    <x:s v="green block; blue block; green pencil sharpener; airplane toy with propellers; green pen"/>
    <x:s v="green block"/>
    <x:s v="picked blue block"/>
    <x:x v="13"/>
  </x:r>
  <x:r>
    <x:x v="1"/>
    <x:s v="Referential Disambiguation"/>
    <x:n v="127"/>
    <x:s v="Pick up the block between the red pencil sharpener and the airplane toy without propellers and place it in the bowl."/>
    <x:s v="green block; blue block; red pencil sharpener; airplane toy without propellers"/>
    <x:s v="blue block"/>
    <x:s v="picked the red sharpener"/>
    <x:x v="13"/>
  </x:r>
  <x:r>
    <x:x v="1"/>
    <x:s v="Referential Disambiguation"/>
    <x:n v="128"/>
    <x:s v="Put the block between the green pen and the airplane toy without propellers in the bowl."/>
    <x:s v="green block; blue block; green pen; airplane toy without propellers"/>
    <x:s v="green block"/>
    <x:s v="picked blue block"/>
    <x:x v="13"/>
  </x:r>
  <x:r>
    <x:x v="1"/>
    <x:s v="Referential Disambiguation"/>
    <x:n v="129"/>
    <x:s v="Move the block between the yellow pen and the airplane toy with propellers into the bowl."/>
    <x:s v="green block; blue block; yellow pen; airplane toy with propellers; crushed Coke can"/>
    <x:s v="blue block"/>
    <x:s v="picked yellow pen"/>
    <x:x v="13"/>
  </x:r>
  <x:r>
    <x:x v="1"/>
    <x:s v="Referential Disambiguation"/>
    <x:n v="130"/>
    <x:s v="Pick up the crushed soda can between the green pen and the airplane toy with propellers and place it in the bowl."/>
    <x:s v="green pen; airplane toy with propellers; yellow pen; airplane toy without propellers"/>
    <x:s v="NO-OP; neither crushed Coke can nor crushed Pepsi can is present"/>
    <x:s v="tried to pick propellor plane like a soda can; didn't actually pick it"/>
    <x:x v="14"/>
  </x:r>
  <x:r>
    <x:x v="1"/>
    <x:s v="Referential Disambiguation"/>
    <x:n v="131"/>
    <x:s v="Pick up the pencil sharpener closest to the crushed Coke can and place it in the bowl."/>
    <x:s v="crushed Coke can; green pen; yellow pen"/>
    <x:s v="NO-OP; neither green pencil sharpener nor red pencil sharpener is present"/>
    <x:s v="picked the green pen which was pen closest to the coke can"/>
    <x:x v="14"/>
  </x:r>
  <x:r>
    <x:x v="1"/>
    <x:s v="Referential Disambiguation"/>
    <x:n v="132"/>
    <x:s v="Put the airplane toy closest to the green pencil sharpener in the bowl."/>
    <x:s v="green pencil sharpener; red pencil sharpener; green pen; yellow pen"/>
    <x:s v="NO-OP; neither airplane toy with propellers nor airplane toy without propellers is present"/>
    <x:s v="picked the green pen, which was closest pen to the green sharpener"/>
    <x:x v="14"/>
  </x:r>
  <x:r>
    <x:x v="1"/>
    <x:s v="Referential Disambiguation"/>
    <x:n v="133"/>
    <x:s v="Pick up the pen furthest from the crushed Pepsi can and place it in the bowl."/>
    <x:s v="crushed Pepsi can; airplane toy with propellers; airplane toy without propellers"/>
    <x:s v="NO-OP; neither green pen nor yellow pen is present"/>
    <x:s v="picked airplane toy furthest"/>
    <x:x v="14"/>
  </x:r>
  <x:r>
    <x:x v="1"/>
    <x:s v="Referential Disambiguation"/>
    <x:n v="134"/>
    <x:s v="Put the crushed soda can furthest from the airplane toy without propellers in the bowl."/>
    <x:s v="airplane toy without propellers; airplane toy with propellers; green pencil sharpener; red pencil sharpener"/>
    <x:s v="NO-OP; neither crushed Coke can nor crushed Pepsi can is present"/>
    <x:s v="picked the airplane toy without propellors"/>
    <x:x v="14"/>
  </x:r>
  <x:r>
    <x:x v="1"/>
    <x:s v="Referential Disambiguation"/>
    <x:n v="135"/>
    <x:s v="Move the pencil sharpener furthest from the airplane toy without propellers into the bowl."/>
    <x:s v="airplane toy without propellers; crushed Coke can; crushed Pepsi can"/>
    <x:s v="NO-OP; neither green pencil sharpener nor red pencil sharpener is present"/>
    <x:s v="picked non propellor plane"/>
    <x:x v="14"/>
  </x:r>
  <x:r>
    <x:x v="1"/>
    <x:s v="Referential Disambiguation"/>
    <x:n v="136"/>
    <x:s v="Put the airplane toy between the green pen and the crushed Coke can in the bowl."/>
    <x:s v="green pen; crushed Coke can; crushed Pepsi can; green pencil sharpener; red pencil sharpener"/>
    <x:s v="NO-OP; neither airplane toy with propellers nor airplane toy without propellers is present"/>
    <x:s v="picked green pen"/>
    <x:x v="14"/>
  </x:r>
  <x:r>
    <x:x v="1"/>
    <x:s v="Referential Disambiguation"/>
    <x:n v="137"/>
    <x:s v="Move the pen closest to the green pencil sharpener into the bowl."/>
    <x:s v="green pencil sharpener; red pencil sharpener; airplane toy with propellers"/>
    <x:s v="NO-OP; neither green pen nor yellow pen is present"/>
    <x:s v="picked the green pencil sharpener"/>
    <x:x v="14"/>
  </x:r>
  <x:r>
    <x:x v="1"/>
    <x:s v="Referential Disambiguation"/>
    <x:n v="138"/>
    <x:s v="Move the crushed soda can between the airplane toy without propellers and the red pencil sharpener into the bowl."/>
    <x:s v="airplane toy without propellers; red pencil sharpener; yellow pen; airplane toy with propellers"/>
    <x:s v="NO-OP; neither crushed Coke can nor crushed Pepsi can is present"/>
    <x:s v="picked the yellow pen"/>
    <x:x v="14"/>
  </x:r>
  <x:r>
    <x:x v="1"/>
    <x:s v="Referential Disambiguation"/>
    <x:n v="139"/>
    <x:s v="Pick up the pencil sharpener closest to the yellow pen and place it in the bowl."/>
    <x:s v="yellow pen; airplane toy without propellers; crushed Coke can; crushed Pepsi can"/>
    <x:s v="NO-OP; neither green pencil sharpener nor red pencil sharpener is present"/>
    <x:s v="picked yellow pen"/>
    <x:x v="14"/>
  </x:r>
  <x:r>
    <x:x v="1"/>
    <x:s v="Referential Disambiguation"/>
    <x:n v="140"/>
    <x:s v="Pick up the airplane toy between the green pencil sharpener and the yellow pen and place it in the bowl."/>
    <x:s v="green pencil sharpener; yellow pen; crushed Coke can; crushed Pepsi can; red pencil sharpener"/>
    <x:s v="NO-OP; neither airplane toy with propellers nor airplane toy without propellers is present"/>
    <x:s v="picked the green pencil sharpener"/>
    <x:x v="14"/>
  </x:r>
  <x:r>
    <x:x v="1"/>
    <x:s v="Referential Disambiguation"/>
    <x:n v="141"/>
    <x:s v="Pick up the pen furthest from the airplane toy without propellers and place it in the bowl."/>
    <x:s v="airplane toy without propellers; crushed Pepsi can; green pencil sharpener; red pencil sharpener"/>
    <x:s v="NO-OP; neither green pen nor yellow pen is present"/>
    <x:s v="picked red pencil sharpener; closest sharpener to airplane toy"/>
    <x:x v="14"/>
  </x:r>
  <x:r>
    <x:x v="1"/>
    <x:s v="Referential Disambiguation"/>
    <x:n v="142"/>
    <x:s v="Put the crushed soda can furthest from the green pen in the bowl."/>
    <x:s v="green pen; yellow pen; airplane toy with propellers"/>
    <x:s v="NO-OP; neither crushed Coke can nor crushed Pepsi can is present"/>
    <x:s v="tried to picked the airplane toy, but dropped it"/>
    <x:x v="14"/>
  </x:r>
  <x:r>
    <x:x v="1"/>
    <x:s v="Referential Disambiguation"/>
    <x:n v="143"/>
    <x:s v="Put the pencil sharpener closest to the crushed Coke can in the bowl."/>
    <x:s v="crushed Coke can; airplane toy with propellers; airplane toy without propellers"/>
    <x:s v="NO-OP; neither green pencil sharpener nor red pencil sharpener is present"/>
    <x:s v="picked airplane toy closest to coke can"/>
    <x:x v="14"/>
  </x:r>
  <x:r>
    <x:x v="1"/>
    <x:s v="Referential Disambiguation"/>
    <x:n v="144"/>
    <x:s v="Move the airplane toy closest to the green pencil sharpener into the bowl."/>
    <x:s v="green pencil sharpener; yellow pen; crushed Coke can; crushed Pepsi can"/>
    <x:s v="NO-OP; neither airplane toy with propellers nor airplane toy without propellers is present"/>
    <x:s v="picked green pencil sharpener"/>
    <x:x v="14"/>
  </x:r>
  <x:r>
    <x:x v="1"/>
    <x:s v="Referential Disambiguation"/>
    <x:n v="145"/>
    <x:s v="Move the pen furthest from the crushed Pepsi can into the bowl."/>
    <x:s v="crushed Pepsi can; crushed Coke can; green pencil sharpener; red pencil sharpener"/>
    <x:s v="NO-OP; neither green pen nor yellow pen is present"/>
    <x:s v="picked the red pencil sharpener that was furthest from the crushed pepsi can"/>
    <x:x v="14"/>
  </x:r>
  <x:r>
    <x:x v="1"/>
    <x:s v="Referential Disambiguation"/>
    <x:n v="146"/>
    <x:s v="Put the crushed soda can between the green pencil sharpener and the yellow pen in the bowl."/>
    <x:s v="green pencil sharpener; yellow pen; airplane toy with propellers; airplane toy without propellers"/>
    <x:s v="NO-OP; neither crushed Coke can nor crushed Pepsi can is present"/>
    <x:s v="picked the yellow pen"/>
    <x:x v="14"/>
  </x:r>
  <x:r>
    <x:x v="1"/>
    <x:s v="Referential Disambiguation"/>
    <x:n v="147"/>
    <x:s v="Pick up the pencil sharpener furthest from the airplane toy without propellers and place it in the bowl."/>
    <x:s v="airplane toy without propellers; green pen; yellow pen; airplane toy with propellers"/>
    <x:s v="NO-OP; neither green pencil sharpener nor red pencil sharpener is present"/>
    <x:s v="picked the green pen; closest pen to the non-propellor plane"/>
    <x:x v="14"/>
  </x:r>
  <x:r>
    <x:x v="1"/>
    <x:s v="Referential Disambiguation"/>
    <x:n v="148"/>
    <x:s v="Move the airplane toy between the green pen and the crushed Coke can into the bowl."/>
    <x:s v="green pen; crushed Coke can; crushed Pepsi can; green pencil sharpener; red pencil sharpener"/>
    <x:s v="NO-OP; neither airplane toy with propellers nor airplane toy without propellers is present"/>
    <x:s v="picked the green pencil sharpener; sharpener between the green pen and crushed pepsi can"/>
    <x:x v="14"/>
  </x:r>
  <x:r>
    <x:x v="1"/>
    <x:s v="Referential Disambiguation"/>
    <x:n v="149"/>
    <x:s v="Pick up the pen closest to the green pencil sharpener and place it in the bowl."/>
    <x:s v="green pencil sharpener; airplane toy without propellers; crushed Coke can; crushed Pepsi can"/>
    <x:s v="NO-OP; neither green pen nor yellow pen is present"/>
    <x:s v="tried to pick the airplane toy but couldn't; closest object to the green pen"/>
    <x:x v="14"/>
  </x:r>
  <x:r>
    <x:x v="0"/>
    <x:s v="Size Recognition"/>
    <x:n v="0"/>
    <x:s v="Move the object that is smallest into the bowl."/>
    <x:s v="Bowl: empty. Table, robot-left→robot-right: P1 red pencil sharpener; P2 green block; P3 juggling ball; P4 crushed Pepsi can. Adjacent centers 8 cm apart; row centered on the workspace; all objects fully visible and grasp paths clear."/>
    <x:s v="MOVE red pencil sharpener to bowl"/>
    <x:m/>
    <x:x v="0"/>
  </x:r>
  <x:r>
    <x:x v="0"/>
    <x:s v="Size Recognition"/>
    <x:n v="1"/>
    <x:s v="Pick up the smallest item and place it in the bowl."/>
    <x:s v="Bowl: empty. Table, robot-left→robot-right: P1 crushed Pepsi can; P2 juggling ball; P3 green block. Adjacent centers 12 cm apart; row shifted 4 cm toward robot-left; all objects fully visible and grasp paths clear."/>
    <x:s v="MOVE green block to bowl"/>
    <x:m/>
    <x:x v="0"/>
  </x:r>
  <x:r>
    <x:x v="0"/>
    <x:s v="Size Recognition"/>
    <x:n v="2"/>
    <x:s v="Put the largest object in the bowl."/>
    <x:s v="Bowl: empty. Table, robot-left→robot-right: P1 juggling ball; P2 red pencil sharpener; P3 green block. Adjacent centers 16 cm apart; row shifted 4 cm toward robot-right; all objects fully visible and grasp paths clear."/>
    <x:s v="MOVE juggling ball to bowl"/>
    <x:m/>
    <x:x v="0"/>
  </x:r>
  <x:r>
    <x:x v="1"/>
    <x:s v="Size Recognition"/>
    <x:n v="3"/>
    <x:s v="Pick up the largest item and place it in the bowl."/>
    <x:s v="Bowl: empty. Table, robot-left→robot-right: P1 red pencil sharpener; P2 green block; P3 juggling ball; P4 crushed Pepsi can. Adjacent centers 8 cm apart; row shifted 4 cm toward the robot; all objects fully visible and grasp paths clear."/>
    <x:s v="MOVE crushed Pepsi can to bowl"/>
    <x:s v="successfully went to the pepsi can but didn't close gripper around it. Success on reasoning, failure on grasping"/>
    <x:x v="0"/>
  </x:r>
  <x:r>
    <x:x v="0"/>
    <x:s v="Size Recognition"/>
    <x:n v="4"/>
    <x:s v="Pick up the smallest item and place it in the bowl."/>
    <x:s v="Bowl: empty. Table, robot-left→robot-right: P1 juggling ball; P2 crushed Pepsi can; P3 green block; P4 red pencil sharpener. Adjacent centers 12 cm apart; row shifted 4 cm toward robot-left; all objects fully visible and grasp paths clear."/>
    <x:s v="MOVE red pencil sharpener to bowl"/>
    <x:m/>
    <x:x v="0"/>
  </x:r>
  <x:r>
    <x:x v="0"/>
    <x:s v="Size Recognition"/>
    <x:n v="5"/>
    <x:s v="Pick up the smallest item and place it in the bowl."/>
    <x:s v="Bowl: empty. Table, robot-left→robot-right: P1 green block; P2 juggling ball; P3 crushed Pepsi can. Adjacent centers 16 cm apart; row shifted 4 cm toward robot-right; all objects fully visible and grasp paths clear."/>
    <x:s v="MOVE green block to bowl"/>
    <x:s v="over gripped it that is squeezed the block out of the gripper into the bowl instead of dropping it in the bowl"/>
    <x:x v="0"/>
  </x:r>
  <x:r>
    <x:x v="0"/>
    <x:s v="Size Recognition"/>
    <x:n v="6"/>
    <x:s v="Pick up the largest item and place it in the bowl."/>
    <x:s v="Bowl: empty. Table, robot-left→robot-right: P1 green block; P2 red pencil sharpener; P3 juggling ball. Adjacent centers 8 cm apart; row shifted 4 cm toward the robot; all objects fully visible and grasp paths clear."/>
    <x:s v="MOVE juggling ball to bowl"/>
    <x:m/>
    <x:x v="0"/>
  </x:r>
  <x:r>
    <x:x v="0"/>
    <x:s v="Size Recognition"/>
    <x:n v="7"/>
    <x:s v="Move the object that is largest into the bowl."/>
    <x:s v="Bowl: empty. Table, robot-left→robot-right: P1 crushed Pepsi can; P2 green block; P3 juggling ball; P4 red pencil sharpener. Adjacent centers 12 cm apart; row shifted 4 cm away from the robot; all objects fully visible and grasp paths clear."/>
    <x:s v="MOVE crushed Pepsi can to bowl"/>
    <x:m/>
    <x:x v="0"/>
  </x:r>
  <x:r>
    <x:x v="0"/>
    <x:s v="Size Recognition"/>
    <x:n v="8"/>
    <x:s v="Move the object that is smallest into the bowl."/>
    <x:s v="Bowl: empty. Table, robot-left→robot-right: P1 red pencil sharpener; P2 crushed Pepsi can; P3 green block; P4 juggling ball. Adjacent centers 16 cm apart; row shifted 4 cm toward robot-right; all objects fully visible and grasp paths clear."/>
    <x:s v="MOVE red pencil sharpener to bowl"/>
    <x:m/>
    <x:x v="0"/>
  </x:r>
  <x:r>
    <x:x v="0"/>
    <x:s v="Size Recognition"/>
    <x:n v="9"/>
    <x:s v="Put the smallest object in the bowl."/>
    <x:s v="Bowl: empty. Table, robot-left→robot-right: P1 crushed Pepsi can; P2 juggling ball; P3 green block. Adjacent centers 8 cm apart; row shifted 4 cm toward the robot; all objects fully visible and grasp paths clear."/>
    <x:s v="MOVE green block to bowl"/>
    <x:m/>
    <x:x v="0"/>
  </x:r>
  <x:r>
    <x:x v="0"/>
    <x:s v="Size Recognition"/>
    <x:n v="10"/>
    <x:s v="Pick up the largest item and place it in the bowl."/>
    <x:s v="Bowl: empty. Table, robot-left→robot-right: P1 juggling ball; P2 red pencil sharpener; P3 green block. Adjacent centers 12 cm apart; row shifted 4 cm away from the robot; all objects fully visible and grasp paths clear."/>
    <x:s v="MOVE juggling ball to bowl"/>
    <x:m/>
    <x:x v="0"/>
  </x:r>
  <x:r>
    <x:x v="1"/>
    <x:s v="Size Recognition"/>
    <x:n v="11"/>
    <x:s v="Put the largest object in the bowl."/>
    <x:s v="Bowl: empty. Table, robot-left→robot-right: P1 juggling ball; P2 red pencil sharpener; P3 green block; P4 crushed Pepsi can. Adjacent centers 16 cm apart; row centered on the workspace; all objects fully visible and grasp paths clear."/>
    <x:s v="MOVE crushed Pepsi can to bowl"/>
    <x:s v="succeeded resoning in going to the pepsi can, but once it had its grippers around it, it couldn't grasp it"/>
    <x:x v="0"/>
  </x:r>
  <x:r>
    <x:x v="0"/>
    <x:s v="Size Recognition"/>
    <x:n v="12"/>
    <x:s v="Put the smallest object in the bowl."/>
    <x:s v="Bowl: empty. Table, robot-left→robot-right: P1 green block; P2 juggling ball; P3 crushed Pepsi can; P4 red pencil sharpener. Adjacent centers 8 cm apart; row shifted 4 cm toward the robot; all objects fully visible and grasp paths clear."/>
    <x:s v="MOVE red pencil sharpener to bowl"/>
    <x:m/>
    <x:x v="0"/>
  </x:r>
  <x:r>
    <x:x v="0"/>
    <x:s v="Size Recognition"/>
    <x:n v="13"/>
    <x:s v="Put the smallest object in the bowl."/>
    <x:s v="Bowl: empty. Table, robot-left→robot-right: P1 green block; P2 juggling ball; P3 crushed Pepsi can. Adjacent centers 12 cm apart; row shifted 4 cm away from the robot; all objects fully visible and grasp paths clear."/>
    <x:s v="MOVE green block to bowl"/>
    <x:m/>
    <x:x v="0"/>
  </x:r>
  <x:r>
    <x:x v="0"/>
    <x:s v="Size Recognition"/>
    <x:n v="14"/>
    <x:s v="Pick up the largest item and place it in the bowl."/>
    <x:s v="Bowl: empty. Table, robot-left→robot-right: P1 green block; P2 red pencil sharpener; P3 juggling ball. Adjacent centers 16 cm apart; row centered on the workspace; all objects fully visible and grasp paths clear."/>
    <x:s v="MOVE juggling ball to bowl"/>
    <x:m/>
    <x:x v="0"/>
  </x:r>
  <x:r>
    <x:x v="0"/>
    <x:s v="Size Recognition"/>
    <x:n v="15"/>
    <x:s v="Put the largest object in the bowl."/>
    <x:s v="Bowl: empty. Table, robot-left→robot-right: P1 crushed Pepsi can; P2 red pencil sharpener; P3 green block; P4 juggling ball. Adjacent centers 8 cm apart; row shifted 4 cm toward robot-left; all objects fully visible and grasp paths clear."/>
    <x:s v="MOVE crushed Pepsi can to bowl"/>
    <x:m/>
    <x:x v="0"/>
  </x:r>
  <x:r>
    <x:x v="0"/>
    <x:s v="Size Recognition"/>
    <x:n v="16"/>
    <x:s v="Move the object that is smallest into the bowl."/>
    <x:s v="Bowl: empty. Table, robot-left→robot-right: P1 red pencil sharpener; P2 juggling ball; P3 crushed Pepsi can; P4 green block. Adjacent centers 12 cm apart; row shifted 4 cm away from the robot; all objects fully visible and grasp paths clear."/>
    <x:s v="MOVE red pencil sharpener to bowl"/>
    <x:m/>
    <x:x v="0"/>
  </x:r>
  <x:r>
    <x:x v="1"/>
    <x:s v="Size Recognition"/>
    <x:n v="17"/>
    <x:s v="Put the smallest object in the bowl."/>
    <x:s v="Bowl: empty. Table, robot-left→robot-right: P1 crushed Pepsi can; P2 juggling ball; P3 green block. Adjacent centers 16 cm apart; row centered on the workspace; all objects fully visible and grasp paths clear."/>
    <x:s v="MOVE green block to bowl"/>
    <x:s v="successful reasoning, but had a bad grip and it got pushed out of range"/>
    <x:x v="0"/>
  </x:r>
  <x:r>
    <x:x v="0"/>
    <x:s v="Size Recognition"/>
    <x:n v="18"/>
    <x:s v="Put the largest object in the bowl."/>
    <x:s v="Bowl: empty. Table, robot-left→robot-right: P1 juggling ball; P2 red pencil sharpener; P3 green block. Adjacent centers 8 cm apart; row shifted 4 cm toward robot-left; all objects fully visible and grasp paths clear."/>
    <x:s v="MOVE juggling ball to bowl"/>
    <x:m/>
    <x:x v="0"/>
  </x:r>
  <x:r>
    <x:x v="0"/>
    <x:s v="Size Recognition"/>
    <x:n v="19"/>
    <x:s v="Move the object that is largest into the bowl."/>
    <x:s v="Bowl: empty. Table, robot-left→robot-right: P1 green block; P2 juggling ball; P3 red pencil sharpener; P4 crushed Pepsi can. Adjacent centers 12 cm apart; row shifted 4 cm toward robot-right; all objects fully visible and grasp paths clear."/>
    <x:s v="MOVE crushed Pepsi can to bowl"/>
    <x:m/>
    <x:x v="0"/>
  </x:r>
  <x:r>
    <x:x v="0"/>
    <x:s v="Size Recognition"/>
    <x:n v="20"/>
    <x:s v="Move the object that is largest into the bowl."/>
    <x:s v="Bowl: empty. Table, robot-left→robot-right: P1 green block; P2 red pencil sharpener. Adjacent centers 8 cm apart; row centered on the workspace; all objects fully visible and grasp paths clear."/>
    <x:s v="MOVE green block to bowl"/>
    <x:m/>
    <x:x v="1"/>
  </x:r>
  <x:r>
    <x:x v="0"/>
    <x:s v="Size Recognition"/>
    <x:n v="21"/>
    <x:s v="Put the green block in the bowl."/>
    <x:s v="Bowl: empty. Table, robot-left→robot-right: P1 green block; P2 red pencil sharpener. Adjacent centers 8 cm apart; row centered on the workspace; all objects fully visible and grasp paths clear."/>
    <x:s v="MOVE green block to bowl"/>
    <x:m/>
    <x:x v="2"/>
  </x:r>
  <x:r>
    <x:x v="0"/>
    <x:s v="Size Recognition"/>
    <x:n v="22"/>
    <x:s v="Choose the biggest item and move it into the bowl."/>
    <x:s v="Bowl: empty. Table, robot-left→robot-right: P1 green block; P2 red pencil sharpener. Adjacent centers 8 cm apart; row centered on the workspace; all objects fully visible and grasp paths clear."/>
    <x:s v="MOVE green block to bowl"/>
    <x:m/>
    <x:x v="3"/>
  </x:r>
  <x:r>
    <x:x v="0"/>
    <x:s v="Size Recognition"/>
    <x:n v="23"/>
    <x:s v="Transfer the green block from the table into the bowl."/>
    <x:s v="Bowl: empty. Table, robot-left→robot-right: P1 green block; P2 red pencil sharpener. Adjacent centers 8 cm apart; row centered on the workspace; all objects fully visible and grasp paths clear."/>
    <x:s v="MOVE green block to bowl"/>
    <x:m/>
    <x:x v="3"/>
  </x:r>
  <x:r>
    <x:x v="1"/>
    <x:s v="Size Recognition"/>
    <x:n v="24"/>
    <x:s v="Pick up the smallest item and place it in the bowl."/>
    <x:s v="Bowl: empty. Table, robot-left→robot-right: P1 crushed Pepsi can; P2 juggling ball. Adjacent centers 12 cm apart; row shifted 4 cm toward robot-right; all objects fully visible and grasp paths clear."/>
    <x:s v="MOVE juggling ball to bowl"/>
    <x:s v="went for the juggling ball, then drifted off to the right edge of the workspace"/>
    <x:x v="1"/>
  </x:r>
  <x:r>
    <x:x v="0"/>
    <x:s v="Size Recognition"/>
    <x:n v="25"/>
    <x:s v="Put the juggling ball in the bowl."/>
    <x:s v="Bowl: empty. Table, robot-left→robot-right: P1 crushed Pepsi can; P2 juggling ball. Adjacent centers 12 cm apart; row shifted 4 cm toward robot-right; all objects fully visible and grasp paths clear."/>
    <x:s v="MOVE juggling ball to bowl"/>
    <x:m/>
    <x:x v="2"/>
  </x:r>
  <x:r>
    <x:x v="0"/>
    <x:s v="Size Recognition"/>
    <x:n v="26"/>
    <x:s v="Choose the tiniest item and move it into the bowl."/>
    <x:s v="Bowl: empty. Table, robot-left→robot-right: P1 crushed Pepsi can; P2 juggling ball. Adjacent centers 12 cm apart; row shifted 4 cm toward robot-right; all objects fully visible and grasp paths clear."/>
    <x:s v="MOVE juggling ball to bowl"/>
    <x:m/>
    <x:x v="3"/>
  </x:r>
  <x:r>
    <x:x v="0"/>
    <x:s v="Size Recognition"/>
    <x:n v="27"/>
    <x:s v="Transfer the juggling ball from the table into the bowl."/>
    <x:s v="Bowl: empty. Table, robot-left→robot-right: P1 crushed Pepsi can; P2 juggling ball. Adjacent centers 12 cm apart; row shifted 4 cm toward robot-right; all objects fully visible and grasp paths clear."/>
    <x:s v="MOVE juggling ball to bowl"/>
    <x:m/>
    <x:x v="3"/>
  </x:r>
  <x:r>
    <x:x v="0"/>
    <x:s v="Size Recognition"/>
    <x:n v="28"/>
    <x:s v="Pick up the largest item and place it in the bowl."/>
    <x:s v="Bowl: empty. Table, robot-left→robot-right: P1 red pencil sharpener; P2 green block. Adjacent centers 12 cm apart; row shifted 4 cm toward robot-left; all objects fully visible and grasp paths clear."/>
    <x:s v="MOVE green block to bowl"/>
    <x:m/>
    <x:x v="1"/>
  </x:r>
  <x:r>
    <x:x v="0"/>
    <x:s v="Size Recognition"/>
    <x:n v="29"/>
    <x:s v="Move the green block into the bowl."/>
    <x:s v="Bowl: empty. Table, robot-left→robot-right: P1 red pencil sharpener; P2 green block. Adjacent centers 12 cm apart; row shifted 4 cm toward robot-left; all objects fully visible and grasp paths clear."/>
    <x:s v="MOVE green block to bowl"/>
    <x:m/>
    <x:x v="2"/>
  </x:r>
  <x:r>
    <x:x v="0"/>
    <x:s v="Size Recognition"/>
    <x:n v="30"/>
    <x:s v="Place whichever object is greatest in size inside the bowl."/>
    <x:s v="Bowl: empty. Table, robot-left→robot-right: P1 red pencil sharpener; P2 green block. Adjacent centers 12 cm apart; row shifted 4 cm toward robot-left; all objects fully visible and grasp paths clear."/>
    <x:s v="MOVE green block to bowl"/>
    <x:m/>
    <x:x v="3"/>
  </x:r>
  <x:r>
    <x:x v="0"/>
    <x:s v="Size Recognition"/>
    <x:n v="31"/>
    <x:s v="Lift the green block and set it inside the bowl."/>
    <x:s v="Bowl: empty. Table, robot-left→robot-right: P1 red pencil sharpener; P2 green block. Adjacent centers 12 cm apart; row shifted 4 cm toward robot-left; all objects fully visible and grasp paths clear."/>
    <x:s v="MOVE green block to bowl"/>
    <x:m/>
    <x:x v="3"/>
  </x:r>
  <x:r>
    <x:x v="0"/>
    <x:s v="Size Recognition"/>
    <x:n v="32"/>
    <x:s v="Put the smallest object in the bowl."/>
    <x:s v="Bowl: empty. Table, robot-left→robot-right: P1 juggling ball; P2 crushed Pepsi can. Adjacent centers 16 cm apart; row shifted 4 cm toward the robot; all objects fully visible and grasp paths clear."/>
    <x:s v="MOVE juggling ball to bowl"/>
    <x:m/>
    <x:x v="1"/>
  </x:r>
  <x:r>
    <x:x v="0"/>
    <x:s v="Size Recognition"/>
    <x:n v="33"/>
    <x:s v="Move the juggling ball into the bowl."/>
    <x:s v="Bowl: empty. Table, robot-left→robot-right: P1 juggling ball; P2 crushed Pepsi can. Adjacent centers 16 cm apart; row shifted 4 cm toward the robot; all objects fully visible and grasp paths clear."/>
    <x:s v="MOVE juggling ball to bowl"/>
    <x:m/>
    <x:x v="2"/>
  </x:r>
  <x:r>
    <x:x v="0"/>
    <x:s v="Size Recognition"/>
    <x:n v="34"/>
    <x:s v="Place whichever object is least in size inside the bowl."/>
    <x:s v="Bowl: empty. Table, robot-left→robot-right: P1 juggling ball; P2 crushed Pepsi can. Adjacent centers 16 cm apart; row shifted 4 cm toward the robot; all objects fully visible and grasp paths clear."/>
    <x:s v="MOVE juggling ball to bowl"/>
    <x:m/>
    <x:x v="3"/>
  </x:r>
  <x:r>
    <x:x v="0"/>
    <x:s v="Size Recognition"/>
    <x:n v="35"/>
    <x:s v="Lift the juggling ball and set it inside the bowl."/>
    <x:s v="Bowl: empty. Table, robot-left→robot-right: P1 juggling ball; P2 crushed Pepsi can. Adjacent centers 16 cm apart; row shifted 4 cm toward the robot; all objects fully visible and grasp paths clear."/>
    <x:s v="MOVE juggling ball to bowl"/>
    <x:m/>
    <x:x v="3"/>
  </x:r>
  <x:r>
    <x:x v="0"/>
    <x:s v="Size Recognition"/>
    <x:n v="36"/>
    <x:s v="Put the largest object in the bowl."/>
    <x:s v="Bowl: empty. Table, robot-left→robot-right: P1 green block; P2 red pencil sharpener. Adjacent centers 16 cm apart; row shifted 4 cm toward robot-right; all objects fully visible and grasp paths clear."/>
    <x:s v="MOVE green block to bowl"/>
    <x:m/>
    <x:x v="1"/>
  </x:r>
  <x:r>
    <x:x v="0"/>
    <x:s v="Size Recognition"/>
    <x:n v="37"/>
    <x:s v="Pick up the green block and place it in the bowl."/>
    <x:s v="Bowl: empty. Table, robot-left→robot-right: P1 green block; P2 red pencil sharpener. Adjacent centers 16 cm apart; row shifted 4 cm toward robot-right; all objects fully visible and grasp paths clear."/>
    <x:s v="MOVE green block to bowl"/>
    <x:m/>
    <x:x v="2"/>
  </x:r>
  <x:r>
    <x:x v="1"/>
    <x:s v="Size Recognition"/>
    <x:n v="38"/>
    <x:s v="Select the bigger object and put it into the bowl."/>
    <x:s v="Bowl: empty. Table, robot-left→robot-right: P1 green block; P2 red pencil sharpener. Adjacent centers 16 cm apart; row shifted 4 cm toward robot-right; all objects fully visible and grasp paths clear."/>
    <x:s v="MOVE green block to bowl"/>
    <x:s v="picked red sharpener"/>
    <x:x v="3"/>
  </x:r>
  <x:r>
    <x:x v="0"/>
    <x:s v="Size Recognition"/>
    <x:n v="39"/>
    <x:s v="Move the green block off the table and into the bowl."/>
    <x:s v="Bowl: empty. Table, robot-left→robot-right: P1 green block; P2 red pencil sharpener. Adjacent centers 16 cm apart; row shifted 4 cm toward robot-right; all objects fully visible and grasp paths clear."/>
    <x:s v="MOVE green block to bowl"/>
    <x:s v="knocked the green block, but did get it"/>
    <x:x v="3"/>
  </x:r>
  <x:r>
    <x:x v="0"/>
    <x:s v="Size Recognition"/>
    <x:n v="40"/>
    <x:s v="Move the object that is smallest into the bowl."/>
    <x:s v="Bowl: empty. Table, robot-left→robot-right: P1 crushed Pepsi can; P2 juggling ball. Adjacent centers 8 cm apart; row shifted 4 cm away from the robot; all objects fully visible and grasp paths clear."/>
    <x:s v="MOVE juggling ball to bowl"/>
    <x:m/>
    <x:x v="1"/>
  </x:r>
  <x:r>
    <x:x v="0"/>
    <x:s v="Size Recognition"/>
    <x:n v="41"/>
    <x:s v="Pick up the juggling ball and place it in the bowl."/>
    <x:s v="Bowl: empty. Table, robot-left→robot-right: P1 crushed Pepsi can; P2 juggling ball. Adjacent centers 8 cm apart; row shifted 4 cm away from the robot; all objects fully visible and grasp paths clear."/>
    <x:s v="MOVE juggling ball to bowl"/>
    <x:m/>
    <x:x v="2"/>
  </x:r>
  <x:r>
    <x:x v="1"/>
    <x:s v="Size Recognition"/>
    <x:n v="42"/>
    <x:s v="Select the smaller object and put it into the bowl."/>
    <x:s v="Bowl: empty. Table, robot-left→robot-right: P1 crushed Pepsi can; P2 juggling ball. Adjacent centers 8 cm apart; row shifted 4 cm away from the robot; all objects fully visible and grasp paths clear."/>
    <x:s v="MOVE juggling ball to bowl"/>
    <x:s v="went to pepsi can, had wrong gripping strategy, knocked it over and never recovered"/>
    <x:x v="3"/>
  </x:r>
  <x:r>
    <x:x v="0"/>
    <x:s v="Size Recognition"/>
    <x:n v="43"/>
    <x:s v="Move the juggling ball off the table and into the bowl."/>
    <x:s v="Bowl: empty. Table, robot-left→robot-right: P1 crushed Pepsi can; P2 juggling ball. Adjacent centers 8 cm apart; row shifted 4 cm away from the robot; all objects fully visible and grasp paths clear."/>
    <x:s v="MOVE juggling ball to bowl"/>
    <x:m/>
    <x:x v="3"/>
  </x:r>
  <x:r>
    <x:x v="0"/>
    <x:s v="Size Recognition"/>
    <x:n v="44"/>
    <x:s v="Move the object that is largest into the bowl."/>
    <x:s v="Bowl: empty. Table, robot-left→robot-right: P1 red pencil sharpener; P2 green block. Adjacent centers 8 cm apart; row shifted 4 cm toward the robot; all objects fully visible and grasp paths clear."/>
    <x:s v="MOVE green block to bowl"/>
    <x:m/>
    <x:x v="1"/>
  </x:r>
  <x:r>
    <x:x v="0"/>
    <x:s v="Size Recognition"/>
    <x:n v="45"/>
    <x:s v="Put the green block in the bowl."/>
    <x:s v="Bowl: empty. Table, robot-left→robot-right: P1 red pencil sharpener; P2 green block. Adjacent centers 8 cm apart; row shifted 4 cm toward the robot; all objects fully visible and grasp paths clear."/>
    <x:s v="MOVE green block to bowl"/>
    <x:m/>
    <x:x v="2"/>
  </x:r>
  <x:r>
    <x:x v="0"/>
    <x:s v="Size Recognition"/>
    <x:n v="46"/>
    <x:s v="Find the greatest-sized item and move it to the bowl."/>
    <x:s v="Bowl: empty. Table, robot-left→robot-right: P1 red pencil sharpener; P2 green block. Adjacent centers 8 cm apart; row shifted 4 cm toward the robot; all objects fully visible and grasp paths clear."/>
    <x:s v="MOVE green block to bowl"/>
    <x:m/>
    <x:x v="3"/>
  </x:r>
  <x:r>
    <x:x v="0"/>
    <x:s v="Size Recognition"/>
    <x:n v="47"/>
    <x:s v="Place the table's green block inside the bowl."/>
    <x:s v="Bowl: empty. Table, robot-left→robot-right: P1 red pencil sharpener; P2 green block. Adjacent centers 8 cm apart; row shifted 4 cm toward the robot; all objects fully visible and grasp paths clear."/>
    <x:s v="MOVE green block to bowl"/>
    <x:m/>
    <x:x v="3"/>
  </x:r>
  <x:r>
    <x:x v="0"/>
    <x:s v="Size Recognition"/>
    <x:n v="48"/>
    <x:s v="Pick up the smallest item and place it in the bowl."/>
    <x:s v="Bowl: empty. Table, robot-left→robot-right: P1 juggling ball; P2 crushed Pepsi can. Adjacent centers 12 cm apart; row centered on the workspace; all objects fully visible and grasp paths clear."/>
    <x:s v="MOVE juggling ball to bowl"/>
    <x:m/>
    <x:x v="1"/>
  </x:r>
  <x:r>
    <x:x v="0"/>
    <x:s v="Size Recognition"/>
    <x:n v="49"/>
    <x:s v="Put the juggling ball in the bowl."/>
    <x:s v="Bowl: empty. Table, robot-left→robot-right: P1 juggling ball; P2 crushed Pepsi can. Adjacent centers 12 cm apart; row centered on the workspace; all objects fully visible and grasp paths clear."/>
    <x:s v="MOVE juggling ball to bowl"/>
    <x:m/>
    <x:x v="2"/>
  </x:r>
  <x:r>
    <x:x v="1"/>
    <x:s v="Size Recognition"/>
    <x:n v="50"/>
    <x:s v="Find the least-sized item and move it to the bowl."/>
    <x:s v="Bowl: empty. Table, robot-left→robot-right: P1 juggling ball; P2 crushed Pepsi can. Adjacent centers 12 cm apart; row centered on the workspace; all objects fully visible and grasp paths clear."/>
    <x:s v="MOVE juggling ball to bowl"/>
    <x:s v="went between the soda can and juggling ball, then couldn't grab the juggling ball; kind of drifted towards it but still failed"/>
    <x:x v="3"/>
  </x:r>
  <x:r>
    <x:x v="0"/>
    <x:s v="Size Recognition"/>
    <x:n v="51"/>
    <x:s v="Place the table's juggling ball inside the bowl."/>
    <x:s v="Bowl: empty. Table, robot-left→robot-right: P1 juggling ball; P2 crushed Pepsi can. Adjacent centers 12 cm apart; row centered on the workspace; all objects fully visible and grasp paths clear."/>
    <x:s v="MOVE juggling ball to bowl"/>
    <x:m/>
    <x:x v="3"/>
  </x:r>
  <x:r>
    <x:x v="1"/>
    <x:s v="Size Recognition"/>
    <x:n v="52"/>
    <x:s v="Pick up the largest item and place it in the bowl."/>
    <x:s v="Bowl: empty. Table, robot-left→robot-right: P1 green block; P2 red pencil sharpener. Adjacent centers 12 cm apart; row shifted 4 cm away from the robot; all objects fully visible and grasp paths clear."/>
    <x:s v="MOVE green block to bowl"/>
    <x:s v="went towards the green block, but then drifted off to the right edge of workspace and didn't recover"/>
    <x:x v="1"/>
  </x:r>
  <x:r>
    <x:x v="0"/>
    <x:s v="Size Recognition"/>
    <x:n v="53"/>
    <x:s v="Move the green block into the bowl."/>
    <x:s v="Bowl: empty. Table, robot-left→robot-right: P1 green block; P2 red pencil sharpener. Adjacent centers 12 cm apart; row shifted 4 cm away from the robot; all objects fully visible and grasp paths clear."/>
    <x:s v="MOVE green block to bowl"/>
    <x:m/>
    <x:x v="2"/>
  </x:r>
  <x:r>
    <x:x v="0"/>
    <x:s v="Size Recognition"/>
    <x:n v="54"/>
    <x:s v="Move whichever item is larger into the bowl."/>
    <x:s v="Bowl: empty. Table, robot-left→robot-right: P1 green block; P2 red pencil sharpener. Adjacent centers 12 cm apart; row shifted 4 cm away from the robot; all objects fully visible and grasp paths clear."/>
    <x:s v="MOVE green block to bowl"/>
    <x:m/>
    <x:x v="3"/>
  </x:r>
  <x:r>
    <x:x v="0"/>
    <x:s v="Size Recognition"/>
    <x:n v="55"/>
    <x:s v="Take the green block from the table and put it in the bowl."/>
    <x:s v="Bowl: empty. Table, robot-left→robot-right: P1 green block; P2 red pencil sharpener. Adjacent centers 12 cm apart; row shifted 4 cm away from the robot; all objects fully visible and grasp paths clear."/>
    <x:s v="MOVE green block to bowl"/>
    <x:m/>
    <x:x v="3"/>
  </x:r>
  <x:r>
    <x:x v="0"/>
    <x:s v="Size Recognition"/>
    <x:n v="56"/>
    <x:s v="Put the smallest object in the bowl."/>
    <x:s v="Bowl: empty. Table, robot-left→robot-right: P1 crushed Pepsi can; P2 juggling ball. Adjacent centers 16 cm apart; row shifted 4 cm toward robot-left; all objects fully visible and grasp paths clear."/>
    <x:s v="MOVE juggling ball to bowl"/>
    <x:m/>
    <x:x v="1"/>
  </x:r>
  <x:r>
    <x:x v="0"/>
    <x:s v="Size Recognition"/>
    <x:n v="57"/>
    <x:s v="Move the juggling ball into the bowl."/>
    <x:s v="Bowl: empty. Table, robot-left→robot-right: P1 crushed Pepsi can; P2 juggling ball. Adjacent centers 16 cm apart; row shifted 4 cm toward robot-left; all objects fully visible and grasp paths clear."/>
    <x:s v="MOVE juggling ball to bowl"/>
    <x:m/>
    <x:x v="2"/>
  </x:r>
  <x:r>
    <x:x v="0"/>
    <x:s v="Size Recognition"/>
    <x:n v="58"/>
    <x:s v="Move whichever item is smaller into the bowl."/>
    <x:s v="Bowl: empty. Table, robot-left→robot-right: P1 crushed Pepsi can; P2 juggling ball. Adjacent centers 16 cm apart; row shifted 4 cm toward robot-left; all objects fully visible and grasp paths clear."/>
    <x:s v="MOVE juggling ball to bowl"/>
    <x:m/>
    <x:x v="3"/>
  </x:r>
  <x:r>
    <x:x v="0"/>
    <x:s v="Size Recognition"/>
    <x:n v="59"/>
    <x:s v="Take the juggling ball from the table and put it in the bowl."/>
    <x:s v="Bowl: empty. Table, robot-left→robot-right: P1 crushed Pepsi can; P2 juggling ball. Adjacent centers 16 cm apart; row shifted 4 cm toward robot-left; all objects fully visible and grasp paths clear."/>
    <x:s v="MOVE juggling ball to bowl"/>
    <x:m/>
    <x:x v="3"/>
  </x:r>
  <x:r>
    <x:x v="1"/>
    <x:s v="Size Recognition"/>
    <x:n v="60"/>
    <x:s v="Put the largest object in the bowl."/>
    <x:s v="Bowl: empty. Table, robot-left→robot-right: P1 red pencil sharpener; P2 green block. Adjacent centers 16 cm apart; row centered on the workspace; all objects fully visible and grasp paths clear."/>
    <x:s v="MOVE green block to bowl"/>
    <x:s v="picked in between the two items, knocked green block, then went for red pencil sharpener. Dropped it and tried picking it, but was out of range"/>
    <x:x v="1"/>
  </x:r>
  <x:r>
    <x:x v="0"/>
    <x:s v="Size Recognition"/>
    <x:n v="61"/>
    <x:s v="Pick up the green block and place it in the bowl."/>
    <x:s v="Bowl: empty. Table, robot-left→robot-right: P1 red pencil sharpener; P2 green block. Adjacent centers 16 cm apart; row centered on the workspace; all objects fully visible and grasp paths clear."/>
    <x:s v="MOVE green block to bowl"/>
    <x:m/>
    <x:x v="2"/>
  </x:r>
  <x:r>
    <x:x v="0"/>
    <x:s v="Size Recognition"/>
    <x:n v="62"/>
    <x:s v="Move the object that is smallest into the bowl."/>
    <x:s v="Bowl: empty. Table, robot-left→robot-right: P1 juggling ball; P2 crushed Pepsi can. Adjacent centers 8 cm apart; row shifted 4 cm toward robot-right; all objects fully visible and grasp paths clear."/>
    <x:s v="MOVE juggling ball to bowl"/>
    <x:m/>
    <x:x v="1"/>
  </x:r>
  <x:r>
    <x:x v="0"/>
    <x:s v="Size Recognition"/>
    <x:n v="63"/>
    <x:s v="Pick up the juggling ball and place it in the bowl."/>
    <x:s v="Bowl: empty. Table, robot-left→robot-right: P1 juggling ball; P2 crushed Pepsi can. Adjacent centers 8 cm apart; row shifted 4 cm toward robot-right; all objects fully visible and grasp paths clear."/>
    <x:s v="MOVE juggling ball to bowl"/>
    <x:m/>
    <x:x v="2"/>
  </x:r>
  <x:r>
    <x:x v="1"/>
    <x:s v="Size Recognition"/>
    <x:n v="64"/>
    <x:s v="Move the object that is largest into the bowl."/>
    <x:s v="Bowl: empty. Table, robot-left→robot-right: P1 green block; P2 red pencil sharpener. Adjacent centers 8 cm apart; row shifted 4 cm toward robot-left; all objects fully visible and grasp paths clear."/>
    <x:s v="MOVE green block to bowl"/>
    <x:s v="went for red pencil sharpener, but couldn't grasp it, difted off to the right edge of the workspace"/>
    <x:x v="1"/>
  </x:r>
  <x:r>
    <x:x v="0"/>
    <x:s v="Size Recognition"/>
    <x:n v="65"/>
    <x:s v="Put the green block in the bowl."/>
    <x:s v="Bowl: empty. Table, robot-left→robot-right: P1 green block; P2 red pencil sharpener. Adjacent centers 8 cm apart; row shifted 4 cm toward robot-left; all objects fully visible and grasp paths clear."/>
    <x:s v="MOVE green block to bowl"/>
    <x:m/>
    <x:x v="2"/>
  </x:r>
  <x:r>
    <x:x v="0"/>
    <x:s v="Size Recognition"/>
    <x:n v="66"/>
    <x:s v="Pick up the smallest item and place it in the bowl."/>
    <x:s v="Bowl: empty. Table, robot-left→robot-right: P1 crushed Pepsi can; P2 juggling ball. Adjacent centers 12 cm apart; row shifted 4 cm toward the robot; all objects fully visible and grasp paths clear."/>
    <x:s v="MOVE juggling ball to bowl"/>
    <x:m/>
    <x:x v="1"/>
  </x:r>
  <x:r>
    <x:x v="0"/>
    <x:s v="Size Recognition"/>
    <x:n v="67"/>
    <x:s v="Put the juggling ball in the bowl."/>
    <x:s v="Bowl: empty. Table, robot-left→robot-right: P1 crushed Pepsi can; P2 juggling ball. Adjacent centers 12 cm apart; row shifted 4 cm toward the robot; all objects fully visible and grasp paths clear."/>
    <x:s v="MOVE juggling ball to bowl"/>
    <x:m/>
    <x:x v="2"/>
  </x:r>
  <x:r>
    <x:x v="1"/>
    <x:s v="Size Recognition"/>
    <x:n v="68"/>
    <x:s v="Pick up the largest item and place it in the bowl."/>
    <x:s v="Bowl: empty. Table, robot-left→robot-right: P1 red pencil sharpener; P2 green block. Adjacent centers 12 cm apart; row shifted 4 cm toward robot-right; all objects fully visible and grasp paths clear."/>
    <x:s v="MOVE green block to bowl"/>
    <x:s v="successfull reasoning; failed grasping and knocked the block out of range."/>
    <x:x v="1"/>
  </x:r>
  <x:r>
    <x:x v="0"/>
    <x:s v="Size Recognition"/>
    <x:n v="69"/>
    <x:s v="Move the green block into the bowl."/>
    <x:s v="Bowl: empty. Table, robot-left→robot-right: P1 red pencil sharpener; P2 green block. Adjacent centers 12 cm apart; row shifted 4 cm toward robot-right; all objects fully visible and grasp paths clear."/>
    <x:s v="MOVE green block to bowl"/>
    <x:m/>
    <x:x v="2"/>
  </x:r>
  <x:r>
    <x:x v="1"/>
    <x:s v="Size Recognition"/>
    <x:n v="70"/>
    <x:s v="Put the smallest object in the bowl."/>
    <x:s v="Bowl: empty. Table, robot-left→robot-right: P1 juggling ball; P2 crushed Pepsi can. Adjacent centers 16 cm apart; row shifted 4 cm away from the robot; all objects fully visible and grasp paths clear."/>
    <x:s v="MOVE juggling ball to bowl"/>
    <x:s v="went to pepsi can with wrong gripping strategy; froze up once it got there; slowly drifted to the right edge of the workspace"/>
    <x:x v="1"/>
  </x:r>
  <x:r>
    <x:x v="0"/>
    <x:s v="Size Recognition"/>
    <x:n v="71"/>
    <x:s v="Move the juggling ball into the bowl."/>
    <x:s v="Bowl: empty. Table, robot-left→robot-right: P1 juggling ball; P2 crushed Pepsi can. Adjacent centers 16 cm apart; row shifted 4 cm away from the robot; all objects fully visible and grasp paths clear."/>
    <x:s v="MOVE juggling ball to bowl"/>
    <x:m/>
    <x:x v="2"/>
  </x:r>
  <x:r>
    <x:x v="0"/>
    <x:s v="Size Recognition"/>
    <x:n v="72"/>
    <x:s v="Put the largest object in the bowl."/>
    <x:s v="Bowl: empty. Table, robot-left→robot-right: P1 green block; P2 red pencil sharpener. Adjacent centers 16 cm apart; row shifted 4 cm toward the robot; all objects fully visible and grasp paths clear."/>
    <x:s v="MOVE green block to bowl"/>
    <x:m/>
    <x:x v="1"/>
  </x:r>
  <x:r>
    <x:x v="0"/>
    <x:s v="Size Recognition"/>
    <x:n v="73"/>
    <x:s v="Pick up the green block and place it in the bowl."/>
    <x:s v="Bowl: empty. Table, robot-left→robot-right: P1 green block; P2 red pencil sharpener. Adjacent centers 16 cm apart; row shifted 4 cm toward the robot; all objects fully visible and grasp paths clear."/>
    <x:s v="MOVE green block to bowl"/>
    <x:m/>
    <x:x v="2"/>
  </x:r>
  <x:r>
    <x:x v="0"/>
    <x:s v="Size Recognition"/>
    <x:n v="74"/>
    <x:s v="Move the object that is smallest into the bowl."/>
    <x:s v="Bowl: empty. Table, robot-left→robot-right: P1 crushed Pepsi can; P2 juggling ball. Adjacent centers 8 cm apart; row centered on the workspace; all objects fully visible and grasp paths clear."/>
    <x:s v="MOVE juggling ball to bowl"/>
    <x:m/>
    <x:x v="1"/>
  </x:r>
  <x:r>
    <x:x v="0"/>
    <x:s v="Size Recognition"/>
    <x:n v="75"/>
    <x:s v="Pick up the juggling ball and place it in the bowl."/>
    <x:s v="Bowl: empty. Table, robot-left→robot-right: P1 crushed Pepsi can; P2 juggling ball. Adjacent centers 8 cm apart; row centered on the workspace; all objects fully visible and grasp paths clear."/>
    <x:s v="MOVE juggling ball to bowl"/>
    <x:m/>
    <x:x v="2"/>
  </x:r>
  <x:r>
    <x:x v="1"/>
    <x:s v="Size Recognition"/>
    <x:n v="76"/>
    <x:s v="Move the object that is largest into the bowl."/>
    <x:s v="Bowl: empty. Table, robot-left→robot-right: P1 red pencil sharpener; P2 green block. Adjacent centers 8 cm apart; row shifted 4 cm away from the robot; all objects fully visible and grasp paths clear."/>
    <x:s v="MOVE green block to bowl"/>
    <x:s v="succeeded reasoning, but overgripped it that the block flung out; drifted to the right edge of the workspace"/>
    <x:x v="1"/>
  </x:r>
  <x:r>
    <x:x v="1"/>
    <x:s v="Size Recognition"/>
    <x:n v="77"/>
    <x:s v="Put the green block in the bowl."/>
    <x:s v="Bowl: empty. Table, robot-left→robot-right: P1 red pencil sharpener; P2 green block. Adjacent centers 8 cm apart; row shifted 4 cm away from the robot; all objects fully visible and grasp paths clear."/>
    <x:s v="MOVE green block to bowl"/>
    <x:s v="gripped it, but didn't move once it was grouped. Also was overgripping a ton"/>
    <x:x v="2"/>
  </x:r>
  <x:r>
    <x:x v="1"/>
    <x:s v="Size Recognition"/>
    <x:n v="78"/>
    <x:s v="Pick up the smallest item and place it in the bowl."/>
    <x:s v="Bowl: empty. Table, robot-left→robot-right: P1 juggling ball; P2 crushed Pepsi can. Adjacent centers 12 cm apart; row shifted 4 cm toward robot-left; all objects fully visible and grasp paths clear."/>
    <x:s v="MOVE juggling ball to bowl"/>
    <x:s v="went to pepsi can with wrong gripping strategy; couldn't pick it up"/>
    <x:x v="1"/>
  </x:r>
  <x:r>
    <x:x v="0"/>
    <x:s v="Size Recognition"/>
    <x:n v="79"/>
    <x:s v="Put the juggling ball in the bowl."/>
    <x:s v="Bowl: empty. Table, robot-left→robot-right: P1 juggling ball; P2 crushed Pepsi can. Adjacent centers 12 cm apart; row shifted 4 cm toward robot-left; all objects fully visible and grasp paths clear."/>
    <x:s v="MOVE juggling ball to bowl"/>
    <x:m/>
    <x:x v="2"/>
  </x:r>
  <x:r>
    <x:x v="0"/>
    <x:s v="Size Recognition"/>
    <x:n v="80"/>
    <x:s v="Pick up the largest item and place it in the bowl."/>
    <x:s v="Bowl: empty. Table, robot-left→robot-right: P1 green block; P2 red pencil sharpener. Adjacent centers 12 cm apart; row centered on the workspace; all objects fully visible and grasp paths clear."/>
    <x:s v="MOVE green block to bowl"/>
    <x:m/>
    <x:x v="1"/>
  </x:r>
  <x:r>
    <x:x v="0"/>
    <x:s v="Size Recognition"/>
    <x:n v="81"/>
    <x:s v="Put the smallest object in the bowl."/>
    <x:s v="Bowl: empty. Table, robot-left→robot-right: P1 crushed Pepsi can; P2 juggling ball. Adjacent centers 16 cm apart; row shifted 4 cm toward robot-right; all objects fully visible and grasp paths clear."/>
    <x:s v="MOVE juggling ball to bowl"/>
    <x:m/>
    <x:x v="1"/>
  </x:r>
  <x:r>
    <x:x v="1"/>
    <x:s v="Size Recognition"/>
    <x:n v="82"/>
    <x:s v="Put the largest object in the bowl."/>
    <x:s v="Bowl: empty. Table, robot-left→robot-right: P1 red pencil sharpener; P2 green block. Adjacent centers 16 cm apart; row shifted 4 cm toward robot-left; all objects fully visible and grasp paths clear."/>
    <x:s v="MOVE green block to bowl"/>
    <x:s v="succeeded reasoning; but overgripping the block and knocked it out of the workspace; then went for the red pencil sharpener, which was technically correct since it wsa the only object in the environment"/>
    <x:x v="1"/>
  </x:r>
  <x:r>
    <x:x v="0"/>
    <x:s v="Size Recognition"/>
    <x:n v="83"/>
    <x:s v="Move the object that is smallest into the bowl."/>
    <x:s v="Bowl: empty. Table, robot-left→robot-right: P1 juggling ball; P2 crushed Pepsi can. Adjacent centers 8 cm apart; row shifted 4 cm toward the robot; all objects fully visible and grasp paths clear."/>
    <x:s v="MOVE juggling ball to bowl"/>
    <x:m/>
    <x:x v="1"/>
  </x:r>
  <x:r>
    <x:x v="0"/>
    <x:s v="Size Recognition"/>
    <x:n v="84"/>
    <x:s v="Move the object that is largest into the bowl."/>
    <x:s v="Bowl: empty. Table, robot-left→robot-right: P1 green block; P2 red pencil sharpener. Adjacent centers 8 cm apart; row shifted 4 cm toward robot-right; all objects fully visible and grasp paths clear."/>
    <x:s v="MOVE green block to bowl"/>
    <x:m/>
    <x:x v="1"/>
  </x:r>
  <x:r>
    <x:x v="1"/>
    <x:s v="Size Recognition"/>
    <x:n v="85"/>
    <x:s v="Pick up the smallest item and place it in the bowl."/>
    <x:s v="Bowl: empty. Table, robot-left→robot-right: P1 crushed Pepsi can; P2 juggling ball. Adjacent centers 12 cm apart; row shifted 4 cm away from the robot; all objects fully visible and grasp paths clear."/>
    <x:s v="MOVE juggling ball to bowl"/>
    <x:s v="successful reasoning; went for the juggling ball, but didn't grab it; ended up drifting off to the right edge of the workspace"/>
    <x:x v="1"/>
  </x:r>
  <x:r>
    <x:x v="1"/>
    <x:s v="Size Recognition"/>
    <x:n v="86"/>
    <x:s v="Pick up the largest item and place it in the bowl."/>
    <x:s v="Bowl: empty. Table, robot-left→robot-right: P1 red pencil sharpener; P2 green block. Adjacent centers 12 cm apart; row shifted 4 cm toward the robot; all objects fully visible and grasp paths clear."/>
    <x:s v="MOVE green block to bowl"/>
    <x:s v="drifted to the right of the workspace again"/>
    <x:x v="1"/>
  </x:r>
  <x:r>
    <x:x v="1"/>
    <x:s v="Size Recognition"/>
    <x:n v="87"/>
    <x:s v="Put the smallest object in the bowl."/>
    <x:s v="Bowl: empty. Table, robot-left→robot-right: P1 juggling ball; P2 crushed Pepsi can. Adjacent centers 16 cm apart; row centered on the workspace; all objects fully visible and grasp paths clear."/>
    <x:s v="MOVE juggling ball to bowl"/>
    <x:s v="went for the pepsi can with wrong gripping strategy then drifted off to the right edge of the workspace"/>
    <x:x v="1"/>
  </x:r>
  <x:r>
    <x:x v="0"/>
    <x:s v="Size Recognition"/>
    <x:n v="88"/>
    <x:s v="Put the largest object in the bowl."/>
    <x:s v="Bowl: empty. Table, robot-left→robot-right: P1 green block; P2 red pencil sharpener. Adjacent centers 16 cm apart; row shifted 4 cm away from the robot; all objects fully visible and grasp paths clear."/>
    <x:s v="MOVE green block to bowl"/>
    <x:m/>
    <x:x v="1"/>
  </x:r>
  <x:r>
    <x:x v="0"/>
    <x:s v="Size Recognition"/>
    <x:n v="89"/>
    <x:s v="Move the object that is smallest into the bowl."/>
    <x:s v="Bowl: empty. Table, robot-left→robot-right: P1 crushed Pepsi can; P2 juggling ball. Adjacent centers 8 cm apart; row shifted 4 cm toward robot-left; all objects fully visible and grasp paths clear."/>
    <x:s v="MOVE juggling ball to bowl"/>
    <x:m/>
    <x:x v="1"/>
  </x:r>
  <x:r>
    <x:x v="1"/>
    <x:s v="Size Recognition"/>
    <x:n v="90"/>
    <x:s v="Move the object that is largest into the bowl."/>
    <x:s v="Bowl: empty. Table, robot-left→robot-right: P1 red pencil sharpener; P2 green block. Adjacent centers 8 cm apart; row centered on the workspace; all objects fully visible and grasp paths clear."/>
    <x:s v="MOVE green block to bowl"/>
    <x:s v="picked red pencil sharpener"/>
    <x:x v="1"/>
  </x:r>
  <x:r>
    <x:x v="0"/>
    <x:s v="Size Recognition"/>
    <x:n v="91"/>
    <x:s v="Pick up the smallest item and place it in the bowl."/>
    <x:s v="Bowl: empty. Table, robot-left→robot-right: P1 juggling ball; P2 crushed Pepsi can. Adjacent centers 12 cm apart; row shifted 4 cm toward robot-right; all objects fully visible and grasp paths clear."/>
    <x:s v="MOVE juggling ball to bowl"/>
    <x:m/>
    <x:x v="1"/>
  </x:r>
  <x:r>
    <x:x v="1"/>
    <x:s v="Size Recognition"/>
    <x:n v="92"/>
    <x:s v="Pick up the largest item and place it in the bowl."/>
    <x:s v="Bowl: empty. Table, robot-left→robot-right: P1 green block; P2 red pencil sharpener. Adjacent centers 12 cm apart; row shifted 4 cm toward robot-left; all objects fully visible and grasp paths clear."/>
    <x:s v="MOVE green block to bowl"/>
    <x:s v="succeeded reasoning, but knocked the green block out of range and couldn't get it; started to drift to the right edge of the workspace"/>
    <x:x v="1"/>
  </x:r>
  <x:r>
    <x:x v="0"/>
    <x:s v="Size Recognition"/>
    <x:n v="93"/>
    <x:s v="Put the smallest object in the bowl."/>
    <x:s v="Bowl: empty. Table, robot-left→robot-right: P1 crushed Pepsi can; P2 juggling ball. Adjacent centers 16 cm apart; row shifted 4 cm toward the robot; all objects fully visible and grasp paths clear."/>
    <x:s v="MOVE juggling ball to bowl"/>
    <x:m/>
    <x:x v="1"/>
  </x:r>
  <x:r>
    <x:x v="0"/>
    <x:s v="Size Recognition"/>
    <x:n v="94"/>
    <x:s v="Put the largest object in the bowl."/>
    <x:s v="Bowl: empty. Table, robot-left→robot-right: P1 red pencil sharpener; P2 green block. Adjacent centers 16 cm apart; row shifted 4 cm toward robot-right; all objects fully visible and grasp paths clear."/>
    <x:s v="MOVE green block to bowl"/>
    <x:m/>
    <x:x v="1"/>
  </x:r>
  <x:r>
    <x:x v="1"/>
    <x:s v="Size Recognition"/>
    <x:n v="95"/>
    <x:s v="Move the object that is smallest into the bowl."/>
    <x:s v="Bowl: empty. Table, robot-left→robot-right: P1 juggling ball; P2 crushed Pepsi can. Adjacent centers 8 cm apart; row shifted 4 cm away from the robot; all objects fully visible and grasp paths clear."/>
    <x:s v="MOVE juggling ball to bowl"/>
    <x:s v="succeeded reasoning; went to the juggling ball, but couldn't grasp it; kept drifting to the right"/>
    <x:x v="1"/>
  </x:r>
  <x:r>
    <x:x v="1"/>
    <x:s v="Size Recognition"/>
    <x:n v="96"/>
    <x:s v="Move the object that is largest into the bowl."/>
    <x:s v="Bowl: empty. Table, robot-left→robot-right: P1 green block; P2 red pencil sharpener. Adjacent centers 8 cm apart; row shifted 4 cm toward the robot; all objects fully visible and grasp paths clear."/>
    <x:s v="MOVE green block to bowl"/>
    <x:s v="succeeded readoning but overgripped the green block; knocked it off the workspace, then went for pencil sharpener and knocked it out of the workspace as well from overgripping"/>
    <x:x v="1"/>
  </x:r>
  <x:r>
    <x:x v="1"/>
    <x:s v="Size Recognition"/>
    <x:n v="97"/>
    <x:s v="Pick up the smallest item and place it in the bowl."/>
    <x:s v="Bowl: empty. Table, robot-left→robot-right: P1 crushed Pepsi can; P2 juggling ball. Adjacent centers 12 cm apart; row centered on the workspace; all objects fully visible and grasp paths clear."/>
    <x:s v="MOVE juggling ball to bowl"/>
    <x:s v="went to the pepsi can with the wrong gripping strategy; drifted to the right edge of the workspace"/>
    <x:x v="1"/>
  </x:r>
  <x:r>
    <x:x v="1"/>
    <x:s v="Size Recognition"/>
    <x:n v="98"/>
    <x:s v="Pick up the largest item and place it in the bowl."/>
    <x:s v="Bowl: empty. Table, robot-left→robot-right: P1 red pencil sharpener; P2 green block. Adjacent centers 12 cm apart; row shifted 4 cm away from the robot; all objects fully visible and grasp paths clear."/>
    <x:s v="MOVE green block to bowl"/>
    <x:s v="tried to pick the red pencil sharpener; keeps overgripping"/>
    <x:x v="1"/>
  </x:r>
  <x:r>
    <x:x v="0"/>
    <x:s v="Size Recognition"/>
    <x:n v="99"/>
    <x:s v="Put the smallest object in the bowl."/>
    <x:s v="Bowl: empty. Table, robot-left→robot-right: P1 juggling ball; P2 crushed Pepsi can. Adjacent centers 16 cm apart; row shifted 4 cm toward robot-left; all objects fully visible and grasp paths clear."/>
    <x:s v="MOVE juggling ball to bowl"/>
    <x:m/>
    <x:x v="1"/>
  </x:r>
  <x:r>
    <x:x v="0"/>
    <x:s v="Size Recognition"/>
    <x:n v="100"/>
    <x:s v="Put the largest object in the bowl."/>
    <x:s v="Bowl: empty. Table, robot-left→robot-right: P1 green block; P2 red pencil sharpener. Adjacent centers 16 cm apart; row centered on the workspace; all objects fully visible and grasp paths clear."/>
    <x:s v="MOVE green block to bowl"/>
    <x:m/>
    <x:x v="1"/>
  </x:r>
  <x:r>
    <x:x v="1"/>
    <x:s v="Size Recognition"/>
    <x:n v="101"/>
    <x:s v="Move the object that is smallest into the bowl."/>
    <x:s v="Bowl: empty. Table, robot-left→robot-right: P1 crushed Pepsi can; P2 juggling ball. Adjacent centers 8 cm apart; row shifted 4 cm toward robot-right; all objects fully visible and grasp paths clear."/>
    <x:s v="MOVE juggling ball to bowl"/>
    <x:s v="went for the pepsi can with the wrong gripping strategy"/>
    <x:x v="1"/>
  </x:r>
  <x:r>
    <x:x v="0"/>
    <x:s v="Size Recognition"/>
    <x:n v="102"/>
    <x:s v="Move the object that is largest into the bowl."/>
    <x:s v="Bowl: empty. Table, robot-left→robot-right: P1 red pencil sharpener; P2 green block. Adjacent centers 8 cm apart; row shifted 4 cm toward robot-left; all objects fully visible and grasp paths clear."/>
    <x:s v="MOVE green block to bowl"/>
    <x:m/>
    <x:x v="1"/>
  </x:r>
  <x:r>
    <x:x v="1"/>
    <x:s v="Size Recognition"/>
    <x:n v="103"/>
    <x:s v="Pick up the smallest item and place it in the bowl."/>
    <x:s v="Bowl: empty. Table, robot-left→robot-right: P1 juggling ball; P2 crushed Pepsi can. Adjacent centers 12 cm apart; row shifted 4 cm toward the robot; all objects fully visible and grasp paths clear."/>
    <x:s v="MOVE juggling ball to bowl"/>
    <x:s v="went to the pepsi can with wrong gripping strategy"/>
    <x:x v="1"/>
  </x:r>
  <x:r>
    <x:x v="0"/>
    <x:s v="Size Recognition"/>
    <x:n v="104"/>
    <x:s v="Pick up the largest item and place it in the bowl."/>
    <x:s v="Bowl: empty. Table, robot-left→robot-right: P1 green block; P2 red pencil sharpener. Adjacent centers 12 cm apart; row shifted 4 cm toward robot-right; all objects fully visible and grasp paths clear."/>
    <x:s v="MOVE green block to bowl"/>
    <x:m/>
    <x:x v="1"/>
  </x:r>
  <x:r>
    <x:x v="0"/>
    <x:s v="Size Recognition"/>
    <x:n v="105"/>
    <x:s v="Put the smallest object in the bowl."/>
    <x:s v="Bowl: empty. Table, robot-left→robot-right: P1 crushed Pepsi can; P2 juggling ball. Adjacent centers 16 cm apart; row shifted 4 cm away from the robot; all objects fully visible and grasp paths clear."/>
    <x:s v="MOVE juggling ball to bowl"/>
    <x:m/>
    <x:x v="1"/>
  </x:r>
  <x:r>
    <x:x v="0"/>
    <x:s v="Size Recognition"/>
    <x:n v="106"/>
    <x:s v="Put the largest object in the bowl."/>
    <x:s v="Bowl: empty. Table, robot-left→robot-right: P1 red pencil sharpener; P2 green block. Adjacent centers 16 cm apart; row shifted 4 cm toward the robot; all objects fully visible and grasp paths clear."/>
    <x:s v="MOVE green block to bowl"/>
    <x:m/>
    <x:x v="1"/>
  </x:r>
  <x:r>
    <x:x v="0"/>
    <x:s v="Size Recognition"/>
    <x:n v="107"/>
    <x:s v="Move the object that is smallest into the bowl."/>
    <x:s v="Bowl: empty. Table, robot-left→robot-right: P1 juggling ball; P2 crushed Pepsi can. Adjacent centers 8 cm apart; row centered on the workspace; all objects fully visible and grasp paths clear."/>
    <x:s v="MOVE juggling ball to bowl"/>
    <x:m/>
    <x:x v="1"/>
  </x:r>
  <x:r>
    <x:x v="0"/>
    <x:s v="Size Recognition"/>
    <x:n v="108"/>
    <x:s v="Move the object that is largest into the bowl."/>
    <x:s v="Bowl: empty. Table, robot-left→robot-right: P1 green block; P2 red pencil sharpener. Adjacent centers 8 cm apart; row shifted 4 cm away from the robot; all objects fully visible and grasp paths clear."/>
    <x:s v="MOVE green block to bowl"/>
    <x:m/>
    <x:x v="1"/>
  </x:r>
  <x:r>
    <x:x v="1"/>
    <x:s v="Size Recognition"/>
    <x:n v="109"/>
    <x:s v="Pick up the smallest item and place it in the bowl."/>
    <x:s v="Bowl: empty. Table, robot-left→robot-right: P1 crushed Pepsi can; P2 juggling ball. Adjacent centers 12 cm apart; row shifted 4 cm toward robot-left; all objects fully visible and grasp paths clear."/>
    <x:s v="MOVE juggling ball to bowl"/>
    <x:s v="went for the pepsi can with wrong gripping strategy; drifted to the right edge of the workspace"/>
    <x:x v="1"/>
  </x:r>
  <x:r>
    <x:x v="1"/>
    <x:s v="Size Recognition"/>
    <x:n v="110"/>
    <x:s v="Move the object that is largest into the bowl."/>
    <x:s v="Bowl: empty. Table, robot-left→robot-right: P1 airplane toy with propellers; P2 red pencil sharpener. Adjacent centers 8 cm apart; row centered on the workspace; all objects fully visible and grasp paths clear."/>
    <x:s v="MOVE airplane toy with propellers to bowl"/>
    <x:s v="picked the red pencil sharpener"/>
    <x:x v="15"/>
  </x:r>
  <x:r>
    <x:x v="0"/>
    <x:s v="Size Recognition"/>
    <x:n v="111"/>
    <x:s v="Put the smallest object in the bowl."/>
    <x:s v="Bowl: empty. Table, robot-left→robot-right: P1 airplane toy with propellers; P2 red pencil sharpener. Adjacent centers 8 cm apart; row centered on the workspace; all objects fully visible and grasp paths clear."/>
    <x:s v="MOVE red pencil sharpener to bowl"/>
    <x:m/>
    <x:x v="16"/>
  </x:r>
  <x:r>
    <x:x v="0"/>
    <x:s v="Size Recognition"/>
    <x:n v="112"/>
    <x:s v="Pick up the smallest item and place it in the bowl."/>
    <x:s v="Bowl: empty. Table, robot-left→robot-right: P1 airplane toy with propellers; P2 green block; P3 crushed Pepsi can. Adjacent centers 12 cm apart; row shifted 4 cm toward robot-right; all objects fully visible and grasp paths clear."/>
    <x:s v="MOVE airplane toy with propellers to bowl"/>
    <x:m/>
    <x:x v="15"/>
  </x:r>
  <x:r>
    <x:x v="1"/>
    <x:s v="Size Recognition"/>
    <x:n v="113"/>
    <x:s v="Put the largest object in the bowl."/>
    <x:s v="Bowl: empty. Table, robot-left→robot-right: P1 airplane toy with propellers; P2 green block; P3 crushed Pepsi can. Adjacent centers 12 cm apart; row shifted 4 cm toward robot-right; all objects fully visible and grasp paths clear."/>
    <x:s v="MOVE crushed Pepsi can to bowl"/>
    <x:s v="successful reasoning, but didn't grip the soda can"/>
    <x:x v="16"/>
  </x:r>
  <x:r>
    <x:x v="1"/>
    <x:s v="Size Recognition"/>
    <x:n v="114"/>
    <x:s v="Pick up the largest item and place it in the bowl."/>
    <x:s v="Bowl: empty. Table, robot-left→robot-right: P1 red pencil sharpener; P2 airplane toy with propellers. Adjacent centers 12 cm apart; row shifted 4 cm toward robot-left; all objects fully visible and grasp paths clear."/>
    <x:s v="MOVE airplane toy with propellers to bowl"/>
    <x:s v="picked the red pencil sharpener"/>
    <x:x v="15"/>
  </x:r>
  <x:r>
    <x:x v="1"/>
    <x:s v="Size Recognition"/>
    <x:n v="115"/>
    <x:s v="Move the object that is smallest into the bowl."/>
    <x:s v="Bowl: empty. Table, robot-left→robot-right: P1 red pencil sharpener; P2 airplane toy with propellers. Adjacent centers 12 cm apart; row shifted 4 cm toward robot-left; all objects fully visible and grasp paths clear."/>
    <x:s v="MOVE red pencil sharpener to bowl"/>
    <x:s v="picked the airplane toy; dropped it then tried to pick the red pencil sharpener when it was knocked out of range."/>
    <x:x v="16"/>
  </x:r>
  <x:r>
    <x:x v="1"/>
    <x:s v="Size Recognition"/>
    <x:n v="116"/>
    <x:s v="Put the smallest object in the bowl."/>
    <x:s v="Bowl: empty. Table, robot-left→robot-right: P1 juggling ball; P2 green block; P3 airplane toy with propellers. Adjacent centers 16 cm apart; row shifted 4 cm toward the robot; all objects fully visible and grasp paths clear."/>
    <x:s v="MOVE airplane toy with propellers to bowl"/>
    <x:s v="picked the green block"/>
    <x:x v="15"/>
  </x:r>
  <x:r>
    <x:x v="0"/>
    <x:s v="Size Recognition"/>
    <x:n v="117"/>
    <x:s v="Move the object that is largest into the bowl."/>
    <x:s v="Bowl: empty. Table, robot-left→robot-right: P1 juggling ball; P2 green block; P3 airplane toy with propellers. Adjacent centers 16 cm apart; row shifted 4 cm toward the robot; all objects fully visible and grasp paths clear."/>
    <x:s v="MOVE juggling ball to bowl"/>
    <x:m/>
    <x:x v="16"/>
  </x:r>
  <x:r>
    <x:x v="1"/>
    <x:s v="Size Recognition"/>
    <x:n v="118"/>
    <x:s v="Put the largest object in the bowl."/>
    <x:s v="Bowl: empty. Table, robot-left→robot-right: P1 airplane toy with propellers; P2 red pencil sharpener. Adjacent centers 16 cm apart; row shifted 4 cm toward robot-right; all objects fully visible and grasp paths clear."/>
    <x:s v="MOVE airplane toy with propellers to bowl"/>
    <x:s v="picked the airplane toy, dropped it, then during recovery tried to get the red pencil sharpener but couldn't"/>
    <x:x v="15"/>
  </x:r>
  <x:r>
    <x:x v="1"/>
    <x:s v="Size Recognition"/>
    <x:n v="119"/>
    <x:s v="Pick up the smallest item and place it in the bowl."/>
    <x:s v="Bowl: empty. Table, robot-left→robot-right: P1 airplane toy with propellers; P2 red pencil sharpener. Adjacent centers 16 cm apart; row shifted 4 cm toward robot-right; all objects fully visible and grasp paths clear."/>
    <x:s v="MOVE red pencil sharpener to bowl"/>
    <x:s v="picked airplane toy"/>
    <x:x v="16"/>
  </x:r>
  <x:r>
    <x:x v="1"/>
    <x:s v="Size Recognition"/>
    <x:n v="120"/>
    <x:s v="Move the object that is smallest into the bowl."/>
    <x:s v="Bowl: empty. Table, robot-left→robot-right: P1 green block; P2 crushed Pepsi can; P3 airplane toy with propellers. Adjacent centers 8 cm apart; row shifted 4 cm away from the robot; all objects fully visible and grasp paths clear."/>
    <x:s v="MOVE airplane toy with propellers to bowl"/>
    <x:s v="picked the green block; grips it so hard!"/>
    <x:x v="15"/>
  </x:r>
  <x:r>
    <x:x v="0"/>
    <x:s v="Size Recognition"/>
    <x:n v="121"/>
    <x:s v="Pick up the largest item and place it in the bowl."/>
    <x:s v="Bowl: empty. Table, robot-left→robot-right: P1 green block; P2 crushed Pepsi can; P3 airplane toy with propellers. Adjacent centers 8 cm apart; row shifted 4 cm away from the robot; all objects fully visible and grasp paths clear."/>
    <x:s v="MOVE crushed Pepsi can to bowl"/>
    <x:m/>
    <x:x v="16"/>
  </x:r>
  <x:r>
    <x:x v="0"/>
    <x:s v="Size Recognition"/>
    <x:n v="122"/>
    <x:s v="Move the object that is largest into the bowl."/>
    <x:s v="Bowl: empty. Table, robot-left→robot-right: P1 red pencil sharpener; P2 airplane toy with propellers. Adjacent centers 8 cm apart; row shifted 4 cm toward the robot; all objects fully visible and grasp paths clear."/>
    <x:s v="MOVE airplane toy with propellers to bowl"/>
    <x:m/>
    <x:x v="15"/>
  </x:r>
  <x:r>
    <x:x v="1"/>
    <x:s v="Size Recognition"/>
    <x:n v="123"/>
    <x:s v="Put the smallest object in the bowl."/>
    <x:s v="Bowl: empty. Table, robot-left→robot-right: P1 red pencil sharpener; P2 airplane toy with propellers. Adjacent centers 8 cm apart; row shifted 4 cm toward the robot; all objects fully visible and grasp paths clear."/>
    <x:s v="MOVE red pencil sharpener to bowl"/>
    <x:s v="Picked the airplane toy again"/>
    <x:x v="16"/>
  </x:r>
  <x:r>
    <x:x v="0"/>
    <x:s v="Size Recognition"/>
    <x:n v="124"/>
    <x:s v="Pick up the smallest item and place it in the bowl."/>
    <x:s v="Bowl: empty. Table, robot-left→robot-right: P1 airplane toy with propellers; P2 green block; P3 juggling ball. Adjacent centers 12 cm apart; row centered on the workspace; all objects fully visible and grasp paths clear."/>
    <x:s v="MOVE airplane toy with propellers to bowl"/>
    <x:m/>
    <x:x v="15"/>
  </x:r>
  <x:r>
    <x:x v="0"/>
    <x:s v="Size Recognition"/>
    <x:n v="125"/>
    <x:s v="Put the largest object in the bowl."/>
    <x:s v="Bowl: empty. Table, robot-left→robot-right: P1 airplane toy with propellers; P2 green block; P3 juggling ball. Adjacent centers 12 cm apart; row centered on the workspace; all objects fully visible and grasp paths clear."/>
    <x:s v="MOVE juggling ball to bowl"/>
    <x:m/>
    <x:x v="16"/>
  </x:r>
  <x:r>
    <x:x v="0"/>
    <x:s v="Size Recognition"/>
    <x:n v="126"/>
    <x:s v="Pick up the largest item and place it in the bowl."/>
    <x:s v="Bowl: empty. Table, robot-left→robot-right: P1 airplane toy with propellers; P2 red pencil sharpener. Adjacent centers 12 cm apart; row shifted 4 cm away from the robot; all objects fully visible and grasp paths clear."/>
    <x:s v="MOVE airplane toy with propellers to bowl"/>
    <x:m/>
    <x:x v="15"/>
  </x:r>
  <x:r>
    <x:x v="0"/>
    <x:s v="Size Recognition"/>
    <x:n v="127"/>
    <x:s v="Move the object that is smallest into the bowl."/>
    <x:s v="Bowl: empty. Table, robot-left→robot-right: P1 airplane toy with propellers; P2 red pencil sharpener. Adjacent centers 12 cm apart; row shifted 4 cm away from the robot; all objects fully visible and grasp paths clear."/>
    <x:s v="MOVE red pencil sharpener to bowl"/>
    <x:m/>
    <x:x v="16"/>
  </x:r>
  <x:r>
    <x:x v="0"/>
    <x:s v="Size Recognition"/>
    <x:n v="128"/>
    <x:s v="Put the smallest object in the bowl."/>
    <x:s v="Bowl: empty. Table, robot-left→robot-right: P1 crushed Pepsi can; P2 juggling ball; P3 airplane toy with propellers. Adjacent centers 16 cm apart; row shifted 4 cm toward robot-left; all objects fully visible and grasp paths clear."/>
    <x:s v="MOVE airplane toy with propellers to bowl"/>
    <x:m/>
    <x:x v="15"/>
  </x:r>
  <x:r>
    <x:x v="0"/>
    <x:s v="Size Recognition"/>
    <x:n v="129"/>
    <x:s v="Move the object that is largest into the bowl."/>
    <x:s v="Bowl: empty. Table, robot-left→robot-right: P1 crushed Pepsi can; P2 juggling ball; P3 airplane toy with propellers. Adjacent centers 16 cm apart; row shifted 4 cm toward robot-left; all objects fully visible and grasp paths clear."/>
    <x:s v="MOVE crushed Pepsi can to bowl"/>
    <x:m/>
    <x:x v="16"/>
  </x:r>
</x:pivotCacheRecords>
</file>

<file path=pivotCache/pivotCacheRecords2.xml><?xml version="1.0" encoding="utf-8"?>
<x:pivotCacheRecords xmlns:x="http://schemas.openxmlformats.org/spreadsheetml/2006/main" count="900">
  <x:r>
    <x:x v="0"/>
    <x:s v="State Recognition"/>
    <x:n v="0"/>
    <x:s v="Put the open white cup in the bowl."/>
    <x:s v="white cup A (O, RU); white cup B (C, RU); glass spice container A (O, RU); yellow-white striped cup B (O, RU)"/>
    <x:s v="white cup A"/>
    <x:m/>
    <x:x v="0"/>
  </x:r>
  <x:r>
    <x:x v="0"/>
    <x:s v="State Recognition"/>
    <x:n v="1"/>
    <x:s v="Put the upright white cup in the bowl."/>
    <x:s v="white cup A (O, RU); white cup B (O, UD)"/>
    <x:s v="white cup A"/>
    <x:m/>
    <x:x v="0"/>
  </x:r>
  <x:r>
    <x:x v="0"/>
    <x:s v="State Recognition"/>
    <x:n v="2"/>
    <x:s v="Move the closed yellow-white striped cup into the bowl."/>
    <x:s v="yellow-white striped cup B (C, RU); yellow-white striped cup A (O, RU); white cup A (C, RU)"/>
    <x:s v="yellow-white striped cup B"/>
    <x:m/>
    <x:x v="0"/>
  </x:r>
  <x:r>
    <x:x v="0"/>
    <x:s v="State Recognition"/>
    <x:n v="3"/>
    <x:s v="Move the upside-down yellow-white striped cup into the bowl."/>
    <x:s v="yellow-white striped cup B (O, UD); yellow-white striped cup A (O, RU); brown cup B (C, RU); glass spice container A (O, RU)"/>
    <x:s v="yellow-white striped cup B"/>
    <x:m/>
    <x:x v="0"/>
  </x:r>
  <x:r>
    <x:x v="0"/>
    <x:s v="State Recognition"/>
    <x:n v="4"/>
    <x:s v="Put the open brown cup in the bowl."/>
    <x:s v="brown cup B (O, RU); brown cup A (C, RU); glass spice container A (O, RU)"/>
    <x:s v="brown cup B"/>
    <x:m/>
    <x:x v="0"/>
  </x:r>
  <x:r>
    <x:x v="0"/>
    <x:s v="State Recognition"/>
    <x:n v="5"/>
    <x:s v="Put the upside-down brown cup in the bowl."/>
    <x:s v="brown cup A (O, UD); brown cup B (O, RU)"/>
    <x:s v="brown cup A"/>
    <x:m/>
    <x:x v="0"/>
  </x:r>
  <x:r>
    <x:x v="0"/>
    <x:s v="State Recognition"/>
    <x:n v="6"/>
    <x:s v="Put the upright brown cup in the bowl."/>
    <x:s v="brown cup B (C, RU); brown cup A (C, UD)"/>
    <x:s v="brown cup B"/>
    <x:m/>
    <x:x v="0"/>
  </x:r>
  <x:r>
    <x:x v="0"/>
    <x:s v="State Recognition"/>
    <x:n v="7"/>
    <x:s v="Place the closed glass spice container in the bowl."/>
    <x:s v="glass spice container A (C, RU); glass spice container B (O, RU); yellow-white striped cup A (C, RU)"/>
    <x:s v="glass spice container A"/>
    <x:m/>
    <x:x v="0"/>
  </x:r>
  <x:r>
    <x:x v="0"/>
    <x:s v="State Recognition"/>
    <x:n v="8"/>
    <x:s v="Move the open glass spice container into the bowl."/>
    <x:s v="glass spice container B (O, RU); glass spice container A (C, RU); white cup B (O, RU)"/>
    <x:s v="glass spice container B"/>
    <x:m/>
    <x:x v="0"/>
  </x:r>
  <x:r>
    <x:x v="0"/>
    <x:s v="State Recognition"/>
    <x:n v="9"/>
    <x:s v="Put the upside-down glass spice container in the bowl."/>
    <x:s v="glass spice container B (C, UD); glass spice container A (C, RU)"/>
    <x:s v="glass spice container B"/>
    <x:m/>
    <x:x v="0"/>
  </x:r>
  <x:r>
    <x:x v="0"/>
    <x:s v="State Recognition"/>
    <x:n v="10"/>
    <x:s v="Move the closed white cup into the bowl."/>
    <x:s v="white cup B (C, RU); white cup A (O, RU); yellow-white striped cup A (C, RU); brown cup B (C, RU)"/>
    <x:s v="white cup B"/>
    <x:m/>
    <x:x v="0"/>
  </x:r>
  <x:r>
    <x:x v="0"/>
    <x:s v="State Recognition"/>
    <x:n v="11"/>
    <x:s v="Place the closed white cup in the bowl."/>
    <x:s v="white cup A (C, RU); white cup B (O, RU); brown cup B (O, RU)"/>
    <x:s v="white cup A"/>
    <x:m/>
    <x:x v="0"/>
  </x:r>
  <x:r>
    <x:x v="0"/>
    <x:s v="State Recognition"/>
    <x:n v="12"/>
    <x:s v="Put the open white cup in the bowl."/>
    <x:s v="white cup B (O, RU); white cup A (C, RU); glass spice container B (O, RU)"/>
    <x:s v="white cup B"/>
    <x:m/>
    <x:x v="0"/>
  </x:r>
  <x:r>
    <x:x v="0"/>
    <x:s v="State Recognition"/>
    <x:n v="13"/>
    <x:s v="Place the upside-down yellow-white striped cup in the bowl."/>
    <x:s v="yellow-white striped cup A (O, UD); yellow-white striped cup B (O, RU)"/>
    <x:s v="yellow-white striped cup A"/>
    <x:m/>
    <x:x v="0"/>
  </x:r>
  <x:r>
    <x:x v="0"/>
    <x:s v="State Recognition"/>
    <x:n v="14"/>
    <x:s v="Move the upright yellow-white striped cup into the bowl."/>
    <x:s v="yellow-white striped cup A (O, RU); yellow-white striped cup B (O, UD); glass spice container A (O, RU); white cup B (C, UD)"/>
    <x:s v="yellow-white striped cup A"/>
    <x:m/>
    <x:x v="0"/>
  </x:r>
  <x:r>
    <x:x v="1"/>
    <x:s v="State Recognition"/>
    <x:n v="15"/>
    <x:s v="Put the upright yellow-white striped cup in the bowl."/>
    <x:s v="yellow-white striped cup B (C, RU); yellow-white striped cup A (C, UD)"/>
    <x:s v="yellow-white striped cup B"/>
    <x:s v="put upside down striped cup in bowl"/>
    <x:x v="0"/>
  </x:r>
  <x:r>
    <x:x v="0"/>
    <x:s v="State Recognition"/>
    <x:n v="16"/>
    <x:s v="Move the upside-down brown cup into the bowl."/>
    <x:s v="brown cup A (C, UD); brown cup B (C, RU); yellow-white striped cup B (C, UD); glass spice container A (O, RU)"/>
    <x:s v="brown cup A"/>
    <x:m/>
    <x:x v="0"/>
  </x:r>
  <x:r>
    <x:x v="1"/>
    <x:s v="State Recognition"/>
    <x:n v="17"/>
    <x:s v="Place the upright brown cup in the bowl."/>
    <x:s v="brown cup A (C, RU); brown cup B (C, UD); glass spice container B (C, UD)"/>
    <x:s v="brown cup A"/>
    <x:s v="moved between the two cups, started going for upside down cup, knocked it over, then in recovery, went for the upside down cup."/>
    <x:x v="0"/>
  </x:r>
  <x:r>
    <x:x v="0"/>
    <x:s v="State Recognition"/>
    <x:n v="18"/>
    <x:s v="Put the closed glass spice container in the bowl."/>
    <x:s v="glass spice container A (C, RU); glass spice container B (O, RU); brown cup A (C, RU); white cup B (O, RU)"/>
    <x:s v="glass spice container A"/>
    <x:m/>
    <x:x v="0"/>
  </x:r>
  <x:r>
    <x:x v="0"/>
    <x:s v="State Recognition"/>
    <x:n v="19"/>
    <x:s v="Move the open glass spice container into the bowl."/>
    <x:s v="glass spice container B (O, RU); glass spice container A (C, RU); white cup B (O, RU); yellow-white striped cup A (O, RU)"/>
    <x:s v="glass spice container B"/>
    <x:m/>
    <x:x v="0"/>
  </x:r>
  <x:r>
    <x:x v="0"/>
    <x:s v="State Recognition"/>
    <x:n v="20"/>
    <x:s v="Place the upside-down white cup in the bowl."/>
    <x:s v="white cup A (C, UD); white cup B (C, RU)"/>
    <x:s v="white cup A"/>
    <x:m/>
    <x:x v="1"/>
  </x:r>
  <x:r>
    <x:x v="0"/>
    <x:s v="State Recognition"/>
    <x:n v="21"/>
    <x:s v="Put a white cup in the bowl."/>
    <x:s v="white cup A (C, UD); yellow-white striped cup A (C, RU)"/>
    <x:s v="white cup A"/>
    <x:m/>
    <x:x v="2"/>
  </x:r>
  <x:r>
    <x:x v="0"/>
    <x:s v="State Recognition"/>
    <x:n v="22"/>
    <x:s v="Move the inverted white cup into the bowl."/>
    <x:s v="white cup A (C, UD); white cup B (C, RU)"/>
    <x:s v="white cup A"/>
    <x:m/>
    <x:x v="3"/>
  </x:r>
  <x:r>
    <x:x v="0"/>
    <x:s v="State Recognition"/>
    <x:n v="23"/>
    <x:s v="Transfer the white cup from the table into the bowl."/>
    <x:s v="white cup A (C, UD); yellow-white striped cup A (C, RU)"/>
    <x:s v="white cup A"/>
    <x:m/>
    <x:x v="3"/>
  </x:r>
  <x:r>
    <x:x v="0"/>
    <x:s v="State Recognition"/>
    <x:n v="24"/>
    <x:s v="Place the open yellow-white striped cup in the bowl."/>
    <x:s v="yellow-white striped cup B (O, RU); yellow-white striped cup A (C, RU); brown cup B (O, RU)"/>
    <x:s v="yellow-white striped cup B"/>
    <x:m/>
    <x:x v="1"/>
  </x:r>
  <x:r>
    <x:x v="0"/>
    <x:s v="State Recognition"/>
    <x:n v="25"/>
    <x:s v="Place a yellow-white striped cup in the bowl."/>
    <x:s v="yellow-white striped cup B (O, RU); glass spice container B (C, RU); brown cup B (O, RU)"/>
    <x:s v="yellow-white striped cup B"/>
    <x:m/>
    <x:x v="2"/>
  </x:r>
  <x:r>
    <x:x v="0"/>
    <x:s v="State Recognition"/>
    <x:n v="26"/>
    <x:s v="Move the yellow-white striped cup whose opening is uncovered into the bowl."/>
    <x:s v="yellow-white striped cup B (O, RU); yellow-white striped cup A (C, RU); brown cup B (O, RU)"/>
    <x:s v="yellow-white striped cup B"/>
    <x:m/>
    <x:x v="3"/>
  </x:r>
  <x:r>
    <x:x v="0"/>
    <x:s v="State Recognition"/>
    <x:n v="27"/>
    <x:s v="Lift the yellow-white striped cup and set it inside the bowl."/>
    <x:s v="yellow-white striped cup B (O, RU); glass spice container B (C, RU); brown cup B (O, RU)"/>
    <x:s v="yellow-white striped cup B"/>
    <x:m/>
    <x:x v="3"/>
  </x:r>
  <x:r>
    <x:x v="1"/>
    <x:s v="State Recognition"/>
    <x:n v="28"/>
    <x:s v="Place the upright glass spice container in the bowl."/>
    <x:s v="glass spice container B (C, RU); glass spice container A (C, UD)"/>
    <x:s v="glass spice container B"/>
    <x:s v="picked upside down container"/>
    <x:x v="1"/>
  </x:r>
  <x:r>
    <x:x v="0"/>
    <x:s v="State Recognition"/>
    <x:n v="29"/>
    <x:s v="Place a glass spice container in the bowl."/>
    <x:s v="glass spice container B (C, RU); white cup B (C, UD)"/>
    <x:s v="glass spice container B"/>
    <x:m/>
    <x:x v="2"/>
  </x:r>
  <x:r>
    <x:x v="1"/>
    <x:s v="State Recognition"/>
    <x:n v="30"/>
    <x:s v="Move the right-side-up glass spice container into the bowl."/>
    <x:s v="glass spice container B (C, RU); glass spice container A (C, UD)"/>
    <x:s v="glass spice container B"/>
    <x:s v="picked upside down container"/>
    <x:x v="3"/>
  </x:r>
  <x:r>
    <x:x v="0"/>
    <x:s v="State Recognition"/>
    <x:n v="31"/>
    <x:s v="Move the glass spice container from the workspace into the bowl."/>
    <x:s v="glass spice container B (C, RU); white cup B (C, UD)"/>
    <x:s v="glass spice container B"/>
    <x:m/>
    <x:x v="3"/>
  </x:r>
  <x:r>
    <x:x v="0"/>
    <x:s v="State Recognition"/>
    <x:n v="32"/>
    <x:s v="Place the upside-down white cup in the bowl."/>
    <x:s v="white cup A (O, UD); white cup B (O, RU); brown cup A (C, RU)"/>
    <x:s v="white cup A"/>
    <x:m/>
    <x:x v="1"/>
  </x:r>
  <x:r>
    <x:x v="0"/>
    <x:s v="State Recognition"/>
    <x:n v="33"/>
    <x:s v="Move a white cup into the bowl."/>
    <x:s v="white cup A (O, UD); yellow-white striped cup A (O, RU); brown cup A (C, RU)"/>
    <x:s v="white cup A"/>
    <x:m/>
    <x:x v="2"/>
  </x:r>
  <x:r>
    <x:x v="0"/>
    <x:s v="State Recognition"/>
    <x:n v="34"/>
    <x:s v="Move the inverted white cup into the bowl."/>
    <x:s v="white cup A (O, UD); white cup B (O, RU); brown cup A (C, RU)"/>
    <x:s v="white cup A"/>
    <x:m/>
    <x:x v="3"/>
  </x:r>
  <x:r>
    <x:x v="0"/>
    <x:s v="State Recognition"/>
    <x:n v="35"/>
    <x:s v="Set the white cup inside the bowl."/>
    <x:s v="white cup A (O, UD); yellow-white striped cup A (O, RU); brown cup A (C, RU)"/>
    <x:s v="white cup A"/>
    <x:m/>
    <x:x v="3"/>
  </x:r>
  <x:r>
    <x:x v="0"/>
    <x:s v="State Recognition"/>
    <x:n v="36"/>
    <x:s v="Place the closed brown cup in the bowl."/>
    <x:s v="brown cup A (C, RU); brown cup B (O, RU); glass spice container A (C, RU); white cup B (O, RU)"/>
    <x:s v="brown cup A"/>
    <x:m/>
    <x:x v="1"/>
  </x:r>
  <x:r>
    <x:x v="0"/>
    <x:s v="State Recognition"/>
    <x:n v="37"/>
    <x:s v="Place a brown cup in the bowl."/>
    <x:s v="brown cup A (C, RU); yellow-white striped cup A (O, RU); glass spice container A (C, RU); white cup B (O, RU)"/>
    <x:s v="brown cup A"/>
    <x:m/>
    <x:x v="2"/>
  </x:r>
  <x:r>
    <x:x v="0"/>
    <x:s v="State Recognition"/>
    <x:n v="38"/>
    <x:s v="Move the brown cup whose opening is covered into the bowl."/>
    <x:s v="brown cup A (C, RU); brown cup B (O, RU); glass spice container A (C, RU); white cup B (O, RU)"/>
    <x:s v="brown cup A"/>
    <x:m/>
    <x:x v="3"/>
  </x:r>
  <x:r>
    <x:x v="0"/>
    <x:s v="State Recognition"/>
    <x:n v="39"/>
    <x:s v="Take the brown cup off the table and place it in the bowl."/>
    <x:s v="brown cup A (C, RU); yellow-white striped cup A (O, RU); glass spice container A (C, RU); white cup B (O, RU)"/>
    <x:s v="brown cup A"/>
    <x:m/>
    <x:x v="3"/>
  </x:r>
  <x:r>
    <x:x v="1"/>
    <x:s v="State Recognition"/>
    <x:n v="40"/>
    <x:s v="Place the open yellow-white striped cup in the bowl."/>
    <x:s v="yellow-white striped cup B (O, RU); yellow-white striped cup A (C, RU); glass spice container B (O, RU); white cup A (C, RU)"/>
    <x:s v="yellow-white striped cup B"/>
    <x:s v="grabbed closed cup"/>
    <x:x v="1"/>
  </x:r>
  <x:r>
    <x:x v="0"/>
    <x:s v="State Recognition"/>
    <x:n v="41"/>
    <x:s v="Put a yellow-white striped cup in the bowl."/>
    <x:s v="yellow-white striped cup B (O, RU); brown cup B (C, RU); glass spice container B (O, RU); white cup A (C, RU)"/>
    <x:s v="yellow-white striped cup B"/>
    <x:m/>
    <x:x v="2"/>
  </x:r>
  <x:r>
    <x:x v="1"/>
    <x:s v="State Recognition"/>
    <x:n v="42"/>
    <x:s v="Move the yellow-white striped cup whose opening is uncovered into the bowl."/>
    <x:s v="yellow-white striped cup B (O, RU); yellow-white striped cup A (C, RU); glass spice container B (O, RU); white cup A (C, RU)"/>
    <x:s v="yellow-white striped cup B"/>
    <x:s v="grabbed closed cup"/>
    <x:x v="3"/>
  </x:r>
  <x:r>
    <x:x v="0"/>
    <x:s v="State Recognition"/>
    <x:n v="43"/>
    <x:s v="Transfer the yellow-white striped cup from the table into the bowl."/>
    <x:s v="yellow-white striped cup B (O, RU); brown cup B (C, RU); glass spice container B (O, RU); white cup A (C, RU)"/>
    <x:s v="yellow-white striped cup B"/>
    <x:m/>
    <x:x v="3"/>
  </x:r>
  <x:r>
    <x:x v="0"/>
    <x:s v="State Recognition"/>
    <x:n v="44"/>
    <x:s v="Place the closed brown cup in the bowl."/>
    <x:s v="brown cup A (C, RU); brown cup B (O, RU)"/>
    <x:s v="brown cup A"/>
    <x:m/>
    <x:x v="1"/>
  </x:r>
  <x:r>
    <x:x v="0"/>
    <x:s v="State Recognition"/>
    <x:n v="45"/>
    <x:s v="Put a brown cup in the bowl."/>
    <x:s v="brown cup A (C, RU); white cup A (O, RU)"/>
    <x:s v="brown cup A"/>
    <x:m/>
    <x:x v="2"/>
  </x:r>
  <x:r>
    <x:x v="0"/>
    <x:s v="State Recognition"/>
    <x:n v="46"/>
    <x:s v="Move the brown cup whose opening is covered into the bowl."/>
    <x:s v="brown cup A (C, RU); brown cup B (O, RU)"/>
    <x:s v="brown cup A"/>
    <x:m/>
    <x:x v="3"/>
  </x:r>
  <x:r>
    <x:x v="0"/>
    <x:s v="State Recognition"/>
    <x:n v="47"/>
    <x:s v="Lift the brown cup and set it inside the bowl."/>
    <x:s v="brown cup A (C, RU); white cup A (O, RU)"/>
    <x:s v="brown cup A"/>
    <x:m/>
    <x:x v="3"/>
  </x:r>
  <x:r>
    <x:x v="0"/>
    <x:s v="State Recognition"/>
    <x:n v="48"/>
    <x:s v="Place the upright glass spice container in the bowl."/>
    <x:s v="glass spice container B (O, RU); glass spice container A (O, UD); yellow-white striped cup B (O, UD)"/>
    <x:s v="glass spice container B"/>
    <x:m/>
    <x:x v="1"/>
  </x:r>
  <x:r>
    <x:x v="0"/>
    <x:s v="State Recognition"/>
    <x:n v="49"/>
    <x:s v="Move a glass spice container into the bowl."/>
    <x:s v="glass spice container B (O, RU); brown cup B (O, UD); yellow-white striped cup B (O, UD)"/>
    <x:s v="glass spice container B"/>
    <x:m/>
    <x:x v="2"/>
  </x:r>
  <x:r>
    <x:x v="0"/>
    <x:s v="State Recognition"/>
    <x:n v="50"/>
    <x:s v="Move the right-side-up glass spice container into the bowl."/>
    <x:s v="glass spice container B (O, RU); glass spice container A (O, UD); yellow-white striped cup B (O, UD)"/>
    <x:s v="glass spice container B"/>
    <x:m/>
    <x:x v="3"/>
  </x:r>
  <x:r>
    <x:x v="0"/>
    <x:s v="State Recognition"/>
    <x:n v="51"/>
    <x:s v="Take the glass spice container off the table and place it in the bowl."/>
    <x:s v="glass spice container B (O, RU); brown cup B (O, UD); yellow-white striped cup B (O, UD)"/>
    <x:s v="glass spice container B"/>
    <x:m/>
    <x:x v="3"/>
  </x:r>
  <x:r>
    <x:x v="0"/>
    <x:s v="State Recognition"/>
    <x:n v="52"/>
    <x:s v="Place the upside-down white cup in the bowl."/>
    <x:s v="white cup A (C, UD); white cup B (C, RU); glass spice container A (C, RU); yellow-white striped cup B (O, RU)"/>
    <x:s v="white cup A"/>
    <x:m/>
    <x:x v="1"/>
  </x:r>
  <x:r>
    <x:x v="0"/>
    <x:s v="State Recognition"/>
    <x:n v="53"/>
    <x:s v="Move a white cup into the bowl."/>
    <x:s v="white cup A (C, UD); brown cup A (C, RU); glass spice container A (C, RU); yellow-white striped cup B (O, RU)"/>
    <x:s v="white cup A"/>
    <x:m/>
    <x:x v="2"/>
  </x:r>
  <x:r>
    <x:x v="0"/>
    <x:s v="State Recognition"/>
    <x:n v="54"/>
    <x:s v="Move the inverted white cup into the bowl."/>
    <x:s v="white cup A (C, UD); white cup B (C, RU); glass spice container A (C, RU); yellow-white striped cup B (O, RU)"/>
    <x:s v="white cup A"/>
    <x:m/>
    <x:x v="3"/>
  </x:r>
  <x:r>
    <x:x v="0"/>
    <x:s v="State Recognition"/>
    <x:n v="55"/>
    <x:s v="Move the white cup from the workspace into the bowl."/>
    <x:s v="white cup A (C, UD); brown cup A (C, RU); glass spice container A (C, RU); yellow-white striped cup B (O, RU)"/>
    <x:s v="white cup A"/>
    <x:m/>
    <x:x v="3"/>
  </x:r>
  <x:r>
    <x:x v="0"/>
    <x:s v="State Recognition"/>
    <x:n v="56"/>
    <x:s v="Place the open yellow-white striped cup in the bowl."/>
    <x:s v="yellow-white striped cup B (O, RU); yellow-white striped cup A (C, RU)"/>
    <x:s v="yellow-white striped cup B"/>
    <x:m/>
    <x:x v="1"/>
  </x:r>
  <x:r>
    <x:x v="0"/>
    <x:s v="State Recognition"/>
    <x:n v="57"/>
    <x:s v="Put a yellow-white striped cup in the bowl."/>
    <x:s v="yellow-white striped cup B (O, RU); white cup B (C, RU)"/>
    <x:s v="yellow-white striped cup B"/>
    <x:m/>
    <x:x v="2"/>
  </x:r>
  <x:r>
    <x:x v="0"/>
    <x:s v="State Recognition"/>
    <x:n v="58"/>
    <x:s v="Move the yellow-white striped cup whose opening is uncovered into the bowl."/>
    <x:s v="yellow-white striped cup B (O, RU); yellow-white striped cup A (C, RU)"/>
    <x:s v="yellow-white striped cup B"/>
    <x:m/>
    <x:x v="3"/>
  </x:r>
  <x:r>
    <x:x v="0"/>
    <x:s v="State Recognition"/>
    <x:n v="59"/>
    <x:s v="Set the yellow-white striped cup inside the bowl."/>
    <x:s v="yellow-white striped cup B (O, RU); white cup B (C, RU)"/>
    <x:s v="yellow-white striped cup B"/>
    <x:m/>
    <x:x v="3"/>
  </x:r>
  <x:r>
    <x:x v="0"/>
    <x:s v="State Recognition"/>
    <x:n v="60"/>
    <x:s v="Place the closed brown cup in the bowl."/>
    <x:s v="brown cup A (C, RU); brown cup B (O, RU); yellow-white striped cup A (C, RU)"/>
    <x:s v="brown cup A"/>
    <x:m/>
    <x:x v="1"/>
  </x:r>
  <x:r>
    <x:x v="0"/>
    <x:s v="State Recognition"/>
    <x:n v="61"/>
    <x:s v="Move a brown cup into the bowl."/>
    <x:s v="brown cup A (C, RU); white cup A (O, RU); yellow-white striped cup A (C, RU)"/>
    <x:s v="brown cup A"/>
    <x:m/>
    <x:x v="2"/>
  </x:r>
  <x:r>
    <x:x v="1"/>
    <x:s v="State Recognition"/>
    <x:n v="62"/>
    <x:s v="Place the upright glass spice container in the bowl."/>
    <x:s v="glass spice container B (C, RU); glass spice container A (C, UD); brown cup B (O, UD); white cup A (C, RU)"/>
    <x:s v="glass spice container B"/>
    <x:s v="picked the upside down container"/>
    <x:x v="1"/>
  </x:r>
  <x:r>
    <x:x v="0"/>
    <x:s v="State Recognition"/>
    <x:n v="63"/>
    <x:s v="Place a glass spice container in the bowl."/>
    <x:s v="glass spice container B (C, RU); yellow-white striped cup B (C, UD); brown cup B (O, UD); white cup A (C, RU)"/>
    <x:s v="glass spice container B"/>
    <x:m/>
    <x:x v="2"/>
  </x:r>
  <x:r>
    <x:x v="0"/>
    <x:s v="State Recognition"/>
    <x:n v="64"/>
    <x:s v="Place the upside-down white cup in the bowl."/>
    <x:s v="white cup A (O, UD); white cup B (O, RU)"/>
    <x:s v="white cup A"/>
    <x:m/>
    <x:x v="1"/>
  </x:r>
  <x:r>
    <x:x v="0"/>
    <x:s v="State Recognition"/>
    <x:n v="65"/>
    <x:s v="Put a white cup in the bowl."/>
    <x:s v="white cup A (O, UD); yellow-white striped cup A (O, RU)"/>
    <x:s v="white cup A"/>
    <x:m/>
    <x:x v="2"/>
  </x:r>
  <x:r>
    <x:x v="0"/>
    <x:s v="State Recognition"/>
    <x:n v="66"/>
    <x:s v="Place the open yellow-white striped cup in the bowl."/>
    <x:s v="yellow-white striped cup B (O, RU); yellow-white striped cup A (C, RU); brown cup B (O, RU)"/>
    <x:s v="yellow-white striped cup B"/>
    <x:m/>
    <x:x v="1"/>
  </x:r>
  <x:r>
    <x:x v="0"/>
    <x:s v="State Recognition"/>
    <x:n v="67"/>
    <x:s v="Put a yellow-white striped cup in the bowl."/>
    <x:s v="yellow-white striped cup B (O, RU); glass spice container B (C, RU); brown cup B (O, RU)"/>
    <x:s v="yellow-white striped cup B"/>
    <x:m/>
    <x:x v="2"/>
  </x:r>
  <x:r>
    <x:x v="0"/>
    <x:s v="State Recognition"/>
    <x:n v="68"/>
    <x:s v="Place the closed brown cup in the bowl."/>
    <x:s v="brown cup A (C, RU); brown cup B (O, RU); glass spice container A (C, RU); white cup B (O, RU)"/>
    <x:s v="brown cup A"/>
    <x:s v="went in between the two brown cups then got the closed one."/>
    <x:x v="1"/>
  </x:r>
  <x:r>
    <x:x v="0"/>
    <x:s v="State Recognition"/>
    <x:n v="69"/>
    <x:s v="Move a brown cup into the bowl."/>
    <x:s v="brown cup A (C, RU); yellow-white striped cup A (O, RU); glass spice container A (C, RU); white cup B (O, RU)"/>
    <x:s v="brown cup A"/>
    <x:m/>
    <x:x v="2"/>
  </x:r>
  <x:r>
    <x:x v="0"/>
    <x:s v="State Recognition"/>
    <x:n v="70"/>
    <x:s v="Place the upright glass spice container in the bowl."/>
    <x:s v="glass spice container B (O, RU); glass spice container A (O, UD)"/>
    <x:s v="glass spice container B"/>
    <x:m/>
    <x:x v="1"/>
  </x:r>
  <x:r>
    <x:x v="0"/>
    <x:s v="State Recognition"/>
    <x:n v="71"/>
    <x:s v="Place a glass spice container in the bowl."/>
    <x:s v="glass spice container B (O, RU); white cup B (O, UD)"/>
    <x:s v="glass spice container B"/>
    <x:m/>
    <x:x v="2"/>
  </x:r>
  <x:r>
    <x:x v="0"/>
    <x:s v="State Recognition"/>
    <x:n v="72"/>
    <x:s v="Place the upside-down white cup in the bowl."/>
    <x:s v="white cup A (C, UD); white cup B (C, RU); brown cup A (C, RU)"/>
    <x:s v="white cup A"/>
    <x:m/>
    <x:x v="1"/>
  </x:r>
  <x:r>
    <x:x v="0"/>
    <x:s v="State Recognition"/>
    <x:n v="73"/>
    <x:s v="Put a white cup in the bowl."/>
    <x:s v="white cup A (C, UD); yellow-white striped cup A (C, RU); brown cup A (C, RU)"/>
    <x:s v="white cup A"/>
    <x:m/>
    <x:x v="2"/>
  </x:r>
  <x:r>
    <x:x v="0"/>
    <x:s v="State Recognition"/>
    <x:n v="74"/>
    <x:s v="Place the open yellow-white striped cup in the bowl."/>
    <x:s v="yellow-white striped cup B (O, RU); yellow-white striped cup A (C, RU); glass spice container B (O, RU); white cup A (C, RU)"/>
    <x:s v="yellow-white striped cup B"/>
    <x:m/>
    <x:x v="1"/>
  </x:r>
  <x:r>
    <x:x v="0"/>
    <x:s v="State Recognition"/>
    <x:n v="75"/>
    <x:s v="Move a yellow-white striped cup into the bowl."/>
    <x:s v="yellow-white striped cup B (O, RU); brown cup B (C, RU); glass spice container B (O, RU); white cup A (C, RU)"/>
    <x:s v="yellow-white striped cup B"/>
    <x:m/>
    <x:x v="2"/>
  </x:r>
  <x:r>
    <x:x v="0"/>
    <x:s v="State Recognition"/>
    <x:n v="76"/>
    <x:s v="Place the closed brown cup in the bowl."/>
    <x:s v="brown cup A (C, RU); brown cup B (O, RU)"/>
    <x:s v="brown cup A"/>
    <x:m/>
    <x:x v="1"/>
  </x:r>
  <x:r>
    <x:x v="0"/>
    <x:s v="State Recognition"/>
    <x:n v="77"/>
    <x:s v="Move a brown cup into the bowl."/>
    <x:s v="brown cup A (C, RU); white cup A (O, RU)"/>
    <x:s v="brown cup A"/>
    <x:m/>
    <x:x v="2"/>
  </x:r>
  <x:r>
    <x:x v="1"/>
    <x:s v="State Recognition"/>
    <x:n v="78"/>
    <x:s v="Place the upright glass spice container in the bowl."/>
    <x:s v="glass spice container B (C, RU); glass spice container A (C, UD); yellow-white striped cup B (O, UD)"/>
    <x:s v="glass spice container B"/>
    <x:s v="picked upside down container"/>
    <x:x v="1"/>
  </x:r>
  <x:r>
    <x:x v="0"/>
    <x:s v="State Recognition"/>
    <x:n v="79"/>
    <x:s v="Put a glass spice container in the bowl."/>
    <x:s v="glass spice container B (C, RU); brown cup B (C, UD); yellow-white striped cup B (O, UD)"/>
    <x:s v="glass spice container B"/>
    <x:m/>
    <x:x v="2"/>
  </x:r>
  <x:r>
    <x:x v="0"/>
    <x:s v="State Recognition"/>
    <x:n v="80"/>
    <x:s v="Place the upside-down white cup in the bowl."/>
    <x:s v="white cup A (O, UD); white cup B (O, RU); glass spice container A (C, RU); yellow-white striped cup B (O, RU)"/>
    <x:s v="white cup A"/>
    <x:m/>
    <x:x v="1"/>
  </x:r>
  <x:r>
    <x:x v="0"/>
    <x:s v="State Recognition"/>
    <x:n v="81"/>
    <x:s v="Place the open yellow-white striped cup in the bowl."/>
    <x:s v="yellow-white striped cup B (O, RU); yellow-white striped cup A (C, RU)"/>
    <x:s v="yellow-white striped cup B"/>
    <x:m/>
    <x:x v="1"/>
  </x:r>
  <x:r>
    <x:x v="0"/>
    <x:s v="State Recognition"/>
    <x:n v="82"/>
    <x:s v="Place the closed brown cup in the bowl."/>
    <x:s v="brown cup A (C, RU); brown cup B (O, RU); yellow-white striped cup A (C, RU)"/>
    <x:s v="brown cup A"/>
    <x:m/>
    <x:x v="1"/>
  </x:r>
  <x:r>
    <x:x v="1"/>
    <x:s v="State Recognition"/>
    <x:n v="83"/>
    <x:s v="Place the upright glass spice container in the bowl."/>
    <x:s v="glass spice container B (O, RU); glass spice container A (O, UD); brown cup B (O, UD); white cup A (C, RU)"/>
    <x:s v="glass spice container B"/>
    <x:s v="placed the upside down container"/>
    <x:x v="1"/>
  </x:r>
  <x:r>
    <x:x v="0"/>
    <x:s v="State Recognition"/>
    <x:n v="84"/>
    <x:s v="Place the upside-down white cup in the bowl."/>
    <x:s v="white cup A (C, UD); white cup B (C, RU)"/>
    <x:s v="white cup A"/>
    <x:m/>
    <x:x v="1"/>
  </x:r>
  <x:r>
    <x:x v="0"/>
    <x:s v="State Recognition"/>
    <x:n v="85"/>
    <x:s v="Place the open yellow-white striped cup in the bowl."/>
    <x:s v="yellow-white striped cup B (O, RU); yellow-white striped cup A (C, RU); brown cup B (O, RU)"/>
    <x:s v="yellow-white striped cup B"/>
    <x:m/>
    <x:x v="1"/>
  </x:r>
  <x:r>
    <x:x v="1"/>
    <x:s v="State Recognition"/>
    <x:n v="86"/>
    <x:s v="Place the closed brown cup in the bowl."/>
    <x:s v="brown cup A (C, RU); brown cup B (O, RU); glass spice container A (C, RU); white cup B (O, RU)"/>
    <x:s v="brown cup A"/>
    <x:s v="tried to place the closed glass container in the bowl, knocked it over, then knocked everything else over lol.  failed reasoning and grasping"/>
    <x:x v="1"/>
  </x:r>
  <x:r>
    <x:x v="1"/>
    <x:s v="State Recognition"/>
    <x:n v="87"/>
    <x:s v="Place the upright glass spice container in the bowl."/>
    <x:s v="glass spice container B (C, RU); glass spice container A (C, UD)"/>
    <x:s v="glass spice container B"/>
    <x:s v="picked upside down one"/>
    <x:x v="1"/>
  </x:r>
  <x:r>
    <x:x v="0"/>
    <x:s v="State Recognition"/>
    <x:n v="88"/>
    <x:s v="Place the upside-down white cup in the bowl."/>
    <x:s v="white cup A (O, UD); white cup B (O, RU); brown cup A (C, RU)"/>
    <x:s v="white cup A"/>
    <x:m/>
    <x:x v="1"/>
  </x:r>
  <x:r>
    <x:x v="0"/>
    <x:s v="State Recognition"/>
    <x:n v="89"/>
    <x:s v="Place the open yellow-white striped cup in the bowl."/>
    <x:s v="yellow-white striped cup B (O, RU); yellow-white striped cup A (C, RU); glass spice container B (O, RU); white cup A (C, RU)"/>
    <x:s v="yellow-white striped cup B"/>
    <x:m/>
    <x:x v="1"/>
  </x:r>
  <x:r>
    <x:x v="0"/>
    <x:s v="State Recognition"/>
    <x:n v="90"/>
    <x:s v="Place the closed brown cup in the bowl."/>
    <x:s v="brown cup A (C, RU); brown cup B (O, RU)"/>
    <x:s v="brown cup A"/>
    <x:m/>
    <x:x v="1"/>
  </x:r>
  <x:r>
    <x:x v="1"/>
    <x:s v="State Recognition"/>
    <x:n v="91"/>
    <x:s v="Place the upright glass spice container in the bowl."/>
    <x:s v="glass spice container B (O, RU); glass spice container A (O, UD); yellow-white striped cup B (O, UD)"/>
    <x:s v="glass spice container B"/>
    <x:s v="placed upside down jar in bowl"/>
    <x:x v="1"/>
  </x:r>
  <x:r>
    <x:x v="0"/>
    <x:s v="State Recognition"/>
    <x:n v="92"/>
    <x:s v="Place the upside-down white cup in the bowl."/>
    <x:s v="white cup A (C, UD); white cup B (C, RU); glass spice container A (C, RU); yellow-white striped cup B (O, RU)"/>
    <x:s v="white cup A"/>
    <x:m/>
    <x:x v="1"/>
  </x:r>
  <x:r>
    <x:x v="0"/>
    <x:s v="State Recognition"/>
    <x:n v="93"/>
    <x:s v="Place the open yellow-white striped cup in the bowl."/>
    <x:s v="yellow-white striped cup B (O, RU); yellow-white striped cup A (C, RU)"/>
    <x:s v="yellow-white striped cup B"/>
    <x:m/>
    <x:x v="1"/>
  </x:r>
  <x:r>
    <x:x v="0"/>
    <x:s v="State Recognition"/>
    <x:n v="94"/>
    <x:s v="Place the closed brown cup in the bowl."/>
    <x:s v="brown cup A (C, RU); brown cup B (O, RU); yellow-white striped cup A (C, RU)"/>
    <x:s v="brown cup A"/>
    <x:m/>
    <x:x v="1"/>
  </x:r>
  <x:r>
    <x:x v="0"/>
    <x:s v="State Recognition"/>
    <x:n v="95"/>
    <x:s v="Place the upright glass spice container in the bowl."/>
    <x:s v="glass spice container B (C, RU); glass spice container A (C, UD); brown cup B (O, UD); white cup A (C, RU)"/>
    <x:s v="glass spice container B"/>
    <x:m/>
    <x:x v="1"/>
  </x:r>
  <x:r>
    <x:x v="0"/>
    <x:s v="State Recognition"/>
    <x:n v="96"/>
    <x:s v="Place the upside-down white cup in the bowl."/>
    <x:s v="white cup A (O, UD); white cup B (O, RU)"/>
    <x:s v="white cup A"/>
    <x:m/>
    <x:x v="1"/>
  </x:r>
  <x:r>
    <x:x v="0"/>
    <x:s v="State Recognition"/>
    <x:n v="97"/>
    <x:s v="Place the open yellow-white striped cup in the bowl."/>
    <x:s v="yellow-white striped cup B (O, RU); yellow-white striped cup A (C, RU); brown cup B (O, RU)"/>
    <x:s v="yellow-white striped cup B"/>
    <x:m/>
    <x:x v="1"/>
  </x:r>
  <x:r>
    <x:x v="0"/>
    <x:s v="State Recognition"/>
    <x:n v="98"/>
    <x:s v="Place the closed brown cup in the bowl."/>
    <x:s v="brown cup A (C, RU); brown cup B (O, RU); glass spice container A (C, RU); white cup B (O, RU)"/>
    <x:s v="brown cup A"/>
    <x:m/>
    <x:x v="1"/>
  </x:r>
  <x:r>
    <x:x v="1"/>
    <x:s v="State Recognition"/>
    <x:n v="99"/>
    <x:s v="Place the upright glass spice container in the bowl."/>
    <x:s v="glass spice container B (O, RU); glass spice container A (O, UD)"/>
    <x:s v="glass spice container B"/>
    <x:s v="picked upside down container, then dropped it out of range. went for the upright cup, then pushed it out of range and couldn't get it."/>
    <x:x v="1"/>
  </x:r>
  <x:r>
    <x:x v="0"/>
    <x:s v="State Recognition"/>
    <x:n v="100"/>
    <x:s v="Place the upside-down white cup in the bowl."/>
    <x:s v="white cup A (C, UD); white cup B (C, RU); brown cup A (C, RU)"/>
    <x:s v="white cup A"/>
    <x:m/>
    <x:x v="1"/>
  </x:r>
  <x:r>
    <x:x v="1"/>
    <x:s v="State Recognition"/>
    <x:n v="101"/>
    <x:s v="Place the open yellow-white striped cup in the bowl."/>
    <x:s v="yellow-white striped cup B (O, RU); yellow-white striped cup A (C, RU); glass spice container B (O, RU); white cup A (C, RU)"/>
    <x:s v="yellow-white striped cup B"/>
    <x:s v="grabbed the closed striped cup"/>
    <x:x v="1"/>
  </x:r>
  <x:r>
    <x:x v="0"/>
    <x:s v="State Recognition"/>
    <x:n v="102"/>
    <x:s v="Place the closed brown cup in the bowl."/>
    <x:s v="brown cup A (C, RU); brown cup B (O, RU)"/>
    <x:s v="brown cup A"/>
    <x:m/>
    <x:x v="1"/>
  </x:r>
  <x:r>
    <x:x v="1"/>
    <x:s v="State Recognition"/>
    <x:n v="103"/>
    <x:s v="Place the upright glass spice container in the bowl."/>
    <x:s v="glass spice container B (C, RU); glass spice container A (C, UD); yellow-white striped cup B (O, UD)"/>
    <x:s v="glass spice container B"/>
    <x:s v="picked upside down container"/>
    <x:x v="1"/>
  </x:r>
  <x:r>
    <x:x v="0"/>
    <x:s v="State Recognition"/>
    <x:n v="104"/>
    <x:s v="Place the upside-down white cup in the bowl."/>
    <x:s v="white cup A (O, UD); white cup B (O, RU); glass spice container A (C, RU); yellow-white striped cup B (O, RU)"/>
    <x:s v="white cup A"/>
    <x:m/>
    <x:x v="1"/>
  </x:r>
  <x:r>
    <x:x v="0"/>
    <x:s v="State Recognition"/>
    <x:n v="105"/>
    <x:s v="Place the open yellow-white striped cup in the bowl."/>
    <x:s v="yellow-white striped cup B (O, RU); yellow-white striped cup A (C, RU)"/>
    <x:s v="yellow-white striped cup B"/>
    <x:m/>
    <x:x v="1"/>
  </x:r>
  <x:r>
    <x:x v="0"/>
    <x:s v="State Recognition"/>
    <x:n v="106"/>
    <x:s v="Place the closed brown cup in the bowl."/>
    <x:s v="brown cup A (C, RU); brown cup B (O, RU); yellow-white striped cup A (C, RU)"/>
    <x:s v="brown cup A"/>
    <x:m/>
    <x:x v="1"/>
  </x:r>
  <x:r>
    <x:x v="0"/>
    <x:s v="State Recognition"/>
    <x:n v="107"/>
    <x:s v="Place the upright glass spice container in the bowl."/>
    <x:s v="glass spice container B (O, RU); glass spice container A (O, UD); brown cup B (O, UD); white cup A (C, RU)"/>
    <x:s v="glass spice container B"/>
    <x:s v="reasoning failure. picked the upside down container, dropped it, then in recovery, got the upright one."/>
    <x:x v="1"/>
  </x:r>
  <x:r>
    <x:x v="0"/>
    <x:s v="State Recognition"/>
    <x:n v="108"/>
    <x:s v="Place the upside-down white cup in the bowl."/>
    <x:s v="white cup A (C, UD); white cup B (C, RU)"/>
    <x:s v="white cup A"/>
    <x:m/>
    <x:x v="1"/>
  </x:r>
  <x:r>
    <x:x v="1"/>
    <x:s v="State Recognition"/>
    <x:n v="109"/>
    <x:s v="Place the open yellow-white striped cup in the bowl."/>
    <x:s v="yellow-white striped cup B (O, RU); yellow-white striped cup A (C, RU); brown cup B (O, RU)"/>
    <x:s v="yellow-white striped cup B"/>
    <x:s v="picked closed striped cup"/>
    <x:x v="1"/>
  </x:r>
  <x:r>
    <x:x v="0"/>
    <x:s v="State Recognition"/>
    <x:n v="110"/>
    <x:s v="Place the closed black cup in the bowl."/>
    <x:s v="black cup A (C, RU); black cup B (O, RU)"/>
    <x:s v="black cup A"/>
    <x:m/>
    <x:x v="4"/>
  </x:r>
  <x:r>
    <x:x v="1"/>
    <x:s v="State Recognition"/>
    <x:n v="111"/>
    <x:s v="Place the open black cup in the bowl."/>
    <x:s v="black cup A (C, RU); black cup B (O, RU)"/>
    <x:s v="black cup B"/>
    <x:s v="picked the closed black cup"/>
    <x:x v="4"/>
  </x:r>
  <x:r>
    <x:x v="0"/>
    <x:s v="State Recognition"/>
    <x:n v="112"/>
    <x:s v="Place the upside-down black cup in the bowl."/>
    <x:s v="black cup A (C, UD); black cup B (C, RU); yellow-white striped cup B (O, UD)"/>
    <x:s v="black cup A"/>
    <x:m/>
    <x:x v="4"/>
  </x:r>
  <x:r>
    <x:x v="0"/>
    <x:s v="State Recognition"/>
    <x:n v="113"/>
    <x:s v="Place the upright black cup in the bowl."/>
    <x:s v="black cup A (C, UD); black cup B (C, RU); yellow-white striped cup B (O, UD)"/>
    <x:s v="black cup B"/>
    <x:m/>
    <x:x v="4"/>
  </x:r>
  <x:r>
    <x:x v="0"/>
    <x:s v="State Recognition"/>
    <x:n v="114"/>
    <x:s v="Place the closed black cup in the bowl."/>
    <x:s v="black cup A (O, RU); black cup B (C, RU); brown cup A (C, RU); glass spice container B (O, RU)"/>
    <x:s v="black cup B"/>
    <x:m/>
    <x:x v="4"/>
  </x:r>
  <x:r>
    <x:x v="0"/>
    <x:s v="State Recognition"/>
    <x:n v="115"/>
    <x:s v="Place the open black cup in the bowl."/>
    <x:s v="black cup A (O, RU); black cup B (C, RU); brown cup A (C, RU); glass spice container B (O, RU)"/>
    <x:s v="black cup A"/>
    <x:s v="moved between to the two cups, then recovered and got the open one"/>
    <x:x v="4"/>
  </x:r>
  <x:r>
    <x:x v="0"/>
    <x:s v="State Recognition"/>
    <x:n v="116"/>
    <x:s v="Place the upside-down black cup in the bowl."/>
    <x:s v="black cup A (O, RU); black cup B (O, UD)"/>
    <x:s v="black cup B"/>
    <x:m/>
    <x:x v="4"/>
  </x:r>
  <x:r>
    <x:x v="0"/>
    <x:s v="State Recognition"/>
    <x:n v="117"/>
    <x:s v="Place the upright black cup in the bowl."/>
    <x:s v="black cup A (O, RU); black cup B (O, UD)"/>
    <x:s v="black cup A"/>
    <x:m/>
    <x:x v="4"/>
  </x:r>
  <x:r>
    <x:x v="0"/>
    <x:s v="State Recognition"/>
    <x:n v="118"/>
    <x:s v="Place the closed black cup in the bowl."/>
    <x:s v="black cup A (C, RU); black cup B (O, RU); white cup A (C, RU)"/>
    <x:s v="black cup A"/>
    <x:m/>
    <x:x v="4"/>
  </x:r>
  <x:r>
    <x:x v="1"/>
    <x:s v="State Recognition"/>
    <x:n v="119"/>
    <x:s v="Place the open black cup in the bowl."/>
    <x:s v="black cup A (C, RU); black cup B (O, RU); white cup A (C, RU)"/>
    <x:s v="black cup B"/>
    <x:s v="placed closed black cup"/>
    <x:x v="4"/>
  </x:r>
  <x:r>
    <x:x v="1"/>
    <x:s v="State Recognition"/>
    <x:n v="120"/>
    <x:s v="Place the upside-down black cup in the bowl."/>
    <x:s v="black cup A (C, UD); black cup B (C, RU); yellow-white striped cup B (O, UD); brown cup A (C, RU)"/>
    <x:s v="black cup A"/>
    <x:s v="placed upright black cup"/>
    <x:x v="4"/>
  </x:r>
  <x:r>
    <x:x v="0"/>
    <x:s v="State Recognition"/>
    <x:n v="121"/>
    <x:s v="Place the upright black cup in the bowl."/>
    <x:s v="black cup A (C, UD); black cup B (C, RU); yellow-white striped cup B (O, UD); brown cup A (C, RU)"/>
    <x:s v="black cup B"/>
    <x:m/>
    <x:x v="4"/>
  </x:r>
  <x:r>
    <x:x v="0"/>
    <x:s v="State Recognition"/>
    <x:n v="122"/>
    <x:s v="Place the closed black cup in the bowl."/>
    <x:s v="black cup A (O, RU); black cup B (C, RU)"/>
    <x:s v="black cup B"/>
    <x:m/>
    <x:x v="4"/>
  </x:r>
  <x:r>
    <x:x v="0"/>
    <x:s v="State Recognition"/>
    <x:n v="123"/>
    <x:s v="Place the open black cup in the bowl."/>
    <x:s v="black cup A (O, RU); black cup B (C, RU)"/>
    <x:s v="black cup A"/>
    <x:m/>
    <x:x v="4"/>
  </x:r>
  <x:r>
    <x:x v="0"/>
    <x:s v="State Recognition"/>
    <x:n v="124"/>
    <x:s v="Place the upside-down black cup in the bowl."/>
    <x:s v="black cup A (O, RU); black cup B (O, UD); glass spice container B (O, UD)"/>
    <x:s v="black cup B"/>
    <x:m/>
    <x:x v="4"/>
  </x:r>
  <x:r>
    <x:x v="0"/>
    <x:s v="State Recognition"/>
    <x:n v="125"/>
    <x:s v="Place the upright black cup in the bowl."/>
    <x:s v="black cup A (O, RU); black cup B (O, UD); glass spice container B (O, UD)"/>
    <x:s v="black cup A"/>
    <x:m/>
    <x:x v="4"/>
  </x:r>
  <x:r>
    <x:x v="0"/>
    <x:s v="State Recognition"/>
    <x:n v="126"/>
    <x:s v="Place the closed black cup in the bowl."/>
    <x:s v="black cup A (C, RU); black cup B (O, RU); white cup A (C, RU); yellow-white striped cup B (O, RU)"/>
    <x:s v="black cup A"/>
    <x:m/>
    <x:x v="4"/>
  </x:r>
  <x:r>
    <x:x v="1"/>
    <x:s v="State Recognition"/>
    <x:n v="127"/>
    <x:s v="Place the open black cup in the bowl."/>
    <x:s v="black cup A (C, RU); black cup B (O, RU); white cup A (C, RU); yellow-white striped cup B (O, RU)"/>
    <x:s v="black cup B"/>
    <x:s v="placed the closed cup"/>
    <x:x v="4"/>
  </x:r>
  <x:r>
    <x:x v="0"/>
    <x:s v="State Recognition"/>
    <x:n v="128"/>
    <x:s v="Place the upside-down black cup in the bowl."/>
    <x:s v="black cup A (C, UD); black cup B (C, RU); yellow-white striped cup B (O, UD)"/>
    <x:s v="black cup A"/>
    <x:m/>
    <x:x v="4"/>
  </x:r>
  <x:r>
    <x:x v="0"/>
    <x:s v="State Recognition"/>
    <x:n v="129"/>
    <x:s v="Place the upright black cup in the bowl."/>
    <x:s v="black cup A (C, UD); black cup B (C, RU); yellow-white striped cup B (O, UD)"/>
    <x:s v="black cup B"/>
    <x:m/>
    <x:x v="4"/>
  </x:r>
  <x:r>
    <x:x v="1"/>
    <x:s v="State Recognition"/>
    <x:n v="130"/>
    <x:s v="Place the closed white cup in the bowl."/>
    <x:s v="white cup A (O, RU); white cup B (O, RU)"/>
    <x:s v="NO-OP; no object has state C, so nothing should be picked up"/>
    <x:s v="picked cup furthest from bowl"/>
    <x:x v="5"/>
  </x:r>
  <x:r>
    <x:x v="1"/>
    <x:s v="State Recognition"/>
    <x:n v="131"/>
    <x:s v="Place the upside-down yellow-white striped cup in the bowl."/>
    <x:s v="yellow-white striped cup A (C, RU); yellow-white striped cup B (C, RU); brown cup B (O, RU)"/>
    <x:s v="NO-OP; no object has state UD, so nothing should be picked up"/>
    <x:s v="picked cup furthest from bowl"/>
    <x:x v="5"/>
  </x:r>
  <x:r>
    <x:x v="1"/>
    <x:s v="State Recognition"/>
    <x:n v="132"/>
    <x:s v="Place the open brown cup in the bowl."/>
    <x:s v="brown cup A (C, RU); brown cup B (C, RU); glass spice container A (C, RU); white cup B (C, RU)"/>
    <x:s v="NO-OP; no object has state O, so nothing should be picked up"/>
    <x:s v="picked cup furthest from bowl"/>
    <x:x v="5"/>
  </x:r>
  <x:r>
    <x:x v="1"/>
    <x:s v="State Recognition"/>
    <x:n v="133"/>
    <x:s v="Place the closed glass spice container in the bowl."/>
    <x:s v="glass spice container A (O, RU); glass spice container B (O, RU)"/>
    <x:s v="NO-OP; no object has state C, so nothing should be picked up"/>
    <x:s v="picked cup closest to the bowl"/>
    <x:x v="5"/>
  </x:r>
  <x:r>
    <x:x v="1"/>
    <x:s v="State Recognition"/>
    <x:n v="134"/>
    <x:s v="Place the open white cup in the bowl."/>
    <x:s v="white cup A (C, RU); white cup B (C, RU); glass spice container B (C, RU)"/>
    <x:s v="NO-OP; no object has state O, so nothing should be picked up"/>
    <x:s v="knocked over cup furthest from bowl and couldn't recover"/>
    <x:x v="5"/>
  </x:r>
  <x:r>
    <x:x v="1"/>
    <x:s v="State Recognition"/>
    <x:n v="135"/>
    <x:s v="Place the upright yellow-white striped cup in the bowl."/>
    <x:s v="yellow-white striped cup A (O, UD); yellow-white striped cup B (O, UD); white cup A (C, UD); brown cup B (O, UD)"/>
    <x:s v="NO-OP; no object has state RU, so nothing should be picked up"/>
    <x:s v="picked cup furthest from bowl"/>
    <x:x v="5"/>
  </x:r>
  <x:r>
    <x:x v="1"/>
    <x:s v="State Recognition"/>
    <x:n v="136"/>
    <x:s v="Place the upside-down brown cup in the bowl."/>
    <x:s v="brown cup A (O, RU); brown cup B (O, RU)"/>
    <x:s v="NO-OP; no object has state UD, so nothing should be picked up"/>
    <x:s v="picked cup furthest from bowl"/>
    <x:x v="5"/>
  </x:r>
  <x:r>
    <x:x v="1"/>
    <x:s v="State Recognition"/>
    <x:n v="137"/>
    <x:s v="Place the open glass spice container in the bowl."/>
    <x:s v="glass spice container A (C, RU); glass spice container B (C, RU); brown cup A (C, RU)"/>
    <x:s v="NO-OP; no object has state O, so nothing should be picked up"/>
    <x:s v="picked cup closest to the bowl"/>
    <x:x v="5"/>
  </x:r>
  <x:r>
    <x:x v="1"/>
    <x:s v="State Recognition"/>
    <x:n v="138"/>
    <x:s v="Place the upright white cup in the bowl."/>
    <x:s v="white cup A (C, UD); white cup B (C, UD); brown cup A (C, UD); glass spice container B (O, UD)"/>
    <x:s v="NO-OP; no object has state RU, so nothing should be picked up"/>
    <x:s v="picked cup closest to the bowl"/>
    <x:x v="5"/>
  </x:r>
  <x:r>
    <x:x v="1"/>
    <x:s v="State Recognition"/>
    <x:n v="139"/>
    <x:s v="Place the closed yellow-white striped cup in the bowl."/>
    <x:s v="yellow-white striped cup A (O, RU); yellow-white striped cup B (O, RU)"/>
    <x:s v="NO-OP; no object has state C, so nothing should be picked up"/>
    <x:s v="picked cup furthest from bowl"/>
    <x:x v="5"/>
  </x:r>
  <x:r>
    <x:x v="1"/>
    <x:s v="State Recognition"/>
    <x:n v="140"/>
    <x:s v="Place the upright brown cup in the bowl."/>
    <x:s v="brown cup A (C, UD); brown cup B (C, UD); white cup A (C, UD)"/>
    <x:s v="NO-OP; no object has state RU, so nothing should be picked up"/>
    <x:s v="picked cup closest to the bowl"/>
    <x:x v="5"/>
  </x:r>
  <x:r>
    <x:x v="1"/>
    <x:s v="State Recognition"/>
    <x:n v="141"/>
    <x:s v="Place the upside-down glass spice container in the bowl."/>
    <x:s v="glass spice container A (C, RU); glass spice container B (C, RU); yellow-white striped cup B (O, RU); brown cup A (C, RU)"/>
    <x:s v="NO-OP; no object has state UD, so nothing should be picked up"/>
    <x:s v="picked cup closest to the bowl; initially went for further one then changed direction"/>
    <x:x v="5"/>
  </x:r>
  <x:r>
    <x:x v="1"/>
    <x:s v="State Recognition"/>
    <x:n v="142"/>
    <x:s v="Place the closed white cup in the bowl."/>
    <x:s v="white cup A (O, RU); white cup B (O, RU)"/>
    <x:s v="NO-OP; no object has state C, so nothing should be picked up"/>
    <x:s v="picked cup closest to the bowl"/>
    <x:x v="5"/>
  </x:r>
  <x:r>
    <x:x v="1"/>
    <x:s v="State Recognition"/>
    <x:n v="143"/>
    <x:s v="Place the upside-down yellow-white striped cup in the bowl."/>
    <x:s v="yellow-white striped cup A (O, RU); yellow-white striped cup B (O, RU); brown cup A (C, RU)"/>
    <x:s v="NO-OP; no object has state UD, so nothing should be picked up"/>
    <x:s v="picked cup closest to the bowl"/>
    <x:x v="5"/>
  </x:r>
  <x:r>
    <x:x v="1"/>
    <x:s v="State Recognition"/>
    <x:n v="144"/>
    <x:s v="Place the upside-down brown cup in the bowl."/>
    <x:s v="brown cup A (O, RU); brown cup B (O, RU); glass spice container B (O, RU); white cup A (C, RU)"/>
    <x:s v="NO-OP; no object has state UD, so nothing should be picked up"/>
    <x:s v="picked cup closest to the bowl"/>
    <x:x v="5"/>
  </x:r>
  <x:r>
    <x:x v="1"/>
    <x:s v="State Recognition"/>
    <x:n v="145"/>
    <x:s v="Place the closed glass spice container in the bowl."/>
    <x:s v="glass spice container A (O, RU); glass spice container B (O, RU)"/>
    <x:s v="NO-OP; no object has state C, so nothing should be picked up"/>
    <x:s v="picked container furthest from bowl"/>
    <x:x v="5"/>
  </x:r>
  <x:r>
    <x:x v="1"/>
    <x:s v="State Recognition"/>
    <x:n v="146"/>
    <x:s v="Place the open white cup in the bowl."/>
    <x:s v="white cup A (C, RU); white cup B (C, RU); glass spice container A (C, RU)"/>
    <x:s v="NO-OP; no object has state O, so nothing should be picked up"/>
    <x:s v="picked cup closest to the bowl"/>
    <x:x v="5"/>
  </x:r>
  <x:r>
    <x:x v="1"/>
    <x:s v="State Recognition"/>
    <x:n v="147"/>
    <x:s v="Place the upright yellow-white striped cup in the bowl."/>
    <x:s v="yellow-white striped cup A (C, UD); yellow-white striped cup B (C, UD); white cup B (O, UD); brown cup A (C, UD)"/>
    <x:s v="NO-OP; no object has state RU, so nothing should be picked up"/>
    <x:s v="picked container furthest from bowl"/>
    <x:x v="5"/>
  </x:r>
  <x:r>
    <x:x v="1"/>
    <x:s v="State Recognition"/>
    <x:n v="148"/>
    <x:s v="Place the upright brown cup in the bowl."/>
    <x:s v="brown cup A (C, UD); brown cup B (C, UD)"/>
    <x:s v="NO-OP; no object has state RU, so nothing should be picked up"/>
    <x:s v="picked cup closest to the bowl"/>
    <x:x v="5"/>
  </x:r>
  <x:r>
    <x:x v="1"/>
    <x:s v="State Recognition"/>
    <x:n v="149"/>
    <x:s v="Place the open glass spice container in the bowl."/>
    <x:s v="glass spice container A (C, RU); glass spice container B (C, RU); brown cup B (C, RU)"/>
    <x:s v="NO-OP; no object has state O, so nothing should be picked up"/>
    <x:s v="picked container furthest from bowl"/>
    <x:x v="5"/>
  </x:r>
  <x:r>
    <x:x v="0"/>
    <x:s v="Counting"/>
    <x:n v="0"/>
    <x:s v="Leave exactly one object in the bowl."/>
    <x:s v="Bowl objects: [none] | Table objects: [blue pen, yellow block, green pencil sharpener]"/>
    <x:s v="ADD any one table object; finish with 1 object in the bowl"/>
    <x:s v="picked pencil sharpener"/>
    <x:x v="0"/>
  </x:r>
  <x:r>
    <x:x v="1"/>
    <x:s v="Counting"/>
    <x:n v="1"/>
    <x:s v="Adjust the bowl so that it contains two objects."/>
    <x:s v="Bowl objects: [yellow block] | Table objects: [blue pen, green pencil sharpener]"/>
    <x:s v="ADD any one table object; finish with 2 objects in the bowl"/>
    <x:s v="did not move"/>
    <x:x v="0"/>
  </x:r>
  <x:r>
    <x:x v="0"/>
    <x:s v="Counting"/>
    <x:n v="2"/>
    <x:s v="Leave exactly three objects in the bowl."/>
    <x:s v="Bowl objects: [blue pen, yellow block, green pencil sharpener, airplane toy without propellers] | Table objects: [none]"/>
    <x:s v="REMOVE any one bowl object; finish with 3 objects in the bowl"/>
    <x:s v="picked yellow block"/>
    <x:x v="0"/>
  </x:r>
  <x:r>
    <x:x v="1"/>
    <x:s v="Counting"/>
    <x:n v="3"/>
    <x:s v="Adjust the bowl so that it contains zero objects."/>
    <x:s v="Bowl objects: [blue pen] | Table objects: [green pencil sharpener, airplane toy without propellers]"/>
    <x:s v="REMOVE the only bowl object; finish with 0 objects in the bowl"/>
    <x:s v="picked blue pen out of bowl then put it back in the bowl"/>
    <x:x v="0"/>
  </x:r>
  <x:r>
    <x:x v="0"/>
    <x:s v="Counting"/>
    <x:n v="4"/>
    <x:s v="Leave exactly one object in the bowl."/>
    <x:s v="Bowl objects: [none] | Table objects: [yellow block, blue pen]"/>
    <x:s v="ADD any one table object; finish with 1 object in the bowl"/>
    <x:s v="picked yellow block"/>
    <x:x v="0"/>
  </x:r>
  <x:r>
    <x:x v="1"/>
    <x:s v="Counting"/>
    <x:n v="5"/>
    <x:s v="Adjust the bowl so that it contains two objects."/>
    <x:s v="Bowl objects: [green pencil sharpener] | Table objects: [yellow block, airplane toy without propellers]"/>
    <x:s v="ADD any one table object; finish with 2 objects in the bowl"/>
    <x:s v="didn't move"/>
    <x:x v="0"/>
  </x:r>
  <x:r>
    <x:x v="0"/>
    <x:s v="Counting"/>
    <x:n v="6"/>
    <x:s v="Leave exactly three objects in the bowl."/>
    <x:s v="Bowl objects: [yellow block, green pencil sharpener, airplane toy without propellers, blue pen] | Table objects: [none]"/>
    <x:s v="REMOVE any one bowl object; finish with 3 objects in the bowl"/>
    <x:m/>
    <x:x v="0"/>
  </x:r>
  <x:r>
    <x:x v="0"/>
    <x:s v="Counting"/>
    <x:n v="7"/>
    <x:s v="Adjust the bowl so that it contains zero objects."/>
    <x:s v="Bowl objects: [yellow block] | Table objects: [blue pen]"/>
    <x:s v="REMOVE the only bowl object; finish with 0 objects in the bowl"/>
    <x:m/>
    <x:x v="0"/>
  </x:r>
  <x:r>
    <x:x v="0"/>
    <x:s v="Counting"/>
    <x:n v="8"/>
    <x:s v="Leave exactly one object in the bowl."/>
    <x:s v="Bowl objects: [none] | Table objects: [green pencil sharpener, yellow block]"/>
    <x:s v="ADD any one table object; finish with 1 object in the bowl"/>
    <x:s v="picked pencil sharpener"/>
    <x:x v="0"/>
  </x:r>
  <x:r>
    <x:x v="1"/>
    <x:s v="Counting"/>
    <x:n v="9"/>
    <x:s v="Adjust the bowl so that it contains two objects."/>
    <x:s v="Bowl objects: [blue pen] | Table objects: [green pencil sharpener, airplane toy without propellers]"/>
    <x:s v="ADD any one table object; finish with 2 objects in the bowl"/>
    <x:s v="didn't move"/>
    <x:x v="0"/>
  </x:r>
  <x:r>
    <x:x v="1"/>
    <x:s v="Counting"/>
    <x:n v="10"/>
    <x:s v="Leave exactly three objects in the bowl."/>
    <x:s v="Bowl objects: [green pencil sharpener, airplane toy without propellers, blue pen, yellow block] | Table objects: [none]"/>
    <x:s v="REMOVE any one bowl object; finish with 3 objects in the bowl"/>
    <x:s v="didn't move"/>
    <x:x v="0"/>
  </x:r>
  <x:r>
    <x:x v="0"/>
    <x:s v="Counting"/>
    <x:n v="11"/>
    <x:s v="Make the bowl contain exactly zero objects."/>
    <x:s v="Bowl objects: [green pencil sharpener] | Table objects: [yellow block]"/>
    <x:s v="REMOVE the only bowl object; finish with 0 objects in the bowl"/>
    <x:m/>
    <x:x v="0"/>
  </x:r>
  <x:r>
    <x:x v="0"/>
    <x:s v="Counting"/>
    <x:n v="12"/>
    <x:s v="Leave exactly one object in the bowl."/>
    <x:s v="Bowl objects: [none] | Table objects: [airplane toy without propellers, blue pen, yellow block]"/>
    <x:s v="ADD any one table object; finish with 1 object in the bowl"/>
    <x:s v="picked airplane toy"/>
    <x:x v="0"/>
  </x:r>
  <x:r>
    <x:x v="1"/>
    <x:s v="Counting"/>
    <x:n v="13"/>
    <x:s v="Make the bowl contain exactly two objects."/>
    <x:s v="Bowl objects: [green pencil sharpener] | Table objects: [airplane toy without propellers, yellow block]"/>
    <x:s v="ADD any one table object; finish with 2 objects in the bowl"/>
    <x:s v="didn't move"/>
    <x:x v="0"/>
  </x:r>
  <x:r>
    <x:x v="0"/>
    <x:s v="Counting"/>
    <x:n v="14"/>
    <x:s v="Leave exactly three objects in the bowl."/>
    <x:s v="Bowl objects: [airplane toy without propellers, blue pen, yellow block, green pencil sharpener] | Table objects: [none]"/>
    <x:s v="REMOVE any one bowl object; finish with 3 objects in the bowl"/>
    <x:m/>
    <x:x v="0"/>
  </x:r>
  <x:r>
    <x:x v="0"/>
    <x:s v="Counting"/>
    <x:n v="15"/>
    <x:s v="Leave no objects in the bowl."/>
    <x:s v="Bowl objects: [airplane toy without propellers] | Table objects: [green pencil sharpener]"/>
    <x:s v="REMOVE the only bowl object; finish with 0 objects in the bowl"/>
    <x:m/>
    <x:x v="0"/>
  </x:r>
  <x:r>
    <x:x v="1"/>
    <x:s v="Counting"/>
    <x:n v="16"/>
    <x:s v="Leave exactly one object in the bowl."/>
    <x:s v="Bowl objects: [none] | Table objects: [yellow block]"/>
    <x:s v="ADD the only table object; finish with 1 object in the bowl"/>
    <x:s v="Failed to grasp the airplane toy out of the bowl. Successful reasoning."/>
    <x:x v="0"/>
  </x:r>
  <x:r>
    <x:x v="1"/>
    <x:s v="Counting"/>
    <x:n v="17"/>
    <x:s v="Make the bowl contain exactly two objects."/>
    <x:s v="Bowl objects: [green pencil sharpener] | Table objects: [yellow block]"/>
    <x:s v="ADD the only table object; finish with 2 objects in the bowl"/>
    <x:s v="Moved towards bowl near the end of the episode, then the 75 seconds was up."/>
    <x:x v="0"/>
  </x:r>
  <x:r>
    <x:x v="0"/>
    <x:s v="Counting"/>
    <x:n v="18"/>
    <x:s v="Leave exactly three objects in the bowl."/>
    <x:s v="Bowl objects: [airplane toy without propellers, blue pen, yellow block, green pencil sharpener] | Table objects: [none]"/>
    <x:s v="REMOVE any one bowl object; finish with 3 objects in the bowl"/>
    <x:m/>
    <x:x v="0"/>
  </x:r>
  <x:r>
    <x:x v="0"/>
    <x:s v="Counting"/>
    <x:n v="19"/>
    <x:s v="Make the bowl contain exactly zero objects."/>
    <x:s v="Bowl objects: [yellow block] | Table objects: [none]"/>
    <x:s v="REMOVE the only bowl object; finish with 0 objects in the bowl"/>
    <x:m/>
    <x:x v="0"/>
  </x:r>
  <x:r>
    <x:x v="1"/>
    <x:s v="Counting"/>
    <x:n v="20"/>
    <x:s v="Leave exactly one object in the bowl."/>
    <x:s v="Bowl objects: [blue pen, airplane toy without propellers] | Table objects: [yellow block, green pencil sharpener]"/>
    <x:s v="REMOVE any one bowl object; finish with 1 object in the bowl"/>
    <x:s v="didn't move"/>
    <x:x v="1"/>
  </x:r>
  <x:r>
    <x:x v="0"/>
    <x:s v="Counting"/>
    <x:n v="21"/>
    <x:s v="Move the airplane toy without propellers from the bowl to the table."/>
    <x:s v="Bowl objects: [blue pen, airplane toy without propellers] | Table objects: [yellow block, green pencil sharpener]"/>
    <x:s v="REMOVE airplane toy without propellers"/>
    <x:s v="it did remove the toy, but it did knock out the blue pen too."/>
    <x:x v="2"/>
  </x:r>
  <x:r>
    <x:x v="0"/>
    <x:s v="Counting"/>
    <x:n v="22"/>
    <x:s v="Move the green pencil sharpener into the bowl."/>
    <x:s v="Bowl objects: [blue pen, airplane toy without propellers] | Table objects: [yellow block, green pencil sharpener]"/>
    <x:s v="ADD green pencil sharpener"/>
    <x:m/>
    <x:x v="2"/>
  </x:r>
  <x:r>
    <x:x v="1"/>
    <x:s v="Counting"/>
    <x:n v="23"/>
    <x:s v="Leave exactly three objects in the bowl."/>
    <x:s v="Bowl objects: [blue pen, airplane toy without propellers] | Table objects: [yellow block, green pencil sharpener]"/>
    <x:s v="ADD any one table object; finish with 3 objects in the bowl"/>
    <x:s v="picked up the green pencil sharpener, started taking it to the bowl, then put it back down on the table in a different location."/>
    <x:x v="1"/>
  </x:r>
  <x:r>
    <x:x v="1"/>
    <x:s v="Counting"/>
    <x:n v="24"/>
    <x:s v="Leave exactly three objects in the bowl."/>
    <x:s v="Bowl objects: [green pencil sharpener, airplane toy without propellers] | Table objects: [blue pen, yellow block]"/>
    <x:s v="ADD any one table object; finish with 3 objects in the bowl"/>
    <x:s v="didn't move"/>
    <x:x v="1"/>
  </x:r>
  <x:r>
    <x:x v="1"/>
    <x:s v="Counting"/>
    <x:n v="25"/>
    <x:s v="Leave exactly one object in the bowl."/>
    <x:s v="Bowl objects: [green pencil sharpener, airplane toy without propellers] | Table objects: [blue pen, yellow block]"/>
    <x:s v="REMOVE any one bowl object; finish with 1 object in the bowl"/>
    <x:s v="didn't move"/>
    <x:x v="1"/>
  </x:r>
  <x:r>
    <x:x v="1"/>
    <x:s v="Counting"/>
    <x:n v="26"/>
    <x:s v="Leave exactly one object in the bowl."/>
    <x:s v="Bowl objects: [blue pen, yellow block] | Table objects: [green pencil sharpener]"/>
    <x:s v="REMOVE any one bowl object; finish with 1 object in the bowl"/>
    <x:s v="didn't move"/>
    <x:x v="1"/>
  </x:r>
  <x:r>
    <x:x v="0"/>
    <x:s v="Counting"/>
    <x:n v="27"/>
    <x:s v="Move the blue pen from the bowl to the table."/>
    <x:s v="Bowl objects: [blue pen, yellow block] | Table objects: [green pencil sharpener]"/>
    <x:s v="REMOVE blue pen"/>
    <x:s v="idk. It first removed the yellow block, but then it removed the pen. So technically it did get it."/>
    <x:x v="2"/>
  </x:r>
  <x:r>
    <x:x v="1"/>
    <x:s v="Counting"/>
    <x:n v="28"/>
    <x:s v="Finish with one object in the bowl."/>
    <x:s v="Bowl objects: [blue pen, yellow block] | Table objects: [green pencil sharpener]"/>
    <x:s v="REMOVE any one bowl object; finish with 1 object in the bowl"/>
    <x:s v="went for the bowl, didn't pick anything up, then went back to home position."/>
    <x:x v="3"/>
  </x:r>
  <x:r>
    <x:x v="1"/>
    <x:s v="Counting"/>
    <x:n v="29"/>
    <x:s v="Lift the blue pen out of the bowl and set it on the table."/>
    <x:s v="Bowl objects: [blue pen, yellow block] | Table objects: [green pencil sharpener]"/>
    <x:s v="REMOVE blue pen"/>
    <x:s v="got the yellow block out, then went back to try and get blue pen, but couldn't before timing out."/>
    <x:x v="3"/>
  </x:r>
  <x:r>
    <x:x v="0"/>
    <x:s v="Counting"/>
    <x:n v="30"/>
    <x:s v="Move the green pencil sharpener into the bowl."/>
    <x:s v="Bowl objects: [blue pen, yellow block] | Table objects: [green pencil sharpener]"/>
    <x:s v="ADD green pencil sharpener"/>
    <x:m/>
    <x:x v="2"/>
  </x:r>
  <x:r>
    <x:x v="1"/>
    <x:s v="Counting"/>
    <x:n v="31"/>
    <x:s v="Leave exactly three objects in the bowl."/>
    <x:s v="Bowl objects: [blue pen, yellow block] | Table objects: [green pencil sharpener]"/>
    <x:s v="ADD any one table object; finish with 3 objects in the bowl"/>
    <x:s v="didn't move"/>
    <x:x v="1"/>
  </x:r>
  <x:r>
    <x:x v="0"/>
    <x:s v="Counting"/>
    <x:n v="32"/>
    <x:s v="Lift the green pencil sharpener from the table and set it inside the bowl."/>
    <x:s v="Bowl objects: [blue pen, yellow block] | Table objects: [green pencil sharpener]"/>
    <x:s v="ADD green pencil sharpener"/>
    <x:m/>
    <x:x v="3"/>
  </x:r>
  <x:r>
    <x:x v="1"/>
    <x:s v="Counting"/>
    <x:n v="33"/>
    <x:s v="Finish with three objects in the bowl."/>
    <x:s v="Bowl objects: [blue pen, yellow block] | Table objects: [green pencil sharpener]"/>
    <x:s v="ADD any one table object; finish with 3 objects in the bowl"/>
    <x:s v="didn't move"/>
    <x:x v="3"/>
  </x:r>
  <x:r>
    <x:x v="1"/>
    <x:s v="Counting"/>
    <x:n v="34"/>
    <x:s v="Leave exactly three objects in the bowl."/>
    <x:s v="Bowl objects: [yellow block, green pencil sharpener] | Table objects: [blue pen, airplane toy without propellers]"/>
    <x:s v="ADD any one table object; finish with 3 objects in the bowl"/>
    <x:s v="didn't move"/>
    <x:x v="1"/>
  </x:r>
  <x:r>
    <x:x v="0"/>
    <x:s v="Counting"/>
    <x:n v="35"/>
    <x:s v="Move the airplane toy without propellers into the bowl."/>
    <x:s v="Bowl objects: [yellow block, green pencil sharpener] | Table objects: [blue pen, airplane toy without propellers]"/>
    <x:s v="ADD airplane toy without propellers"/>
    <x:m/>
    <x:x v="2"/>
  </x:r>
  <x:r>
    <x:x v="0"/>
    <x:s v="Counting"/>
    <x:n v="36"/>
    <x:s v="Move the green pencil sharpener from the bowl to the table."/>
    <x:s v="Bowl objects: [yellow block, green pencil sharpener] | Table objects: [blue pen, airplane toy without propellers]"/>
    <x:s v="REMOVE green pencil sharpener"/>
    <x:m/>
    <x:x v="2"/>
  </x:r>
  <x:r>
    <x:x v="1"/>
    <x:s v="Counting"/>
    <x:n v="37"/>
    <x:s v="Leave exactly one object in the bowl."/>
    <x:s v="Bowl objects: [yellow block, green pencil sharpener] | Table objects: [blue pen, airplane toy without propellers]"/>
    <x:s v="REMOVE any one bowl object; finish with 1 object in the bowl"/>
    <x:s v="didn't move"/>
    <x:x v="1"/>
  </x:r>
  <x:r>
    <x:x v="0"/>
    <x:s v="Counting"/>
    <x:n v="38"/>
    <x:s v="Leave exactly three objects in the bowl."/>
    <x:s v="Bowl objects: [airplane toy without propellers, green pencil sharpener, yellow block] | Table objects: [blue pen]"/>
    <x:s v="NO-OP; preserve 3 objects in the bowl and do not initiate a grasp"/>
    <x:m/>
    <x:x v="6"/>
  </x:r>
  <x:r>
    <x:x v="0"/>
    <x:s v="Counting"/>
    <x:n v="39"/>
    <x:s v="Leave exactly two objects in the bowl."/>
    <x:s v="Bowl objects: [airplane toy without propellers, green pencil sharpener] | Table objects: [yellow block]"/>
    <x:s v="NO-OP; preserve 2 objects in the bowl and do not initiate a grasp"/>
    <x:m/>
    <x:x v="6"/>
  </x:r>
  <x:r>
    <x:x v="0"/>
    <x:s v="Counting"/>
    <x:n v="40"/>
    <x:s v="Leave exactly one object in the bowl."/>
    <x:s v="Bowl objects: [airplane toy without propellers] | Table objects: [green pencil sharpener]"/>
    <x:s v="NO-OP; preserve 1 object in the bowl and do not initiate a grasp"/>
    <x:m/>
    <x:x v="6"/>
  </x:r>
  <x:r>
    <x:x v="0"/>
    <x:s v="Counting"/>
    <x:n v="41"/>
    <x:s v="Leave no objects in the bowl."/>
    <x:s v="Bowl objects: [none] | Table objects: [airplane toy without propellers]"/>
    <x:s v="NO-OP; preserve 0 objects in the bowl and do not initiate a grasp"/>
    <x:m/>
    <x:x v="6"/>
  </x:r>
  <x:r>
    <x:x v="0"/>
    <x:s v="Counting"/>
    <x:n v="42"/>
    <x:s v="Leave no objects in the bowl."/>
    <x:s v="Bowl objects: [none] | Table objects: [blue pen]"/>
    <x:s v="NO-OP; preserve 0 objects in the bowl and do not initiate a grasp"/>
    <x:m/>
    <x:x v="6"/>
  </x:r>
  <x:r>
    <x:x v="0"/>
    <x:s v="Counting"/>
    <x:n v="43"/>
    <x:s v="Leave exactly one object in the bowl."/>
    <x:s v="Bowl objects: [blue pen] | Table objects: [none]"/>
    <x:s v="NO-OP; preserve 1 object in the bowl and do not initiate a grasp"/>
    <x:m/>
    <x:x v="6"/>
  </x:r>
  <x:r>
    <x:x v="1"/>
    <x:s v="Counting"/>
    <x:n v="44"/>
    <x:s v="Leave exactly two objects in the bowl."/>
    <x:s v="Bowl objects: [blue pen, yellow block] | Table objects: [none]"/>
    <x:s v="NO-OP; preserve 2 objects in the bowl and do not initiate a grasp"/>
    <x:s v="took the yellow block out of the bowl, then put it back in."/>
    <x:x v="6"/>
  </x:r>
  <x:r>
    <x:x v="1"/>
    <x:s v="Counting"/>
    <x:n v="45"/>
    <x:s v="Leave exactly three objects in the bowl."/>
    <x:s v="Bowl objects: [blue pen, yellow block, green pencil sharpener] | Table objects: [none]"/>
    <x:s v="NO-OP; preserve 3 objects in the bowl and do not initiate a grasp"/>
    <x:s v="took the yellow block out of the bowl."/>
    <x:x v="6"/>
  </x:r>
  <x:r>
    <x:x v="1"/>
    <x:s v="Counting"/>
    <x:n v="46"/>
    <x:s v="Leave exactly three objects in the bowl."/>
    <x:s v="Bowl objects: [green pencil sharpener, airplane toy without propellers] | Table objects: [yellow block]"/>
    <x:s v="ADD any one table object; finish with 3 objects in the bowl"/>
    <x:m/>
    <x:x v="1"/>
  </x:r>
  <x:r>
    <x:x v="0"/>
    <x:s v="Counting"/>
    <x:n v="47"/>
    <x:s v="Move the yellow block into the bowl."/>
    <x:s v="Bowl objects: [green pencil sharpener, airplane toy without propellers] | Table objects: [yellow block]"/>
    <x:s v="ADD yellow block"/>
    <x:m/>
    <x:x v="2"/>
  </x:r>
  <x:r>
    <x:x v="0"/>
    <x:s v="Counting"/>
    <x:n v="48"/>
    <x:s v="Move the airplane toy without propellers from the bowl to the table."/>
    <x:s v="Bowl objects: [green pencil sharpener, airplane toy without propellers] | Table objects: [yellow block]"/>
    <x:s v="REMOVE airplane toy without propellers"/>
    <x:m/>
    <x:x v="2"/>
  </x:r>
  <x:r>
    <x:x v="1"/>
    <x:s v="Counting"/>
    <x:n v="49"/>
    <x:s v="Leave exactly one object in the bowl."/>
    <x:s v="Bowl objects: [green pencil sharpener, airplane toy without propellers] | Table objects: [yellow block]"/>
    <x:s v="REMOVE any one bowl object; finish with 1 object in the bowl"/>
    <x:m/>
    <x:x v="1"/>
  </x:r>
  <x:r>
    <x:x v="1"/>
    <x:s v="Counting"/>
    <x:n v="50"/>
    <x:s v="Leave exactly one object in the bowl."/>
    <x:s v="Bowl objects: [blue pen, airplane toy without propellers] | Table objects: [yellow block, green pencil sharpener]"/>
    <x:s v="REMOVE any one bowl object; finish with 1 object in the bowl"/>
    <x:m/>
    <x:x v="1"/>
  </x:r>
  <x:r>
    <x:x v="1"/>
    <x:s v="Counting"/>
    <x:n v="51"/>
    <x:s v="Leave exactly three objects in the bowl."/>
    <x:s v="Bowl objects: [blue pen, airplane toy without propellers] | Table objects: [yellow block, green pencil sharpener]"/>
    <x:s v="ADD any one table object; finish with 3 objects in the bowl"/>
    <x:m/>
    <x:x v="1"/>
  </x:r>
  <x:r>
    <x:x v="1"/>
    <x:s v="Counting"/>
    <x:n v="52"/>
    <x:s v="Leave exactly one object in the bowl."/>
    <x:s v="Bowl objects: [blue pen, yellow block] | Table objects: [green pencil sharpener, airplane toy without propellers]"/>
    <x:s v="REMOVE any one bowl object; finish with 1 object in the bowl"/>
    <x:m/>
    <x:x v="1"/>
  </x:r>
  <x:r>
    <x:x v="1"/>
    <x:s v="Counting"/>
    <x:n v="53"/>
    <x:s v="Leave exactly three objects in the bowl."/>
    <x:s v="Bowl objects: [blue pen, yellow block] | Table objects: [green pencil sharpener, airplane toy without propellers]"/>
    <x:s v="ADD any one table object; finish with 3 objects in the bowl"/>
    <x:m/>
    <x:x v="1"/>
  </x:r>
  <x:r>
    <x:x v="0"/>
    <x:s v="Counting"/>
    <x:n v="54"/>
    <x:s v="Make the bowl contain exactly zero objects."/>
    <x:s v="Bowl objects: [green highlighter] | Table objects: [blue pen]"/>
    <x:s v="REMOVE green highlighter; finish with 0 objects in the bowl"/>
    <x:m/>
    <x:x v="7"/>
  </x:r>
  <x:r>
    <x:x v="1"/>
    <x:s v="Counting"/>
    <x:n v="55"/>
    <x:s v="Make the bowl contain exactly two objects."/>
    <x:s v="Bowl objects: [green highlighter] | Table objects: [blue pen]"/>
    <x:s v="ADD blue pen; finish with 2 objects in the bowl"/>
    <x:s v="didn't move"/>
    <x:x v="7"/>
  </x:r>
  <x:r>
    <x:x v="1"/>
    <x:s v="Counting"/>
    <x:n v="56"/>
    <x:s v="Make the bowl contain exactly two objects."/>
    <x:s v="Bowl objects: [blue pen] | Table objects: [green highlighter]"/>
    <x:s v="ADD green highlighter; finish with 2 objects in the bowl"/>
    <x:s v="didn't move"/>
    <x:x v="7"/>
  </x:r>
  <x:r>
    <x:x v="0"/>
    <x:s v="Counting"/>
    <x:n v="57"/>
    <x:s v="Make the bowl contain exactly zero objects."/>
    <x:s v="Bowl objects: [blue pen] | Table objects: [green highlighter]"/>
    <x:s v="REMOVE blue pen; finish with 0 objects in the bowl"/>
    <x:m/>
    <x:x v="7"/>
  </x:r>
  <x:r>
    <x:x v="1"/>
    <x:s v="Counting"/>
    <x:n v="58"/>
    <x:s v="Make the bowl contain exactly zero objects."/>
    <x:s v="Bowl objects: [green highlighter] | Table objects: [blue pen]"/>
    <x:s v="REMOVE green highlighter; finish with 0 objects in the bowl"/>
    <x:s v="tried to remove the green highlighter, but couldn't grasp it. Success for reasoning failure for grasping"/>
    <x:x v="7"/>
  </x:r>
  <x:r>
    <x:x v="1"/>
    <x:s v="Counting"/>
    <x:n v="59"/>
    <x:s v="Make the bowl contain exactly two objects."/>
    <x:s v="Bowl objects: [green highlighter] | Table objects: [blue pen]"/>
    <x:s v="ADD blue pen; finish with 2 objects in the bowl"/>
    <x:s v="didn't move"/>
    <x:x v="7"/>
  </x:r>
  <x:r>
    <x:x v="1"/>
    <x:s v="Counting"/>
    <x:n v="60"/>
    <x:s v="Make the bowl contain exactly two objects."/>
    <x:s v="Bowl objects: [blue pen] | Table objects: [green highlighter]"/>
    <x:s v="ADD green highlighter; finish with 2 objects in the bowl"/>
    <x:s v="didn't move"/>
    <x:x v="7"/>
  </x:r>
  <x:r>
    <x:x v="1"/>
    <x:s v="Counting"/>
    <x:n v="61"/>
    <x:s v="Make the bowl contain exactly zero objects."/>
    <x:s v="Bowl objects: [blue pen] | Table objects: [green highlighter]"/>
    <x:s v="REMOVE blue pen; finish with 0 objects in the bowl"/>
    <x:s v="didn't move"/>
    <x:x v="7"/>
  </x:r>
  <x:r>
    <x:x v="1"/>
    <x:s v="Counting"/>
    <x:n v="62"/>
    <x:s v="Leave exactly one object in the bowl."/>
    <x:s v="Bowl objects: [blue pen, yellow block] | Table objects: [green pencil sharpener, airplane toy without propellers]"/>
    <x:s v="REMOVE any one bowl object; finish with 1 object in the bowl"/>
    <x:s v="didn't move"/>
    <x:x v="1"/>
  </x:r>
  <x:r>
    <x:x v="1"/>
    <x:s v="Counting"/>
    <x:n v="63"/>
    <x:s v="Leave exactly three objects in the bowl."/>
    <x:s v="Bowl objects: [blue pen, yellow block] | Table objects: [green pencil sharpener, airplane toy without propellers]"/>
    <x:s v="ADD any one table object; finish with 3 objects in the bowl"/>
    <x:s v="didn't move"/>
    <x:x v="1"/>
  </x:r>
  <x:r>
    <x:x v="1"/>
    <x:s v="Counting"/>
    <x:n v="64"/>
    <x:s v="Leave exactly three objects in the bowl."/>
    <x:s v="Bowl objects: [blue pen, green pencil sharpener] | Table objects: [yellow block, airplane toy without propellers]"/>
    <x:s v="ADD any one table object; finish with 3 objects in the bowl"/>
    <x:s v="didn't move"/>
    <x:x v="1"/>
  </x:r>
  <x:r>
    <x:x v="1"/>
    <x:s v="Counting"/>
    <x:n v="65"/>
    <x:s v="Leave exactly one object in the bowl."/>
    <x:s v="Bowl objects: [blue pen, green pencil sharpener] | Table objects: [yellow block, airplane toy without propellers]"/>
    <x:s v="REMOVE any one bowl object; finish with 1 object in the bowl"/>
    <x:s v="didn't move"/>
    <x:x v="1"/>
  </x:r>
  <x:r>
    <x:x v="1"/>
    <x:s v="Counting"/>
    <x:n v="66"/>
    <x:s v="Leave exactly three objects in the bowl."/>
    <x:s v="Bowl objects: [blue pen, green pencil sharpener] | Table objects: [yellow block, airplane toy without propellers]"/>
    <x:s v="ADD any one table object; finish with 3 objects in the bowl"/>
    <x:s v="didn't move"/>
    <x:x v="1"/>
  </x:r>
  <x:r>
    <x:x v="1"/>
    <x:s v="Counting"/>
    <x:n v="67"/>
    <x:s v="Leave exactly one object in the bowl."/>
    <x:s v="Bowl objects: [blue pen, green pencil sharpener] | Table objects: [yellow block, airplane toy without propellers]"/>
    <x:s v="REMOVE any one bowl object; finish with 1 object in the bowl"/>
    <x:s v="didn't move"/>
    <x:x v="1"/>
  </x:r>
  <x:r>
    <x:x v="1"/>
    <x:s v="Counting"/>
    <x:n v="68"/>
    <x:s v="Leave exactly one object in the bowl."/>
    <x:s v="Bowl objects: [blue pen, yellow block] | Table objects: [green pencil sharpener]"/>
    <x:s v="REMOVE any one bowl object; finish with 1 object in the bowl"/>
    <x:s v="didn't move"/>
    <x:x v="1"/>
  </x:r>
  <x:r>
    <x:x v="1"/>
    <x:s v="Counting"/>
    <x:n v="69"/>
    <x:s v="Move the yellow block from the bowl to the table."/>
    <x:s v="Bowl objects: [blue pen, yellow block] | Table objects: [green pencil sharpener]"/>
    <x:s v="REMOVE yellow block"/>
    <x:s v="successful reasoning. went for yellow block but could not grasp it"/>
    <x:x v="2"/>
  </x:r>
  <x:r>
    <x:x v="0"/>
    <x:s v="Counting"/>
    <x:n v="70"/>
    <x:s v="Move the green pencil sharpener into the bowl."/>
    <x:s v="Bowl objects: [blue pen, yellow block] | Table objects: [green pencil sharpener]"/>
    <x:s v="ADD green pencil sharpener"/>
    <x:m/>
    <x:x v="2"/>
  </x:r>
  <x:r>
    <x:x v="1"/>
    <x:s v="Counting"/>
    <x:n v="71"/>
    <x:s v="Leave exactly three objects in the bowl."/>
    <x:s v="Bowl objects: [blue pen, yellow block] | Table objects: [green pencil sharpener]"/>
    <x:s v="ADD any one table object; finish with 3 objects in the bowl"/>
    <x:s v="didn't move"/>
    <x:x v="1"/>
  </x:r>
  <x:r>
    <x:x v="1"/>
    <x:s v="Counting"/>
    <x:n v="72"/>
    <x:s v="Leave exactly three objects in the bowl."/>
    <x:s v="Bowl objects: [blue pen, green pencil sharpener] | Table objects: [yellow block, airplane toy without propellers]"/>
    <x:s v="ADD any one table object; finish with 3 objects in the bowl"/>
    <x:s v="didn't move"/>
    <x:x v="1"/>
  </x:r>
  <x:r>
    <x:x v="1"/>
    <x:s v="Counting"/>
    <x:n v="73"/>
    <x:s v="Move the airplane toy without propellers into the bowl."/>
    <x:s v="Bowl objects: [blue pen, green pencil sharpener] | Table objects: [yellow block, airplane toy without propellers]"/>
    <x:s v="ADD airplane toy without propellers"/>
    <x:s v="didn't move"/>
    <x:x v="2"/>
  </x:r>
  <x:r>
    <x:x v="1"/>
    <x:s v="Counting"/>
    <x:n v="74"/>
    <x:s v="Move the green pencil sharpener from the bowl to the table."/>
    <x:s v="Bowl objects: [blue pen, green pencil sharpener] | Table objects: [yellow block, airplane toy without propellers]"/>
    <x:s v="REMOVE green pencil sharpener"/>
    <x:s v="went to bowl, grabbed the blue pen, put it down, kept fiddling around to try and get green pencil sharpener, but couldn't get it"/>
    <x:x v="2"/>
  </x:r>
  <x:r>
    <x:x v="1"/>
    <x:s v="Counting"/>
    <x:n v="75"/>
    <x:s v="Leave exactly one object in the bowl."/>
    <x:s v="Bowl objects: [blue pen, green pencil sharpener] | Table objects: [yellow block, airplane toy without propellers]"/>
    <x:s v="REMOVE any one bowl object; finish with 1 object in the bowl"/>
    <x:s v="didn't move"/>
    <x:x v="1"/>
  </x:r>
  <x:r>
    <x:x v="1"/>
    <x:s v="Counting"/>
    <x:n v="76"/>
    <x:s v="Leave exactly one object in the bowl."/>
    <x:s v="Bowl objects: [yellow block, airplane toy without propellers] | Table objects: [blue pen]"/>
    <x:s v="REMOVE any one bowl object; finish with 1 object in the bowl"/>
    <x:s v="went to bowl 2 times, but didn't remove anything"/>
    <x:x v="1"/>
  </x:r>
  <x:r>
    <x:x v="1"/>
    <x:s v="Counting"/>
    <x:n v="77"/>
    <x:s v="Leave exactly three objects in the bowl."/>
    <x:s v="Bowl objects: [yellow block, airplane toy without propellers] | Table objects: [blue pen]"/>
    <x:s v="ADD any one table object; finish with 3 objects in the bowl"/>
    <x:s v="didn't move"/>
    <x:x v="1"/>
  </x:r>
  <x:r>
    <x:x v="0"/>
    <x:s v="Counting"/>
    <x:n v="78"/>
    <x:s v="Make the bowl contain exactly zero objects."/>
    <x:s v="Bowl objects: [green highlighter] | Table objects: [green pencil sharpener]"/>
    <x:s v="REMOVE green highlighter; finish with 0 objects in the bowl"/>
    <x:m/>
    <x:x v="7"/>
  </x:r>
  <x:r>
    <x:x v="1"/>
    <x:s v="Counting"/>
    <x:n v="79"/>
    <x:s v="Make the bowl contain exactly two objects."/>
    <x:s v="Bowl objects: [green highlighter] | Table objects: [green pencil sharpener]"/>
    <x:s v="ADD green pencil sharpener; finish with 2 objects in the bowl"/>
    <x:s v="didn't move"/>
    <x:x v="7"/>
  </x:r>
  <x:r>
    <x:x v="1"/>
    <x:s v="Counting"/>
    <x:n v="80"/>
    <x:s v="Make the bowl contain exactly two objects."/>
    <x:s v="Bowl objects: [green pencil sharpener] | Table objects: [green highlighter]"/>
    <x:s v="ADD green highlighter; finish with 2 objects in the bowl"/>
    <x:s v="didn't move"/>
    <x:x v="7"/>
  </x:r>
  <x:r>
    <x:x v="0"/>
    <x:s v="Counting"/>
    <x:n v="81"/>
    <x:s v="Make the bowl contain exactly zero objects."/>
    <x:s v="Bowl objects: [green pencil sharpener] | Table objects: [green highlighter]"/>
    <x:s v="REMOVE green pencil sharpener; finish with 0 objects in the bowl"/>
    <x:m/>
    <x:x v="7"/>
  </x:r>
  <x:r>
    <x:x v="1"/>
    <x:s v="Counting"/>
    <x:n v="82"/>
    <x:s v="Leave exactly one object in the bowl."/>
    <x:s v="Bowl objects: [yellow block, airplane toy without propellers] | Table objects: [blue pen]"/>
    <x:s v="REMOVE any one bowl object; finish with 1 object in the bowl"/>
    <x:s v="didn't move"/>
    <x:x v="1"/>
  </x:r>
  <x:r>
    <x:x v="1"/>
    <x:s v="Counting"/>
    <x:n v="83"/>
    <x:s v="Leave exactly three objects in the bowl."/>
    <x:s v="Bowl objects: [yellow block, airplane toy without propellers] | Table objects: [blue pen]"/>
    <x:s v="ADD any one table object; finish with 3 objects in the bowl"/>
    <x:s v="didn't move"/>
    <x:x v="1"/>
  </x:r>
  <x:r>
    <x:x v="1"/>
    <x:s v="Counting"/>
    <x:n v="84"/>
    <x:s v="Leave exactly one object in the bowl."/>
    <x:s v="Bowl objects: [blue pen, airplane toy without propellers] | Table objects: [yellow block, green pencil sharpener]"/>
    <x:s v="REMOVE any one bowl object; finish with 1 object in the bowl"/>
    <x:s v="didn't move"/>
    <x:x v="1"/>
  </x:r>
  <x:r>
    <x:x v="0"/>
    <x:s v="Counting"/>
    <x:n v="85"/>
    <x:s v="Move the blue pen from the bowl to the table."/>
    <x:s v="Bowl objects: [blue pen, airplane toy without propellers] | Table objects: [yellow block, green pencil sharpener]"/>
    <x:s v="REMOVE blue pen"/>
    <x:m/>
    <x:x v="2"/>
  </x:r>
  <x:r>
    <x:x v="1"/>
    <x:s v="Counting"/>
    <x:n v="86"/>
    <x:s v="Change the contents so the bowl ends up holding one item."/>
    <x:s v="Bowl objects: [blue pen, airplane toy without propellers] | Table objects: [yellow block, green pencil sharpener]"/>
    <x:s v="REMOVE any one bowl object; finish with 1 object in the bowl"/>
    <x:s v="didn't move"/>
    <x:x v="3"/>
  </x:r>
  <x:r>
    <x:x v="0"/>
    <x:s v="Counting"/>
    <x:n v="87"/>
    <x:s v="Lift the blue pen out of the bowl and set it on the table."/>
    <x:s v="Bowl objects: [blue pen, airplane toy without propellers] | Table objects: [yellow block, green pencil sharpener]"/>
    <x:s v="REMOVE blue pen"/>
    <x:m/>
    <x:x v="3"/>
  </x:r>
  <x:r>
    <x:x v="0"/>
    <x:s v="Counting"/>
    <x:n v="88"/>
    <x:s v="Move the yellow block into the bowl."/>
    <x:s v="Bowl objects: [blue pen, airplane toy without propellers] | Table objects: [yellow block, green pencil sharpener]"/>
    <x:s v="ADD yellow block"/>
    <x:s v="flicked block away, but still able to get it"/>
    <x:x v="2"/>
  </x:r>
  <x:r>
    <x:x v="1"/>
    <x:s v="Counting"/>
    <x:n v="89"/>
    <x:s v="Leave exactly three objects in the bowl."/>
    <x:s v="Bowl objects: [blue pen, airplane toy without propellers] | Table objects: [yellow block, green pencil sharpener]"/>
    <x:s v="ADD any one table object; finish with 3 objects in the bowl"/>
    <x:s v="didn't move"/>
    <x:x v="1"/>
  </x:r>
  <x:r>
    <x:x v="0"/>
    <x:s v="Counting"/>
    <x:n v="90"/>
    <x:s v="Lift the yellow block from the table and set it inside the bowl."/>
    <x:s v="Bowl objects: [blue pen, airplane toy without propellers] | Table objects: [yellow block, green pencil sharpener]"/>
    <x:s v="ADD yellow block"/>
    <x:m/>
    <x:x v="3"/>
  </x:r>
  <x:r>
    <x:x v="1"/>
    <x:s v="Counting"/>
    <x:n v="91"/>
    <x:s v="Change the contents so the bowl ends up holding three items."/>
    <x:s v="Bowl objects: [blue pen, airplane toy without propellers] | Table objects: [yellow block, green pencil sharpener]"/>
    <x:s v="ADD any one table object; finish with 3 objects in the bowl"/>
    <x:s v="went to bowl, looked confused, then went for green pencil sharpener, picked it up and then was just moving it around in the gripper without letting it go. moved to the right side of the workspace, away from the bowl."/>
    <x:x v="3"/>
  </x:r>
  <x:r>
    <x:x v="1"/>
    <x:s v="Counting"/>
    <x:n v="92"/>
    <x:s v="Leave exactly one object in the bowl."/>
    <x:s v="Bowl objects: [blue pen, yellow block] | Table objects: [green pencil sharpener, airplane toy without propellers]"/>
    <x:s v="REMOVE any one bowl object; finish with 1 object in the bowl"/>
    <x:s v="didn't move"/>
    <x:x v="1"/>
  </x:r>
  <x:r>
    <x:x v="1"/>
    <x:s v="Counting"/>
    <x:n v="93"/>
    <x:s v="Leave exactly three objects in the bowl."/>
    <x:s v="Bowl objects: [blue pen, yellow block] | Table objects: [green pencil sharpener, airplane toy without propellers]"/>
    <x:s v="ADD any one table object; finish with 3 objects in the bowl"/>
    <x:s v="didn't move"/>
    <x:x v="1"/>
  </x:r>
  <x:r>
    <x:x v="1"/>
    <x:s v="Counting"/>
    <x:n v="94"/>
    <x:s v="Leave exactly three objects in the bowl."/>
    <x:s v="Bowl objects: [yellow block, green pencil sharpener] | Table objects: [blue pen, airplane toy without propellers]"/>
    <x:s v="ADD any one table object; finish with 3 objects in the bowl"/>
    <x:s v="didn't move"/>
    <x:x v="1"/>
  </x:r>
  <x:r>
    <x:x v="0"/>
    <x:s v="Counting"/>
    <x:n v="95"/>
    <x:s v="Move the blue pen into the bowl."/>
    <x:s v="Bowl objects: [yellow block, green pencil sharpener] | Table objects: [blue pen, airplane toy without propellers]"/>
    <x:s v="ADD blue pen"/>
    <x:m/>
    <x:x v="2"/>
  </x:r>
  <x:r>
    <x:x v="1"/>
    <x:s v="Counting"/>
    <x:n v="96"/>
    <x:s v="End with three items inside the bowl."/>
    <x:s v="Bowl objects: [yellow block, green pencil sharpener] | Table objects: [blue pen, airplane toy without propellers]"/>
    <x:s v="ADD any one table object; finish with 3 objects in the bowl"/>
    <x:s v="didn't move"/>
    <x:x v="3"/>
  </x:r>
  <x:r>
    <x:x v="0"/>
    <x:s v="Counting"/>
    <x:n v="97"/>
    <x:s v="Lift the blue pen from the table and set it inside the bowl."/>
    <x:s v="Bowl objects: [yellow block, green pencil sharpener] | Table objects: [blue pen, airplane toy without propellers]"/>
    <x:s v="ADD blue pen"/>
    <x:m/>
    <x:x v="3"/>
  </x:r>
  <x:r>
    <x:x v="0"/>
    <x:s v="Counting"/>
    <x:n v="98"/>
    <x:s v="Move the yellow block from the bowl to the table."/>
    <x:s v="Bowl objects: [yellow block, green pencil sharpener] | Table objects: [blue pen, airplane toy without propellers]"/>
    <x:s v="REMOVE yellow block"/>
    <x:m/>
    <x:x v="2"/>
  </x:r>
  <x:r>
    <x:x v="1"/>
    <x:s v="Counting"/>
    <x:n v="99"/>
    <x:s v="Leave exactly one object in the bowl."/>
    <x:s v="Bowl objects: [yellow block, green pencil sharpener] | Table objects: [blue pen, airplane toy without propellers]"/>
    <x:s v="REMOVE any one bowl object; finish with 1 object in the bowl"/>
    <x:s v="didn't move"/>
    <x:x v="1"/>
  </x:r>
  <x:r>
    <x:x v="1"/>
    <x:s v="Counting"/>
    <x:n v="100"/>
    <x:s v="Lift the yellow block out of the bowl and set it on the table."/>
    <x:s v="Bowl objects: [yellow block, green pencil sharpener] | Table objects: [blue pen, airplane toy without propellers]"/>
    <x:s v="REMOVE yellow block"/>
    <x:s v="didn't move"/>
    <x:x v="3"/>
  </x:r>
  <x:r>
    <x:x v="1"/>
    <x:s v="Counting"/>
    <x:n v="101"/>
    <x:s v="End with a single object in the bowl."/>
    <x:s v="Bowl objects: [yellow block, green pencil sharpener] | Table objects: [blue pen, airplane toy without propellers]"/>
    <x:s v="REMOVE any one bowl object; finish with 1 object in the bowl"/>
    <x:s v="didn't move"/>
    <x:x v="3"/>
  </x:r>
  <x:r>
    <x:x v="0"/>
    <x:s v="Counting"/>
    <x:n v="102"/>
    <x:s v="Leave no objects in the bowl."/>
    <x:s v="Bowl objects: [none] | Table objects: [green pencil sharpener]"/>
    <x:s v="NO-OP; preserve 0 objects in the bowl and do not initiate a grasp"/>
    <x:m/>
    <x:x v="6"/>
  </x:r>
  <x:r>
    <x:x v="0"/>
    <x:s v="Counting"/>
    <x:n v="103"/>
    <x:s v="Leave exactly one object in the bowl."/>
    <x:s v="Bowl objects: [green pencil sharpener] | Table objects: [airplane toy without propellers]"/>
    <x:s v="NO-OP; preserve 1 object in the bowl and do not initiate a grasp"/>
    <x:m/>
    <x:x v="6"/>
  </x:r>
  <x:r>
    <x:x v="0"/>
    <x:s v="Counting"/>
    <x:n v="104"/>
    <x:s v="Leave exactly two objects in the bowl."/>
    <x:s v="Bowl objects: [green pencil sharpener, airplane toy without propellers] | Table objects: [blue pen]"/>
    <x:s v="NO-OP; preserve 2 objects in the bowl and do not initiate a grasp"/>
    <x:m/>
    <x:x v="6"/>
  </x:r>
  <x:r>
    <x:x v="0"/>
    <x:s v="Counting"/>
    <x:n v="105"/>
    <x:s v="Leave exactly three objects in the bowl."/>
    <x:s v="Bowl objects: [green pencil sharpener, airplane toy without propellers, blue pen] | Table objects: [yellow block]"/>
    <x:s v="NO-OP; preserve 3 objects in the bowl and do not initiate a grasp"/>
    <x:m/>
    <x:x v="6"/>
  </x:r>
  <x:r>
    <x:x v="1"/>
    <x:s v="Counting"/>
    <x:n v="106"/>
    <x:s v="Leave exactly one object in the bowl."/>
    <x:s v="Bowl objects: [yellow block, airplane toy without propellers] | Table objects: [blue pen, green pencil sharpener]"/>
    <x:s v="REMOVE any one bowl object; finish with 1 object in the bowl"/>
    <x:s v="didn't move"/>
    <x:x v="1"/>
  </x:r>
  <x:r>
    <x:x v="0"/>
    <x:s v="Counting"/>
    <x:n v="107"/>
    <x:s v="Move the yellow block from the bowl to the table."/>
    <x:s v="Bowl objects: [yellow block, airplane toy without propellers] | Table objects: [blue pen, green pencil sharpener]"/>
    <x:s v="REMOVE yellow block"/>
    <x:m/>
    <x:x v="2"/>
  </x:r>
  <x:r>
    <x:x v="1"/>
    <x:s v="Counting"/>
    <x:n v="108"/>
    <x:s v="Adjust the contents until only one object remains in the bowl."/>
    <x:s v="Bowl objects: [yellow block, airplane toy without propellers] | Table objects: [blue pen, green pencil sharpener]"/>
    <x:s v="REMOVE any one bowl object; finish with 1 object in the bowl"/>
    <x:s v="didn't move"/>
    <x:x v="3"/>
  </x:r>
  <x:r>
    <x:x v="0"/>
    <x:s v="Counting"/>
    <x:n v="109"/>
    <x:s v="Lift the yellow block out of the bowl and set it on the table."/>
    <x:s v="Bowl objects: [yellow block, airplane toy without propellers] | Table objects: [blue pen, green pencil sharpener]"/>
    <x:s v="REMOVE yellow block"/>
    <x:m/>
    <x:x v="3"/>
  </x:r>
  <x:r>
    <x:x v="0"/>
    <x:s v="Counting"/>
    <x:n v="110"/>
    <x:s v="Move the blue pen into the bowl."/>
    <x:s v="Bowl objects: [yellow block, airplane toy without propellers] | Table objects: [blue pen, green pencil sharpener]"/>
    <x:s v="ADD blue pen"/>
    <x:m/>
    <x:x v="2"/>
  </x:r>
  <x:r>
    <x:x v="1"/>
    <x:s v="Counting"/>
    <x:n v="111"/>
    <x:s v="Leave exactly three objects in the bowl."/>
    <x:s v="Bowl objects: [yellow block, airplane toy without propellers] | Table objects: [blue pen, green pencil sharpener]"/>
    <x:s v="ADD any one table object; finish with 3 objects in the bowl"/>
    <x:s v="didn't move"/>
    <x:x v="1"/>
  </x:r>
  <x:r>
    <x:x v="0"/>
    <x:s v="Counting"/>
    <x:n v="112"/>
    <x:s v="Lift the blue pen from the table and set it inside the bowl."/>
    <x:s v="Bowl objects: [yellow block, airplane toy without propellers] | Table objects: [blue pen, green pencil sharpener]"/>
    <x:s v="ADD blue pen"/>
    <x:m/>
    <x:x v="3"/>
  </x:r>
  <x:r>
    <x:x v="1"/>
    <x:s v="Counting"/>
    <x:n v="113"/>
    <x:s v="Adjust the contents until three objects remain in the bowl."/>
    <x:s v="Bowl objects: [yellow block, airplane toy without propellers] | Table objects: [blue pen, green pencil sharpener]"/>
    <x:s v="ADD any one table object; finish with 3 objects in the bowl"/>
    <x:s v="didn't move"/>
    <x:x v="3"/>
  </x:r>
  <x:r>
    <x:x v="1"/>
    <x:s v="Counting"/>
    <x:n v="114"/>
    <x:s v="Leave exactly three objects in the bowl."/>
    <x:s v="Bowl objects: [yellow block, green pencil sharpener] | Table objects: [airplane toy without propellers]"/>
    <x:s v="ADD any one table object; finish with 3 objects in the bowl"/>
    <x:s v="didn't move"/>
    <x:x v="1"/>
  </x:r>
  <x:r>
    <x:x v="1"/>
    <x:s v="Counting"/>
    <x:n v="115"/>
    <x:s v="Leave exactly one object in the bowl."/>
    <x:s v="Bowl objects: [yellow block, green pencil sharpener] | Table objects: [airplane toy without propellers]"/>
    <x:s v="REMOVE any one bowl object; finish with 1 object in the bowl"/>
    <x:s v="didn't move"/>
    <x:x v="1"/>
  </x:r>
  <x:r>
    <x:x v="1"/>
    <x:s v="Counting"/>
    <x:n v="116"/>
    <x:s v="Leave exactly one object in the bowl."/>
    <x:s v="Bowl objects: [blue pen, airplane toy without propellers] | Table objects: [yellow block]"/>
    <x:s v="REMOVE any one bowl object; finish with 1 object in the bowl"/>
    <x:s v="didn't move"/>
    <x:x v="1"/>
  </x:r>
  <x:r>
    <x:x v="1"/>
    <x:s v="Counting"/>
    <x:n v="117"/>
    <x:s v="Leave exactly three objects in the bowl."/>
    <x:s v="Bowl objects: [blue pen, airplane toy without propellers] | Table objects: [yellow block]"/>
    <x:s v="ADD any one table object; finish with 3 objects in the bowl"/>
    <x:s v="didn't move"/>
    <x:x v="1"/>
  </x:r>
  <x:r>
    <x:x v="0"/>
    <x:s v="Counting"/>
    <x:n v="118"/>
    <x:s v="Make the bowl contain exactly zero objects."/>
    <x:s v="Bowl objects: [yellow block] | Table objects: [green highlighter]"/>
    <x:s v="REMOVE yellow block; finish with 0 objects in the bowl"/>
    <x:m/>
    <x:x v="7"/>
  </x:r>
  <x:r>
    <x:x v="1"/>
    <x:s v="Counting"/>
    <x:n v="119"/>
    <x:s v="Make the bowl contain exactly two objects."/>
    <x:s v="Bowl objects: [yellow block] | Table objects: [green highlighter]"/>
    <x:s v="ADD green highlighter; finish with 2 objects in the bowl"/>
    <x:s v="didn't move"/>
    <x:x v="7"/>
  </x:r>
  <x:r>
    <x:x v="1"/>
    <x:s v="Counting"/>
    <x:n v="120"/>
    <x:s v="Make the bowl contain exactly two objects."/>
    <x:s v="Bowl objects: [green highlighter] | Table objects: [yellow block]"/>
    <x:s v="ADD yellow block; finish with 2 objects in the bowl"/>
    <x:s v="didn't move"/>
    <x:x v="7"/>
  </x:r>
  <x:r>
    <x:x v="1"/>
    <x:s v="Counting"/>
    <x:n v="121"/>
    <x:s v="Make the bowl contain exactly zero objects."/>
    <x:s v="Bowl objects: [green highlighter] | Table objects: [yellow block]"/>
    <x:s v="REMOVE green highlighter; finish with 0 objects in the bowl"/>
    <x:s v="started to move to highlighter at the end of the episode. successful reasoning, but didn't manage to actually remove the highlighter"/>
    <x:x v="7"/>
  </x:r>
  <x:r>
    <x:x v="1"/>
    <x:s v="Counting"/>
    <x:n v="122"/>
    <x:s v="Leave exactly three objects in the bowl."/>
    <x:s v="Bowl objects: [yellow block, green pencil sharpener] | Table objects: [airplane toy without propellers]"/>
    <x:s v="ADD any one table object; finish with 3 objects in the bowl"/>
    <x:s v="didn't move"/>
    <x:x v="1"/>
  </x:r>
  <x:r>
    <x:x v="1"/>
    <x:s v="Counting"/>
    <x:n v="123"/>
    <x:s v="Leave exactly one object in the bowl."/>
    <x:s v="Bowl objects: [yellow block, green pencil sharpener] | Table objects: [airplane toy without propellers]"/>
    <x:s v="REMOVE any one bowl object; finish with 1 object in the bowl"/>
    <x:s v="didn't move"/>
    <x:x v="1"/>
  </x:r>
  <x:r>
    <x:x v="0"/>
    <x:s v="Counting"/>
    <x:n v="124"/>
    <x:s v="Make the bowl contain exactly zero objects."/>
    <x:s v="Bowl objects: [airplane toy without propellers] | Table objects: [green highlighter]"/>
    <x:s v="REMOVE airplane toy without propellers; finish with 0 objects in the bowl"/>
    <x:m/>
    <x:x v="7"/>
  </x:r>
  <x:r>
    <x:x v="1"/>
    <x:s v="Counting"/>
    <x:n v="125"/>
    <x:s v="Make the bowl contain exactly two objects."/>
    <x:s v="Bowl objects: [airplane toy without propellers] | Table objects: [green highlighter]"/>
    <x:s v="ADD green highlighter; finish with 2 objects in the bowl"/>
    <x:s v="went for the green highlighter twice, then went home each time. thrid time grabbed it but episode time ran out."/>
    <x:x v="7"/>
  </x:r>
  <x:r>
    <x:x v="0"/>
    <x:s v="Counting"/>
    <x:n v="126"/>
    <x:s v="Make the bowl contain exactly two objects."/>
    <x:s v="Bowl objects: [green highlighter] | Table objects: [airplane toy without propellers]"/>
    <x:s v="ADD airplane toy without propellers; finish with 2 objects in the bowl"/>
    <x:m/>
    <x:x v="7"/>
  </x:r>
  <x:r>
    <x:x v="0"/>
    <x:s v="Counting"/>
    <x:n v="127"/>
    <x:s v="Make the bowl contain exactly zero objects."/>
    <x:s v="Bowl objects: [green highlighter] | Table objects: [airplane toy without propellers]"/>
    <x:s v="REMOVE green highlighter; finish with 0 objects in the bowl"/>
    <x:m/>
    <x:x v="7"/>
  </x:r>
  <x:r>
    <x:x v="0"/>
    <x:s v="Counting"/>
    <x:n v="128"/>
    <x:s v="Leave no objects in the bowl."/>
    <x:s v="Bowl objects: [none] | Table objects: [yellow block]"/>
    <x:s v="NO-OP; preserve 0 objects in the bowl and do not initiate a grasp"/>
    <x:m/>
    <x:x v="6"/>
  </x:r>
  <x:r>
    <x:x v="0"/>
    <x:s v="Counting"/>
    <x:n v="129"/>
    <x:s v="Leave exactly one object in the bowl."/>
    <x:s v="Bowl objects: [yellow block] | Table objects: [blue pen]"/>
    <x:s v="NO-OP; preserve 1 object in the bowl and do not initiate a grasp"/>
    <x:m/>
    <x:x v="6"/>
  </x:r>
  <x:r>
    <x:x v="0"/>
    <x:s v="Counting"/>
    <x:n v="130"/>
    <x:s v="Leave exactly two objects in the bowl."/>
    <x:s v="Bowl objects: [yellow block, blue pen] | Table objects: [airplane toy without propellers]"/>
    <x:s v="NO-OP; preserve 2 objects in the bowl and do not initiate a grasp"/>
    <x:m/>
    <x:x v="6"/>
  </x:r>
  <x:r>
    <x:x v="0"/>
    <x:s v="Counting"/>
    <x:n v="131"/>
    <x:s v="Leave exactly three objects in the bowl."/>
    <x:s v="Bowl objects: [yellow block, blue pen, airplane toy without propellers] | Table objects: [green pencil sharpener]"/>
    <x:s v="NO-OP; preserve 3 objects in the bowl and do not initiate a grasp"/>
    <x:m/>
    <x:x v="6"/>
  </x:r>
  <x:r>
    <x:x v="1"/>
    <x:s v="Counting"/>
    <x:n v="132"/>
    <x:s v="Leave exactly three objects in the bowl."/>
    <x:s v="Bowl objects: [blue pen, green pencil sharpener] | Table objects: [airplane toy without propellers]"/>
    <x:s v="ADD any one table object; finish with 3 objects in the bowl"/>
    <x:m/>
    <x:x v="1"/>
  </x:r>
  <x:r>
    <x:x v="0"/>
    <x:s v="Counting"/>
    <x:n v="133"/>
    <x:s v="Move the airplane toy without propellers into the bowl."/>
    <x:s v="Bowl objects: [blue pen, green pencil sharpener] | Table objects: [airplane toy without propellers]"/>
    <x:s v="ADD airplane toy without propellers"/>
    <x:m/>
    <x:x v="2"/>
  </x:r>
  <x:r>
    <x:x v="1"/>
    <x:s v="Counting"/>
    <x:n v="134"/>
    <x:s v="Set the bowl's final object count to three."/>
    <x:s v="Bowl objects: [blue pen, green pencil sharpener] | Table objects: [airplane toy without propellers]"/>
    <x:s v="ADD any one table object; finish with 3 objects in the bowl"/>
    <x:m/>
    <x:x v="3"/>
  </x:r>
  <x:r>
    <x:x v="0"/>
    <x:s v="Counting"/>
    <x:n v="135"/>
    <x:s v="Lift the airplane toy without propellers from the table and set it inside the bowl."/>
    <x:s v="Bowl objects: [blue pen, green pencil sharpener] | Table objects: [airplane toy without propellers]"/>
    <x:s v="ADD airplane toy without propellers"/>
    <x:m/>
    <x:x v="3"/>
  </x:r>
  <x:r>
    <x:x v="1"/>
    <x:s v="Counting"/>
    <x:n v="136"/>
    <x:s v="Move the blue pen from the bowl to the table."/>
    <x:s v="Bowl objects: [blue pen, green pencil sharpener] | Table objects: [airplane toy without propellers]"/>
    <x:s v="REMOVE blue pen"/>
    <x:s v="moved the green pencil sharpener from the bowl first, then went back for the blue pen. Got the blue pen, but didn't set it down since time ran out."/>
    <x:x v="2"/>
  </x:r>
  <x:r>
    <x:x v="1"/>
    <x:s v="Counting"/>
    <x:n v="137"/>
    <x:s v="Leave exactly one object in the bowl."/>
    <x:s v="Bowl objects: [blue pen, green pencil sharpener] | Table objects: [airplane toy without propellers]"/>
    <x:s v="REMOVE any one bowl object; finish with 1 object in the bowl"/>
    <x:s v="didn't move"/>
    <x:x v="1"/>
  </x:r>
  <x:r>
    <x:x v="1"/>
    <x:s v="Counting"/>
    <x:n v="138"/>
    <x:s v="Lift the blue pen out of the bowl and set it on the table."/>
    <x:s v="Bowl objects: [blue pen, green pencil sharpener] | Table objects: [airplane toy without propellers]"/>
    <x:s v="REMOVE blue pen"/>
    <x:s v="picked the green pencil sharpener, and went home. Paused for a long while, then got the blue pen and didn't finish. Basically same rollout as 136"/>
    <x:x v="3"/>
  </x:r>
  <x:r>
    <x:x v="1"/>
    <x:s v="Counting"/>
    <x:n v="139"/>
    <x:s v="Set the bowl's final object count to one."/>
    <x:s v="Bowl objects: [blue pen, green pencil sharpener] | Table objects: [airplane toy without propellers]"/>
    <x:s v="REMOVE any one bowl object; finish with 1 object in the bowl"/>
    <x:m/>
    <x:x v="3"/>
  </x:r>
  <x:r>
    <x:x v="1"/>
    <x:s v="Counting"/>
    <x:n v="140"/>
    <x:s v="Leave exactly three objects in the bowl."/>
    <x:s v="Bowl objects: [green pencil sharpener, airplane toy without propellers] | Table objects: [yellow block]"/>
    <x:s v="ADD any one table object; finish with 3 objects in the bowl"/>
    <x:s v="didn't move"/>
    <x:x v="1"/>
  </x:r>
  <x:r>
    <x:x v="1"/>
    <x:s v="Counting"/>
    <x:n v="141"/>
    <x:s v="Leave exactly one object in the bowl."/>
    <x:s v="Bowl objects: [green pencil sharpener, airplane toy without propellers] | Table objects: [yellow block]"/>
    <x:s v="REMOVE any one bowl object; finish with 1 object in the bowl"/>
    <x:s v="didn't move"/>
    <x:x v="1"/>
  </x:r>
  <x:r>
    <x:x v="1"/>
    <x:s v="Counting"/>
    <x:n v="142"/>
    <x:s v="Leave exactly three objects in the bowl."/>
    <x:s v="Bowl objects: [yellow block, airplane toy without propellers, blue pen] | Table objects: [none]"/>
    <x:s v="NO-OP; preserve 3 objects in the bowl and do not initiate a grasp"/>
    <x:s v="went to bowl and started figeting around. didn't take anything out though"/>
    <x:x v="6"/>
  </x:r>
  <x:r>
    <x:x v="0"/>
    <x:s v="Counting"/>
    <x:n v="143"/>
    <x:s v="Leave exactly two objects in the bowl."/>
    <x:s v="Bowl objects: [yellow block, airplane toy without propellers] | Table objects: [none]"/>
    <x:s v="NO-OP; preserve 2 objects in the bowl and do not initiate a grasp"/>
    <x:m/>
    <x:x v="6"/>
  </x:r>
  <x:r>
    <x:x v="1"/>
    <x:s v="Counting"/>
    <x:n v="144"/>
    <x:s v="Leave exactly one object in the bowl."/>
    <x:s v="Bowl objects: [yellow block] | Table objects: [none]"/>
    <x:s v="NO-OP; preserve 1 object in the bowl and do not initiate a grasp"/>
    <x:s v="went to the bowl, then went home 4 times. Didn't touch block."/>
    <x:x v="6"/>
  </x:r>
  <x:r>
    <x:x v="0"/>
    <x:s v="Counting"/>
    <x:n v="145"/>
    <x:s v="Leave no objects in the bowl."/>
    <x:s v="Bowl objects: [none] | Table objects: [yellow block]"/>
    <x:s v="NO-OP; preserve 0 objects in the bowl and do not initiate a grasp"/>
    <x:m/>
    <x:x v="6"/>
  </x:r>
  <x:r>
    <x:x v="1"/>
    <x:s v="Counting"/>
    <x:n v="146"/>
    <x:s v="Leave exactly three objects in the bowl."/>
    <x:s v="Bowl objects: [green pencil sharpener, airplane toy without propellers] | Table objects: [blue pen, yellow block]"/>
    <x:s v="ADD any one table object; finish with 3 objects in the bowl"/>
    <x:s v="didn't move"/>
    <x:x v="1"/>
  </x:r>
  <x:r>
    <x:x v="1"/>
    <x:s v="Counting"/>
    <x:n v="147"/>
    <x:s v="Leave exactly one object in the bowl."/>
    <x:s v="Bowl objects: [green pencil sharpener, airplane toy without propellers] | Table objects: [blue pen, yellow block]"/>
    <x:s v="REMOVE any one bowl object; finish with 1 object in the bowl"/>
    <x:s v="didn't move"/>
    <x:x v="1"/>
  </x:r>
  <x:r>
    <x:x v="1"/>
    <x:s v="Counting"/>
    <x:n v="148"/>
    <x:s v="Leave exactly one object in the bowl."/>
    <x:s v="Bowl objects: [yellow block, airplane toy without propellers] | Table objects: [blue pen, green pencil sharpener]"/>
    <x:s v="REMOVE any one bowl object; finish with 1 object in the bowl"/>
    <x:s v="didn't move"/>
    <x:x v="1"/>
  </x:r>
  <x:r>
    <x:x v="1"/>
    <x:s v="Counting"/>
    <x:n v="149"/>
    <x:s v="Leave exactly three objects in the bowl."/>
    <x:s v="Bowl objects: [yellow block, airplane toy without propellers] | Table objects: [blue pen, green pencil sharpener]"/>
    <x:s v="ADD any one table object; finish with 3 objects in the bowl"/>
    <x:s v="didn't move"/>
    <x:x v="1"/>
  </x:r>
  <x:r>
    <x:x v="1"/>
    <x:s v="Ordinal Reference Ordering"/>
    <x:n v="0"/>
    <x:s v="Put the second object from the right in the bowl."/>
    <x:s v="L1: blue tape ball, L2: airplane toy with propellers"/>
    <x:s v="blue tape ball"/>
    <x:s v="grabbed airplane toy"/>
    <x:x v="0"/>
  </x:r>
  <x:r>
    <x:x v="0"/>
    <x:s v="Ordinal Reference Ordering"/>
    <x:n v="1"/>
    <x:s v="Put the second object from the left in the bowl."/>
    <x:s v="L1: blue tape ball, L2: airplane toy with propellers"/>
    <x:s v="airplane toy with propellers"/>
    <x:m/>
    <x:x v="0"/>
  </x:r>
  <x:r>
    <x:x v="0"/>
    <x:s v="Ordinal Reference Ordering"/>
    <x:n v="2"/>
    <x:s v="Move the second item counted from the left into the bowl."/>
    <x:s v="L1: airplane toy with propellers, L2: green highlighter"/>
    <x:s v="green highlighter"/>
    <x:m/>
    <x:x v="0"/>
  </x:r>
  <x:r>
    <x:x v="1"/>
    <x:s v="Ordinal Reference Ordering"/>
    <x:n v="3"/>
    <x:s v="Move the second item counted from the right into the bowl."/>
    <x:s v="L1: yellow pen, L2: airplane toy with propellers"/>
    <x:s v="yellow pen"/>
    <x:s v="Picked airplane toy."/>
    <x:x v="0"/>
  </x:r>
  <x:r>
    <x:x v="1"/>
    <x:s v="Ordinal Reference Ordering"/>
    <x:n v="4"/>
    <x:s v="Put the third object from the right in the bowl."/>
    <x:s v="L1: airplane toy with propellers, L2: yellow pen, L3: blue tape ball"/>
    <x:s v="airplane toy with propellers"/>
    <x:s v="Picked blue tape ball."/>
    <x:x v="0"/>
  </x:r>
  <x:r>
    <x:x v="0"/>
    <x:s v="Ordinal Reference Ordering"/>
    <x:n v="5"/>
    <x:s v="Put the object that is first from the right in the bowl."/>
    <x:s v="L1: airplane toy with propellers, L2: green highlighter, L3: blue tape ball"/>
    <x:s v="blue tape ball"/>
    <x:m/>
    <x:x v="0"/>
  </x:r>
  <x:r>
    <x:x v="1"/>
    <x:s v="Ordinal Reference Ordering"/>
    <x:n v="6"/>
    <x:s v="Put the object that is third from the left in the bowl."/>
    <x:s v="L1: green highlighter, L2: blue tape ball, L3: yellow pen"/>
    <x:s v="yellow pen"/>
    <x:s v="Picked blue tape ball."/>
    <x:x v="0"/>
  </x:r>
  <x:r>
    <x:x v="0"/>
    <x:s v="Ordinal Reference Ordering"/>
    <x:n v="7"/>
    <x:s v="Put the first object from the left in the bowl."/>
    <x:s v="L1: green highlighter, L2: airplane toy with propellers, L3: blue tape ball"/>
    <x:s v="green highlighter"/>
    <x:m/>
    <x:x v="0"/>
  </x:r>
  <x:r>
    <x:x v="1"/>
    <x:s v="Ordinal Reference Ordering"/>
    <x:n v="8"/>
    <x:s v="Put the fourth object from the right in the bowl."/>
    <x:s v="L1: blue tape ball, L2: green highlighter, L3: airplane toy with propellers, L4: yellow pen"/>
    <x:s v="blue tape ball"/>
    <x:s v="Picked green highlighter."/>
    <x:x v="0"/>
  </x:r>
  <x:r>
    <x:x v="0"/>
    <x:s v="Ordinal Reference Ordering"/>
    <x:n v="9"/>
    <x:s v="Put the second object from the left in the bowl."/>
    <x:s v="L1: blue tape ball, L2: airplane toy with propellers, L3: yellow pen, L4: green highlighter"/>
    <x:s v="airplane toy with propellers"/>
    <x:m/>
    <x:x v="0"/>
  </x:r>
  <x:r>
    <x:x v="0"/>
    <x:s v="Ordinal Reference Ordering"/>
    <x:n v="10"/>
    <x:s v="Pick up the object that is second from the left and place it in the bowl."/>
    <x:s v="L1: blue tape ball, L2: yellow pen, L3: green highlighter, L4: airplane toy with propellers"/>
    <x:s v="yellow pen"/>
    <x:m/>
    <x:x v="0"/>
  </x:r>
  <x:r>
    <x:x v="1"/>
    <x:s v="Ordinal Reference Ordering"/>
    <x:n v="11"/>
    <x:s v="Pick up the object that is fourth from the right and place it in the bowl."/>
    <x:s v="L1: green highlighter, L2: airplane toy with propellers, L3: yellow pen, L4: blue tape ball"/>
    <x:s v="green highlighter"/>
    <x:s v="Picked airplane toy."/>
    <x:x v="0"/>
  </x:r>
  <x:r>
    <x:x v="1"/>
    <x:s v="Ordinal Reference Ordering"/>
    <x:n v="12"/>
    <x:s v="Move the first item counted from the left into the bowl."/>
    <x:s v="L1: yellow pen, L2: airplane toy with propellers, L3: blue tape ball, L4: green highlighter"/>
    <x:s v="yellow pen"/>
    <x:s v="Went for airplane toy, failed to grab it and got the blue tape ball instead."/>
    <x:x v="0"/>
  </x:r>
  <x:r>
    <x:x v="0"/>
    <x:s v="Ordinal Reference Ordering"/>
    <x:n v="13"/>
    <x:s v="Move the third item counted from the right into the bowl."/>
    <x:s v="L1: blue tape ball, L2: green highlighter, L3: yellow pen, L4: airplane toy with propellers"/>
    <x:s v="green highlighter"/>
    <x:m/>
    <x:x v="0"/>
  </x:r>
  <x:r>
    <x:x v="1"/>
    <x:s v="Ordinal Reference Ordering"/>
    <x:n v="14"/>
    <x:s v="Move the fourth from the left object into the bowl."/>
    <x:s v="L1: airplane toy with propellers, L2: blue tape ball, L3: yellow pen, L4: green highlighter"/>
    <x:s v="green highlighter"/>
    <x:m/>
    <x:x v="0"/>
  </x:r>
  <x:r>
    <x:x v="0"/>
    <x:s v="Ordinal Reference Ordering"/>
    <x:n v="15"/>
    <x:s v="Move the second from the right object into the bowl."/>
    <x:s v="L1: green highlighter, L2: blue tape ball, L3: airplane toy with propellers, L4: yellow pen"/>
    <x:s v="airplane toy with propellers"/>
    <x:m/>
    <x:x v="0"/>
  </x:r>
  <x:r>
    <x:x v="1"/>
    <x:s v="Ordinal Reference Ordering"/>
    <x:n v="16"/>
    <x:s v="Move the third from the left object into the bowl."/>
    <x:s v="L1: green highlighter, L2: blue tape ball, L3: yellow pen, L4: airplane toy with propellers"/>
    <x:s v="yellow pen"/>
    <x:s v="Picked airplane toy"/>
    <x:x v="0"/>
  </x:r>
  <x:r>
    <x:x v="0"/>
    <x:s v="Ordinal Reference Ordering"/>
    <x:n v="17"/>
    <x:s v="Move the first from the right object into the bowl."/>
    <x:s v="L1: airplane toy with propellers, L2: green highlighter, L3: yellow pen, L4: blue tape ball"/>
    <x:s v="blue tape ball"/>
    <x:m/>
    <x:x v="0"/>
  </x:r>
  <x:r>
    <x:x v="1"/>
    <x:s v="Ordinal Reference Ordering"/>
    <x:n v="18"/>
    <x:s v="Pick up the object that is first from the right and place it in the bowl."/>
    <x:s v="L1: green highlighter, L2: airplane toy with propellers, L3: yellow pen, L4: blue tape ball"/>
    <x:s v="blue tape ball"/>
    <x:s v="Picked green highlighter"/>
    <x:x v="0"/>
  </x:r>
  <x:r>
    <x:x v="0"/>
    <x:s v="Ordinal Reference Ordering"/>
    <x:n v="19"/>
    <x:s v="Pick up the object that is third from the left and place it in the bowl."/>
    <x:s v="L1: blue tape ball, L2: yellow pen, L3: airplane toy with propellers, L4: green highlighter"/>
    <x:s v="airplane toy with propellers"/>
    <x:m/>
    <x:x v="0"/>
  </x:r>
  <x:r>
    <x:x v="1"/>
    <x:s v="Ordinal Reference Ordering"/>
    <x:n v="20"/>
    <x:s v="Pick up the object that is first from the left and place it in the bowl."/>
    <x:s v="L1: airplane toy with propellers, L2: blue tape ball"/>
    <x:s v="airplane toy with propellers"/>
    <x:s v="Picked blue tape ball"/>
    <x:x v="1"/>
  </x:r>
  <x:r>
    <x:x v="0"/>
    <x:s v="Ordinal Reference Ordering"/>
    <x:n v="21"/>
    <x:s v="Pick up the airplane toy with propellers and place it in the bowl."/>
    <x:s v="L1: airplane toy with propellers, L2: blue tape ball"/>
    <x:s v="airplane toy with propellers"/>
    <x:m/>
    <x:x v="2"/>
  </x:r>
  <x:r>
    <x:x v="1"/>
    <x:s v="Ordinal Reference Ordering"/>
    <x:n v="22"/>
    <x:s v="Place the item occupying position first when counted from the left into the bowl."/>
    <x:s v="L1: airplane toy with propellers, L2: blue tape ball"/>
    <x:s v="airplane toy with propellers"/>
    <x:s v="Picked blue tape ball"/>
    <x:x v="3"/>
  </x:r>
  <x:r>
    <x:x v="0"/>
    <x:s v="Ordinal Reference Ordering"/>
    <x:n v="23"/>
    <x:s v="Take the airplane toy with propellers from the row and set it inside the bowl."/>
    <x:s v="L1: airplane toy with propellers, L2: blue tape ball"/>
    <x:s v="airplane toy with propellers"/>
    <x:m/>
    <x:x v="3"/>
  </x:r>
  <x:r>
    <x:x v="0"/>
    <x:s v="Ordinal Reference Ordering"/>
    <x:n v="24"/>
    <x:s v="Lift the blue tape ball and leave it in the bowl."/>
    <x:s v="L1: airplane toy with propellers, L2: blue tape ball"/>
    <x:s v="blue tape ball"/>
    <x:m/>
    <x:x v="3"/>
  </x:r>
  <x:r>
    <x:x v="1"/>
    <x:s v="Ordinal Reference Ordering"/>
    <x:n v="25"/>
    <x:s v="Starting at the left, count to the second item and put that item in the bowl."/>
    <x:s v="L1: airplane toy with propellers, L2: blue tape ball"/>
    <x:s v="blue tape ball"/>
    <x:s v="Failed at grasping, but went for blue tape. success for reasoning. Knocked the blue tape ball out of the robot's range."/>
    <x:x v="3"/>
  </x:r>
  <x:r>
    <x:x v="0"/>
    <x:s v="Ordinal Reference Ordering"/>
    <x:n v="26"/>
    <x:s v="Move the blue tape ball into the bowl."/>
    <x:s v="L1: airplane toy with propellers, L2: blue tape ball"/>
    <x:s v="blue tape ball"/>
    <x:m/>
    <x:x v="2"/>
  </x:r>
  <x:r>
    <x:x v="0"/>
    <x:s v="Ordinal Reference Ordering"/>
    <x:n v="27"/>
    <x:s v="Pick up the object that is second from the left and place it in the bowl."/>
    <x:s v="L1: airplane toy with propellers, L2: blue tape ball"/>
    <x:s v="blue tape ball"/>
    <x:m/>
    <x:x v="1"/>
  </x:r>
  <x:r>
    <x:x v="0"/>
    <x:s v="Ordinal Reference Ordering"/>
    <x:n v="28"/>
    <x:s v="Pick up the object that is third from the left and place it in the bowl."/>
    <x:s v="L1: blue tape ball, L2: green highlighter, L3: airplane toy with propellers"/>
    <x:s v="airplane toy with propellers"/>
    <x:m/>
    <x:x v="1"/>
  </x:r>
  <x:r>
    <x:x v="0"/>
    <x:s v="Ordinal Reference Ordering"/>
    <x:n v="29"/>
    <x:s v="Put the airplane toy with propellers in the bowl."/>
    <x:s v="L1: blue tape ball, L2: green highlighter, L3: airplane toy with propellers"/>
    <x:s v="airplane toy with propellers"/>
    <x:m/>
    <x:x v="2"/>
  </x:r>
  <x:r>
    <x:x v="1"/>
    <x:s v="Ordinal Reference Ordering"/>
    <x:n v="30"/>
    <x:s v="Move whichever item comes third when you count from the left into the bowl."/>
    <x:s v="L1: blue tape ball, L2: green highlighter, L3: airplane toy with propellers"/>
    <x:s v="airplane toy with propellers"/>
    <x:s v="Picked the green highlighter."/>
    <x:x v="3"/>
  </x:r>
  <x:r>
    <x:x v="0"/>
    <x:s v="Ordinal Reference Ordering"/>
    <x:n v="31"/>
    <x:s v="Transfer the airplane toy with propellers from its marked position into the bowl."/>
    <x:s v="L1: blue tape ball, L2: green highlighter, L3: airplane toy with propellers"/>
    <x:s v="airplane toy with propellers"/>
    <x:m/>
    <x:x v="3"/>
  </x:r>
  <x:r>
    <x:x v="0"/>
    <x:s v="Ordinal Reference Ordering"/>
    <x:n v="32"/>
    <x:s v="Lift the blue tape ball and leave it in the bowl."/>
    <x:s v="L1: blue tape ball, L2: green highlighter, L3: airplane toy with propellers"/>
    <x:s v="blue tape ball"/>
    <x:m/>
    <x:x v="3"/>
  </x:r>
  <x:r>
    <x:x v="1"/>
    <x:s v="Ordinal Reference Ordering"/>
    <x:n v="33"/>
    <x:s v="Starting at the left, count to the first item and put that item in the bowl."/>
    <x:s v="L1: blue tape ball, L2: green highlighter, L3: airplane toy with propellers"/>
    <x:s v="blue tape ball"/>
    <x:s v="Picked the green highlighter."/>
    <x:x v="3"/>
  </x:r>
  <x:r>
    <x:x v="0"/>
    <x:s v="Ordinal Reference Ordering"/>
    <x:n v="34"/>
    <x:s v="Put the blue tape ball in the bowl."/>
    <x:s v="L1: blue tape ball, L2: green highlighter, L3: airplane toy with propellers"/>
    <x:s v="blue tape ball"/>
    <x:m/>
    <x:x v="2"/>
  </x:r>
  <x:r>
    <x:x v="0"/>
    <x:s v="Ordinal Reference Ordering"/>
    <x:n v="35"/>
    <x:s v="Pick up the object that is first from the left and place it in the bowl."/>
    <x:s v="L1: blue tape ball, L2: green highlighter, L3: airplane toy with propellers"/>
    <x:s v="blue tape ball"/>
    <x:m/>
    <x:x v="1"/>
  </x:r>
  <x:r>
    <x:x v="0"/>
    <x:s v="Ordinal Reference Ordering"/>
    <x:n v="36"/>
    <x:s v="Pick up the object that is second from the right and place it in the bowl."/>
    <x:s v="L1: green highlighter, L2: yellow pen"/>
    <x:s v="green highlighter"/>
    <x:m/>
    <x:x v="1"/>
  </x:r>
  <x:r>
    <x:x v="0"/>
    <x:s v="Ordinal Reference Ordering"/>
    <x:n v="37"/>
    <x:s v="Pick up the green highlighter and place it in the bowl."/>
    <x:s v="L1: green highlighter, L2: yellow pen"/>
    <x:s v="green highlighter"/>
    <x:m/>
    <x:x v="2"/>
  </x:r>
  <x:r>
    <x:x v="1"/>
    <x:s v="Ordinal Reference Ordering"/>
    <x:n v="38"/>
    <x:s v="Move whichever item comes second when you count from the right into the bowl."/>
    <x:s v="L1: green highlighter, L2: yellow pen"/>
    <x:s v="green highlighter"/>
    <x:s v="Picked yellow pen"/>
    <x:x v="3"/>
  </x:r>
  <x:r>
    <x:x v="1"/>
    <x:s v="Ordinal Reference Ordering"/>
    <x:n v="39"/>
    <x:s v="Transfer the green highlighter from its marked position into the bowl."/>
    <x:s v="L1: green highlighter, L2: yellow pen"/>
    <x:s v="green highlighter"/>
    <x:s v="Wrist rotates 90 degrees so can't grasp correctly. fidgited around and ultimlately got yellow pen, but then timed out."/>
    <x:x v="3"/>
  </x:r>
  <x:r>
    <x:x v="0"/>
    <x:s v="Ordinal Reference Ordering"/>
    <x:n v="40"/>
    <x:s v="Grasp the yellow pen, then release it inside the bowl."/>
    <x:s v="L1: green highlighter, L2: yellow pen"/>
    <x:s v="yellow pen"/>
    <x:m/>
    <x:x v="3"/>
  </x:r>
  <x:r>
    <x:x v="1"/>
    <x:s v="Ordinal Reference Ordering"/>
    <x:n v="41"/>
    <x:s v="Count from the left; place item number 2 in the bowl."/>
    <x:s v="L1: green highlighter, L2: yellow pen"/>
    <x:s v="yellow pen"/>
    <x:s v="Picked green highlighter"/>
    <x:x v="3"/>
  </x:r>
  <x:r>
    <x:x v="0"/>
    <x:s v="Ordinal Reference Ordering"/>
    <x:n v="42"/>
    <x:s v="Move the yellow pen into the bowl."/>
    <x:s v="L1: green highlighter, L2: yellow pen"/>
    <x:s v="yellow pen"/>
    <x:m/>
    <x:x v="2"/>
  </x:r>
  <x:r>
    <x:x v="0"/>
    <x:s v="Ordinal Reference Ordering"/>
    <x:n v="43"/>
    <x:s v="Pick up the object that is second from the left and place it in the bowl."/>
    <x:s v="L1: green highlighter, L2: yellow pen"/>
    <x:s v="yellow pen"/>
    <x:m/>
    <x:x v="1"/>
  </x:r>
  <x:r>
    <x:x v="1"/>
    <x:s v="Ordinal Reference Ordering"/>
    <x:n v="44"/>
    <x:s v="Pick up the object that is third from the left and place it in the bowl."/>
    <x:s v="L1: yellow pen, L2: airplane toy with propellers, L3: green highlighter"/>
    <x:s v="green highlighter"/>
    <x:s v="Grabbed airplane toy"/>
    <x:x v="1"/>
  </x:r>
  <x:r>
    <x:x v="1"/>
    <x:s v="Ordinal Reference Ordering"/>
    <x:n v="45"/>
    <x:s v="Put the green highlighter in the bowl."/>
    <x:s v="L1: yellow pen, L2: airplane toy with propellers, L3: green highlighter"/>
    <x:s v="green highlighter"/>
    <x:s v="Went for green highlighter, but rotated wrist too much. Grasping failure. Went for correct object."/>
    <x:x v="2"/>
  </x:r>
  <x:r>
    <x:x v="1"/>
    <x:s v="Ordinal Reference Ordering"/>
    <x:n v="46"/>
    <x:s v="Put the item in the third position from the left into the bowl."/>
    <x:s v="L1: yellow pen, L2: airplane toy with propellers, L3: green highlighter"/>
    <x:s v="green highlighter"/>
    <x:s v="Grabbed airplane toy"/>
    <x:x v="3"/>
  </x:r>
  <x:r>
    <x:x v="1"/>
    <x:s v="Ordinal Reference Ordering"/>
    <x:n v="47"/>
    <x:s v="Move the row's green highlighter into the bowl."/>
    <x:s v="L1: yellow pen, L2: airplane toy with propellers, L3: green highlighter"/>
    <x:s v="green highlighter"/>
    <x:s v="Went for green highlighter, but rotated wrist too much. Grasping failure. Went for correct object."/>
    <x:x v="3"/>
  </x:r>
  <x:r>
    <x:x v="1"/>
    <x:s v="Ordinal Reference Ordering"/>
    <x:n v="48"/>
    <x:s v="Grasp the yellow pen, then release it inside the bowl."/>
    <x:s v="L1: yellow pen, L2: airplane toy with propellers, L3: green highlighter"/>
    <x:s v="yellow pen"/>
    <x:s v="Went for yellow pen and then couldn't grab it. Did weird wrist roll again."/>
    <x:x v="3"/>
  </x:r>
  <x:r>
    <x:x v="1"/>
    <x:s v="Ordinal Reference Ordering"/>
    <x:n v="49"/>
    <x:s v="Count from the left; place item number 1 in the bowl."/>
    <x:s v="L1: yellow pen, L2: airplane toy with propellers, L3: green highlighter"/>
    <x:s v="yellow pen"/>
    <x:s v="Grabbed green highlighter and did weird wrist roll"/>
    <x:x v="3"/>
  </x:r>
  <x:r>
    <x:x v="1"/>
    <x:s v="Ordinal Reference Ordering"/>
    <x:n v="50"/>
    <x:s v="Put the yellow pen in the bowl."/>
    <x:s v="L1: yellow pen, L2: airplane toy with propellers, L3: green highlighter"/>
    <x:s v="yellow pen"/>
    <x:s v="Doing weird wrist roll again. Went for yellow pen, but couldn't pick it up."/>
    <x:x v="2"/>
  </x:r>
  <x:r>
    <x:x v="0"/>
    <x:s v="Ordinal Reference Ordering"/>
    <x:n v="51"/>
    <x:s v="Pick up the object that is first from the left and place it in the bowl."/>
    <x:s v="L1: yellow pen, L2: airplane toy with propellers, L3: green highlighter"/>
    <x:s v="yellow pen"/>
    <x:s v="Got it great"/>
    <x:x v="1"/>
  </x:r>
  <x:r>
    <x:x v="0"/>
    <x:s v="Ordinal Reference Ordering"/>
    <x:n v="52"/>
    <x:s v="Pick up the object that is fourth from the right and place it in the bowl."/>
    <x:s v="L1: airplane toy with propellers, L2: blue tape ball, L3: yellow pen, L4: green highlighter"/>
    <x:s v="airplane toy with propellers"/>
    <x:m/>
    <x:x v="1"/>
  </x:r>
  <x:r>
    <x:x v="0"/>
    <x:s v="Ordinal Reference Ordering"/>
    <x:n v="53"/>
    <x:s v="Move the airplane toy with propellers into the bowl."/>
    <x:s v="L1: airplane toy with propellers, L2: blue tape ball, L3: yellow pen, L4: green highlighter"/>
    <x:s v="airplane toy with propellers"/>
    <x:m/>
    <x:x v="2"/>
  </x:r>
  <x:r>
    <x:x v="0"/>
    <x:s v="Ordinal Reference Ordering"/>
    <x:n v="54"/>
    <x:s v="Put the item in the fourth position from the right into the bowl."/>
    <x:s v="L1: airplane toy with propellers, L2: blue tape ball, L3: yellow pen, L4: green highlighter"/>
    <x:s v="airplane toy with propellers"/>
    <x:m/>
    <x:x v="3"/>
  </x:r>
  <x:r>
    <x:x v="0"/>
    <x:s v="Ordinal Reference Ordering"/>
    <x:n v="55"/>
    <x:s v="Move the row's airplane toy with propellers into the bowl."/>
    <x:s v="L1: airplane toy with propellers, L2: blue tape ball, L3: yellow pen, L4: green highlighter"/>
    <x:s v="airplane toy with propellers"/>
    <x:m/>
    <x:x v="3"/>
  </x:r>
  <x:r>
    <x:x v="0"/>
    <x:s v="Ordinal Reference Ordering"/>
    <x:n v="56"/>
    <x:s v="Take the blue tape ball from the row and set it inside the bowl."/>
    <x:s v="L1: airplane toy with propellers, L2: blue tape ball, L3: yellow pen, L4: green highlighter"/>
    <x:s v="blue tape ball"/>
    <x:m/>
    <x:x v="3"/>
  </x:r>
  <x:r>
    <x:x v="1"/>
    <x:s v="Ordinal Reference Ordering"/>
    <x:n v="57"/>
    <x:s v="Place the item occupying position second when counted from the left into the bowl."/>
    <x:s v="L1: airplane toy with propellers, L2: blue tape ball, L3: yellow pen, L4: green highlighter"/>
    <x:s v="blue tape ball"/>
    <x:s v="Got yellow pen"/>
    <x:x v="3"/>
  </x:r>
  <x:r>
    <x:x v="0"/>
    <x:s v="Ordinal Reference Ordering"/>
    <x:n v="58"/>
    <x:s v="Put the blue tape ball in the bowl."/>
    <x:s v="L1: airplane toy with propellers, L2: blue tape ball, L3: yellow pen, L4: green highlighter"/>
    <x:s v="blue tape ball"/>
    <x:m/>
    <x:x v="2"/>
  </x:r>
  <x:r>
    <x:x v="1"/>
    <x:s v="Ordinal Reference Ordering"/>
    <x:n v="59"/>
    <x:s v="Pick up the object that is second from the left and place it in the bowl."/>
    <x:s v="L1: airplane toy with propellers, L2: blue tape ball, L3: yellow pen, L4: green highlighter"/>
    <x:s v="blue tape ball"/>
    <x:s v="Went for the blue tape ball, knocked it out of the way, and then during recovery, got the airplane toy. Reasoning succeeed, but screwed up during recovery"/>
    <x:x v="1"/>
  </x:r>
  <x:r>
    <x:x v="0"/>
    <x:s v="Ordinal Reference Ordering"/>
    <x:n v="60"/>
    <x:s v="Pick up the object that is second from the left and place it in the bowl."/>
    <x:s v="L1: green highlighter, L2: blue tape ball"/>
    <x:s v="blue tape ball"/>
    <x:m/>
    <x:x v="1"/>
  </x:r>
  <x:r>
    <x:x v="0"/>
    <x:s v="Ordinal Reference Ordering"/>
    <x:n v="61"/>
    <x:s v="Pick up the blue tape ball and place it in the bowl."/>
    <x:s v="L1: green highlighter, L2: blue tape ball"/>
    <x:s v="blue tape ball"/>
    <x:m/>
    <x:x v="2"/>
  </x:r>
  <x:r>
    <x:x v="0"/>
    <x:s v="Ordinal Reference Ordering"/>
    <x:n v="62"/>
    <x:s v="Move the green highlighter into the bowl."/>
    <x:s v="L1: green highlighter, L2: blue tape ball"/>
    <x:s v="green highlighter"/>
    <x:m/>
    <x:x v="2"/>
  </x:r>
  <x:r>
    <x:x v="1"/>
    <x:s v="Ordinal Reference Ordering"/>
    <x:n v="63"/>
    <x:s v="Pick up the object that is second from the right and place it in the bowl."/>
    <x:s v="L1: green highlighter, L2: blue tape ball"/>
    <x:s v="green highlighter"/>
    <x:s v="picked blue tape ball"/>
    <x:x v="1"/>
  </x:r>
  <x:r>
    <x:x v="0"/>
    <x:s v="Ordinal Reference Ordering"/>
    <x:n v="64"/>
    <x:s v="Pick up the object that is first from the left and place it in the bowl."/>
    <x:s v="L1: yellow pen, L2: blue tape ball, L3: airplane toy with propellers"/>
    <x:s v="yellow pen"/>
    <x:m/>
    <x:x v="1"/>
  </x:r>
  <x:r>
    <x:x v="0"/>
    <x:s v="Ordinal Reference Ordering"/>
    <x:n v="65"/>
    <x:s v="Move the yellow pen into the bowl."/>
    <x:s v="L1: yellow pen, L2: blue tape ball, L3: airplane toy with propellers"/>
    <x:s v="yellow pen"/>
    <x:m/>
    <x:x v="2"/>
  </x:r>
  <x:r>
    <x:x v="0"/>
    <x:s v="Ordinal Reference Ordering"/>
    <x:n v="66"/>
    <x:s v="Move the airplane toy with propellers into the bowl."/>
    <x:s v="L1: yellow pen, L2: blue tape ball, L3: airplane toy with propellers"/>
    <x:s v="airplane toy with propellers"/>
    <x:m/>
    <x:x v="2"/>
  </x:r>
  <x:r>
    <x:x v="1"/>
    <x:s v="Ordinal Reference Ordering"/>
    <x:n v="67"/>
    <x:s v="Pick up the object that is third from the left and place it in the bowl."/>
    <x:s v="L1: yellow pen, L2: blue tape ball, L3: airplane toy with propellers"/>
    <x:s v="airplane toy with propellers"/>
    <x:s v="Picked blue tape ball"/>
    <x:x v="1"/>
  </x:r>
  <x:r>
    <x:x v="1"/>
    <x:s v="Ordinal Reference Ordering"/>
    <x:n v="68"/>
    <x:s v="Pick up the object that is fourth from the left and place it in the bowl."/>
    <x:s v="L1: blue tape ball, L2: airplane toy with propellers, L3: green highlighter, L4: yellow pen"/>
    <x:s v="yellow pen"/>
    <x:s v="picked airplane toy"/>
    <x:x v="1"/>
  </x:r>
  <x:r>
    <x:x v="0"/>
    <x:s v="Ordinal Reference Ordering"/>
    <x:n v="69"/>
    <x:s v="Pick up the yellow pen and place it in the bowl."/>
    <x:s v="L1: blue tape ball, L2: airplane toy with propellers, L3: green highlighter, L4: yellow pen"/>
    <x:s v="yellow pen"/>
    <x:m/>
    <x:x v="2"/>
  </x:r>
  <x:r>
    <x:x v="0"/>
    <x:s v="Ordinal Reference Ordering"/>
    <x:n v="70"/>
    <x:s v="Put the green highlighter in the bowl."/>
    <x:s v="L1: blue tape ball, L2: airplane toy with propellers, L3: green highlighter, L4: yellow pen"/>
    <x:s v="green highlighter"/>
    <x:m/>
    <x:x v="2"/>
  </x:r>
  <x:r>
    <x:x v="1"/>
    <x:s v="Ordinal Reference Ordering"/>
    <x:n v="71"/>
    <x:s v="Pick up the object that is third from the left and place it in the bowl."/>
    <x:s v="L1: blue tape ball, L2: airplane toy with propellers, L3: green highlighter, L4: yellow pen"/>
    <x:s v="green highlighter"/>
    <x:s v="Picked airplane toy"/>
    <x:x v="1"/>
  </x:r>
  <x:r>
    <x:x v="0"/>
    <x:s v="Ordinal Reference Ordering"/>
    <x:n v="72"/>
    <x:s v="Pick up the object that is second from the right and place it in the bowl."/>
    <x:s v="L1: airplane toy with propellers, L2: yellow pen"/>
    <x:s v="airplane toy with propellers"/>
    <x:m/>
    <x:x v="1"/>
  </x:r>
  <x:r>
    <x:x v="0"/>
    <x:s v="Ordinal Reference Ordering"/>
    <x:n v="73"/>
    <x:s v="Pick up the airplane toy with propellers and place it in the bowl."/>
    <x:s v="L1: airplane toy with propellers, L2: yellow pen"/>
    <x:s v="airplane toy with propellers"/>
    <x:m/>
    <x:x v="2"/>
  </x:r>
  <x:r>
    <x:x v="1"/>
    <x:s v="Ordinal Reference Ordering"/>
    <x:n v="74"/>
    <x:s v="Move the yellow pen into the bowl."/>
    <x:s v="L1: airplane toy with propellers, L2: yellow pen"/>
    <x:s v="yellow pen"/>
    <x:s v="Wrist rotated 90 degrees off. Clearly went for yellow pen, but couldn't get it. Reasoning success."/>
    <x:x v="2"/>
  </x:r>
  <x:r>
    <x:x v="0"/>
    <x:s v="Ordinal Reference Ordering"/>
    <x:n v="75"/>
    <x:s v="Pick up the object that is second from the left and place it in the bowl."/>
    <x:s v="L1: airplane toy with propellers, L2: yellow pen"/>
    <x:s v="yellow pen"/>
    <x:m/>
    <x:x v="1"/>
  </x:r>
  <x:r>
    <x:x v="1"/>
    <x:s v="Ordinal Reference Ordering"/>
    <x:n v="76"/>
    <x:s v="Pick up the object that is first from the right and place it in the bowl."/>
    <x:s v="L1: blue tape ball, L2: yellow pen, L3: green highlighter"/>
    <x:s v="green highlighter"/>
    <x:s v="picked yellow pen"/>
    <x:x v="1"/>
  </x:r>
  <x:r>
    <x:x v="0"/>
    <x:s v="Ordinal Reference Ordering"/>
    <x:n v="77"/>
    <x:s v="Put the green highlighter in the bowl."/>
    <x:s v="L1: blue tape ball, L2: yellow pen, L3: green highlighter"/>
    <x:s v="green highlighter"/>
    <x:m/>
    <x:x v="2"/>
  </x:r>
  <x:r>
    <x:x v="0"/>
    <x:s v="Ordinal Reference Ordering"/>
    <x:n v="78"/>
    <x:s v="Put the blue tape ball in the bowl."/>
    <x:s v="L1: blue tape ball, L2: yellow pen, L3: green highlighter"/>
    <x:s v="blue tape ball"/>
    <x:m/>
    <x:x v="2"/>
  </x:r>
  <x:r>
    <x:x v="0"/>
    <x:s v="Ordinal Reference Ordering"/>
    <x:n v="79"/>
    <x:s v="Pick up the object that is first from the left and place it in the bowl."/>
    <x:s v="L1: blue tape ball, L2: yellow pen, L3: green highlighter"/>
    <x:s v="blue tape ball"/>
    <x:m/>
    <x:x v="1"/>
  </x:r>
  <x:r>
    <x:x v="0"/>
    <x:s v="Ordinal Reference Ordering"/>
    <x:n v="80"/>
    <x:s v="Pick up the object that is second from the right and place it in the bowl."/>
    <x:s v="L1: airplane toy with propellers, L2: blue tape ball"/>
    <x:s v="airplane toy with propellers"/>
    <x:m/>
    <x:x v="1"/>
  </x:r>
  <x:r>
    <x:x v="1"/>
    <x:s v="Ordinal Reference Ordering"/>
    <x:n v="81"/>
    <x:s v="Pick up the object that is second from the left and place it in the bowl."/>
    <x:s v="L1: airplane toy with propellers, L2: blue tape ball"/>
    <x:s v="blue tape ball"/>
    <x:s v="Picked airplane toy"/>
    <x:x v="1"/>
  </x:r>
  <x:r>
    <x:x v="0"/>
    <x:s v="Ordinal Reference Ordering"/>
    <x:n v="82"/>
    <x:s v="Pick up the object that is first from the right and place it in the bowl."/>
    <x:s v="L1: blue tape ball, L2: yellow pen, L3: airplane toy with propellers"/>
    <x:s v="airplane toy with propellers"/>
    <x:m/>
    <x:x v="1"/>
  </x:r>
  <x:r>
    <x:x v="1"/>
    <x:s v="Ordinal Reference Ordering"/>
    <x:n v="83"/>
    <x:s v="Pick up the object that is first from the left and place it in the bowl."/>
    <x:s v="L1: blue tape ball, L2: yellow pen, L3: airplane toy with propellers"/>
    <x:s v="blue tape ball"/>
    <x:s v="Picked airplane toy"/>
    <x:x v="1"/>
  </x:r>
  <x:r>
    <x:x v="1"/>
    <x:s v="Ordinal Reference Ordering"/>
    <x:n v="84"/>
    <x:s v="Pick up the object that is fourth from the right and place it in the bowl."/>
    <x:s v="L1: airplane toy with propellers, L2: yellow pen, L3: green highlighter, L4: blue tape ball"/>
    <x:s v="airplane toy with propellers"/>
    <x:s v="Picked yellow pen"/>
    <x:x v="1"/>
  </x:r>
  <x:r>
    <x:x v="0"/>
    <x:s v="Ordinal Reference Ordering"/>
    <x:n v="85"/>
    <x:s v="Pick up the object that is third from the left and place it in the bowl."/>
    <x:s v="L1: airplane toy with propellers, L2: yellow pen, L3: green highlighter, L4: blue tape ball"/>
    <x:s v="green highlighter"/>
    <x:m/>
    <x:x v="1"/>
  </x:r>
  <x:r>
    <x:x v="0"/>
    <x:s v="Ordinal Reference Ordering"/>
    <x:n v="86"/>
    <x:s v="Pick up the object that is second from the left and place it in the bowl."/>
    <x:s v="L1: airplane toy with propellers, L2: yellow pen"/>
    <x:s v="yellow pen"/>
    <x:m/>
    <x:x v="1"/>
  </x:r>
  <x:r>
    <x:x v="0"/>
    <x:s v="Ordinal Reference Ordering"/>
    <x:n v="87"/>
    <x:s v="Pick up the object that is second from the right and place it in the bowl."/>
    <x:s v="L1: airplane toy with propellers, L2: yellow pen"/>
    <x:s v="airplane toy with propellers"/>
    <x:m/>
    <x:x v="1"/>
  </x:r>
  <x:r>
    <x:x v="0"/>
    <x:s v="Ordinal Reference Ordering"/>
    <x:n v="88"/>
    <x:s v="Pick up the object that is first from the left and place it in the bowl."/>
    <x:s v="L1: blue tape ball, L2: airplane toy with propellers, L3: green highlighter"/>
    <x:s v="blue tape ball"/>
    <x:m/>
    <x:x v="1"/>
  </x:r>
  <x:r>
    <x:x v="1"/>
    <x:s v="Ordinal Reference Ordering"/>
    <x:n v="89"/>
    <x:s v="Pick up the object that is first from the right and place it in the bowl."/>
    <x:s v="L1: blue tape ball, L2: airplane toy with propellers, L3: green highlighter"/>
    <x:s v="green highlighter"/>
    <x:s v="picked airplane toy"/>
    <x:x v="1"/>
  </x:r>
  <x:r>
    <x:x v="1"/>
    <x:s v="Ordinal Reference Ordering"/>
    <x:n v="90"/>
    <x:s v="Pick up the object that is fourth from the left and place it in the bowl."/>
    <x:s v="L1: green highlighter, L2: blue tape ball, L3: airplane toy with propellers, L4: yellow pen"/>
    <x:s v="yellow pen"/>
    <x:s v="tried to grab green highlighter, grabbed it from end, dropped it, and could not recovery. Failed reasoning ans grasping."/>
    <x:x v="1"/>
  </x:r>
  <x:r>
    <x:x v="0"/>
    <x:s v="Ordinal Reference Ordering"/>
    <x:n v="91"/>
    <x:s v="Pick up the object that is third from the right and place it in the bowl."/>
    <x:s v="L1: green highlighter, L2: blue tape ball, L3: airplane toy with propellers, L4: yellow pen"/>
    <x:s v="blue tape ball"/>
    <x:m/>
    <x:x v="1"/>
  </x:r>
  <x:r>
    <x:x v="1"/>
    <x:s v="Ordinal Reference Ordering"/>
    <x:n v="92"/>
    <x:s v="Pick up the object that is second from the right and place it in the bowl."/>
    <x:s v="L1: green highlighter, L2: blue tape ball"/>
    <x:s v="green highlighter"/>
    <x:s v="picked blue tape ball"/>
    <x:x v="1"/>
  </x:r>
  <x:r>
    <x:x v="0"/>
    <x:s v="Ordinal Reference Ordering"/>
    <x:n v="93"/>
    <x:s v="Pick up the object that is first from the right and place it in the bowl."/>
    <x:s v="L1: green highlighter, L2: blue tape ball"/>
    <x:s v="blue tape ball"/>
    <x:m/>
    <x:x v="1"/>
  </x:r>
  <x:r>
    <x:x v="0"/>
    <x:s v="Ordinal Reference Ordering"/>
    <x:n v="94"/>
    <x:s v="Pick up the object that is first from the right and place it in the bowl."/>
    <x:s v="L1: yellow pen, L2: green highlighter, L3: airplane toy with propellers"/>
    <x:s v="airplane toy with propellers"/>
    <x:m/>
    <x:x v="1"/>
  </x:r>
  <x:r>
    <x:x v="1"/>
    <x:s v="Ordinal Reference Ordering"/>
    <x:n v="95"/>
    <x:s v="Pick up the object that is third from the right and place it in the bowl."/>
    <x:s v="L1: yellow pen, L2: green highlighter, L3: airplane toy with propellers"/>
    <x:s v="yellow pen"/>
    <x:s v="Picked green highlighter"/>
    <x:x v="1"/>
  </x:r>
  <x:r>
    <x:x v="1"/>
    <x:s v="Ordinal Reference Ordering"/>
    <x:n v="96"/>
    <x:s v="Pick up the object that is fourth from the right and place it in the bowl."/>
    <x:s v="L1: airplane toy with propellers, L2: green highlighter, L3: blue tape ball, L4: yellow pen"/>
    <x:s v="airplane toy with propellers"/>
    <x:s v="picked green highlighter"/>
    <x:x v="1"/>
  </x:r>
  <x:r>
    <x:x v="1"/>
    <x:s v="Ordinal Reference Ordering"/>
    <x:n v="97"/>
    <x:s v="Pick up the object that is fourth from the left and place it in the bowl."/>
    <x:s v="L1: airplane toy with propellers, L2: green highlighter, L3: blue tape ball, L4: yellow pen"/>
    <x:s v="yellow pen"/>
    <x:s v="picked green highlighter"/>
    <x:x v="1"/>
  </x:r>
  <x:r>
    <x:x v="0"/>
    <x:s v="Ordinal Reference Ordering"/>
    <x:n v="98"/>
    <x:s v="Pick up the object that is first from the right and place it in the bowl."/>
    <x:s v="L1: green highlighter, L2: yellow pen"/>
    <x:s v="yellow pen"/>
    <x:m/>
    <x:x v="1"/>
  </x:r>
  <x:r>
    <x:x v="1"/>
    <x:s v="Ordinal Reference Ordering"/>
    <x:n v="99"/>
    <x:s v="Pick up the object that is second from the right and place it in the bowl."/>
    <x:s v="L1: green highlighter, L2: yellow pen"/>
    <x:s v="green highlighter"/>
    <x:s v="picked yellow pen"/>
    <x:x v="1"/>
  </x:r>
  <x:r>
    <x:x v="0"/>
    <x:s v="Ordinal Reference Ordering"/>
    <x:n v="100"/>
    <x:s v="Pick up the object that is third from the right and place it in the bowl."/>
    <x:s v="L1: yellow pen, L2: blue tape ball, L3: green highlighter"/>
    <x:s v="yellow pen"/>
    <x:m/>
    <x:x v="1"/>
  </x:r>
  <x:r>
    <x:x v="1"/>
    <x:s v="Ordinal Reference Ordering"/>
    <x:n v="101"/>
    <x:s v="Pick up the object that is first from the right and place it in the bowl."/>
    <x:s v="L1: yellow pen, L2: blue tape ball, L3: green highlighter"/>
    <x:s v="green highlighter"/>
    <x:s v="picked blue tape ball"/>
    <x:x v="1"/>
  </x:r>
  <x:r>
    <x:x v="1"/>
    <x:s v="Ordinal Reference Ordering"/>
    <x:n v="102"/>
    <x:s v="Pick up the object that is third from the left and place it in the bowl."/>
    <x:s v="L1: yellow pen, L2: blue tape ball, L3: green highlighter, L4: airplane toy with propellers"/>
    <x:s v="green highlighter"/>
    <x:s v="tried to pick airplane toy dropped it, and immediately picked up the blue tap ball, which was closest object to it."/>
    <x:x v="1"/>
  </x:r>
  <x:r>
    <x:x v="0"/>
    <x:s v="Ordinal Reference Ordering"/>
    <x:n v="103"/>
    <x:s v="Pick up the object that is third from the right and place it in the bowl."/>
    <x:s v="L1: yellow pen, L2: blue tape ball, L3: green highlighter, L4: airplane toy with propellers"/>
    <x:s v="blue tape ball"/>
    <x:m/>
    <x:x v="1"/>
  </x:r>
  <x:r>
    <x:x v="1"/>
    <x:s v="Ordinal Reference Ordering"/>
    <x:n v="104"/>
    <x:s v="Pick up the object that is fourth from the right and place it in the bowl."/>
    <x:s v="L1: airplane toy with propellers, L2: blue tape ball, L3: green highlighter, L4: yellow pen"/>
    <x:s v="airplane toy with propellers"/>
    <x:s v="picked green highlighter"/>
    <x:x v="1"/>
  </x:r>
  <x:r>
    <x:x v="0"/>
    <x:s v="Ordinal Reference Ordering"/>
    <x:n v="105"/>
    <x:s v="Pick up the object that is third from the right and place it in the bowl."/>
    <x:s v="L1: airplane toy with propellers, L2: blue tape ball, L3: green highlighter, L4: yellow pen"/>
    <x:s v="blue tape ball"/>
    <x:m/>
    <x:x v="1"/>
  </x:r>
  <x:r>
    <x:x v="0"/>
    <x:s v="Ordinal Reference Ordering"/>
    <x:n v="106"/>
    <x:s v="Pick up the object that is third from the left and place it in the bowl."/>
    <x:s v="L1: airplane toy with propellers, L2: blue tape ball, L3: green highlighter, L4: yellow pen"/>
    <x:s v="green highlighter"/>
    <x:m/>
    <x:x v="1"/>
  </x:r>
  <x:r>
    <x:x v="0"/>
    <x:s v="Ordinal Reference Ordering"/>
    <x:n v="107"/>
    <x:s v="Pick up the object that is fourth from the right and place it in the bowl."/>
    <x:s v="L1: airplane toy with propellers, L2: blue tape ball, L3: green highlighter, L4: yellow pen"/>
    <x:s v="airplane toy with propellers"/>
    <x:m/>
    <x:x v="1"/>
  </x:r>
  <x:r>
    <x:x v="1"/>
    <x:s v="Ordinal Reference Ordering"/>
    <x:n v="108"/>
    <x:s v="Pick up the object that is third from the right and place it in the bowl."/>
    <x:s v="L1: airplane toy with propellers, L2: blue tape ball, L3: green highlighter, L4: yellow pen"/>
    <x:s v="blue tape ball"/>
    <x:s v="bumped blue tape ball and during recovery, picked airplane toy"/>
    <x:x v="1"/>
  </x:r>
  <x:r>
    <x:x v="1"/>
    <x:s v="Ordinal Reference Ordering"/>
    <x:n v="109"/>
    <x:s v="Pick up the object that is fourth from the left and place it in the bowl."/>
    <x:s v="L1: airplane toy with propellers, L2: blue tape ball, L3: green highlighter, L4: yellow pen"/>
    <x:s v="yellow pen"/>
    <x:s v="Did weird wrist roll thing again, but picked the green highlighter and not the yellow pen."/>
    <x:x v="1"/>
  </x:r>
  <x:r>
    <x:x v="1"/>
    <x:s v="Ordinal Reference Ordering"/>
    <x:n v="110"/>
    <x:s v="Pick up the object that is first from the left and place it in the bowl."/>
    <x:s v="L1: red block, L2: airplane toy with propellers"/>
    <x:s v="red block"/>
    <x:s v="picked airplane toy."/>
    <x:x v="8"/>
  </x:r>
  <x:r>
    <x:x v="0"/>
    <x:s v="Ordinal Reference Ordering"/>
    <x:n v="111"/>
    <x:s v="Pick up the object that is second from the left and place it in the bowl."/>
    <x:s v="L1: red block, L2: airplane toy with propellers"/>
    <x:s v="airplane toy with propellers"/>
    <x:m/>
    <x:x v="9"/>
  </x:r>
  <x:r>
    <x:x v="1"/>
    <x:s v="Ordinal Reference Ordering"/>
    <x:n v="112"/>
    <x:s v="Pick up the object that is second from the right and place it in the bowl."/>
    <x:s v="L1: blue tape ball, L2: red block"/>
    <x:s v="blue tape ball"/>
    <x:s v="picked red block"/>
    <x:x v="9"/>
  </x:r>
  <x:r>
    <x:x v="0"/>
    <x:s v="Ordinal Reference Ordering"/>
    <x:n v="113"/>
    <x:s v="Pick up the object that is first from the right and place it in the bowl."/>
    <x:s v="L1: blue tape ball, L2: red block"/>
    <x:s v="red block"/>
    <x:m/>
    <x:x v="8"/>
  </x:r>
  <x:r>
    <x:x v="1"/>
    <x:s v="Ordinal Reference Ordering"/>
    <x:n v="114"/>
    <x:s v="Pick up the object that is third from the right and place it in the bowl."/>
    <x:s v="L1: red block, L2: green highlighter, L3: blue tape ball"/>
    <x:s v="red block"/>
    <x:s v="picked green highlighter"/>
    <x:x v="8"/>
  </x:r>
  <x:r>
    <x:x v="0"/>
    <x:s v="Ordinal Reference Ordering"/>
    <x:n v="115"/>
    <x:s v="Pick up the object that is first from the right and place it in the bowl."/>
    <x:s v="L1: red block, L2: green highlighter, L3: blue tape ball"/>
    <x:s v="blue tape ball"/>
    <x:m/>
    <x:x v="9"/>
  </x:r>
  <x:r>
    <x:x v="1"/>
    <x:s v="Ordinal Reference Ordering"/>
    <x:n v="116"/>
    <x:s v="Pick up the object that is third from the right and place it in the bowl."/>
    <x:s v="L1: airplane toy with propellers, L2: yellow pen, L3: red block"/>
    <x:s v="airplane toy with propellers"/>
    <x:s v="picked yellow pen"/>
    <x:x v="9"/>
  </x:r>
  <x:r>
    <x:x v="0"/>
    <x:s v="Ordinal Reference Ordering"/>
    <x:n v="117"/>
    <x:s v="Pick up the object that is third from the left and place it in the bowl."/>
    <x:s v="L1: airplane toy with propellers, L2: yellow pen, L3: red block"/>
    <x:s v="red block"/>
    <x:m/>
    <x:x v="8"/>
  </x:r>
  <x:r>
    <x:x v="0"/>
    <x:s v="Ordinal Reference Ordering"/>
    <x:n v="118"/>
    <x:s v="Pick up the object that is first from the left and place it in the bowl."/>
    <x:s v="L1: red block, L2: green highlighter, L3: yellow pen, L4: blue tape ball"/>
    <x:s v="red block"/>
    <x:m/>
    <x:x v="8"/>
  </x:r>
  <x:r>
    <x:x v="0"/>
    <x:s v="Ordinal Reference Ordering"/>
    <x:n v="119"/>
    <x:s v="Pick up the object that is third from the right and place it in the bowl."/>
    <x:s v="L1: red block, L2: green highlighter, L3: yellow pen, L4: blue tape ball"/>
    <x:s v="green highlighter"/>
    <x:m/>
    <x:x v="9"/>
  </x:r>
  <x:r>
    <x:x v="0"/>
    <x:s v="Ordinal Reference Ordering"/>
    <x:n v="120"/>
    <x:s v="Pick up the object that is third from the left and place it in the bowl."/>
    <x:s v="L1: yellow pen, L2: red block, L3: airplane toy with propellers, L4: blue tape ball"/>
    <x:s v="airplane toy with propellers"/>
    <x:m/>
    <x:x v="9"/>
  </x:r>
  <x:r>
    <x:x v="0"/>
    <x:s v="Ordinal Reference Ordering"/>
    <x:n v="121"/>
    <x:s v="Pick up the object that is third from the right and place it in the bowl."/>
    <x:s v="L1: yellow pen, L2: red block, L3: airplane toy with propellers, L4: blue tape ball"/>
    <x:s v="red block"/>
    <x:m/>
    <x:x v="8"/>
  </x:r>
  <x:r>
    <x:x v="0"/>
    <x:s v="Ordinal Reference Ordering"/>
    <x:n v="122"/>
    <x:s v="Pick up the object that is second from the left and place it in the bowl."/>
    <x:s v="L1: yellow pen, L2: red block, L3: green highlighter, L4: blue tape ball"/>
    <x:s v="red block"/>
    <x:m/>
    <x:x v="8"/>
  </x:r>
  <x:r>
    <x:x v="1"/>
    <x:s v="Ordinal Reference Ordering"/>
    <x:n v="123"/>
    <x:s v="Pick up the object that is first from the right and place it in the bowl."/>
    <x:s v="L1: yellow pen, L2: red block, L3: green highlighter, L4: blue tape ball"/>
    <x:s v="blue tape ball"/>
    <x:s v="picked red block"/>
    <x:x v="9"/>
  </x:r>
  <x:r>
    <x:x v="1"/>
    <x:s v="Ordinal Reference Ordering"/>
    <x:n v="124"/>
    <x:s v="Pick up the object that is second from the left and place it in the bowl."/>
    <x:s v="L1: airplane toy with propellers, L2: yellow pen, L3: red block, L4: blue tape ball"/>
    <x:s v="yellow pen"/>
    <x:s v="picked red block"/>
    <x:x v="9"/>
  </x:r>
  <x:r>
    <x:x v="0"/>
    <x:s v="Ordinal Reference Ordering"/>
    <x:n v="125"/>
    <x:s v="Pick up the object that is second from the right and place it in the bowl."/>
    <x:s v="L1: airplane toy with propellers, L2: yellow pen, L3: red block, L4: blue tape ball"/>
    <x:s v="red block"/>
    <x:m/>
    <x:x v="8"/>
  </x:r>
  <x:r>
    <x:x v="1"/>
    <x:s v="Ordinal Reference Ordering"/>
    <x:n v="126"/>
    <x:s v="Pick up the object that is first from the right and place it in the bowl."/>
    <x:s v="L1: airplane toy with propellers, L2: green highlighter, L3: blue tape ball, L4: red block"/>
    <x:s v="red block"/>
    <x:s v="Picked blue tape ball"/>
    <x:x v="8"/>
  </x:r>
  <x:r>
    <x:x v="1"/>
    <x:s v="Ordinal Reference Ordering"/>
    <x:n v="127"/>
    <x:s v="Pick up the object that is second from the left and place it in the bowl."/>
    <x:s v="L1: airplane toy with propellers, L2: green highlighter, L3: blue tape ball, L4: red block"/>
    <x:s v="green highlighter"/>
    <x:s v="Picked blue tape ball"/>
    <x:x v="9"/>
  </x:r>
  <x:r>
    <x:x v="1"/>
    <x:s v="Ordinal Reference Ordering"/>
    <x:n v="128"/>
    <x:s v="Pick up the object that is third from the left and place it in the bowl."/>
    <x:s v="L1: blue tape ball, L2: airplane toy with propellers, L3: yellow pen, L4: red block"/>
    <x:s v="yellow pen"/>
    <x:s v="picked red block"/>
    <x:x v="9"/>
  </x:r>
  <x:r>
    <x:x v="1"/>
    <x:s v="Ordinal Reference Ordering"/>
    <x:n v="129"/>
    <x:s v="Pick up the object that is fourth from the left and place it in the bowl."/>
    <x:s v="L1: blue tape ball, L2: airplane toy with propellers, L3: yellow pen, L4: red block"/>
    <x:s v="red block"/>
    <x:s v="picked airplane toy"/>
    <x:x v="8"/>
  </x:r>
  <x:r>
    <x:x v="1"/>
    <x:s v="Ordinal Reference Ordering"/>
    <x:n v="130"/>
    <x:s v="Pick up the object that is fourth from the left and place it in the bowl."/>
    <x:s v="L1: airplane toy with propellers, L2: blue tape ball, L3: green highlighter"/>
    <x:s v="None — requested ordinal does not exist"/>
    <x:s v="Picked blue tape ball"/>
    <x:x v="10"/>
  </x:r>
  <x:r>
    <x:x v="1"/>
    <x:s v="Ordinal Reference Ordering"/>
    <x:n v="131"/>
    <x:s v="Pick up the object that is fourth from the right and place it in the bowl."/>
    <x:s v="L1: airplane toy with propellers, L2: blue tape ball, L3: green highlighter"/>
    <x:s v="None — requested ordinal does not exist"/>
    <x:s v="Picked blue tape ball"/>
    <x:x v="10"/>
  </x:r>
  <x:r>
    <x:x v="1"/>
    <x:s v="Ordinal Reference Ordering"/>
    <x:n v="132"/>
    <x:s v="Pick up the object that is fourth from the right and place it in the bowl."/>
    <x:s v="L1: yellow pen, L2: green highlighter, L3: blue tape ball"/>
    <x:s v="None — requested ordinal does not exist"/>
    <x:s v="Picked blue tape ball"/>
    <x:x v="10"/>
  </x:r>
  <x:r>
    <x:x v="1"/>
    <x:s v="Ordinal Reference Ordering"/>
    <x:n v="133"/>
    <x:s v="Pick up the object that is fourth from the left and place it in the bowl."/>
    <x:s v="L1: yellow pen, L2: green highlighter, L3: blue tape ball"/>
    <x:s v="None — requested ordinal does not exist"/>
    <x:s v="Picked blue tape ball"/>
    <x:x v="10"/>
  </x:r>
  <x:r>
    <x:x v="1"/>
    <x:s v="Ordinal Reference Ordering"/>
    <x:n v="134"/>
    <x:s v="Pick up the object that is fourth from the left and place it in the bowl."/>
    <x:s v="L1: blue tape ball, L2: airplane toy with propellers, L3: yellow pen"/>
    <x:s v="None — requested ordinal does not exist"/>
    <x:s v="picked up airplane toy"/>
    <x:x v="10"/>
  </x:r>
  <x:r>
    <x:x v="1"/>
    <x:s v="Ordinal Reference Ordering"/>
    <x:n v="135"/>
    <x:s v="Pick up the object that is fourth from the right and place it in the bowl."/>
    <x:s v="L1: blue tape ball, L2: airplane toy with propellers, L3: yellow pen"/>
    <x:s v="None — requested ordinal does not exist"/>
    <x:s v="picked airplane toy, dropped it, and during recovery picked up the blue tape ball"/>
    <x:x v="10"/>
  </x:r>
  <x:r>
    <x:x v="1"/>
    <x:s v="Ordinal Reference Ordering"/>
    <x:n v="136"/>
    <x:s v="Pick up the object that is fourth from the right and place it in the bowl."/>
    <x:s v="L1: green highlighter, L2: yellow pen, L3: airplane toy with propellers"/>
    <x:s v="None — requested ordinal does not exist"/>
    <x:s v="picked green highlighter"/>
    <x:x v="10"/>
  </x:r>
  <x:r>
    <x:x v="1"/>
    <x:s v="Ordinal Reference Ordering"/>
    <x:n v="137"/>
    <x:s v="Pick up the object that is fourth from the left and place it in the bowl."/>
    <x:s v="L1: green highlighter, L2: yellow pen, L3: airplane toy with propellers"/>
    <x:s v="None — requested ordinal does not exist"/>
    <x:s v="picked green highlighter"/>
    <x:x v="10"/>
  </x:r>
  <x:r>
    <x:x v="1"/>
    <x:s v="Ordinal Reference Ordering"/>
    <x:n v="138"/>
    <x:s v="Pick up the object that is fourth from the left and place it in the bowl."/>
    <x:s v="L1: airplane toy with propellers, L2: yellow pen, L3: blue tape ball"/>
    <x:s v="None — requested ordinal does not exist"/>
    <x:s v="picked blue tape ball"/>
    <x:x v="10"/>
  </x:r>
  <x:r>
    <x:x v="1"/>
    <x:s v="Ordinal Reference Ordering"/>
    <x:n v="139"/>
    <x:s v="Pick up the object that is fourth from the right and place it in the bowl."/>
    <x:s v="L1: airplane toy with propellers, L2: yellow pen, L3: blue tape ball"/>
    <x:s v="None — requested ordinal does not exist"/>
    <x:s v="picked blue tape ball"/>
    <x:x v="10"/>
  </x:r>
  <x:r>
    <x:x v="1"/>
    <x:s v="Ordinal Reference Ordering"/>
    <x:n v="140"/>
    <x:s v="Pick up the object that is third from the right and place it in the bowl."/>
    <x:s v="L1: airplane toy with propellers, L2: blue tape ball"/>
    <x:s v="None — requested ordinal does not exist"/>
    <x:s v="picked airplane toy"/>
    <x:x v="10"/>
  </x:r>
  <x:r>
    <x:x v="1"/>
    <x:s v="Ordinal Reference Ordering"/>
    <x:n v="141"/>
    <x:s v="Pick up the object that is third from the left and place it in the bowl."/>
    <x:s v="L1: airplane toy with propellers, L2: blue tape ball"/>
    <x:s v="None — requested ordinal does not exist"/>
    <x:s v="picked airplane toy"/>
    <x:x v="10"/>
  </x:r>
  <x:r>
    <x:x v="1"/>
    <x:s v="Ordinal Reference Ordering"/>
    <x:n v="142"/>
    <x:s v="Pick up the object that is third from the left and place it in the bowl."/>
    <x:s v="L1: green highlighter, L2: yellow pen"/>
    <x:s v="None — requested ordinal does not exist"/>
    <x:s v="picked yellow pen"/>
    <x:x v="10"/>
  </x:r>
  <x:r>
    <x:x v="1"/>
    <x:s v="Ordinal Reference Ordering"/>
    <x:n v="143"/>
    <x:s v="Pick up the object that is third from the right and place it in the bowl."/>
    <x:s v="L1: green highlighter, L2: yellow pen"/>
    <x:s v="None — requested ordinal does not exist"/>
    <x:s v="picked yellow pen"/>
    <x:x v="10"/>
  </x:r>
  <x:r>
    <x:x v="1"/>
    <x:s v="Ordinal Reference Ordering"/>
    <x:n v="144"/>
    <x:s v="Pick up the object that is third from the right and place it in the bowl."/>
    <x:s v="L1: blue tape ball, L2: green highlighter"/>
    <x:s v="None — requested ordinal does not exist"/>
    <x:s v="picked green highlighter"/>
    <x:x v="10"/>
  </x:r>
  <x:r>
    <x:x v="1"/>
    <x:s v="Ordinal Reference Ordering"/>
    <x:n v="145"/>
    <x:s v="Pick up the object that is third from the left and place it in the bowl."/>
    <x:s v="L1: blue tape ball, L2: green highlighter"/>
    <x:s v="None — requested ordinal does not exist"/>
    <x:s v="picked green highlighter"/>
    <x:x v="10"/>
  </x:r>
  <x:r>
    <x:x v="1"/>
    <x:s v="Ordinal Reference Ordering"/>
    <x:n v="146"/>
    <x:s v="Pick up the object that is third from the left and place it in the bowl."/>
    <x:s v="L1: yellow pen, L2: airplane toy with propellers"/>
    <x:s v="None — requested ordinal does not exist"/>
    <x:s v="picked airplane toy"/>
    <x:x v="10"/>
  </x:r>
  <x:r>
    <x:x v="1"/>
    <x:s v="Ordinal Reference Ordering"/>
    <x:n v="147"/>
    <x:s v="Pick up the object that is third from the right and place it in the bowl."/>
    <x:s v="L1: yellow pen, L2: airplane toy with propellers"/>
    <x:s v="None — requested ordinal does not exist"/>
    <x:s v="picked airplane toy"/>
    <x:x v="10"/>
  </x:r>
  <x:r>
    <x:x v="1"/>
    <x:s v="Ordinal Reference Ordering"/>
    <x:n v="148"/>
    <x:s v="Pick up the object that is third from the right and place it in the bowl."/>
    <x:s v="L1: airplane toy with propellers, L2: green highlighter"/>
    <x:s v="None — requested ordinal does not exist"/>
    <x:s v="picked airplane toy"/>
    <x:x v="10"/>
  </x:r>
  <x:r>
    <x:x v="1"/>
    <x:s v="Ordinal Reference Ordering"/>
    <x:n v="149"/>
    <x:s v="Pick up the object that is third from the left and place it in the bowl."/>
    <x:s v="L1: airplane toy with propellers, L2: green highlighter"/>
    <x:s v="None — requested ordinal does not exist"/>
    <x:s v="picked airplane toy"/>
    <x:x v="10"/>
  </x:r>
  <x:r>
    <x:x v="0"/>
    <x:s v="Relational Placement"/>
    <x:n v="0"/>
    <x:s v="Move the green pen to the front of the pink marker."/>
    <x:s v="green pen, pink marker, red block"/>
    <x:s v="green pen → 2–8 cm edge gap in front of pink marker; centroid direction within ±45°."/>
    <x:m/>
    <x:x v="0"/>
  </x:r>
  <x:r>
    <x:x v="0"/>
    <x:s v="Relational Placement"/>
    <x:n v="1"/>
    <x:s v="Move the green pen to the back of the pink marker."/>
    <x:s v="green pen, pink marker, red block"/>
    <x:s v="green pen → 2–8 cm edge gap behind pink marker; centroid direction within ±45°."/>
    <x:m/>
    <x:x v="0"/>
  </x:r>
  <x:r>
    <x:x v="0"/>
    <x:s v="Relational Placement"/>
    <x:n v="2"/>
    <x:s v="Move the pink marker to the front of the green pen."/>
    <x:s v="green pen, pink marker, red block"/>
    <x:s v="pink marker → 2–8 cm edge gap in front of green pen; centroid direction within ±45°."/>
    <x:m/>
    <x:x v="0"/>
  </x:r>
  <x:r>
    <x:x v="0"/>
    <x:s v="Relational Placement"/>
    <x:n v="3"/>
    <x:s v="Move the pink marker to the back of the green pen."/>
    <x:s v="green pen, pink marker, red block"/>
    <x:s v="pink marker → 2–8 cm edge gap behind green pen; centroid direction within ±45°."/>
    <x:m/>
    <x:x v="0"/>
  </x:r>
  <x:r>
    <x:x v="1"/>
    <x:s v="Relational Placement"/>
    <x:n v="4"/>
    <x:s v="Move the green pen to the front of the blue block."/>
    <x:s v="green pen, blue block, pink marker, red block"/>
    <x:s v="green pen → 2–8 cm edge gap in front of blue block; centroid direction within ±45°."/>
    <x:s v="did like left front, but mostly left."/>
    <x:x v="0"/>
  </x:r>
  <x:r>
    <x:x v="0"/>
    <x:s v="Relational Placement"/>
    <x:n v="5"/>
    <x:s v="Move the green pen to the back of the blue block."/>
    <x:s v="green pen, blue block, pink marker, red block"/>
    <x:s v="green pen → 2–8 cm edge gap behind blue block; centroid direction within ±45°."/>
    <x:m/>
    <x:x v="0"/>
  </x:r>
  <x:r>
    <x:x v="1"/>
    <x:s v="Relational Placement"/>
    <x:n v="6"/>
    <x:s v="Put the blue block on the table in front of the green pen."/>
    <x:s v="green pen, blue block, pink marker, red block"/>
    <x:s v="blue block → 2–8 cm edge gap in front of green pen; centroid direction within ±45°."/>
    <x:s v="looked like it was going for front, but knocked the pen and dropped it such that it landed in the back."/>
    <x:x v="0"/>
  </x:r>
  <x:r>
    <x:x v="1"/>
    <x:s v="Relational Placement"/>
    <x:n v="7"/>
    <x:s v="Put the blue block on the table behind the green pen."/>
    <x:s v="green pen, blue block, pink marker, red block"/>
    <x:s v="blue block → 2–8 cm edge gap behind green pen; centroid direction within ±45°."/>
    <x:s v="dropped the blue block to a position out of range. Went home and stayed still."/>
    <x:x v="0"/>
  </x:r>
  <x:r>
    <x:x v="1"/>
    <x:s v="Relational Placement"/>
    <x:n v="8"/>
    <x:s v="Place the red block to the left of the pink marker."/>
    <x:s v="red block, pink marker, blue block"/>
    <x:s v="red block → 2–8 cm edge gap to the left of pink marker; centroid direction within ±45°."/>
    <x:s v="placed on top and rolled to the right side"/>
    <x:x v="0"/>
  </x:r>
  <x:r>
    <x:x v="0"/>
    <x:s v="Relational Placement"/>
    <x:n v="9"/>
    <x:s v="Place the red block to the right of the pink marker."/>
    <x:s v="red block, pink marker, blue block"/>
    <x:s v="red block → 2–8 cm edge gap to the right of pink marker; centroid direction within ±45°."/>
    <x:s v="put the block on the pen and pen spun around but block ended up in right position."/>
    <x:x v="0"/>
  </x:r>
  <x:r>
    <x:x v="0"/>
    <x:s v="Relational Placement"/>
    <x:n v="10"/>
    <x:s v="Place the pink marker to the left of the red block."/>
    <x:s v="red block, pink marker, blue block"/>
    <x:s v="pink marker → 2–8 cm edge gap to the left of red block; centroid direction within ±45°."/>
    <x:m/>
    <x:x v="0"/>
  </x:r>
  <x:r>
    <x:x v="0"/>
    <x:s v="Relational Placement"/>
    <x:n v="11"/>
    <x:s v="Place the pink marker to the right of the red block."/>
    <x:s v="red block, pink marker, blue block"/>
    <x:s v="pink marker → 2–8 cm edge gap to the right of red block; centroid direction within ±45°."/>
    <x:s v="tried to pick the pink pen, but couldn't and it got thrown to the right of the red block. Technically ended up correct, but lowkey questionable if this should count"/>
    <x:x v="0"/>
  </x:r>
  <x:r>
    <x:x v="0"/>
    <x:s v="Relational Placement"/>
    <x:n v="12"/>
    <x:s v="Place the red block to the left of the blue block."/>
    <x:s v="red block, blue block, green pen, pink marker"/>
    <x:s v="red block → 2–8 cm edge gap to the left of blue block; centroid direction within ±45°."/>
    <x:s v="knocked blue block when it was placed red block down. Caused it to move, but ended up in right place."/>
    <x:x v="0"/>
  </x:r>
  <x:r>
    <x:x v="0"/>
    <x:s v="Relational Placement"/>
    <x:n v="13"/>
    <x:s v="Place the red block to the right of the blue block."/>
    <x:s v="red block, blue block, green pen, pink marker"/>
    <x:s v="red block → 2–8 cm edge gap to the right of blue block; centroid direction within ±45°."/>
    <x:m/>
    <x:x v="0"/>
  </x:r>
  <x:r>
    <x:x v="0"/>
    <x:s v="Relational Placement"/>
    <x:n v="14"/>
    <x:s v="Place the blue block to the left of the red block."/>
    <x:s v="red block, blue block, green pen, pink marker"/>
    <x:s v="blue block → 2–8 cm edge gap to the left of red block; centroid direction within ±45°."/>
    <x:m/>
    <x:x v="0"/>
  </x:r>
  <x:r>
    <x:x v="0"/>
    <x:s v="Relational Placement"/>
    <x:n v="15"/>
    <x:s v="Place the blue block to the right of the red block."/>
    <x:s v="red block, blue block, green pen, pink marker"/>
    <x:s v="blue block → 2–8 cm edge gap to the right of red block; centroid direction within ±45°."/>
    <x:m/>
    <x:x v="0"/>
  </x:r>
  <x:r>
    <x:x v="0"/>
    <x:s v="Relational Placement"/>
    <x:n v="16"/>
    <x:s v="Place the green pen to the left of the pink marker."/>
    <x:s v="green pen, pink marker, red block, blue block"/>
    <x:s v="green pen → 2–8 cm edge gap to the left of pink marker; centroid direction within ±45°."/>
    <x:s v="seemed like it couldn't decided whether to put on the left or the right. Ultimately put it on the left."/>
    <x:x v="0"/>
  </x:r>
  <x:r>
    <x:x v="0"/>
    <x:s v="Relational Placement"/>
    <x:n v="17"/>
    <x:s v="Place the pink marker to the right of the green pen."/>
    <x:s v="green pen, pink marker, red block, blue block"/>
    <x:s v="pink marker → 2–8 cm edge gap to the right of green pen; centroid direction within ±45°."/>
    <x:m/>
    <x:x v="0"/>
  </x:r>
  <x:r>
    <x:x v="0"/>
    <x:s v="Relational Placement"/>
    <x:n v="18"/>
    <x:s v="Move the red block to the front of the blue block."/>
    <x:s v="green pen, pink marker, red block, blue block"/>
    <x:s v="red block → 2–8 cm edge gap in front of blue block; centroid direction within ±45°."/>
    <x:m/>
    <x:x v="0"/>
  </x:r>
  <x:r>
    <x:x v="0"/>
    <x:s v="Relational Placement"/>
    <x:n v="19"/>
    <x:s v="Place the blue block behind the red block."/>
    <x:s v="green pen, pink marker, red block, blue block"/>
    <x:s v="blue block → 2–8 cm edge gap behind red block; centroid direction within ±45°."/>
    <x:s v="behind and to the right. kind of iffy, but I'll count it"/>
    <x:x v="0"/>
  </x:r>
  <x:r>
    <x:x v="0"/>
    <x:s v="Relational Placement"/>
    <x:n v="20"/>
    <x:s v="Place the green pen in front of the red block."/>
    <x:s v="green pen, red block, pink marker"/>
    <x:s v="green pen → 2–8 cm edge gap in front of red block; centroid direction within ±45°."/>
    <x:m/>
    <x:x v="1"/>
  </x:r>
  <x:r>
    <x:x v="1"/>
    <x:s v="Relational Placement"/>
    <x:n v="21"/>
    <x:s v="Place the green pen behind the red block."/>
    <x:s v="green pen, red block, pink marker"/>
    <x:s v="green pen → 2–8 cm edge gap behind red block; centroid direction within ±45°."/>
    <x:s v="placed more to the left and behind. mostly left so fail"/>
    <x:x v="1"/>
  </x:r>
  <x:r>
    <x:x v="0"/>
    <x:s v="Relational Placement"/>
    <x:n v="22"/>
    <x:s v="Place the red block in front of the green pen."/>
    <x:s v="green pen, red block, pink marker"/>
    <x:s v="red block → 2–8 cm edge gap in front of green pen; centroid direction within ±45°."/>
    <x:s v="right and in front, but I think it counts"/>
    <x:x v="1"/>
  </x:r>
  <x:r>
    <x:x v="1"/>
    <x:s v="Relational Placement"/>
    <x:n v="23"/>
    <x:s v="Place the red block behind the green pen."/>
    <x:s v="green pen, red block, pink marker"/>
    <x:s v="red block → 2–8 cm edge gap behind green pen; centroid direction within ±45°."/>
    <x:s v="had it in the correct spot originally but then kept grasping and releasing the block. The block eventually flung way back out of reach and robot couldn't recover. technically behind, but really far behind."/>
    <x:x v="1"/>
  </x:r>
  <x:r>
    <x:x v="1"/>
    <x:s v="Relational Placement"/>
    <x:n v="24"/>
    <x:s v="Place the green pen in front of the red block."/>
    <x:s v="green pen, red block, blue block, pink marker"/>
    <x:s v="green pen → 2–8 cm edge gap in front of red block; centroid direction within ±45°."/>
    <x:s v="placed to the right. Also did the back and forth left right thing."/>
    <x:x v="1"/>
  </x:r>
  <x:r>
    <x:x v="1"/>
    <x:s v="Relational Placement"/>
    <x:n v="25"/>
    <x:s v="Place the green pen behind the red block."/>
    <x:s v="green pen, red block, blue block, pink marker"/>
    <x:s v="green pen → 2–8 cm edge gap behind red block; centroid direction within ±45°."/>
    <x:s v="failed to grasp the green pen and during recovery grabbed the blue block. started going back and forth and couldn't recover by putting the block down."/>
    <x:x v="1"/>
  </x:r>
  <x:r>
    <x:x v="0"/>
    <x:s v="Relational Placement"/>
    <x:n v="26"/>
    <x:s v="Place the red block in front of the green pen."/>
    <x:s v="green pen, red block, blue block, pink marker"/>
    <x:s v="red block → 2–8 cm edge gap in front of green pen; centroid direction within ±45°."/>
    <x:m/>
    <x:x v="1"/>
  </x:r>
  <x:r>
    <x:x v="0"/>
    <x:s v="Relational Placement"/>
    <x:n v="27"/>
    <x:s v="Place the red block behind the green pen."/>
    <x:s v="green pen, red block, blue block, pink marker"/>
    <x:s v="red block → 2–8 cm edge gap behind green pen; centroid direction within ±45°."/>
    <x:m/>
    <x:x v="1"/>
  </x:r>
  <x:r>
    <x:x v="0"/>
    <x:s v="Relational Placement"/>
    <x:n v="28"/>
    <x:s v="Place the green pen in front of the red block."/>
    <x:s v="green pen, red block, pink marker"/>
    <x:s v="green pen → 2–8 cm edge gap in front of red block; centroid direction within ±45°."/>
    <x:m/>
    <x:x v="1"/>
  </x:r>
  <x:r>
    <x:x v="1"/>
    <x:s v="Relational Placement"/>
    <x:n v="29"/>
    <x:s v="Place the green pen behind the red block."/>
    <x:s v="green pen, red block, pink marker"/>
    <x:s v="green pen → 2–8 cm edge gap behind red block; centroid direction within ±45°."/>
    <x:s v="placed in front again."/>
    <x:x v="1"/>
  </x:r>
  <x:r>
    <x:x v="0"/>
    <x:s v="Relational Placement"/>
    <x:n v="30"/>
    <x:s v="Place the red block in front of the green pen."/>
    <x:s v="green pen, red block, pink marker"/>
    <x:s v="red block → 2–8 cm edge gap in front of green pen; centroid direction within ±45°."/>
    <x:m/>
    <x:x v="1"/>
  </x:r>
  <x:r>
    <x:x v="0"/>
    <x:s v="Relational Placement"/>
    <x:n v="31"/>
    <x:s v="Place the red block behind the green pen."/>
    <x:s v="green pen, red block, pink marker"/>
    <x:s v="red block → 2–8 cm edge gap behind green pen; centroid direction within ±45°."/>
    <x:m/>
    <x:x v="1"/>
  </x:r>
  <x:r>
    <x:x v="0"/>
    <x:s v="Relational Placement"/>
    <x:n v="32"/>
    <x:s v="Place the green pen to the left of the red block."/>
    <x:s v="green pen, red block, blue block, pink marker"/>
    <x:s v="green pen → 2–8 cm edge gap to the left of red block; centroid direction within ±45°."/>
    <x:m/>
    <x:x v="1"/>
  </x:r>
  <x:r>
    <x:x v="1"/>
    <x:s v="Relational Placement"/>
    <x:n v="33"/>
    <x:s v="Place the green pen to the right of the red block."/>
    <x:s v="green pen, red block, blue block, pink marker"/>
    <x:s v="green pen → 2–8 cm edge gap to the right of red block; centroid direction within ±45°."/>
    <x:s v="did move the pen to the right of the block, but it couldn't let go of the block before time ran out. Kind of a success on reasoning?"/>
    <x:x v="1"/>
  </x:r>
  <x:r>
    <x:x v="1"/>
    <x:s v="Relational Placement"/>
    <x:n v="34"/>
    <x:s v="Place the red block to the left of the green pen."/>
    <x:s v="green pen, red block, blue block, pink marker"/>
    <x:s v="red block → 2–8 cm edge gap to the left of green pen; centroid direction within ±45°."/>
    <x:s v="placed to the right of the pen"/>
    <x:x v="1"/>
  </x:r>
  <x:r>
    <x:x v="0"/>
    <x:s v="Relational Placement"/>
    <x:n v="35"/>
    <x:s v="Place the red block to the right of the green pen."/>
    <x:s v="green pen, red block, blue block, pink marker"/>
    <x:s v="red block → 2–8 cm edge gap to the right of green pen; centroid direction within ±45°."/>
    <x:m/>
    <x:x v="1"/>
  </x:r>
  <x:r>
    <x:x v="1"/>
    <x:s v="Relational Placement"/>
    <x:n v="36"/>
    <x:s v="Place the green pen to the left of the red block."/>
    <x:s v="green pen, red block, pink marker"/>
    <x:s v="green pen → 2–8 cm edge gap to the left of red block; centroid direction within ±45°."/>
    <x:s v="placed to the right"/>
    <x:x v="1"/>
  </x:r>
  <x:r>
    <x:x v="0"/>
    <x:s v="Relational Placement"/>
    <x:n v="37"/>
    <x:s v="Place the green pen to the right of the red block."/>
    <x:s v="green pen, red block, pink marker"/>
    <x:s v="green pen → 2–8 cm edge gap to the right of red block; centroid direction within ±45°."/>
    <x:m/>
    <x:x v="1"/>
  </x:r>
  <x:r>
    <x:x v="0"/>
    <x:s v="Relational Placement"/>
    <x:n v="38"/>
    <x:s v="Place the red block to the left of the green pen."/>
    <x:s v="green pen, red block, pink marker"/>
    <x:s v="red block → 2–8 cm edge gap to the left of green pen; centroid direction within ±45°."/>
    <x:m/>
    <x:x v="1"/>
  </x:r>
  <x:r>
    <x:x v="1"/>
    <x:s v="Relational Placement"/>
    <x:n v="39"/>
    <x:s v="Place the red block to the right of the green pen."/>
    <x:s v="green pen, red block, pink marker"/>
    <x:s v="red block → 2–8 cm edge gap to the right of green pen; centroid direction within ±45°."/>
    <x:s v="rotated the pen and block ended up behind"/>
    <x:x v="1"/>
  </x:r>
  <x:r>
    <x:x v="1"/>
    <x:s v="Relational Placement"/>
    <x:n v="40"/>
    <x:s v="Place the green pen to the left of the red block."/>
    <x:s v="green pen, red block, blue block, pink marker"/>
    <x:s v="green pen → 2–8 cm edge gap to the left of red block; centroid direction within ±45°."/>
    <x:s v="more like bottom left, but mostly bottom"/>
    <x:x v="1"/>
  </x:r>
  <x:r>
    <x:x v="1"/>
    <x:s v="Relational Placement"/>
    <x:n v="41"/>
    <x:s v="Place the green pen to the right of the red block."/>
    <x:s v="green pen, red block, blue block, pink marker"/>
    <x:s v="green pen → 2–8 cm edge gap to the right of red block; centroid direction within ±45°."/>
    <x:s v="pushed block and ended up placing it on the bottom"/>
    <x:x v="1"/>
  </x:r>
  <x:r>
    <x:x v="1"/>
    <x:s v="Relational Placement"/>
    <x:n v="42"/>
    <x:s v="Place the red block to the left of the green pen."/>
    <x:s v="green pen, red block, blue block, pink marker"/>
    <x:s v="red block → 2–8 cm edge gap to the left of green pen; centroid direction within ±45°."/>
    <x:s v="placed behind"/>
    <x:x v="1"/>
  </x:r>
  <x:r>
    <x:x v="1"/>
    <x:s v="Relational Placement"/>
    <x:n v="43"/>
    <x:s v="Place the red block to the right of the green pen."/>
    <x:s v="green pen, red block, blue block, pink marker"/>
    <x:s v="red block → 2–8 cm edge gap to the right of green pen; centroid direction within ±45°."/>
    <x:s v="placed behind"/>
    <x:x v="1"/>
  </x:r>
  <x:r>
    <x:x v="0"/>
    <x:s v="Relational Placement"/>
    <x:n v="44"/>
    <x:s v="Place the green pen in front of the red block."/>
    <x:s v="green pen, red block, pink marker"/>
    <x:s v="green pen → 2–8 cm edge gap in front of red block; centroid direction within ±45°."/>
    <x:m/>
    <x:x v="1"/>
  </x:r>
  <x:r>
    <x:x v="0"/>
    <x:s v="Relational Placement"/>
    <x:n v="45"/>
    <x:s v="Place the green pen next to the red block."/>
    <x:s v="green pen, red block, pink marker"/>
    <x:s v="green pen → 2–8 cm edge gap near red block; no directional sector required."/>
    <x:m/>
    <x:x v="2"/>
  </x:r>
  <x:r>
    <x:x v="0"/>
    <x:s v="Relational Placement"/>
    <x:n v="46"/>
    <x:s v="Position the green pen on the robot-facing side of the red block."/>
    <x:s v="green pen, red block, pink marker"/>
    <x:s v="green pen → 2–8 cm edge gap in front of red block; centroid direction within ±45°."/>
    <x:m/>
    <x:x v="3"/>
  </x:r>
  <x:r>
    <x:x v="0"/>
    <x:s v="Relational Placement"/>
    <x:n v="47"/>
    <x:s v="Set the green pen down close to the red block."/>
    <x:s v="green pen, red block, pink marker"/>
    <x:s v="green pen → 2–8 cm edge gap near red block; no directional sector required."/>
    <x:m/>
    <x:x v="3"/>
  </x:r>
  <x:r>
    <x:x v="1"/>
    <x:s v="Relational Placement"/>
    <x:n v="48"/>
    <x:s v="Place the green pen in front of the red block."/>
    <x:s v="green pen, red block, blue block, pink marker"/>
    <x:s v="green pen → 2–8 cm edge gap in front of red block; centroid direction within ±45°."/>
    <x:s v="placed behind and to the left"/>
    <x:x v="1"/>
  </x:r>
  <x:r>
    <x:x v="0"/>
    <x:s v="Relational Placement"/>
    <x:n v="49"/>
    <x:s v="Put the green pen beside the red block."/>
    <x:s v="green pen, red block, blue block, pink marker"/>
    <x:s v="green pen → 2–8 cm edge gap near red block; no directional sector required."/>
    <x:m/>
    <x:x v="2"/>
  </x:r>
  <x:r>
    <x:x v="1"/>
    <x:s v="Relational Placement"/>
    <x:n v="50"/>
    <x:s v="Position the green pen on the robot-facing side of the red block."/>
    <x:s v="green pen, red block, blue block, pink marker"/>
    <x:s v="green pen → 2–8 cm edge gap in front of red block; centroid direction within ±45°."/>
    <x:s v="placed behind"/>
    <x:x v="3"/>
  </x:r>
  <x:r>
    <x:x v="0"/>
    <x:s v="Relational Placement"/>
    <x:n v="51"/>
    <x:s v="Set the green pen down close to the red block."/>
    <x:s v="green pen, red block, blue block, pink marker"/>
    <x:s v="green pen → 2–8 cm edge gap near red block; no directional sector required."/>
    <x:m/>
    <x:x v="3"/>
  </x:r>
  <x:r>
    <x:x v="0"/>
    <x:s v="Relational Placement"/>
    <x:n v="52"/>
    <x:s v="Place the red block in front of the green pen."/>
    <x:s v="red block, green pen, pink marker"/>
    <x:s v="red block → 2–8 cm edge gap in front of green pen; centroid direction within ±45°."/>
    <x:m/>
    <x:x v="1"/>
  </x:r>
  <x:r>
    <x:x v="0"/>
    <x:s v="Relational Placement"/>
    <x:n v="53"/>
    <x:s v="Put the red block beside the green pen."/>
    <x:s v="red block, green pen, pink marker"/>
    <x:s v="red block → 2–8 cm edge gap near green pen; no directional sector required."/>
    <x:s v="placed behind instead of in front"/>
    <x:x v="2"/>
  </x:r>
  <x:r>
    <x:x v="1"/>
    <x:s v="Relational Placement"/>
    <x:n v="54"/>
    <x:s v="Position the red block on the robot-facing side of the green pen."/>
    <x:s v="red block, green pen, pink marker"/>
    <x:s v="red block → 2–8 cm edge gap in front of green pen; centroid direction within ±45°."/>
    <x:s v="placed behind instead of in front"/>
    <x:x v="3"/>
  </x:r>
  <x:r>
    <x:x v="0"/>
    <x:s v="Relational Placement"/>
    <x:n v="55"/>
    <x:s v="Set the red block down close to the green pen."/>
    <x:s v="red block, green pen, pink marker"/>
    <x:s v="red block → 2–8 cm edge gap near green pen; no directional sector required."/>
    <x:s v="placed behind"/>
    <x:x v="3"/>
  </x:r>
  <x:r>
    <x:x v="1"/>
    <x:s v="Relational Placement"/>
    <x:n v="56"/>
    <x:s v="Place the green pen behind the red block."/>
    <x:s v="green pen, red block, blue block, pink marker"/>
    <x:s v="green pen → 2–8 cm edge gap behind red block; centroid direction within ±45°."/>
    <x:s v="placed behind and left"/>
    <x:x v="1"/>
  </x:r>
  <x:r>
    <x:x v="1"/>
    <x:s v="Relational Placement"/>
    <x:n v="57"/>
    <x:s v="Place the green pen next to the red block."/>
    <x:s v="green pen, red block, blue block, pink marker"/>
    <x:s v="green pen → 2–8 cm edge gap near red block; no directional sector required."/>
    <x:s v="Got it behind, but wouldn't let go. I think succeeded reasoning, but just couldn't let go"/>
    <x:x v="2"/>
  </x:r>
  <x:r>
    <x:x v="1"/>
    <x:s v="Relational Placement"/>
    <x:n v="58"/>
    <x:s v="Position the green pen on the far side of the red block, away from the robot."/>
    <x:s v="green pen, red block, blue block, pink marker"/>
    <x:s v="green pen → 2–8 cm edge gap behind red block; centroid direction within ±45°."/>
    <x:s v="placed to the left of the block"/>
    <x:x v="3"/>
  </x:r>
  <x:r>
    <x:x v="0"/>
    <x:s v="Relational Placement"/>
    <x:n v="59"/>
    <x:s v="Set the green pen down close to the red block."/>
    <x:s v="green pen, red block, blue block, pink marker"/>
    <x:s v="green pen → 2–8 cm edge gap near red block; no directional sector required."/>
    <x:m/>
    <x:x v="3"/>
  </x:r>
  <x:r>
    <x:x v="0"/>
    <x:s v="Relational Placement"/>
    <x:n v="60"/>
    <x:s v="Place the red block behind the green pen."/>
    <x:s v="red block, green pen, pink marker"/>
    <x:s v="red block → 2–8 cm edge gap behind green pen; centroid direction within ±45°."/>
    <x:s v="went back and forth front and behind before ending behind."/>
    <x:x v="1"/>
  </x:r>
  <x:r>
    <x:x v="0"/>
    <x:s v="Relational Placement"/>
    <x:n v="61"/>
    <x:s v="Move the red block near the green pen."/>
    <x:s v="red block, green pen, pink marker"/>
    <x:s v="red block → 2–8 cm edge gap near green pen; no directional sector required."/>
    <x:m/>
    <x:x v="2"/>
  </x:r>
  <x:r>
    <x:x v="0"/>
    <x:s v="Relational Placement"/>
    <x:n v="62"/>
    <x:s v="Position the red block on the far side of the green pen, away from the robot."/>
    <x:s v="red block, green pen, pink marker"/>
    <x:s v="red block → 2–8 cm edge gap behind green pen; centroid direction within ±45°."/>
    <x:m/>
    <x:x v="3"/>
  </x:r>
  <x:r>
    <x:x v="0"/>
    <x:s v="Relational Placement"/>
    <x:n v="63"/>
    <x:s v="Set the red block down close to the green pen."/>
    <x:s v="red block, green pen, pink marker"/>
    <x:s v="red block → 2–8 cm edge gap near green pen; no directional sector required."/>
    <x:s v="placed in front"/>
    <x:x v="3"/>
  </x:r>
  <x:r>
    <x:x v="0"/>
    <x:s v="Relational Placement"/>
    <x:n v="64"/>
    <x:s v="Place the red block behind the green pen."/>
    <x:s v="red block, green pen, blue block, pink marker"/>
    <x:s v="red block → 2–8 cm edge gap behind green pen; centroid direction within ±45°."/>
    <x:s v="placed behind"/>
    <x:x v="1"/>
  </x:r>
  <x:r>
    <x:x v="0"/>
    <x:s v="Relational Placement"/>
    <x:n v="65"/>
    <x:s v="Place the red block next to the green pen."/>
    <x:s v="red block, green pen, blue block, pink marker"/>
    <x:s v="red block → 2–8 cm edge gap near green pen; no directional sector required."/>
    <x:s v="placed in front"/>
    <x:x v="2"/>
  </x:r>
  <x:r>
    <x:x v="0"/>
    <x:s v="Relational Placement"/>
    <x:n v="66"/>
    <x:s v="Position the red block on the far side of the green pen, away from the robot."/>
    <x:s v="red block, green pen, blue block, pink marker"/>
    <x:s v="red block → 2–8 cm edge gap behind green pen; centroid direction within ±45°."/>
    <x:m/>
    <x:x v="3"/>
  </x:r>
  <x:r>
    <x:x v="0"/>
    <x:s v="Relational Placement"/>
    <x:n v="67"/>
    <x:s v="Set the red block down close to the green pen."/>
    <x:s v="red block, green pen, blue block, pink marker"/>
    <x:s v="red block → 2–8 cm edge gap near green pen; no directional sector required."/>
    <x:s v="placed to the right"/>
    <x:x v="3"/>
  </x:r>
  <x:r>
    <x:x v="0"/>
    <x:s v="Relational Placement"/>
    <x:n v="68"/>
    <x:s v="Place the green pen to the left of the red block."/>
    <x:s v="green pen, red block, pink marker"/>
    <x:s v="green pen → 2–8 cm edge gap to the left of red block; centroid direction within ±45°."/>
    <x:m/>
    <x:x v="1"/>
  </x:r>
  <x:r>
    <x:x v="0"/>
    <x:s v="Relational Placement"/>
    <x:n v="69"/>
    <x:s v="Place the green pen next to the red block."/>
    <x:s v="green pen, red block, pink marker"/>
    <x:s v="green pen → 2–8 cm edge gap near red block; no directional sector required."/>
    <x:s v="placed in front"/>
    <x:x v="2"/>
  </x:r>
  <x:r>
    <x:x v="1"/>
    <x:s v="Relational Placement"/>
    <x:n v="70"/>
    <x:s v="Position the green pen on the robot's left-hand side of the red block."/>
    <x:s v="green pen, red block, pink marker"/>
    <x:s v="green pen → 2–8 cm edge gap to the left of red block; centroid direction within ±45°."/>
    <x:s v="placed on the bottom, but majority of the pen's body was on the left side."/>
    <x:x v="3"/>
  </x:r>
  <x:r>
    <x:x v="0"/>
    <x:s v="Relational Placement"/>
    <x:n v="71"/>
    <x:s v="Set the green pen down close to the red block."/>
    <x:s v="green pen, red block, pink marker"/>
    <x:s v="green pen → 2–8 cm edge gap near red block; no directional sector required."/>
    <x:s v="placed on bottom"/>
    <x:x v="3"/>
  </x:r>
  <x:r>
    <x:x v="0"/>
    <x:s v="Relational Placement"/>
    <x:n v="72"/>
    <x:s v="Place the red block to the left of the green pen."/>
    <x:s v="red block, green pen, blue block, pink marker"/>
    <x:s v="red block → 2–8 cm edge gap to the left of green pen; centroid direction within ±45°."/>
    <x:m/>
    <x:x v="1"/>
  </x:r>
  <x:r>
    <x:x v="0"/>
    <x:s v="Relational Placement"/>
    <x:n v="73"/>
    <x:s v="Place the red block next to the green pen."/>
    <x:s v="red block, green pen, blue block, pink marker"/>
    <x:s v="red block → 2–8 cm edge gap near green pen; no directional sector required."/>
    <x:s v="placed left"/>
    <x:x v="2"/>
  </x:r>
  <x:r>
    <x:x v="0"/>
    <x:s v="Relational Placement"/>
    <x:n v="74"/>
    <x:s v="Position the red block on the robot's left-hand side of the green pen."/>
    <x:s v="red block, green pen, blue block, pink marker"/>
    <x:s v="red block → 2–8 cm edge gap to the left of green pen; centroid direction within ±45°."/>
    <x:m/>
    <x:x v="3"/>
  </x:r>
  <x:r>
    <x:x v="0"/>
    <x:s v="Relational Placement"/>
    <x:n v="75"/>
    <x:s v="Set the red block down close to the green pen."/>
    <x:s v="red block, green pen, blue block, pink marker"/>
    <x:s v="red block → 2–8 cm edge gap near green pen; no directional sector required."/>
    <x:s v="placed in front of because it moved it around a bunch"/>
    <x:x v="3"/>
  </x:r>
  <x:r>
    <x:x v="0"/>
    <x:s v="Relational Placement"/>
    <x:n v="76"/>
    <x:s v="Place the green pen to the right of the red block."/>
    <x:s v="green pen, red block, pink marker"/>
    <x:s v="green pen → 2–8 cm edge gap to the right of red block; centroid direction within ±45°."/>
    <x:m/>
    <x:x v="1"/>
  </x:r>
  <x:r>
    <x:x v="0"/>
    <x:s v="Relational Placement"/>
    <x:n v="77"/>
    <x:s v="Place the green pen next to the red block."/>
    <x:s v="green pen, red block, pink marker"/>
    <x:s v="green pen → 2–8 cm edge gap near red block; no directional sector required."/>
    <x:s v="placed on left"/>
    <x:x v="2"/>
  </x:r>
  <x:r>
    <x:x v="1"/>
    <x:s v="Relational Placement"/>
    <x:n v="78"/>
    <x:s v="Position the green pen on the robot's right-hand side of the red block."/>
    <x:s v="green pen, red block, pink marker"/>
    <x:s v="green pen → 2–8 cm edge gap to the right of red block; centroid direction within ±45°."/>
    <x:s v="placed in front"/>
    <x:x v="3"/>
  </x:r>
  <x:r>
    <x:x v="0"/>
    <x:s v="Relational Placement"/>
    <x:n v="79"/>
    <x:s v="Set the green pen down close to the red block."/>
    <x:s v="green pen, red block, pink marker"/>
    <x:s v="green pen → 2–8 cm edge gap near red block; no directional sector required."/>
    <x:s v="placed to the right"/>
    <x:x v="3"/>
  </x:r>
  <x:r>
    <x:x v="1"/>
    <x:s v="Relational Placement"/>
    <x:n v="80"/>
    <x:s v="Place the red block to the right of the green pen."/>
    <x:s v="red block, green pen, blue block, pink marker"/>
    <x:s v="red block → 2–8 cm edge gap to the right of green pen; centroid direction within ±45°."/>
    <x:s v="placed to the left"/>
    <x:x v="1"/>
  </x:r>
  <x:r>
    <x:x v="1"/>
    <x:s v="Relational Placement"/>
    <x:n v="81"/>
    <x:s v="Put the red block beside the green pen."/>
    <x:s v="red block, green pen, blue block, pink marker"/>
    <x:s v="red block → 2–8 cm edge gap near green pen; no directional sector required."/>
    <x:s v="couldn't grasp the red block, knocked it around out of range, then picked up the blue block and put it beside the green pen"/>
    <x:x v="2"/>
  </x:r>
  <x:r>
    <x:x v="1"/>
    <x:s v="Relational Placement"/>
    <x:n v="82"/>
    <x:s v="Position the red block on the robot's right-hand side of the green pen."/>
    <x:s v="red block, green pen, blue block, pink marker"/>
    <x:s v="red block → 2–8 cm edge gap to the right of green pen; centroid direction within ±45°."/>
    <x:s v="placed to the left"/>
    <x:x v="3"/>
  </x:r>
  <x:r>
    <x:x v="0"/>
    <x:s v="Relational Placement"/>
    <x:n v="83"/>
    <x:s v="Set the red block down close to the green pen."/>
    <x:s v="red block, green pen, blue block, pink marker"/>
    <x:s v="red block → 2–8 cm edge gap near green pen; no directional sector required."/>
    <x:m/>
    <x:x v="3"/>
  </x:r>
  <x:r>
    <x:x v="0"/>
    <x:s v="Relational Placement"/>
    <x:n v="84"/>
    <x:s v="Place the green pen in front of the red block."/>
    <x:s v="green pen, red block, pink marker, blue block"/>
    <x:s v="green pen → 2–8 cm edge gap in front of red block; centroid direction within ±45°."/>
    <x:m/>
    <x:x v="1"/>
  </x:r>
  <x:r>
    <x:x v="0"/>
    <x:s v="Relational Placement"/>
    <x:n v="85"/>
    <x:s v="Put the green pen beside the red block."/>
    <x:s v="green pen, red block, pink marker, blue block"/>
    <x:s v="green pen → 2–8 cm edge gap near red block; no directional sector required."/>
    <x:s v="placed to left"/>
    <x:x v="2"/>
  </x:r>
  <x:r>
    <x:x v="0"/>
    <x:s v="Relational Placement"/>
    <x:n v="86"/>
    <x:s v="Place the red block in front of the green pen."/>
    <x:s v="red block, green pen, blue block"/>
    <x:s v="red block → 2–8 cm edge gap in front of green pen; centroid direction within ±45°."/>
    <x:m/>
    <x:x v="1"/>
  </x:r>
  <x:r>
    <x:x v="0"/>
    <x:s v="Relational Placement"/>
    <x:n v="87"/>
    <x:s v="Place the red block next to the green pen."/>
    <x:s v="red block, green pen, blue block"/>
    <x:s v="red block → 2–8 cm edge gap near green pen; no directional sector required."/>
    <x:m/>
    <x:x v="2"/>
  </x:r>
  <x:r>
    <x:x v="0"/>
    <x:s v="Relational Placement"/>
    <x:n v="88"/>
    <x:s v="Place the green pen behind the red block."/>
    <x:s v="green pen, red block, pink marker"/>
    <x:s v="green pen → 2–8 cm edge gap behind red block; centroid direction within ±45°."/>
    <x:m/>
    <x:x v="1"/>
  </x:r>
  <x:r>
    <x:x v="0"/>
    <x:s v="Relational Placement"/>
    <x:n v="89"/>
    <x:s v="Place the green pen next to the red block."/>
    <x:s v="green pen, red block, pink marker"/>
    <x:s v="green pen → 2–8 cm edge gap near red block; no directional sector required."/>
    <x:s v="placed in front"/>
    <x:x v="2"/>
  </x:r>
  <x:r>
    <x:x v="1"/>
    <x:s v="Relational Placement"/>
    <x:n v="90"/>
    <x:s v="Place the red block behind the green pen."/>
    <x:s v="red block, green pen, blue block, pink marker"/>
    <x:s v="red block → 2–8 cm edge gap behind green pen; centroid direction within ±45°."/>
    <x:s v="robot didn't move"/>
    <x:x v="1"/>
  </x:r>
  <x:r>
    <x:x v="0"/>
    <x:s v="Relational Placement"/>
    <x:n v="91"/>
    <x:s v="Place the red block next to the green pen."/>
    <x:s v="red block, green pen, blue block, pink marker"/>
    <x:s v="red block → 2–8 cm edge gap near green pen; no directional sector required."/>
    <x:s v="super long pause before movement"/>
    <x:x v="2"/>
  </x:r>
  <x:r>
    <x:x v="1"/>
    <x:s v="Relational Placement"/>
    <x:n v="92"/>
    <x:s v="Place the green pen to the left of the red block."/>
    <x:s v="green pen, red block, pink marker, blue block"/>
    <x:s v="green pen → 2–8 cm edge gap to the left of red block; centroid direction within ±45°."/>
    <x:s v="tried to put it on the left, knocked block, and wouldn't let got of pen"/>
    <x:x v="1"/>
  </x:r>
  <x:r>
    <x:x v="0"/>
    <x:s v="Relational Placement"/>
    <x:n v="93"/>
    <x:s v="Move the green pen near the red block."/>
    <x:s v="green pen, red block, pink marker, blue block"/>
    <x:s v="green pen → 2–8 cm edge gap near red block; no directional sector required."/>
    <x:m/>
    <x:x v="2"/>
  </x:r>
  <x:r>
    <x:x v="0"/>
    <x:s v="Relational Placement"/>
    <x:n v="94"/>
    <x:s v="Place the red block to the left of the green pen."/>
    <x:s v="red block, green pen, blue block"/>
    <x:s v="red block → 2–8 cm edge gap to the left of green pen; centroid direction within ±45°."/>
    <x:m/>
    <x:x v="1"/>
  </x:r>
  <x:r>
    <x:x v="1"/>
    <x:s v="Relational Placement"/>
    <x:n v="95"/>
    <x:s v="Put the red block beside the green pen."/>
    <x:s v="red block, green pen, blue block"/>
    <x:s v="red block → 2–8 cm edge gap near green pen; no directional sector required."/>
    <x:s v="grasping failure. knocked block out and couldn't recover"/>
    <x:x v="2"/>
  </x:r>
  <x:r>
    <x:x v="1"/>
    <x:s v="Relational Placement"/>
    <x:n v="96"/>
    <x:s v="Place the red block to the left of the green pen."/>
    <x:s v="red block, green pen, pink marker, blue block"/>
    <x:s v="red block → 2–8 cm edge gap to the left of green pen; centroid direction within ±45°."/>
    <x:s v="placed on top and slid to the right"/>
    <x:x v="1"/>
  </x:r>
  <x:r>
    <x:x v="0"/>
    <x:s v="Relational Placement"/>
    <x:n v="97"/>
    <x:s v="Place the red block next to the green pen."/>
    <x:s v="red block, green pen, pink marker, blue block"/>
    <x:s v="red block → 2–8 cm edge gap near green pen; no directional sector required."/>
    <x:s v="placed on top and slid to the left"/>
    <x:x v="2"/>
  </x:r>
  <x:r>
    <x:x v="1"/>
    <x:s v="Relational Placement"/>
    <x:n v="98"/>
    <x:s v="Place the green pen to the right of the red block."/>
    <x:s v="green pen, red block, blue block"/>
    <x:s v="green pen → 2–8 cm edge gap to the right of red block; centroid direction within ±45°."/>
    <x:s v="placed on the top"/>
    <x:x v="1"/>
  </x:r>
  <x:r>
    <x:x v="0"/>
    <x:s v="Relational Placement"/>
    <x:n v="99"/>
    <x:s v="Put the green pen beside the red block."/>
    <x:s v="green pen, red block, blue block"/>
    <x:s v="green pen → 2–8 cm edge gap near red block; no directional sector required."/>
    <x:s v="placed in front"/>
    <x:x v="2"/>
  </x:r>
  <x:r>
    <x:x v="1"/>
    <x:s v="Relational Placement"/>
    <x:n v="100"/>
    <x:s v="Place the green pen to the right of the red block."/>
    <x:s v="green pen, red block, pink marker, blue block"/>
    <x:s v="green pen → 2–8 cm edge gap to the right of red block; centroid direction within ±45°."/>
    <x:s v="placed in front"/>
    <x:x v="1"/>
  </x:r>
  <x:r>
    <x:x v="0"/>
    <x:s v="Relational Placement"/>
    <x:n v="101"/>
    <x:s v="Move the green pen near the red block."/>
    <x:s v="green pen, red block, pink marker, blue block"/>
    <x:s v="green pen → 2–8 cm edge gap near red block; no directional sector required."/>
    <x:s v="gripper was 90 degrees off until knocked pen correctly. kind of dropped pen but landed to the right of the red block."/>
    <x:x v="2"/>
  </x:r>
  <x:r>
    <x:x v="0"/>
    <x:s v="Relational Placement"/>
    <x:n v="102"/>
    <x:s v="Place the red block to the right of the green pen."/>
    <x:s v="red block, green pen, blue block"/>
    <x:s v="red block → 2–8 cm edge gap to the right of green pen; centroid direction within ±45°."/>
    <x:m/>
    <x:x v="1"/>
  </x:r>
  <x:r>
    <x:x v="0"/>
    <x:s v="Relational Placement"/>
    <x:n v="103"/>
    <x:s v="Move the red block near the green pen."/>
    <x:s v="red block, green pen, blue block"/>
    <x:s v="red block → 2–8 cm edge gap near green pen; no directional sector required."/>
    <x:s v="placed to the left"/>
    <x:x v="2"/>
  </x:r>
  <x:r>
    <x:x v="1"/>
    <x:s v="Relational Placement"/>
    <x:n v="104"/>
    <x:s v="Place the green pen in front of the red block."/>
    <x:s v="green pen, red block, pink marker"/>
    <x:s v="green pen → 2–8 cm edge gap in front of red block; centroid direction within ±45°."/>
    <x:s v="failed to grasp the green pen"/>
    <x:x v="1"/>
  </x:r>
  <x:r>
    <x:x v="0"/>
    <x:s v="Relational Placement"/>
    <x:n v="105"/>
    <x:s v="Place the red block in front of the green pen."/>
    <x:s v="red block, green pen, blue block, pink marker"/>
    <x:s v="red block → 2–8 cm edge gap in front of green pen; centroid direction within ±45°."/>
    <x:m/>
    <x:x v="1"/>
  </x:r>
  <x:r>
    <x:x v="0"/>
    <x:s v="Relational Placement"/>
    <x:n v="106"/>
    <x:s v="Place the green pen behind the red block."/>
    <x:s v="green pen, red block, pink marker, blue block"/>
    <x:s v="green pen → 2–8 cm edge gap behind red block; centroid direction within ±45°."/>
    <x:m/>
    <x:x v="1"/>
  </x:r>
  <x:r>
    <x:x v="1"/>
    <x:s v="Relational Placement"/>
    <x:n v="107"/>
    <x:s v="Place the red block behind the green pen."/>
    <x:s v="red block, green pen, blue block"/>
    <x:s v="red block → 2–8 cm edge gap behind green pen; centroid direction within ±45°."/>
    <x:s v="robot didn't move"/>
    <x:x v="1"/>
  </x:r>
  <x:r>
    <x:x v="1"/>
    <x:s v="Relational Placement"/>
    <x:n v="108"/>
    <x:s v="Place the green pen to the left of the red block."/>
    <x:s v="green pen, red block, pink marker"/>
    <x:s v="green pen → 2–8 cm edge gap to the left of red block; centroid direction within ±45°."/>
    <x:s v="placed in front. Also had trouble grasping the pen"/>
    <x:x v="1"/>
  </x:r>
  <x:r>
    <x:x v="1"/>
    <x:s v="Relational Placement"/>
    <x:n v="109"/>
    <x:s v="Place the red block to the right of the green pen."/>
    <x:s v="red block, green pen, blue block, pink marker"/>
    <x:s v="red block → 2–8 cm edge gap to the right of green pen; centroid direction within ±45°."/>
    <x:s v="placed behind"/>
    <x:x v="1"/>
  </x:r>
  <x:r>
    <x:x v="0"/>
    <x:s v="Relational Placement"/>
    <x:n v="110"/>
    <x:s v="Place the juggling ball in front of the pink marker."/>
    <x:s v="juggling ball, pink marker, green pen"/>
    <x:s v="juggling ball → 2–8 cm edge gap in front of pink marker; centroid direction within ±45°."/>
    <x:m/>
    <x:x v="11"/>
  </x:r>
  <x:r>
    <x:x v="1"/>
    <x:s v="Relational Placement"/>
    <x:n v="111"/>
    <x:s v="Place the juggling ball behind the pink marker."/>
    <x:s v="juggling ball, pink marker, green pen"/>
    <x:s v="juggling ball → 2–8 cm edge gap behind pink marker; centroid direction within ±45°."/>
    <x:s v="placed to left. Seemed to be hesitant upon release"/>
    <x:x v="11"/>
  </x:r>
  <x:r>
    <x:x v="0"/>
    <x:s v="Relational Placement"/>
    <x:n v="112"/>
    <x:s v="Place the pink marker in front of the juggling ball."/>
    <x:s v="juggling ball, pink marker, green pen"/>
    <x:s v="pink marker → 2–8 cm edge gap in front of juggling ball; centroid direction within ±45°."/>
    <x:m/>
    <x:x v="11"/>
  </x:r>
  <x:r>
    <x:x v="1"/>
    <x:s v="Relational Placement"/>
    <x:n v="113"/>
    <x:s v="Place the pink marker behind the juggling ball."/>
    <x:s v="juggling ball, pink marker, green pen"/>
    <x:s v="pink marker → 2–8 cm edge gap behind juggling ball; centroid direction within ±45°."/>
    <x:s v="it was behind, but it dropped where the marker rolled out of range to be close enough for a success"/>
    <x:x v="11"/>
  </x:r>
  <x:r>
    <x:x v="0"/>
    <x:s v="Relational Placement"/>
    <x:n v="114"/>
    <x:s v="Place the juggling ball in front of the blue block."/>
    <x:s v="juggling ball, blue block, red block, pink marker"/>
    <x:s v="juggling ball → 2–8 cm edge gap in front of blue block; centroid direction within ±45°."/>
    <x:m/>
    <x:x v="11"/>
  </x:r>
  <x:r>
    <x:x v="1"/>
    <x:s v="Relational Placement"/>
    <x:n v="115"/>
    <x:s v="Place the juggling ball behind the blue block."/>
    <x:s v="juggling ball, blue block, red block, pink marker"/>
    <x:s v="juggling ball → 2–8 cm edge gap behind blue block; centroid direction within ±45°."/>
    <x:s v="placed to the left. placed directly on top, then moved the block."/>
    <x:x v="11"/>
  </x:r>
  <x:r>
    <x:x v="1"/>
    <x:s v="Relational Placement"/>
    <x:n v="116"/>
    <x:s v="Place the blue block in front of the juggling ball."/>
    <x:s v="juggling ball, blue block, red block, pink marker"/>
    <x:s v="blue block → 2–8 cm edge gap in front of juggling ball; centroid direction within ±45°."/>
    <x:s v="didn't release the block. Was jittering around near the left of the juggling ball"/>
    <x:x v="11"/>
  </x:r>
  <x:r>
    <x:x v="1"/>
    <x:s v="Relational Placement"/>
    <x:n v="117"/>
    <x:s v="Place the blue block behind the juggling ball."/>
    <x:s v="juggling ball, blue block, red block, pink marker"/>
    <x:s v="blue block → 2–8 cm edge gap behind juggling ball; centroid direction within ±45°."/>
    <x:s v="dropped blue block and kind of went out of range. Seemed like it was trying to place the blue block by the red block."/>
    <x:x v="11"/>
  </x:r>
  <x:r>
    <x:x v="0"/>
    <x:s v="Relational Placement"/>
    <x:n v="118"/>
    <x:s v="Place the juggling ball to the left of the green pen."/>
    <x:s v="juggling ball, green pen, blue block"/>
    <x:s v="juggling ball → 2–8 cm edge gap to the left of green pen; centroid direction within ±45°."/>
    <x:m/>
    <x:x v="11"/>
  </x:r>
  <x:r>
    <x:x v="1"/>
    <x:s v="Relational Placement"/>
    <x:n v="119"/>
    <x:s v="Place the juggling ball to the right of the green pen."/>
    <x:s v="juggling ball, green pen, blue block"/>
    <x:s v="juggling ball → 2–8 cm edge gap to the right of green pen; centroid direction within ±45°."/>
    <x:s v="placed to left"/>
    <x:x v="11"/>
  </x:r>
  <x:r>
    <x:x v="1"/>
    <x:s v="Relational Placement"/>
    <x:n v="120"/>
    <x:s v="Place the green pen to the left of the juggling ball."/>
    <x:s v="juggling ball, green pen, blue block"/>
    <x:s v="green pen → 2–8 cm edge gap to the left of juggling ball; centroid direction within ±45°."/>
    <x:s v="placed right"/>
    <x:x v="11"/>
  </x:r>
  <x:r>
    <x:x v="1"/>
    <x:s v="Relational Placement"/>
    <x:n v="121"/>
    <x:s v="Place the green pen to the right of the juggling ball."/>
    <x:s v="juggling ball, green pen, blue block"/>
    <x:s v="green pen → 2–8 cm edge gap to the right of juggling ball; centroid direction within ±45°."/>
    <x:s v="placed to the left of the blue block. went back for a it a few times, but kept leaving it in basically the same spot"/>
    <x:x v="11"/>
  </x:r>
  <x:r>
    <x:x v="1"/>
    <x:s v="Relational Placement"/>
    <x:n v="122"/>
    <x:s v="Place the juggling ball to the left of the red block."/>
    <x:s v="juggling ball, red block, pink marker, blue block"/>
    <x:s v="juggling ball → 2–8 cm edge gap to the left of red block; centroid direction within ±45°."/>
    <x:s v="placed in front. started to put it on the left, hesitated, then put in front"/>
    <x:x v="11"/>
  </x:r>
  <x:r>
    <x:x v="1"/>
    <x:s v="Relational Placement"/>
    <x:n v="123"/>
    <x:s v="Place the juggling ball to the right of the red block."/>
    <x:s v="juggling ball, red block, pink marker, blue block"/>
    <x:s v="juggling ball → 2–8 cm edge gap to the right of red block; centroid direction within ±45°."/>
    <x:s v="placed on front left"/>
    <x:x v="11"/>
  </x:r>
  <x:r>
    <x:x v="1"/>
    <x:s v="Relational Placement"/>
    <x:n v="124"/>
    <x:s v="Place the red block to the left of the juggling ball."/>
    <x:s v="juggling ball, red block, pink marker, blue block"/>
    <x:s v="red block → 2–8 cm edge gap to the left of juggling ball; centroid direction within ±45°."/>
    <x:s v="placed on top of the juggling ball"/>
    <x:x v="11"/>
  </x:r>
  <x:r>
    <x:x v="1"/>
    <x:s v="Relational Placement"/>
    <x:n v="125"/>
    <x:s v="Place the red block to the right of the juggling ball."/>
    <x:s v="juggling ball, red block, pink marker, blue block"/>
    <x:s v="red block → 2–8 cm edge gap to the right of juggling ball; centroid direction within ±45°."/>
    <x:s v="placed on left back"/>
    <x:x v="11"/>
  </x:r>
  <x:r>
    <x:x v="0"/>
    <x:s v="Relational Placement"/>
    <x:n v="126"/>
    <x:s v="Place the juggling ball in front of the red block."/>
    <x:s v="juggling ball, red block, green pen, blue block"/>
    <x:s v="juggling ball → 2–8 cm edge gap in front of red block; centroid direction within ±45°."/>
    <x:m/>
    <x:x v="11"/>
  </x:r>
  <x:r>
    <x:x v="1"/>
    <x:s v="Relational Placement"/>
    <x:n v="127"/>
    <x:s v="Place the red block behind the juggling ball."/>
    <x:s v="juggling ball, red block, green pen, blue block"/>
    <x:s v="red block → 2–8 cm edge gap behind juggling ball; centroid direction within ±45°."/>
    <x:s v="placed on top of juggling ball"/>
    <x:x v="11"/>
  </x:r>
  <x:r>
    <x:x v="0"/>
    <x:s v="Relational Placement"/>
    <x:n v="128"/>
    <x:s v="Place the juggling ball to the left of the green pen."/>
    <x:s v="juggling ball, red block, green pen, blue block"/>
    <x:s v="juggling ball → 2–8 cm edge gap to the left of green pen; centroid direction within ±45°."/>
    <x:m/>
    <x:x v="11"/>
  </x:r>
  <x:r>
    <x:x v="1"/>
    <x:s v="Relational Placement"/>
    <x:n v="129"/>
    <x:s v="Place the green pen to the right of the juggling ball."/>
    <x:s v="juggling ball, red block, green pen, blue block"/>
    <x:s v="green pen → 2–8 cm edge gap to the right of juggling ball; centroid direction within ±45°."/>
    <x:s v="didn't move. green pen was pretty close to the left of the juggling ball"/>
    <x:x v="11"/>
  </x:r>
  <x:r>
    <x:x v="1"/>
    <x:s v="Relational Placement"/>
    <x:n v="130"/>
    <x:s v="Place the green pen to the left of the pink marker."/>
    <x:s v="green pen, pink marker, blue block"/>
    <x:s v="NO MOVEMENT — requested relation is already satisfied at the start: green pen → 2–8 cm edge gap to the left of pink marker; centroid direction within ±45°."/>
    <x:s v="moved it, but kept it on the left. Maybe should count as success?"/>
    <x:x v="6"/>
  </x:r>
  <x:r>
    <x:x v="0"/>
    <x:s v="Relational Placement"/>
    <x:n v="131"/>
    <x:s v="Place the pink marker to the right of the green pen."/>
    <x:s v="green pen, pink marker, blue block"/>
    <x:s v="NO MOVEMENT — requested relation is already satisfied at the start: pink marker → 2–8 cm edge gap to the right of green pen; centroid direction within ±45°."/>
    <x:m/>
    <x:x v="6"/>
  </x:r>
  <x:r>
    <x:x v="1"/>
    <x:s v="Relational Placement"/>
    <x:n v="132"/>
    <x:s v="Place the green pen to the left of the pink marker."/>
    <x:s v="green pen, pink marker, blue block"/>
    <x:s v="green pen → 2–8 cm edge gap to the left of pink marker; centroid direction within ±45°."/>
    <x:s v="moved towards pen, then went home 3 times. grabbed it the last time, but didn't move it"/>
    <x:x v="12"/>
  </x:r>
  <x:r>
    <x:x v="1"/>
    <x:s v="Relational Placement"/>
    <x:n v="133"/>
    <x:s v="Place the pink marker to the right of the green pen."/>
    <x:s v="green pen, pink marker, blue block"/>
    <x:s v="pink marker → 2–8 cm edge gap to the right of green pen; centroid direction within ±45°."/>
    <x:s v="did not move"/>
    <x:x v="12"/>
  </x:r>
  <x:r>
    <x:x v="1"/>
    <x:s v="Relational Placement"/>
    <x:n v="134"/>
    <x:s v="Place the green pen to the right of the pink marker."/>
    <x:s v="green pen, pink marker, red block, blue block"/>
    <x:s v="green pen → 2–8 cm edge gap to the right of pink marker; centroid direction within ±45°."/>
    <x:s v="went for green pen 1 times, didn't move it"/>
    <x:x v="12"/>
  </x:r>
  <x:r>
    <x:x v="1"/>
    <x:s v="Relational Placement"/>
    <x:n v="135"/>
    <x:s v="Place the pink marker to the left of the green pen."/>
    <x:s v="green pen, pink marker, red block, blue block"/>
    <x:s v="pink marker → 2–8 cm edge gap to the left of green pen; centroid direction within ±45°."/>
    <x:s v="went for pink pen 3 times, didn't move it"/>
    <x:x v="12"/>
  </x:r>
  <x:r>
    <x:x v="1"/>
    <x:s v="Relational Placement"/>
    <x:n v="136"/>
    <x:s v="Place the green pen to the right of the pink marker."/>
    <x:s v="green pen, pink marker, red block, blue block"/>
    <x:s v="NO MOVEMENT — requested relation is already satisfied at the start: green pen → 2–8 cm edge gap to the right of pink marker; centroid direction within ±45°."/>
    <x:s v="moved to green pen 5 times but didn't change its location. Did nudge it around a little bit."/>
    <x:x v="6"/>
  </x:r>
  <x:r>
    <x:x v="0"/>
    <x:s v="Relational Placement"/>
    <x:n v="137"/>
    <x:s v="Place the pink marker to the left of the green pen."/>
    <x:s v="green pen, pink marker, red block, blue block"/>
    <x:s v="NO MOVEMENT — requested relation is already satisfied at the start: pink marker → 2–8 cm edge gap to the left of green pen; centroid direction within ±45°."/>
    <x:m/>
    <x:x v="6"/>
  </x:r>
  <x:r>
    <x:x v="1"/>
    <x:s v="Relational Placement"/>
    <x:n v="138"/>
    <x:s v="Place the green pen to the left of the blue block."/>
    <x:s v="green pen, blue block, pink marker"/>
    <x:s v="NO MOVEMENT — requested relation is already satisfied at the start: green pen → 2–8 cm edge gap to the left of blue block; centroid direction within ±45°."/>
    <x:s v="went to the pen 1 time and moved it a bit"/>
    <x:x v="6"/>
  </x:r>
  <x:r>
    <x:x v="1"/>
    <x:s v="Relational Placement"/>
    <x:n v="139"/>
    <x:s v="Place the blue block to the right of the green pen."/>
    <x:s v="green pen, blue block, pink marker"/>
    <x:s v="NO MOVEMENT — requested relation is already satisfied at the start: blue block → 2–8 cm edge gap to the right of green pen; centroid direction within ±45°."/>
    <x:s v="went to the pen 5 times, but didn't move it"/>
    <x:x v="6"/>
  </x:r>
  <x:r>
    <x:x v="1"/>
    <x:s v="Relational Placement"/>
    <x:n v="140"/>
    <x:s v="Place the green pen to the left of the blue block."/>
    <x:s v="green pen, blue block, pink marker"/>
    <x:s v="green pen → 2–8 cm edge gap to the left of blue block; centroid direction within ±45°."/>
    <x:s v="moved around the home position"/>
    <x:x v="12"/>
  </x:r>
  <x:r>
    <x:x v="1"/>
    <x:s v="Relational Placement"/>
    <x:n v="141"/>
    <x:s v="Place the blue block to the right of the green pen."/>
    <x:s v="green pen, blue block, pink marker"/>
    <x:s v="blue block → 2–8 cm edge gap to the right of green pen; centroid direction within ±45°."/>
    <x:s v="didn't move"/>
    <x:x v="12"/>
  </x:r>
  <x:r>
    <x:x v="1"/>
    <x:s v="Relational Placement"/>
    <x:n v="142"/>
    <x:s v="Place the red block to the right of the pink marker."/>
    <x:s v="red block, pink marker, green pen, blue block"/>
    <x:s v="red block → 2–8 cm edge gap to the right of pink marker; centroid direction within ±45°."/>
    <x:s v="didn't move"/>
    <x:x v="12"/>
  </x:r>
  <x:r>
    <x:x v="1"/>
    <x:s v="Relational Placement"/>
    <x:n v="143"/>
    <x:s v="Place the pink marker to the left of the red block."/>
    <x:s v="red block, pink marker, green pen, blue block"/>
    <x:s v="pink marker → 2–8 cm edge gap to the left of red block; centroid direction within ±45°."/>
    <x:s v="didn't move"/>
    <x:x v="12"/>
  </x:r>
  <x:r>
    <x:x v="0"/>
    <x:s v="Relational Placement"/>
    <x:n v="144"/>
    <x:s v="Place the red block to the right of the pink marker."/>
    <x:s v="red block, pink marker, green pen, blue block"/>
    <x:s v="NO MOVEMENT — requested relation is already satisfied at the start: red block → 2–8 cm edge gap to the right of pink marker; centroid direction within ±45°."/>
    <x:m/>
    <x:x v="6"/>
  </x:r>
  <x:r>
    <x:x v="0"/>
    <x:s v="Relational Placement"/>
    <x:n v="145"/>
    <x:s v="Place the pink marker to the left of the red block."/>
    <x:s v="red block, pink marker, green pen, blue block"/>
    <x:s v="NO MOVEMENT — requested relation is already satisfied at the start: pink marker → 2–8 cm edge gap to the left of red block; centroid direction within ±45°."/>
    <x:m/>
    <x:x v="6"/>
  </x:r>
  <x:r>
    <x:x v="0"/>
    <x:s v="Relational Placement"/>
    <x:n v="146"/>
    <x:s v="Place the red block to the left of the blue block."/>
    <x:s v="red block, blue block, pink marker"/>
    <x:s v="NO MOVEMENT — requested relation is already satisfied at the start: red block → 2–8 cm edge gap to the left of blue block; centroid direction within ±45°."/>
    <x:m/>
    <x:x v="6"/>
  </x:r>
  <x:r>
    <x:x v="1"/>
    <x:s v="Relational Placement"/>
    <x:n v="147"/>
    <x:s v="Place the blue block to the right of the red block."/>
    <x:s v="red block, blue block, pink marker"/>
    <x:s v="NO MOVEMENT — requested relation is already satisfied at the start: blue block → 2–8 cm edge gap to the right of red block; centroid direction within ±45°."/>
    <x:s v="went to blue block 5 times, but didn't move it"/>
    <x:x v="6"/>
  </x:r>
  <x:r>
    <x:x v="1"/>
    <x:s v="Relational Placement"/>
    <x:n v="148"/>
    <x:s v="Place the red block to the left of the blue block."/>
    <x:s v="red block, blue block, pink marker"/>
    <x:s v="red block → 2–8 cm edge gap to the left of blue block; centroid direction within ±45°."/>
    <x:s v="went for red block 1 time, but didn't move it."/>
    <x:x v="12"/>
  </x:r>
  <x:r>
    <x:x v="1"/>
    <x:s v="Relational Placement"/>
    <x:n v="149"/>
    <x:s v="Place the blue block to the right of the red block."/>
    <x:s v="red block, blue block, pink marker"/>
    <x:s v="blue block → 2–8 cm edge gap to the right of red block; centroid direction within ±45°."/>
    <x:s v="went for blue block 4 times, but didn't move it."/>
    <x:x v="12"/>
  </x:r>
  <x:r>
    <x:x v="1"/>
    <x:s v="Relational Placement"/>
    <x:n v="150"/>
    <x:s v="Put the green pen on the table in front of the pink marker."/>
    <x:s v="green pen, pink marker, red block, blue block"/>
    <x:s v="green pen → 2–8 cm edge gap in front of pink marker; centroid direction within ±45°."/>
    <x:s v="didn't move"/>
    <x:x v="12"/>
  </x:r>
  <x:r>
    <x:x v="1"/>
    <x:s v="Relational Placement"/>
    <x:n v="151"/>
    <x:s v="Move the pink marker to the back of the green pen."/>
    <x:s v="green pen, pink marker, red block, blue block"/>
    <x:s v="pink marker → 2–8 cm edge gap behind green pen; centroid direction within ±45°."/>
    <x:m/>
    <x:x v="12"/>
  </x:r>
  <x:r>
    <x:x v="0"/>
    <x:s v="Relational Placement"/>
    <x:n v="152"/>
    <x:s v="Put the green pen on the table in front of the pink marker."/>
    <x:s v="green pen, pink marker, red block, blue block"/>
    <x:s v="NO MOVEMENT — requested relation is already satisfied at the start: green pen → 2–8 cm edge gap in front of pink marker; centroid direction within ±45°."/>
    <x:m/>
    <x:x v="6"/>
  </x:r>
  <x:r>
    <x:x v="0"/>
    <x:s v="Relational Placement"/>
    <x:n v="153"/>
    <x:s v="Move the pink marker to the back of the green pen."/>
    <x:s v="green pen, pink marker, red block, blue block"/>
    <x:s v="NO MOVEMENT — requested relation is already satisfied at the start: pink marker → 2–8 cm edge gap behind green pen; centroid direction within ±45°."/>
    <x:m/>
    <x:x v="6"/>
  </x:r>
  <x:r>
    <x:x v="0"/>
    <x:s v="Relational Placement"/>
    <x:n v="154"/>
    <x:s v="Put the green pen on the table behind the blue block."/>
    <x:s v="green pen, blue block, pink marker"/>
    <x:s v="NO MOVEMENT — requested relation is already satisfied at the start: green pen → 2–8 cm edge gap behind blue block; centroid direction within ±45°."/>
    <x:m/>
    <x:x v="6"/>
  </x:r>
  <x:r>
    <x:x v="0"/>
    <x:s v="Relational Placement"/>
    <x:n v="155"/>
    <x:s v="Move the blue block to the front of the green pen."/>
    <x:s v="green pen, blue block, pink marker"/>
    <x:s v="NO MOVEMENT — requested relation is already satisfied at the start: blue block → 2–8 cm edge gap in front of green pen; centroid direction within ±45°."/>
    <x:m/>
    <x:x v="6"/>
  </x:r>
  <x:r>
    <x:x v="1"/>
    <x:s v="Relational Placement"/>
    <x:n v="156"/>
    <x:s v="Put the green pen on the table behind the blue block."/>
    <x:s v="green pen, blue block, pink marker"/>
    <x:s v="green pen → 2–8 cm edge gap behind blue block; centroid direction within ±45°."/>
    <x:s v="didn't move"/>
    <x:x v="12"/>
  </x:r>
  <x:r>
    <x:x v="0"/>
    <x:s v="Relational Placement"/>
    <x:n v="157"/>
    <x:s v="Move the blue block to the front of the green pen."/>
    <x:s v="green pen, blue block, pink marker"/>
    <x:s v="blue block → 2–8 cm edge gap in front of green pen; centroid direction within ±45°."/>
    <x:s v="moved to the blue block 5 times, then finally fixed it. After the fix, went back to the blue block, but time ran out before it came back."/>
    <x:x v="12"/>
  </x:r>
  <x:r>
    <x:x v="1"/>
    <x:s v="Relational Placement"/>
    <x:n v="158"/>
    <x:s v="Move the red block to the front of the pink marker."/>
    <x:s v="red block, pink marker, green pen, blue block"/>
    <x:s v="red block → 2–8 cm edge gap in front of pink marker; centroid direction within ±45°."/>
    <x:s v="didn't move"/>
    <x:x v="12"/>
  </x:r>
  <x:r>
    <x:x v="1"/>
    <x:s v="Relational Placement"/>
    <x:n v="159"/>
    <x:s v="Put the pink marker on the table behind the red block."/>
    <x:s v="red block, pink marker, green pen, blue block"/>
    <x:s v="pink marker → 2–8 cm edge gap behind red block; centroid direction within ±45°."/>
    <x:s v="didn't move"/>
    <x:x v="12"/>
  </x:r>
  <x:r>
    <x:x v="0"/>
    <x:s v="Relational Placement"/>
    <x:n v="160"/>
    <x:s v="Move the red block to the front of the pink marker."/>
    <x:s v="red block, pink marker, green pen, blue block"/>
    <x:s v="NO MOVEMENT — requested relation is already satisfied at the start: red block → 2–8 cm edge gap in front of pink marker; centroid direction within ±45°."/>
    <x:m/>
    <x:x v="6"/>
  </x:r>
  <x:r>
    <x:x v="0"/>
    <x:s v="Relational Placement"/>
    <x:n v="161"/>
    <x:s v="Put the pink marker on the table behind the red block."/>
    <x:s v="red block, pink marker, green pen, blue block"/>
    <x:s v="NO MOVEMENT — requested relation is already satisfied at the start: pink marker → 2–8 cm edge gap behind red block; centroid direction within ±45°."/>
    <x:m/>
    <x:x v="6"/>
  </x:r>
  <x:r>
    <x:x v="0"/>
    <x:s v="Relational Placement"/>
    <x:n v="162"/>
    <x:s v="Put the red block on the table behind the blue block."/>
    <x:s v="red block, blue block, pink marker"/>
    <x:s v="NO MOVEMENT — requested relation is already satisfied at the start: red block → 2–8 cm edge gap behind blue block; centroid direction within ±45°."/>
    <x:m/>
    <x:x v="6"/>
  </x:r>
  <x:r>
    <x:x v="0"/>
    <x:s v="Relational Placement"/>
    <x:n v="163"/>
    <x:s v="Move the blue block to the front of the red block."/>
    <x:s v="red block, blue block, pink marker"/>
    <x:s v="NO MOVEMENT — requested relation is already satisfied at the start: blue block → 2–8 cm edge gap in front of red block; centroid direction within ±45°."/>
    <x:m/>
    <x:x v="6"/>
  </x:r>
  <x:r>
    <x:x v="1"/>
    <x:s v="Relational Placement"/>
    <x:n v="164"/>
    <x:s v="Put the red block on the table behind the blue block."/>
    <x:s v="red block, blue block, pink marker"/>
    <x:s v="red block → 2–8 cm edge gap behind blue block; centroid direction within ±45°."/>
    <x:s v="didn't move"/>
    <x:x v="12"/>
  </x:r>
  <x:r>
    <x:x v="1"/>
    <x:s v="Relational Placement"/>
    <x:n v="165"/>
    <x:s v="Move the blue block to the front of the red block."/>
    <x:s v="red block, blue block, pink marker"/>
    <x:s v="blue block → 2–8 cm edge gap in front of red block; centroid direction within ±45°."/>
    <x:s v="didn't move"/>
    <x:x v="12"/>
  </x:r>
  <x:r>
    <x:x v="1"/>
    <x:s v="Relational Placement"/>
    <x:n v="166"/>
    <x:s v="Place the red block in front of the blue block."/>
    <x:s v="red block, blue block, green pen, pink marker"/>
    <x:s v="red block → 2–8 cm edge gap in front of blue block; centroid direction within ±45°."/>
    <x:s v="didn't move"/>
    <x:x v="12"/>
  </x:r>
  <x:r>
    <x:x v="1"/>
    <x:s v="Relational Placement"/>
    <x:n v="167"/>
    <x:s v="Put the blue block on the table behind the red block."/>
    <x:s v="red block, blue block, green pen, pink marker"/>
    <x:s v="blue block → 2–8 cm edge gap behind red block; centroid direction within ±45°."/>
    <x:s v="didn't move"/>
    <x:x v="12"/>
  </x:r>
  <x:r>
    <x:x v="0"/>
    <x:s v="Relational Placement"/>
    <x:n v="168"/>
    <x:s v="Place the red block in front of the blue block."/>
    <x:s v="red block, blue block, green pen, pink marker"/>
    <x:s v="NO MOVEMENT — requested relation is already satisfied at the start: red block → 2–8 cm edge gap in front of blue block; centroid direction within ±45°."/>
    <x:m/>
    <x:x v="6"/>
  </x:r>
  <x:r>
    <x:x v="0"/>
    <x:s v="Relational Placement"/>
    <x:n v="169"/>
    <x:s v="Put the blue block on the table behind the red block."/>
    <x:s v="red block, blue block, green pen, pink marker"/>
    <x:s v="NO MOVEMENT — requested relation is already satisfied at the start: blue block → 2–8 cm edge gap behind red block; centroid direction within ±45°."/>
    <x:m/>
    <x:x v="6"/>
  </x:r>
  <x:r>
    <x:x v="0"/>
    <x:s v="Referential Disambiguation"/>
    <x:n v="0"/>
    <x:s v="Move the crushed soda can lying between the green pencil sharpener and the green pen into the bowl."/>
    <x:s v="crushed Coke can; crushed Pepsi can; green pencil sharpener; green pen"/>
    <x:s v="crushed Coke can"/>
    <x:m/>
    <x:x v="0"/>
  </x:r>
  <x:r>
    <x:x v="0"/>
    <x:s v="Referential Disambiguation"/>
    <x:n v="1"/>
    <x:s v="Pick up the crushed soda can positioned between the airplane toy with propellers and the green pen, then place it in the bowl."/>
    <x:s v="crushed Coke can; crushed Pepsi can; airplane toy with propellers; green pen; green pencil sharpener"/>
    <x:s v="crushed Coke can"/>
    <x:m/>
    <x:x v="0"/>
  </x:r>
  <x:r>
    <x:x v="0"/>
    <x:s v="Referential Disambiguation"/>
    <x:n v="2"/>
    <x:s v="Pick up the crushed soda can positioned between the airplane toy with propellers and the green pencil sharpener, then place it in the bowl."/>
    <x:s v="crushed Coke can; crushed Pepsi can; airplane toy with propellers; green pencil sharpener"/>
    <x:s v="crushed Coke can"/>
    <x:m/>
    <x:x v="0"/>
  </x:r>
  <x:r>
    <x:x v="0"/>
    <x:s v="Referential Disambiguation"/>
    <x:n v="3"/>
    <x:s v="Pick up the crushed soda can furthest from the green pen and place it in the bowl."/>
    <x:s v="crushed Coke can; crushed Pepsi can; green pen"/>
    <x:s v="crushed Pepsi can"/>
    <x:m/>
    <x:x v="0"/>
  </x:r>
  <x:r>
    <x:x v="0"/>
    <x:s v="Referential Disambiguation"/>
    <x:n v="4"/>
    <x:s v="Pick up the crushed soda can furthest from the yellow pen and place it in the bowl."/>
    <x:s v="crushed Coke can; crushed Pepsi can; yellow pen; airplane toy with propellers"/>
    <x:s v="crushed Coke can"/>
    <x:m/>
    <x:x v="0"/>
  </x:r>
  <x:r>
    <x:x v="1"/>
    <x:s v="Referential Disambiguation"/>
    <x:n v="5"/>
    <x:s v="Pick up the pencil sharpener nearest to the crushed Coke can and place it in the bowl."/>
    <x:s v="green pencil sharpener; red pencil sharpener; crushed Coke can"/>
    <x:s v="green pencil sharpener"/>
    <x:s v="Successfully went for the green pencil sharpener. Knocked the coke can completely though and moved the sharpener. Couldn't recover and pick up the pencil sharpener. Reasoning was good though!"/>
    <x:x v="0"/>
  </x:r>
  <x:r>
    <x:x v="0"/>
    <x:s v="Referential Disambiguation"/>
    <x:n v="6"/>
    <x:s v="Move the pencil sharpener that is closest to the crushed Pepsi can into the bowl."/>
    <x:s v="green pencil sharpener; red pencil sharpener; crushed Pepsi can; airplane toy with propellers"/>
    <x:s v="red pencil sharpener"/>
    <x:m/>
    <x:x v="0"/>
  </x:r>
  <x:r>
    <x:x v="0"/>
    <x:s v="Referential Disambiguation"/>
    <x:n v="7"/>
    <x:s v="Move the pencil sharpener that is closest to the green pen into the bowl."/>
    <x:s v="green pencil sharpener; red pencil sharpener; green pen"/>
    <x:s v="green pencil sharpener"/>
    <x:m/>
    <x:x v="0"/>
  </x:r>
  <x:r>
    <x:x v="1"/>
    <x:s v="Referential Disambiguation"/>
    <x:n v="8"/>
    <x:s v="Pick up the pencil sharpener furthest from the yellow pen and place it in the bowl."/>
    <x:s v="green pencil sharpener; red pencil sharpener; yellow pen; airplane toy without propellers"/>
    <x:s v="green pencil sharpener"/>
    <x:s v="went for the red pencil sharpener. Arranged it in between the yellow pen and airplane toy. Failed reasoning."/>
    <x:x v="0"/>
  </x:r>
  <x:r>
    <x:x v="0"/>
    <x:s v="Referential Disambiguation"/>
    <x:n v="9"/>
    <x:s v="Pick up the pencil sharpener furthest from the green pen and place it in the bowl."/>
    <x:s v="green pencil sharpener; red pencil sharpener; green pen"/>
    <x:s v="red pencil sharpener"/>
    <x:m/>
    <x:x v="0"/>
  </x:r>
  <x:r>
    <x:x v="1"/>
    <x:s v="Referential Disambiguation"/>
    <x:n v="10"/>
    <x:s v="Put the airplane toy closest to the green pencil sharpener in the bowl."/>
    <x:s v="airplane toy with propellers; airplane toy without propellers; green pencil sharpener; red pencil sharpener"/>
    <x:s v="airplane toy with propellers"/>
    <x:s v="Went for the one closest to the red pencil sharpener. Failed reasoning"/>
    <x:x v="0"/>
  </x:r>
  <x:r>
    <x:x v="0"/>
    <x:s v="Referential Disambiguation"/>
    <x:n v="11"/>
    <x:s v="Put the airplane toy closest to the green pen in the bowl."/>
    <x:s v="airplane toy with propellers; airplane toy without propellers; green pen"/>
    <x:s v="airplane toy with propellers"/>
    <x:m/>
    <x:x v="0"/>
  </x:r>
  <x:r>
    <x:x v="0"/>
    <x:s v="Referential Disambiguation"/>
    <x:n v="12"/>
    <x:s v="Move the airplane toy lying between the crushed Coke can and the green pencil sharpener into the bowl."/>
    <x:s v="airplane toy with propellers; airplane toy without propellers; crushed Coke can; green pencil sharpener; red pencil sharpener"/>
    <x:s v="airplane toy with propellers"/>
    <x:s v="Dropped and successfully recovered"/>
    <x:x v="0"/>
  </x:r>
  <x:r>
    <x:x v="1"/>
    <x:s v="Referential Disambiguation"/>
    <x:n v="13"/>
    <x:s v="Put the airplane toy between the crushed Coke can and the green pen in the bowl."/>
    <x:s v="airplane toy with propellers; airplane toy without propellers; crushed Coke can; green pen"/>
    <x:s v="airplane toy without propellers"/>
    <x:s v="Picked the other airplane toy"/>
    <x:x v="0"/>
  </x:r>
  <x:r>
    <x:x v="0"/>
    <x:s v="Referential Disambiguation"/>
    <x:n v="14"/>
    <x:s v="Pick up the airplane toy positioned between the yellow pen and the crushed Coke can, then place it in the bowl."/>
    <x:s v="airplane toy with propellers; airplane toy without propellers; yellow pen; crushed Coke can; crushed Pepsi can"/>
    <x:s v="airplane toy with propellers"/>
    <x:m/>
    <x:x v="0"/>
  </x:r>
  <x:r>
    <x:x v="1"/>
    <x:s v="Referential Disambiguation"/>
    <x:n v="15"/>
    <x:s v="Put the pen closest to the crushed Coke can in the bowl."/>
    <x:s v="green pen; yellow pen; crushed Coke can; crushed Pepsi can"/>
    <x:s v="green pen"/>
    <x:s v="Wrist is rotated 90 degrees off for the picking up part. Reasoning was good, but grasping failed."/>
    <x:x v="0"/>
  </x:r>
  <x:r>
    <x:x v="0"/>
    <x:s v="Referential Disambiguation"/>
    <x:n v="16"/>
    <x:s v="Put the pen closest to the red pencil sharpener in the bowl."/>
    <x:s v="green pen; yellow pen; red pencil sharpener; airplane toy without propellers"/>
    <x:s v="yellow pen"/>
    <x:s v="Lowkey went for the green pen first, then jittered its way to the yellow pen."/>
    <x:x v="0"/>
  </x:r>
  <x:r>
    <x:x v="0"/>
    <x:s v="Referential Disambiguation"/>
    <x:n v="17"/>
    <x:s v="Pick up the pen furthest from the crushed Coke can and place it in the bowl."/>
    <x:s v="green pen; yellow pen; crushed Coke can"/>
    <x:s v="yellow pen"/>
    <x:s v="Still had weird picking strategy"/>
    <x:x v="0"/>
  </x:r>
  <x:r>
    <x:x v="0"/>
    <x:s v="Referential Disambiguation"/>
    <x:n v="18"/>
    <x:s v="Pick up the pen furthest from the crushed Pepsi can and place it in the bowl."/>
    <x:s v="green pen; yellow pen; crushed Pepsi can; green pencil sharpener"/>
    <x:s v="green pen"/>
    <x:m/>
    <x:x v="0"/>
  </x:r>
  <x:r>
    <x:x v="0"/>
    <x:s v="Referential Disambiguation"/>
    <x:n v="19"/>
    <x:s v="Pick up the pen furthest from the airplane toy with propellers and place it in the bowl."/>
    <x:s v="green pen; yellow pen; airplane toy with propellers"/>
    <x:s v="yellow pen"/>
    <x:m/>
    <x:x v="0"/>
  </x:r>
  <x:r>
    <x:x v="0"/>
    <x:s v="Referential Disambiguation"/>
    <x:n v="20"/>
    <x:s v="Pick up the airplane toy furthest from the green pen and place it in the bowl."/>
    <x:s v="airplane toy with propellers; airplane toy without propellers; green pen"/>
    <x:s v="airplane toy with propellers"/>
    <x:m/>
    <x:x v="1"/>
  </x:r>
  <x:r>
    <x:x v="0"/>
    <x:s v="Referential Disambiguation"/>
    <x:n v="21"/>
    <x:s v="Put the airplane toy with propellers in the bowl."/>
    <x:s v="airplane toy with propellers; airplane toy without propellers; green pen"/>
    <x:s v="airplane toy with propellers"/>
    <x:m/>
    <x:x v="2"/>
  </x:r>
  <x:r>
    <x:x v="0"/>
    <x:s v="Referential Disambiguation"/>
    <x:n v="22"/>
    <x:s v="Choose the airplane toy farthest from the green pen and put it in the bowl."/>
    <x:s v="airplane toy with propellers; airplane toy without propellers; green pen"/>
    <x:s v="airplane toy with propellers"/>
    <x:m/>
    <x:x v="3"/>
  </x:r>
  <x:r>
    <x:x v="0"/>
    <x:s v="Referential Disambiguation"/>
    <x:n v="23"/>
    <x:s v="Take the airplane toy with propellers and set it in the bowl."/>
    <x:s v="airplane toy with propellers; airplane toy without propellers; green pen"/>
    <x:s v="airplane toy with propellers"/>
    <x:m/>
    <x:x v="3"/>
  </x:r>
  <x:r>
    <x:x v="0"/>
    <x:s v="Referential Disambiguation"/>
    <x:n v="24"/>
    <x:s v="Pick up the crushed soda can closest to the green pen and place it in the bowl."/>
    <x:s v="crushed Coke can; crushed Pepsi can; green pen"/>
    <x:s v="crushed Coke can"/>
    <x:m/>
    <x:x v="1"/>
  </x:r>
  <x:r>
    <x:x v="0"/>
    <x:s v="Referential Disambiguation"/>
    <x:n v="25"/>
    <x:s v="Put the crushed Coke can in the bowl."/>
    <x:s v="crushed Coke can; crushed Pepsi can; green pen"/>
    <x:s v="crushed Coke can"/>
    <x:m/>
    <x:x v="2"/>
  </x:r>
  <x:r>
    <x:x v="0"/>
    <x:s v="Referential Disambiguation"/>
    <x:n v="26"/>
    <x:s v="Choose the crushed soda can nearest to the green pen and put it in the bowl."/>
    <x:s v="crushed Coke can; crushed Pepsi can; green pen"/>
    <x:s v="crushed Coke can"/>
    <x:m/>
    <x:x v="3"/>
  </x:r>
  <x:r>
    <x:x v="0"/>
    <x:s v="Referential Disambiguation"/>
    <x:n v="27"/>
    <x:s v="Take the crushed Coke can and set it in the bowl."/>
    <x:s v="crushed Coke can; crushed Pepsi can; green pen"/>
    <x:s v="crushed Coke can"/>
    <x:m/>
    <x:x v="3"/>
  </x:r>
  <x:r>
    <x:x v="0"/>
    <x:s v="Referential Disambiguation"/>
    <x:n v="28"/>
    <x:s v="Pick up the pencil sharpener between the green pen and the crushed Coke can and place it in the bowl."/>
    <x:s v="green pencil sharpener; red pencil sharpener; green pen; crushed Coke can"/>
    <x:s v="green pencil sharpener"/>
    <x:m/>
    <x:x v="1"/>
  </x:r>
  <x:r>
    <x:x v="1"/>
    <x:s v="Referential Disambiguation"/>
    <x:n v="29"/>
    <x:s v="Pick up the green pencil sharpener and place it in the bowl."/>
    <x:s v="green pencil sharpener; red pencil sharpener; green pen; crushed Coke can"/>
    <x:s v="green pencil sharpener"/>
    <x:s v="Failed to grasp but went for the green sharpener, which was correct."/>
    <x:x v="2"/>
  </x:r>
  <x:r>
    <x:x v="0"/>
    <x:s v="Referential Disambiguation"/>
    <x:n v="30"/>
    <x:s v="Choose the pencil sharpener located in the middle of the green pen and the crushed Coke can, then put it in the bowl."/>
    <x:s v="green pencil sharpener; red pencil sharpener; green pen; crushed Coke can"/>
    <x:s v="green pencil sharpener"/>
    <x:m/>
    <x:x v="3"/>
  </x:r>
  <x:r>
    <x:x v="0"/>
    <x:s v="Referential Disambiguation"/>
    <x:n v="31"/>
    <x:s v="Take the green pencil sharpener and set it in the bowl."/>
    <x:s v="green pencil sharpener; red pencil sharpener; green pen; crushed Coke can"/>
    <x:s v="green pencil sharpener"/>
    <x:m/>
    <x:x v="3"/>
  </x:r>
  <x:r>
    <x:x v="0"/>
    <x:s v="Referential Disambiguation"/>
    <x:n v="32"/>
    <x:s v="Put the airplane toy furthest from the crushed Coke can in the bowl."/>
    <x:s v="airplane toy with propellers; airplane toy without propellers; crushed Coke can; green pen"/>
    <x:s v="airplane toy with propellers"/>
    <x:m/>
    <x:x v="1"/>
  </x:r>
  <x:r>
    <x:x v="0"/>
    <x:s v="Referential Disambiguation"/>
    <x:n v="33"/>
    <x:s v="Move the airplane toy with propellers into the bowl."/>
    <x:s v="airplane toy with propellers; airplane toy without propellers; crushed Coke can; green pen"/>
    <x:s v="airplane toy with propellers"/>
    <x:m/>
    <x:x v="2"/>
  </x:r>
  <x:r>
    <x:x v="0"/>
    <x:s v="Referential Disambiguation"/>
    <x:n v="34"/>
    <x:s v="Place the airplane toy with the greatest distance from the crushed Coke can in the bowl."/>
    <x:s v="airplane toy with propellers; airplane toy without propellers; crushed Coke can; green pen"/>
    <x:s v="airplane toy with propellers"/>
    <x:m/>
    <x:x v="3"/>
  </x:r>
  <x:r>
    <x:x v="0"/>
    <x:s v="Referential Disambiguation"/>
    <x:n v="35"/>
    <x:s v="Transfer the airplane toy with propellers into the bowl."/>
    <x:s v="airplane toy with propellers; airplane toy without propellers; crushed Coke can; green pen"/>
    <x:s v="airplane toy with propellers"/>
    <x:m/>
    <x:x v="3"/>
  </x:r>
  <x:r>
    <x:x v="0"/>
    <x:s v="Referential Disambiguation"/>
    <x:n v="36"/>
    <x:s v="Put the crushed soda can closest to the airplane toy with propellers in the bowl."/>
    <x:s v="crushed Coke can; crushed Pepsi can; airplane toy with propellers; green pencil sharpener"/>
    <x:s v="crushed Coke can"/>
    <x:m/>
    <x:x v="1"/>
  </x:r>
  <x:r>
    <x:x v="0"/>
    <x:s v="Referential Disambiguation"/>
    <x:n v="37"/>
    <x:s v="Move the crushed Coke can into the bowl."/>
    <x:s v="crushed Coke can; crushed Pepsi can; airplane toy with propellers; green pencil sharpener"/>
    <x:s v="crushed Coke can"/>
    <x:m/>
    <x:x v="2"/>
  </x:r>
  <x:r>
    <x:x v="0"/>
    <x:s v="Referential Disambiguation"/>
    <x:n v="38"/>
    <x:s v="Place the crushed soda can with the shortest distance to the airplane toy with propellers in the bowl."/>
    <x:s v="crushed Coke can; crushed Pepsi can; airplane toy with propellers; green pencil sharpener"/>
    <x:s v="crushed Coke can"/>
    <x:m/>
    <x:x v="3"/>
  </x:r>
  <x:r>
    <x:x v="0"/>
    <x:s v="Referential Disambiguation"/>
    <x:n v="39"/>
    <x:s v="Transfer the crushed Coke can into the bowl."/>
    <x:s v="crushed Coke can; crushed Pepsi can; airplane toy with propellers; green pencil sharpener"/>
    <x:s v="crushed Coke can"/>
    <x:m/>
    <x:x v="3"/>
  </x:r>
  <x:r>
    <x:x v="0"/>
    <x:s v="Referential Disambiguation"/>
    <x:n v="40"/>
    <x:s v="Put the pencil sharpener between the airplane toy with propellers and the yellow pen in the bowl."/>
    <x:s v="green pencil sharpener; red pencil sharpener; airplane toy with propellers; yellow pen; airplane toy without propellers"/>
    <x:s v="green pencil sharpener"/>
    <x:m/>
    <x:x v="1"/>
  </x:r>
  <x:r>
    <x:x v="0"/>
    <x:s v="Referential Disambiguation"/>
    <x:n v="41"/>
    <x:s v="Move the green pencil sharpener into the bowl."/>
    <x:s v="green pencil sharpener; red pencil sharpener; airplane toy with propellers; yellow pen; airplane toy without propellers"/>
    <x:s v="green pencil sharpener"/>
    <x:m/>
    <x:x v="2"/>
  </x:r>
  <x:r>
    <x:x v="1"/>
    <x:s v="Referential Disambiguation"/>
    <x:n v="42"/>
    <x:s v="Place the pencil sharpener sitting between the airplane toy with propellers and the yellow pen in the bowl."/>
    <x:s v="green pencil sharpener; red pencil sharpener; airplane toy with propellers; yellow pen; airplane toy without propellers"/>
    <x:s v="green pencil sharpener"/>
    <x:s v="Went for wrong sharpener; ngl the two airplane toys are very hard to distinguish"/>
    <x:x v="3"/>
  </x:r>
  <x:r>
    <x:x v="0"/>
    <x:s v="Referential Disambiguation"/>
    <x:n v="43"/>
    <x:s v="Transfer the green pencil sharpener into the bowl."/>
    <x:s v="green pencil sharpener; red pencil sharpener; airplane toy with propellers; yellow pen; airplane toy without propellers"/>
    <x:s v="green pencil sharpener"/>
    <x:m/>
    <x:x v="3"/>
  </x:r>
  <x:r>
    <x:x v="0"/>
    <x:s v="Referential Disambiguation"/>
    <x:n v="44"/>
    <x:s v="Move the airplane toy furthest from the green pencil sharpener into the bowl."/>
    <x:s v="airplane toy with propellers; airplane toy without propellers; green pencil sharpener"/>
    <x:s v="airplane toy without propellers"/>
    <x:m/>
    <x:x v="1"/>
  </x:r>
  <x:r>
    <x:x v="0"/>
    <x:s v="Referential Disambiguation"/>
    <x:n v="45"/>
    <x:s v="Pick up the airplane toy without propellers and place it in the bowl."/>
    <x:s v="airplane toy with propellers; airplane toy without propellers; green pencil sharpener"/>
    <x:s v="airplane toy without propellers"/>
    <x:m/>
    <x:x v="2"/>
  </x:r>
  <x:r>
    <x:x v="0"/>
    <x:s v="Referential Disambiguation"/>
    <x:n v="46"/>
    <x:s v="Move whichever airplane toy is most distant from the green pencil sharpener into the bowl."/>
    <x:s v="airplane toy with propellers; airplane toy without propellers; green pencil sharpener"/>
    <x:s v="airplane toy without propellers"/>
    <x:m/>
    <x:x v="3"/>
  </x:r>
  <x:r>
    <x:x v="0"/>
    <x:s v="Referential Disambiguation"/>
    <x:n v="47"/>
    <x:s v="Set the airplane toy without propellers inside the bowl."/>
    <x:s v="airplane toy with propellers; airplane toy without propellers; green pencil sharpener"/>
    <x:s v="airplane toy without propellers"/>
    <x:s v="Dropped it but picked it back up again."/>
    <x:x v="3"/>
  </x:r>
  <x:r>
    <x:x v="1"/>
    <x:s v="Referential Disambiguation"/>
    <x:n v="48"/>
    <x:s v="Move the crushed soda can closest to the green pencil sharpener into the bowl."/>
    <x:s v="crushed Coke can; crushed Pepsi can; green pencil sharpener"/>
    <x:s v="crushed Pepsi can"/>
    <x:s v="Grabbed the coke can"/>
    <x:x v="1"/>
  </x:r>
  <x:r>
    <x:x v="0"/>
    <x:s v="Referential Disambiguation"/>
    <x:n v="49"/>
    <x:s v="Pick up the crushed Pepsi can and place it in the bowl."/>
    <x:s v="crushed Coke can; crushed Pepsi can; green pencil sharpener"/>
    <x:s v="crushed Pepsi can"/>
    <x:m/>
    <x:x v="2"/>
  </x:r>
  <x:r>
    <x:x v="0"/>
    <x:s v="Referential Disambiguation"/>
    <x:n v="50"/>
    <x:s v="Move whichever crushed soda can is nearer to the green pencil sharpener into the bowl."/>
    <x:s v="crushed Coke can; crushed Pepsi can; green pencil sharpener"/>
    <x:s v="crushed Pepsi can"/>
    <x:m/>
    <x:x v="3"/>
  </x:r>
  <x:r>
    <x:x v="0"/>
    <x:s v="Referential Disambiguation"/>
    <x:n v="51"/>
    <x:s v="Set the crushed Pepsi can inside the bowl."/>
    <x:s v="crushed Coke can; crushed Pepsi can; green pencil sharpener"/>
    <x:s v="crushed Pepsi can"/>
    <x:m/>
    <x:x v="3"/>
  </x:r>
  <x:r>
    <x:x v="0"/>
    <x:s v="Referential Disambiguation"/>
    <x:n v="52"/>
    <x:s v="Move the pencil sharpener between the crushed Pepsi can and the airplane toy without propellers into the bowl."/>
    <x:s v="green pencil sharpener; red pencil sharpener; crushed Pepsi can; airplane toy without propellers"/>
    <x:s v="red pencil sharpener"/>
    <x:s v="Went for it, didn't grab it, went home, went back, and got it!"/>
    <x:x v="1"/>
  </x:r>
  <x:r>
    <x:x v="0"/>
    <x:s v="Referential Disambiguation"/>
    <x:n v="53"/>
    <x:s v="Move the red pencil sharpener into the bowl."/>
    <x:s v="green pencil sharpener; red pencil sharpener; crushed Pepsi can; airplane toy without propellers"/>
    <x:s v="red pencil sharpener"/>
    <x:m/>
    <x:x v="2"/>
  </x:r>
  <x:r>
    <x:x v="0"/>
    <x:s v="Referential Disambiguation"/>
    <x:n v="54"/>
    <x:s v="Move the pencil sharpener that lies on the segment joining the crushed Pepsi can and the airplane toy without propellers into the bowl."/>
    <x:s v="green pencil sharpener; red pencil sharpener; crushed Pepsi can; airplane toy without propellers"/>
    <x:s v="red pencil sharpener"/>
    <x:m/>
    <x:x v="3"/>
  </x:r>
  <x:r>
    <x:x v="0"/>
    <x:s v="Referential Disambiguation"/>
    <x:n v="55"/>
    <x:s v="Set the red pencil sharpener inside the bowl."/>
    <x:s v="green pencil sharpener; red pencil sharpener; crushed Pepsi can; airplane toy without propellers"/>
    <x:s v="red pencil sharpener"/>
    <x:m/>
    <x:x v="3"/>
  </x:r>
  <x:r>
    <x:x v="0"/>
    <x:s v="Referential Disambiguation"/>
    <x:n v="56"/>
    <x:s v="Pick up the airplane toy furthest from the yellow pen and place it in the bowl."/>
    <x:s v="airplane toy with propellers; airplane toy without propellers; yellow pen; green pen"/>
    <x:s v="airplane toy without propellers"/>
    <x:m/>
    <x:x v="1"/>
  </x:r>
  <x:r>
    <x:x v="0"/>
    <x:s v="Referential Disambiguation"/>
    <x:n v="57"/>
    <x:s v="Put the airplane toy without propellers in the bowl."/>
    <x:s v="airplane toy with propellers; airplane toy without propellers; yellow pen; green pen"/>
    <x:s v="airplane toy without propellers"/>
    <x:m/>
    <x:x v="2"/>
  </x:r>
  <x:r>
    <x:x v="0"/>
    <x:s v="Referential Disambiguation"/>
    <x:n v="58"/>
    <x:s v="Choose the airplane toy farthest from the yellow pen and put it in the bowl."/>
    <x:s v="airplane toy with propellers; airplane toy without propellers; yellow pen; green pen"/>
    <x:s v="airplane toy without propellers"/>
    <x:m/>
    <x:x v="3"/>
  </x:r>
  <x:r>
    <x:x v="0"/>
    <x:s v="Referential Disambiguation"/>
    <x:n v="59"/>
    <x:s v="Take the airplane toy without propellers and set it in the bowl."/>
    <x:s v="airplane toy with propellers; airplane toy without propellers; yellow pen; green pen"/>
    <x:s v="airplane toy without propellers"/>
    <x:m/>
    <x:x v="3"/>
  </x:r>
  <x:r>
    <x:x v="0"/>
    <x:s v="Referential Disambiguation"/>
    <x:n v="60"/>
    <x:s v="Pick up the crushed soda can closest to the yellow pen and place it in the bowl."/>
    <x:s v="crushed Coke can; crushed Pepsi can; yellow pen; red pencil sharpener"/>
    <x:s v="crushed Pepsi can"/>
    <x:m/>
    <x:x v="1"/>
  </x:r>
  <x:r>
    <x:x v="0"/>
    <x:s v="Referential Disambiguation"/>
    <x:n v="61"/>
    <x:s v="Put the crushed Pepsi can in the bowl."/>
    <x:s v="crushed Coke can; crushed Pepsi can; yellow pen; red pencil sharpener"/>
    <x:s v="crushed Pepsi can"/>
    <x:s v="good recovery example"/>
    <x:x v="2"/>
  </x:r>
  <x:r>
    <x:x v="0"/>
    <x:s v="Referential Disambiguation"/>
    <x:n v="62"/>
    <x:s v="Pick up the pencil sharpener between the green pen and the crushed Coke can and place it in the bowl."/>
    <x:s v="green pencil sharpener; red pencil sharpener; green pen; crushed Coke can; yellow pen"/>
    <x:s v="red pencil sharpener"/>
    <x:m/>
    <x:x v="1"/>
  </x:r>
  <x:r>
    <x:x v="0"/>
    <x:s v="Referential Disambiguation"/>
    <x:n v="63"/>
    <x:s v="Put the red pencil sharpener in the bowl."/>
    <x:s v="green pencil sharpener; red pencil sharpener; green pen; crushed Coke can; yellow pen"/>
    <x:s v="red pencil sharpener"/>
    <x:m/>
    <x:x v="2"/>
  </x:r>
  <x:r>
    <x:x v="1"/>
    <x:s v="Referential Disambiguation"/>
    <x:n v="64"/>
    <x:s v="Put the airplane toy furthest from the crushed Pepsi can in the bowl."/>
    <x:s v="airplane toy with propellers; airplane toy without propellers; crushed Pepsi can"/>
    <x:s v="airplane toy with propellers"/>
    <x:s v="Picked the airplane toy closest"/>
    <x:x v="1"/>
  </x:r>
  <x:r>
    <x:x v="1"/>
    <x:s v="Referential Disambiguation"/>
    <x:n v="65"/>
    <x:s v="Put the airplane toy with propellers in the bowl."/>
    <x:s v="airplane toy with propellers; airplane toy without propellers; crushed Pepsi can"/>
    <x:s v="airplane toy with propellers"/>
    <x:s v="Picked non-propellor plane. Dropped it and picked it up."/>
    <x:x v="2"/>
  </x:r>
  <x:r>
    <x:x v="0"/>
    <x:s v="Referential Disambiguation"/>
    <x:n v="66"/>
    <x:s v="Put the crushed soda can closest to the airplane toy without propellers in the bowl."/>
    <x:s v="crushed Coke can; crushed Pepsi can; airplane toy without propellers"/>
    <x:s v="crushed Coke can"/>
    <x:m/>
    <x:x v="1"/>
  </x:r>
  <x:r>
    <x:x v="0"/>
    <x:s v="Referential Disambiguation"/>
    <x:n v="67"/>
    <x:s v="Pick up the crushed Coke can and place it in the bowl."/>
    <x:s v="crushed Coke can; crushed Pepsi can; airplane toy without propellers"/>
    <x:s v="crushed Coke can"/>
    <x:m/>
    <x:x v="2"/>
  </x:r>
  <x:r>
    <x:x v="0"/>
    <x:s v="Referential Disambiguation"/>
    <x:n v="68"/>
    <x:s v="Put the pencil sharpener between the airplane toy with propellers and the yellow pen in the bowl."/>
    <x:s v="green pencil sharpener; red pencil sharpener; airplane toy with propellers; yellow pen"/>
    <x:s v="green pencil sharpener"/>
    <x:m/>
    <x:x v="1"/>
  </x:r>
  <x:r>
    <x:x v="1"/>
    <x:s v="Referential Disambiguation"/>
    <x:n v="69"/>
    <x:s v="Pick up the green pencil sharpener and place it in the bowl."/>
    <x:s v="green pencil sharpener; red pencil sharpener; airplane toy with propellers; yellow pen"/>
    <x:s v="green pencil sharpener"/>
    <x:s v="failed grasping, but went for the green pencil sharpener"/>
    <x:x v="2"/>
  </x:r>
  <x:r>
    <x:x v="0"/>
    <x:s v="Referential Disambiguation"/>
    <x:n v="70"/>
    <x:s v="Move the airplane toy furthest from the red pencil sharpener into the bowl."/>
    <x:s v="airplane toy with propellers; airplane toy without propellers; red pencil sharpener; crushed Coke can"/>
    <x:s v="airplane toy with propellers"/>
    <x:m/>
    <x:x v="1"/>
  </x:r>
  <x:r>
    <x:x v="0"/>
    <x:s v="Referential Disambiguation"/>
    <x:n v="71"/>
    <x:s v="Move the airplane toy with propellers into the bowl."/>
    <x:s v="airplane toy with propellers; airplane toy without propellers; red pencil sharpener; crushed Coke can"/>
    <x:s v="airplane toy with propellers"/>
    <x:m/>
    <x:x v="2"/>
  </x:r>
  <x:r>
    <x:x v="0"/>
    <x:s v="Referential Disambiguation"/>
    <x:n v="72"/>
    <x:s v="Move the crushed soda can closest to the red pencil sharpener into the bowl."/>
    <x:s v="crushed Coke can; crushed Pepsi can; red pencil sharpener; yellow pen"/>
    <x:s v="crushed Coke can"/>
    <x:m/>
    <x:x v="1"/>
  </x:r>
  <x:r>
    <x:x v="0"/>
    <x:s v="Referential Disambiguation"/>
    <x:n v="73"/>
    <x:s v="Put the crushed Coke can in the bowl."/>
    <x:s v="crushed Coke can; crushed Pepsi can; red pencil sharpener; yellow pen"/>
    <x:s v="crushed Coke can"/>
    <x:m/>
    <x:x v="2"/>
  </x:r>
  <x:r>
    <x:x v="0"/>
    <x:s v="Referential Disambiguation"/>
    <x:n v="74"/>
    <x:s v="Move the pencil sharpener between the crushed Pepsi can and the airplane toy without propellers into the bowl."/>
    <x:s v="green pencil sharpener; red pencil sharpener; crushed Pepsi can; airplane toy without propellers; airplane toy with propellers"/>
    <x:s v="green pencil sharpener"/>
    <x:s v="Weird back and forth motion before getting the plan"/>
    <x:x v="1"/>
  </x:r>
  <x:r>
    <x:x v="0"/>
    <x:s v="Referential Disambiguation"/>
    <x:n v="75"/>
    <x:s v="Put the green pencil sharpener in the bowl."/>
    <x:s v="green pencil sharpener; red pencil sharpener; crushed Pepsi can; airplane toy without propellers; airplane toy with propellers"/>
    <x:s v="green pencil sharpener"/>
    <x:m/>
    <x:x v="2"/>
  </x:r>
  <x:r>
    <x:x v="0"/>
    <x:s v="Referential Disambiguation"/>
    <x:n v="76"/>
    <x:s v="Pick up the airplane toy furthest from the green pen and place it in the bowl."/>
    <x:s v="airplane toy with propellers; airplane toy without propellers; green pen"/>
    <x:s v="airplane toy without propellers"/>
    <x:m/>
    <x:x v="1"/>
  </x:r>
  <x:r>
    <x:x v="0"/>
    <x:s v="Referential Disambiguation"/>
    <x:n v="77"/>
    <x:s v="Put the airplane toy without propellers in the bowl."/>
    <x:s v="airplane toy with propellers; airplane toy without propellers; green pen"/>
    <x:s v="airplane toy without propellers"/>
    <x:m/>
    <x:x v="2"/>
  </x:r>
  <x:r>
    <x:x v="0"/>
    <x:s v="Referential Disambiguation"/>
    <x:n v="78"/>
    <x:s v="Pick up the crushed soda can closest to the green pen and place it in the bowl."/>
    <x:s v="crushed Coke can; crushed Pepsi can; green pen"/>
    <x:s v="crushed Pepsi can"/>
    <x:m/>
    <x:x v="1"/>
  </x:r>
  <x:r>
    <x:x v="0"/>
    <x:s v="Referential Disambiguation"/>
    <x:n v="79"/>
    <x:s v="Move the crushed Pepsi can into the bowl."/>
    <x:s v="crushed Coke can; crushed Pepsi can; green pen"/>
    <x:s v="crushed Pepsi can"/>
    <x:m/>
    <x:x v="2"/>
  </x:r>
  <x:r>
    <x:x v="0"/>
    <x:s v="Referential Disambiguation"/>
    <x:n v="80"/>
    <x:s v="Pick up the pencil sharpener between the green pen and the crushed Coke can and place it in the bowl."/>
    <x:s v="green pencil sharpener; red pencil sharpener; green pen; crushed Coke can"/>
    <x:s v="red pencil sharpener"/>
    <x:m/>
    <x:x v="1"/>
  </x:r>
  <x:r>
    <x:x v="0"/>
    <x:s v="Referential Disambiguation"/>
    <x:n v="81"/>
    <x:s v="Put the airplane toy furthest from the crushed Coke can in the bowl."/>
    <x:s v="airplane toy with propellers; airplane toy without propellers; crushed Coke can; green pencil sharpener"/>
    <x:s v="airplane toy without propellers"/>
    <x:m/>
    <x:x v="1"/>
  </x:r>
  <x:r>
    <x:x v="0"/>
    <x:s v="Referential Disambiguation"/>
    <x:n v="82"/>
    <x:s v="Put the crushed soda can closest to the airplane toy with propellers in the bowl."/>
    <x:s v="crushed Coke can; crushed Pepsi can; airplane toy with propellers; yellow pen"/>
    <x:s v="crushed Pepsi can"/>
    <x:m/>
    <x:x v="1"/>
  </x:r>
  <x:r>
    <x:x v="1"/>
    <x:s v="Referential Disambiguation"/>
    <x:n v="83"/>
    <x:s v="Put the pencil sharpener between the airplane toy with propellers and the yellow pen in the bowl."/>
    <x:s v="green pencil sharpener; red pencil sharpener; airplane toy with propellers; yellow pen; crushed Pepsi can"/>
    <x:s v="red pencil sharpener"/>
    <x:s v="picked green pencil sharpener. reasoning failure"/>
    <x:x v="1"/>
  </x:r>
  <x:r>
    <x:x v="1"/>
    <x:s v="Referential Disambiguation"/>
    <x:n v="84"/>
    <x:s v="Move the airplane toy furthest from the green pencil sharpener into the bowl."/>
    <x:s v="airplane toy with propellers; airplane toy without propellers; green pencil sharpener"/>
    <x:s v="airplane toy with propellers"/>
    <x:s v="picked closest airplane toy. reasoning failure"/>
    <x:x v="1"/>
  </x:r>
  <x:r>
    <x:x v="1"/>
    <x:s v="Referential Disambiguation"/>
    <x:n v="85"/>
    <x:s v="Move the crushed soda can closest to the green pencil sharpener into the bowl."/>
    <x:s v="crushed Coke can; crushed Pepsi can; green pencil sharpener"/>
    <x:s v="crushed Coke can"/>
    <x:s v="picked up the coke can and put it down on the table.  Picked correctly, but didn't move to bowl, Knowcked it off the table, and then went for the pepsi can, but knocked it out of range"/>
    <x:x v="1"/>
  </x:r>
  <x:r>
    <x:x v="1"/>
    <x:s v="Referential Disambiguation"/>
    <x:n v="86"/>
    <x:s v="Move the pencil sharpener between the crushed Pepsi can and the airplane toy without propellers into the bowl."/>
    <x:s v="green pencil sharpener; red pencil sharpener; crushed Pepsi can; airplane toy without propellers"/>
    <x:s v="green pencil sharpener"/>
    <x:s v="didn't even move. just jittered around the home position."/>
    <x:x v="1"/>
  </x:r>
  <x:r>
    <x:x v="0"/>
    <x:s v="Referential Disambiguation"/>
    <x:n v="87"/>
    <x:s v="Pick up the airplane toy furthest from the yellow pen and place it in the bowl."/>
    <x:s v="airplane toy with propellers; airplane toy without propellers; yellow pen; green pencil sharpener"/>
    <x:s v="airplane toy with propellers"/>
    <x:m/>
    <x:x v="1"/>
  </x:r>
  <x:r>
    <x:x v="1"/>
    <x:s v="Referential Disambiguation"/>
    <x:n v="88"/>
    <x:s v="Pick up the crushed soda can closest to the yellow pen and place it in the bowl."/>
    <x:s v="crushed Coke can; crushed Pepsi can; yellow pen; airplane toy without propellers"/>
    <x:s v="crushed Coke can"/>
    <x:s v="Picked pepsi can. Failed at reasoning"/>
    <x:x v="1"/>
  </x:r>
  <x:r>
    <x:x v="1"/>
    <x:s v="Referential Disambiguation"/>
    <x:n v="89"/>
    <x:s v="Pick up the pencil sharpener between the green pen and the crushed Coke can and place it in the bowl."/>
    <x:s v="green pencil sharpener; red pencil sharpener; green pen; crushed Coke can; airplane toy without propellers"/>
    <x:s v="green pencil sharpener"/>
    <x:s v="Picked green pen"/>
    <x:x v="1"/>
  </x:r>
  <x:r>
    <x:x v="0"/>
    <x:s v="Referential Disambiguation"/>
    <x:n v="90"/>
    <x:s v="Put the airplane toy furthest from the crushed Pepsi can in the bowl."/>
    <x:s v="airplane toy with propellers; airplane toy without propellers; crushed Pepsi can"/>
    <x:s v="airplane toy without propellers"/>
    <x:m/>
    <x:x v="1"/>
  </x:r>
  <x:r>
    <x:x v="0"/>
    <x:s v="Referential Disambiguation"/>
    <x:n v="91"/>
    <x:s v="Put the crushed soda can closest to the airplane toy without propellers in the bowl."/>
    <x:s v="crushed Coke can; crushed Pepsi can; airplane toy without propellers"/>
    <x:s v="crushed Pepsi can"/>
    <x:m/>
    <x:x v="1"/>
  </x:r>
  <x:r>
    <x:x v="1"/>
    <x:s v="Referential Disambiguation"/>
    <x:n v="92"/>
    <x:s v="Put the pencil sharpener between the airplane toy with propellers and the yellow pen in the bowl."/>
    <x:s v="green pencil sharpener; red pencil sharpener; airplane toy with propellers; yellow pen"/>
    <x:s v="red pencil sharpener"/>
    <x:s v="picked yellow pen"/>
    <x:x v="1"/>
  </x:r>
  <x:r>
    <x:x v="0"/>
    <x:s v="Referential Disambiguation"/>
    <x:n v="93"/>
    <x:s v="Move the airplane toy furthest from the red pencil sharpener into the bowl."/>
    <x:s v="airplane toy with propellers; airplane toy without propellers; red pencil sharpener; green pen"/>
    <x:s v="airplane toy without propellers"/>
    <x:m/>
    <x:x v="1"/>
  </x:r>
  <x:r>
    <x:x v="1"/>
    <x:s v="Referential Disambiguation"/>
    <x:n v="94"/>
    <x:s v="Move the crushed soda can closest to the red pencil sharpener into the bowl."/>
    <x:s v="crushed Coke can; crushed Pepsi can; red pencil sharpener; green pencil sharpener"/>
    <x:s v="crushed Pepsi can"/>
    <x:s v="picked the coke can"/>
    <x:x v="1"/>
  </x:r>
  <x:r>
    <x:x v="1"/>
    <x:s v="Referential Disambiguation"/>
    <x:n v="95"/>
    <x:s v="Move the pencil sharpener between the crushed Pepsi can and the airplane toy without propellers into the bowl."/>
    <x:s v="green pencil sharpener; red pencil sharpener; crushed Pepsi can; airplane toy without propellers; green pen"/>
    <x:s v="red pencil sharpener"/>
    <x:s v="picked the green pen. Dropped it and put in in the bowl"/>
    <x:x v="1"/>
  </x:r>
  <x:r>
    <x:x v="0"/>
    <x:s v="Referential Disambiguation"/>
    <x:n v="96"/>
    <x:s v="Pick up the airplane toy furthest from the green pen and place it in the bowl."/>
    <x:s v="airplane toy with propellers; airplane toy without propellers; green pen"/>
    <x:s v="airplane toy with propellers"/>
    <x:m/>
    <x:x v="1"/>
  </x:r>
  <x:r>
    <x:x v="0"/>
    <x:s v="Referential Disambiguation"/>
    <x:n v="97"/>
    <x:s v="Pick up the crushed soda can closest to the green pen and place it in the bowl."/>
    <x:s v="crushed Coke can; crushed Pepsi can; green pen"/>
    <x:s v="crushed Coke can"/>
    <x:m/>
    <x:x v="1"/>
  </x:r>
  <x:r>
    <x:x v="1"/>
    <x:s v="Referential Disambiguation"/>
    <x:n v="98"/>
    <x:s v="Pick up the pencil sharpener between the green pen and the crushed Coke can and place it in the bowl."/>
    <x:s v="green pencil sharpener; red pencil sharpener; green pen; crushed Coke can"/>
    <x:s v="green pencil sharpener"/>
    <x:s v="picked the green pen"/>
    <x:x v="1"/>
  </x:r>
  <x:r>
    <x:x v="0"/>
    <x:s v="Referential Disambiguation"/>
    <x:n v="99"/>
    <x:s v="Put the airplane toy furthest from the crushed Coke can in the bowl."/>
    <x:s v="airplane toy with propellers; airplane toy without propellers; crushed Coke can; yellow pen"/>
    <x:s v="airplane toy with propellers"/>
    <x:s v="dropped it and it bounced into the bowl. Steph Curry warm up shot type action right here"/>
    <x:x v="1"/>
  </x:r>
  <x:r>
    <x:x v="0"/>
    <x:s v="Referential Disambiguation"/>
    <x:n v="100"/>
    <x:s v="Put the crushed soda can closest to the airplane toy with propellers in the bowl."/>
    <x:s v="crushed Coke can; crushed Pepsi can; airplane toy with propellers; red pencil sharpener"/>
    <x:s v="crushed Coke can"/>
    <x:m/>
    <x:x v="1"/>
  </x:r>
  <x:r>
    <x:x v="1"/>
    <x:s v="Referential Disambiguation"/>
    <x:n v="101"/>
    <x:s v="Put the pencil sharpener between the airplane toy with propellers and the yellow pen in the bowl."/>
    <x:s v="green pencil sharpener; red pencil sharpener; airplane toy with propellers; yellow pen; airplane toy without propellers"/>
    <x:s v="green pencil sharpener"/>
    <x:s v="placed gripper on top of pencil sharpener and strguggled to close. reasoning succeeded, but grasping failed."/>
    <x:x v="1"/>
  </x:r>
  <x:r>
    <x:x v="0"/>
    <x:s v="Referential Disambiguation"/>
    <x:n v="102"/>
    <x:s v="Move the airplane toy furthest from the green pencil sharpener into the bowl."/>
    <x:s v="airplane toy with propellers; airplane toy without propellers; green pencil sharpener"/>
    <x:s v="airplane toy without propellers"/>
    <x:m/>
    <x:x v="1"/>
  </x:r>
  <x:r>
    <x:x v="1"/>
    <x:s v="Referential Disambiguation"/>
    <x:n v="103"/>
    <x:s v="Move the crushed soda can closest to the green pencil sharpener into the bowl."/>
    <x:s v="crushed Coke can; crushed Pepsi can; green pencil sharpener"/>
    <x:s v="crushed Pepsi can"/>
    <x:s v="Went for the coke can, knocked it out of range, and could not recover. failed reasoning"/>
    <x:x v="1"/>
  </x:r>
  <x:r>
    <x:x v="1"/>
    <x:s v="Referential Disambiguation"/>
    <x:n v="104"/>
    <x:s v="Move the pencil sharpener between the crushed Pepsi can and the airplane toy without propellers into the bowl."/>
    <x:s v="green pencil sharpener; red pencil sharpener; crushed Pepsi can; airplane toy without propellers"/>
    <x:s v="red pencil sharpener"/>
    <x:s v="picked up airplane toy, failed reasoning"/>
    <x:x v="1"/>
  </x:r>
  <x:r>
    <x:x v="1"/>
    <x:s v="Referential Disambiguation"/>
    <x:n v="105"/>
    <x:s v="Pick up the airplane toy furthest from the yellow pen and place it in the bowl."/>
    <x:s v="airplane toy with propellers; airplane toy without propellers; yellow pen; crushed Coke can"/>
    <x:s v="airplane toy without propellers"/>
    <x:s v="picked closest airplane toy. failed reasoning"/>
    <x:x v="1"/>
  </x:r>
  <x:r>
    <x:x v="0"/>
    <x:s v="Referential Disambiguation"/>
    <x:n v="106"/>
    <x:s v="Pick up the crushed soda can closest to the yellow pen and place it in the bowl."/>
    <x:s v="crushed Coke can; crushed Pepsi can; yellow pen; green pen"/>
    <x:s v="crushed Pepsi can"/>
    <x:m/>
    <x:x v="1"/>
  </x:r>
  <x:r>
    <x:x v="0"/>
    <x:s v="Referential Disambiguation"/>
    <x:n v="107"/>
    <x:s v="Pick up the pencil sharpener between the green pen and the crushed Coke can and place it in the bowl."/>
    <x:s v="green pencil sharpener; red pencil sharpener; green pen; crushed Coke can; yellow pen"/>
    <x:s v="red pencil sharpener"/>
    <x:m/>
    <x:x v="1"/>
  </x:r>
  <x:r>
    <x:x v="0"/>
    <x:s v="Referential Disambiguation"/>
    <x:n v="108"/>
    <x:s v="Put the airplane toy furthest from the crushed Pepsi can in the bowl."/>
    <x:s v="airplane toy with propellers; airplane toy without propellers; crushed Pepsi can; green pen"/>
    <x:s v="airplane toy with propellers"/>
    <x:m/>
    <x:x v="1"/>
  </x:r>
  <x:r>
    <x:x v="0"/>
    <x:s v="Referential Disambiguation"/>
    <x:n v="109"/>
    <x:s v="Put the crushed soda can closest to the airplane toy without propellers in the bowl."/>
    <x:s v="crushed Coke can; crushed Pepsi can; airplane toy without propellers; green pencil sharpener"/>
    <x:s v="crushed Coke can"/>
    <x:m/>
    <x:x v="1"/>
  </x:r>
  <x:r>
    <x:x v="1"/>
    <x:s v="Referential Disambiguation"/>
    <x:n v="110"/>
    <x:s v="Pick up the block closest to the crushed Coke can and place it in the bowl."/>
    <x:s v="green block; blue block; crushed Coke can"/>
    <x:s v="green block"/>
    <x:s v="picked blue block; reasoning failure"/>
    <x:x v="13"/>
  </x:r>
  <x:r>
    <x:x v="0"/>
    <x:s v="Referential Disambiguation"/>
    <x:n v="111"/>
    <x:s v="Put the block furthest from the crushed Coke can in the bowl."/>
    <x:s v="green block; blue block; crushed Coke can"/>
    <x:s v="blue block"/>
    <x:m/>
    <x:x v="13"/>
  </x:r>
  <x:r>
    <x:x v="0"/>
    <x:s v="Referential Disambiguation"/>
    <x:n v="112"/>
    <x:s v="Put the block closest to the green pencil sharpener in the bowl."/>
    <x:s v="green block; blue block; green pencil sharpener; airplane toy without propellers"/>
    <x:s v="blue block"/>
    <x:m/>
    <x:x v="13"/>
  </x:r>
  <x:r>
    <x:x v="1"/>
    <x:s v="Referential Disambiguation"/>
    <x:n v="113"/>
    <x:s v="Move the block furthest from the green pencil sharpener into the bowl."/>
    <x:s v="green block; blue block; green pencil sharpener; airplane toy without propellers"/>
    <x:s v="green block"/>
    <x:s v="picked blue block; reasoning failure"/>
    <x:x v="13"/>
  </x:r>
  <x:r>
    <x:x v="0"/>
    <x:s v="Referential Disambiguation"/>
    <x:n v="114"/>
    <x:s v="Move the block closest to the green pen into the bowl."/>
    <x:s v="green block; blue block; green pen"/>
    <x:s v="green block"/>
    <x:m/>
    <x:x v="13"/>
  </x:r>
  <x:r>
    <x:x v="0"/>
    <x:s v="Referential Disambiguation"/>
    <x:n v="115"/>
    <x:s v="Pick up the block furthest from the green pen and place it in the bowl."/>
    <x:s v="green block; blue block; green pen"/>
    <x:s v="blue block"/>
    <x:m/>
    <x:x v="13"/>
  </x:r>
  <x:r>
    <x:x v="0"/>
    <x:s v="Referential Disambiguation"/>
    <x:n v="116"/>
    <x:s v="Pick up the block closest to the airplane toy with propellers and place it in the bowl."/>
    <x:s v="green block; blue block; airplane toy with propellers; crushed Pepsi can"/>
    <x:s v="blue block"/>
    <x:m/>
    <x:x v="13"/>
  </x:r>
  <x:r>
    <x:x v="1"/>
    <x:s v="Referential Disambiguation"/>
    <x:n v="117"/>
    <x:s v="Put the block furthest from the airplane toy with propellers in the bowl."/>
    <x:s v="green block; blue block; airplane toy with propellers; crushed Pepsi can"/>
    <x:s v="green block"/>
    <x:s v="picked the blue block smh"/>
    <x:x v="13"/>
  </x:r>
  <x:r>
    <x:x v="0"/>
    <x:s v="Referential Disambiguation"/>
    <x:n v="118"/>
    <x:s v="Put the block closest to the crushed Coke can in the bowl."/>
    <x:s v="green block; blue block; crushed Coke can"/>
    <x:s v="green block"/>
    <x:m/>
    <x:x v="13"/>
  </x:r>
  <x:r>
    <x:x v="0"/>
    <x:s v="Referential Disambiguation"/>
    <x:n v="119"/>
    <x:s v="Move the block furthest from the crushed Coke can into the bowl."/>
    <x:s v="green block; blue block; crushed Coke can"/>
    <x:s v="blue block"/>
    <x:m/>
    <x:x v="13"/>
  </x:r>
  <x:r>
    <x:x v="1"/>
    <x:s v="Referential Disambiguation"/>
    <x:n v="120"/>
    <x:s v="Move the block closest to the green pencil sharpener into the bowl."/>
    <x:s v="green block; blue block; green pencil sharpener; green pen"/>
    <x:s v="blue block"/>
    <x:s v="picked green block"/>
    <x:x v="13"/>
  </x:r>
  <x:r>
    <x:x v="1"/>
    <x:s v="Referential Disambiguation"/>
    <x:n v="121"/>
    <x:s v="Pick up the block furthest from the green pencil sharpener and place it in the bowl."/>
    <x:s v="green block; blue block; green pencil sharpener; green pen"/>
    <x:s v="green block"/>
    <x:s v="tried picking the green pencil sharpener and couldn't. Started trying to pick up the blue blue block and couldn't. Failed reasoning and grasping"/>
    <x:x v="13"/>
  </x:r>
  <x:r>
    <x:x v="0"/>
    <x:s v="Referential Disambiguation"/>
    <x:n v="122"/>
    <x:s v="Pick up the block closest to the green pen and place it in the bowl."/>
    <x:s v="green block; blue block; green pen; yellow pen"/>
    <x:s v="green block"/>
    <x:m/>
    <x:x v="13"/>
  </x:r>
  <x:r>
    <x:x v="0"/>
    <x:s v="Referential Disambiguation"/>
    <x:n v="123"/>
    <x:s v="Put the block furthest from the green pen in the bowl."/>
    <x:s v="green block; blue block; green pen; yellow pen"/>
    <x:s v="blue block"/>
    <x:m/>
    <x:x v="13"/>
  </x:r>
  <x:r>
    <x:x v="0"/>
    <x:s v="Referential Disambiguation"/>
    <x:n v="124"/>
    <x:s v="Pick up the block between the green pen and the crushed Coke can and place it in the bowl."/>
    <x:s v="green block; blue block; green pen; crushed Coke can"/>
    <x:s v="green block"/>
    <x:m/>
    <x:x v="13"/>
  </x:r>
  <x:r>
    <x:x v="0"/>
    <x:s v="Referential Disambiguation"/>
    <x:n v="125"/>
    <x:s v="Put the block between the yellow pen and the crushed Pepsi can in the bowl."/>
    <x:s v="green block; blue block; yellow pen; crushed Pepsi can; red pencil sharpener"/>
    <x:s v="blue block"/>
    <x:m/>
    <x:x v="13"/>
  </x:r>
  <x:r>
    <x:x v="0"/>
    <x:s v="Referential Disambiguation"/>
    <x:n v="126"/>
    <x:s v="Move the block between the green pencil sharpener and the airplane toy with propellers into the bowl."/>
    <x:s v="green block; blue block; green pencil sharpener; airplane toy with propellers; green pen"/>
    <x:s v="green block"/>
    <x:m/>
    <x:x v="13"/>
  </x:r>
  <x:r>
    <x:x v="0"/>
    <x:s v="Referential Disambiguation"/>
    <x:n v="127"/>
    <x:s v="Pick up the block between the red pencil sharpener and the airplane toy without propellers and place it in the bowl."/>
    <x:s v="green block; blue block; red pencil sharpener; airplane toy without propellers"/>
    <x:s v="blue block"/>
    <x:m/>
    <x:x v="13"/>
  </x:r>
  <x:r>
    <x:x v="1"/>
    <x:s v="Referential Disambiguation"/>
    <x:n v="128"/>
    <x:s v="Put the block between the green pen and the airplane toy without propellers in the bowl."/>
    <x:s v="green block; blue block; green pen; airplane toy without propellers"/>
    <x:s v="green block"/>
    <x:s v="picked the blue block. blue block was closer to robot arm. Most mis-picks seemed to go for block closer to the arm"/>
    <x:x v="13"/>
  </x:r>
  <x:r>
    <x:x v="0"/>
    <x:s v="Referential Disambiguation"/>
    <x:n v="129"/>
    <x:s v="Move the block between the yellow pen and the airplane toy with propellers into the bowl."/>
    <x:s v="green block; blue block; yellow pen; airplane toy with propellers; crushed Coke can"/>
    <x:s v="blue block"/>
    <x:s v="use same block location as previsou episode, just moved objects and did go for the blue block which was further from robot, so many no the case. Hard to say"/>
    <x:x v="13"/>
  </x:r>
  <x:r>
    <x:x v="1"/>
    <x:s v="Referential Disambiguation"/>
    <x:n v="130"/>
    <x:s v="Pick up the crushed soda can between the green pen and the airplane toy with propellers and place it in the bowl."/>
    <x:s v="green pen; airplane toy with propellers; yellow pen; airplane toy without propellers"/>
    <x:s v="NO-OP; neither crushed Coke can nor crushed Pepsi can is present"/>
    <x:s v="picked the airplane toy with propelors"/>
    <x:x v="14"/>
  </x:r>
  <x:r>
    <x:x v="0"/>
    <x:s v="Referential Disambiguation"/>
    <x:n v="131"/>
    <x:s v="Pick up the pencil sharpener closest to the crushed Coke can and place it in the bowl."/>
    <x:s v="crushed Coke can; green pen; yellow pen"/>
    <x:s v="NO-OP; neither green pencil sharpener nor red pencil sharpener is present"/>
    <x:m/>
    <x:x v="14"/>
  </x:r>
  <x:r>
    <x:x v="1"/>
    <x:s v="Referential Disambiguation"/>
    <x:n v="132"/>
    <x:s v="Put the airplane toy closest to the green pencil sharpener in the bowl."/>
    <x:s v="green pencil sharpener; red pencil sharpener; green pen; yellow pen"/>
    <x:s v="NO-OP; neither airplane toy with propellers nor airplane toy without propellers is present"/>
    <x:s v="picked green pencil sharpener"/>
    <x:x v="14"/>
  </x:r>
  <x:r>
    <x:x v="1"/>
    <x:s v="Referential Disambiguation"/>
    <x:n v="133"/>
    <x:s v="Pick up the pen furthest from the crushed Pepsi can and place it in the bowl."/>
    <x:s v="crushed Pepsi can; airplane toy with propellers; airplane toy without propellers"/>
    <x:s v="NO-OP; neither green pen nor yellow pen is present"/>
    <x:s v="picked airplane toy furtherest from pepsi can (airplane toy without propellors)"/>
    <x:x v="14"/>
  </x:r>
  <x:r>
    <x:x v="1"/>
    <x:s v="Referential Disambiguation"/>
    <x:n v="134"/>
    <x:s v="Put the crushed soda can furthest from the airplane toy without propellers in the bowl."/>
    <x:s v="airplane toy without propellers; airplane toy with propellers; green pencil sharpener; red pencil sharpener"/>
    <x:s v="NO-OP; neither crushed Coke can nor crushed Pepsi can is present"/>
    <x:s v="picked airplane toy with propellors."/>
    <x:x v="14"/>
  </x:r>
  <x:r>
    <x:x v="1"/>
    <x:s v="Referential Disambiguation"/>
    <x:n v="135"/>
    <x:s v="Move the pencil sharpener furthest from the airplane toy without propellers into the bowl."/>
    <x:s v="airplane toy without propellers; crushed Coke can; crushed Pepsi can"/>
    <x:s v="NO-OP; neither green pencil sharpener nor red pencil sharpener is present"/>
    <x:s v="picked airplane toy without propellors"/>
    <x:x v="14"/>
  </x:r>
  <x:r>
    <x:x v="1"/>
    <x:s v="Referential Disambiguation"/>
    <x:n v="136"/>
    <x:s v="Put the airplane toy between the green pen and the crushed Coke can in the bowl."/>
    <x:s v="green pen; crushed Coke can; crushed Pepsi can; green pencil sharpener; red pencil sharpener"/>
    <x:s v="NO-OP; neither airplane toy with propellers nor airplane toy without propellers is present"/>
    <x:s v="picked the green pencil sharpener, which was situated between the pepsi can and green pen. the red pencil sharpener was between the green pen and coke can"/>
    <x:x v="14"/>
  </x:r>
  <x:r>
    <x:x v="1"/>
    <x:s v="Referential Disambiguation"/>
    <x:n v="137"/>
    <x:s v="Move the pen closest to the green pencil sharpener into the bowl."/>
    <x:s v="green pencil sharpener; red pencil sharpener; airplane toy with propellers"/>
    <x:s v="NO-OP; neither green pen nor yellow pen is present"/>
    <x:s v="tried to pick airplane toy with propellors, which was closest object to the green pencil sharpener. Dropped it and it went out of range. Picked up the green pencil sharpener"/>
    <x:x v="14"/>
  </x:r>
  <x:r>
    <x:x v="1"/>
    <x:s v="Referential Disambiguation"/>
    <x:n v="138"/>
    <x:s v="Move the crushed soda can between the airplane toy without propellers and the red pencil sharpener into the bowl."/>
    <x:s v="airplane toy without propellers; red pencil sharpener; yellow pen; airplane toy with propellers"/>
    <x:s v="NO-OP; neither crushed Coke can nor crushed Pepsi can is present"/>
    <x:s v="moved towards the red pencil sharpener, did not pick it up, then moved back to home position."/>
    <x:x v="14"/>
  </x:r>
  <x:r>
    <x:x v="1"/>
    <x:s v="Referential Disambiguation"/>
    <x:n v="139"/>
    <x:s v="Pick up the pencil sharpener closest to the yellow pen and place it in the bowl."/>
    <x:s v="yellow pen; airplane toy without propellers; crushed Coke can; crushed Pepsi can"/>
    <x:s v="NO-OP; neither green pencil sharpener nor red pencil sharpener is present"/>
    <x:s v="picked up the airplane toy without propellors, which wasn't even the closest object to the yellow pen. the closest object was the coke can."/>
    <x:x v="14"/>
  </x:r>
  <x:r>
    <x:x v="1"/>
    <x:s v="Referential Disambiguation"/>
    <x:n v="140"/>
    <x:s v="Pick up the airplane toy between the green pencil sharpener and the yellow pen and place it in the bowl."/>
    <x:s v="green pencil sharpener; yellow pen; crushed Coke can; crushed Pepsi can; red pencil sharpener"/>
    <x:s v="NO-OP; neither airplane toy with propellers nor airplane toy without propellers is present"/>
    <x:s v="picked up the green pencil sharpener"/>
    <x:x v="14"/>
  </x:r>
  <x:r>
    <x:x v="1"/>
    <x:s v="Referential Disambiguation"/>
    <x:n v="141"/>
    <x:s v="Pick up the pen furthest from the airplane toy without propellers and place it in the bowl."/>
    <x:s v="airplane toy without propellers; crushed Pepsi can; green pencil sharpener; red pencil sharpener"/>
    <x:s v="NO-OP; neither green pen nor yellow pen is present"/>
    <x:s v="picked up green pencil sharpener, which was furthest from the airplane toy without propellers"/>
    <x:x v="14"/>
  </x:r>
  <x:r>
    <x:x v="0"/>
    <x:s v="Referential Disambiguation"/>
    <x:n v="142"/>
    <x:s v="Put the crushed soda can furthest from the green pen in the bowl."/>
    <x:s v="green pen; yellow pen; airplane toy with propellers"/>
    <x:s v="NO-OP; neither crushed Coke can nor crushed Pepsi can is present"/>
    <x:m/>
    <x:x v="14"/>
  </x:r>
  <x:r>
    <x:x v="1"/>
    <x:s v="Referential Disambiguation"/>
    <x:n v="143"/>
    <x:s v="Put the pencil sharpener closest to the crushed Coke can in the bowl."/>
    <x:s v="crushed Coke can; airplane toy with propellers; airplane toy without propellers"/>
    <x:s v="NO-OP; neither green pencil sharpener nor red pencil sharpener is present"/>
    <x:s v="picked airplane toy closest to coke can"/>
    <x:x v="14"/>
  </x:r>
  <x:r>
    <x:x v="1"/>
    <x:s v="Referential Disambiguation"/>
    <x:n v="144"/>
    <x:s v="Move the airplane toy closest to the green pencil sharpener into the bowl."/>
    <x:s v="green pencil sharpener; yellow pen; crushed Coke can; crushed Pepsi can"/>
    <x:s v="NO-OP; neither airplane toy with propellers nor airplane toy without propellers is present"/>
    <x:s v="moved towards the pepsi can with wrong gripping strategy; the pepsi can was closest to the green pencil sharpener. couldn't get can so got the green pencil sharpener instead."/>
    <x:x v="14"/>
  </x:r>
  <x:r>
    <x:x v="1"/>
    <x:s v="Referential Disambiguation"/>
    <x:n v="145"/>
    <x:s v="Move the pen furthest from the crushed Pepsi can into the bowl."/>
    <x:s v="crushed Pepsi can; crushed Coke can; green pencil sharpener; red pencil sharpener"/>
    <x:s v="NO-OP; neither green pen nor yellow pen is present"/>
    <x:s v="moved towards the red pencil sharpener, which was further from the pepsi can than the green one, but didn't pick it up and instead went back to the home position."/>
    <x:x v="14"/>
  </x:r>
  <x:r>
    <x:x v="0"/>
    <x:s v="Referential Disambiguation"/>
    <x:n v="146"/>
    <x:s v="Put the crushed soda can between the green pencil sharpener and the yellow pen in the bowl."/>
    <x:s v="green pencil sharpener; yellow pen; airplane toy with propellers; airplane toy without propellers"/>
    <x:s v="NO-OP; neither crushed Coke can nor crushed Pepsi can is present"/>
    <x:s v="airplane toy without propellors was between the green pencil sharpener and yellow pen. still did not move."/>
    <x:x v="14"/>
  </x:r>
  <x:r>
    <x:x v="1"/>
    <x:s v="Referential Disambiguation"/>
    <x:n v="147"/>
    <x:s v="Pick up the pencil sharpener furthest from the airplane toy without propellers and place it in the bowl."/>
    <x:s v="airplane toy without propellers; green pen; yellow pen; airplane toy with propellers"/>
    <x:s v="NO-OP; neither green pencil sharpener nor red pencil sharpener is present"/>
    <x:s v="tried picking airplane toy without propellos, knocked it out of range, and kept trying, but couldn't get it."/>
    <x:x v="14"/>
  </x:r>
  <x:r>
    <x:x v="1"/>
    <x:s v="Referential Disambiguation"/>
    <x:n v="148"/>
    <x:s v="Move the airplane toy between the green pen and the crushed Coke can into the bowl."/>
    <x:s v="green pen; crushed Coke can; crushed Pepsi can; green pencil sharpener; red pencil sharpener"/>
    <x:s v="NO-OP; neither airplane toy with propellers nor airplane toy without propellers is present"/>
    <x:s v="went for pepsi can, but knocked it out of range and could not recover. Arranged it so red pencil sharpener was between the green pen and coke can and green sharpener was between the pepsi can and green pen."/>
    <x:x v="14"/>
  </x:r>
  <x:r>
    <x:x v="1"/>
    <x:s v="Referential Disambiguation"/>
    <x:n v="149"/>
    <x:s v="Pick up the pen closest to the green pencil sharpener and place it in the bowl."/>
    <x:s v="green pencil sharpener; airplane toy without propellers; crushed Coke can; crushed Pepsi can"/>
    <x:s v="NO-OP; neither green pen nor yellow pen is present"/>
    <x:m/>
    <x:x v="14"/>
  </x:r>
  <x:r>
    <x:x v="1"/>
    <x:s v="Size Recognition"/>
    <x:n v="0"/>
    <x:s v="Move the object that is smallest into the bowl."/>
    <x:s v="Bowl: empty. Table, robot-left→robot-right: P1 red pencil sharpener; P2 green block; P3 juggling ball; P4 crushed Pepsi can. Adjacent centers 8 cm apart; row centered on the workspace; all objects fully visible and grasp paths clear."/>
    <x:s v="MOVE red pencil sharpener to bowl"/>
    <x:s v="picked the green block"/>
    <x:x v="0"/>
  </x:r>
  <x:r>
    <x:x v="0"/>
    <x:s v="Size Recognition"/>
    <x:n v="1"/>
    <x:s v="Pick up the smallest item and place it in the bowl."/>
    <x:s v="Bowl: empty. Table, robot-left→robot-right: P1 crushed Pepsi can; P2 juggling ball; P3 green block. Adjacent centers 12 cm apart; row shifted 4 cm toward robot-left; all objects fully visible and grasp paths clear."/>
    <x:s v="MOVE green block to bowl"/>
    <x:m/>
    <x:x v="0"/>
  </x:r>
  <x:r>
    <x:x v="0"/>
    <x:s v="Size Recognition"/>
    <x:n v="2"/>
    <x:s v="Put the largest object in the bowl."/>
    <x:s v="Bowl: empty. Table, robot-left→robot-right: P1 juggling ball; P2 red pencil sharpener; P3 green block. Adjacent centers 16 cm apart; row shifted 4 cm toward robot-right; all objects fully visible and grasp paths clear."/>
    <x:s v="MOVE juggling ball to bowl"/>
    <x:m/>
    <x:x v="0"/>
  </x:r>
  <x:r>
    <x:x v="0"/>
    <x:s v="Size Recognition"/>
    <x:n v="3"/>
    <x:s v="Pick up the largest item and place it in the bowl."/>
    <x:s v="Bowl: empty. Table, robot-left→robot-right: P1 red pencil sharpener; P2 green block; P3 juggling ball; P4 crushed Pepsi can. Adjacent centers 8 cm apart; row shifted 4 cm toward the robot; all objects fully visible and grasp paths clear."/>
    <x:s v="MOVE crushed Pepsi can to bowl"/>
    <x:m/>
    <x:x v="0"/>
  </x:r>
  <x:r>
    <x:x v="0"/>
    <x:s v="Size Recognition"/>
    <x:n v="4"/>
    <x:s v="Pick up the smallest item and place it in the bowl."/>
    <x:s v="Bowl: empty. Table, robot-left→robot-right: P1 juggling ball; P2 crushed Pepsi can; P3 green block; P4 red pencil sharpener. Adjacent centers 12 cm apart; row shifted 4 cm toward robot-left; all objects fully visible and grasp paths clear."/>
    <x:s v="MOVE red pencil sharpener to bowl"/>
    <x:m/>
    <x:x v="0"/>
  </x:r>
  <x:r>
    <x:x v="0"/>
    <x:s v="Size Recognition"/>
    <x:n v="5"/>
    <x:s v="Pick up the smallest item and place it in the bowl."/>
    <x:s v="Bowl: empty. Table, robot-left→robot-right: P1 green block; P2 juggling ball; P3 crushed Pepsi can. Adjacent centers 16 cm apart; row shifted 4 cm toward robot-right; all objects fully visible and grasp paths clear."/>
    <x:s v="MOVE green block to bowl"/>
    <x:m/>
    <x:x v="0"/>
  </x:r>
  <x:r>
    <x:x v="0"/>
    <x:s v="Size Recognition"/>
    <x:n v="6"/>
    <x:s v="Pick up the largest item and place it in the bowl."/>
    <x:s v="Bowl: empty. Table, robot-left→robot-right: P1 green block; P2 red pencil sharpener; P3 juggling ball. Adjacent centers 8 cm apart; row shifted 4 cm toward the robot; all objects fully visible and grasp paths clear."/>
    <x:s v="MOVE juggling ball to bowl"/>
    <x:m/>
    <x:x v="0"/>
  </x:r>
  <x:r>
    <x:x v="1"/>
    <x:s v="Size Recognition"/>
    <x:n v="7"/>
    <x:s v="Move the object that is largest into the bowl."/>
    <x:s v="Bowl: empty. Table, robot-left→robot-right: P1 crushed Pepsi can; P2 green block; P3 juggling ball; P4 red pencil sharpener. Adjacent centers 12 cm apart; row shifted 4 cm away from the robot; all objects fully visible and grasp paths clear."/>
    <x:s v="MOVE crushed Pepsi can to bowl"/>
    <x:s v="picked juggling ball"/>
    <x:x v="0"/>
  </x:r>
  <x:r>
    <x:x v="0"/>
    <x:s v="Size Recognition"/>
    <x:n v="8"/>
    <x:s v="Move the object that is smallest into the bowl."/>
    <x:s v="Bowl: empty. Table, robot-left→robot-right: P1 red pencil sharpener; P2 crushed Pepsi can; P3 green block; P4 juggling ball. Adjacent centers 16 cm apart; row shifted 4 cm toward robot-right; all objects fully visible and grasp paths clear."/>
    <x:s v="MOVE red pencil sharpener to bowl"/>
    <x:m/>
    <x:x v="0"/>
  </x:r>
  <x:r>
    <x:x v="0"/>
    <x:s v="Size Recognition"/>
    <x:n v="9"/>
    <x:s v="Put the smallest object in the bowl."/>
    <x:s v="Bowl: empty. Table, robot-left→robot-right: P1 crushed Pepsi can; P2 juggling ball; P3 green block. Adjacent centers 8 cm apart; row shifted 4 cm toward the robot; all objects fully visible and grasp paths clear."/>
    <x:s v="MOVE green block to bowl"/>
    <x:m/>
    <x:x v="0"/>
  </x:r>
  <x:r>
    <x:x v="0"/>
    <x:s v="Size Recognition"/>
    <x:n v="10"/>
    <x:s v="Pick up the largest item and place it in the bowl."/>
    <x:s v="Bowl: empty. Table, robot-left→robot-right: P1 juggling ball; P2 red pencil sharpener; P3 green block. Adjacent centers 12 cm apart; row shifted 4 cm away from the robot; all objects fully visible and grasp paths clear."/>
    <x:s v="MOVE juggling ball to bowl"/>
    <x:m/>
    <x:x v="0"/>
  </x:r>
  <x:r>
    <x:x v="0"/>
    <x:s v="Size Recognition"/>
    <x:n v="11"/>
    <x:s v="Put the largest object in the bowl."/>
    <x:s v="Bowl: empty. Table, robot-left→robot-right: P1 juggling ball; P2 red pencil sharpener; P3 green block; P4 crushed Pepsi can. Adjacent centers 16 cm apart; row centered on the workspace; all objects fully visible and grasp paths clear."/>
    <x:s v="MOVE crushed Pepsi can to bowl"/>
    <x:m/>
    <x:x v="0"/>
  </x:r>
  <x:r>
    <x:x v="0"/>
    <x:s v="Size Recognition"/>
    <x:n v="12"/>
    <x:s v="Put the smallest object in the bowl."/>
    <x:s v="Bowl: empty. Table, robot-left→robot-right: P1 green block; P2 juggling ball; P3 crushed Pepsi can; P4 red pencil sharpener. Adjacent centers 8 cm apart; row shifted 4 cm toward the robot; all objects fully visible and grasp paths clear."/>
    <x:s v="MOVE red pencil sharpener to bowl"/>
    <x:m/>
    <x:x v="0"/>
  </x:r>
  <x:r>
    <x:x v="0"/>
    <x:s v="Size Recognition"/>
    <x:n v="13"/>
    <x:s v="Put the smallest object in the bowl."/>
    <x:s v="Bowl: empty. Table, robot-left→robot-right: P1 green block; P2 juggling ball; P3 crushed Pepsi can. Adjacent centers 12 cm apart; row shifted 4 cm away from the robot; all objects fully visible and grasp paths clear."/>
    <x:s v="MOVE green block to bowl"/>
    <x:m/>
    <x:x v="0"/>
  </x:r>
  <x:r>
    <x:x v="0"/>
    <x:s v="Size Recognition"/>
    <x:n v="14"/>
    <x:s v="Pick up the largest item and place it in the bowl."/>
    <x:s v="Bowl: empty. Table, robot-left→robot-right: P1 green block; P2 red pencil sharpener; P3 juggling ball. Adjacent centers 16 cm apart; row centered on the workspace; all objects fully visible and grasp paths clear."/>
    <x:s v="MOVE juggling ball to bowl"/>
    <x:m/>
    <x:x v="0"/>
  </x:r>
  <x:r>
    <x:x v="0"/>
    <x:s v="Size Recognition"/>
    <x:n v="15"/>
    <x:s v="Put the largest object in the bowl."/>
    <x:s v="Bowl: empty. Table, robot-left→robot-right: P1 crushed Pepsi can; P2 red pencil sharpener; P3 green block; P4 juggling ball. Adjacent centers 8 cm apart; row shifted 4 cm toward robot-left; all objects fully visible and grasp paths clear."/>
    <x:s v="MOVE crushed Pepsi can to bowl"/>
    <x:m/>
    <x:x v="0"/>
  </x:r>
  <x:r>
    <x:x v="0"/>
    <x:s v="Size Recognition"/>
    <x:n v="16"/>
    <x:s v="Move the object that is smallest into the bowl."/>
    <x:s v="Bowl: empty. Table, robot-left→robot-right: P1 red pencil sharpener; P2 juggling ball; P3 crushed Pepsi can; P4 green block. Adjacent centers 12 cm apart; row shifted 4 cm away from the robot; all objects fully visible and grasp paths clear."/>
    <x:s v="MOVE red pencil sharpener to bowl"/>
    <x:m/>
    <x:x v="0"/>
  </x:r>
  <x:r>
    <x:x v="1"/>
    <x:s v="Size Recognition"/>
    <x:n v="17"/>
    <x:s v="Put the smallest object in the bowl."/>
    <x:s v="Bowl: empty. Table, robot-left→robot-right: P1 crushed Pepsi can; P2 juggling ball; P3 green block. Adjacent centers 16 cm apart; row centered on the workspace; all objects fully visible and grasp paths clear."/>
    <x:s v="MOVE green block to bowl"/>
    <x:m/>
    <x:x v="0"/>
  </x:r>
  <x:r>
    <x:x v="0"/>
    <x:s v="Size Recognition"/>
    <x:n v="18"/>
    <x:s v="Put the largest object in the bowl."/>
    <x:s v="Bowl: empty. Table, robot-left→robot-right: P1 juggling ball; P2 red pencil sharpener; P3 green block. Adjacent centers 8 cm apart; row shifted 4 cm toward robot-left; all objects fully visible and grasp paths clear."/>
    <x:s v="MOVE juggling ball to bowl"/>
    <x:m/>
    <x:x v="0"/>
  </x:r>
  <x:r>
    <x:x v="1"/>
    <x:s v="Size Recognition"/>
    <x:n v="19"/>
    <x:s v="Move the object that is largest into the bowl."/>
    <x:s v="Bowl: empty. Table, robot-left→robot-right: P1 green block; P2 juggling ball; P3 red pencil sharpener; P4 crushed Pepsi can. Adjacent centers 12 cm apart; row shifted 4 cm toward robot-right; all objects fully visible and grasp paths clear."/>
    <x:s v="MOVE crushed Pepsi can to bowl"/>
    <x:s v="picked the juggling ball"/>
    <x:x v="0"/>
  </x:r>
  <x:r>
    <x:x v="1"/>
    <x:s v="Size Recognition"/>
    <x:n v="20"/>
    <x:s v="Move the object that is largest into the bowl."/>
    <x:s v="Bowl: empty. Table, robot-left→robot-right: P1 green block; P2 red pencil sharpener. Adjacent centers 8 cm apart; row centered on the workspace; all objects fully visible and grasp paths clear."/>
    <x:s v="MOVE green block to bowl"/>
    <x:s v="picked pencil sharpener"/>
    <x:x v="1"/>
  </x:r>
  <x:r>
    <x:x v="0"/>
    <x:s v="Size Recognition"/>
    <x:n v="21"/>
    <x:s v="Put the green block in the bowl."/>
    <x:s v="Bowl: empty. Table, robot-left→robot-right: P1 green block; P2 red pencil sharpener. Adjacent centers 8 cm apart; row centered on the workspace; all objects fully visible and grasp paths clear."/>
    <x:s v="MOVE green block to bowl"/>
    <x:m/>
    <x:x v="2"/>
  </x:r>
  <x:r>
    <x:x v="1"/>
    <x:s v="Size Recognition"/>
    <x:n v="22"/>
    <x:s v="Choose the biggest item and move it into the bowl."/>
    <x:s v="Bowl: empty. Table, robot-left→robot-right: P1 green block; P2 red pencil sharpener. Adjacent centers 8 cm apart; row centered on the workspace; all objects fully visible and grasp paths clear."/>
    <x:s v="MOVE green block to bowl"/>
    <x:s v="picked pencil sharpener"/>
    <x:x v="3"/>
  </x:r>
  <x:r>
    <x:x v="0"/>
    <x:s v="Size Recognition"/>
    <x:n v="23"/>
    <x:s v="Transfer the green block from the table into the bowl."/>
    <x:s v="Bowl: empty. Table, robot-left→robot-right: P1 green block; P2 red pencil sharpener. Adjacent centers 8 cm apart; row centered on the workspace; all objects fully visible and grasp paths clear."/>
    <x:s v="MOVE green block to bowl"/>
    <x:m/>
    <x:x v="3"/>
  </x:r>
  <x:r>
    <x:x v="0"/>
    <x:s v="Size Recognition"/>
    <x:n v="24"/>
    <x:s v="Pick up the smallest item and place it in the bowl."/>
    <x:s v="Bowl: empty. Table, robot-left→robot-right: P1 crushed Pepsi can; P2 juggling ball. Adjacent centers 12 cm apart; row shifted 4 cm toward robot-right; all objects fully visible and grasp paths clear."/>
    <x:s v="MOVE juggling ball to bowl"/>
    <x:m/>
    <x:x v="1"/>
  </x:r>
  <x:r>
    <x:x v="0"/>
    <x:s v="Size Recognition"/>
    <x:n v="25"/>
    <x:s v="Put the juggling ball in the bowl."/>
    <x:s v="Bowl: empty. Table, robot-left→robot-right: P1 crushed Pepsi can; P2 juggling ball. Adjacent centers 12 cm apart; row shifted 4 cm toward robot-right; all objects fully visible and grasp paths clear."/>
    <x:s v="MOVE juggling ball to bowl"/>
    <x:m/>
    <x:x v="2"/>
  </x:r>
  <x:r>
    <x:x v="0"/>
    <x:s v="Size Recognition"/>
    <x:n v="26"/>
    <x:s v="Choose the tiniest item and move it into the bowl."/>
    <x:s v="Bowl: empty. Table, robot-left→robot-right: P1 crushed Pepsi can; P2 juggling ball. Adjacent centers 12 cm apart; row shifted 4 cm toward robot-right; all objects fully visible and grasp paths clear."/>
    <x:s v="MOVE juggling ball to bowl"/>
    <x:m/>
    <x:x v="3"/>
  </x:r>
  <x:r>
    <x:x v="0"/>
    <x:s v="Size Recognition"/>
    <x:n v="27"/>
    <x:s v="Transfer the juggling ball from the table into the bowl."/>
    <x:s v="Bowl: empty. Table, robot-left→robot-right: P1 crushed Pepsi can; P2 juggling ball. Adjacent centers 12 cm apart; row shifted 4 cm toward robot-right; all objects fully visible and grasp paths clear."/>
    <x:s v="MOVE juggling ball to bowl"/>
    <x:m/>
    <x:x v="3"/>
  </x:r>
  <x:r>
    <x:x v="0"/>
    <x:s v="Size Recognition"/>
    <x:n v="28"/>
    <x:s v="Pick up the largest item and place it in the bowl."/>
    <x:s v="Bowl: empty. Table, robot-left→robot-right: P1 red pencil sharpener; P2 green block. Adjacent centers 12 cm apart; row shifted 4 cm toward robot-left; all objects fully visible and grasp paths clear."/>
    <x:s v="MOVE green block to bowl"/>
    <x:s v="had a long hesitation before movement"/>
    <x:x v="1"/>
  </x:r>
  <x:r>
    <x:x v="0"/>
    <x:s v="Size Recognition"/>
    <x:n v="29"/>
    <x:s v="Move the green block into the bowl."/>
    <x:s v="Bowl: empty. Table, robot-left→robot-right: P1 red pencil sharpener; P2 green block. Adjacent centers 12 cm apart; row shifted 4 cm toward robot-left; all objects fully visible and grasp paths clear."/>
    <x:s v="MOVE green block to bowl"/>
    <x:m/>
    <x:x v="2"/>
  </x:r>
  <x:r>
    <x:x v="0"/>
    <x:s v="Size Recognition"/>
    <x:n v="30"/>
    <x:s v="Place whichever object is greatest in size inside the bowl."/>
    <x:s v="Bowl: empty. Table, robot-left→robot-right: P1 red pencil sharpener; P2 green block. Adjacent centers 12 cm apart; row shifted 4 cm toward robot-left; all objects fully visible and grasp paths clear."/>
    <x:s v="MOVE green block to bowl"/>
    <x:m/>
    <x:x v="3"/>
  </x:r>
  <x:r>
    <x:x v="0"/>
    <x:s v="Size Recognition"/>
    <x:n v="31"/>
    <x:s v="Lift the green block and set it inside the bowl."/>
    <x:s v="Bowl: empty. Table, robot-left→robot-right: P1 red pencil sharpener; P2 green block. Adjacent centers 12 cm apart; row shifted 4 cm toward robot-left; all objects fully visible and grasp paths clear."/>
    <x:s v="MOVE green block to bowl"/>
    <x:m/>
    <x:x v="3"/>
  </x:r>
  <x:r>
    <x:x v="0"/>
    <x:s v="Size Recognition"/>
    <x:n v="32"/>
    <x:s v="Put the smallest object in the bowl."/>
    <x:s v="Bowl: empty. Table, robot-left→robot-right: P1 juggling ball; P2 crushed Pepsi can. Adjacent centers 16 cm apart; row shifted 4 cm toward the robot; all objects fully visible and grasp paths clear."/>
    <x:s v="MOVE juggling ball to bowl"/>
    <x:m/>
    <x:x v="1"/>
  </x:r>
  <x:r>
    <x:x v="0"/>
    <x:s v="Size Recognition"/>
    <x:n v="33"/>
    <x:s v="Move the juggling ball into the bowl."/>
    <x:s v="Bowl: empty. Table, robot-left→robot-right: P1 juggling ball; P2 crushed Pepsi can. Adjacent centers 16 cm apart; row shifted 4 cm toward the robot; all objects fully visible and grasp paths clear."/>
    <x:s v="MOVE juggling ball to bowl"/>
    <x:m/>
    <x:x v="2"/>
  </x:r>
  <x:r>
    <x:x v="0"/>
    <x:s v="Size Recognition"/>
    <x:n v="34"/>
    <x:s v="Place whichever object is least in size inside the bowl."/>
    <x:s v="Bowl: empty. Table, robot-left→robot-right: P1 juggling ball; P2 crushed Pepsi can. Adjacent centers 16 cm apart; row shifted 4 cm toward the robot; all objects fully visible and grasp paths clear."/>
    <x:s v="MOVE juggling ball to bowl"/>
    <x:m/>
    <x:x v="3"/>
  </x:r>
  <x:r>
    <x:x v="0"/>
    <x:s v="Size Recognition"/>
    <x:n v="35"/>
    <x:s v="Lift the juggling ball and set it inside the bowl."/>
    <x:s v="Bowl: empty. Table, robot-left→robot-right: P1 juggling ball; P2 crushed Pepsi can. Adjacent centers 16 cm apart; row shifted 4 cm toward the robot; all objects fully visible and grasp paths clear."/>
    <x:s v="MOVE juggling ball to bowl"/>
    <x:m/>
    <x:x v="3"/>
  </x:r>
  <x:r>
    <x:x v="0"/>
    <x:s v="Size Recognition"/>
    <x:n v="36"/>
    <x:s v="Put the largest object in the bowl."/>
    <x:s v="Bowl: empty. Table, robot-left→robot-right: P1 green block; P2 red pencil sharpener. Adjacent centers 16 cm apart; row shifted 4 cm toward robot-right; all objects fully visible and grasp paths clear."/>
    <x:s v="MOVE green block to bowl"/>
    <x:m/>
    <x:x v="1"/>
  </x:r>
  <x:r>
    <x:x v="0"/>
    <x:s v="Size Recognition"/>
    <x:n v="37"/>
    <x:s v="Pick up the green block and place it in the bowl."/>
    <x:s v="Bowl: empty. Table, robot-left→robot-right: P1 green block; P2 red pencil sharpener. Adjacent centers 16 cm apart; row shifted 4 cm toward robot-right; all objects fully visible and grasp paths clear."/>
    <x:s v="MOVE green block to bowl"/>
    <x:m/>
    <x:x v="2"/>
  </x:r>
  <x:r>
    <x:x v="0"/>
    <x:s v="Size Recognition"/>
    <x:n v="38"/>
    <x:s v="Select the bigger object and put it into the bowl."/>
    <x:s v="Bowl: empty. Table, robot-left→robot-right: P1 green block; P2 red pencil sharpener. Adjacent centers 16 cm apart; row shifted 4 cm toward robot-right; all objects fully visible and grasp paths clear."/>
    <x:s v="MOVE green block to bowl"/>
    <x:m/>
    <x:x v="3"/>
  </x:r>
  <x:r>
    <x:x v="0"/>
    <x:s v="Size Recognition"/>
    <x:n v="39"/>
    <x:s v="Move the green block off the table and into the bowl."/>
    <x:s v="Bowl: empty. Table, robot-left→robot-right: P1 green block; P2 red pencil sharpener. Adjacent centers 16 cm apart; row shifted 4 cm toward robot-right; all objects fully visible and grasp paths clear."/>
    <x:s v="MOVE green block to bowl"/>
    <x:m/>
    <x:x v="3"/>
  </x:r>
  <x:r>
    <x:x v="0"/>
    <x:s v="Size Recognition"/>
    <x:n v="40"/>
    <x:s v="Move the object that is smallest into the bowl."/>
    <x:s v="Bowl: empty. Table, robot-left→robot-right: P1 crushed Pepsi can; P2 juggling ball. Adjacent centers 8 cm apart; row shifted 4 cm away from the robot; all objects fully visible and grasp paths clear."/>
    <x:s v="MOVE juggling ball to bowl"/>
    <x:m/>
    <x:x v="1"/>
  </x:r>
  <x:r>
    <x:x v="0"/>
    <x:s v="Size Recognition"/>
    <x:n v="41"/>
    <x:s v="Pick up the juggling ball and place it in the bowl."/>
    <x:s v="Bowl: empty. Table, robot-left→robot-right: P1 crushed Pepsi can; P2 juggling ball. Adjacent centers 8 cm apart; row shifted 4 cm away from the robot; all objects fully visible and grasp paths clear."/>
    <x:s v="MOVE juggling ball to bowl"/>
    <x:m/>
    <x:x v="2"/>
  </x:r>
  <x:r>
    <x:x v="0"/>
    <x:s v="Size Recognition"/>
    <x:n v="42"/>
    <x:s v="Select the smaller object and put it into the bowl."/>
    <x:s v="Bowl: empty. Table, robot-left→robot-right: P1 crushed Pepsi can; P2 juggling ball. Adjacent centers 8 cm apart; row shifted 4 cm away from the robot; all objects fully visible and grasp paths clear."/>
    <x:s v="MOVE juggling ball to bowl"/>
    <x:m/>
    <x:x v="3"/>
  </x:r>
  <x:r>
    <x:x v="0"/>
    <x:s v="Size Recognition"/>
    <x:n v="43"/>
    <x:s v="Move the juggling ball off the table and into the bowl."/>
    <x:s v="Bowl: empty. Table, robot-left→robot-right: P1 crushed Pepsi can; P2 juggling ball. Adjacent centers 8 cm apart; row shifted 4 cm away from the robot; all objects fully visible and grasp paths clear."/>
    <x:s v="MOVE juggling ball to bowl"/>
    <x:m/>
    <x:x v="3"/>
  </x:r>
  <x:r>
    <x:x v="1"/>
    <x:s v="Size Recognition"/>
    <x:n v="44"/>
    <x:s v="Move the object that is largest into the bowl."/>
    <x:s v="Bowl: empty. Table, robot-left→robot-right: P1 red pencil sharpener; P2 green block. Adjacent centers 8 cm apart; row shifted 4 cm toward the robot; all objects fully visible and grasp paths clear."/>
    <x:s v="MOVE green block to bowl"/>
    <x:s v="picked red pencil sharpener"/>
    <x:x v="1"/>
  </x:r>
  <x:r>
    <x:x v="0"/>
    <x:s v="Size Recognition"/>
    <x:n v="45"/>
    <x:s v="Put the green block in the bowl."/>
    <x:s v="Bowl: empty. Table, robot-left→robot-right: P1 red pencil sharpener; P2 green block. Adjacent centers 8 cm apart; row shifted 4 cm toward the robot; all objects fully visible and grasp paths clear."/>
    <x:s v="MOVE green block to bowl"/>
    <x:m/>
    <x:x v="2"/>
  </x:r>
  <x:r>
    <x:x v="1"/>
    <x:s v="Size Recognition"/>
    <x:n v="46"/>
    <x:s v="Find the greatest-sized item and move it to the bowl."/>
    <x:s v="Bowl: empty. Table, robot-left→robot-right: P1 red pencil sharpener; P2 green block. Adjacent centers 8 cm apart; row shifted 4 cm toward the robot; all objects fully visible and grasp paths clear."/>
    <x:s v="MOVE green block to bowl"/>
    <x:s v="took a very long pause and then went for the red pencil sharpener. Didn't finish rollout since time ran out."/>
    <x:x v="3"/>
  </x:r>
  <x:r>
    <x:x v="0"/>
    <x:s v="Size Recognition"/>
    <x:n v="47"/>
    <x:s v="Place the table's green block inside the bowl."/>
    <x:s v="Bowl: empty. Table, robot-left→robot-right: P1 red pencil sharpener; P2 green block. Adjacent centers 8 cm apart; row shifted 4 cm toward the robot; all objects fully visible and grasp paths clear."/>
    <x:s v="MOVE green block to bowl"/>
    <x:m/>
    <x:x v="3"/>
  </x:r>
  <x:r>
    <x:x v="0"/>
    <x:s v="Size Recognition"/>
    <x:n v="48"/>
    <x:s v="Pick up the smallest item and place it in the bowl."/>
    <x:s v="Bowl: empty. Table, robot-left→robot-right: P1 juggling ball; P2 crushed Pepsi can. Adjacent centers 12 cm apart; row centered on the workspace; all objects fully visible and grasp paths clear."/>
    <x:s v="MOVE juggling ball to bowl"/>
    <x:m/>
    <x:x v="1"/>
  </x:r>
  <x:r>
    <x:x v="0"/>
    <x:s v="Size Recognition"/>
    <x:n v="49"/>
    <x:s v="Put the juggling ball in the bowl."/>
    <x:s v="Bowl: empty. Table, robot-left→robot-right: P1 juggling ball; P2 crushed Pepsi can. Adjacent centers 12 cm apart; row centered on the workspace; all objects fully visible and grasp paths clear."/>
    <x:s v="MOVE juggling ball to bowl"/>
    <x:m/>
    <x:x v="2"/>
  </x:r>
  <x:r>
    <x:x v="0"/>
    <x:s v="Size Recognition"/>
    <x:n v="50"/>
    <x:s v="Find the least-sized item and move it to the bowl."/>
    <x:s v="Bowl: empty. Table, robot-left→robot-right: P1 juggling ball; P2 crushed Pepsi can. Adjacent centers 12 cm apart; row centered on the workspace; all objects fully visible and grasp paths clear."/>
    <x:s v="MOVE juggling ball to bowl"/>
    <x:m/>
    <x:x v="3"/>
  </x:r>
  <x:r>
    <x:x v="0"/>
    <x:s v="Size Recognition"/>
    <x:n v="51"/>
    <x:s v="Place the table's juggling ball inside the bowl."/>
    <x:s v="Bowl: empty. Table, robot-left→robot-right: P1 juggling ball; P2 crushed Pepsi can. Adjacent centers 12 cm apart; row centered on the workspace; all objects fully visible and grasp paths clear."/>
    <x:s v="MOVE juggling ball to bowl"/>
    <x:m/>
    <x:x v="3"/>
  </x:r>
  <x:r>
    <x:x v="0"/>
    <x:s v="Size Recognition"/>
    <x:n v="52"/>
    <x:s v="Pick up the largest item and place it in the bowl."/>
    <x:s v="Bowl: empty. Table, robot-left→robot-right: P1 green block; P2 red pencil sharpener. Adjacent centers 12 cm apart; row shifted 4 cm away from the robot; all objects fully visible and grasp paths clear."/>
    <x:s v="MOVE green block to bowl"/>
    <x:m/>
    <x:x v="1"/>
  </x:r>
  <x:r>
    <x:x v="0"/>
    <x:s v="Size Recognition"/>
    <x:n v="53"/>
    <x:s v="Move the green block into the bowl."/>
    <x:s v="Bowl: empty. Table, robot-left→robot-right: P1 green block; P2 red pencil sharpener. Adjacent centers 12 cm apart; row shifted 4 cm away from the robot; all objects fully visible and grasp paths clear."/>
    <x:s v="MOVE green block to bowl"/>
    <x:m/>
    <x:x v="2"/>
  </x:r>
  <x:r>
    <x:x v="0"/>
    <x:s v="Size Recognition"/>
    <x:n v="54"/>
    <x:s v="Move whichever item is larger into the bowl."/>
    <x:s v="Bowl: empty. Table, robot-left→robot-right: P1 green block; P2 red pencil sharpener. Adjacent centers 12 cm apart; row shifted 4 cm away from the robot; all objects fully visible and grasp paths clear."/>
    <x:s v="MOVE green block to bowl"/>
    <x:m/>
    <x:x v="3"/>
  </x:r>
  <x:r>
    <x:x v="0"/>
    <x:s v="Size Recognition"/>
    <x:n v="55"/>
    <x:s v="Take the green block from the table and put it in the bowl."/>
    <x:s v="Bowl: empty. Table, robot-left→robot-right: P1 green block; P2 red pencil sharpener. Adjacent centers 12 cm apart; row shifted 4 cm away from the robot; all objects fully visible and grasp paths clear."/>
    <x:s v="MOVE green block to bowl"/>
    <x:m/>
    <x:x v="3"/>
  </x:r>
  <x:r>
    <x:x v="0"/>
    <x:s v="Size Recognition"/>
    <x:n v="56"/>
    <x:s v="Put the smallest object in the bowl."/>
    <x:s v="Bowl: empty. Table, robot-left→robot-right: P1 crushed Pepsi can; P2 juggling ball. Adjacent centers 16 cm apart; row shifted 4 cm toward robot-left; all objects fully visible and grasp paths clear."/>
    <x:s v="MOVE juggling ball to bowl"/>
    <x:m/>
    <x:x v="1"/>
  </x:r>
  <x:r>
    <x:x v="0"/>
    <x:s v="Size Recognition"/>
    <x:n v="57"/>
    <x:s v="Move the juggling ball into the bowl."/>
    <x:s v="Bowl: empty. Table, robot-left→robot-right: P1 crushed Pepsi can; P2 juggling ball. Adjacent centers 16 cm apart; row shifted 4 cm toward robot-left; all objects fully visible and grasp paths clear."/>
    <x:s v="MOVE juggling ball to bowl"/>
    <x:m/>
    <x:x v="2"/>
  </x:r>
  <x:r>
    <x:x v="0"/>
    <x:s v="Size Recognition"/>
    <x:n v="58"/>
    <x:s v="Move whichever item is smaller into the bowl."/>
    <x:s v="Bowl: empty. Table, robot-left→robot-right: P1 crushed Pepsi can; P2 juggling ball. Adjacent centers 16 cm apart; row shifted 4 cm toward robot-left; all objects fully visible and grasp paths clear."/>
    <x:s v="MOVE juggling ball to bowl"/>
    <x:m/>
    <x:x v="3"/>
  </x:r>
  <x:r>
    <x:x v="0"/>
    <x:s v="Size Recognition"/>
    <x:n v="59"/>
    <x:s v="Take the juggling ball from the table and put it in the bowl."/>
    <x:s v="Bowl: empty. Table, robot-left→robot-right: P1 crushed Pepsi can; P2 juggling ball. Adjacent centers 16 cm apart; row shifted 4 cm toward robot-left; all objects fully visible and grasp paths clear."/>
    <x:s v="MOVE juggling ball to bowl"/>
    <x:m/>
    <x:x v="3"/>
  </x:r>
  <x:r>
    <x:x v="1"/>
    <x:s v="Size Recognition"/>
    <x:n v="60"/>
    <x:s v="Put the largest object in the bowl."/>
    <x:s v="Bowl: empty. Table, robot-left→robot-right: P1 red pencil sharpener; P2 green block. Adjacent centers 16 cm apart; row centered on the workspace; all objects fully visible and grasp paths clear."/>
    <x:s v="MOVE green block to bowl"/>
    <x:s v="didn't move"/>
    <x:x v="1"/>
  </x:r>
  <x:r>
    <x:x v="0"/>
    <x:s v="Size Recognition"/>
    <x:n v="61"/>
    <x:s v="Pick up the green block and place it in the bowl."/>
    <x:s v="Bowl: empty. Table, robot-left→robot-right: P1 red pencil sharpener; P2 green block. Adjacent centers 16 cm apart; row centered on the workspace; all objects fully visible and grasp paths clear."/>
    <x:s v="MOVE green block to bowl"/>
    <x:m/>
    <x:x v="2"/>
  </x:r>
  <x:r>
    <x:x v="0"/>
    <x:s v="Size Recognition"/>
    <x:n v="62"/>
    <x:s v="Move the object that is smallest into the bowl."/>
    <x:s v="Bowl: empty. Table, robot-left→robot-right: P1 juggling ball; P2 crushed Pepsi can. Adjacent centers 8 cm apart; row shifted 4 cm toward robot-right; all objects fully visible and grasp paths clear."/>
    <x:s v="MOVE juggling ball to bowl"/>
    <x:m/>
    <x:x v="1"/>
  </x:r>
  <x:r>
    <x:x v="0"/>
    <x:s v="Size Recognition"/>
    <x:n v="63"/>
    <x:s v="Pick up the juggling ball and place it in the bowl."/>
    <x:s v="Bowl: empty. Table, robot-left→robot-right: P1 juggling ball; P2 crushed Pepsi can. Adjacent centers 8 cm apart; row shifted 4 cm toward robot-right; all objects fully visible and grasp paths clear."/>
    <x:s v="MOVE juggling ball to bowl"/>
    <x:m/>
    <x:x v="2"/>
  </x:r>
  <x:r>
    <x:x v="1"/>
    <x:s v="Size Recognition"/>
    <x:n v="64"/>
    <x:s v="Move the object that is largest into the bowl."/>
    <x:s v="Bowl: empty. Table, robot-left→robot-right: P1 green block; P2 red pencil sharpener. Adjacent centers 8 cm apart; row shifted 4 cm toward robot-left; all objects fully visible and grasp paths clear."/>
    <x:s v="MOVE green block to bowl"/>
    <x:s v="picked pencil sharpener"/>
    <x:x v="1"/>
  </x:r>
  <x:r>
    <x:x v="0"/>
    <x:s v="Size Recognition"/>
    <x:n v="65"/>
    <x:s v="Put the green block in the bowl."/>
    <x:s v="Bowl: empty. Table, robot-left→robot-right: P1 green block; P2 red pencil sharpener. Adjacent centers 8 cm apart; row shifted 4 cm toward robot-left; all objects fully visible and grasp paths clear."/>
    <x:s v="MOVE green block to bowl"/>
    <x:m/>
    <x:x v="2"/>
  </x:r>
  <x:r>
    <x:x v="0"/>
    <x:s v="Size Recognition"/>
    <x:n v="66"/>
    <x:s v="Pick up the smallest item and place it in the bowl."/>
    <x:s v="Bowl: empty. Table, robot-left→robot-right: P1 crushed Pepsi can; P2 juggling ball. Adjacent centers 12 cm apart; row shifted 4 cm toward the robot; all objects fully visible and grasp paths clear."/>
    <x:s v="MOVE juggling ball to bowl"/>
    <x:m/>
    <x:x v="1"/>
  </x:r>
  <x:r>
    <x:x v="0"/>
    <x:s v="Size Recognition"/>
    <x:n v="67"/>
    <x:s v="Put the juggling ball in the bowl."/>
    <x:s v="Bowl: empty. Table, robot-left→robot-right: P1 crushed Pepsi can; P2 juggling ball. Adjacent centers 12 cm apart; row shifted 4 cm toward the robot; all objects fully visible and grasp paths clear."/>
    <x:s v="MOVE juggling ball to bowl"/>
    <x:m/>
    <x:x v="2"/>
  </x:r>
  <x:r>
    <x:x v="0"/>
    <x:s v="Size Recognition"/>
    <x:n v="68"/>
    <x:s v="Pick up the largest item and place it in the bowl."/>
    <x:s v="Bowl: empty. Table, robot-left→robot-right: P1 red pencil sharpener; P2 green block. Adjacent centers 12 cm apart; row shifted 4 cm toward robot-right; all objects fully visible and grasp paths clear."/>
    <x:s v="MOVE green block to bowl"/>
    <x:s v="picked it up like the soda can"/>
    <x:x v="1"/>
  </x:r>
  <x:r>
    <x:x v="0"/>
    <x:s v="Size Recognition"/>
    <x:n v="69"/>
    <x:s v="Move the green block into the bowl."/>
    <x:s v="Bowl: empty. Table, robot-left→robot-right: P1 red pencil sharpener; P2 green block. Adjacent centers 12 cm apart; row shifted 4 cm toward robot-right; all objects fully visible and grasp paths clear."/>
    <x:s v="MOVE green block to bowl"/>
    <x:m/>
    <x:x v="2"/>
  </x:r>
  <x:r>
    <x:x v="0"/>
    <x:s v="Size Recognition"/>
    <x:n v="70"/>
    <x:s v="Put the smallest object in the bowl."/>
    <x:s v="Bowl: empty. Table, robot-left→robot-right: P1 juggling ball; P2 crushed Pepsi can. Adjacent centers 16 cm apart; row shifted 4 cm away from the robot; all objects fully visible and grasp paths clear."/>
    <x:s v="MOVE juggling ball to bowl"/>
    <x:m/>
    <x:x v="1"/>
  </x:r>
  <x:r>
    <x:x v="0"/>
    <x:s v="Size Recognition"/>
    <x:n v="71"/>
    <x:s v="Move the juggling ball into the bowl."/>
    <x:s v="Bowl: empty. Table, robot-left→robot-right: P1 juggling ball; P2 crushed Pepsi can. Adjacent centers 16 cm apart; row shifted 4 cm away from the robot; all objects fully visible and grasp paths clear."/>
    <x:s v="MOVE juggling ball to bowl"/>
    <x:m/>
    <x:x v="2"/>
  </x:r>
  <x:r>
    <x:x v="0"/>
    <x:s v="Size Recognition"/>
    <x:n v="72"/>
    <x:s v="Put the largest object in the bowl."/>
    <x:s v="Bowl: empty. Table, robot-left→robot-right: P1 green block; P2 red pencil sharpener. Adjacent centers 16 cm apart; row shifted 4 cm toward the robot; all objects fully visible and grasp paths clear."/>
    <x:s v="MOVE green block to bowl"/>
    <x:m/>
    <x:x v="1"/>
  </x:r>
  <x:r>
    <x:x v="0"/>
    <x:s v="Size Recognition"/>
    <x:n v="73"/>
    <x:s v="Pick up the green block and place it in the bowl."/>
    <x:s v="Bowl: empty. Table, robot-left→robot-right: P1 green block; P2 red pencil sharpener. Adjacent centers 16 cm apart; row shifted 4 cm toward the robot; all objects fully visible and grasp paths clear."/>
    <x:s v="MOVE green block to bowl"/>
    <x:m/>
    <x:x v="2"/>
  </x:r>
  <x:r>
    <x:x v="0"/>
    <x:s v="Size Recognition"/>
    <x:n v="74"/>
    <x:s v="Move the object that is smallest into the bowl."/>
    <x:s v="Bowl: empty. Table, robot-left→robot-right: P1 crushed Pepsi can; P2 juggling ball. Adjacent centers 8 cm apart; row centered on the workspace; all objects fully visible and grasp paths clear."/>
    <x:s v="MOVE juggling ball to bowl"/>
    <x:m/>
    <x:x v="1"/>
  </x:r>
  <x:r>
    <x:x v="0"/>
    <x:s v="Size Recognition"/>
    <x:n v="75"/>
    <x:s v="Pick up the juggling ball and place it in the bowl."/>
    <x:s v="Bowl: empty. Table, robot-left→robot-right: P1 crushed Pepsi can; P2 juggling ball. Adjacent centers 8 cm apart; row centered on the workspace; all objects fully visible and grasp paths clear."/>
    <x:s v="MOVE juggling ball to bowl"/>
    <x:m/>
    <x:x v="2"/>
  </x:r>
  <x:r>
    <x:x v="0"/>
    <x:s v="Size Recognition"/>
    <x:n v="76"/>
    <x:s v="Move the object that is largest into the bowl."/>
    <x:s v="Bowl: empty. Table, robot-left→robot-right: P1 red pencil sharpener; P2 green block. Adjacent centers 8 cm apart; row shifted 4 cm away from the robot; all objects fully visible and grasp paths clear."/>
    <x:s v="MOVE green block to bowl"/>
    <x:m/>
    <x:x v="1"/>
  </x:r>
  <x:r>
    <x:x v="0"/>
    <x:s v="Size Recognition"/>
    <x:n v="77"/>
    <x:s v="Put the green block in the bowl."/>
    <x:s v="Bowl: empty. Table, robot-left→robot-right: P1 red pencil sharpener; P2 green block. Adjacent centers 8 cm apart; row shifted 4 cm away from the robot; all objects fully visible and grasp paths clear."/>
    <x:s v="MOVE green block to bowl"/>
    <x:m/>
    <x:x v="2"/>
  </x:r>
  <x:r>
    <x:x v="1"/>
    <x:s v="Size Recognition"/>
    <x:n v="78"/>
    <x:s v="Pick up the smallest item and place it in the bowl."/>
    <x:s v="Bowl: empty. Table, robot-left→robot-right: P1 juggling ball; P2 crushed Pepsi can. Adjacent centers 12 cm apart; row shifted 4 cm toward robot-left; all objects fully visible and grasp paths clear."/>
    <x:s v="MOVE juggling ball to bowl"/>
    <x:s v="went for the pepsi can, but tried to grab it like the juggling ball. Couldn't recover."/>
    <x:x v="1"/>
  </x:r>
  <x:r>
    <x:x v="0"/>
    <x:s v="Size Recognition"/>
    <x:n v="79"/>
    <x:s v="Put the juggling ball in the bowl."/>
    <x:s v="Bowl: empty. Table, robot-left→robot-right: P1 juggling ball; P2 crushed Pepsi can. Adjacent centers 12 cm apart; row shifted 4 cm toward robot-left; all objects fully visible and grasp paths clear."/>
    <x:s v="MOVE juggling ball to bowl"/>
    <x:m/>
    <x:x v="2"/>
  </x:r>
  <x:r>
    <x:x v="0"/>
    <x:s v="Size Recognition"/>
    <x:n v="80"/>
    <x:s v="Pick up the largest item and place it in the bowl."/>
    <x:s v="Bowl: empty. Table, robot-left→robot-right: P1 green block; P2 red pencil sharpener. Adjacent centers 12 cm apart; row centered on the workspace; all objects fully visible and grasp paths clear."/>
    <x:s v="MOVE green block to bowl"/>
    <x:m/>
    <x:x v="1"/>
  </x:r>
  <x:r>
    <x:x v="0"/>
    <x:s v="Size Recognition"/>
    <x:n v="81"/>
    <x:s v="Put the smallest object in the bowl."/>
    <x:s v="Bowl: empty. Table, robot-left→robot-right: P1 crushed Pepsi can; P2 juggling ball. Adjacent centers 16 cm apart; row shifted 4 cm toward robot-right; all objects fully visible and grasp paths clear."/>
    <x:s v="MOVE juggling ball to bowl"/>
    <x:s v="barely got the ball in 60 seconds. was trying to get is for like 45 seconds before grabbing it"/>
    <x:x v="1"/>
  </x:r>
  <x:r>
    <x:x v="0"/>
    <x:s v="Size Recognition"/>
    <x:n v="82"/>
    <x:s v="Put the largest object in the bowl."/>
    <x:s v="Bowl: empty. Table, robot-left→robot-right: P1 red pencil sharpener; P2 green block. Adjacent centers 16 cm apart; row shifted 4 cm toward robot-left; all objects fully visible and grasp paths clear."/>
    <x:s v="MOVE green block to bowl"/>
    <x:m/>
    <x:x v="1"/>
  </x:r>
  <x:r>
    <x:x v="1"/>
    <x:s v="Size Recognition"/>
    <x:n v="83"/>
    <x:s v="Move the object that is smallest into the bowl."/>
    <x:s v="Bowl: empty. Table, robot-left→robot-right: P1 juggling ball; P2 crushed Pepsi can. Adjacent centers 8 cm apart; row shifted 4 cm toward the robot; all objects fully visible and grasp paths clear."/>
    <x:s v="MOVE juggling ball to bowl"/>
    <x:s v="went for pepsi can with juggling ball grasping strategy. could not pick up/recover"/>
    <x:x v="1"/>
  </x:r>
  <x:r>
    <x:x v="1"/>
    <x:s v="Size Recognition"/>
    <x:n v="84"/>
    <x:s v="Move the object that is largest into the bowl."/>
    <x:s v="Bowl: empty. Table, robot-left→robot-right: P1 green block; P2 red pencil sharpener. Adjacent centers 8 cm apart; row shifted 4 cm toward robot-right; all objects fully visible and grasp paths clear."/>
    <x:s v="MOVE green block to bowl"/>
    <x:s v="picked the pencil sharpener"/>
    <x:x v="1"/>
  </x:r>
  <x:r>
    <x:x v="0"/>
    <x:s v="Size Recognition"/>
    <x:n v="85"/>
    <x:s v="Pick up the smallest item and place it in the bowl."/>
    <x:s v="Bowl: empty. Table, robot-left→robot-right: P1 crushed Pepsi can; P2 juggling ball. Adjacent centers 12 cm apart; row shifted 4 cm away from the robot; all objects fully visible and grasp paths clear."/>
    <x:s v="MOVE juggling ball to bowl"/>
    <x:s v="initially went for the pepsi can, but switched to go for the juggling ball"/>
    <x:x v="1"/>
  </x:r>
  <x:r>
    <x:x v="0"/>
    <x:s v="Size Recognition"/>
    <x:n v="86"/>
    <x:s v="Pick up the largest item and place it in the bowl."/>
    <x:s v="Bowl: empty. Table, robot-left→robot-right: P1 red pencil sharpener; P2 green block. Adjacent centers 12 cm apart; row shifted 4 cm toward the robot; all objects fully visible and grasp paths clear."/>
    <x:s v="MOVE green block to bowl"/>
    <x:m/>
    <x:x v="1"/>
  </x:r>
  <x:r>
    <x:x v="0"/>
    <x:s v="Size Recognition"/>
    <x:n v="87"/>
    <x:s v="Put the smallest object in the bowl."/>
    <x:s v="Bowl: empty. Table, robot-left→robot-right: P1 juggling ball; P2 crushed Pepsi can. Adjacent centers 16 cm apart; row centered on the workspace; all objects fully visible and grasp paths clear."/>
    <x:s v="MOVE juggling ball to bowl"/>
    <x:m/>
    <x:x v="1"/>
  </x:r>
  <x:r>
    <x:x v="1"/>
    <x:s v="Size Recognition"/>
    <x:n v="88"/>
    <x:s v="Put the largest object in the bowl."/>
    <x:s v="Bowl: empty. Table, robot-left→robot-right: P1 green block; P2 red pencil sharpener. Adjacent centers 16 cm apart; row shifted 4 cm away from the robot; all objects fully visible and grasp paths clear."/>
    <x:s v="MOVE green block to bowl"/>
    <x:s v="robot didn't move"/>
    <x:x v="1"/>
  </x:r>
  <x:r>
    <x:x v="0"/>
    <x:s v="Size Recognition"/>
    <x:n v="89"/>
    <x:s v="Move the object that is smallest into the bowl."/>
    <x:s v="Bowl: empty. Table, robot-left→robot-right: P1 crushed Pepsi can; P2 juggling ball. Adjacent centers 8 cm apart; row shifted 4 cm toward robot-left; all objects fully visible and grasp paths clear."/>
    <x:s v="MOVE juggling ball to bowl"/>
    <x:m/>
    <x:x v="1"/>
  </x:r>
  <x:r>
    <x:x v="1"/>
    <x:s v="Size Recognition"/>
    <x:n v="90"/>
    <x:s v="Move the object that is largest into the bowl."/>
    <x:s v="Bowl: empty. Table, robot-left→robot-right: P1 red pencil sharpener; P2 green block. Adjacent centers 8 cm apart; row centered on the workspace; all objects fully visible and grasp paths clear."/>
    <x:s v="MOVE green block to bowl"/>
    <x:s v="picked red pencil sharpener. paused for a long time at the beginning but picked it at just the last minute."/>
    <x:x v="1"/>
  </x:r>
  <x:r>
    <x:x v="0"/>
    <x:s v="Size Recognition"/>
    <x:n v="91"/>
    <x:s v="Pick up the smallest item and place it in the bowl."/>
    <x:s v="Bowl: empty. Table, robot-left→robot-right: P1 juggling ball; P2 crushed Pepsi can. Adjacent centers 12 cm apart; row shifted 4 cm toward robot-right; all objects fully visible and grasp paths clear."/>
    <x:s v="MOVE juggling ball to bowl"/>
    <x:m/>
    <x:x v="1"/>
  </x:r>
  <x:r>
    <x:x v="1"/>
    <x:s v="Size Recognition"/>
    <x:n v="92"/>
    <x:s v="Pick up the largest item and place it in the bowl."/>
    <x:s v="Bowl: empty. Table, robot-left→robot-right: P1 green block; P2 red pencil sharpener. Adjacent centers 12 cm apart; row shifted 4 cm toward robot-left; all objects fully visible and grasp paths clear."/>
    <x:s v="MOVE green block to bowl"/>
    <x:s v="picked pencil sharpener"/>
    <x:x v="1"/>
  </x:r>
  <x:r>
    <x:x v="0"/>
    <x:s v="Size Recognition"/>
    <x:n v="93"/>
    <x:s v="Put the smallest object in the bowl."/>
    <x:s v="Bowl: empty. Table, robot-left→robot-right: P1 crushed Pepsi can; P2 juggling ball. Adjacent centers 16 cm apart; row shifted 4 cm toward the robot; all objects fully visible and grasp paths clear."/>
    <x:s v="MOVE juggling ball to bowl"/>
    <x:m/>
    <x:x v="1"/>
  </x:r>
  <x:r>
    <x:x v="0"/>
    <x:s v="Size Recognition"/>
    <x:n v="94"/>
    <x:s v="Put the largest object in the bowl."/>
    <x:s v="Bowl: empty. Table, robot-left→robot-right: P1 red pencil sharpener; P2 green block. Adjacent centers 16 cm apart; row shifted 4 cm toward robot-right; all objects fully visible and grasp paths clear."/>
    <x:s v="MOVE green block to bowl"/>
    <x:s v="picked it like soda can"/>
    <x:x v="1"/>
  </x:r>
  <x:r>
    <x:x v="0"/>
    <x:s v="Size Recognition"/>
    <x:n v="95"/>
    <x:s v="Move the object that is smallest into the bowl."/>
    <x:s v="Bowl: empty. Table, robot-left→robot-right: P1 juggling ball; P2 crushed Pepsi can. Adjacent centers 8 cm apart; row shifted 4 cm away from the robot; all objects fully visible and grasp paths clear."/>
    <x:s v="MOVE juggling ball to bowl"/>
    <x:m/>
    <x:x v="1"/>
  </x:r>
  <x:r>
    <x:x v="1"/>
    <x:s v="Size Recognition"/>
    <x:n v="96"/>
    <x:s v="Move the object that is largest into the bowl."/>
    <x:s v="Bowl: empty. Table, robot-left→robot-right: P1 green block; P2 red pencil sharpener. Adjacent centers 8 cm apart; row shifted 4 cm toward the robot; all objects fully visible and grasp paths clear."/>
    <x:s v="MOVE green block to bowl"/>
    <x:s v="robot didn't move"/>
    <x:x v="1"/>
  </x:r>
  <x:r>
    <x:x v="0"/>
    <x:s v="Size Recognition"/>
    <x:n v="97"/>
    <x:s v="Pick up the smallest item and place it in the bowl."/>
    <x:s v="Bowl: empty. Table, robot-left→robot-right: P1 crushed Pepsi can; P2 juggling ball. Adjacent centers 12 cm apart; row centered on the workspace; all objects fully visible and grasp paths clear."/>
    <x:s v="MOVE juggling ball to bowl"/>
    <x:m/>
    <x:x v="1"/>
  </x:r>
  <x:r>
    <x:x v="1"/>
    <x:s v="Size Recognition"/>
    <x:n v="98"/>
    <x:s v="Pick up the largest item and place it in the bowl."/>
    <x:s v="Bowl: empty. Table, robot-left→robot-right: P1 red pencil sharpener; P2 green block. Adjacent centers 12 cm apart; row shifted 4 cm away from the robot; all objects fully visible and grasp paths clear."/>
    <x:s v="MOVE green block to bowl"/>
    <x:s v="picked pencil sharpener"/>
    <x:x v="1"/>
  </x:r>
  <x:r>
    <x:x v="0"/>
    <x:s v="Size Recognition"/>
    <x:n v="99"/>
    <x:s v="Put the smallest object in the bowl."/>
    <x:s v="Bowl: empty. Table, robot-left→robot-right: P1 juggling ball; P2 crushed Pepsi can. Adjacent centers 16 cm apart; row shifted 4 cm toward robot-left; all objects fully visible and grasp paths clear."/>
    <x:s v="MOVE juggling ball to bowl"/>
    <x:m/>
    <x:x v="1"/>
  </x:r>
  <x:r>
    <x:x v="1"/>
    <x:s v="Size Recognition"/>
    <x:n v="100"/>
    <x:s v="Put the largest object in the bowl."/>
    <x:s v="Bowl: empty. Table, robot-left→robot-right: P1 green block; P2 red pencil sharpener. Adjacent centers 16 cm apart; row centered on the workspace; all objects fully visible and grasp paths clear."/>
    <x:s v="MOVE green block to bowl"/>
    <x:s v="picked pencil sharpener"/>
    <x:x v="1"/>
  </x:r>
  <x:r>
    <x:x v="1"/>
    <x:s v="Size Recognition"/>
    <x:n v="101"/>
    <x:s v="Move the object that is smallest into the bowl."/>
    <x:s v="Bowl: empty. Table, robot-left→robot-right: P1 crushed Pepsi can; P2 juggling ball. Adjacent centers 8 cm apart; row shifted 4 cm toward robot-right; all objects fully visible and grasp paths clear."/>
    <x:s v="MOVE juggling ball to bowl"/>
    <x:s v="went for pepsi can, knocked it out of range, and kept trying to pick it up until 60 seconds elapsed"/>
    <x:x v="1"/>
  </x:r>
  <x:r>
    <x:x v="1"/>
    <x:s v="Size Recognition"/>
    <x:n v="102"/>
    <x:s v="Move the object that is largest into the bowl."/>
    <x:s v="Bowl: empty. Table, robot-left→robot-right: P1 red pencil sharpener; P2 green block. Adjacent centers 8 cm apart; row shifted 4 cm toward robot-left; all objects fully visible and grasp paths clear."/>
    <x:s v="MOVE green block to bowl"/>
    <x:s v="went for red pencil sharpener"/>
    <x:x v="1"/>
  </x:r>
  <x:r>
    <x:x v="0"/>
    <x:s v="Size Recognition"/>
    <x:n v="103"/>
    <x:s v="Pick up the smallest item and place it in the bowl."/>
    <x:s v="Bowl: empty. Table, robot-left→robot-right: P1 juggling ball; P2 crushed Pepsi can. Adjacent centers 12 cm apart; row shifted 4 cm toward the robot; all objects fully visible and grasp paths clear."/>
    <x:s v="MOVE juggling ball to bowl"/>
    <x:m/>
    <x:x v="1"/>
  </x:r>
  <x:r>
    <x:x v="1"/>
    <x:s v="Size Recognition"/>
    <x:n v="104"/>
    <x:s v="Pick up the largest item and place it in the bowl."/>
    <x:s v="Bowl: empty. Table, robot-left→robot-right: P1 green block; P2 red pencil sharpener. Adjacent centers 12 cm apart; row shifted 4 cm toward robot-right; all objects fully visible and grasp paths clear."/>
    <x:s v="MOVE green block to bowl"/>
    <x:s v="picked red pencil sharpener"/>
    <x:x v="1"/>
  </x:r>
  <x:r>
    <x:x v="0"/>
    <x:s v="Size Recognition"/>
    <x:n v="105"/>
    <x:s v="Put the smallest object in the bowl."/>
    <x:s v="Bowl: empty. Table, robot-left→robot-right: P1 crushed Pepsi can; P2 juggling ball. Adjacent centers 16 cm apart; row shifted 4 cm away from the robot; all objects fully visible and grasp paths clear."/>
    <x:s v="MOVE juggling ball to bowl"/>
    <x:m/>
    <x:x v="1"/>
  </x:r>
  <x:r>
    <x:x v="1"/>
    <x:s v="Size Recognition"/>
    <x:n v="106"/>
    <x:s v="Put the largest object in the bowl."/>
    <x:s v="Bowl: empty. Table, robot-left→robot-right: P1 red pencil sharpener; P2 green block. Adjacent centers 16 cm apart; row shifted 4 cm toward the robot; all objects fully visible and grasp paths clear."/>
    <x:s v="MOVE green block to bowl"/>
    <x:s v="picked red pencil sharpener"/>
    <x:x v="1"/>
  </x:r>
  <x:r>
    <x:x v="0"/>
    <x:s v="Size Recognition"/>
    <x:n v="107"/>
    <x:s v="Move the object that is smallest into the bowl."/>
    <x:s v="Bowl: empty. Table, robot-left→robot-right: P1 juggling ball; P2 crushed Pepsi can. Adjacent centers 8 cm apart; row centered on the workspace; all objects fully visible and grasp paths clear."/>
    <x:s v="MOVE juggling ball to bowl"/>
    <x:m/>
    <x:x v="1"/>
  </x:r>
  <x:r>
    <x:x v="1"/>
    <x:s v="Size Recognition"/>
    <x:n v="108"/>
    <x:s v="Move the object that is largest into the bowl."/>
    <x:s v="Bowl: empty. Table, robot-left→robot-right: P1 green block; P2 red pencil sharpener. Adjacent centers 8 cm apart; row shifted 4 cm away from the robot; all objects fully visible and grasp paths clear."/>
    <x:s v="MOVE green block to bowl"/>
    <x:s v="picked red pencil sharpener"/>
    <x:x v="1"/>
  </x:r>
  <x:r>
    <x:x v="0"/>
    <x:s v="Size Recognition"/>
    <x:n v="109"/>
    <x:s v="Pick up the smallest item and place it in the bowl."/>
    <x:s v="Bowl: empty. Table, robot-left→robot-right: P1 crushed Pepsi can; P2 juggling ball. Adjacent centers 12 cm apart; row shifted 4 cm toward robot-left; all objects fully visible and grasp paths clear."/>
    <x:s v="MOVE juggling ball to bowl"/>
    <x:m/>
    <x:x v="1"/>
  </x:r>
  <x:r>
    <x:x v="0"/>
    <x:s v="Size Recognition"/>
    <x:n v="110"/>
    <x:s v="Move the object that is largest into the bowl."/>
    <x:s v="Bowl: empty. Table, robot-left→robot-right: P1 airplane toy with propellers; P2 red pencil sharpener. Adjacent centers 8 cm apart; row centered on the workspace; all objects fully visible and grasp paths clear."/>
    <x:s v="MOVE airplane toy with propellers to bowl"/>
    <x:m/>
    <x:x v="15"/>
  </x:r>
  <x:r>
    <x:x v="0"/>
    <x:s v="Size Recognition"/>
    <x:n v="111"/>
    <x:s v="Put the smallest object in the bowl."/>
    <x:s v="Bowl: empty. Table, robot-left→robot-right: P1 airplane toy with propellers; P2 red pencil sharpener. Adjacent centers 8 cm apart; row centered on the workspace; all objects fully visible and grasp paths clear."/>
    <x:s v="MOVE red pencil sharpener to bowl"/>
    <x:m/>
    <x:x v="16"/>
  </x:r>
  <x:r>
    <x:x v="0"/>
    <x:s v="Size Recognition"/>
    <x:n v="112"/>
    <x:s v="Pick up the smallest item and place it in the bowl."/>
    <x:s v="Bowl: empty. Table, robot-left→robot-right: P1 airplane toy with propellers; P2 green block; P3 crushed Pepsi can. Adjacent centers 12 cm apart; row shifted 4 cm toward robot-right; all objects fully visible and grasp paths clear."/>
    <x:s v="MOVE airplane toy with propellers to bowl"/>
    <x:m/>
    <x:x v="15"/>
  </x:r>
  <x:r>
    <x:x v="1"/>
    <x:s v="Size Recognition"/>
    <x:n v="113"/>
    <x:s v="Put the largest object in the bowl."/>
    <x:s v="Bowl: empty. Table, robot-left→robot-right: P1 airplane toy with propellers; P2 green block; P3 crushed Pepsi can. Adjacent centers 12 cm apart; row shifted 4 cm toward robot-right; all objects fully visible and grasp paths clear."/>
    <x:s v="MOVE crushed Pepsi can to bowl"/>
    <x:s v="Succeeded on readoning, but failed to grasp the pepsi can, and knocked it out of frame. Upon recovery, picked the green block, which is technically the next largest item, however, the grene block was also close to the pepsi can"/>
    <x:x v="16"/>
  </x:r>
  <x:r>
    <x:x v="0"/>
    <x:s v="Size Recognition"/>
    <x:n v="114"/>
    <x:s v="Pick up the largest item and place it in the bowl."/>
    <x:s v="Bowl: empty. Table, robot-left→robot-right: P1 red pencil sharpener; P2 airplane toy with propellers. Adjacent centers 12 cm apart; row shifted 4 cm toward robot-left; all objects fully visible and grasp paths clear."/>
    <x:s v="MOVE airplane toy with propellers to bowl"/>
    <x:m/>
    <x:x v="15"/>
  </x:r>
  <x:r>
    <x:x v="0"/>
    <x:s v="Size Recognition"/>
    <x:n v="115"/>
    <x:s v="Move the object that is smallest into the bowl."/>
    <x:s v="Bowl: empty. Table, robot-left→robot-right: P1 red pencil sharpener; P2 airplane toy with propellers. Adjacent centers 12 cm apart; row shifted 4 cm toward robot-left; all objects fully visible and grasp paths clear."/>
    <x:s v="MOVE red pencil sharpener to bowl"/>
    <x:m/>
    <x:x v="16"/>
  </x:r>
  <x:r>
    <x:x v="0"/>
    <x:s v="Size Recognition"/>
    <x:n v="116"/>
    <x:s v="Put the smallest object in the bowl."/>
    <x:s v="Bowl: empty. Table, robot-left→robot-right: P1 juggling ball; P2 green block; P3 airplane toy with propellers. Adjacent centers 16 cm apart; row shifted 4 cm toward the robot; all objects fully visible and grasp paths clear."/>
    <x:s v="MOVE airplane toy with propellers to bowl"/>
    <x:m/>
    <x:x v="15"/>
  </x:r>
  <x:r>
    <x:x v="0"/>
    <x:s v="Size Recognition"/>
    <x:n v="117"/>
    <x:s v="Move the object that is largest into the bowl."/>
    <x:s v="Bowl: empty. Table, robot-left→robot-right: P1 juggling ball; P2 green block; P3 airplane toy with propellers. Adjacent centers 16 cm apart; row shifted 4 cm toward the robot; all objects fully visible and grasp paths clear."/>
    <x:s v="MOVE juggling ball to bowl"/>
    <x:m/>
    <x:x v="16"/>
  </x:r>
  <x:r>
    <x:x v="0"/>
    <x:s v="Size Recognition"/>
    <x:n v="118"/>
    <x:s v="Put the largest object in the bowl."/>
    <x:s v="Bowl: empty. Table, robot-left→robot-right: P1 airplane toy with propellers; P2 red pencil sharpener. Adjacent centers 16 cm apart; row shifted 4 cm toward robot-right; all objects fully visible and grasp paths clear."/>
    <x:s v="MOVE airplane toy with propellers to bowl"/>
    <x:s v="started to pick the airplane toy like the soda can, then recovered"/>
    <x:x v="15"/>
  </x:r>
  <x:r>
    <x:x v="0"/>
    <x:s v="Size Recognition"/>
    <x:n v="119"/>
    <x:s v="Pick up the smallest item and place it in the bowl."/>
    <x:s v="Bowl: empty. Table, robot-left→robot-right: P1 airplane toy with propellers; P2 red pencil sharpener. Adjacent centers 16 cm apart; row shifted 4 cm toward robot-right; all objects fully visible and grasp paths clear."/>
    <x:s v="MOVE red pencil sharpener to bowl"/>
    <x:m/>
    <x:x v="16"/>
  </x:r>
  <x:r>
    <x:x v="0"/>
    <x:s v="Size Recognition"/>
    <x:n v="120"/>
    <x:s v="Move the object that is smallest into the bowl."/>
    <x:s v="Bowl: empty. Table, robot-left→robot-right: P1 green block; P2 crushed Pepsi can; P3 airplane toy with propellers. Adjacent centers 8 cm apart; row shifted 4 cm away from the robot; all objects fully visible and grasp paths clear."/>
    <x:s v="MOVE airplane toy with propellers to bowl"/>
    <x:m/>
    <x:x v="15"/>
  </x:r>
  <x:r>
    <x:x v="1"/>
    <x:s v="Size Recognition"/>
    <x:n v="121"/>
    <x:s v="Pick up the largest item and place it in the bowl."/>
    <x:s v="Bowl: empty. Table, robot-left→robot-right: P1 green block; P2 crushed Pepsi can; P3 airplane toy with propellers. Adjacent centers 8 cm apart; row shifted 4 cm away from the robot; all objects fully visible and grasp paths clear."/>
    <x:s v="MOVE crushed Pepsi can to bowl"/>
    <x:s v="picked airplane toy"/>
    <x:x v="16"/>
  </x:r>
  <x:r>
    <x:x v="1"/>
    <x:s v="Size Recognition"/>
    <x:n v="122"/>
    <x:s v="Move the object that is largest into the bowl."/>
    <x:s v="Bowl: empty. Table, robot-left→robot-right: P1 red pencil sharpener; P2 airplane toy with propellers. Adjacent centers 8 cm apart; row shifted 4 cm toward the robot; all objects fully visible and grasp paths clear."/>
    <x:s v="MOVE airplane toy with propellers to bowl"/>
    <x:s v="initially tried to pick airplane toy like soda can, recorded to pick normally, knocked it a bit, and by the time it finally grabbed it, time ran out. Successful reasoning, but timed out."/>
    <x:x v="15"/>
  </x:r>
  <x:r>
    <x:x v="1"/>
    <x:s v="Size Recognition"/>
    <x:n v="123"/>
    <x:s v="Put the smallest object in the bowl."/>
    <x:s v="Bowl: empty. Table, robot-left→robot-right: P1 red pencil sharpener; P2 airplane toy with propellers. Adjacent centers 8 cm apart; row shifted 4 cm toward the robot; all objects fully visible and grasp paths clear."/>
    <x:s v="MOVE red pencil sharpener to bowl"/>
    <x:s v="picked airplane toy, but grabbed it normally"/>
    <x:x v="16"/>
  </x:r>
  <x:r>
    <x:x v="0"/>
    <x:s v="Size Recognition"/>
    <x:n v="124"/>
    <x:s v="Pick up the smallest item and place it in the bowl."/>
    <x:s v="Bowl: empty. Table, robot-left→robot-right: P1 airplane toy with propellers; P2 green block; P3 juggling ball. Adjacent centers 12 cm apart; row centered on the workspace; all objects fully visible and grasp paths clear."/>
    <x:s v="MOVE airplane toy with propellers to bowl"/>
    <x:m/>
    <x:x v="15"/>
  </x:r>
  <x:r>
    <x:x v="0"/>
    <x:s v="Size Recognition"/>
    <x:n v="125"/>
    <x:s v="Put the largest object in the bowl."/>
    <x:s v="Bowl: empty. Table, robot-left→robot-right: P1 airplane toy with propellers; P2 green block; P3 juggling ball. Adjacent centers 12 cm apart; row centered on the workspace; all objects fully visible and grasp paths clear."/>
    <x:s v="MOVE juggling ball to bowl"/>
    <x:m/>
    <x:x v="16"/>
  </x:r>
  <x:r>
    <x:x v="0"/>
    <x:s v="Size Recognition"/>
    <x:n v="126"/>
    <x:s v="Pick up the largest item and place it in the bowl."/>
    <x:s v="Bowl: empty. Table, robot-left→robot-right: P1 airplane toy with propellers; P2 red pencil sharpener. Adjacent centers 12 cm apart; row shifted 4 cm away from the robot; all objects fully visible and grasp paths clear."/>
    <x:s v="MOVE airplane toy with propellers to bowl"/>
    <x:m/>
    <x:x v="15"/>
  </x:r>
  <x:r>
    <x:x v="1"/>
    <x:s v="Size Recognition"/>
    <x:n v="127"/>
    <x:s v="Move the object that is smallest into the bowl."/>
    <x:s v="Bowl: empty. Table, robot-left→robot-right: P1 airplane toy with propellers; P2 red pencil sharpener. Adjacent centers 12 cm apart; row shifted 4 cm away from the robot; all objects fully visible and grasp paths clear."/>
    <x:s v="MOVE red pencil sharpener to bowl"/>
    <x:s v="picked airplane toy again"/>
    <x:x v="16"/>
  </x:r>
  <x:r>
    <x:x v="0"/>
    <x:s v="Size Recognition"/>
    <x:n v="128"/>
    <x:s v="Put the smallest object in the bowl."/>
    <x:s v="Bowl: empty. Table, robot-left→robot-right: P1 crushed Pepsi can; P2 juggling ball; P3 airplane toy with propellers. Adjacent centers 16 cm apart; row shifted 4 cm toward robot-left; all objects fully visible and grasp paths clear."/>
    <x:s v="MOVE airplane toy with propellers to bowl"/>
    <x:m/>
    <x:x v="15"/>
  </x:r>
  <x:r>
    <x:x v="0"/>
    <x:s v="Size Recognition"/>
    <x:n v="129"/>
    <x:s v="Move the object that is largest into the bowl."/>
    <x:s v="Bowl: empty. Table, robot-left→robot-right: P1 crushed Pepsi can; P2 juggling ball; P3 airplane toy with propellers. Adjacent centers 16 cm apart; row shifted 4 cm toward robot-left; all objects fully visible and grasp paths clear."/>
    <x:s v="MOVE crushed Pepsi can to bowl"/>
    <x:m/>
    <x:x v="16"/>
  </x:r>
</x:pivotCacheRecords>
</file>

<file path=pivotCache/pivotCacheRecords3.xml><?xml version="1.0" encoding="utf-8"?>
<x:pivotCacheRecords xmlns:x="http://schemas.openxmlformats.org/spreadsheetml/2006/main" count="900">
  <x:r>
    <x:x v="0"/>
    <x:s v="State Recognition"/>
    <x:n v="0"/>
    <x:s v="Put the open white cup in the bowl."/>
    <x:s v="white cup A (O, RU); white cup B (C, RU); glass spice container A (O, RU); yellow-white striped cup B (O, RU)"/>
    <x:s v="white cup A"/>
    <x:m/>
    <x:x v="0"/>
  </x:r>
  <x:r>
    <x:x v="0"/>
    <x:s v="State Recognition"/>
    <x:n v="1"/>
    <x:s v="Put the upright white cup in the bowl."/>
    <x:s v="white cup A (O, RU); white cup B (O, UD)"/>
    <x:s v="white cup A"/>
    <x:m/>
    <x:x v="0"/>
  </x:r>
  <x:r>
    <x:x v="0"/>
    <x:s v="State Recognition"/>
    <x:n v="2"/>
    <x:s v="Move the closed yellow-white striped cup into the bowl."/>
    <x:s v="yellow-white striped cup B (C, RU); yellow-white striped cup A (O, RU); white cup A (C, RU)"/>
    <x:s v="yellow-white striped cup B"/>
    <x:m/>
    <x:x v="0"/>
  </x:r>
  <x:r>
    <x:x v="0"/>
    <x:s v="State Recognition"/>
    <x:n v="3"/>
    <x:s v="Move the upside-down yellow-white striped cup into the bowl."/>
    <x:s v="yellow-white striped cup B (O, UD); yellow-white striped cup A (O, RU); brown cup B (C, RU); glass spice container A (O, RU)"/>
    <x:s v="yellow-white striped cup B"/>
    <x:m/>
    <x:x v="0"/>
  </x:r>
  <x:r>
    <x:x v="0"/>
    <x:s v="State Recognition"/>
    <x:n v="4"/>
    <x:s v="Put the open brown cup in the bowl."/>
    <x:s v="brown cup B (O, RU); brown cup A (C, RU); glass spice container A (O, RU)"/>
    <x:s v="brown cup B"/>
    <x:m/>
    <x:x v="0"/>
  </x:r>
  <x:r>
    <x:x v="1"/>
    <x:s v="State Recognition"/>
    <x:n v="5"/>
    <x:s v="Put the upside-down brown cup in the bowl."/>
    <x:s v="brown cup A (O, UD); brown cup B (O, RU)"/>
    <x:s v="brown cup A"/>
    <x:m/>
    <x:x v="0"/>
  </x:r>
  <x:r>
    <x:x v="1"/>
    <x:s v="State Recognition"/>
    <x:n v="6"/>
    <x:s v="Put the upright brown cup in the bowl."/>
    <x:s v="brown cup B (C, RU); brown cup A (C, UD)"/>
    <x:s v="brown cup B"/>
    <x:m/>
    <x:x v="0"/>
  </x:r>
  <x:r>
    <x:x v="1"/>
    <x:s v="State Recognition"/>
    <x:n v="7"/>
    <x:s v="Place the closed glass spice container in the bowl."/>
    <x:s v="glass spice container A (C, RU); glass spice container B (O, RU); yellow-white striped cup A (C, RU)"/>
    <x:s v="glass spice container A"/>
    <x:m/>
    <x:x v="0"/>
  </x:r>
  <x:r>
    <x:x v="0"/>
    <x:s v="State Recognition"/>
    <x:n v="8"/>
    <x:s v="Move the open glass spice container into the bowl."/>
    <x:s v="glass spice container B (O, RU); glass spice container A (C, RU); white cup B (O, RU)"/>
    <x:s v="glass spice container B"/>
    <x:m/>
    <x:x v="0"/>
  </x:r>
  <x:r>
    <x:x v="0"/>
    <x:s v="State Recognition"/>
    <x:n v="9"/>
    <x:s v="Put the upside-down glass spice container in the bowl."/>
    <x:s v="glass spice container B (C, UD); glass spice container A (C, RU)"/>
    <x:s v="glass spice container B"/>
    <x:m/>
    <x:x v="0"/>
  </x:r>
  <x:r>
    <x:x v="0"/>
    <x:s v="State Recognition"/>
    <x:n v="10"/>
    <x:s v="Move the closed white cup into the bowl."/>
    <x:s v="white cup B (C, RU); white cup A (O, RU); yellow-white striped cup A (C, RU); brown cup B (C, RU)"/>
    <x:s v="white cup B"/>
    <x:m/>
    <x:x v="0"/>
  </x:r>
  <x:r>
    <x:x v="0"/>
    <x:s v="State Recognition"/>
    <x:n v="11"/>
    <x:s v="Place the closed white cup in the bowl."/>
    <x:s v="white cup A (C, RU); white cup B (O, RU); brown cup B (O, RU)"/>
    <x:s v="white cup A"/>
    <x:m/>
    <x:x v="0"/>
  </x:r>
  <x:r>
    <x:x v="0"/>
    <x:s v="State Recognition"/>
    <x:n v="12"/>
    <x:s v="Put the open white cup in the bowl."/>
    <x:s v="white cup B (O, RU); white cup A (C, RU); glass spice container B (O, RU)"/>
    <x:s v="white cup B"/>
    <x:m/>
    <x:x v="0"/>
  </x:r>
  <x:r>
    <x:x v="1"/>
    <x:s v="State Recognition"/>
    <x:n v="13"/>
    <x:s v="Place the upside-down yellow-white striped cup in the bowl."/>
    <x:s v="yellow-white striped cup A (O, UD); yellow-white striped cup B (O, RU)"/>
    <x:s v="yellow-white striped cup A"/>
    <x:m/>
    <x:x v="0"/>
  </x:r>
  <x:r>
    <x:x v="0"/>
    <x:s v="State Recognition"/>
    <x:n v="14"/>
    <x:s v="Move the upright yellow-white striped cup into the bowl."/>
    <x:s v="yellow-white striped cup A (O, RU); yellow-white striped cup B (O, UD); glass spice container A (O, RU); white cup B (C, UD)"/>
    <x:s v="yellow-white striped cup A"/>
    <x:m/>
    <x:x v="0"/>
  </x:r>
  <x:r>
    <x:x v="0"/>
    <x:s v="State Recognition"/>
    <x:n v="15"/>
    <x:s v="Put the upright yellow-white striped cup in the bowl."/>
    <x:s v="yellow-white striped cup B (C, RU); yellow-white striped cup A (C, UD)"/>
    <x:s v="yellow-white striped cup B"/>
    <x:m/>
    <x:x v="0"/>
  </x:r>
  <x:r>
    <x:x v="0"/>
    <x:s v="State Recognition"/>
    <x:n v="16"/>
    <x:s v="Move the upside-down brown cup into the bowl."/>
    <x:s v="brown cup A (C, UD); brown cup B (C, RU); yellow-white striped cup B (C, UD); glass spice container A (O, RU)"/>
    <x:s v="brown cup A"/>
    <x:m/>
    <x:x v="0"/>
  </x:r>
  <x:r>
    <x:x v="0"/>
    <x:s v="State Recognition"/>
    <x:n v="17"/>
    <x:s v="Place the upright brown cup in the bowl."/>
    <x:s v="brown cup A (C, RU); brown cup B (C, UD); glass spice container B (C, UD)"/>
    <x:s v="brown cup A"/>
    <x:m/>
    <x:x v="0"/>
  </x:r>
  <x:r>
    <x:x v="0"/>
    <x:s v="State Recognition"/>
    <x:n v="18"/>
    <x:s v="Put the closed glass spice container in the bowl."/>
    <x:s v="glass spice container A (C, RU); glass spice container B (O, RU); brown cup A (C, RU); white cup B (O, RU)"/>
    <x:s v="glass spice container A"/>
    <x:m/>
    <x:x v="0"/>
  </x:r>
  <x:r>
    <x:x v="0"/>
    <x:s v="State Recognition"/>
    <x:n v="19"/>
    <x:s v="Move the open glass spice container into the bowl."/>
    <x:s v="glass spice container B (O, RU); glass spice container A (C, RU); white cup B (O, RU); yellow-white striped cup A (O, RU)"/>
    <x:s v="glass spice container B"/>
    <x:m/>
    <x:x v="0"/>
  </x:r>
  <x:r>
    <x:x v="1"/>
    <x:s v="State Recognition"/>
    <x:n v="20"/>
    <x:s v="Place the upside-down white cup in the bowl."/>
    <x:s v="white cup A (C, UD); white cup B (C, RU)"/>
    <x:s v="white cup A"/>
    <x:s v="Pick up the upright cup"/>
    <x:x v="1"/>
  </x:r>
  <x:r>
    <x:x v="0"/>
    <x:s v="State Recognition"/>
    <x:n v="21"/>
    <x:s v="Put a white cup in the bowl."/>
    <x:s v="white cup A (C, UD); yellow-white striped cup A (C, RU)"/>
    <x:s v="white cup A"/>
    <x:m/>
    <x:x v="2"/>
  </x:r>
  <x:r>
    <x:x v="1"/>
    <x:s v="State Recognition"/>
    <x:n v="22"/>
    <x:s v="Move the inverted white cup into the bowl."/>
    <x:s v="white cup A (C, UD); white cup B (C, RU)"/>
    <x:s v="white cup A"/>
    <x:s v="picked upright cup"/>
    <x:x v="3"/>
  </x:r>
  <x:r>
    <x:x v="0"/>
    <x:s v="State Recognition"/>
    <x:n v="23"/>
    <x:s v="Transfer the white cup from the table into the bowl."/>
    <x:s v="white cup A (C, UD); yellow-white striped cup A (C, RU)"/>
    <x:s v="white cup A"/>
    <x:m/>
    <x:x v="3"/>
  </x:r>
  <x:r>
    <x:x v="0"/>
    <x:s v="State Recognition"/>
    <x:n v="24"/>
    <x:s v="Place the open yellow-white striped cup in the bowl."/>
    <x:s v="yellow-white striped cup B (O, RU); yellow-white striped cup A (C, RU); brown cup B (O, RU)"/>
    <x:s v="yellow-white striped cup B"/>
    <x:m/>
    <x:x v="1"/>
  </x:r>
  <x:r>
    <x:x v="0"/>
    <x:s v="State Recognition"/>
    <x:n v="25"/>
    <x:s v="Place a yellow-white striped cup in the bowl."/>
    <x:s v="yellow-white striped cup B (O, RU); glass spice container B (C, RU); brown cup B (O, RU)"/>
    <x:s v="yellow-white striped cup B"/>
    <x:m/>
    <x:x v="2"/>
  </x:r>
  <x:r>
    <x:x v="0"/>
    <x:s v="State Recognition"/>
    <x:n v="26"/>
    <x:s v="Move the yellow-white striped cup whose opening is uncovered into the bowl."/>
    <x:s v="yellow-white striped cup B (O, RU); yellow-white striped cup A (C, RU); brown cup B (O, RU)"/>
    <x:s v="yellow-white striped cup B"/>
    <x:m/>
    <x:x v="3"/>
  </x:r>
  <x:r>
    <x:x v="0"/>
    <x:s v="State Recognition"/>
    <x:n v="27"/>
    <x:s v="Lift the yellow-white striped cup and set it inside the bowl."/>
    <x:s v="yellow-white striped cup B (O, RU); glass spice container B (C, RU); brown cup B (O, RU)"/>
    <x:s v="yellow-white striped cup B"/>
    <x:m/>
    <x:x v="3"/>
  </x:r>
  <x:r>
    <x:x v="1"/>
    <x:s v="State Recognition"/>
    <x:n v="28"/>
    <x:s v="Place the upright glass spice container in the bowl."/>
    <x:s v="glass spice container B (C, RU); glass spice container A (C, UD)"/>
    <x:s v="glass spice container B"/>
    <x:s v="Placed the upside down one in the bowl"/>
    <x:x v="1"/>
  </x:r>
  <x:r>
    <x:x v="0"/>
    <x:s v="State Recognition"/>
    <x:n v="29"/>
    <x:s v="Place a glass spice container in the bowl."/>
    <x:s v="glass spice container B (C, RU); white cup B (C, UD)"/>
    <x:s v="glass spice container B"/>
    <x:m/>
    <x:x v="2"/>
  </x:r>
  <x:r>
    <x:x v="1"/>
    <x:s v="State Recognition"/>
    <x:n v="30"/>
    <x:s v="Move the right-side-up glass spice container into the bowl."/>
    <x:s v="glass spice container B (C, RU); glass spice container A (C, UD)"/>
    <x:s v="glass spice container B"/>
    <x:s v="Placed the upside down one in the bowl"/>
    <x:x v="3"/>
  </x:r>
  <x:r>
    <x:x v="0"/>
    <x:s v="State Recognition"/>
    <x:n v="31"/>
    <x:s v="Move the glass spice container from the workspace into the bowl."/>
    <x:s v="glass spice container B (C, RU); white cup B (C, UD)"/>
    <x:s v="glass spice container B"/>
    <x:m/>
    <x:x v="3"/>
  </x:r>
  <x:r>
    <x:x v="0"/>
    <x:s v="State Recognition"/>
    <x:n v="32"/>
    <x:s v="Place the upside-down white cup in the bowl."/>
    <x:s v="white cup A (O, UD); white cup B (O, RU); brown cup A (C, RU)"/>
    <x:s v="white cup A"/>
    <x:m/>
    <x:x v="1"/>
  </x:r>
  <x:r>
    <x:x v="0"/>
    <x:s v="State Recognition"/>
    <x:n v="33"/>
    <x:s v="Move a white cup into the bowl."/>
    <x:s v="white cup A (O, UD); yellow-white striped cup A (O, RU); brown cup A (C, RU)"/>
    <x:s v="white cup A"/>
    <x:m/>
    <x:x v="2"/>
  </x:r>
  <x:r>
    <x:x v="1"/>
    <x:s v="State Recognition"/>
    <x:n v="34"/>
    <x:s v="Move the inverted white cup into the bowl."/>
    <x:s v="white cup A (O, UD); white cup B (O, RU); brown cup A (C, RU)"/>
    <x:s v="white cup A"/>
    <x:s v="picked the upright cup"/>
    <x:x v="3"/>
  </x:r>
  <x:r>
    <x:x v="0"/>
    <x:s v="State Recognition"/>
    <x:n v="35"/>
    <x:s v="Set the white cup inside the bowl."/>
    <x:s v="white cup A (O, UD); yellow-white striped cup A (O, RU); brown cup A (C, RU)"/>
    <x:s v="white cup A"/>
    <x:m/>
    <x:x v="3"/>
  </x:r>
  <x:r>
    <x:x v="1"/>
    <x:s v="State Recognition"/>
    <x:n v="36"/>
    <x:s v="Place the closed brown cup in the bowl."/>
    <x:s v="brown cup A (C, RU); brown cup B (O, RU); glass spice container A (C, RU); white cup B (O, RU)"/>
    <x:s v="brown cup A"/>
    <x:s v="picked the open cup"/>
    <x:x v="1"/>
  </x:r>
  <x:r>
    <x:x v="0"/>
    <x:s v="State Recognition"/>
    <x:n v="37"/>
    <x:s v="Place a brown cup in the bowl."/>
    <x:s v="brown cup A (C, RU); yellow-white striped cup A (O, RU); glass spice container A (C, RU); white cup B (O, RU)"/>
    <x:s v="brown cup A"/>
    <x:m/>
    <x:x v="2"/>
  </x:r>
  <x:r>
    <x:x v="1"/>
    <x:s v="State Recognition"/>
    <x:n v="38"/>
    <x:s v="Move the brown cup whose opening is covered into the bowl."/>
    <x:s v="brown cup A (C, RU); brown cup B (O, RU); glass spice container A (C, RU); white cup B (O, RU)"/>
    <x:s v="brown cup A"/>
    <x:s v="picked the open cup"/>
    <x:x v="3"/>
  </x:r>
  <x:r>
    <x:x v="0"/>
    <x:s v="State Recognition"/>
    <x:n v="39"/>
    <x:s v="Take the brown cup off the table and place it in the bowl."/>
    <x:s v="brown cup A (C, RU); yellow-white striped cup A (O, RU); glass spice container A (C, RU); white cup B (O, RU)"/>
    <x:s v="brown cup A"/>
    <x:m/>
    <x:x v="3"/>
  </x:r>
  <x:r>
    <x:x v="1"/>
    <x:s v="State Recognition"/>
    <x:n v="40"/>
    <x:s v="Place the open yellow-white striped cup in the bowl."/>
    <x:s v="yellow-white striped cup B (O, RU); yellow-white striped cup A (C, RU); glass spice container B (O, RU); white cup A (C, RU)"/>
    <x:s v="yellow-white striped cup B"/>
    <x:s v="picked closed cup"/>
    <x:x v="1"/>
  </x:r>
  <x:r>
    <x:x v="0"/>
    <x:s v="State Recognition"/>
    <x:n v="41"/>
    <x:s v="Put a yellow-white striped cup in the bowl."/>
    <x:s v="yellow-white striped cup B (O, RU); brown cup B (C, RU); glass spice container B (O, RU); white cup A (C, RU)"/>
    <x:s v="yellow-white striped cup B"/>
    <x:m/>
    <x:x v="2"/>
  </x:r>
  <x:r>
    <x:x v="0"/>
    <x:s v="State Recognition"/>
    <x:n v="42"/>
    <x:s v="Move the yellow-white striped cup whose opening is uncovered into the bowl."/>
    <x:s v="yellow-white striped cup B (O, RU); yellow-white striped cup A (C, RU); glass spice container B (O, RU); white cup A (C, RU)"/>
    <x:s v="yellow-white striped cup B"/>
    <x:m/>
    <x:x v="3"/>
  </x:r>
  <x:r>
    <x:x v="0"/>
    <x:s v="State Recognition"/>
    <x:n v="43"/>
    <x:s v="Transfer the yellow-white striped cup from the table into the bowl."/>
    <x:s v="yellow-white striped cup B (O, RU); brown cup B (C, RU); glass spice container B (O, RU); white cup A (C, RU)"/>
    <x:s v="yellow-white striped cup B"/>
    <x:m/>
    <x:x v="3"/>
  </x:r>
  <x:r>
    <x:x v="0"/>
    <x:s v="State Recognition"/>
    <x:n v="44"/>
    <x:s v="Place the closed brown cup in the bowl."/>
    <x:s v="brown cup A (C, RU); brown cup B (O, RU)"/>
    <x:s v="brown cup A"/>
    <x:m/>
    <x:x v="1"/>
  </x:r>
  <x:r>
    <x:x v="0"/>
    <x:s v="State Recognition"/>
    <x:n v="45"/>
    <x:s v="Put a brown cup in the bowl."/>
    <x:s v="brown cup A (C, RU); white cup A (O, RU)"/>
    <x:s v="brown cup A"/>
    <x:m/>
    <x:x v="2"/>
  </x:r>
  <x:r>
    <x:x v="1"/>
    <x:s v="State Recognition"/>
    <x:n v="46"/>
    <x:s v="Move the brown cup whose opening is covered into the bowl."/>
    <x:s v="brown cup A (C, RU); brown cup B (O, RU)"/>
    <x:s v="brown cup A"/>
    <x:s v="went for open cup"/>
    <x:x v="3"/>
  </x:r>
  <x:r>
    <x:x v="0"/>
    <x:s v="State Recognition"/>
    <x:n v="47"/>
    <x:s v="Lift the brown cup and set it inside the bowl."/>
    <x:s v="brown cup A (C, RU); white cup A (O, RU)"/>
    <x:s v="brown cup A"/>
    <x:m/>
    <x:x v="3"/>
  </x:r>
  <x:r>
    <x:x v="0"/>
    <x:s v="State Recognition"/>
    <x:n v="48"/>
    <x:s v="Place the upright glass spice container in the bowl."/>
    <x:s v="glass spice container B (O, RU); glass spice container A (O, UD); yellow-white striped cup B (O, UD)"/>
    <x:s v="glass spice container B"/>
    <x:m/>
    <x:x v="1"/>
  </x:r>
  <x:r>
    <x:x v="1"/>
    <x:s v="State Recognition"/>
    <x:n v="49"/>
    <x:s v="Move a glass spice container into the bowl."/>
    <x:s v="glass spice container B (O, RU); brown cup B (O, UD); yellow-white striped cup B (O, UD)"/>
    <x:s v="glass spice container B"/>
    <x:s v="successfully went for the glass container, but messed up grasp and then started going all over the place. During recovery started to go for bronw cup"/>
    <x:x v="2"/>
  </x:r>
  <x:r>
    <x:x v="1"/>
    <x:s v="State Recognition"/>
    <x:n v="50"/>
    <x:s v="Move the right-side-up glass spice container into the bowl."/>
    <x:s v="glass spice container B (O, RU); glass spice container A (O, UD); yellow-white striped cup B (O, UD)"/>
    <x:s v="glass spice container B"/>
    <x:s v="picked the upside down one"/>
    <x:x v="3"/>
  </x:r>
  <x:r>
    <x:x v="0"/>
    <x:s v="State Recognition"/>
    <x:n v="51"/>
    <x:s v="Take the glass spice container off the table and place it in the bowl."/>
    <x:s v="glass spice container B (O, RU); brown cup B (O, UD); yellow-white striped cup B (O, UD)"/>
    <x:s v="glass spice container B"/>
    <x:m/>
    <x:x v="3"/>
  </x:r>
  <x:r>
    <x:x v="0"/>
    <x:s v="State Recognition"/>
    <x:n v="52"/>
    <x:s v="Place the upside-down white cup in the bowl."/>
    <x:s v="white cup A (C, UD); white cup B (C, RU); glass spice container A (C, RU); yellow-white striped cup B (O, RU)"/>
    <x:s v="white cup A"/>
    <x:m/>
    <x:x v="1"/>
  </x:r>
  <x:r>
    <x:x v="0"/>
    <x:s v="State Recognition"/>
    <x:n v="53"/>
    <x:s v="Move a white cup into the bowl."/>
    <x:s v="white cup A (C, UD); brown cup A (C, RU); glass spice container A (C, RU); yellow-white striped cup B (O, RU)"/>
    <x:s v="white cup A"/>
    <x:m/>
    <x:x v="2"/>
  </x:r>
  <x:r>
    <x:x v="1"/>
    <x:s v="State Recognition"/>
    <x:n v="54"/>
    <x:s v="Move the inverted white cup into the bowl."/>
    <x:s v="white cup A (C, UD); white cup B (C, RU); glass spice container A (C, RU); yellow-white striped cup B (O, RU)"/>
    <x:s v="white cup A"/>
    <x:s v="picked the upright white cup"/>
    <x:x v="3"/>
  </x:r>
  <x:r>
    <x:x v="0"/>
    <x:s v="State Recognition"/>
    <x:n v="55"/>
    <x:s v="Move the white cup from the workspace into the bowl."/>
    <x:s v="white cup A (C, UD); brown cup A (C, RU); glass spice container A (C, RU); yellow-white striped cup B (O, RU)"/>
    <x:s v="white cup A"/>
    <x:m/>
    <x:x v="3"/>
  </x:r>
  <x:r>
    <x:x v="1"/>
    <x:s v="State Recognition"/>
    <x:n v="56"/>
    <x:s v="Place the open yellow-white striped cup in the bowl."/>
    <x:s v="yellow-white striped cup B (O, RU); yellow-white striped cup A (C, RU)"/>
    <x:s v="yellow-white striped cup B"/>
    <x:s v="picked the closed cup"/>
    <x:x v="1"/>
  </x:r>
  <x:r>
    <x:x v="0"/>
    <x:s v="State Recognition"/>
    <x:n v="57"/>
    <x:s v="Put a yellow-white striped cup in the bowl."/>
    <x:s v="yellow-white striped cup B (O, RU); white cup B (C, RU)"/>
    <x:s v="yellow-white striped cup B"/>
    <x:m/>
    <x:x v="2"/>
  </x:r>
  <x:r>
    <x:x v="0"/>
    <x:s v="State Recognition"/>
    <x:n v="58"/>
    <x:s v="Move the yellow-white striped cup whose opening is uncovered into the bowl."/>
    <x:s v="yellow-white striped cup B (O, RU); yellow-white striped cup A (C, RU)"/>
    <x:s v="yellow-white striped cup B"/>
    <x:m/>
    <x:x v="3"/>
  </x:r>
  <x:r>
    <x:x v="0"/>
    <x:s v="State Recognition"/>
    <x:n v="59"/>
    <x:s v="Set the yellow-white striped cup inside the bowl."/>
    <x:s v="yellow-white striped cup B (O, RU); white cup B (C, RU)"/>
    <x:s v="yellow-white striped cup B"/>
    <x:m/>
    <x:x v="3"/>
  </x:r>
  <x:r>
    <x:x v="1"/>
    <x:s v="State Recognition"/>
    <x:n v="60"/>
    <x:s v="Place the closed brown cup in the bowl."/>
    <x:s v="brown cup A (C, RU); brown cup B (O, RU); yellow-white striped cup A (C, RU)"/>
    <x:s v="brown cup A"/>
    <x:s v="picked open brown cup"/>
    <x:x v="1"/>
  </x:r>
  <x:r>
    <x:x v="0"/>
    <x:s v="State Recognition"/>
    <x:n v="61"/>
    <x:s v="Move a brown cup into the bowl."/>
    <x:s v="brown cup A (C, RU); white cup A (O, RU); yellow-white striped cup A (C, RU)"/>
    <x:s v="brown cup A"/>
    <x:m/>
    <x:x v="2"/>
  </x:r>
  <x:r>
    <x:x v="1"/>
    <x:s v="State Recognition"/>
    <x:n v="62"/>
    <x:s v="Place the upright glass spice container in the bowl."/>
    <x:s v="glass spice container B (C, RU); glass spice container A (C, UD); brown cup B (O, UD); white cup A (C, RU)"/>
    <x:s v="glass spice container B"/>
    <x:s v="picked upside down spice container"/>
    <x:x v="1"/>
  </x:r>
  <x:r>
    <x:x v="1"/>
    <x:s v="State Recognition"/>
    <x:n v="63"/>
    <x:s v="Place a glass spice container in the bowl."/>
    <x:s v="glass spice container B (C, RU); yellow-white striped cup B (C, UD); brown cup B (O, UD); white cup A (C, RU)"/>
    <x:s v="glass spice container B"/>
    <x:s v="picked the yellow white striped cup"/>
    <x:x v="2"/>
  </x:r>
  <x:r>
    <x:x v="1"/>
    <x:s v="State Recognition"/>
    <x:n v="64"/>
    <x:s v="Place the upside-down white cup in the bowl."/>
    <x:s v="white cup A (O, UD); white cup B (O, RU)"/>
    <x:s v="white cup A"/>
    <x:s v="picked the open white cup"/>
    <x:x v="1"/>
  </x:r>
  <x:r>
    <x:x v="0"/>
    <x:s v="State Recognition"/>
    <x:n v="65"/>
    <x:s v="Put a white cup in the bowl."/>
    <x:s v="white cup A (O, UD); yellow-white striped cup A (O, RU)"/>
    <x:s v="white cup A"/>
    <x:m/>
    <x:x v="2"/>
  </x:r>
  <x:r>
    <x:x v="1"/>
    <x:s v="State Recognition"/>
    <x:n v="66"/>
    <x:s v="Place the open yellow-white striped cup in the bowl."/>
    <x:s v="yellow-white striped cup B (O, RU); yellow-white striped cup A (C, RU); brown cup B (O, RU)"/>
    <x:s v="yellow-white striped cup B"/>
    <x:s v="picked the closed striped cup"/>
    <x:x v="1"/>
  </x:r>
  <x:r>
    <x:x v="0"/>
    <x:s v="State Recognition"/>
    <x:n v="67"/>
    <x:s v="Put a yellow-white striped cup in the bowl."/>
    <x:s v="yellow-white striped cup B (O, RU); glass spice container B (C, RU); brown cup B (O, RU)"/>
    <x:s v="yellow-white striped cup B"/>
    <x:m/>
    <x:x v="2"/>
  </x:r>
  <x:r>
    <x:x v="0"/>
    <x:s v="State Recognition"/>
    <x:n v="68"/>
    <x:s v="Place the closed brown cup in the bowl."/>
    <x:s v="brown cup A (C, RU); brown cup B (O, RU); glass spice container A (C, RU); white cup B (O, RU)"/>
    <x:s v="brown cup A"/>
    <x:m/>
    <x:x v="1"/>
  </x:r>
  <x:r>
    <x:x v="0"/>
    <x:s v="State Recognition"/>
    <x:n v="69"/>
    <x:s v="Move a brown cup into the bowl."/>
    <x:s v="brown cup A (C, RU); yellow-white striped cup A (O, RU); glass spice container A (C, RU); white cup B (O, RU)"/>
    <x:s v="brown cup A"/>
    <x:m/>
    <x:x v="2"/>
  </x:r>
  <x:r>
    <x:x v="0"/>
    <x:s v="State Recognition"/>
    <x:n v="70"/>
    <x:s v="Place the upright glass spice container in the bowl."/>
    <x:s v="glass spice container B (O, RU); glass spice container A (O, UD)"/>
    <x:s v="glass spice container B"/>
    <x:m/>
    <x:x v="1"/>
  </x:r>
  <x:r>
    <x:x v="0"/>
    <x:s v="State Recognition"/>
    <x:n v="71"/>
    <x:s v="Place a glass spice container in the bowl."/>
    <x:s v="glass spice container B (O, RU); white cup B (O, UD)"/>
    <x:s v="glass spice container B"/>
    <x:m/>
    <x:x v="2"/>
  </x:r>
  <x:r>
    <x:x v="1"/>
    <x:s v="State Recognition"/>
    <x:n v="72"/>
    <x:s v="Place the upside-down white cup in the bowl."/>
    <x:s v="white cup A (C, UD); white cup B (C, RU); brown cup A (C, RU)"/>
    <x:s v="white cup A"/>
    <x:s v="picked the upright white cup"/>
    <x:x v="1"/>
  </x:r>
  <x:r>
    <x:x v="0"/>
    <x:s v="State Recognition"/>
    <x:n v="73"/>
    <x:s v="Put a white cup in the bowl."/>
    <x:s v="white cup A (C, UD); yellow-white striped cup A (C, RU); brown cup A (C, RU)"/>
    <x:s v="white cup A"/>
    <x:m/>
    <x:x v="2"/>
  </x:r>
  <x:r>
    <x:x v="1"/>
    <x:s v="State Recognition"/>
    <x:n v="74"/>
    <x:s v="Place the open yellow-white striped cup in the bowl."/>
    <x:s v="yellow-white striped cup B (O, RU); yellow-white striped cup A (C, RU); glass spice container B (O, RU); white cup A (C, RU)"/>
    <x:s v="yellow-white striped cup B"/>
    <x:s v="picked the closed striped cup"/>
    <x:x v="1"/>
  </x:r>
  <x:r>
    <x:x v="0"/>
    <x:s v="State Recognition"/>
    <x:n v="75"/>
    <x:s v="Move a yellow-white striped cup into the bowl."/>
    <x:s v="yellow-white striped cup B (O, RU); brown cup B (C, RU); glass spice container B (O, RU); white cup A (C, RU)"/>
    <x:s v="yellow-white striped cup B"/>
    <x:m/>
    <x:x v="2"/>
  </x:r>
  <x:r>
    <x:x v="0"/>
    <x:s v="State Recognition"/>
    <x:n v="76"/>
    <x:s v="Place the closed brown cup in the bowl."/>
    <x:s v="brown cup A (C, RU); brown cup B (O, RU)"/>
    <x:s v="brown cup A"/>
    <x:m/>
    <x:x v="1"/>
  </x:r>
  <x:r>
    <x:x v="0"/>
    <x:s v="State Recognition"/>
    <x:n v="77"/>
    <x:s v="Move a brown cup into the bowl."/>
    <x:s v="brown cup A (C, RU); white cup A (O, RU)"/>
    <x:s v="brown cup A"/>
    <x:m/>
    <x:x v="2"/>
  </x:r>
  <x:r>
    <x:x v="1"/>
    <x:s v="State Recognition"/>
    <x:n v="78"/>
    <x:s v="Place the upright glass spice container in the bowl."/>
    <x:s v="glass spice container B (C, RU); glass spice container A (C, UD); yellow-white striped cup B (O, UD)"/>
    <x:s v="glass spice container B"/>
    <x:s v="picked the upside-down glass spice container"/>
    <x:x v="1"/>
  </x:r>
  <x:r>
    <x:x v="0"/>
    <x:s v="State Recognition"/>
    <x:n v="79"/>
    <x:s v="Put a glass spice container in the bowl."/>
    <x:s v="glass spice container B (C, RU); brown cup B (C, UD); yellow-white striped cup B (O, UD)"/>
    <x:s v="glass spice container B"/>
    <x:m/>
    <x:x v="2"/>
  </x:r>
  <x:r>
    <x:x v="1"/>
    <x:s v="State Recognition"/>
    <x:n v="80"/>
    <x:s v="Place the upside-down white cup in the bowl."/>
    <x:s v="white cup A (O, UD); white cup B (O, RU); glass spice container A (C, RU); yellow-white striped cup B (O, RU)"/>
    <x:s v="white cup A"/>
    <x:s v="picked upright white cup"/>
    <x:x v="1"/>
  </x:r>
  <x:r>
    <x:x v="0"/>
    <x:s v="State Recognition"/>
    <x:n v="81"/>
    <x:s v="Place the open yellow-white striped cup in the bowl."/>
    <x:s v="yellow-white striped cup B (O, RU); yellow-white striped cup A (C, RU)"/>
    <x:s v="yellow-white striped cup B"/>
    <x:m/>
    <x:x v="1"/>
  </x:r>
  <x:r>
    <x:x v="1"/>
    <x:s v="State Recognition"/>
    <x:n v="82"/>
    <x:s v="Place the closed brown cup in the bowl."/>
    <x:s v="brown cup A (C, RU); brown cup B (O, RU); yellow-white striped cup A (C, RU)"/>
    <x:s v="brown cup A"/>
    <x:s v="placed the open cup"/>
    <x:x v="1"/>
  </x:r>
  <x:r>
    <x:x v="0"/>
    <x:s v="State Recognition"/>
    <x:n v="83"/>
    <x:s v="Place the upright glass spice container in the bowl."/>
    <x:s v="glass spice container B (O, RU); glass spice container A (O, UD); brown cup B (O, UD); white cup A (C, RU)"/>
    <x:s v="glass spice container B"/>
    <x:m/>
    <x:x v="1"/>
  </x:r>
  <x:r>
    <x:x v="1"/>
    <x:s v="State Recognition"/>
    <x:n v="84"/>
    <x:s v="Place the upside-down white cup in the bowl."/>
    <x:s v="white cup A (C, UD); white cup B (C, RU)"/>
    <x:s v="white cup A"/>
    <x:s v="placed the upright cup in the bowl"/>
    <x:x v="1"/>
  </x:r>
  <x:r>
    <x:x v="0"/>
    <x:s v="State Recognition"/>
    <x:n v="85"/>
    <x:s v="Place the open yellow-white striped cup in the bowl."/>
    <x:s v="yellow-white striped cup B (O, RU); yellow-white striped cup A (C, RU); brown cup B (O, RU)"/>
    <x:s v="yellow-white striped cup B"/>
    <x:m/>
    <x:x v="1"/>
  </x:r>
  <x:r>
    <x:x v="0"/>
    <x:s v="State Recognition"/>
    <x:n v="86"/>
    <x:s v="Place the closed brown cup in the bowl."/>
    <x:s v="brown cup A (C, RU); brown cup B (O, RU); glass spice container A (C, RU); white cup B (O, RU)"/>
    <x:s v="brown cup A"/>
    <x:s v="squeeze so hard that the lid popped off"/>
    <x:x v="1"/>
  </x:r>
  <x:r>
    <x:x v="1"/>
    <x:s v="State Recognition"/>
    <x:n v="87"/>
    <x:s v="Place the upright glass spice container in the bowl."/>
    <x:s v="glass spice container B (C, RU); glass spice container A (C, UD)"/>
    <x:s v="glass spice container B"/>
    <x:s v="picked the upside down container"/>
    <x:x v="1"/>
  </x:r>
  <x:r>
    <x:x v="1"/>
    <x:s v="State Recognition"/>
    <x:n v="88"/>
    <x:s v="Place the upside-down white cup in the bowl."/>
    <x:s v="white cup A (O, UD); white cup B (O, RU); brown cup A (C, RU)"/>
    <x:s v="white cup A"/>
    <x:s v="picked the upright white cup"/>
    <x:x v="1"/>
  </x:r>
  <x:r>
    <x:x v="0"/>
    <x:s v="State Recognition"/>
    <x:n v="89"/>
    <x:s v="Place the open yellow-white striped cup in the bowl."/>
    <x:s v="yellow-white striped cup B (O, RU); yellow-white striped cup A (C, RU); glass spice container B (O, RU); white cup A (C, RU)"/>
    <x:s v="yellow-white striped cup B"/>
    <x:m/>
    <x:x v="1"/>
  </x:r>
  <x:r>
    <x:x v="0"/>
    <x:s v="State Recognition"/>
    <x:n v="90"/>
    <x:s v="Place the closed brown cup in the bowl."/>
    <x:s v="brown cup A (C, RU); brown cup B (O, RU)"/>
    <x:s v="brown cup A"/>
    <x:m/>
    <x:x v="1"/>
  </x:r>
  <x:r>
    <x:x v="1"/>
    <x:s v="State Recognition"/>
    <x:n v="91"/>
    <x:s v="Place the upright glass spice container in the bowl."/>
    <x:s v="glass spice container B (O, RU); glass spice container A (O, UD); yellow-white striped cup B (O, UD)"/>
    <x:s v="glass spice container B"/>
    <x:s v="went for upside down jar"/>
    <x:x v="1"/>
  </x:r>
  <x:r>
    <x:x v="1"/>
    <x:s v="State Recognition"/>
    <x:n v="92"/>
    <x:s v="Place the upside-down white cup in the bowl."/>
    <x:s v="white cup A (C, UD); white cup B (C, RU); glass spice container A (C, RU); yellow-white striped cup B (O, RU)"/>
    <x:s v="white cup A"/>
    <x:s v="went for upright white cup"/>
    <x:x v="1"/>
  </x:r>
  <x:r>
    <x:x v="0"/>
    <x:s v="State Recognition"/>
    <x:n v="93"/>
    <x:s v="Place the open yellow-white striped cup in the bowl."/>
    <x:s v="yellow-white striped cup B (O, RU); yellow-white striped cup A (C, RU)"/>
    <x:s v="yellow-white striped cup B"/>
    <x:m/>
    <x:x v="1"/>
  </x:r>
  <x:r>
    <x:x v="1"/>
    <x:s v="State Recognition"/>
    <x:n v="94"/>
    <x:s v="Place the closed brown cup in the bowl."/>
    <x:s v="brown cup A (C, RU); brown cup B (O, RU); yellow-white striped cup A (C, RU)"/>
    <x:s v="brown cup A"/>
    <x:s v="picked upen brown cup"/>
    <x:x v="1"/>
  </x:r>
  <x:r>
    <x:x v="1"/>
    <x:s v="State Recognition"/>
    <x:n v="95"/>
    <x:s v="Place the upright glass spice container in the bowl."/>
    <x:s v="glass spice container B (C, RU); glass spice container A (C, UD); brown cup B (O, UD); white cup A (C, RU)"/>
    <x:s v="glass spice container B"/>
    <x:s v="picked upside down jar"/>
    <x:x v="1"/>
  </x:r>
  <x:r>
    <x:x v="1"/>
    <x:s v="State Recognition"/>
    <x:n v="96"/>
    <x:s v="Place the upside-down white cup in the bowl."/>
    <x:s v="white cup A (O, UD); white cup B (O, RU)"/>
    <x:s v="white cup A"/>
    <x:s v="picked upright white cup"/>
    <x:x v="1"/>
  </x:r>
  <x:r>
    <x:x v="1"/>
    <x:s v="State Recognition"/>
    <x:n v="97"/>
    <x:s v="Place the open yellow-white striped cup in the bowl."/>
    <x:s v="yellow-white striped cup B (O, RU); yellow-white striped cup A (C, RU); brown cup B (O, RU)"/>
    <x:s v="yellow-white striped cup B"/>
    <x:s v="picked the closed yellow-white striped cup"/>
    <x:x v="1"/>
  </x:r>
  <x:r>
    <x:x v="1"/>
    <x:s v="State Recognition"/>
    <x:n v="98"/>
    <x:s v="Place the closed brown cup in the bowl."/>
    <x:s v="brown cup A (C, RU); brown cup B (O, RU); glass spice container A (C, RU); white cup B (O, RU)"/>
    <x:s v="brown cup A"/>
    <x:s v="picked open brown cup"/>
    <x:x v="1"/>
  </x:r>
  <x:r>
    <x:x v="1"/>
    <x:s v="State Recognition"/>
    <x:n v="99"/>
    <x:s v="Place the upright glass spice container in the bowl."/>
    <x:s v="glass spice container B (O, RU); glass spice container A (O, UD)"/>
    <x:s v="glass spice container B"/>
    <x:s v="picked upside down jar"/>
    <x:x v="1"/>
  </x:r>
  <x:r>
    <x:x v="0"/>
    <x:s v="State Recognition"/>
    <x:n v="100"/>
    <x:s v="Place the upside-down white cup in the bowl."/>
    <x:s v="white cup A (C, UD); white cup B (C, RU); brown cup A (C, RU)"/>
    <x:s v="white cup A"/>
    <x:s v="placed the upside down cup right in front of the robot"/>
    <x:x v="1"/>
  </x:r>
  <x:r>
    <x:x v="0"/>
    <x:s v="State Recognition"/>
    <x:n v="101"/>
    <x:s v="Place the open yellow-white striped cup in the bowl."/>
    <x:s v="yellow-white striped cup B (O, RU); yellow-white striped cup A (C, RU); glass spice container B (O, RU); white cup A (C, RU)"/>
    <x:s v="yellow-white striped cup B"/>
    <x:s v="also placed target in front of the robot"/>
    <x:x v="1"/>
  </x:r>
  <x:r>
    <x:x v="1"/>
    <x:s v="State Recognition"/>
    <x:n v="102"/>
    <x:s v="Place the closed brown cup in the bowl."/>
    <x:s v="brown cup A (C, RU); brown cup B (O, RU)"/>
    <x:s v="brown cup A"/>
    <x:s v="picked open brown cup"/>
    <x:x v="1"/>
  </x:r>
  <x:r>
    <x:x v="1"/>
    <x:s v="State Recognition"/>
    <x:n v="103"/>
    <x:s v="Place the upright glass spice container in the bowl."/>
    <x:s v="glass spice container B (C, RU); glass spice container A (C, UD); yellow-white striped cup B (O, UD)"/>
    <x:s v="glass spice container B"/>
    <x:s v="picked upside down jar"/>
    <x:x v="1"/>
  </x:r>
  <x:r>
    <x:x v="1"/>
    <x:s v="State Recognition"/>
    <x:n v="104"/>
    <x:s v="Place the upside-down white cup in the bowl."/>
    <x:s v="white cup A (O, UD); white cup B (O, RU); glass spice container A (C, RU); yellow-white striped cup B (O, RU)"/>
    <x:s v="white cup A"/>
    <x:s v="picked upright whtie cup"/>
    <x:x v="1"/>
  </x:r>
  <x:r>
    <x:x v="0"/>
    <x:s v="State Recognition"/>
    <x:n v="105"/>
    <x:s v="Place the open yellow-white striped cup in the bowl."/>
    <x:s v="yellow-white striped cup B (O, RU); yellow-white striped cup A (C, RU)"/>
    <x:s v="yellow-white striped cup B"/>
    <x:m/>
    <x:x v="1"/>
  </x:r>
  <x:r>
    <x:x v="1"/>
    <x:s v="State Recognition"/>
    <x:n v="106"/>
    <x:s v="Place the closed brown cup in the bowl."/>
    <x:s v="brown cup A (C, RU); brown cup B (O, RU); yellow-white striped cup A (C, RU)"/>
    <x:s v="brown cup A"/>
    <x:s v="placed the open brown cup"/>
    <x:x v="1"/>
  </x:r>
  <x:r>
    <x:x v="1"/>
    <x:s v="State Recognition"/>
    <x:n v="107"/>
    <x:s v="Place the upright glass spice container in the bowl."/>
    <x:s v="glass spice container B (O, RU); glass spice container A (O, UD); brown cup B (O, UD); white cup A (C, RU)"/>
    <x:s v="glass spice container B"/>
    <x:s v="picked the upside down glass jar"/>
    <x:x v="1"/>
  </x:r>
  <x:r>
    <x:x v="1"/>
    <x:s v="State Recognition"/>
    <x:n v="108"/>
    <x:s v="Place the upside-down white cup in the bowl."/>
    <x:s v="white cup A (C, UD); white cup B (C, RU)"/>
    <x:s v="white cup A"/>
    <x:s v="picked upright cup"/>
    <x:x v="1"/>
  </x:r>
  <x:r>
    <x:x v="1"/>
    <x:s v="State Recognition"/>
    <x:n v="109"/>
    <x:s v="Place the open yellow-white striped cup in the bowl."/>
    <x:s v="yellow-white striped cup B (O, RU); yellow-white striped cup A (C, RU); brown cup B (O, RU)"/>
    <x:s v="yellow-white striped cup B"/>
    <x:s v="picked closed striped cup"/>
    <x:x v="1"/>
  </x:r>
  <x:r>
    <x:x v="0"/>
    <x:s v="State Recognition"/>
    <x:n v="110"/>
    <x:s v="Place the closed black cup in the bowl."/>
    <x:s v="black cup A (C, RU); black cup B (O, RU)"/>
    <x:s v="black cup A"/>
    <x:m/>
    <x:x v="4"/>
  </x:r>
  <x:r>
    <x:x v="0"/>
    <x:s v="State Recognition"/>
    <x:n v="111"/>
    <x:s v="Place the open black cup in the bowl."/>
    <x:s v="black cup A (C, RU); black cup B (O, RU)"/>
    <x:s v="black cup B"/>
    <x:m/>
    <x:x v="4"/>
  </x:r>
  <x:r>
    <x:x v="1"/>
    <x:s v="State Recognition"/>
    <x:n v="112"/>
    <x:s v="Place the upside-down black cup in the bowl."/>
    <x:s v="black cup A (C, UD); black cup B (C, RU); yellow-white striped cup B (O, UD)"/>
    <x:s v="black cup A"/>
    <x:s v="picked the upright cup"/>
    <x:x v="4"/>
  </x:r>
  <x:r>
    <x:x v="0"/>
    <x:s v="State Recognition"/>
    <x:n v="113"/>
    <x:s v="Place the upright black cup in the bowl."/>
    <x:s v="black cup A (C, UD); black cup B (C, RU); yellow-white striped cup B (O, UD)"/>
    <x:s v="black cup B"/>
    <x:m/>
    <x:x v="4"/>
  </x:r>
  <x:r>
    <x:x v="1"/>
    <x:s v="State Recognition"/>
    <x:n v="114"/>
    <x:s v="Place the closed black cup in the bowl."/>
    <x:s v="black cup A (O, RU); black cup B (C, RU); brown cup A (C, RU); glass spice container B (O, RU)"/>
    <x:s v="black cup B"/>
    <x:s v="picked open black cup"/>
    <x:x v="4"/>
  </x:r>
  <x:r>
    <x:x v="0"/>
    <x:s v="State Recognition"/>
    <x:n v="115"/>
    <x:s v="Place the open black cup in the bowl."/>
    <x:s v="black cup A (O, RU); black cup B (C, RU); brown cup A (C, RU); glass spice container B (O, RU)"/>
    <x:s v="black cup A"/>
    <x:m/>
    <x:x v="4"/>
  </x:r>
  <x:r>
    <x:x v="0"/>
    <x:s v="State Recognition"/>
    <x:n v="116"/>
    <x:s v="Place the upside-down black cup in the bowl."/>
    <x:s v="black cup A (O, RU); black cup B (O, UD)"/>
    <x:s v="black cup B"/>
    <x:m/>
    <x:x v="4"/>
  </x:r>
  <x:r>
    <x:x v="0"/>
    <x:s v="State Recognition"/>
    <x:n v="117"/>
    <x:s v="Place the upright black cup in the bowl."/>
    <x:s v="black cup A (O, RU); black cup B (O, UD)"/>
    <x:s v="black cup A"/>
    <x:m/>
    <x:x v="4"/>
  </x:r>
  <x:r>
    <x:x v="0"/>
    <x:s v="State Recognition"/>
    <x:n v="118"/>
    <x:s v="Place the closed black cup in the bowl."/>
    <x:s v="black cup A (C, RU); black cup B (O, RU); white cup A (C, RU)"/>
    <x:s v="black cup A"/>
    <x:m/>
    <x:x v="4"/>
  </x:r>
  <x:r>
    <x:x v="1"/>
    <x:s v="State Recognition"/>
    <x:n v="119"/>
    <x:s v="Place the open black cup in the bowl."/>
    <x:s v="black cup A (C, RU); black cup B (O, RU); white cup A (C, RU)"/>
    <x:s v="black cup B"/>
    <x:s v="the two black cups were placed next to each other, the robot went in the middle initially, then went for the closed black cup. Knocked it out of range and did not recover"/>
    <x:x v="4"/>
  </x:r>
  <x:r>
    <x:x v="0"/>
    <x:s v="State Recognition"/>
    <x:n v="120"/>
    <x:s v="Place the upside-down black cup in the bowl."/>
    <x:s v="black cup A (C, UD); black cup B (C, RU); yellow-white striped cup B (O, UD); brown cup A (C, RU)"/>
    <x:s v="black cup A"/>
    <x:m/>
    <x:x v="4"/>
  </x:r>
  <x:r>
    <x:x v="1"/>
    <x:s v="State Recognition"/>
    <x:n v="121"/>
    <x:s v="Place the upright black cup in the bowl."/>
    <x:s v="black cup A (C, UD); black cup B (C, RU); yellow-white striped cup B (O, UD); brown cup A (C, RU)"/>
    <x:s v="black cup B"/>
    <x:s v="went for the upside down cup"/>
    <x:x v="4"/>
  </x:r>
  <x:r>
    <x:x v="0"/>
    <x:s v="State Recognition"/>
    <x:n v="122"/>
    <x:s v="Place the closed black cup in the bowl."/>
    <x:s v="black cup A (O, RU); black cup B (C, RU)"/>
    <x:s v="black cup B"/>
    <x:m/>
    <x:x v="4"/>
  </x:r>
  <x:r>
    <x:x v="1"/>
    <x:s v="State Recognition"/>
    <x:n v="123"/>
    <x:s v="Place the open black cup in the bowl."/>
    <x:s v="black cup A (O, RU); black cup B (C, RU)"/>
    <x:s v="black cup A"/>
    <x:s v="went for closed black cup"/>
    <x:x v="4"/>
  </x:r>
  <x:r>
    <x:x v="0"/>
    <x:s v="State Recognition"/>
    <x:n v="124"/>
    <x:s v="Place the upside-down black cup in the bowl."/>
    <x:s v="black cup A (O, RU); black cup B (O, UD); glass spice container B (O, UD)"/>
    <x:s v="black cup B"/>
    <x:s v="both black cups placed equidistant from robot"/>
    <x:x v="4"/>
  </x:r>
  <x:r>
    <x:x v="0"/>
    <x:s v="State Recognition"/>
    <x:n v="125"/>
    <x:s v="Place the upright black cup in the bowl."/>
    <x:s v="black cup A (O, RU); black cup B (O, UD); glass spice container B (O, UD)"/>
    <x:s v="black cup A"/>
    <x:s v="both black cups placed equidistant from robot"/>
    <x:x v="4"/>
  </x:r>
  <x:r>
    <x:x v="0"/>
    <x:s v="State Recognition"/>
    <x:n v="126"/>
    <x:s v="Place the closed black cup in the bowl."/>
    <x:s v="black cup A (C, RU); black cup B (O, RU); white cup A (C, RU); yellow-white striped cup B (O, RU)"/>
    <x:s v="black cup A"/>
    <x:m/>
    <x:x v="4"/>
  </x:r>
  <x:r>
    <x:x v="0"/>
    <x:s v="State Recognition"/>
    <x:n v="127"/>
    <x:s v="Place the open black cup in the bowl."/>
    <x:s v="black cup A (C, RU); black cup B (O, RU); white cup A (C, RU); yellow-white striped cup B (O, RU)"/>
    <x:s v="black cup B"/>
    <x:m/>
    <x:x v="4"/>
  </x:r>
  <x:r>
    <x:x v="0"/>
    <x:s v="State Recognition"/>
    <x:n v="128"/>
    <x:s v="Place the upside-down black cup in the bowl."/>
    <x:s v="black cup A (C, UD); black cup B (C, RU); yellow-white striped cup B (O, UD)"/>
    <x:s v="black cup A"/>
    <x:m/>
    <x:x v="4"/>
  </x:r>
  <x:r>
    <x:x v="1"/>
    <x:s v="State Recognition"/>
    <x:n v="129"/>
    <x:s v="Place the upright black cup in the bowl."/>
    <x:s v="black cup A (C, UD); black cup B (C, RU); yellow-white striped cup B (O, UD)"/>
    <x:s v="black cup B"/>
    <x:s v="picked upside down black cup"/>
    <x:x v="4"/>
  </x:r>
  <x:r>
    <x:x v="1"/>
    <x:s v="State Recognition"/>
    <x:n v="130"/>
    <x:s v="Place the closed white cup in the bowl."/>
    <x:s v="white cup A (O, RU); white cup B (O, RU)"/>
    <x:s v="NO-OP; no object has state C, so nothing should be picked up"/>
    <x:s v="picked the white cup closest to the bowl"/>
    <x:x v="5"/>
  </x:r>
  <x:r>
    <x:x v="1"/>
    <x:s v="State Recognition"/>
    <x:n v="131"/>
    <x:s v="Place the upside-down yellow-white striped cup in the bowl."/>
    <x:s v="yellow-white striped cup A (C, RU); yellow-white striped cup B (C, RU); brown cup B (O, RU)"/>
    <x:s v="NO-OP; no object has state UD, so nothing should be picked up"/>
    <x:s v="placed the yellow white striped cup futhest from the bowl in the bowl"/>
    <x:x v="5"/>
  </x:r>
  <x:r>
    <x:x v="1"/>
    <x:s v="State Recognition"/>
    <x:n v="132"/>
    <x:s v="Place the open brown cup in the bowl."/>
    <x:s v="brown cup A (C, RU); brown cup B (C, RU); glass spice container A (C, RU); white cup B (C, RU)"/>
    <x:s v="NO-OP; no object has state O, so nothing should be picked up"/>
    <x:s v="picked brown cup closest to the bowl"/>
    <x:x v="5"/>
  </x:r>
  <x:r>
    <x:x v="1"/>
    <x:s v="State Recognition"/>
    <x:n v="133"/>
    <x:s v="Place the closed glass spice container in the bowl."/>
    <x:s v="glass spice container A (O, RU); glass spice container B (O, RU)"/>
    <x:s v="NO-OP; no object has state C, so nothing should be picked up"/>
    <x:s v="glass spice containers place equidistant from robot. picked the one closer to the bowl."/>
    <x:x v="5"/>
  </x:r>
  <x:r>
    <x:x v="1"/>
    <x:s v="State Recognition"/>
    <x:n v="134"/>
    <x:s v="Place the open white cup in the bowl."/>
    <x:s v="white cup A (C, RU); white cup B (C, RU); glass spice container B (C, RU)"/>
    <x:s v="NO-OP; no object has state O, so nothing should be picked up"/>
    <x:s v="picked the white cup further from the robot"/>
    <x:x v="5"/>
  </x:r>
  <x:r>
    <x:x v="1"/>
    <x:s v="State Recognition"/>
    <x:n v="135"/>
    <x:s v="Place the upright yellow-white striped cup in the bowl."/>
    <x:s v="yellow-white striped cup A (O, UD); yellow-white striped cup B (O, UD); white cup A (C, UD); brown cup B (O, UD)"/>
    <x:s v="NO-OP; no object has state RU, so nothing should be picked up"/>
    <x:s v="picked striped cup closest to the bowl"/>
    <x:x v="5"/>
  </x:r>
  <x:r>
    <x:x v="1"/>
    <x:s v="State Recognition"/>
    <x:n v="136"/>
    <x:s v="Place the upside-down brown cup in the bowl."/>
    <x:s v="brown cup A (O, RU); brown cup B (O, RU)"/>
    <x:s v="NO-OP; no object has state UD, so nothing should be picked up"/>
    <x:s v="picked brown cup closest to the robot"/>
    <x:x v="5"/>
  </x:r>
  <x:r>
    <x:x v="1"/>
    <x:s v="State Recognition"/>
    <x:n v="137"/>
    <x:s v="Place the open glass spice container in the bowl."/>
    <x:s v="glass spice container A (C, RU); glass spice container B (C, RU); brown cup A (C, RU)"/>
    <x:s v="NO-OP; no object has state O, so nothing should be picked up"/>
    <x:s v="picked the container further from bowl"/>
    <x:x v="5"/>
  </x:r>
  <x:r>
    <x:x v="1"/>
    <x:s v="State Recognition"/>
    <x:n v="138"/>
    <x:s v="Place the upright white cup in the bowl."/>
    <x:s v="white cup A (C, UD); white cup B (C, UD); brown cup A (C, UD); glass spice container B (O, UD)"/>
    <x:s v="NO-OP; no object has state RU, so nothing should be picked up"/>
    <x:s v="went for white cup closest to bowl"/>
    <x:x v="5"/>
  </x:r>
  <x:r>
    <x:x v="1"/>
    <x:s v="State Recognition"/>
    <x:n v="139"/>
    <x:s v="Place the closed yellow-white striped cup in the bowl."/>
    <x:s v="yellow-white striped cup A (O, RU); yellow-white striped cup B (O, RU)"/>
    <x:s v="NO-OP; no object has state C, so nothing should be picked up"/>
    <x:s v="went for striped cup further from bowl"/>
    <x:x v="5"/>
  </x:r>
  <x:r>
    <x:x v="1"/>
    <x:s v="State Recognition"/>
    <x:n v="140"/>
    <x:s v="Place the upright brown cup in the bowl."/>
    <x:s v="brown cup A (C, UD); brown cup B (C, UD); white cup A (C, UD)"/>
    <x:s v="NO-OP; no object has state RU, so nothing should be picked up"/>
    <x:s v="went for brown cup closer to bowl"/>
    <x:x v="5"/>
  </x:r>
  <x:r>
    <x:x v="1"/>
    <x:s v="State Recognition"/>
    <x:n v="141"/>
    <x:s v="Place the upside-down glass spice container in the bowl."/>
    <x:s v="glass spice container A (C, RU); glass spice container B (C, RU); yellow-white striped cup B (O, RU); brown cup A (C, RU)"/>
    <x:s v="NO-OP; no object has state UD, so nothing should be picked up"/>
    <x:s v="put arm in the middle of the two spice containers since they were placed adjacently. knocked the target out of distributition. Also knocked the brown cup on the floor."/>
    <x:x v="5"/>
  </x:r>
  <x:r>
    <x:x v="1"/>
    <x:s v="State Recognition"/>
    <x:n v="142"/>
    <x:s v="Place the closed white cup in the bowl."/>
    <x:s v="white cup A (O, RU); white cup B (O, RU)"/>
    <x:s v="NO-OP; no object has state C, so nothing should be picked up"/>
    <x:s v="picked white cup closest to bowl"/>
    <x:x v="5"/>
  </x:r>
  <x:r>
    <x:x v="1"/>
    <x:s v="State Recognition"/>
    <x:n v="143"/>
    <x:s v="Place the upside-down yellow-white striped cup in the bowl."/>
    <x:s v="yellow-white striped cup A (O, RU); yellow-white striped cup B (O, RU); brown cup A (C, RU)"/>
    <x:s v="NO-OP; no object has state UD, so nothing should be picked up"/>
    <x:s v="picked striped cup closest to the bowl"/>
    <x:x v="5"/>
  </x:r>
  <x:r>
    <x:x v="1"/>
    <x:s v="State Recognition"/>
    <x:n v="144"/>
    <x:s v="Place the upside-down brown cup in the bowl."/>
    <x:s v="brown cup A (O, RU); brown cup B (O, RU); glass spice container B (O, RU); white cup A (C, RU)"/>
    <x:s v="NO-OP; no object has state UD, so nothing should be picked up"/>
    <x:m/>
    <x:x v="5"/>
  </x:r>
  <x:r>
    <x:x v="1"/>
    <x:s v="State Recognition"/>
    <x:n v="145"/>
    <x:s v="Place the closed glass spice container in the bowl."/>
    <x:s v="glass spice container A (O, RU); glass spice container B (O, RU)"/>
    <x:s v="NO-OP; no object has state C, so nothing should be picked up"/>
    <x:s v="picked one furthest from the bowl"/>
    <x:x v="5"/>
  </x:r>
  <x:r>
    <x:x v="1"/>
    <x:s v="State Recognition"/>
    <x:n v="146"/>
    <x:s v="Place the open white cup in the bowl."/>
    <x:s v="white cup A (C, RU); white cup B (C, RU); glass spice container A (C, RU)"/>
    <x:s v="NO-OP; no object has state O, so nothing should be picked up"/>
    <x:s v="picked white cup furthest from bowl"/>
    <x:x v="5"/>
  </x:r>
  <x:r>
    <x:x v="1"/>
    <x:s v="State Recognition"/>
    <x:n v="147"/>
    <x:s v="Place the upright yellow-white striped cup in the bowl."/>
    <x:s v="yellow-white striped cup A (C, UD); yellow-white striped cup B (C, UD); white cup B (O, UD); brown cup A (C, UD)"/>
    <x:s v="NO-OP; no object has state RU, so nothing should be picked up"/>
    <x:s v="picked striped cup closest to bowl"/>
    <x:x v="5"/>
  </x:r>
  <x:r>
    <x:x v="1"/>
    <x:s v="State Recognition"/>
    <x:n v="148"/>
    <x:s v="Place the upright brown cup in the bowl."/>
    <x:s v="brown cup A (C, UD); brown cup B (C, UD)"/>
    <x:s v="NO-OP; no object has state RU, so nothing should be picked up"/>
    <x:s v="placed the two brown cups adjacent to each other. robot went into the middle like it couldn't decide. pushed the one on the right pretty far back, but still got it. Dropped it and couldn't recover"/>
    <x:x v="5"/>
  </x:r>
  <x:r>
    <x:x v="1"/>
    <x:s v="State Recognition"/>
    <x:n v="149"/>
    <x:s v="Place the open glass spice container in the bowl."/>
    <x:s v="glass spice container A (C, RU); glass spice container B (C, RU); brown cup B (C, RU)"/>
    <x:s v="NO-OP; no object has state O, so nothing should be picked up"/>
    <x:s v="picked jar closest to bowl"/>
    <x:x v="5"/>
  </x:r>
  <x:r>
    <x:x v="0"/>
    <x:s v="Counting"/>
    <x:n v="0"/>
    <x:s v="Leave exactly one object in the bowl."/>
    <x:s v="Bowl objects: [none] | Table objects: [blue pen, yellow block, green pencil sharpener]"/>
    <x:s v="ADD any one table object; finish with 1 object in the bowl"/>
    <x:s v="picked the blue pen"/>
    <x:x v="0"/>
  </x:r>
  <x:r>
    <x:x v="1"/>
    <x:s v="Counting"/>
    <x:n v="1"/>
    <x:s v="Adjust the bowl so that it contains two objects."/>
    <x:s v="Bowl objects: [yellow block] | Table objects: [blue pen, green pencil sharpener]"/>
    <x:s v="ADD any one table object; finish with 2 objects in the bowl"/>
    <x:s v="didn't move"/>
    <x:x v="0"/>
  </x:r>
  <x:r>
    <x:x v="0"/>
    <x:s v="Counting"/>
    <x:n v="2"/>
    <x:s v="Leave exactly three objects in the bowl."/>
    <x:s v="Bowl objects: [blue pen, yellow block, green pencil sharpener, airplane toy without propellers] | Table objects: [none]"/>
    <x:s v="REMOVE any one bowl object; finish with 3 objects in the bowl"/>
    <x:s v="tried to pick out yellow block, missed, then went back and got the green pencil sharpener"/>
    <x:x v="0"/>
  </x:r>
  <x:r>
    <x:x v="0"/>
    <x:s v="Counting"/>
    <x:n v="3"/>
    <x:s v="Adjust the bowl so that it contains zero objects."/>
    <x:s v="Bowl objects: [blue pen] | Table objects: [green pencil sharpener, airplane toy without propellers]"/>
    <x:s v="REMOVE the only bowl object; finish with 0 objects in the bowl"/>
    <x:m/>
    <x:x v="0"/>
  </x:r>
  <x:r>
    <x:x v="0"/>
    <x:s v="Counting"/>
    <x:n v="4"/>
    <x:s v="Leave exactly one object in the bowl."/>
    <x:s v="Bowl objects: [none] | Table objects: [yellow block, blue pen]"/>
    <x:s v="ADD any one table object; finish with 1 object in the bowl"/>
    <x:s v="picked the yellow block"/>
    <x:x v="0"/>
  </x:r>
  <x:r>
    <x:x v="1"/>
    <x:s v="Counting"/>
    <x:n v="5"/>
    <x:s v="Adjust the bowl so that it contains two objects."/>
    <x:s v="Bowl objects: [green pencil sharpener] | Table objects: [yellow block, airplane toy without propellers]"/>
    <x:s v="ADD any one table object; finish with 2 objects in the bowl"/>
    <x:s v="didn't move"/>
    <x:x v="0"/>
  </x:r>
  <x:r>
    <x:x v="1"/>
    <x:s v="Counting"/>
    <x:n v="6"/>
    <x:s v="Leave exactly three objects in the bowl."/>
    <x:s v="Bowl objects: [yellow block, green pencil sharpener, airplane toy without propellers, blue pen] | Table objects: [none]"/>
    <x:s v="REMOVE any one bowl object; finish with 3 objects in the bowl"/>
    <x:s v="went to bowl and was trying to remove yellow block, but couldn't"/>
    <x:x v="0"/>
  </x:r>
  <x:r>
    <x:x v="0"/>
    <x:s v="Counting"/>
    <x:n v="7"/>
    <x:s v="Adjust the bowl so that it contains zero objects."/>
    <x:s v="Bowl objects: [yellow block] | Table objects: [blue pen]"/>
    <x:s v="REMOVE the only bowl object; finish with 0 objects in the bowl"/>
    <x:m/>
    <x:x v="0"/>
  </x:r>
  <x:r>
    <x:x v="0"/>
    <x:s v="Counting"/>
    <x:n v="8"/>
    <x:s v="Leave exactly one object in the bowl."/>
    <x:s v="Bowl objects: [none] | Table objects: [green pencil sharpener, yellow block]"/>
    <x:s v="ADD any one table object; finish with 1 object in the bowl"/>
    <x:s v="picked green pencil sharpener"/>
    <x:x v="0"/>
  </x:r>
  <x:r>
    <x:x v="1"/>
    <x:s v="Counting"/>
    <x:n v="9"/>
    <x:s v="Adjust the bowl so that it contains two objects."/>
    <x:s v="Bowl objects: [blue pen] | Table objects: [green pencil sharpener, airplane toy without propellers]"/>
    <x:s v="ADD any one table object; finish with 2 objects in the bowl"/>
    <x:s v="didn't move"/>
    <x:x v="0"/>
  </x:r>
  <x:r>
    <x:x v="0"/>
    <x:s v="Counting"/>
    <x:n v="10"/>
    <x:s v="Leave exactly three objects in the bowl."/>
    <x:s v="Bowl objects: [green pencil sharpener, airplane toy without propellers, blue pen, yellow block] | Table objects: [none]"/>
    <x:s v="REMOVE any one bowl object; finish with 3 objects in the bowl"/>
    <x:s v="picked blue pen"/>
    <x:x v="0"/>
  </x:r>
  <x:r>
    <x:x v="0"/>
    <x:s v="Counting"/>
    <x:n v="11"/>
    <x:s v="Make the bowl contain exactly zero objects."/>
    <x:s v="Bowl objects: [green pencil sharpener] | Table objects: [yellow block]"/>
    <x:s v="REMOVE the only bowl object; finish with 0 objects in the bowl"/>
    <x:m/>
    <x:x v="0"/>
  </x:r>
  <x:r>
    <x:x v="1"/>
    <x:s v="Counting"/>
    <x:n v="12"/>
    <x:s v="Leave exactly one object in the bowl."/>
    <x:s v="Bowl objects: [none] | Table objects: [airplane toy without propellers, blue pen, yellow block]"/>
    <x:s v="ADD any one table object; finish with 1 object in the bowl"/>
    <x:s v="tried grabbing the airplane toy but couldn't"/>
    <x:x v="0"/>
  </x:r>
  <x:r>
    <x:x v="1"/>
    <x:s v="Counting"/>
    <x:n v="13"/>
    <x:s v="Make the bowl contain exactly two objects."/>
    <x:s v="Bowl objects: [green pencil sharpener] | Table objects: [airplane toy without propellers, yellow block]"/>
    <x:s v="ADD any one table object; finish with 2 objects in the bowl"/>
    <x:s v="didn't move"/>
    <x:x v="0"/>
  </x:r>
  <x:r>
    <x:x v="0"/>
    <x:s v="Counting"/>
    <x:n v="14"/>
    <x:s v="Leave exactly three objects in the bowl."/>
    <x:s v="Bowl objects: [airplane toy without propellers, blue pen, yellow block, green pencil sharpener] | Table objects: [none]"/>
    <x:s v="REMOVE any one bowl object; finish with 3 objects in the bowl"/>
    <x:s v="picked out blue pen"/>
    <x:x v="0"/>
  </x:r>
  <x:r>
    <x:x v="1"/>
    <x:s v="Counting"/>
    <x:n v="15"/>
    <x:s v="Leave no objects in the bowl."/>
    <x:s v="Bowl objects: [airplane toy without propellers] | Table objects: [green pencil sharpener]"/>
    <x:s v="REMOVE the only bowl object; finish with 0 objects in the bowl"/>
    <x:s v="didn't move"/>
    <x:x v="0"/>
  </x:r>
  <x:r>
    <x:x v="1"/>
    <x:s v="Counting"/>
    <x:n v="16"/>
    <x:s v="Leave exactly one object in the bowl."/>
    <x:s v="Bowl objects: [none] | Table objects: [yellow block]"/>
    <x:s v="ADD the only table object; finish with 1 object in the bowl"/>
    <x:s v="didn't move"/>
    <x:x v="0"/>
  </x:r>
  <x:r>
    <x:x v="1"/>
    <x:s v="Counting"/>
    <x:n v="17"/>
    <x:s v="Make the bowl contain exactly two objects."/>
    <x:s v="Bowl objects: [green pencil sharpener] | Table objects: [yellow block]"/>
    <x:s v="ADD the only table object; finish with 2 objects in the bowl"/>
    <x:s v="didn't move"/>
    <x:x v="0"/>
  </x:r>
  <x:r>
    <x:x v="0"/>
    <x:s v="Counting"/>
    <x:n v="18"/>
    <x:s v="Leave exactly three objects in the bowl."/>
    <x:s v="Bowl objects: [airplane toy without propellers, blue pen, yellow block, green pencil sharpener] | Table objects: [none]"/>
    <x:s v="REMOVE any one bowl object; finish with 3 objects in the bowl"/>
    <x:s v="picked blue pen"/>
    <x:x v="0"/>
  </x:r>
  <x:r>
    <x:x v="0"/>
    <x:s v="Counting"/>
    <x:n v="19"/>
    <x:s v="Make the bowl contain exactly zero objects."/>
    <x:s v="Bowl objects: [yellow block] | Table objects: [none]"/>
    <x:s v="REMOVE the only bowl object; finish with 0 objects in the bowl"/>
    <x:m/>
    <x:x v="0"/>
  </x:r>
  <x:r>
    <x:x v="1"/>
    <x:s v="Counting"/>
    <x:n v="20"/>
    <x:s v="Leave exactly one object in the bowl."/>
    <x:s v="Bowl objects: [blue pen, airplane toy without propellers] | Table objects: [yellow block, green pencil sharpener]"/>
    <x:s v="REMOVE any one bowl object; finish with 1 object in the bowl"/>
    <x:s v="didn't move"/>
    <x:x v="1"/>
  </x:r>
  <x:r>
    <x:x v="0"/>
    <x:s v="Counting"/>
    <x:n v="21"/>
    <x:s v="Move the airplane toy without propellers from the bowl to the table."/>
    <x:s v="Bowl objects: [blue pen, airplane toy without propellers] | Table objects: [yellow block, green pencil sharpener]"/>
    <x:s v="REMOVE airplane toy without propellers"/>
    <x:m/>
    <x:x v="2"/>
  </x:r>
  <x:r>
    <x:x v="0"/>
    <x:s v="Counting"/>
    <x:n v="22"/>
    <x:s v="Move the green pencil sharpener into the bowl."/>
    <x:s v="Bowl objects: [blue pen, airplane toy without propellers] | Table objects: [yellow block, green pencil sharpener]"/>
    <x:s v="ADD green pencil sharpener"/>
    <x:m/>
    <x:x v="2"/>
  </x:r>
  <x:r>
    <x:x v="1"/>
    <x:s v="Counting"/>
    <x:n v="23"/>
    <x:s v="Leave exactly three objects in the bowl."/>
    <x:s v="Bowl objects: [blue pen, airplane toy without propellers] | Table objects: [yellow block, green pencil sharpener]"/>
    <x:s v="ADD any one table object; finish with 3 objects in the bowl"/>
    <x:s v="didn't move"/>
    <x:x v="1"/>
  </x:r>
  <x:r>
    <x:x v="1"/>
    <x:s v="Counting"/>
    <x:n v="24"/>
    <x:s v="Leave exactly three objects in the bowl."/>
    <x:s v="Bowl objects: [green pencil sharpener, airplane toy without propellers] | Table objects: [blue pen, yellow block]"/>
    <x:s v="ADD any one table object; finish with 3 objects in the bowl"/>
    <x:s v="didn't move"/>
    <x:x v="1"/>
  </x:r>
  <x:r>
    <x:x v="1"/>
    <x:s v="Counting"/>
    <x:n v="25"/>
    <x:s v="Leave exactly one object in the bowl."/>
    <x:s v="Bowl objects: [green pencil sharpener, airplane toy without propellers] | Table objects: [blue pen, yellow block]"/>
    <x:s v="REMOVE any one bowl object; finish with 1 object in the bowl"/>
    <x:s v="didn't move"/>
    <x:x v="1"/>
  </x:r>
  <x:r>
    <x:x v="1"/>
    <x:s v="Counting"/>
    <x:n v="26"/>
    <x:s v="Leave exactly one object in the bowl."/>
    <x:s v="Bowl objects: [blue pen, yellow block] | Table objects: [green pencil sharpener]"/>
    <x:s v="REMOVE any one bowl object; finish with 1 object in the bowl"/>
    <x:s v="didn't move"/>
    <x:x v="1"/>
  </x:r>
  <x:r>
    <x:x v="1"/>
    <x:s v="Counting"/>
    <x:n v="27"/>
    <x:s v="Move the blue pen from the bowl to the table."/>
    <x:s v="Bowl objects: [blue pen, yellow block] | Table objects: [green pencil sharpener]"/>
    <x:s v="REMOVE blue pen"/>
    <x:s v="went to bowl, but couldn't successfully remove the blue pen"/>
    <x:x v="2"/>
  </x:r>
  <x:r>
    <x:x v="1"/>
    <x:s v="Counting"/>
    <x:n v="28"/>
    <x:s v="Finish with one object in the bowl."/>
    <x:s v="Bowl objects: [blue pen, yellow block] | Table objects: [green pencil sharpener]"/>
    <x:s v="REMOVE any one bowl object; finish with 1 object in the bowl"/>
    <x:s v="didn't move"/>
    <x:x v="3"/>
  </x:r>
  <x:r>
    <x:x v="1"/>
    <x:s v="Counting"/>
    <x:n v="29"/>
    <x:s v="Lift the blue pen out of the bowl and set it on the table."/>
    <x:s v="Bowl objects: [blue pen, yellow block] | Table objects: [green pencil sharpener]"/>
    <x:s v="REMOVE blue pen"/>
    <x:s v="went to bowl at end of episode, ran out of time before could grab anything"/>
    <x:x v="3"/>
  </x:r>
  <x:r>
    <x:x v="0"/>
    <x:s v="Counting"/>
    <x:n v="30"/>
    <x:s v="Move the green pencil sharpener into the bowl."/>
    <x:s v="Bowl objects: [blue pen, yellow block] | Table objects: [green pencil sharpener]"/>
    <x:s v="ADD green pencil sharpener"/>
    <x:m/>
    <x:x v="2"/>
  </x:r>
  <x:r>
    <x:x v="1"/>
    <x:s v="Counting"/>
    <x:n v="31"/>
    <x:s v="Leave exactly three objects in the bowl."/>
    <x:s v="Bowl objects: [blue pen, yellow block] | Table objects: [green pencil sharpener]"/>
    <x:s v="ADD any one table object; finish with 3 objects in the bowl"/>
    <x:s v="didn't move"/>
    <x:x v="1"/>
  </x:r>
  <x:r>
    <x:x v="1"/>
    <x:s v="Counting"/>
    <x:n v="32"/>
    <x:s v="Lift the green pencil sharpener from the table and set it inside the bowl."/>
    <x:s v="Bowl objects: [blue pen, yellow block] | Table objects: [green pencil sharpener]"/>
    <x:s v="ADD green pencil sharpener"/>
    <x:s v="went for the green pencil sharpener at the end of the episode. Didn't have time to put it in the bowl."/>
    <x:x v="3"/>
  </x:r>
  <x:r>
    <x:x v="1"/>
    <x:s v="Counting"/>
    <x:n v="33"/>
    <x:s v="Finish with three objects in the bowl."/>
    <x:s v="Bowl objects: [blue pen, yellow block] | Table objects: [green pencil sharpener]"/>
    <x:s v="ADD any one table object; finish with 3 objects in the bowl"/>
    <x:s v="didn't move"/>
    <x:x v="3"/>
  </x:r>
  <x:r>
    <x:x v="1"/>
    <x:s v="Counting"/>
    <x:n v="34"/>
    <x:s v="Leave exactly three objects in the bowl."/>
    <x:s v="Bowl objects: [yellow block, green pencil sharpener] | Table objects: [blue pen, airplane toy without propellers]"/>
    <x:s v="ADD any one table object; finish with 3 objects in the bowl"/>
    <x:s v="didn't move"/>
    <x:x v="1"/>
  </x:r>
  <x:r>
    <x:x v="1"/>
    <x:s v="Counting"/>
    <x:n v="35"/>
    <x:s v="Move the airplane toy without propellers into the bowl."/>
    <x:s v="Bowl objects: [yellow block, green pencil sharpener] | Table objects: [blue pen, airplane toy without propellers]"/>
    <x:s v="ADD airplane toy without propellers"/>
    <x:s v="didn't move"/>
    <x:x v="2"/>
  </x:r>
  <x:r>
    <x:x v="0"/>
    <x:s v="Counting"/>
    <x:n v="36"/>
    <x:s v="Move the green pencil sharpener from the bowl to the table."/>
    <x:s v="Bowl objects: [yellow block, green pencil sharpener] | Table objects: [blue pen, airplane toy without propellers]"/>
    <x:s v="REMOVE green pencil sharpener"/>
    <x:m/>
    <x:x v="2"/>
  </x:r>
  <x:r>
    <x:x v="1"/>
    <x:s v="Counting"/>
    <x:n v="37"/>
    <x:s v="Leave exactly one object in the bowl."/>
    <x:s v="Bowl objects: [yellow block, green pencil sharpener] | Table objects: [blue pen, airplane toy without propellers]"/>
    <x:s v="REMOVE any one bowl object; finish with 1 object in the bowl"/>
    <x:m/>
    <x:x v="1"/>
  </x:r>
  <x:r>
    <x:x v="0"/>
    <x:s v="Counting"/>
    <x:n v="38"/>
    <x:s v="Leave exactly three objects in the bowl."/>
    <x:s v="Bowl objects: [airplane toy without propellers, green pencil sharpener, yellow block] | Table objects: [blue pen]"/>
    <x:s v="NO-OP; preserve 3 objects in the bowl and do not initiate a grasp"/>
    <x:m/>
    <x:x v="6"/>
  </x:r>
  <x:r>
    <x:x v="0"/>
    <x:s v="Counting"/>
    <x:n v="39"/>
    <x:s v="Leave exactly two objects in the bowl."/>
    <x:s v="Bowl objects: [airplane toy without propellers, green pencil sharpener] | Table objects: [yellow block]"/>
    <x:s v="NO-OP; preserve 2 objects in the bowl and do not initiate a grasp"/>
    <x:m/>
    <x:x v="6"/>
  </x:r>
  <x:r>
    <x:x v="0"/>
    <x:s v="Counting"/>
    <x:n v="40"/>
    <x:s v="Leave exactly one object in the bowl."/>
    <x:s v="Bowl objects: [airplane toy without propellers] | Table objects: [green pencil sharpener]"/>
    <x:s v="NO-OP; preserve 1 object in the bowl and do not initiate a grasp"/>
    <x:m/>
    <x:x v="6"/>
  </x:r>
  <x:r>
    <x:x v="0"/>
    <x:s v="Counting"/>
    <x:n v="41"/>
    <x:s v="Leave no objects in the bowl."/>
    <x:s v="Bowl objects: [none] | Table objects: [airplane toy without propellers]"/>
    <x:s v="NO-OP; preserve 0 objects in the bowl and do not initiate a grasp"/>
    <x:m/>
    <x:x v="6"/>
  </x:r>
  <x:r>
    <x:x v="0"/>
    <x:s v="Counting"/>
    <x:n v="42"/>
    <x:s v="Leave no objects in the bowl."/>
    <x:s v="Bowl objects: [none] | Table objects: [blue pen]"/>
    <x:s v="NO-OP; preserve 0 objects in the bowl and do not initiate a grasp"/>
    <x:m/>
    <x:x v="6"/>
  </x:r>
  <x:r>
    <x:x v="0"/>
    <x:s v="Counting"/>
    <x:n v="43"/>
    <x:s v="Leave exactly one object in the bowl."/>
    <x:s v="Bowl objects: [blue pen] | Table objects: [none]"/>
    <x:s v="NO-OP; preserve 1 object in the bowl and do not initiate a grasp"/>
    <x:m/>
    <x:x v="6"/>
  </x:r>
  <x:r>
    <x:x v="1"/>
    <x:s v="Counting"/>
    <x:n v="44"/>
    <x:s v="Leave exactly two objects in the bowl."/>
    <x:s v="Bowl objects: [blue pen, yellow block] | Table objects: [none]"/>
    <x:s v="NO-OP; preserve 2 objects in the bowl and do not initiate a grasp"/>
    <x:s v="went to bowl, but didn't take anything; went back home"/>
    <x:x v="6"/>
  </x:r>
  <x:r>
    <x:x v="1"/>
    <x:s v="Counting"/>
    <x:n v="45"/>
    <x:s v="Leave exactly three objects in the bowl."/>
    <x:s v="Bowl objects: [blue pen, yellow block, green pencil sharpener] | Table objects: [none]"/>
    <x:s v="NO-OP; preserve 3 objects in the bowl and do not initiate a grasp"/>
    <x:s v="went to bowl and tried to grab something, but couldn't"/>
    <x:x v="6"/>
  </x:r>
  <x:r>
    <x:x v="1"/>
    <x:s v="Counting"/>
    <x:n v="46"/>
    <x:s v="Leave exactly three objects in the bowl."/>
    <x:s v="Bowl objects: [green pencil sharpener, airplane toy without propellers] | Table objects: [yellow block]"/>
    <x:s v="ADD any one table object; finish with 3 objects in the bowl"/>
    <x:s v="didn't move"/>
    <x:x v="1"/>
  </x:r>
  <x:r>
    <x:x v="1"/>
    <x:s v="Counting"/>
    <x:n v="47"/>
    <x:s v="Move the yellow block into the bowl."/>
    <x:s v="Bowl objects: [green pencil sharpener, airplane toy without propellers] | Table objects: [yellow block]"/>
    <x:s v="ADD yellow block"/>
    <x:s v="didn't move"/>
    <x:x v="2"/>
  </x:r>
  <x:r>
    <x:x v="1"/>
    <x:s v="Counting"/>
    <x:n v="48"/>
    <x:s v="Move the airplane toy without propellers from the bowl to the table."/>
    <x:s v="Bowl objects: [green pencil sharpener, airplane toy without propellers] | Table objects: [yellow block]"/>
    <x:s v="REMOVE airplane toy without propellers"/>
    <x:s v="moved to the bowl at the end of the rollout, but didn't have enough time to pick it up. strange that is paused for so lond before movement."/>
    <x:x v="2"/>
  </x:r>
  <x:r>
    <x:x v="1"/>
    <x:s v="Counting"/>
    <x:n v="49"/>
    <x:s v="Leave exactly one object in the bowl."/>
    <x:s v="Bowl objects: [green pencil sharpener, airplane toy without propellers] | Table objects: [yellow block]"/>
    <x:s v="REMOVE any one bowl object; finish with 1 object in the bowl"/>
    <x:s v="didn't move"/>
    <x:x v="1"/>
  </x:r>
  <x:r>
    <x:x v="1"/>
    <x:s v="Counting"/>
    <x:n v="50"/>
    <x:s v="Leave exactly one object in the bowl."/>
    <x:s v="Bowl objects: [blue pen, airplane toy without propellers] | Table objects: [yellow block, green pencil sharpener]"/>
    <x:s v="REMOVE any one bowl object; finish with 1 object in the bowl"/>
    <x:s v="didn't move"/>
    <x:x v="1"/>
  </x:r>
  <x:r>
    <x:x v="1"/>
    <x:s v="Counting"/>
    <x:n v="51"/>
    <x:s v="Leave exactly three objects in the bowl."/>
    <x:s v="Bowl objects: [blue pen, airplane toy without propellers] | Table objects: [yellow block, green pencil sharpener]"/>
    <x:s v="ADD any one table object; finish with 3 objects in the bowl"/>
    <x:s v="didn't move"/>
    <x:x v="1"/>
  </x:r>
  <x:r>
    <x:x v="1"/>
    <x:s v="Counting"/>
    <x:n v="52"/>
    <x:s v="Leave exactly one object in the bowl."/>
    <x:s v="Bowl objects: [blue pen, yellow block] | Table objects: [green pencil sharpener, airplane toy without propellers]"/>
    <x:s v="REMOVE any one bowl object; finish with 1 object in the bowl"/>
    <x:s v="didn't move"/>
    <x:x v="1"/>
  </x:r>
  <x:r>
    <x:x v="1"/>
    <x:s v="Counting"/>
    <x:n v="53"/>
    <x:s v="Leave exactly three objects in the bowl."/>
    <x:s v="Bowl objects: [blue pen, yellow block] | Table objects: [green pencil sharpener, airplane toy without propellers]"/>
    <x:s v="ADD any one table object; finish with 3 objects in the bowl"/>
    <x:s v="didn't move"/>
    <x:x v="1"/>
  </x:r>
  <x:r>
    <x:x v="0"/>
    <x:s v="Counting"/>
    <x:n v="54"/>
    <x:s v="Make the bowl contain exactly zero objects."/>
    <x:s v="Bowl objects: [green highlighter] | Table objects: [blue pen]"/>
    <x:s v="REMOVE green highlighter; finish with 0 objects in the bowl"/>
    <x:m/>
    <x:x v="7"/>
  </x:r>
  <x:r>
    <x:x v="1"/>
    <x:s v="Counting"/>
    <x:n v="55"/>
    <x:s v="Make the bowl contain exactly two objects."/>
    <x:s v="Bowl objects: [green highlighter] | Table objects: [blue pen]"/>
    <x:s v="ADD blue pen; finish with 2 objects in the bowl"/>
    <x:s v="didn't move"/>
    <x:x v="7"/>
  </x:r>
  <x:r>
    <x:x v="1"/>
    <x:s v="Counting"/>
    <x:n v="56"/>
    <x:s v="Make the bowl contain exactly two objects."/>
    <x:s v="Bowl objects: [blue pen] | Table objects: [green highlighter]"/>
    <x:s v="ADD green highlighter; finish with 2 objects in the bowl"/>
    <x:s v="didn't move"/>
    <x:x v="7"/>
  </x:r>
  <x:r>
    <x:x v="0"/>
    <x:s v="Counting"/>
    <x:n v="57"/>
    <x:s v="Make the bowl contain exactly zero objects."/>
    <x:s v="Bowl objects: [blue pen] | Table objects: [green highlighter]"/>
    <x:s v="REMOVE blue pen; finish with 0 objects in the bowl"/>
    <x:m/>
    <x:x v="7"/>
  </x:r>
  <x:r>
    <x:x v="0"/>
    <x:s v="Counting"/>
    <x:n v="58"/>
    <x:s v="Make the bowl contain exactly zero objects."/>
    <x:s v="Bowl objects: [green highlighter] | Table objects: [blue pen]"/>
    <x:s v="REMOVE green highlighter; finish with 0 objects in the bowl"/>
    <x:m/>
    <x:x v="7"/>
  </x:r>
  <x:r>
    <x:x v="1"/>
    <x:s v="Counting"/>
    <x:n v="59"/>
    <x:s v="Make the bowl contain exactly two objects."/>
    <x:s v="Bowl objects: [green highlighter] | Table objects: [blue pen]"/>
    <x:s v="ADD blue pen; finish with 2 objects in the bowl"/>
    <x:s v="didn't move"/>
    <x:x v="7"/>
  </x:r>
  <x:r>
    <x:x v="1"/>
    <x:s v="Counting"/>
    <x:n v="60"/>
    <x:s v="Make the bowl contain exactly two objects."/>
    <x:s v="Bowl objects: [blue pen] | Table objects: [green highlighter]"/>
    <x:s v="ADD green highlighter; finish with 2 objects in the bowl"/>
    <x:s v="didn't move"/>
    <x:x v="7"/>
  </x:r>
  <x:r>
    <x:x v="0"/>
    <x:s v="Counting"/>
    <x:n v="61"/>
    <x:s v="Make the bowl contain exactly zero objects."/>
    <x:s v="Bowl objects: [blue pen] | Table objects: [green highlighter]"/>
    <x:s v="REMOVE blue pen; finish with 0 objects in the bowl"/>
    <x:m/>
    <x:x v="7"/>
  </x:r>
  <x:r>
    <x:x v="1"/>
    <x:s v="Counting"/>
    <x:n v="62"/>
    <x:s v="Leave exactly one object in the bowl."/>
    <x:s v="Bowl objects: [blue pen, yellow block] | Table objects: [green pencil sharpener, airplane toy without propellers]"/>
    <x:s v="REMOVE any one bowl object; finish with 1 object in the bowl"/>
    <x:s v="didn't move"/>
    <x:x v="1"/>
  </x:r>
  <x:r>
    <x:x v="1"/>
    <x:s v="Counting"/>
    <x:n v="63"/>
    <x:s v="Leave exactly three objects in the bowl."/>
    <x:s v="Bowl objects: [blue pen, yellow block] | Table objects: [green pencil sharpener, airplane toy without propellers]"/>
    <x:s v="ADD any one table object; finish with 3 objects in the bowl"/>
    <x:s v="didn't move"/>
    <x:x v="1"/>
  </x:r>
  <x:r>
    <x:x v="1"/>
    <x:s v="Counting"/>
    <x:n v="64"/>
    <x:s v="Leave exactly three objects in the bowl."/>
    <x:s v="Bowl objects: [blue pen, green pencil sharpener] | Table objects: [yellow block, airplane toy without propellers]"/>
    <x:s v="ADD any one table object; finish with 3 objects in the bowl"/>
    <x:s v="didn't move"/>
    <x:x v="1"/>
  </x:r>
  <x:r>
    <x:x v="1"/>
    <x:s v="Counting"/>
    <x:n v="65"/>
    <x:s v="Leave exactly one object in the bowl."/>
    <x:s v="Bowl objects: [blue pen, green pencil sharpener] | Table objects: [yellow block, airplane toy without propellers]"/>
    <x:s v="REMOVE any one bowl object; finish with 1 object in the bowl"/>
    <x:s v="didn't move"/>
    <x:x v="1"/>
  </x:r>
  <x:r>
    <x:x v="1"/>
    <x:s v="Counting"/>
    <x:n v="66"/>
    <x:s v="Leave exactly three objects in the bowl."/>
    <x:s v="Bowl objects: [blue pen, green pencil sharpener] | Table objects: [yellow block, airplane toy without propellers]"/>
    <x:s v="ADD any one table object; finish with 3 objects in the bowl"/>
    <x:s v="didn't move"/>
    <x:x v="1"/>
  </x:r>
  <x:r>
    <x:x v="1"/>
    <x:s v="Counting"/>
    <x:n v="67"/>
    <x:s v="Leave exactly one object in the bowl."/>
    <x:s v="Bowl objects: [blue pen, green pencil sharpener] | Table objects: [yellow block, airplane toy without propellers]"/>
    <x:s v="REMOVE any one bowl object; finish with 1 object in the bowl"/>
    <x:s v="didn't move"/>
    <x:x v="1"/>
  </x:r>
  <x:r>
    <x:x v="1"/>
    <x:s v="Counting"/>
    <x:n v="68"/>
    <x:s v="Leave exactly one object in the bowl."/>
    <x:s v="Bowl objects: [blue pen, yellow block] | Table objects: [green pencil sharpener]"/>
    <x:s v="REMOVE any one bowl object; finish with 1 object in the bowl"/>
    <x:s v="didn't move"/>
    <x:x v="1"/>
  </x:r>
  <x:r>
    <x:x v="1"/>
    <x:s v="Counting"/>
    <x:n v="69"/>
    <x:s v="Move the yellow block from the bowl to the table."/>
    <x:s v="Bowl objects: [blue pen, yellow block] | Table objects: [green pencil sharpener]"/>
    <x:s v="REMOVE yellow block"/>
    <x:s v="looked like it was trying to grasp the yellow block but couldn't and ended up picking blue pen."/>
    <x:x v="2"/>
  </x:r>
  <x:r>
    <x:x v="0"/>
    <x:s v="Counting"/>
    <x:n v="70"/>
    <x:s v="Move the green pencil sharpener into the bowl."/>
    <x:s v="Bowl objects: [blue pen, yellow block] | Table objects: [green pencil sharpener]"/>
    <x:s v="ADD green pencil sharpener"/>
    <x:s v="didn't go to home position fully, but basically did"/>
    <x:x v="2"/>
  </x:r>
  <x:r>
    <x:x v="1"/>
    <x:s v="Counting"/>
    <x:n v="71"/>
    <x:s v="Leave exactly three objects in the bowl."/>
    <x:s v="Bowl objects: [blue pen, yellow block] | Table objects: [green pencil sharpener]"/>
    <x:s v="ADD any one table object; finish with 3 objects in the bowl"/>
    <x:s v="didn't move"/>
    <x:x v="1"/>
  </x:r>
  <x:r>
    <x:x v="1"/>
    <x:s v="Counting"/>
    <x:n v="72"/>
    <x:s v="Leave exactly three objects in the bowl."/>
    <x:s v="Bowl objects: [blue pen, green pencil sharpener] | Table objects: [yellow block, airplane toy without propellers]"/>
    <x:s v="ADD any one table object; finish with 3 objects in the bowl"/>
    <x:s v="didn't move"/>
    <x:x v="1"/>
  </x:r>
  <x:r>
    <x:x v="1"/>
    <x:s v="Counting"/>
    <x:n v="73"/>
    <x:s v="Move the airplane toy without propellers into the bowl."/>
    <x:s v="Bowl objects: [blue pen, green pencil sharpener] | Table objects: [yellow block, airplane toy without propellers]"/>
    <x:s v="ADD airplane toy without propellers"/>
    <x:s v="didn't move"/>
    <x:x v="2"/>
  </x:r>
  <x:r>
    <x:x v="1"/>
    <x:s v="Counting"/>
    <x:n v="74"/>
    <x:s v="Move the green pencil sharpener from the bowl to the table."/>
    <x:s v="Bowl objects: [blue pen, green pencil sharpener] | Table objects: [yellow block, airplane toy without propellers]"/>
    <x:s v="REMOVE green pencil sharpener"/>
    <x:s v="went to the bowl, but couldn't pick anything up"/>
    <x:x v="2"/>
  </x:r>
  <x:r>
    <x:x v="1"/>
    <x:s v="Counting"/>
    <x:n v="75"/>
    <x:s v="Leave exactly one object in the bowl."/>
    <x:s v="Bowl objects: [blue pen, green pencil sharpener] | Table objects: [yellow block, airplane toy without propellers]"/>
    <x:s v="REMOVE any one bowl object; finish with 1 object in the bowl"/>
    <x:s v="didn't move"/>
    <x:x v="1"/>
  </x:r>
  <x:r>
    <x:x v="1"/>
    <x:s v="Counting"/>
    <x:n v="76"/>
    <x:s v="Leave exactly one object in the bowl."/>
    <x:s v="Bowl objects: [yellow block, airplane toy without propellers] | Table objects: [blue pen]"/>
    <x:s v="REMOVE any one bowl object; finish with 1 object in the bowl"/>
    <x:s v="didn't move"/>
    <x:x v="1"/>
  </x:r>
  <x:r>
    <x:x v="1"/>
    <x:s v="Counting"/>
    <x:n v="77"/>
    <x:s v="Leave exactly three objects in the bowl."/>
    <x:s v="Bowl objects: [yellow block, airplane toy without propellers] | Table objects: [blue pen]"/>
    <x:s v="ADD any one table object; finish with 3 objects in the bowl"/>
    <x:s v="didn't move"/>
    <x:x v="1"/>
  </x:r>
  <x:r>
    <x:x v="0"/>
    <x:s v="Counting"/>
    <x:n v="78"/>
    <x:s v="Make the bowl contain exactly zero objects."/>
    <x:s v="Bowl objects: [green highlighter] | Table objects: [green pencil sharpener]"/>
    <x:s v="REMOVE green highlighter; finish with 0 objects in the bowl"/>
    <x:m/>
    <x:x v="7"/>
  </x:r>
  <x:r>
    <x:x v="1"/>
    <x:s v="Counting"/>
    <x:n v="79"/>
    <x:s v="Make the bowl contain exactly two objects."/>
    <x:s v="Bowl objects: [green highlighter] | Table objects: [green pencil sharpener]"/>
    <x:s v="ADD green pencil sharpener; finish with 2 objects in the bowl"/>
    <x:s v="didn't move"/>
    <x:x v="7"/>
  </x:r>
  <x:r>
    <x:x v="1"/>
    <x:s v="Counting"/>
    <x:n v="80"/>
    <x:s v="Make the bowl contain exactly two objects."/>
    <x:s v="Bowl objects: [green pencil sharpener] | Table objects: [green highlighter]"/>
    <x:s v="ADD green highlighter; finish with 2 objects in the bowl"/>
    <x:s v="didn't move"/>
    <x:x v="7"/>
  </x:r>
  <x:r>
    <x:x v="0"/>
    <x:s v="Counting"/>
    <x:n v="81"/>
    <x:s v="Make the bowl contain exactly zero objects."/>
    <x:s v="Bowl objects: [green pencil sharpener] | Table objects: [green highlighter]"/>
    <x:s v="REMOVE green pencil sharpener; finish with 0 objects in the bowl"/>
    <x:m/>
    <x:x v="7"/>
  </x:r>
  <x:r>
    <x:x v="1"/>
    <x:s v="Counting"/>
    <x:n v="82"/>
    <x:s v="Leave exactly one object in the bowl."/>
    <x:s v="Bowl objects: [yellow block, airplane toy without propellers] | Table objects: [blue pen]"/>
    <x:s v="REMOVE any one bowl object; finish with 1 object in the bowl"/>
    <x:s v="didn't move"/>
    <x:x v="1"/>
  </x:r>
  <x:r>
    <x:x v="1"/>
    <x:s v="Counting"/>
    <x:n v="83"/>
    <x:s v="Leave exactly three objects in the bowl."/>
    <x:s v="Bowl objects: [yellow block, airplane toy without propellers] | Table objects: [blue pen]"/>
    <x:s v="ADD any one table object; finish with 3 objects in the bowl"/>
    <x:s v="didn't move"/>
    <x:x v="1"/>
  </x:r>
  <x:r>
    <x:x v="1"/>
    <x:s v="Counting"/>
    <x:n v="84"/>
    <x:s v="Leave exactly one object in the bowl."/>
    <x:s v="Bowl objects: [blue pen, airplane toy without propellers] | Table objects: [yellow block, green pencil sharpener]"/>
    <x:s v="REMOVE any one bowl object; finish with 1 object in the bowl"/>
    <x:s v="didn't move"/>
    <x:x v="1"/>
  </x:r>
  <x:r>
    <x:x v="0"/>
    <x:s v="Counting"/>
    <x:n v="85"/>
    <x:s v="Move the blue pen from the bowl to the table."/>
    <x:s v="Bowl objects: [blue pen, airplane toy without propellers] | Table objects: [yellow block, green pencil sharpener]"/>
    <x:s v="REMOVE blue pen"/>
    <x:m/>
    <x:x v="2"/>
  </x:r>
  <x:r>
    <x:x v="1"/>
    <x:s v="Counting"/>
    <x:n v="86"/>
    <x:s v="Change the contents so the bowl ends up holding one item."/>
    <x:s v="Bowl objects: [blue pen, airplane toy without propellers] | Table objects: [yellow block, green pencil sharpener]"/>
    <x:s v="REMOVE any one bowl object; finish with 1 object in the bowl"/>
    <x:s v="didn't move"/>
    <x:x v="3"/>
  </x:r>
  <x:r>
    <x:x v="0"/>
    <x:s v="Counting"/>
    <x:n v="87"/>
    <x:s v="Lift the blue pen out of the bowl and set it on the table."/>
    <x:s v="Bowl objects: [blue pen, airplane toy without propellers] | Table objects: [yellow block, green pencil sharpener]"/>
    <x:s v="REMOVE blue pen"/>
    <x:m/>
    <x:x v="3"/>
  </x:r>
  <x:r>
    <x:x v="0"/>
    <x:s v="Counting"/>
    <x:n v="88"/>
    <x:s v="Move the yellow block into the bowl."/>
    <x:s v="Bowl objects: [blue pen, airplane toy without propellers] | Table objects: [yellow block, green pencil sharpener]"/>
    <x:s v="ADD yellow block"/>
    <x:m/>
    <x:x v="2"/>
  </x:r>
  <x:r>
    <x:x v="1"/>
    <x:s v="Counting"/>
    <x:n v="89"/>
    <x:s v="Leave exactly three objects in the bowl."/>
    <x:s v="Bowl objects: [blue pen, airplane toy without propellers] | Table objects: [yellow block, green pencil sharpener]"/>
    <x:s v="ADD any one table object; finish with 3 objects in the bowl"/>
    <x:s v="didn't move"/>
    <x:x v="1"/>
  </x:r>
  <x:r>
    <x:x v="0"/>
    <x:s v="Counting"/>
    <x:n v="90"/>
    <x:s v="Lift the yellow block from the table and set it inside the bowl."/>
    <x:s v="Bowl objects: [blue pen, airplane toy without propellers] | Table objects: [yellow block, green pencil sharpener]"/>
    <x:s v="ADD yellow block"/>
    <x:m/>
    <x:x v="3"/>
  </x:r>
  <x:r>
    <x:x v="1"/>
    <x:s v="Counting"/>
    <x:n v="91"/>
    <x:s v="Change the contents so the bowl ends up holding three items."/>
    <x:s v="Bowl objects: [blue pen, airplane toy without propellers] | Table objects: [yellow block, green pencil sharpener]"/>
    <x:s v="ADD any one table object; finish with 3 objects in the bowl"/>
    <x:s v="didn't move"/>
    <x:x v="3"/>
  </x:r>
  <x:r>
    <x:x v="1"/>
    <x:s v="Counting"/>
    <x:n v="92"/>
    <x:s v="Leave exactly one object in the bowl."/>
    <x:s v="Bowl objects: [blue pen, yellow block] | Table objects: [green pencil sharpener, airplane toy without propellers]"/>
    <x:s v="REMOVE any one bowl object; finish with 1 object in the bowl"/>
    <x:s v="didn't move"/>
    <x:x v="1"/>
  </x:r>
  <x:r>
    <x:x v="1"/>
    <x:s v="Counting"/>
    <x:n v="93"/>
    <x:s v="Leave exactly three objects in the bowl."/>
    <x:s v="Bowl objects: [blue pen, yellow block] | Table objects: [green pencil sharpener, airplane toy without propellers]"/>
    <x:s v="ADD any one table object; finish with 3 objects in the bowl"/>
    <x:s v="didn't move"/>
    <x:x v="1"/>
  </x:r>
  <x:r>
    <x:x v="1"/>
    <x:s v="Counting"/>
    <x:n v="94"/>
    <x:s v="Leave exactly three objects in the bowl."/>
    <x:s v="Bowl objects: [yellow block, green pencil sharpener] | Table objects: [blue pen, airplane toy without propellers]"/>
    <x:s v="ADD any one table object; finish with 3 objects in the bowl"/>
    <x:s v="didn't move"/>
    <x:x v="1"/>
  </x:r>
  <x:r>
    <x:x v="0"/>
    <x:s v="Counting"/>
    <x:n v="95"/>
    <x:s v="Move the blue pen into the bowl."/>
    <x:s v="Bowl objects: [yellow block, green pencil sharpener] | Table objects: [blue pen, airplane toy without propellers]"/>
    <x:s v="ADD blue pen"/>
    <x:m/>
    <x:x v="2"/>
  </x:r>
  <x:r>
    <x:x v="1"/>
    <x:s v="Counting"/>
    <x:n v="96"/>
    <x:s v="End with three items inside the bowl."/>
    <x:s v="Bowl objects: [yellow block, green pencil sharpener] | Table objects: [blue pen, airplane toy without propellers]"/>
    <x:s v="ADD any one table object; finish with 3 objects in the bowl"/>
    <x:s v="didn't move"/>
    <x:x v="3"/>
  </x:r>
  <x:r>
    <x:x v="1"/>
    <x:s v="Counting"/>
    <x:n v="97"/>
    <x:s v="Lift the blue pen from the table and set it inside the bowl."/>
    <x:s v="Bowl objects: [yellow block, green pencil sharpener] | Table objects: [blue pen, airplane toy without propellers]"/>
    <x:s v="ADD blue pen"/>
    <x:s v="didn't move"/>
    <x:x v="3"/>
  </x:r>
  <x:r>
    <x:x v="0"/>
    <x:s v="Counting"/>
    <x:n v="98"/>
    <x:s v="Move the yellow block from the bowl to the table."/>
    <x:s v="Bowl objects: [yellow block, green pencil sharpener] | Table objects: [blue pen, airplane toy without propellers]"/>
    <x:s v="REMOVE yellow block"/>
    <x:m/>
    <x:x v="2"/>
  </x:r>
  <x:r>
    <x:x v="1"/>
    <x:s v="Counting"/>
    <x:n v="99"/>
    <x:s v="Leave exactly one object in the bowl."/>
    <x:s v="Bowl objects: [yellow block, green pencil sharpener] | Table objects: [blue pen, airplane toy without propellers]"/>
    <x:s v="REMOVE any one bowl object; finish with 1 object in the bowl"/>
    <x:s v="didn't move"/>
    <x:x v="1"/>
  </x:r>
  <x:r>
    <x:x v="0"/>
    <x:s v="Counting"/>
    <x:n v="100"/>
    <x:s v="Lift the yellow block out of the bowl and set it on the table."/>
    <x:s v="Bowl objects: [yellow block, green pencil sharpener] | Table objects: [blue pen, airplane toy without propellers]"/>
    <x:s v="REMOVE yellow block"/>
    <x:s v="picked both the yellow block and green pencil sharpener simultaneously, but it did technically get the yellow block"/>
    <x:x v="3"/>
  </x:r>
  <x:r>
    <x:x v="1"/>
    <x:s v="Counting"/>
    <x:n v="101"/>
    <x:s v="End with a single object in the bowl."/>
    <x:s v="Bowl objects: [yellow block, green pencil sharpener] | Table objects: [blue pen, airplane toy without propellers]"/>
    <x:s v="REMOVE any one bowl object; finish with 1 object in the bowl"/>
    <x:s v="didn't move"/>
    <x:x v="3"/>
  </x:r>
  <x:r>
    <x:x v="0"/>
    <x:s v="Counting"/>
    <x:n v="102"/>
    <x:s v="Leave no objects in the bowl."/>
    <x:s v="Bowl objects: [none] | Table objects: [green pencil sharpener]"/>
    <x:s v="NO-OP; preserve 0 objects in the bowl and do not initiate a grasp"/>
    <x:m/>
    <x:x v="6"/>
  </x:r>
  <x:r>
    <x:x v="0"/>
    <x:s v="Counting"/>
    <x:n v="103"/>
    <x:s v="Leave exactly one object in the bowl."/>
    <x:s v="Bowl objects: [green pencil sharpener] | Table objects: [airplane toy without propellers]"/>
    <x:s v="NO-OP; preserve 1 object in the bowl and do not initiate a grasp"/>
    <x:m/>
    <x:x v="6"/>
  </x:r>
  <x:r>
    <x:x v="0"/>
    <x:s v="Counting"/>
    <x:n v="104"/>
    <x:s v="Leave exactly two objects in the bowl."/>
    <x:s v="Bowl objects: [green pencil sharpener, airplane toy without propellers] | Table objects: [blue pen]"/>
    <x:s v="NO-OP; preserve 2 objects in the bowl and do not initiate a grasp"/>
    <x:m/>
    <x:x v="6"/>
  </x:r>
  <x:r>
    <x:x v="1"/>
    <x:s v="Counting"/>
    <x:n v="105"/>
    <x:s v="Leave exactly three objects in the bowl."/>
    <x:s v="Bowl objects: [green pencil sharpener, airplane toy without propellers, blue pen] | Table objects: [yellow block]"/>
    <x:s v="NO-OP; preserve 3 objects in the bowl and do not initiate a grasp"/>
    <x:s v="removed the blue pen"/>
    <x:x v="6"/>
  </x:r>
  <x:r>
    <x:x v="1"/>
    <x:s v="Counting"/>
    <x:n v="106"/>
    <x:s v="Leave exactly one object in the bowl."/>
    <x:s v="Bowl objects: [yellow block, airplane toy without propellers] | Table objects: [blue pen, green pencil sharpener]"/>
    <x:s v="REMOVE any one bowl object; finish with 1 object in the bowl"/>
    <x:s v="didn't move"/>
    <x:x v="1"/>
  </x:r>
  <x:r>
    <x:x v="0"/>
    <x:s v="Counting"/>
    <x:n v="107"/>
    <x:s v="Move the yellow block from the bowl to the table."/>
    <x:s v="Bowl objects: [yellow block, airplane toy without propellers] | Table objects: [blue pen, green pencil sharpener]"/>
    <x:s v="REMOVE yellow block"/>
    <x:m/>
    <x:x v="2"/>
  </x:r>
  <x:r>
    <x:x v="1"/>
    <x:s v="Counting"/>
    <x:n v="108"/>
    <x:s v="Adjust the contents until only one object remains in the bowl."/>
    <x:s v="Bowl objects: [yellow block, airplane toy without propellers] | Table objects: [blue pen, green pencil sharpener]"/>
    <x:s v="REMOVE any one bowl object; finish with 1 object in the bowl"/>
    <x:s v="didn't move"/>
    <x:x v="3"/>
  </x:r>
  <x:r>
    <x:x v="0"/>
    <x:s v="Counting"/>
    <x:n v="109"/>
    <x:s v="Lift the yellow block out of the bowl and set it on the table."/>
    <x:s v="Bowl objects: [yellow block, airplane toy without propellers] | Table objects: [blue pen, green pencil sharpener]"/>
    <x:s v="REMOVE yellow block"/>
    <x:m/>
    <x:x v="3"/>
  </x:r>
  <x:r>
    <x:x v="0"/>
    <x:s v="Counting"/>
    <x:n v="110"/>
    <x:s v="Move the blue pen into the bowl."/>
    <x:s v="Bowl objects: [yellow block, airplane toy without propellers] | Table objects: [blue pen, green pencil sharpener]"/>
    <x:s v="ADD blue pen"/>
    <x:m/>
    <x:x v="2"/>
  </x:r>
  <x:r>
    <x:x v="1"/>
    <x:s v="Counting"/>
    <x:n v="111"/>
    <x:s v="Leave exactly three objects in the bowl."/>
    <x:s v="Bowl objects: [yellow block, airplane toy without propellers] | Table objects: [blue pen, green pencil sharpener]"/>
    <x:s v="ADD any one table object; finish with 3 objects in the bowl"/>
    <x:s v="didn't move"/>
    <x:x v="1"/>
  </x:r>
  <x:r>
    <x:x v="0"/>
    <x:s v="Counting"/>
    <x:n v="112"/>
    <x:s v="Lift the blue pen from the table and set it inside the bowl."/>
    <x:s v="Bowl objects: [yellow block, airplane toy without propellers] | Table objects: [blue pen, green pencil sharpener]"/>
    <x:s v="ADD blue pen"/>
    <x:m/>
    <x:x v="3"/>
  </x:r>
  <x:r>
    <x:x v="1"/>
    <x:s v="Counting"/>
    <x:n v="113"/>
    <x:s v="Adjust the contents until three objects remain in the bowl."/>
    <x:s v="Bowl objects: [yellow block, airplane toy without propellers] | Table objects: [blue pen, green pencil sharpener]"/>
    <x:s v="ADD any one table object; finish with 3 objects in the bowl"/>
    <x:s v="didn't move"/>
    <x:x v="3"/>
  </x:r>
  <x:r>
    <x:x v="1"/>
    <x:s v="Counting"/>
    <x:n v="114"/>
    <x:s v="Leave exactly three objects in the bowl."/>
    <x:s v="Bowl objects: [yellow block, green pencil sharpener] | Table objects: [airplane toy without propellers]"/>
    <x:s v="ADD any one table object; finish with 3 objects in the bowl"/>
    <x:s v="didn't move"/>
    <x:x v="1"/>
  </x:r>
  <x:r>
    <x:x v="1"/>
    <x:s v="Counting"/>
    <x:n v="115"/>
    <x:s v="Leave exactly one object in the bowl."/>
    <x:s v="Bowl objects: [yellow block, green pencil sharpener] | Table objects: [airplane toy without propellers]"/>
    <x:s v="REMOVE any one bowl object; finish with 1 object in the bowl"/>
    <x:s v="didn't move"/>
    <x:x v="1"/>
  </x:r>
  <x:r>
    <x:x v="1"/>
    <x:s v="Counting"/>
    <x:n v="116"/>
    <x:s v="Leave exactly one object in the bowl."/>
    <x:s v="Bowl objects: [blue pen, airplane toy without propellers] | Table objects: [yellow block]"/>
    <x:s v="REMOVE any one bowl object; finish with 1 object in the bowl"/>
    <x:s v="didn't move"/>
    <x:x v="1"/>
  </x:r>
  <x:r>
    <x:x v="1"/>
    <x:s v="Counting"/>
    <x:n v="117"/>
    <x:s v="Leave exactly three objects in the bowl."/>
    <x:s v="Bowl objects: [blue pen, airplane toy without propellers] | Table objects: [yellow block]"/>
    <x:s v="ADD any one table object; finish with 3 objects in the bowl"/>
    <x:s v="didn't move"/>
    <x:x v="1"/>
  </x:r>
  <x:r>
    <x:x v="1"/>
    <x:s v="Counting"/>
    <x:n v="118"/>
    <x:s v="Make the bowl contain exactly zero objects."/>
    <x:s v="Bowl objects: [yellow block] | Table objects: [green highlighter]"/>
    <x:s v="REMOVE yellow block; finish with 0 objects in the bowl"/>
    <x:s v="went for block at the very end of the episode, but didn;t have time to take it out of the bowl"/>
    <x:x v="7"/>
  </x:r>
  <x:r>
    <x:x v="1"/>
    <x:s v="Counting"/>
    <x:n v="119"/>
    <x:s v="Make the bowl contain exactly two objects."/>
    <x:s v="Bowl objects: [yellow block] | Table objects: [green highlighter]"/>
    <x:s v="ADD green highlighter; finish with 2 objects in the bowl"/>
    <x:s v="didn't move"/>
    <x:x v="7"/>
  </x:r>
  <x:r>
    <x:x v="1"/>
    <x:s v="Counting"/>
    <x:n v="120"/>
    <x:s v="Make the bowl contain exactly two objects."/>
    <x:s v="Bowl objects: [green highlighter] | Table objects: [yellow block]"/>
    <x:s v="ADD yellow block; finish with 2 objects in the bowl"/>
    <x:s v="didn't move"/>
    <x:x v="7"/>
  </x:r>
  <x:r>
    <x:x v="0"/>
    <x:s v="Counting"/>
    <x:n v="121"/>
    <x:s v="Make the bowl contain exactly zero objects."/>
    <x:s v="Bowl objects: [green highlighter] | Table objects: [yellow block]"/>
    <x:s v="REMOVE green highlighter; finish with 0 objects in the bowl"/>
    <x:m/>
    <x:x v="7"/>
  </x:r>
  <x:r>
    <x:x v="1"/>
    <x:s v="Counting"/>
    <x:n v="122"/>
    <x:s v="Leave exactly three objects in the bowl."/>
    <x:s v="Bowl objects: [yellow block, green pencil sharpener] | Table objects: [airplane toy without propellers]"/>
    <x:s v="ADD any one table object; finish with 3 objects in the bowl"/>
    <x:s v="didn't move"/>
    <x:x v="1"/>
  </x:r>
  <x:r>
    <x:x v="1"/>
    <x:s v="Counting"/>
    <x:n v="123"/>
    <x:s v="Leave exactly one object in the bowl."/>
    <x:s v="Bowl objects: [yellow block, green pencil sharpener] | Table objects: [airplane toy without propellers]"/>
    <x:s v="REMOVE any one bowl object; finish with 1 object in the bowl"/>
    <x:s v="didn't move"/>
    <x:x v="1"/>
  </x:r>
  <x:r>
    <x:x v="0"/>
    <x:s v="Counting"/>
    <x:n v="124"/>
    <x:s v="Make the bowl contain exactly zero objects."/>
    <x:s v="Bowl objects: [airplane toy without propellers] | Table objects: [green highlighter]"/>
    <x:s v="REMOVE airplane toy without propellers; finish with 0 objects in the bowl"/>
    <x:m/>
    <x:x v="7"/>
  </x:r>
  <x:r>
    <x:x v="1"/>
    <x:s v="Counting"/>
    <x:n v="125"/>
    <x:s v="Make the bowl contain exactly two objects."/>
    <x:s v="Bowl objects: [airplane toy without propellers] | Table objects: [green highlighter]"/>
    <x:s v="ADD green highlighter; finish with 2 objects in the bowl"/>
    <x:s v="didn't move"/>
    <x:x v="7"/>
  </x:r>
  <x:r>
    <x:x v="1"/>
    <x:s v="Counting"/>
    <x:n v="126"/>
    <x:s v="Make the bowl contain exactly two objects."/>
    <x:s v="Bowl objects: [green highlighter] | Table objects: [airplane toy without propellers]"/>
    <x:s v="ADD airplane toy without propellers; finish with 2 objects in the bowl"/>
    <x:s v="didn't move"/>
    <x:x v="7"/>
  </x:r>
  <x:r>
    <x:x v="1"/>
    <x:s v="Counting"/>
    <x:n v="127"/>
    <x:s v="Make the bowl contain exactly zero objects."/>
    <x:s v="Bowl objects: [green highlighter] | Table objects: [airplane toy without propellers]"/>
    <x:s v="REMOVE green highlighter; finish with 0 objects in the bowl"/>
    <x:s v="didn't move"/>
    <x:x v="7"/>
  </x:r>
  <x:r>
    <x:x v="0"/>
    <x:s v="Counting"/>
    <x:n v="128"/>
    <x:s v="Leave no objects in the bowl."/>
    <x:s v="Bowl objects: [none] | Table objects: [yellow block]"/>
    <x:s v="NO-OP; preserve 0 objects in the bowl and do not initiate a grasp"/>
    <x:m/>
    <x:x v="6"/>
  </x:r>
  <x:r>
    <x:x v="0"/>
    <x:s v="Counting"/>
    <x:n v="129"/>
    <x:s v="Leave exactly one object in the bowl."/>
    <x:s v="Bowl objects: [yellow block] | Table objects: [blue pen]"/>
    <x:s v="NO-OP; preserve 1 object in the bowl and do not initiate a grasp"/>
    <x:m/>
    <x:x v="6"/>
  </x:r>
  <x:r>
    <x:x v="0"/>
    <x:s v="Counting"/>
    <x:n v="130"/>
    <x:s v="Leave exactly two objects in the bowl."/>
    <x:s v="Bowl objects: [yellow block, blue pen] | Table objects: [airplane toy without propellers]"/>
    <x:s v="NO-OP; preserve 2 objects in the bowl and do not initiate a grasp"/>
    <x:m/>
    <x:x v="6"/>
  </x:r>
  <x:r>
    <x:x v="0"/>
    <x:s v="Counting"/>
    <x:n v="131"/>
    <x:s v="Leave exactly three objects in the bowl."/>
    <x:s v="Bowl objects: [yellow block, blue pen, airplane toy without propellers] | Table objects: [green pencil sharpener]"/>
    <x:s v="NO-OP; preserve 3 objects in the bowl and do not initiate a grasp"/>
    <x:m/>
    <x:x v="6"/>
  </x:r>
  <x:r>
    <x:x v="1"/>
    <x:s v="Counting"/>
    <x:n v="132"/>
    <x:s v="Leave exactly three objects in the bowl."/>
    <x:s v="Bowl objects: [blue pen, green pencil sharpener] | Table objects: [airplane toy without propellers]"/>
    <x:s v="ADD any one table object; finish with 3 objects in the bowl"/>
    <x:s v="didn't move"/>
    <x:x v="1"/>
  </x:r>
  <x:r>
    <x:x v="1"/>
    <x:s v="Counting"/>
    <x:n v="133"/>
    <x:s v="Move the airplane toy without propellers into the bowl."/>
    <x:s v="Bowl objects: [blue pen, green pencil sharpener] | Table objects: [airplane toy without propellers]"/>
    <x:s v="ADD airplane toy without propellers"/>
    <x:s v="didn't move"/>
    <x:x v="2"/>
  </x:r>
  <x:r>
    <x:x v="1"/>
    <x:s v="Counting"/>
    <x:n v="134"/>
    <x:s v="Set the bowl's final object count to three."/>
    <x:s v="Bowl objects: [blue pen, green pencil sharpener] | Table objects: [airplane toy without propellers]"/>
    <x:s v="ADD any one table object; finish with 3 objects in the bowl"/>
    <x:s v="didn't move"/>
    <x:x v="3"/>
  </x:r>
  <x:r>
    <x:x v="1"/>
    <x:s v="Counting"/>
    <x:n v="135"/>
    <x:s v="Lift the airplane toy without propellers from the table and set it inside the bowl."/>
    <x:s v="Bowl objects: [blue pen, green pencil sharpener] | Table objects: [airplane toy without propellers]"/>
    <x:s v="ADD airplane toy without propellers"/>
    <x:s v="didn't move"/>
    <x:x v="3"/>
  </x:r>
  <x:r>
    <x:x v="1"/>
    <x:s v="Counting"/>
    <x:n v="136"/>
    <x:s v="Move the blue pen from the bowl to the table."/>
    <x:s v="Bowl objects: [blue pen, green pencil sharpener] | Table objects: [airplane toy without propellers]"/>
    <x:s v="REMOVE blue pen"/>
    <x:s v="didn't move"/>
    <x:x v="2"/>
  </x:r>
  <x:r>
    <x:x v="1"/>
    <x:s v="Counting"/>
    <x:n v="137"/>
    <x:s v="Leave exactly one object in the bowl."/>
    <x:s v="Bowl objects: [blue pen, green pencil sharpener] | Table objects: [airplane toy without propellers]"/>
    <x:s v="REMOVE any one bowl object; finish with 1 object in the bowl"/>
    <x:s v="didn't move"/>
    <x:x v="1"/>
  </x:r>
  <x:r>
    <x:x v="1"/>
    <x:s v="Counting"/>
    <x:n v="138"/>
    <x:s v="Lift the blue pen out of the bowl and set it on the table."/>
    <x:s v="Bowl objects: [blue pen, green pencil sharpener] | Table objects: [airplane toy without propellers]"/>
    <x:s v="REMOVE blue pen"/>
    <x:s v="didn't move"/>
    <x:x v="3"/>
  </x:r>
  <x:r>
    <x:x v="1"/>
    <x:s v="Counting"/>
    <x:n v="139"/>
    <x:s v="Set the bowl's final object count to one."/>
    <x:s v="Bowl objects: [blue pen, green pencil sharpener] | Table objects: [airplane toy without propellers]"/>
    <x:s v="REMOVE any one bowl object; finish with 1 object in the bowl"/>
    <x:s v="didn't move"/>
    <x:x v="3"/>
  </x:r>
  <x:r>
    <x:x v="1"/>
    <x:s v="Counting"/>
    <x:n v="140"/>
    <x:s v="Leave exactly three objects in the bowl."/>
    <x:s v="Bowl objects: [green pencil sharpener, airplane toy without propellers] | Table objects: [yellow block]"/>
    <x:s v="ADD any one table object; finish with 3 objects in the bowl"/>
    <x:s v="didn't move"/>
    <x:x v="1"/>
  </x:r>
  <x:r>
    <x:x v="1"/>
    <x:s v="Counting"/>
    <x:n v="141"/>
    <x:s v="Leave exactly one object in the bowl."/>
    <x:s v="Bowl objects: [green pencil sharpener, airplane toy without propellers] | Table objects: [yellow block]"/>
    <x:s v="REMOVE any one bowl object; finish with 1 object in the bowl"/>
    <x:s v="didn't move"/>
    <x:x v="1"/>
  </x:r>
  <x:r>
    <x:x v="1"/>
    <x:s v="Counting"/>
    <x:n v="142"/>
    <x:s v="Leave exactly three objects in the bowl."/>
    <x:s v="Bowl objects: [yellow block, airplane toy without propellers, blue pen] | Table objects: [none]"/>
    <x:s v="NO-OP; preserve 3 objects in the bowl and do not initiate a grasp"/>
    <x:s v="removed the blue pen"/>
    <x:x v="6"/>
  </x:r>
  <x:r>
    <x:x v="0"/>
    <x:s v="Counting"/>
    <x:n v="143"/>
    <x:s v="Leave exactly two objects in the bowl."/>
    <x:s v="Bowl objects: [yellow block, airplane toy without propellers] | Table objects: [none]"/>
    <x:s v="NO-OP; preserve 2 objects in the bowl and do not initiate a grasp"/>
    <x:m/>
    <x:x v="6"/>
  </x:r>
  <x:r>
    <x:x v="0"/>
    <x:s v="Counting"/>
    <x:n v="144"/>
    <x:s v="Leave exactly one object in the bowl."/>
    <x:s v="Bowl objects: [yellow block] | Table objects: [none]"/>
    <x:s v="NO-OP; preserve 1 object in the bowl and do not initiate a grasp"/>
    <x:m/>
    <x:x v="6"/>
  </x:r>
  <x:r>
    <x:x v="0"/>
    <x:s v="Counting"/>
    <x:n v="145"/>
    <x:s v="Leave no objects in the bowl."/>
    <x:s v="Bowl objects: [none] | Table objects: [yellow block]"/>
    <x:s v="NO-OP; preserve 0 objects in the bowl and do not initiate a grasp"/>
    <x:m/>
    <x:x v="6"/>
  </x:r>
  <x:r>
    <x:x v="1"/>
    <x:s v="Counting"/>
    <x:n v="146"/>
    <x:s v="Leave exactly three objects in the bowl."/>
    <x:s v="Bowl objects: [green pencil sharpener, airplane toy without propellers] | Table objects: [blue pen, yellow block]"/>
    <x:s v="ADD any one table object; finish with 3 objects in the bowl"/>
    <x:s v="didn't move"/>
    <x:x v="1"/>
  </x:r>
  <x:r>
    <x:x v="1"/>
    <x:s v="Counting"/>
    <x:n v="147"/>
    <x:s v="Leave exactly one object in the bowl."/>
    <x:s v="Bowl objects: [green pencil sharpener, airplane toy without propellers] | Table objects: [blue pen, yellow block]"/>
    <x:s v="REMOVE any one bowl object; finish with 1 object in the bowl"/>
    <x:s v="didn't move"/>
    <x:x v="1"/>
  </x:r>
  <x:r>
    <x:x v="1"/>
    <x:s v="Counting"/>
    <x:n v="148"/>
    <x:s v="Leave exactly one object in the bowl."/>
    <x:s v="Bowl objects: [yellow block, airplane toy without propellers] | Table objects: [blue pen, green pencil sharpener]"/>
    <x:s v="REMOVE any one bowl object; finish with 1 object in the bowl"/>
    <x:s v="didn't move"/>
    <x:x v="1"/>
  </x:r>
  <x:r>
    <x:x v="1"/>
    <x:s v="Counting"/>
    <x:n v="149"/>
    <x:s v="Leave exactly three objects in the bowl."/>
    <x:s v="Bowl objects: [yellow block, airplane toy without propellers] | Table objects: [blue pen, green pencil sharpener]"/>
    <x:s v="ADD any one table object; finish with 3 objects in the bowl"/>
    <x:s v="didn't move"/>
    <x:x v="1"/>
  </x:r>
  <x:r>
    <x:x v="1"/>
    <x:s v="Ordinal Reference Ordering"/>
    <x:n v="0"/>
    <x:s v="Put the second object from the right in the bowl."/>
    <x:s v="L1: blue tape ball, L2: airplane toy with propellers"/>
    <x:s v="blue tape ball"/>
    <x:s v="picked airplane toy"/>
    <x:x v="0"/>
  </x:r>
  <x:r>
    <x:x v="0"/>
    <x:s v="Ordinal Reference Ordering"/>
    <x:n v="1"/>
    <x:s v="Put the second object from the left in the bowl."/>
    <x:s v="L1: blue tape ball, L2: airplane toy with propellers"/>
    <x:s v="airplane toy with propellers"/>
    <x:m/>
    <x:x v="0"/>
  </x:r>
  <x:r>
    <x:x v="1"/>
    <x:s v="Ordinal Reference Ordering"/>
    <x:n v="2"/>
    <x:s v="Move the second item counted from the left into the bowl."/>
    <x:s v="L1: airplane toy with propellers, L2: green highlighter"/>
    <x:s v="green highlighter"/>
    <x:s v="went for green highlighter, so reasoning succeeded, but couldn't grasp it. stuck trying to grab it but couldn't"/>
    <x:x v="0"/>
  </x:r>
  <x:r>
    <x:x v="1"/>
    <x:s v="Ordinal Reference Ordering"/>
    <x:n v="3"/>
    <x:s v="Move the second item counted from the right into the bowl."/>
    <x:s v="L1: yellow pen, L2: airplane toy with propellers"/>
    <x:s v="yellow pen"/>
    <x:s v="picked airplane toy"/>
    <x:x v="0"/>
  </x:r>
  <x:r>
    <x:x v="1"/>
    <x:s v="Ordinal Reference Ordering"/>
    <x:n v="4"/>
    <x:s v="Put the third object from the right in the bowl."/>
    <x:s v="L1: airplane toy with propellers, L2: yellow pen, L3: blue tape ball"/>
    <x:s v="airplane toy with propellers"/>
    <x:s v="picked yellow pen"/>
    <x:x v="0"/>
  </x:r>
  <x:r>
    <x:x v="0"/>
    <x:s v="Ordinal Reference Ordering"/>
    <x:n v="5"/>
    <x:s v="Put the object that is first from the right in the bowl."/>
    <x:s v="L1: airplane toy with propellers, L2: green highlighter, L3: blue tape ball"/>
    <x:s v="blue tape ball"/>
    <x:m/>
    <x:x v="0"/>
  </x:r>
  <x:r>
    <x:x v="0"/>
    <x:s v="Ordinal Reference Ordering"/>
    <x:n v="6"/>
    <x:s v="Put the object that is third from the left in the bowl."/>
    <x:s v="L1: green highlighter, L2: blue tape ball, L3: yellow pen"/>
    <x:s v="yellow pen"/>
    <x:m/>
    <x:x v="0"/>
  </x:r>
  <x:r>
    <x:x v="0"/>
    <x:s v="Ordinal Reference Ordering"/>
    <x:n v="7"/>
    <x:s v="Put the first object from the left in the bowl."/>
    <x:s v="L1: green highlighter, L2: airplane toy with propellers, L3: blue tape ball"/>
    <x:s v="green highlighter"/>
    <x:m/>
    <x:x v="0"/>
  </x:r>
  <x:r>
    <x:x v="1"/>
    <x:s v="Ordinal Reference Ordering"/>
    <x:n v="8"/>
    <x:s v="Put the fourth object from the right in the bowl."/>
    <x:s v="L1: blue tape ball, L2: green highlighter, L3: airplane toy with propellers, L4: yellow pen"/>
    <x:s v="blue tape ball"/>
    <x:s v="picked green highlighter"/>
    <x:x v="0"/>
  </x:r>
  <x:r>
    <x:x v="1"/>
    <x:s v="Ordinal Reference Ordering"/>
    <x:n v="9"/>
    <x:s v="Put the second object from the left in the bowl."/>
    <x:s v="L1: blue tape ball, L2: airplane toy with propellers, L3: yellow pen, L4: green highlighter"/>
    <x:s v="airplane toy with propellers"/>
    <x:s v="picked yellow pen"/>
    <x:x v="0"/>
  </x:r>
  <x:r>
    <x:x v="1"/>
    <x:s v="Ordinal Reference Ordering"/>
    <x:n v="10"/>
    <x:s v="Pick up the object that is second from the left and place it in the bowl."/>
    <x:s v="L1: blue tape ball, L2: yellow pen, L3: green highlighter, L4: airplane toy with propellers"/>
    <x:s v="yellow pen"/>
    <x:s v="picked airplane toy"/>
    <x:x v="0"/>
  </x:r>
  <x:r>
    <x:x v="1"/>
    <x:s v="Ordinal Reference Ordering"/>
    <x:n v="11"/>
    <x:s v="Pick up the object that is fourth from the right and place it in the bowl."/>
    <x:s v="L1: green highlighter, L2: airplane toy with propellers, L3: yellow pen, L4: blue tape ball"/>
    <x:s v="green highlighter"/>
    <x:s v="tried to pick yellow pen, but couldn't, and then ended up picked up the airplane toy"/>
    <x:x v="0"/>
  </x:r>
  <x:r>
    <x:x v="1"/>
    <x:s v="Ordinal Reference Ordering"/>
    <x:n v="12"/>
    <x:s v="Move the first item counted from the left into the bowl."/>
    <x:s v="L1: yellow pen, L2: airplane toy with propellers, L3: blue tape ball, L4: green highlighter"/>
    <x:s v="yellow pen"/>
    <x:s v="picked green highlighter"/>
    <x:x v="0"/>
  </x:r>
  <x:r>
    <x:x v="1"/>
    <x:s v="Ordinal Reference Ordering"/>
    <x:n v="13"/>
    <x:s v="Move the third item counted from the right into the bowl."/>
    <x:s v="L1: blue tape ball, L2: green highlighter, L3: yellow pen, L4: airplane toy with propellers"/>
    <x:s v="green highlighter"/>
    <x:s v="picked the yellow pen"/>
    <x:x v="0"/>
  </x:r>
  <x:r>
    <x:x v="1"/>
    <x:s v="Ordinal Reference Ordering"/>
    <x:n v="14"/>
    <x:s v="Move the fourth from the left object into the bowl."/>
    <x:s v="L1: airplane toy with propellers, L2: blue tape ball, L3: yellow pen, L4: green highlighter"/>
    <x:s v="green highlighter"/>
    <x:s v="picked the yellow pen"/>
    <x:x v="0"/>
  </x:r>
  <x:r>
    <x:x v="0"/>
    <x:s v="Ordinal Reference Ordering"/>
    <x:n v="15"/>
    <x:s v="Move the second from the right object into the bowl."/>
    <x:s v="L1: green highlighter, L2: blue tape ball, L3: airplane toy with propellers, L4: yellow pen"/>
    <x:s v="airplane toy with propellers"/>
    <x:m/>
    <x:x v="0"/>
  </x:r>
  <x:r>
    <x:x v="1"/>
    <x:s v="Ordinal Reference Ordering"/>
    <x:n v="16"/>
    <x:s v="Move the third from the left object into the bowl."/>
    <x:s v="L1: green highlighter, L2: blue tape ball, L3: yellow pen, L4: airplane toy with propellers"/>
    <x:s v="yellow pen"/>
    <x:s v="picked the airplane toy"/>
    <x:x v="0"/>
  </x:r>
  <x:r>
    <x:x v="0"/>
    <x:s v="Ordinal Reference Ordering"/>
    <x:n v="17"/>
    <x:s v="Move the first from the right object into the bowl."/>
    <x:s v="L1: airplane toy with propellers, L2: green highlighter, L3: yellow pen, L4: blue tape ball"/>
    <x:s v="blue tape ball"/>
    <x:m/>
    <x:x v="0"/>
  </x:r>
  <x:r>
    <x:x v="0"/>
    <x:s v="Ordinal Reference Ordering"/>
    <x:n v="18"/>
    <x:s v="Pick up the object that is first from the right and place it in the bowl."/>
    <x:s v="L1: green highlighter, L2: airplane toy with propellers, L3: yellow pen, L4: blue tape ball"/>
    <x:s v="blue tape ball"/>
    <x:m/>
    <x:x v="0"/>
  </x:r>
  <x:r>
    <x:x v="1"/>
    <x:s v="Ordinal Reference Ordering"/>
    <x:n v="19"/>
    <x:s v="Pick up the object that is third from the left and place it in the bowl."/>
    <x:s v="L1: blue tape ball, L2: yellow pen, L3: airplane toy with propellers, L4: green highlighter"/>
    <x:s v="airplane toy with propellers"/>
    <x:s v="picked green highlighter"/>
    <x:x v="0"/>
  </x:r>
  <x:r>
    <x:x v="0"/>
    <x:s v="Ordinal Reference Ordering"/>
    <x:n v="20"/>
    <x:s v="Pick up the object that is first from the left and place it in the bowl."/>
    <x:s v="L1: airplane toy with propellers, L2: blue tape ball"/>
    <x:s v="airplane toy with propellers"/>
    <x:m/>
    <x:x v="1"/>
  </x:r>
  <x:r>
    <x:x v="0"/>
    <x:s v="Ordinal Reference Ordering"/>
    <x:n v="21"/>
    <x:s v="Pick up the airplane toy with propellers and place it in the bowl."/>
    <x:s v="L1: airplane toy with propellers, L2: blue tape ball"/>
    <x:s v="airplane toy with propellers"/>
    <x:m/>
    <x:x v="2"/>
  </x:r>
  <x:r>
    <x:x v="1"/>
    <x:s v="Ordinal Reference Ordering"/>
    <x:n v="22"/>
    <x:s v="Place the item occupying position first when counted from the left into the bowl."/>
    <x:s v="L1: airplane toy with propellers, L2: blue tape ball"/>
    <x:s v="airplane toy with propellers"/>
    <x:s v="picked blue tape ball"/>
    <x:x v="3"/>
  </x:r>
  <x:r>
    <x:x v="0"/>
    <x:s v="Ordinal Reference Ordering"/>
    <x:n v="23"/>
    <x:s v="Take the airplane toy with propellers from the row and set it inside the bowl."/>
    <x:s v="L1: airplane toy with propellers, L2: blue tape ball"/>
    <x:s v="airplane toy with propellers"/>
    <x:m/>
    <x:x v="3"/>
  </x:r>
  <x:r>
    <x:x v="0"/>
    <x:s v="Ordinal Reference Ordering"/>
    <x:n v="24"/>
    <x:s v="Lift the blue tape ball and leave it in the bowl."/>
    <x:s v="L1: airplane toy with propellers, L2: blue tape ball"/>
    <x:s v="blue tape ball"/>
    <x:m/>
    <x:x v="3"/>
  </x:r>
  <x:r>
    <x:x v="0"/>
    <x:s v="Ordinal Reference Ordering"/>
    <x:n v="25"/>
    <x:s v="Starting at the left, count to the second item and put that item in the bowl."/>
    <x:s v="L1: airplane toy with propellers, L2: blue tape ball"/>
    <x:s v="blue tape ball"/>
    <x:m/>
    <x:x v="3"/>
  </x:r>
  <x:r>
    <x:x v="0"/>
    <x:s v="Ordinal Reference Ordering"/>
    <x:n v="26"/>
    <x:s v="Move the blue tape ball into the bowl."/>
    <x:s v="L1: airplane toy with propellers, L2: blue tape ball"/>
    <x:s v="blue tape ball"/>
    <x:m/>
    <x:x v="2"/>
  </x:r>
  <x:r>
    <x:x v="0"/>
    <x:s v="Ordinal Reference Ordering"/>
    <x:n v="27"/>
    <x:s v="Pick up the object that is second from the left and place it in the bowl."/>
    <x:s v="L1: airplane toy with propellers, L2: blue tape ball"/>
    <x:s v="blue tape ball"/>
    <x:m/>
    <x:x v="1"/>
  </x:r>
  <x:r>
    <x:x v="0"/>
    <x:s v="Ordinal Reference Ordering"/>
    <x:n v="28"/>
    <x:s v="Pick up the object that is third from the left and place it in the bowl."/>
    <x:s v="L1: blue tape ball, L2: green highlighter, L3: airplane toy with propellers"/>
    <x:s v="airplane toy with propellers"/>
    <x:m/>
    <x:x v="1"/>
  </x:r>
  <x:r>
    <x:x v="0"/>
    <x:s v="Ordinal Reference Ordering"/>
    <x:n v="29"/>
    <x:s v="Put the airplane toy with propellers in the bowl."/>
    <x:s v="L1: blue tape ball, L2: green highlighter, L3: airplane toy with propellers"/>
    <x:s v="airplane toy with propellers"/>
    <x:m/>
    <x:x v="2"/>
  </x:r>
  <x:r>
    <x:x v="1"/>
    <x:s v="Ordinal Reference Ordering"/>
    <x:n v="30"/>
    <x:s v="Move whichever item comes third when you count from the left into the bowl."/>
    <x:s v="L1: blue tape ball, L2: green highlighter, L3: airplane toy with propellers"/>
    <x:s v="airplane toy with propellers"/>
    <x:s v="picked green highlighter"/>
    <x:x v="3"/>
  </x:r>
  <x:r>
    <x:x v="0"/>
    <x:s v="Ordinal Reference Ordering"/>
    <x:n v="31"/>
    <x:s v="Transfer the airplane toy with propellers from its marked position into the bowl."/>
    <x:s v="L1: blue tape ball, L2: green highlighter, L3: airplane toy with propellers"/>
    <x:s v="airplane toy with propellers"/>
    <x:m/>
    <x:x v="3"/>
  </x:r>
  <x:r>
    <x:x v="0"/>
    <x:s v="Ordinal Reference Ordering"/>
    <x:n v="32"/>
    <x:s v="Lift the blue tape ball and leave it in the bowl."/>
    <x:s v="L1: blue tape ball, L2: green highlighter, L3: airplane toy with propellers"/>
    <x:s v="blue tape ball"/>
    <x:m/>
    <x:x v="3"/>
  </x:r>
  <x:r>
    <x:x v="1"/>
    <x:s v="Ordinal Reference Ordering"/>
    <x:n v="33"/>
    <x:s v="Starting at the left, count to the first item and put that item in the bowl."/>
    <x:s v="L1: blue tape ball, L2: green highlighter, L3: airplane toy with propellers"/>
    <x:s v="blue tape ball"/>
    <x:s v="picked green highlighter"/>
    <x:x v="3"/>
  </x:r>
  <x:r>
    <x:x v="0"/>
    <x:s v="Ordinal Reference Ordering"/>
    <x:n v="34"/>
    <x:s v="Put the blue tape ball in the bowl."/>
    <x:s v="L1: blue tape ball, L2: green highlighter, L3: airplane toy with propellers"/>
    <x:s v="blue tape ball"/>
    <x:m/>
    <x:x v="2"/>
  </x:r>
  <x:r>
    <x:x v="1"/>
    <x:s v="Ordinal Reference Ordering"/>
    <x:n v="35"/>
    <x:s v="Pick up the object that is first from the left and place it in the bowl."/>
    <x:s v="L1: blue tape ball, L2: green highlighter, L3: airplane toy with propellers"/>
    <x:s v="blue tape ball"/>
    <x:s v="originally went for green highlighter, missed, and then during recovery, got the airplane toy"/>
    <x:x v="1"/>
  </x:r>
  <x:r>
    <x:x v="1"/>
    <x:s v="Ordinal Reference Ordering"/>
    <x:n v="36"/>
    <x:s v="Pick up the object that is second from the right and place it in the bowl."/>
    <x:s v="L1: green highlighter, L2: yellow pen"/>
    <x:s v="green highlighter"/>
    <x:s v="picked yellow pen"/>
    <x:x v="1"/>
  </x:r>
  <x:r>
    <x:x v="0"/>
    <x:s v="Ordinal Reference Ordering"/>
    <x:n v="37"/>
    <x:s v="Pick up the green highlighter and place it in the bowl."/>
    <x:s v="L1: green highlighter, L2: yellow pen"/>
    <x:s v="green highlighter"/>
    <x:m/>
    <x:x v="2"/>
  </x:r>
  <x:r>
    <x:x v="1"/>
    <x:s v="Ordinal Reference Ordering"/>
    <x:n v="38"/>
    <x:s v="Move whichever item comes second when you count from the right into the bowl."/>
    <x:s v="L1: green highlighter, L2: yellow pen"/>
    <x:s v="green highlighter"/>
    <x:s v="picked yellow pen"/>
    <x:x v="3"/>
  </x:r>
  <x:r>
    <x:x v="0"/>
    <x:s v="Ordinal Reference Ordering"/>
    <x:n v="39"/>
    <x:s v="Transfer the green highlighter from its marked position into the bowl."/>
    <x:s v="L1: green highlighter, L2: yellow pen"/>
    <x:s v="green highlighter"/>
    <x:m/>
    <x:x v="3"/>
  </x:r>
  <x:r>
    <x:x v="0"/>
    <x:s v="Ordinal Reference Ordering"/>
    <x:n v="40"/>
    <x:s v="Grasp the yellow pen, then release it inside the bowl."/>
    <x:s v="L1: green highlighter, L2: yellow pen"/>
    <x:s v="yellow pen"/>
    <x:m/>
    <x:x v="3"/>
  </x:r>
  <x:r>
    <x:x v="0"/>
    <x:s v="Ordinal Reference Ordering"/>
    <x:n v="41"/>
    <x:s v="Count from the left; place item number 2 in the bowl."/>
    <x:s v="L1: green highlighter, L2: yellow pen"/>
    <x:s v="yellow pen"/>
    <x:m/>
    <x:x v="3"/>
  </x:r>
  <x:r>
    <x:x v="0"/>
    <x:s v="Ordinal Reference Ordering"/>
    <x:n v="42"/>
    <x:s v="Move the yellow pen into the bowl."/>
    <x:s v="L1: green highlighter, L2: yellow pen"/>
    <x:s v="yellow pen"/>
    <x:m/>
    <x:x v="2"/>
  </x:r>
  <x:r>
    <x:x v="0"/>
    <x:s v="Ordinal Reference Ordering"/>
    <x:n v="43"/>
    <x:s v="Pick up the object that is second from the left and place it in the bowl."/>
    <x:s v="L1: green highlighter, L2: yellow pen"/>
    <x:s v="yellow pen"/>
    <x:m/>
    <x:x v="1"/>
  </x:r>
  <x:r>
    <x:x v="0"/>
    <x:s v="Ordinal Reference Ordering"/>
    <x:n v="44"/>
    <x:s v="Pick up the object that is third from the left and place it in the bowl."/>
    <x:s v="L1: yellow pen, L2: airplane toy with propellers, L3: green highlighter"/>
    <x:s v="green highlighter"/>
    <x:s v="failed reasoning; picked the airplane toy at first, dropped it, and then during recovery got the green highlighter"/>
    <x:x v="1"/>
  </x:r>
  <x:r>
    <x:x v="0"/>
    <x:s v="Ordinal Reference Ordering"/>
    <x:n v="45"/>
    <x:s v="Put the green highlighter in the bowl."/>
    <x:s v="L1: yellow pen, L2: airplane toy with propellers, L3: green highlighter"/>
    <x:s v="green highlighter"/>
    <x:m/>
    <x:x v="2"/>
  </x:r>
  <x:r>
    <x:x v="1"/>
    <x:s v="Ordinal Reference Ordering"/>
    <x:n v="46"/>
    <x:s v="Put the item in the third position from the left into the bowl."/>
    <x:s v="L1: yellow pen, L2: airplane toy with propellers, L3: green highlighter"/>
    <x:s v="green highlighter"/>
    <x:s v="picked airplane toy"/>
    <x:x v="3"/>
  </x:r>
  <x:r>
    <x:x v="0"/>
    <x:s v="Ordinal Reference Ordering"/>
    <x:n v="47"/>
    <x:s v="Move the row's green highlighter into the bowl."/>
    <x:s v="L1: yellow pen, L2: airplane toy with propellers, L3: green highlighter"/>
    <x:s v="green highlighter"/>
    <x:m/>
    <x:x v="3"/>
  </x:r>
  <x:r>
    <x:x v="0"/>
    <x:s v="Ordinal Reference Ordering"/>
    <x:n v="48"/>
    <x:s v="Grasp the yellow pen, then release it inside the bowl."/>
    <x:s v="L1: yellow pen, L2: airplane toy with propellers, L3: green highlighter"/>
    <x:s v="yellow pen"/>
    <x:m/>
    <x:x v="3"/>
  </x:r>
  <x:r>
    <x:x v="1"/>
    <x:s v="Ordinal Reference Ordering"/>
    <x:n v="49"/>
    <x:s v="Count from the left; place item number 1 in the bowl."/>
    <x:s v="L1: yellow pen, L2: airplane toy with propellers, L3: green highlighter"/>
    <x:s v="yellow pen"/>
    <x:s v="picked airplane toy"/>
    <x:x v="3"/>
  </x:r>
  <x:r>
    <x:x v="0"/>
    <x:s v="Ordinal Reference Ordering"/>
    <x:n v="50"/>
    <x:s v="Put the yellow pen in the bowl."/>
    <x:s v="L1: yellow pen, L2: airplane toy with propellers, L3: green highlighter"/>
    <x:s v="yellow pen"/>
    <x:m/>
    <x:x v="2"/>
  </x:r>
  <x:r>
    <x:x v="1"/>
    <x:s v="Ordinal Reference Ordering"/>
    <x:n v="51"/>
    <x:s v="Pick up the object that is first from the left and place it in the bowl."/>
    <x:s v="L1: yellow pen, L2: airplane toy with propellers, L3: green highlighter"/>
    <x:s v="yellow pen"/>
    <x:s v="picked airplane toy"/>
    <x:x v="1"/>
  </x:r>
  <x:r>
    <x:x v="0"/>
    <x:s v="Ordinal Reference Ordering"/>
    <x:n v="52"/>
    <x:s v="Pick up the object that is fourth from the right and place it in the bowl."/>
    <x:s v="L1: airplane toy with propellers, L2: blue tape ball, L3: yellow pen, L4: green highlighter"/>
    <x:s v="airplane toy with propellers"/>
    <x:m/>
    <x:x v="1"/>
  </x:r>
  <x:r>
    <x:x v="0"/>
    <x:s v="Ordinal Reference Ordering"/>
    <x:n v="53"/>
    <x:s v="Move the airplane toy with propellers into the bowl."/>
    <x:s v="L1: airplane toy with propellers, L2: blue tape ball, L3: yellow pen, L4: green highlighter"/>
    <x:s v="airplane toy with propellers"/>
    <x:m/>
    <x:x v="2"/>
  </x:r>
  <x:r>
    <x:x v="0"/>
    <x:s v="Ordinal Reference Ordering"/>
    <x:n v="54"/>
    <x:s v="Put the item in the fourth position from the right into the bowl."/>
    <x:s v="L1: airplane toy with propellers, L2: blue tape ball, L3: yellow pen, L4: green highlighter"/>
    <x:s v="airplane toy with propellers"/>
    <x:m/>
    <x:x v="3"/>
  </x:r>
  <x:r>
    <x:x v="0"/>
    <x:s v="Ordinal Reference Ordering"/>
    <x:n v="55"/>
    <x:s v="Move the row's airplane toy with propellers into the bowl."/>
    <x:s v="L1: airplane toy with propellers, L2: blue tape ball, L3: yellow pen, L4: green highlighter"/>
    <x:s v="airplane toy with propellers"/>
    <x:m/>
    <x:x v="3"/>
  </x:r>
  <x:r>
    <x:x v="0"/>
    <x:s v="Ordinal Reference Ordering"/>
    <x:n v="56"/>
    <x:s v="Take the blue tape ball from the row and set it inside the bowl."/>
    <x:s v="L1: airplane toy with propellers, L2: blue tape ball, L3: yellow pen, L4: green highlighter"/>
    <x:s v="blue tape ball"/>
    <x:m/>
    <x:x v="3"/>
  </x:r>
  <x:r>
    <x:x v="1"/>
    <x:s v="Ordinal Reference Ordering"/>
    <x:n v="57"/>
    <x:s v="Place the item occupying position second when counted from the left into the bowl."/>
    <x:s v="L1: airplane toy with propellers, L2: blue tape ball, L3: yellow pen, L4: green highlighter"/>
    <x:s v="blue tape ball"/>
    <x:s v="picked yellow pen"/>
    <x:x v="3"/>
  </x:r>
  <x:r>
    <x:x v="0"/>
    <x:s v="Ordinal Reference Ordering"/>
    <x:n v="58"/>
    <x:s v="Put the blue tape ball in the bowl."/>
    <x:s v="L1: airplane toy with propellers, L2: blue tape ball, L3: yellow pen, L4: green highlighter"/>
    <x:s v="blue tape ball"/>
    <x:m/>
    <x:x v="2"/>
  </x:r>
  <x:r>
    <x:x v="1"/>
    <x:s v="Ordinal Reference Ordering"/>
    <x:n v="59"/>
    <x:s v="Pick up the object that is second from the left and place it in the bowl."/>
    <x:s v="L1: airplane toy with propellers, L2: blue tape ball, L3: yellow pen, L4: green highlighter"/>
    <x:s v="blue tape ball"/>
    <x:s v="picked airplane toy"/>
    <x:x v="1"/>
  </x:r>
  <x:r>
    <x:x v="0"/>
    <x:s v="Ordinal Reference Ordering"/>
    <x:n v="60"/>
    <x:s v="Pick up the object that is second from the left and place it in the bowl."/>
    <x:s v="L1: green highlighter, L2: blue tape ball"/>
    <x:s v="blue tape ball"/>
    <x:m/>
    <x:x v="1"/>
  </x:r>
  <x:r>
    <x:x v="0"/>
    <x:s v="Ordinal Reference Ordering"/>
    <x:n v="61"/>
    <x:s v="Pick up the blue tape ball and place it in the bowl."/>
    <x:s v="L1: green highlighter, L2: blue tape ball"/>
    <x:s v="blue tape ball"/>
    <x:m/>
    <x:x v="2"/>
  </x:r>
  <x:r>
    <x:x v="0"/>
    <x:s v="Ordinal Reference Ordering"/>
    <x:n v="62"/>
    <x:s v="Move the green highlighter into the bowl."/>
    <x:s v="L1: green highlighter, L2: blue tape ball"/>
    <x:s v="green highlighter"/>
    <x:m/>
    <x:x v="2"/>
  </x:r>
  <x:r>
    <x:x v="1"/>
    <x:s v="Ordinal Reference Ordering"/>
    <x:n v="63"/>
    <x:s v="Pick up the object that is second from the right and place it in the bowl."/>
    <x:s v="L1: green highlighter, L2: blue tape ball"/>
    <x:s v="green highlighter"/>
    <x:s v="picked tape ball"/>
    <x:x v="1"/>
  </x:r>
  <x:r>
    <x:x v="1"/>
    <x:s v="Ordinal Reference Ordering"/>
    <x:n v="64"/>
    <x:s v="Pick up the object that is first from the left and place it in the bowl."/>
    <x:s v="L1: yellow pen, L2: blue tape ball, L3: airplane toy with propellers"/>
    <x:s v="yellow pen"/>
    <x:s v="picked airplane toy"/>
    <x:x v="1"/>
  </x:r>
  <x:r>
    <x:x v="0"/>
    <x:s v="Ordinal Reference Ordering"/>
    <x:n v="65"/>
    <x:s v="Move the yellow pen into the bowl."/>
    <x:s v="L1: yellow pen, L2: blue tape ball, L3: airplane toy with propellers"/>
    <x:s v="yellow pen"/>
    <x:m/>
    <x:x v="2"/>
  </x:r>
  <x:r>
    <x:x v="0"/>
    <x:s v="Ordinal Reference Ordering"/>
    <x:n v="66"/>
    <x:s v="Move the airplane toy with propellers into the bowl."/>
    <x:s v="L1: yellow pen, L2: blue tape ball, L3: airplane toy with propellers"/>
    <x:s v="airplane toy with propellers"/>
    <x:m/>
    <x:x v="2"/>
  </x:r>
  <x:r>
    <x:x v="0"/>
    <x:s v="Ordinal Reference Ordering"/>
    <x:n v="67"/>
    <x:s v="Pick up the object that is third from the left and place it in the bowl."/>
    <x:s v="L1: yellow pen, L2: blue tape ball, L3: airplane toy with propellers"/>
    <x:s v="airplane toy with propellers"/>
    <x:m/>
    <x:x v="1"/>
  </x:r>
  <x:r>
    <x:x v="1"/>
    <x:s v="Ordinal Reference Ordering"/>
    <x:n v="68"/>
    <x:s v="Pick up the object that is fourth from the left and place it in the bowl."/>
    <x:s v="L1: blue tape ball, L2: airplane toy with propellers, L3: green highlighter, L4: yellow pen"/>
    <x:s v="yellow pen"/>
    <x:s v="picked airplane toy"/>
    <x:x v="1"/>
  </x:r>
  <x:r>
    <x:x v="0"/>
    <x:s v="Ordinal Reference Ordering"/>
    <x:n v="69"/>
    <x:s v="Pick up the yellow pen and place it in the bowl."/>
    <x:s v="L1: blue tape ball, L2: airplane toy with propellers, L3: green highlighter, L4: yellow pen"/>
    <x:s v="yellow pen"/>
    <x:m/>
    <x:x v="2"/>
  </x:r>
  <x:r>
    <x:x v="0"/>
    <x:s v="Ordinal Reference Ordering"/>
    <x:n v="70"/>
    <x:s v="Put the green highlighter in the bowl."/>
    <x:s v="L1: blue tape ball, L2: airplane toy with propellers, L3: green highlighter, L4: yellow pen"/>
    <x:s v="green highlighter"/>
    <x:m/>
    <x:x v="2"/>
  </x:r>
  <x:r>
    <x:x v="0"/>
    <x:s v="Ordinal Reference Ordering"/>
    <x:n v="71"/>
    <x:s v="Pick up the object that is third from the left and place it in the bowl."/>
    <x:s v="L1: blue tape ball, L2: airplane toy with propellers, L3: green highlighter, L4: yellow pen"/>
    <x:s v="green highlighter"/>
    <x:m/>
    <x:x v="1"/>
  </x:r>
  <x:r>
    <x:x v="0"/>
    <x:s v="Ordinal Reference Ordering"/>
    <x:n v="72"/>
    <x:s v="Pick up the object that is second from the right and place it in the bowl."/>
    <x:s v="L1: airplane toy with propellers, L2: yellow pen"/>
    <x:s v="airplane toy with propellers"/>
    <x:m/>
    <x:x v="1"/>
  </x:r>
  <x:r>
    <x:x v="0"/>
    <x:s v="Ordinal Reference Ordering"/>
    <x:n v="73"/>
    <x:s v="Pick up the airplane toy with propellers and place it in the bowl."/>
    <x:s v="L1: airplane toy with propellers, L2: yellow pen"/>
    <x:s v="airplane toy with propellers"/>
    <x:m/>
    <x:x v="2"/>
  </x:r>
  <x:r>
    <x:x v="0"/>
    <x:s v="Ordinal Reference Ordering"/>
    <x:n v="74"/>
    <x:s v="Move the yellow pen into the bowl."/>
    <x:s v="L1: airplane toy with propellers, L2: yellow pen"/>
    <x:s v="yellow pen"/>
    <x:m/>
    <x:x v="2"/>
  </x:r>
  <x:r>
    <x:x v="1"/>
    <x:s v="Ordinal Reference Ordering"/>
    <x:n v="75"/>
    <x:s v="Pick up the object that is second from the left and place it in the bowl."/>
    <x:s v="L1: airplane toy with propellers, L2: yellow pen"/>
    <x:s v="yellow pen"/>
    <x:s v="picked airplane toy"/>
    <x:x v="1"/>
  </x:r>
  <x:r>
    <x:x v="0"/>
    <x:s v="Ordinal Reference Ordering"/>
    <x:n v="76"/>
    <x:s v="Pick up the object that is first from the right and place it in the bowl."/>
    <x:s v="L1: blue tape ball, L2: yellow pen, L3: green highlighter"/>
    <x:s v="green highlighter"/>
    <x:m/>
    <x:x v="1"/>
  </x:r>
  <x:r>
    <x:x v="0"/>
    <x:s v="Ordinal Reference Ordering"/>
    <x:n v="77"/>
    <x:s v="Put the green highlighter in the bowl."/>
    <x:s v="L1: blue tape ball, L2: yellow pen, L3: green highlighter"/>
    <x:s v="green highlighter"/>
    <x:m/>
    <x:x v="2"/>
  </x:r>
  <x:r>
    <x:x v="0"/>
    <x:s v="Ordinal Reference Ordering"/>
    <x:n v="78"/>
    <x:s v="Put the blue tape ball in the bowl."/>
    <x:s v="L1: blue tape ball, L2: yellow pen, L3: green highlighter"/>
    <x:s v="blue tape ball"/>
    <x:m/>
    <x:x v="2"/>
  </x:r>
  <x:r>
    <x:x v="1"/>
    <x:s v="Ordinal Reference Ordering"/>
    <x:n v="79"/>
    <x:s v="Pick up the object that is first from the left and place it in the bowl."/>
    <x:s v="L1: blue tape ball, L2: yellow pen, L3: green highlighter"/>
    <x:s v="blue tape ball"/>
    <x:s v="picked green highlighter"/>
    <x:x v="1"/>
  </x:r>
  <x:r>
    <x:x v="1"/>
    <x:s v="Ordinal Reference Ordering"/>
    <x:n v="80"/>
    <x:s v="Pick up the object that is second from the right and place it in the bowl."/>
    <x:s v="L1: airplane toy with propellers, L2: blue tape ball"/>
    <x:s v="airplane toy with propellers"/>
    <x:s v="picked blue tape ball"/>
    <x:x v="1"/>
  </x:r>
  <x:r>
    <x:x v="0"/>
    <x:s v="Ordinal Reference Ordering"/>
    <x:n v="81"/>
    <x:s v="Pick up the object that is second from the left and place it in the bowl."/>
    <x:s v="L1: airplane toy with propellers, L2: blue tape ball"/>
    <x:s v="blue tape ball"/>
    <x:s v="picked blue tape ball"/>
    <x:x v="1"/>
  </x:r>
  <x:r>
    <x:x v="1"/>
    <x:s v="Ordinal Reference Ordering"/>
    <x:n v="82"/>
    <x:s v="Pick up the object that is first from the right and place it in the bowl."/>
    <x:s v="L1: blue tape ball, L2: yellow pen, L3: airplane toy with propellers"/>
    <x:s v="airplane toy with propellers"/>
    <x:s v="succeeded reasoning; tried to get the airplane toy, dropped it, and couldn't recover"/>
    <x:x v="1"/>
  </x:r>
  <x:r>
    <x:x v="1"/>
    <x:s v="Ordinal Reference Ordering"/>
    <x:n v="83"/>
    <x:s v="Pick up the object that is first from the left and place it in the bowl."/>
    <x:s v="L1: blue tape ball, L2: yellow pen, L3: airplane toy with propellers"/>
    <x:s v="blue tape ball"/>
    <x:s v="went for the airplane toy again;  basically did the same thing as the previous episode"/>
    <x:x v="1"/>
  </x:r>
  <x:r>
    <x:x v="1"/>
    <x:s v="Ordinal Reference Ordering"/>
    <x:n v="84"/>
    <x:s v="Pick up the object that is fourth from the right and place it in the bowl."/>
    <x:s v="L1: airplane toy with propellers, L2: yellow pen, L3: green highlighter, L4: blue tape ball"/>
    <x:s v="airplane toy with propellers"/>
    <x:s v="picked yellow pen"/>
    <x:x v="1"/>
  </x:r>
  <x:r>
    <x:x v="1"/>
    <x:s v="Ordinal Reference Ordering"/>
    <x:n v="85"/>
    <x:s v="Pick up the object that is third from the left and place it in the bowl."/>
    <x:s v="L1: airplane toy with propellers, L2: yellow pen, L3: green highlighter, L4: blue tape ball"/>
    <x:s v="green highlighter"/>
    <x:s v="picked yellow pen"/>
    <x:x v="1"/>
  </x:r>
  <x:r>
    <x:x v="1"/>
    <x:s v="Ordinal Reference Ordering"/>
    <x:n v="86"/>
    <x:s v="Pick up the object that is second from the left and place it in the bowl."/>
    <x:s v="L1: airplane toy with propellers, L2: yellow pen"/>
    <x:s v="yellow pen"/>
    <x:s v="picked airplane toy"/>
    <x:x v="1"/>
  </x:r>
  <x:r>
    <x:x v="0"/>
    <x:s v="Ordinal Reference Ordering"/>
    <x:n v="87"/>
    <x:s v="Pick up the object that is second from the right and place it in the bowl."/>
    <x:s v="L1: airplane toy with propellers, L2: yellow pen"/>
    <x:s v="airplane toy with propellers"/>
    <x:m/>
    <x:x v="1"/>
  </x:r>
  <x:r>
    <x:x v="1"/>
    <x:s v="Ordinal Reference Ordering"/>
    <x:n v="88"/>
    <x:s v="Pick up the object that is first from the left and place it in the bowl."/>
    <x:s v="L1: blue tape ball, L2: airplane toy with propellers, L3: green highlighter"/>
    <x:s v="blue tape ball"/>
    <x:s v="picked green highlighter"/>
    <x:x v="1"/>
  </x:r>
  <x:r>
    <x:x v="0"/>
    <x:s v="Ordinal Reference Ordering"/>
    <x:n v="89"/>
    <x:s v="Pick up the object that is first from the right and place it in the bowl."/>
    <x:s v="L1: blue tape ball, L2: airplane toy with propellers, L3: green highlighter"/>
    <x:s v="green highlighter"/>
    <x:m/>
    <x:x v="1"/>
  </x:r>
  <x:r>
    <x:x v="0"/>
    <x:s v="Ordinal Reference Ordering"/>
    <x:n v="90"/>
    <x:s v="Pick up the object that is fourth from the left and place it in the bowl."/>
    <x:s v="L1: green highlighter, L2: blue tape ball, L3: airplane toy with propellers, L4: yellow pen"/>
    <x:s v="yellow pen"/>
    <x:m/>
    <x:x v="1"/>
  </x:r>
  <x:r>
    <x:x v="0"/>
    <x:s v="Ordinal Reference Ordering"/>
    <x:n v="91"/>
    <x:s v="Pick up the object that is third from the right and place it in the bowl."/>
    <x:s v="L1: green highlighter, L2: blue tape ball, L3: airplane toy with propellers, L4: yellow pen"/>
    <x:s v="blue tape ball"/>
    <x:m/>
    <x:x v="1"/>
  </x:r>
  <x:r>
    <x:x v="1"/>
    <x:s v="Ordinal Reference Ordering"/>
    <x:n v="92"/>
    <x:s v="Pick up the object that is second from the right and place it in the bowl."/>
    <x:s v="L1: green highlighter, L2: blue tape ball"/>
    <x:s v="green highlighter"/>
    <x:s v="picked blue tape ball"/>
    <x:x v="1"/>
  </x:r>
  <x:r>
    <x:x v="0"/>
    <x:s v="Ordinal Reference Ordering"/>
    <x:n v="93"/>
    <x:s v="Pick up the object that is first from the right and place it in the bowl."/>
    <x:s v="L1: green highlighter, L2: blue tape ball"/>
    <x:s v="blue tape ball"/>
    <x:m/>
    <x:x v="1"/>
  </x:r>
  <x:r>
    <x:x v="0"/>
    <x:s v="Ordinal Reference Ordering"/>
    <x:n v="94"/>
    <x:s v="Pick up the object that is first from the right and place it in the bowl."/>
    <x:s v="L1: yellow pen, L2: green highlighter, L3: airplane toy with propellers"/>
    <x:s v="airplane toy with propellers"/>
    <x:m/>
    <x:x v="1"/>
  </x:r>
  <x:r>
    <x:x v="1"/>
    <x:s v="Ordinal Reference Ordering"/>
    <x:n v="95"/>
    <x:s v="Pick up the object that is third from the right and place it in the bowl."/>
    <x:s v="L1: yellow pen, L2: green highlighter, L3: airplane toy with propellers"/>
    <x:s v="yellow pen"/>
    <x:s v="picked airplane toy"/>
    <x:x v="1"/>
  </x:r>
  <x:r>
    <x:x v="0"/>
    <x:s v="Ordinal Reference Ordering"/>
    <x:n v="96"/>
    <x:s v="Pick up the object that is fourth from the right and place it in the bowl."/>
    <x:s v="L1: airplane toy with propellers, L2: green highlighter, L3: blue tape ball, L4: yellow pen"/>
    <x:s v="airplane toy with propellers"/>
    <x:m/>
    <x:x v="1"/>
  </x:r>
  <x:r>
    <x:x v="1"/>
    <x:s v="Ordinal Reference Ordering"/>
    <x:n v="97"/>
    <x:s v="Pick up the object that is fourth from the left and place it in the bowl."/>
    <x:s v="L1: airplane toy with propellers, L2: green highlighter, L3: blue tape ball, L4: yellow pen"/>
    <x:s v="yellow pen"/>
    <x:s v="picked green highlighter"/>
    <x:x v="1"/>
  </x:r>
  <x:r>
    <x:x v="0"/>
    <x:s v="Ordinal Reference Ordering"/>
    <x:n v="98"/>
    <x:s v="Pick up the object that is first from the right and place it in the bowl."/>
    <x:s v="L1: green highlighter, L2: yellow pen"/>
    <x:s v="yellow pen"/>
    <x:m/>
    <x:x v="1"/>
  </x:r>
  <x:r>
    <x:x v="1"/>
    <x:s v="Ordinal Reference Ordering"/>
    <x:n v="99"/>
    <x:s v="Pick up the object that is second from the right and place it in the bowl."/>
    <x:s v="L1: green highlighter, L2: yellow pen"/>
    <x:s v="green highlighter"/>
    <x:m/>
    <x:x v="1"/>
  </x:r>
  <x:r>
    <x:x v="0"/>
    <x:s v="Ordinal Reference Ordering"/>
    <x:n v="100"/>
    <x:s v="Pick up the object that is third from the right and place it in the bowl."/>
    <x:s v="L1: yellow pen, L2: blue tape ball, L3: green highlighter"/>
    <x:s v="yellow pen"/>
    <x:m/>
    <x:x v="1"/>
  </x:r>
  <x:r>
    <x:x v="1"/>
    <x:s v="Ordinal Reference Ordering"/>
    <x:n v="101"/>
    <x:s v="Pick up the object that is first from the right and place it in the bowl."/>
    <x:s v="L1: yellow pen, L2: blue tape ball, L3: green highlighter"/>
    <x:s v="green highlighter"/>
    <x:s v="picked yellow pen"/>
    <x:x v="1"/>
  </x:r>
  <x:r>
    <x:x v="1"/>
    <x:s v="Ordinal Reference Ordering"/>
    <x:n v="102"/>
    <x:s v="Pick up the object that is third from the left and place it in the bowl."/>
    <x:s v="L1: yellow pen, L2: blue tape ball, L3: green highlighter, L4: airplane toy with propellers"/>
    <x:s v="green highlighter"/>
    <x:s v="picked airplane toy"/>
    <x:x v="1"/>
  </x:r>
  <x:r>
    <x:x v="1"/>
    <x:s v="Ordinal Reference Ordering"/>
    <x:n v="103"/>
    <x:s v="Pick up the object that is third from the right and place it in the bowl."/>
    <x:s v="L1: yellow pen, L2: blue tape ball, L3: green highlighter, L4: airplane toy with propellers"/>
    <x:s v="blue tape ball"/>
    <x:s v="picked airplane toy"/>
    <x:x v="1"/>
  </x:r>
  <x:r>
    <x:x v="0"/>
    <x:s v="Ordinal Reference Ordering"/>
    <x:n v="104"/>
    <x:s v="Pick up the object that is fourth from the right and place it in the bowl."/>
    <x:s v="L1: airplane toy with propellers, L2: blue tape ball, L3: green highlighter, L4: yellow pen"/>
    <x:s v="airplane toy with propellers"/>
    <x:m/>
    <x:x v="1"/>
  </x:r>
  <x:r>
    <x:x v="1"/>
    <x:s v="Ordinal Reference Ordering"/>
    <x:n v="105"/>
    <x:s v="Pick up the object that is third from the right and place it in the bowl."/>
    <x:s v="L1: airplane toy with propellers, L2: blue tape ball, L3: green highlighter, L4: yellow pen"/>
    <x:s v="blue tape ball"/>
    <x:s v="picked airplane toy"/>
    <x:x v="1"/>
  </x:r>
  <x:r>
    <x:x v="0"/>
    <x:s v="Ordinal Reference Ordering"/>
    <x:n v="106"/>
    <x:s v="Pick up the object that is third from the left and place it in the bowl."/>
    <x:s v="L1: airplane toy with propellers, L2: blue tape ball, L3: green highlighter, L4: yellow pen"/>
    <x:s v="green highlighter"/>
    <x:m/>
    <x:x v="1"/>
  </x:r>
  <x:r>
    <x:x v="1"/>
    <x:s v="Ordinal Reference Ordering"/>
    <x:n v="107"/>
    <x:s v="Pick up the object that is fourth from the right and place it in the bowl."/>
    <x:s v="L1: airplane toy with propellers, L2: blue tape ball, L3: green highlighter, L4: yellow pen"/>
    <x:s v="airplane toy with propellers"/>
    <x:s v="picked green highlighter"/>
    <x:x v="1"/>
  </x:r>
  <x:r>
    <x:x v="1"/>
    <x:s v="Ordinal Reference Ordering"/>
    <x:n v="108"/>
    <x:s v="Pick up the object that is third from the right and place it in the bowl."/>
    <x:s v="L1: airplane toy with propellers, L2: blue tape ball, L3: green highlighter, L4: yellow pen"/>
    <x:s v="blue tape ball"/>
    <x:s v="picked airplane toy"/>
    <x:x v="1"/>
  </x:r>
  <x:r>
    <x:x v="1"/>
    <x:s v="Ordinal Reference Ordering"/>
    <x:n v="109"/>
    <x:s v="Pick up the object that is fourth from the left and place it in the bowl."/>
    <x:s v="L1: airplane toy with propellers, L2: blue tape ball, L3: green highlighter, L4: yellow pen"/>
    <x:s v="yellow pen"/>
    <x:s v="picked airplane toy"/>
    <x:x v="1"/>
  </x:r>
  <x:r>
    <x:x v="1"/>
    <x:s v="Ordinal Reference Ordering"/>
    <x:n v="110"/>
    <x:s v="Pick up the object that is first from the left and place it in the bowl."/>
    <x:s v="L1: red block, L2: airplane toy with propellers"/>
    <x:s v="red block"/>
    <x:s v="picked airplane toy"/>
    <x:x v="8"/>
  </x:r>
  <x:r>
    <x:x v="0"/>
    <x:s v="Ordinal Reference Ordering"/>
    <x:n v="111"/>
    <x:s v="Pick up the object that is second from the left and place it in the bowl."/>
    <x:s v="L1: red block, L2: airplane toy with propellers"/>
    <x:s v="airplane toy with propellers"/>
    <x:m/>
    <x:x v="9"/>
  </x:r>
  <x:r>
    <x:x v="1"/>
    <x:s v="Ordinal Reference Ordering"/>
    <x:n v="112"/>
    <x:s v="Pick up the object that is second from the right and place it in the bowl."/>
    <x:s v="L1: blue tape ball, L2: red block"/>
    <x:s v="blue tape ball"/>
    <x:s v="picked red block"/>
    <x:x v="9"/>
  </x:r>
  <x:r>
    <x:x v="0"/>
    <x:s v="Ordinal Reference Ordering"/>
    <x:n v="113"/>
    <x:s v="Pick up the object that is first from the right and place it in the bowl."/>
    <x:s v="L1: blue tape ball, L2: red block"/>
    <x:s v="red block"/>
    <x:m/>
    <x:x v="8"/>
  </x:r>
  <x:r>
    <x:x v="1"/>
    <x:s v="Ordinal Reference Ordering"/>
    <x:n v="114"/>
    <x:s v="Pick up the object that is third from the right and place it in the bowl."/>
    <x:s v="L1: red block, L2: green highlighter, L3: blue tape ball"/>
    <x:s v="red block"/>
    <x:s v="picked green highlighter"/>
    <x:x v="8"/>
  </x:r>
  <x:r>
    <x:x v="0"/>
    <x:s v="Ordinal Reference Ordering"/>
    <x:n v="115"/>
    <x:s v="Pick up the object that is first from the right and place it in the bowl."/>
    <x:s v="L1: red block, L2: green highlighter, L3: blue tape ball"/>
    <x:s v="blue tape ball"/>
    <x:m/>
    <x:x v="9"/>
  </x:r>
  <x:r>
    <x:x v="1"/>
    <x:s v="Ordinal Reference Ordering"/>
    <x:n v="116"/>
    <x:s v="Pick up the object that is third from the right and place it in the bowl."/>
    <x:s v="L1: airplane toy with propellers, L2: yellow pen, L3: red block"/>
    <x:s v="airplane toy with propellers"/>
    <x:s v="picked red block"/>
    <x:x v="9"/>
  </x:r>
  <x:r>
    <x:x v="0"/>
    <x:s v="Ordinal Reference Ordering"/>
    <x:n v="117"/>
    <x:s v="Pick up the object that is third from the left and place it in the bowl."/>
    <x:s v="L1: airplane toy with propellers, L2: yellow pen, L3: red block"/>
    <x:s v="red block"/>
    <x:m/>
    <x:x v="8"/>
  </x:r>
  <x:r>
    <x:x v="1"/>
    <x:s v="Ordinal Reference Ordering"/>
    <x:n v="118"/>
    <x:s v="Pick up the object that is first from the left and place it in the bowl."/>
    <x:s v="L1: red block, L2: green highlighter, L3: yellow pen, L4: blue tape ball"/>
    <x:s v="red block"/>
    <x:s v="picked blue tape ball"/>
    <x:x v="8"/>
  </x:r>
  <x:r>
    <x:x v="1"/>
    <x:s v="Ordinal Reference Ordering"/>
    <x:n v="119"/>
    <x:s v="Pick up the object that is third from the right and place it in the bowl."/>
    <x:s v="L1: red block, L2: green highlighter, L3: yellow pen, L4: blue tape ball"/>
    <x:s v="green highlighter"/>
    <x:s v="picked blue tape ball"/>
    <x:x v="9"/>
  </x:r>
  <x:r>
    <x:x v="0"/>
    <x:s v="Ordinal Reference Ordering"/>
    <x:n v="120"/>
    <x:s v="Pick up the object that is third from the left and place it in the bowl."/>
    <x:s v="L1: yellow pen, L2: red block, L3: airplane toy with propellers, L4: blue tape ball"/>
    <x:s v="airplane toy with propellers"/>
    <x:m/>
    <x:x v="9"/>
  </x:r>
  <x:r>
    <x:x v="1"/>
    <x:s v="Ordinal Reference Ordering"/>
    <x:n v="121"/>
    <x:s v="Pick up the object that is third from the right and place it in the bowl."/>
    <x:s v="L1: yellow pen, L2: red block, L3: airplane toy with propellers, L4: blue tape ball"/>
    <x:s v="red block"/>
    <x:s v="picked blue tape ball"/>
    <x:x v="8"/>
  </x:r>
  <x:r>
    <x:x v="1"/>
    <x:s v="Ordinal Reference Ordering"/>
    <x:n v="122"/>
    <x:s v="Pick up the object that is second from the left and place it in the bowl."/>
    <x:s v="L1: yellow pen, L2: red block, L3: green highlighter, L4: blue tape ball"/>
    <x:s v="red block"/>
    <x:s v="picked blue tape ball"/>
    <x:x v="8"/>
  </x:r>
  <x:r>
    <x:x v="0"/>
    <x:s v="Ordinal Reference Ordering"/>
    <x:n v="123"/>
    <x:s v="Pick up the object that is first from the right and place it in the bowl."/>
    <x:s v="L1: yellow pen, L2: red block, L3: green highlighter, L4: blue tape ball"/>
    <x:s v="blue tape ball"/>
    <x:m/>
    <x:x v="9"/>
  </x:r>
  <x:r>
    <x:x v="1"/>
    <x:s v="Ordinal Reference Ordering"/>
    <x:n v="124"/>
    <x:s v="Pick up the object that is second from the left and place it in the bowl."/>
    <x:s v="L1: airplane toy with propellers, L2: yellow pen, L3: red block, L4: blue tape ball"/>
    <x:s v="yellow pen"/>
    <x:s v="picked red block"/>
    <x:x v="9"/>
  </x:r>
  <x:r>
    <x:x v="1"/>
    <x:s v="Ordinal Reference Ordering"/>
    <x:n v="125"/>
    <x:s v="Pick up the object that is second from the right and place it in the bowl."/>
    <x:s v="L1: airplane toy with propellers, L2: yellow pen, L3: red block, L4: blue tape ball"/>
    <x:s v="red block"/>
    <x:s v="picked yellow pen"/>
    <x:x v="8"/>
  </x:r>
  <x:r>
    <x:x v="1"/>
    <x:s v="Ordinal Reference Ordering"/>
    <x:n v="126"/>
    <x:s v="Pick up the object that is first from the right and place it in the bowl."/>
    <x:s v="L1: airplane toy with propellers, L2: green highlighter, L3: blue tape ball, L4: red block"/>
    <x:s v="red block"/>
    <x:s v="picked airplane toy"/>
    <x:x v="8"/>
  </x:r>
  <x:r>
    <x:x v="1"/>
    <x:s v="Ordinal Reference Ordering"/>
    <x:n v="127"/>
    <x:s v="Pick up the object that is second from the left and place it in the bowl."/>
    <x:s v="L1: airplane toy with propellers, L2: green highlighter, L3: blue tape ball, L4: red block"/>
    <x:s v="green highlighter"/>
    <x:s v="picked red block"/>
    <x:x v="9"/>
  </x:r>
  <x:r>
    <x:x v="1"/>
    <x:s v="Ordinal Reference Ordering"/>
    <x:n v="128"/>
    <x:s v="Pick up the object that is third from the left and place it in the bowl."/>
    <x:s v="L1: blue tape ball, L2: airplane toy with propellers, L3: yellow pen, L4: red block"/>
    <x:s v="yellow pen"/>
    <x:s v="picked airplane toy"/>
    <x:x v="9"/>
  </x:r>
  <x:r>
    <x:x v="0"/>
    <x:s v="Ordinal Reference Ordering"/>
    <x:n v="129"/>
    <x:s v="Pick up the object that is fourth from the left and place it in the bowl."/>
    <x:s v="L1: blue tape ball, L2: airplane toy with propellers, L3: yellow pen, L4: red block"/>
    <x:s v="red block"/>
    <x:m/>
    <x:x v="8"/>
  </x:r>
  <x:r>
    <x:x v="1"/>
    <x:s v="Ordinal Reference Ordering"/>
    <x:n v="130"/>
    <x:s v="Pick up the object that is fourth from the left and place it in the bowl."/>
    <x:s v="L1: airplane toy with propellers, L2: blue tape ball, L3: green highlighter"/>
    <x:s v="None — requested ordinal does not exist"/>
    <x:s v="picked airplane toy"/>
    <x:x v="10"/>
  </x:r>
  <x:r>
    <x:x v="1"/>
    <x:s v="Ordinal Reference Ordering"/>
    <x:n v="131"/>
    <x:s v="Pick up the object that is fourth from the right and place it in the bowl."/>
    <x:s v="L1: airplane toy with propellers, L2: blue tape ball, L3: green highlighter"/>
    <x:s v="None — requested ordinal does not exist"/>
    <x:s v="picked airplane toy"/>
    <x:x v="10"/>
  </x:r>
  <x:r>
    <x:x v="1"/>
    <x:s v="Ordinal Reference Ordering"/>
    <x:n v="132"/>
    <x:s v="Pick up the object that is fourth from the right and place it in the bowl."/>
    <x:s v="L1: yellow pen, L2: green highlighter, L3: blue tape ball"/>
    <x:s v="None — requested ordinal does not exist"/>
    <x:s v="picked tape ball"/>
    <x:x v="10"/>
  </x:r>
  <x:r>
    <x:x v="1"/>
    <x:s v="Ordinal Reference Ordering"/>
    <x:n v="133"/>
    <x:s v="Pick up the object that is fourth from the left and place it in the bowl."/>
    <x:s v="L1: yellow pen, L2: green highlighter, L3: blue tape ball"/>
    <x:s v="None — requested ordinal does not exist"/>
    <x:s v="picked tape ball"/>
    <x:x v="10"/>
  </x:r>
  <x:r>
    <x:x v="1"/>
    <x:s v="Ordinal Reference Ordering"/>
    <x:n v="134"/>
    <x:s v="Pick up the object that is fourth from the left and place it in the bowl."/>
    <x:s v="L1: blue tape ball, L2: airplane toy with propellers, L3: yellow pen"/>
    <x:s v="None — requested ordinal does not exist"/>
    <x:s v="picked airplane toy"/>
    <x:x v="10"/>
  </x:r>
  <x:r>
    <x:x v="1"/>
    <x:s v="Ordinal Reference Ordering"/>
    <x:n v="135"/>
    <x:s v="Pick up the object that is fourth from the right and place it in the bowl."/>
    <x:s v="L1: blue tape ball, L2: airplane toy with propellers, L3: yellow pen"/>
    <x:s v="None — requested ordinal does not exist"/>
    <x:s v="picked airplane toy"/>
    <x:x v="10"/>
  </x:r>
  <x:r>
    <x:x v="1"/>
    <x:s v="Ordinal Reference Ordering"/>
    <x:n v="136"/>
    <x:s v="Pick up the object that is fourth from the right and place it in the bowl."/>
    <x:s v="L1: green highlighter, L2: yellow pen, L3: airplane toy with propellers"/>
    <x:s v="None — requested ordinal does not exist"/>
    <x:s v="picked airplane toy"/>
    <x:x v="10"/>
  </x:r>
  <x:r>
    <x:x v="1"/>
    <x:s v="Ordinal Reference Ordering"/>
    <x:n v="137"/>
    <x:s v="Pick up the object that is fourth from the left and place it in the bowl."/>
    <x:s v="L1: green highlighter, L2: yellow pen, L3: airplane toy with propellers"/>
    <x:s v="None — requested ordinal does not exist"/>
    <x:s v="picked airplane toy, dropped it not in the bowl, then went for the yellow pen"/>
    <x:x v="10"/>
  </x:r>
  <x:r>
    <x:x v="1"/>
    <x:s v="Ordinal Reference Ordering"/>
    <x:n v="138"/>
    <x:s v="Pick up the object that is fourth from the left and place it in the bowl."/>
    <x:s v="L1: airplane toy with propellers, L2: yellow pen, L3: blue tape ball"/>
    <x:s v="None — requested ordinal does not exist"/>
    <x:s v="picked tape ball"/>
    <x:x v="10"/>
  </x:r>
  <x:r>
    <x:x v="1"/>
    <x:s v="Ordinal Reference Ordering"/>
    <x:n v="139"/>
    <x:s v="Pick up the object that is fourth from the right and place it in the bowl."/>
    <x:s v="L1: airplane toy with propellers, L2: yellow pen, L3: blue tape ball"/>
    <x:s v="None — requested ordinal does not exist"/>
    <x:s v="picked tape ball"/>
    <x:x v="10"/>
  </x:r>
  <x:r>
    <x:x v="1"/>
    <x:s v="Ordinal Reference Ordering"/>
    <x:n v="140"/>
    <x:s v="Pick up the object that is third from the right and place it in the bowl."/>
    <x:s v="L1: airplane toy with propellers, L2: blue tape ball"/>
    <x:s v="None — requested ordinal does not exist"/>
    <x:s v="picked airplane toy"/>
    <x:x v="10"/>
  </x:r>
  <x:r>
    <x:x v="1"/>
    <x:s v="Ordinal Reference Ordering"/>
    <x:n v="141"/>
    <x:s v="Pick up the object that is third from the left and place it in the bowl."/>
    <x:s v="L1: airplane toy with propellers, L2: blue tape ball"/>
    <x:s v="None — requested ordinal does not exist"/>
    <x:s v="picked airplane toy"/>
    <x:x v="10"/>
  </x:r>
  <x:r>
    <x:x v="1"/>
    <x:s v="Ordinal Reference Ordering"/>
    <x:n v="142"/>
    <x:s v="Pick up the object that is third from the left and place it in the bowl."/>
    <x:s v="L1: green highlighter, L2: yellow pen"/>
    <x:s v="None — requested ordinal does not exist"/>
    <x:s v="picked yellow pen"/>
    <x:x v="10"/>
  </x:r>
  <x:r>
    <x:x v="1"/>
    <x:s v="Ordinal Reference Ordering"/>
    <x:n v="143"/>
    <x:s v="Pick up the object that is third from the right and place it in the bowl."/>
    <x:s v="L1: green highlighter, L2: yellow pen"/>
    <x:s v="None — requested ordinal does not exist"/>
    <x:s v="picked green highlighter"/>
    <x:x v="10"/>
  </x:r>
  <x:r>
    <x:x v="1"/>
    <x:s v="Ordinal Reference Ordering"/>
    <x:n v="144"/>
    <x:s v="Pick up the object that is third from the right and place it in the bowl."/>
    <x:s v="L1: blue tape ball, L2: green highlighter"/>
    <x:s v="None — requested ordinal does not exist"/>
    <x:s v="picked green highlighter"/>
    <x:x v="10"/>
  </x:r>
  <x:r>
    <x:x v="1"/>
    <x:s v="Ordinal Reference Ordering"/>
    <x:n v="145"/>
    <x:s v="Pick up the object that is third from the left and place it in the bowl."/>
    <x:s v="L1: blue tape ball, L2: green highlighter"/>
    <x:s v="None — requested ordinal does not exist"/>
    <x:s v="picked green highlighter"/>
    <x:x v="10"/>
  </x:r>
  <x:r>
    <x:x v="1"/>
    <x:s v="Ordinal Reference Ordering"/>
    <x:n v="146"/>
    <x:s v="Pick up the object that is third from the left and place it in the bowl."/>
    <x:s v="L1: yellow pen, L2: airplane toy with propellers"/>
    <x:s v="None — requested ordinal does not exist"/>
    <x:s v="tried to pick airplane toy, but couldn't"/>
    <x:x v="10"/>
  </x:r>
  <x:r>
    <x:x v="1"/>
    <x:s v="Ordinal Reference Ordering"/>
    <x:n v="147"/>
    <x:s v="Pick up the object that is third from the right and place it in the bowl."/>
    <x:s v="L1: yellow pen, L2: airplane toy with propellers"/>
    <x:s v="None — requested ordinal does not exist"/>
    <x:s v="tried to pick airplane toy, but couldn't"/>
    <x:x v="10"/>
  </x:r>
  <x:r>
    <x:x v="1"/>
    <x:s v="Ordinal Reference Ordering"/>
    <x:n v="148"/>
    <x:s v="Pick up the object that is third from the right and place it in the bowl."/>
    <x:s v="L1: airplane toy with propellers, L2: green highlighter"/>
    <x:s v="None — requested ordinal does not exist"/>
    <x:s v="picked the airplane toy; dropped it and got it!"/>
    <x:x v="10"/>
  </x:r>
  <x:r>
    <x:x v="1"/>
    <x:s v="Ordinal Reference Ordering"/>
    <x:n v="149"/>
    <x:s v="Pick up the object that is third from the left and place it in the bowl."/>
    <x:s v="L1: airplane toy with propellers, L2: green highlighter"/>
    <x:s v="None — requested ordinal does not exist"/>
    <x:s v="picked airplane toy"/>
    <x:x v="10"/>
  </x:r>
  <x:r>
    <x:x v="1"/>
    <x:s v="Relational Placement"/>
    <x:n v="0"/>
    <x:s v="Move the green pen to the front of the pink marker."/>
    <x:s v="green pen, pink marker, red block"/>
    <x:s v="green pen → 2–8 cm edge gap in front of pink marker; centroid direction within ±45°."/>
    <x:s v="did move to the front, but didn't let go of the green pen. successful reasoning"/>
    <x:x v="0"/>
  </x:r>
  <x:r>
    <x:x v="1"/>
    <x:s v="Relational Placement"/>
    <x:n v="1"/>
    <x:s v="Move the green pen to the back of the pink marker."/>
    <x:s v="green pen, pink marker, red block"/>
    <x:s v="green pen → 2–8 cm edge gap behind pink marker; centroid direction within ±45°."/>
    <x:s v="put in front of the green pen"/>
    <x:x v="0"/>
  </x:r>
  <x:r>
    <x:x v="0"/>
    <x:s v="Relational Placement"/>
    <x:n v="2"/>
    <x:s v="Move the pink marker to the front of the green pen."/>
    <x:s v="green pen, pink marker, red block"/>
    <x:s v="pink marker → 2–8 cm edge gap in front of green pen; centroid direction within ±45°."/>
    <x:m/>
    <x:x v="0"/>
  </x:r>
  <x:r>
    <x:x v="0"/>
    <x:s v="Relational Placement"/>
    <x:n v="3"/>
    <x:s v="Move the pink marker to the back of the green pen."/>
    <x:s v="green pen, pink marker, red block"/>
    <x:s v="pink marker → 2–8 cm edge gap behind green pen; centroid direction within ±45°."/>
    <x:m/>
    <x:x v="0"/>
  </x:r>
  <x:r>
    <x:x v="0"/>
    <x:s v="Relational Placement"/>
    <x:n v="4"/>
    <x:s v="Move the green pen to the front of the blue block."/>
    <x:s v="green pen, blue block, pink marker, red block"/>
    <x:s v="green pen → 2–8 cm edge gap in front of blue block; centroid direction within ±45°."/>
    <x:s v="front left, but I think it counts"/>
    <x:x v="0"/>
  </x:r>
  <x:r>
    <x:x v="0"/>
    <x:s v="Relational Placement"/>
    <x:n v="5"/>
    <x:s v="Move the green pen to the back of the blue block."/>
    <x:s v="green pen, blue block, pink marker, red block"/>
    <x:s v="green pen → 2–8 cm edge gap behind blue block; centroid direction within ±45°."/>
    <x:m/>
    <x:x v="0"/>
  </x:r>
  <x:r>
    <x:x v="0"/>
    <x:s v="Relational Placement"/>
    <x:n v="6"/>
    <x:s v="Put the blue block on the table in front of the green pen."/>
    <x:s v="green pen, blue block, pink marker, red block"/>
    <x:s v="blue block → 2–8 cm edge gap in front of green pen; centroid direction within ±45°."/>
    <x:m/>
    <x:x v="0"/>
  </x:r>
  <x:r>
    <x:x v="0"/>
    <x:s v="Relational Placement"/>
    <x:n v="7"/>
    <x:s v="Put the blue block on the table behind the green pen."/>
    <x:s v="green pen, blue block, pink marker, red block"/>
    <x:s v="blue block → 2–8 cm edge gap behind green pen; centroid direction within ±45°."/>
    <x:m/>
    <x:x v="0"/>
  </x:r>
  <x:r>
    <x:x v="0"/>
    <x:s v="Relational Placement"/>
    <x:n v="8"/>
    <x:s v="Place the red block to the left of the pink marker."/>
    <x:s v="red block, pink marker, blue block"/>
    <x:s v="red block → 2–8 cm edge gap to the left of pink marker; centroid direction within ±45°."/>
    <x:s v="left back"/>
    <x:x v="0"/>
  </x:r>
  <x:r>
    <x:x v="0"/>
    <x:s v="Relational Placement"/>
    <x:n v="9"/>
    <x:s v="Place the red block to the right of the pink marker."/>
    <x:s v="red block, pink marker, blue block"/>
    <x:s v="red block → 2–8 cm edge gap to the right of pink marker; centroid direction within ±45°."/>
    <x:m/>
    <x:x v="0"/>
  </x:r>
  <x:r>
    <x:x v="0"/>
    <x:s v="Relational Placement"/>
    <x:n v="10"/>
    <x:s v="Place the pink marker to the left of the red block."/>
    <x:s v="red block, pink marker, blue block"/>
    <x:s v="pink marker → 2–8 cm edge gap to the left of red block; centroid direction within ±45°."/>
    <x:m/>
    <x:x v="0"/>
  </x:r>
  <x:r>
    <x:x v="0"/>
    <x:s v="Relational Placement"/>
    <x:n v="11"/>
    <x:s v="Place the pink marker to the right of the red block."/>
    <x:s v="red block, pink marker, blue block"/>
    <x:s v="pink marker → 2–8 cm edge gap to the right of red block; centroid direction within ±45°."/>
    <x:s v="right back"/>
    <x:x v="0"/>
  </x:r>
  <x:r>
    <x:x v="1"/>
    <x:s v="Relational Placement"/>
    <x:n v="12"/>
    <x:s v="Place the red block to the left of the blue block."/>
    <x:s v="red block, blue block, green pen, pink marker"/>
    <x:s v="red block → 2–8 cm edge gap to the left of blue block; centroid direction within ±45°."/>
    <x:s v="placed in front"/>
    <x:x v="0"/>
  </x:r>
  <x:r>
    <x:x v="1"/>
    <x:s v="Relational Placement"/>
    <x:n v="13"/>
    <x:s v="Place the red block to the right of the blue block."/>
    <x:s v="red block, blue block, green pen, pink marker"/>
    <x:s v="red block → 2–8 cm edge gap to the right of blue block; centroid direction within ±45°."/>
    <x:s v="dropped on top, then rolled over to the front right, but mostly front"/>
    <x:x v="0"/>
  </x:r>
  <x:r>
    <x:x v="0"/>
    <x:s v="Relational Placement"/>
    <x:n v="14"/>
    <x:s v="Place the blue block to the left of the red block."/>
    <x:s v="red block, blue block, green pen, pink marker"/>
    <x:s v="blue block → 2–8 cm edge gap to the left of red block; centroid direction within ±45°."/>
    <x:m/>
    <x:x v="0"/>
  </x:r>
  <x:r>
    <x:x v="1"/>
    <x:s v="Relational Placement"/>
    <x:n v="15"/>
    <x:s v="Place the blue block to the right of the red block."/>
    <x:s v="red block, blue block, green pen, pink marker"/>
    <x:s v="blue block → 2–8 cm edge gap to the right of red block; centroid direction within ±45°."/>
    <x:s v="placed back"/>
    <x:x v="0"/>
  </x:r>
  <x:r>
    <x:x v="1"/>
    <x:s v="Relational Placement"/>
    <x:n v="16"/>
    <x:s v="Place the green pen to the left of the pink marker."/>
    <x:s v="green pen, pink marker, red block, blue block"/>
    <x:s v="green pen → 2–8 cm edge gap to the left of pink marker; centroid direction within ±45°."/>
    <x:s v="placed on top and slid right"/>
    <x:x v="0"/>
  </x:r>
  <x:r>
    <x:x v="0"/>
    <x:s v="Relational Placement"/>
    <x:n v="17"/>
    <x:s v="Place the pink marker to the right of the green pen."/>
    <x:s v="green pen, pink marker, red block, blue block"/>
    <x:s v="pink marker → 2–8 cm edge gap to the right of green pen; centroid direction within ±45°."/>
    <x:m/>
    <x:x v="0"/>
  </x:r>
  <x:r>
    <x:x v="0"/>
    <x:s v="Relational Placement"/>
    <x:n v="18"/>
    <x:s v="Move the red block to the front of the blue block."/>
    <x:s v="green pen, pink marker, red block, blue block"/>
    <x:s v="red block → 2–8 cm edge gap in front of blue block; centroid direction within ±45°."/>
    <x:m/>
    <x:x v="0"/>
  </x:r>
  <x:r>
    <x:x v="1"/>
    <x:s v="Relational Placement"/>
    <x:n v="19"/>
    <x:s v="Place the blue block behind the red block."/>
    <x:s v="green pen, pink marker, red block, blue block"/>
    <x:s v="blue block → 2–8 cm edge gap behind red block; centroid direction within ±45°."/>
    <x:s v="placed left"/>
    <x:x v="0"/>
  </x:r>
  <x:r>
    <x:x v="0"/>
    <x:s v="Relational Placement"/>
    <x:n v="20"/>
    <x:s v="Place the green pen in front of the red block."/>
    <x:s v="green pen, red block, pink marker"/>
    <x:s v="green pen → 2–8 cm edge gap in front of red block; centroid direction within ±45°."/>
    <x:m/>
    <x:x v="1"/>
  </x:r>
  <x:r>
    <x:x v="1"/>
    <x:s v="Relational Placement"/>
    <x:n v="21"/>
    <x:s v="Place the green pen behind the red block."/>
    <x:s v="green pen, red block, pink marker"/>
    <x:s v="green pen → 2–8 cm edge gap behind red block; centroid direction within ±45°."/>
    <x:s v="placed right"/>
    <x:x v="1"/>
  </x:r>
  <x:r>
    <x:x v="0"/>
    <x:s v="Relational Placement"/>
    <x:n v="22"/>
    <x:s v="Place the red block in front of the green pen."/>
    <x:s v="green pen, red block, pink marker"/>
    <x:s v="red block → 2–8 cm edge gap in front of green pen; centroid direction within ±45°."/>
    <x:m/>
    <x:x v="1"/>
  </x:r>
  <x:r>
    <x:x v="0"/>
    <x:s v="Relational Placement"/>
    <x:n v="23"/>
    <x:s v="Place the red block behind the green pen."/>
    <x:s v="green pen, red block, pink marker"/>
    <x:s v="red block → 2–8 cm edge gap behind green pen; centroid direction within ±45°."/>
    <x:m/>
    <x:x v="1"/>
  </x:r>
  <x:r>
    <x:x v="0"/>
    <x:s v="Relational Placement"/>
    <x:n v="24"/>
    <x:s v="Place the green pen in front of the red block."/>
    <x:s v="green pen, red block, blue block, pink marker"/>
    <x:s v="green pen → 2–8 cm edge gap in front of red block; centroid direction within ±45°."/>
    <x:m/>
    <x:x v="1"/>
  </x:r>
  <x:r>
    <x:x v="0"/>
    <x:s v="Relational Placement"/>
    <x:n v="25"/>
    <x:s v="Place the green pen behind the red block."/>
    <x:s v="green pen, red block, blue block, pink marker"/>
    <x:s v="green pen → 2–8 cm edge gap behind red block; centroid direction within ±45°."/>
    <x:s v="behind and right"/>
    <x:x v="1"/>
  </x:r>
  <x:r>
    <x:x v="0"/>
    <x:s v="Relational Placement"/>
    <x:n v="26"/>
    <x:s v="Place the red block in front of the green pen."/>
    <x:s v="green pen, red block, blue block, pink marker"/>
    <x:s v="red block → 2–8 cm edge gap in front of green pen; centroid direction within ±45°."/>
    <x:m/>
    <x:x v="1"/>
  </x:r>
  <x:r>
    <x:x v="0"/>
    <x:s v="Relational Placement"/>
    <x:n v="27"/>
    <x:s v="Place the red block behind the green pen."/>
    <x:s v="green pen, red block, blue block, pink marker"/>
    <x:s v="red block → 2–8 cm edge gap behind green pen; centroid direction within ±45°."/>
    <x:m/>
    <x:x v="1"/>
  </x:r>
  <x:r>
    <x:x v="0"/>
    <x:s v="Relational Placement"/>
    <x:n v="28"/>
    <x:s v="Place the green pen in front of the red block."/>
    <x:s v="green pen, red block, pink marker"/>
    <x:s v="green pen → 2–8 cm edge gap in front of red block; centroid direction within ±45°."/>
    <x:s v="placed to the left"/>
    <x:x v="1"/>
  </x:r>
  <x:r>
    <x:x v="1"/>
    <x:s v="Relational Placement"/>
    <x:n v="29"/>
    <x:s v="Place the green pen behind the red block."/>
    <x:s v="green pen, red block, pink marker"/>
    <x:s v="green pen → 2–8 cm edge gap behind red block; centroid direction within ±45°."/>
    <x:s v="placed to the left"/>
    <x:x v="1"/>
  </x:r>
  <x:r>
    <x:x v="0"/>
    <x:s v="Relational Placement"/>
    <x:n v="30"/>
    <x:s v="Place the red block in front of the green pen."/>
    <x:s v="green pen, red block, pink marker"/>
    <x:s v="red block → 2–8 cm edge gap in front of green pen; centroid direction within ±45°."/>
    <x:m/>
    <x:x v="1"/>
  </x:r>
  <x:r>
    <x:x v="1"/>
    <x:s v="Relational Placement"/>
    <x:n v="31"/>
    <x:s v="Place the red block behind the green pen."/>
    <x:s v="green pen, red block, pink marker"/>
    <x:s v="red block → 2–8 cm edge gap behind green pen; centroid direction within ±45°."/>
    <x:s v="placed in front but pushed the pen forwards"/>
    <x:x v="1"/>
  </x:r>
  <x:r>
    <x:x v="1"/>
    <x:s v="Relational Placement"/>
    <x:n v="32"/>
    <x:s v="Place the green pen to the left of the red block."/>
    <x:s v="green pen, red block, blue block, pink marker"/>
    <x:s v="green pen → 2–8 cm edge gap to the left of red block; centroid direction within ±45°."/>
    <x:s v="placed behind red block"/>
    <x:x v="1"/>
  </x:r>
  <x:r>
    <x:x v="1"/>
    <x:s v="Relational Placement"/>
    <x:n v="33"/>
    <x:s v="Place the green pen to the right of the red block."/>
    <x:s v="green pen, red block, blue block, pink marker"/>
    <x:s v="green pen → 2–8 cm edge gap to the right of red block; centroid direction within ±45°."/>
    <x:s v="placed to the right of pink pen and front of red block"/>
    <x:x v="1"/>
  </x:r>
  <x:r>
    <x:x v="1"/>
    <x:s v="Relational Placement"/>
    <x:n v="34"/>
    <x:s v="Place the red block to the left of the green pen."/>
    <x:s v="green pen, red block, blue block, pink marker"/>
    <x:s v="red block → 2–8 cm edge gap to the left of green pen; centroid direction within ±45°."/>
    <x:s v="rotated the green pen so the red block is in front of the green pen"/>
    <x:x v="1"/>
  </x:r>
  <x:r>
    <x:x v="0"/>
    <x:s v="Relational Placement"/>
    <x:n v="35"/>
    <x:s v="Place the red block to the right of the green pen."/>
    <x:s v="green pen, red block, blue block, pink marker"/>
    <x:s v="red block → 2–8 cm edge gap to the right of green pen; centroid direction within ±45°."/>
    <x:m/>
    <x:x v="1"/>
  </x:r>
  <x:r>
    <x:x v="0"/>
    <x:s v="Relational Placement"/>
    <x:n v="36"/>
    <x:s v="Place the green pen to the left of the red block."/>
    <x:s v="green pen, red block, pink marker"/>
    <x:s v="green pen → 2–8 cm edge gap to the left of red block; centroid direction within ±45°."/>
    <x:m/>
    <x:x v="1"/>
  </x:r>
  <x:r>
    <x:x v="1"/>
    <x:s v="Relational Placement"/>
    <x:n v="37"/>
    <x:s v="Place the green pen to the right of the red block."/>
    <x:s v="green pen, red block, pink marker"/>
    <x:s v="green pen → 2–8 cm edge gap to the right of red block; centroid direction within ±45°."/>
    <x:s v="placed to the left again"/>
    <x:x v="1"/>
  </x:r>
  <x:r>
    <x:x v="0"/>
    <x:s v="Relational Placement"/>
    <x:n v="38"/>
    <x:s v="Place the red block to the left of the green pen."/>
    <x:s v="green pen, red block, pink marker"/>
    <x:s v="red block → 2–8 cm edge gap to the left of green pen; centroid direction within ±45°."/>
    <x:s v="top left but I'll count it"/>
    <x:x v="1"/>
  </x:r>
  <x:r>
    <x:x v="0"/>
    <x:s v="Relational Placement"/>
    <x:n v="39"/>
    <x:s v="Place the red block to the right of the green pen."/>
    <x:s v="green pen, red block, pink marker"/>
    <x:s v="red block → 2–8 cm edge gap to the right of green pen; centroid direction within ±45°."/>
    <x:m/>
    <x:x v="1"/>
  </x:r>
  <x:r>
    <x:x v="1"/>
    <x:s v="Relational Placement"/>
    <x:n v="40"/>
    <x:s v="Place the green pen to the left of the red block."/>
    <x:s v="green pen, red block, blue block, pink marker"/>
    <x:s v="green pen → 2–8 cm edge gap to the left of red block; centroid direction within ±45°."/>
    <x:s v="placed behind"/>
    <x:x v="1"/>
  </x:r>
  <x:r>
    <x:x v="0"/>
    <x:s v="Relational Placement"/>
    <x:n v="41"/>
    <x:s v="Place the green pen to the right of the red block."/>
    <x:s v="green pen, red block, blue block, pink marker"/>
    <x:s v="green pen → 2–8 cm edge gap to the right of red block; centroid direction within ±45°."/>
    <x:m/>
    <x:x v="1"/>
  </x:r>
  <x:r>
    <x:x v="1"/>
    <x:s v="Relational Placement"/>
    <x:n v="42"/>
    <x:s v="Place the red block to the left of the green pen."/>
    <x:s v="green pen, red block, blue block, pink marker"/>
    <x:s v="red block → 2–8 cm edge gap to the left of green pen; centroid direction within ±45°."/>
    <x:s v="placed in front"/>
    <x:x v="1"/>
  </x:r>
  <x:r>
    <x:x v="0"/>
    <x:s v="Relational Placement"/>
    <x:n v="43"/>
    <x:s v="Place the red block to the right of the green pen."/>
    <x:s v="green pen, red block, blue block, pink marker"/>
    <x:s v="red block → 2–8 cm edge gap to the right of green pen; centroid direction within ±45°."/>
    <x:s v="put on the right side of the pen, and it rotated such that it ended on the right of the pen."/>
    <x:x v="1"/>
  </x:r>
  <x:r>
    <x:x v="0"/>
    <x:s v="Relational Placement"/>
    <x:n v="44"/>
    <x:s v="Place the green pen in front of the red block."/>
    <x:s v="green pen, red block, pink marker"/>
    <x:s v="green pen → 2–8 cm edge gap in front of red block; centroid direction within ±45°."/>
    <x:s v="super good rollout"/>
    <x:x v="1"/>
  </x:r>
  <x:r>
    <x:x v="0"/>
    <x:s v="Relational Placement"/>
    <x:n v="45"/>
    <x:s v="Place the green pen next to the red block."/>
    <x:s v="green pen, red block, pink marker"/>
    <x:s v="green pen → 2–8 cm edge gap near red block; no directional sector required."/>
    <x:s v="placed in front"/>
    <x:x v="2"/>
  </x:r>
  <x:r>
    <x:x v="0"/>
    <x:s v="Relational Placement"/>
    <x:n v="46"/>
    <x:s v="Position the green pen on the robot-facing side of the red block."/>
    <x:s v="green pen, red block, pink marker"/>
    <x:s v="green pen → 2–8 cm edge gap in front of red block; centroid direction within ±45°."/>
    <x:m/>
    <x:x v="3"/>
  </x:r>
  <x:r>
    <x:x v="0"/>
    <x:s v="Relational Placement"/>
    <x:n v="47"/>
    <x:s v="Set the green pen down close to the red block."/>
    <x:s v="green pen, red block, pink marker"/>
    <x:s v="green pen → 2–8 cm edge gap near red block; no directional sector required."/>
    <x:s v="placed left. put on top but slid to the left"/>
    <x:x v="3"/>
  </x:r>
  <x:r>
    <x:x v="0"/>
    <x:s v="Relational Placement"/>
    <x:n v="48"/>
    <x:s v="Place the green pen in front of the red block."/>
    <x:s v="green pen, red block, blue block, pink marker"/>
    <x:s v="green pen → 2–8 cm edge gap in front of red block; centroid direction within ±45°."/>
    <x:s v="struggled with grasping pen, but got it"/>
    <x:x v="1"/>
  </x:r>
  <x:r>
    <x:x v="0"/>
    <x:s v="Relational Placement"/>
    <x:n v="49"/>
    <x:s v="Put the green pen beside the red block."/>
    <x:s v="green pen, red block, blue block, pink marker"/>
    <x:s v="green pen → 2–8 cm edge gap near red block; no directional sector required."/>
    <x:s v="placed to the left"/>
    <x:x v="2"/>
  </x:r>
  <x:r>
    <x:x v="1"/>
    <x:s v="Relational Placement"/>
    <x:n v="50"/>
    <x:s v="Position the green pen on the robot-facing side of the red block."/>
    <x:s v="green pen, red block, blue block, pink marker"/>
    <x:s v="green pen → 2–8 cm edge gap in front of red block; centroid direction within ±45°."/>
    <x:s v="placed to the left"/>
    <x:x v="3"/>
  </x:r>
  <x:r>
    <x:x v="0"/>
    <x:s v="Relational Placement"/>
    <x:n v="51"/>
    <x:s v="Set the green pen down close to the red block."/>
    <x:s v="green pen, red block, blue block, pink marker"/>
    <x:s v="green pen → 2–8 cm edge gap near red block; no directional sector required."/>
    <x:s v="placed to the left"/>
    <x:x v="3"/>
  </x:r>
  <x:r>
    <x:x v="0"/>
    <x:s v="Relational Placement"/>
    <x:n v="52"/>
    <x:s v="Place the red block in front of the green pen."/>
    <x:s v="red block, green pen, pink marker"/>
    <x:s v="red block → 2–8 cm edge gap in front of green pen; centroid direction within ±45°."/>
    <x:m/>
    <x:x v="1"/>
  </x:r>
  <x:r>
    <x:x v="0"/>
    <x:s v="Relational Placement"/>
    <x:n v="53"/>
    <x:s v="Put the red block beside the green pen."/>
    <x:s v="red block, green pen, pink marker"/>
    <x:s v="red block → 2–8 cm edge gap near green pen; no directional sector required."/>
    <x:s v="placed in front"/>
    <x:x v="2"/>
  </x:r>
  <x:r>
    <x:x v="0"/>
    <x:s v="Relational Placement"/>
    <x:n v="54"/>
    <x:s v="Position the red block on the robot-facing side of the green pen."/>
    <x:s v="red block, green pen, pink marker"/>
    <x:s v="red block → 2–8 cm edge gap in front of green pen; centroid direction within ±45°."/>
    <x:s v="placed in front"/>
    <x:x v="3"/>
  </x:r>
  <x:r>
    <x:x v="0"/>
    <x:s v="Relational Placement"/>
    <x:n v="55"/>
    <x:s v="Set the red block down close to the green pen."/>
    <x:s v="red block, green pen, pink marker"/>
    <x:s v="red block → 2–8 cm edge gap near green pen; no directional sector required."/>
    <x:s v="placed in front"/>
    <x:x v="3"/>
  </x:r>
  <x:r>
    <x:x v="0"/>
    <x:s v="Relational Placement"/>
    <x:n v="56"/>
    <x:s v="Place the green pen behind the red block."/>
    <x:s v="green pen, red block, blue block, pink marker"/>
    <x:s v="green pen → 2–8 cm edge gap behind red block; centroid direction within ±45°."/>
    <x:m/>
    <x:x v="1"/>
  </x:r>
  <x:r>
    <x:x v="1"/>
    <x:s v="Relational Placement"/>
    <x:n v="57"/>
    <x:s v="Place the green pen next to the red block."/>
    <x:s v="green pen, red block, blue block, pink marker"/>
    <x:s v="green pen → 2–8 cm edge gap near red block; no directional sector required."/>
    <x:s v="placed smack on top"/>
    <x:x v="2"/>
  </x:r>
  <x:r>
    <x:x v="0"/>
    <x:s v="Relational Placement"/>
    <x:n v="58"/>
    <x:s v="Position the green pen on the far side of the red block, away from the robot."/>
    <x:s v="green pen, red block, blue block, pink marker"/>
    <x:s v="green pen → 2–8 cm edge gap behind red block; centroid direction within ±45°."/>
    <x:m/>
    <x:x v="3"/>
  </x:r>
  <x:r>
    <x:x v="0"/>
    <x:s v="Relational Placement"/>
    <x:n v="59"/>
    <x:s v="Set the green pen down close to the red block."/>
    <x:s v="green pen, red block, blue block, pink marker"/>
    <x:s v="green pen → 2–8 cm edge gap near red block; no directional sector required."/>
    <x:s v="placed to the right; leaning on the block though"/>
    <x:x v="3"/>
  </x:r>
  <x:r>
    <x:x v="0"/>
    <x:s v="Relational Placement"/>
    <x:n v="60"/>
    <x:s v="Place the red block behind the green pen."/>
    <x:s v="red block, green pen, pink marker"/>
    <x:s v="red block → 2–8 cm edge gap behind green pen; centroid direction within ±45°."/>
    <x:m/>
    <x:x v="1"/>
  </x:r>
  <x:r>
    <x:x v="0"/>
    <x:s v="Relational Placement"/>
    <x:n v="61"/>
    <x:s v="Move the red block near the green pen."/>
    <x:s v="red block, green pen, pink marker"/>
    <x:s v="red block → 2–8 cm edge gap near green pen; no directional sector required."/>
    <x:s v="placed behind"/>
    <x:x v="2"/>
  </x:r>
  <x:r>
    <x:x v="0"/>
    <x:s v="Relational Placement"/>
    <x:n v="62"/>
    <x:s v="Position the red block on the far side of the green pen, away from the robot."/>
    <x:s v="red block, green pen, pink marker"/>
    <x:s v="red block → 2–8 cm edge gap behind green pen; centroid direction within ±45°."/>
    <x:m/>
    <x:x v="3"/>
  </x:r>
  <x:r>
    <x:x v="0"/>
    <x:s v="Relational Placement"/>
    <x:n v="63"/>
    <x:s v="Set the red block down close to the green pen."/>
    <x:s v="red block, green pen, pink marker"/>
    <x:s v="red block → 2–8 cm edge gap near green pen; no directional sector required."/>
    <x:s v="placed in front"/>
    <x:x v="3"/>
  </x:r>
  <x:r>
    <x:x v="0"/>
    <x:s v="Relational Placement"/>
    <x:n v="64"/>
    <x:s v="Place the red block behind the green pen."/>
    <x:s v="red block, green pen, blue block, pink marker"/>
    <x:s v="red block → 2–8 cm edge gap behind green pen; centroid direction within ±45°."/>
    <x:m/>
    <x:x v="1"/>
  </x:r>
  <x:r>
    <x:x v="0"/>
    <x:s v="Relational Placement"/>
    <x:n v="65"/>
    <x:s v="Place the red block next to the green pen."/>
    <x:s v="red block, green pen, blue block, pink marker"/>
    <x:s v="red block → 2–8 cm edge gap near green pen; no directional sector required."/>
    <x:s v="placed in the back; leaning on the pen towards the back"/>
    <x:x v="2"/>
  </x:r>
  <x:r>
    <x:x v="0"/>
    <x:s v="Relational Placement"/>
    <x:n v="66"/>
    <x:s v="Position the red block on the far side of the green pen, away from the robot."/>
    <x:s v="red block, green pen, blue block, pink marker"/>
    <x:s v="red block → 2–8 cm edge gap behind green pen; centroid direction within ±45°."/>
    <x:m/>
    <x:x v="3"/>
  </x:r>
  <x:r>
    <x:x v="0"/>
    <x:s v="Relational Placement"/>
    <x:n v="67"/>
    <x:s v="Set the red block down close to the green pen."/>
    <x:s v="red block, green pen, blue block, pink marker"/>
    <x:s v="red block → 2–8 cm edge gap near green pen; no directional sector required."/>
    <x:s v="placed in front"/>
    <x:x v="3"/>
  </x:r>
  <x:r>
    <x:x v="0"/>
    <x:s v="Relational Placement"/>
    <x:n v="68"/>
    <x:s v="Place the green pen to the left of the red block."/>
    <x:s v="green pen, red block, pink marker"/>
    <x:s v="green pen → 2–8 cm edge gap to the left of red block; centroid direction within ±45°."/>
    <x:m/>
    <x:x v="1"/>
  </x:r>
  <x:r>
    <x:x v="0"/>
    <x:s v="Relational Placement"/>
    <x:n v="69"/>
    <x:s v="Place the green pen next to the red block."/>
    <x:s v="green pen, red block, pink marker"/>
    <x:s v="green pen → 2–8 cm edge gap near red block; no directional sector required."/>
    <x:s v="put on left"/>
    <x:x v="2"/>
  </x:r>
  <x:r>
    <x:x v="0"/>
    <x:s v="Relational Placement"/>
    <x:n v="70"/>
    <x:s v="Position the green pen on the robot's left-hand side of the red block."/>
    <x:s v="green pen, red block, pink marker"/>
    <x:s v="green pen → 2–8 cm edge gap to the left of red block; centroid direction within ±45°."/>
    <x:m/>
    <x:x v="3"/>
  </x:r>
  <x:r>
    <x:x v="0"/>
    <x:s v="Relational Placement"/>
    <x:n v="71"/>
    <x:s v="Set the green pen down close to the red block."/>
    <x:s v="green pen, red block, pink marker"/>
    <x:s v="green pen → 2–8 cm edge gap near red block; no directional sector required."/>
    <x:s v="pushed the block with the pen and plen ended up in front of the block"/>
    <x:x v="3"/>
  </x:r>
  <x:r>
    <x:x v="1"/>
    <x:s v="Relational Placement"/>
    <x:n v="72"/>
    <x:s v="Place the red block to the left of the green pen."/>
    <x:s v="red block, green pen, blue block, pink marker"/>
    <x:s v="red block → 2–8 cm edge gap to the left of green pen; centroid direction within ±45°."/>
    <x:s v="failed to grasp the red block"/>
    <x:x v="1"/>
  </x:r>
  <x:r>
    <x:x v="0"/>
    <x:s v="Relational Placement"/>
    <x:n v="73"/>
    <x:s v="Place the red block next to the green pen."/>
    <x:s v="red block, green pen, blue block, pink marker"/>
    <x:s v="red block → 2–8 cm edge gap near green pen; no directional sector required."/>
    <x:s v="placed to left"/>
    <x:x v="2"/>
  </x:r>
  <x:r>
    <x:x v="0"/>
    <x:s v="Relational Placement"/>
    <x:n v="74"/>
    <x:s v="Position the red block on the robot's left-hand side of the green pen."/>
    <x:s v="red block, green pen, blue block, pink marker"/>
    <x:s v="red block → 2–8 cm edge gap to the left of green pen; centroid direction within ±45°."/>
    <x:m/>
    <x:x v="3"/>
  </x:r>
  <x:r>
    <x:x v="0"/>
    <x:s v="Relational Placement"/>
    <x:n v="75"/>
    <x:s v="Set the red block down close to the green pen."/>
    <x:s v="red block, green pen, blue block, pink marker"/>
    <x:s v="red block → 2–8 cm edge gap near green pen; no directional sector required."/>
    <x:s v="placed to right"/>
    <x:x v="3"/>
  </x:r>
  <x:r>
    <x:x v="1"/>
    <x:s v="Relational Placement"/>
    <x:n v="76"/>
    <x:s v="Place the green pen to the right of the red block."/>
    <x:s v="green pen, red block, pink marker"/>
    <x:s v="green pen → 2–8 cm edge gap to the right of red block; centroid direction within ±45°."/>
    <x:s v="placed in front"/>
    <x:x v="1"/>
  </x:r>
  <x:r>
    <x:x v="0"/>
    <x:s v="Relational Placement"/>
    <x:n v="77"/>
    <x:s v="Place the green pen next to the red block."/>
    <x:s v="green pen, red block, pink marker"/>
    <x:s v="green pen → 2–8 cm edge gap near red block; no directional sector required."/>
    <x:s v="placed in back"/>
    <x:x v="2"/>
  </x:r>
  <x:r>
    <x:x v="1"/>
    <x:s v="Relational Placement"/>
    <x:n v="78"/>
    <x:s v="Position the green pen on the robot's right-hand side of the red block."/>
    <x:s v="green pen, red block, pink marker"/>
    <x:s v="green pen → 2–8 cm edge gap to the right of red block; centroid direction within ±45°."/>
    <x:s v="placed on top and slid to the left"/>
    <x:x v="3"/>
  </x:r>
  <x:r>
    <x:x v="0"/>
    <x:s v="Relational Placement"/>
    <x:n v="79"/>
    <x:s v="Set the green pen down close to the red block."/>
    <x:s v="green pen, red block, pink marker"/>
    <x:s v="green pen → 2–8 cm edge gap near red block; no directional sector required."/>
    <x:s v="placed in front"/>
    <x:x v="3"/>
  </x:r>
  <x:r>
    <x:x v="0"/>
    <x:s v="Relational Placement"/>
    <x:n v="80"/>
    <x:s v="Place the red block to the right of the green pen."/>
    <x:s v="red block, green pen, blue block, pink marker"/>
    <x:s v="red block → 2–8 cm edge gap to the right of green pen; centroid direction within ±45°."/>
    <x:m/>
    <x:x v="1"/>
  </x:r>
  <x:r>
    <x:x v="0"/>
    <x:s v="Relational Placement"/>
    <x:n v="81"/>
    <x:s v="Put the red block beside the green pen."/>
    <x:s v="red block, green pen, blue block, pink marker"/>
    <x:s v="red block → 2–8 cm edge gap near green pen; no directional sector required."/>
    <x:s v="placed on right"/>
    <x:x v="2"/>
  </x:r>
  <x:r>
    <x:x v="1"/>
    <x:s v="Relational Placement"/>
    <x:n v="82"/>
    <x:s v="Position the red block on the robot's right-hand side of the green pen."/>
    <x:s v="red block, green pen, blue block, pink marker"/>
    <x:s v="red block → 2–8 cm edge gap to the right of green pen; centroid direction within ±45°."/>
    <x:s v="placed on the left"/>
    <x:x v="3"/>
  </x:r>
  <x:r>
    <x:x v="0"/>
    <x:s v="Relational Placement"/>
    <x:n v="83"/>
    <x:s v="Set the red block down close to the green pen."/>
    <x:s v="red block, green pen, blue block, pink marker"/>
    <x:s v="red block → 2–8 cm edge gap near green pen; no directional sector required."/>
    <x:s v="placed on the left"/>
    <x:x v="3"/>
  </x:r>
  <x:r>
    <x:x v="0"/>
    <x:s v="Relational Placement"/>
    <x:n v="84"/>
    <x:s v="Place the green pen in front of the red block."/>
    <x:s v="green pen, red block, pink marker, blue block"/>
    <x:s v="green pen → 2–8 cm edge gap in front of red block; centroid direction within ±45°."/>
    <x:m/>
    <x:x v="1"/>
  </x:r>
  <x:r>
    <x:x v="0"/>
    <x:s v="Relational Placement"/>
    <x:n v="85"/>
    <x:s v="Put the green pen beside the red block."/>
    <x:s v="green pen, red block, pink marker, blue block"/>
    <x:s v="green pen → 2–8 cm edge gap near red block; no directional sector required."/>
    <x:s v="placed front left"/>
    <x:x v="2"/>
  </x:r>
  <x:r>
    <x:x v="0"/>
    <x:s v="Relational Placement"/>
    <x:n v="86"/>
    <x:s v="Place the red block in front of the green pen."/>
    <x:s v="red block, green pen, blue block"/>
    <x:s v="red block → 2–8 cm edge gap in front of green pen; centroid direction within ±45°."/>
    <x:m/>
    <x:x v="1"/>
  </x:r>
  <x:r>
    <x:x v="0"/>
    <x:s v="Relational Placement"/>
    <x:n v="87"/>
    <x:s v="Place the red block next to the green pen."/>
    <x:s v="red block, green pen, blue block"/>
    <x:s v="red block → 2–8 cm edge gap near green pen; no directional sector required."/>
    <x:s v="placed red block in front"/>
    <x:x v="2"/>
  </x:r>
  <x:r>
    <x:x v="0"/>
    <x:s v="Relational Placement"/>
    <x:n v="88"/>
    <x:s v="Place the green pen behind the red block."/>
    <x:s v="green pen, red block, pink marker"/>
    <x:s v="green pen → 2–8 cm edge gap behind red block; centroid direction within ±45°."/>
    <x:m/>
    <x:x v="1"/>
  </x:r>
  <x:r>
    <x:x v="0"/>
    <x:s v="Relational Placement"/>
    <x:n v="89"/>
    <x:s v="Place the green pen next to the red block."/>
    <x:s v="green pen, red block, pink marker"/>
    <x:s v="green pen → 2–8 cm edge gap near red block; no directional sector required."/>
    <x:s v="placed behind"/>
    <x:x v="2"/>
  </x:r>
  <x:r>
    <x:x v="0"/>
    <x:s v="Relational Placement"/>
    <x:n v="90"/>
    <x:s v="Place the red block behind the green pen."/>
    <x:s v="red block, green pen, blue block, pink marker"/>
    <x:s v="red block → 2–8 cm edge gap behind green pen; centroid direction within ±45°."/>
    <x:m/>
    <x:x v="1"/>
  </x:r>
  <x:r>
    <x:x v="0"/>
    <x:s v="Relational Placement"/>
    <x:n v="91"/>
    <x:s v="Place the red block next to the green pen."/>
    <x:s v="red block, green pen, blue block, pink marker"/>
    <x:s v="red block → 2–8 cm edge gap near green pen; no directional sector required."/>
    <x:s v="placed in front"/>
    <x:x v="2"/>
  </x:r>
  <x:r>
    <x:x v="0"/>
    <x:s v="Relational Placement"/>
    <x:n v="92"/>
    <x:s v="Place the green pen to the left of the red block."/>
    <x:s v="green pen, red block, pink marker, blue block"/>
    <x:s v="green pen → 2–8 cm edge gap to the left of red block; centroid direction within ±45°."/>
    <x:m/>
    <x:x v="1"/>
  </x:r>
  <x:r>
    <x:x v="1"/>
    <x:s v="Relational Placement"/>
    <x:n v="93"/>
    <x:s v="Move the green pen near the red block."/>
    <x:s v="green pen, red block, pink marker, blue block"/>
    <x:s v="green pen → 2–8 cm edge gap near red block; no directional sector required."/>
    <x:s v="placed behind"/>
    <x:x v="2"/>
  </x:r>
  <x:r>
    <x:x v="0"/>
    <x:s v="Relational Placement"/>
    <x:n v="94"/>
    <x:s v="Place the red block to the left of the green pen."/>
    <x:s v="red block, green pen, blue block"/>
    <x:s v="red block → 2–8 cm edge gap to the left of green pen; centroid direction within ±45°."/>
    <x:m/>
    <x:x v="1"/>
  </x:r>
  <x:r>
    <x:x v="0"/>
    <x:s v="Relational Placement"/>
    <x:n v="95"/>
    <x:s v="Put the red block beside the green pen."/>
    <x:s v="red block, green pen, blue block"/>
    <x:s v="red block → 2–8 cm edge gap near green pen; no directional sector required."/>
    <x:s v="placed to the left"/>
    <x:x v="2"/>
  </x:r>
  <x:r>
    <x:x v="1"/>
    <x:s v="Relational Placement"/>
    <x:n v="96"/>
    <x:s v="Place the red block to the left of the green pen."/>
    <x:s v="red block, green pen, pink marker, blue block"/>
    <x:s v="red block → 2–8 cm edge gap to the left of green pen; centroid direction within ±45°."/>
    <x:s v="placed right; leaning on pen"/>
    <x:x v="1"/>
  </x:r>
  <x:r>
    <x:x v="0"/>
    <x:s v="Relational Placement"/>
    <x:n v="97"/>
    <x:s v="Place the red block next to the green pen."/>
    <x:s v="red block, green pen, pink marker, blue block"/>
    <x:s v="red block → 2–8 cm edge gap near green pen; no directional sector required."/>
    <x:s v="placed on right"/>
    <x:x v="2"/>
  </x:r>
  <x:r>
    <x:x v="0"/>
    <x:s v="Relational Placement"/>
    <x:n v="98"/>
    <x:s v="Place the green pen to the right of the red block."/>
    <x:s v="green pen, red block, blue block"/>
    <x:s v="green pen → 2–8 cm edge gap to the right of red block; centroid direction within ±45°."/>
    <x:m/>
    <x:x v="1"/>
  </x:r>
  <x:r>
    <x:x v="0"/>
    <x:s v="Relational Placement"/>
    <x:n v="99"/>
    <x:s v="Put the green pen beside the red block."/>
    <x:s v="green pen, red block, blue block"/>
    <x:s v="green pen → 2–8 cm edge gap near red block; no directional sector required."/>
    <x:s v="placed right back"/>
    <x:x v="2"/>
  </x:r>
  <x:r>
    <x:x v="0"/>
    <x:s v="Relational Placement"/>
    <x:n v="100"/>
    <x:s v="Place the green pen to the right of the red block."/>
    <x:s v="green pen, red block, pink marker, blue block"/>
    <x:s v="green pen → 2–8 cm edge gap to the right of red block; centroid direction within ±45°."/>
    <x:m/>
    <x:x v="1"/>
  </x:r>
  <x:r>
    <x:x v="0"/>
    <x:s v="Relational Placement"/>
    <x:n v="101"/>
    <x:s v="Move the green pen near the red block."/>
    <x:s v="green pen, red block, pink marker, blue block"/>
    <x:s v="green pen → 2–8 cm edge gap near red block; no directional sector required."/>
    <x:s v="placed in front"/>
    <x:x v="2"/>
  </x:r>
  <x:r>
    <x:x v="0"/>
    <x:s v="Relational Placement"/>
    <x:n v="102"/>
    <x:s v="Place the red block to the right of the green pen."/>
    <x:s v="red block, green pen, blue block"/>
    <x:s v="red block → 2–8 cm edge gap to the right of green pen; centroid direction within ±45°."/>
    <x:m/>
    <x:x v="1"/>
  </x:r>
  <x:r>
    <x:x v="0"/>
    <x:s v="Relational Placement"/>
    <x:n v="103"/>
    <x:s v="Move the red block near the green pen."/>
    <x:s v="red block, green pen, blue block"/>
    <x:s v="red block → 2–8 cm edge gap near green pen; no directional sector required."/>
    <x:s v="placed on right"/>
    <x:x v="2"/>
  </x:r>
  <x:r>
    <x:x v="0"/>
    <x:s v="Relational Placement"/>
    <x:n v="104"/>
    <x:s v="Place the green pen in front of the red block."/>
    <x:s v="green pen, red block, pink marker"/>
    <x:s v="green pen → 2–8 cm edge gap in front of red block; centroid direction within ±45°."/>
    <x:m/>
    <x:x v="1"/>
  </x:r>
  <x:r>
    <x:x v="1"/>
    <x:s v="Relational Placement"/>
    <x:n v="105"/>
    <x:s v="Place the red block in front of the green pen."/>
    <x:s v="red block, green pen, blue block, pink marker"/>
    <x:s v="red block → 2–8 cm edge gap in front of green pen; centroid direction within ±45°."/>
    <x:s v="placed behind; leaning on green pen"/>
    <x:x v="1"/>
  </x:r>
  <x:r>
    <x:x v="1"/>
    <x:s v="Relational Placement"/>
    <x:n v="106"/>
    <x:s v="Place the green pen behind the red block."/>
    <x:s v="green pen, red block, pink marker, blue block"/>
    <x:s v="green pen → 2–8 cm edge gap behind red block; centroid direction within ±45°."/>
    <x:s v="placed to the right of the red blcok"/>
    <x:x v="1"/>
  </x:r>
  <x:r>
    <x:x v="0"/>
    <x:s v="Relational Placement"/>
    <x:n v="107"/>
    <x:s v="Place the red block behind the green pen."/>
    <x:s v="red block, green pen, blue block"/>
    <x:s v="red block → 2–8 cm edge gap behind green pen; centroid direction within ±45°."/>
    <x:m/>
    <x:x v="1"/>
  </x:r>
  <x:r>
    <x:x v="0"/>
    <x:s v="Relational Placement"/>
    <x:n v="108"/>
    <x:s v="Place the green pen to the left of the red block."/>
    <x:s v="green pen, red block, pink marker"/>
    <x:s v="green pen → 2–8 cm edge gap to the left of red block; centroid direction within ±45°."/>
    <x:m/>
    <x:x v="1"/>
  </x:r>
  <x:r>
    <x:x v="0"/>
    <x:s v="Relational Placement"/>
    <x:n v="109"/>
    <x:s v="Place the red block to the right of the green pen."/>
    <x:s v="red block, green pen, blue block, pink marker"/>
    <x:s v="red block → 2–8 cm edge gap to the right of green pen; centroid direction within ±45°."/>
    <x:s v="leaning on the pen"/>
    <x:x v="1"/>
  </x:r>
  <x:r>
    <x:x v="0"/>
    <x:s v="Relational Placement"/>
    <x:n v="110"/>
    <x:s v="Place the juggling ball in front of the pink marker."/>
    <x:s v="juggling ball, pink marker, green pen"/>
    <x:s v="juggling ball → 2–8 cm edge gap in front of pink marker; centroid direction within ±45°."/>
    <x:m/>
    <x:x v="11"/>
  </x:r>
  <x:r>
    <x:x v="0"/>
    <x:s v="Relational Placement"/>
    <x:n v="111"/>
    <x:s v="Place the juggling ball behind the pink marker."/>
    <x:s v="juggling ball, pink marker, green pen"/>
    <x:s v="juggling ball → 2–8 cm edge gap behind pink marker; centroid direction within ±45°."/>
    <x:s v="behind and to the right"/>
    <x:x v="11"/>
  </x:r>
  <x:r>
    <x:x v="1"/>
    <x:s v="Relational Placement"/>
    <x:n v="112"/>
    <x:s v="Place the pink marker in front of the juggling ball."/>
    <x:s v="juggling ball, pink marker, green pen"/>
    <x:s v="pink marker → 2–8 cm edge gap in front of juggling ball; centroid direction within ±45°."/>
    <x:s v="placed on the left; hesitation before movement"/>
    <x:x v="11"/>
  </x:r>
  <x:r>
    <x:x v="1"/>
    <x:s v="Relational Placement"/>
    <x:n v="113"/>
    <x:s v="Place the pink marker behind the juggling ball."/>
    <x:s v="juggling ball, pink marker, green pen"/>
    <x:s v="pink marker → 2–8 cm edge gap behind juggling ball; centroid direction within ±45°."/>
    <x:s v="hesitation before movement. placed in back, but it rolled off the ball to the right."/>
    <x:x v="11"/>
  </x:r>
  <x:r>
    <x:x v="1"/>
    <x:s v="Relational Placement"/>
    <x:n v="114"/>
    <x:s v="Place the juggling ball in front of the blue block."/>
    <x:s v="juggling ball, blue block, red block, pink marker"/>
    <x:s v="juggling ball → 2–8 cm edge gap in front of blue block; centroid direction within ±45°."/>
    <x:s v="plcaed left"/>
    <x:x v="11"/>
  </x:r>
  <x:r>
    <x:x v="0"/>
    <x:s v="Relational Placement"/>
    <x:n v="115"/>
    <x:s v="Place the juggling ball behind the blue block."/>
    <x:s v="juggling ball, blue block, red block, pink marker"/>
    <x:s v="juggling ball → 2–8 cm edge gap behind blue block; centroid direction within ±45°."/>
    <x:m/>
    <x:x v="11"/>
  </x:r>
  <x:r>
    <x:x v="0"/>
    <x:s v="Relational Placement"/>
    <x:n v="116"/>
    <x:s v="Place the blue block in front of the juggling ball."/>
    <x:s v="juggling ball, blue block, red block, pink marker"/>
    <x:s v="blue block → 2–8 cm edge gap in front of juggling ball; centroid direction within ±45°."/>
    <x:s v="front right, but I'll count it"/>
    <x:x v="11"/>
  </x:r>
  <x:r>
    <x:x v="0"/>
    <x:s v="Relational Placement"/>
    <x:n v="117"/>
    <x:s v="Place the blue block behind the juggling ball."/>
    <x:s v="juggling ball, blue block, red block, pink marker"/>
    <x:s v="blue block → 2–8 cm edge gap behind juggling ball; centroid direction within ±45°."/>
    <x:m/>
    <x:x v="11"/>
  </x:r>
  <x:r>
    <x:x v="0"/>
    <x:s v="Relational Placement"/>
    <x:n v="118"/>
    <x:s v="Place the juggling ball to the left of the green pen."/>
    <x:s v="juggling ball, green pen, blue block"/>
    <x:s v="juggling ball → 2–8 cm edge gap to the left of green pen; centroid direction within ±45°."/>
    <x:m/>
    <x:x v="11"/>
  </x:r>
  <x:r>
    <x:x v="0"/>
    <x:s v="Relational Placement"/>
    <x:n v="119"/>
    <x:s v="Place the juggling ball to the right of the green pen."/>
    <x:s v="juggling ball, green pen, blue block"/>
    <x:s v="juggling ball → 2–8 cm edge gap to the right of green pen; centroid direction within ±45°."/>
    <x:m/>
    <x:x v="11"/>
  </x:r>
  <x:r>
    <x:x v="1"/>
    <x:s v="Relational Placement"/>
    <x:n v="120"/>
    <x:s v="Place the green pen to the left of the juggling ball."/>
    <x:s v="juggling ball, green pen, blue block"/>
    <x:s v="green pen → 2–8 cm edge gap to the left of juggling ball; centroid direction within ±45°."/>
    <x:s v="placed to the front"/>
    <x:x v="11"/>
  </x:r>
  <x:r>
    <x:x v="1"/>
    <x:s v="Relational Placement"/>
    <x:n v="121"/>
    <x:s v="Place the green pen to the right of the juggling ball."/>
    <x:s v="juggling ball, green pen, blue block"/>
    <x:s v="green pen → 2–8 cm edge gap to the right of juggling ball; centroid direction within ±45°."/>
    <x:s v="placed to the front"/>
    <x:x v="11"/>
  </x:r>
  <x:r>
    <x:x v="1"/>
    <x:s v="Relational Placement"/>
    <x:n v="122"/>
    <x:s v="Place the juggling ball to the left of the red block."/>
    <x:s v="juggling ball, red block, pink marker, blue block"/>
    <x:s v="juggling ball → 2–8 cm edge gap to the left of red block; centroid direction within ±45°."/>
    <x:s v="placed ball right on top of the block"/>
    <x:x v="11"/>
  </x:r>
  <x:r>
    <x:x v="0"/>
    <x:s v="Relational Placement"/>
    <x:n v="123"/>
    <x:s v="Place the juggling ball to the right of the red block."/>
    <x:s v="juggling ball, red block, pink marker, blue block"/>
    <x:s v="juggling ball → 2–8 cm edge gap to the right of red block; centroid direction within ±45°."/>
    <x:s v="put on top and rolled to the right"/>
    <x:x v="11"/>
  </x:r>
  <x:r>
    <x:x v="1"/>
    <x:s v="Relational Placement"/>
    <x:n v="124"/>
    <x:s v="Place the red block to the left of the juggling ball."/>
    <x:s v="juggling ball, red block, pink marker, blue block"/>
    <x:s v="red block → 2–8 cm edge gap to the left of juggling ball; centroid direction within ±45°."/>
    <x:s v="placed to the back"/>
    <x:x v="11"/>
  </x:r>
  <x:r>
    <x:x v="1"/>
    <x:s v="Relational Placement"/>
    <x:n v="125"/>
    <x:s v="Place the red block to the right of the juggling ball."/>
    <x:s v="juggling ball, red block, pink marker, blue block"/>
    <x:s v="red block → 2–8 cm edge gap to the right of juggling ball; centroid direction within ±45°."/>
    <x:s v="placed on top and rolled to the back"/>
    <x:x v="11"/>
  </x:r>
  <x:r>
    <x:x v="0"/>
    <x:s v="Relational Placement"/>
    <x:n v="126"/>
    <x:s v="Place the juggling ball in front of the red block."/>
    <x:s v="juggling ball, red block, green pen, blue block"/>
    <x:s v="juggling ball → 2–8 cm edge gap in front of red block; centroid direction within ±45°."/>
    <x:m/>
    <x:x v="11"/>
  </x:r>
  <x:r>
    <x:x v="0"/>
    <x:s v="Relational Placement"/>
    <x:n v="127"/>
    <x:s v="Place the red block behind the juggling ball."/>
    <x:s v="juggling ball, red block, green pen, blue block"/>
    <x:s v="red block → 2–8 cm edge gap behind juggling ball; centroid direction within ±45°."/>
    <x:m/>
    <x:x v="11"/>
  </x:r>
  <x:r>
    <x:x v="1"/>
    <x:s v="Relational Placement"/>
    <x:n v="128"/>
    <x:s v="Place the juggling ball to the left of the green pen."/>
    <x:s v="juggling ball, red block, green pen, blue block"/>
    <x:s v="juggling ball → 2–8 cm edge gap to the left of green pen; centroid direction within ±45°."/>
    <x:s v="placed on top of pen and rolled to the right"/>
    <x:x v="11"/>
  </x:r>
  <x:r>
    <x:x v="0"/>
    <x:s v="Relational Placement"/>
    <x:n v="129"/>
    <x:s v="Place the green pen to the right of the juggling ball."/>
    <x:s v="juggling ball, red block, green pen, blue block"/>
    <x:s v="green pen → 2–8 cm edge gap to the right of juggling ball; centroid direction within ±45°."/>
    <x:m/>
    <x:x v="11"/>
  </x:r>
  <x:r>
    <x:x v="0"/>
    <x:s v="Relational Placement"/>
    <x:n v="130"/>
    <x:s v="Place the green pen to the left of the pink marker."/>
    <x:s v="green pen, pink marker, blue block"/>
    <x:s v="NO MOVEMENT — requested relation is already satisfied at the start: green pen → 2–8 cm edge gap to the left of pink marker; centroid direction within ±45°."/>
    <x:m/>
    <x:x v="6"/>
  </x:r>
  <x:r>
    <x:x v="1"/>
    <x:s v="Relational Placement"/>
    <x:n v="131"/>
    <x:s v="Place the pink marker to the right of the green pen."/>
    <x:s v="green pen, pink marker, blue block"/>
    <x:s v="NO MOVEMENT — requested relation is already satisfied at the start: pink marker → 2–8 cm edge gap to the right of green pen; centroid direction within ±45°."/>
    <x:s v="went for the pink marker, but didn't grab it"/>
    <x:x v="6"/>
  </x:r>
  <x:r>
    <x:x v="1"/>
    <x:s v="Relational Placement"/>
    <x:n v="132"/>
    <x:s v="Place the green pen to the left of the pink marker."/>
    <x:s v="green pen, pink marker, blue block"/>
    <x:s v="green pen → 2–8 cm edge gap to the left of pink marker; centroid direction within ±45°."/>
    <x:s v="robot didn't move"/>
    <x:x v="12"/>
  </x:r>
  <x:r>
    <x:x v="1"/>
    <x:s v="Relational Placement"/>
    <x:n v="133"/>
    <x:s v="Place the pink marker to the right of the green pen."/>
    <x:s v="green pen, pink marker, blue block"/>
    <x:s v="pink marker → 2–8 cm edge gap to the right of green pen; centroid direction within ±45°."/>
    <x:s v="placed in front"/>
    <x:x v="12"/>
  </x:r>
  <x:r>
    <x:x v="1"/>
    <x:s v="Relational Placement"/>
    <x:n v="134"/>
    <x:s v="Place the green pen to the right of the pink marker."/>
    <x:s v="green pen, pink marker, red block, blue block"/>
    <x:s v="green pen → 2–8 cm edge gap to the right of pink marker; centroid direction within ±45°."/>
    <x:s v="went for the green pen twice, but didn't move it."/>
    <x:x v="12"/>
  </x:r>
  <x:r>
    <x:x v="1"/>
    <x:s v="Relational Placement"/>
    <x:n v="135"/>
    <x:s v="Place the pink marker to the left of the green pen."/>
    <x:s v="green pen, pink marker, red block, blue block"/>
    <x:s v="pink marker → 2–8 cm edge gap to the left of green pen; centroid direction within ±45°."/>
    <x:s v="didn't move"/>
    <x:x v="12"/>
  </x:r>
  <x:r>
    <x:x v="0"/>
    <x:s v="Relational Placement"/>
    <x:n v="136"/>
    <x:s v="Place the green pen to the right of the pink marker."/>
    <x:s v="green pen, pink marker, red block, blue block"/>
    <x:s v="NO MOVEMENT — requested relation is already satisfied at the start: green pen → 2–8 cm edge gap to the right of pink marker; centroid direction within ±45°."/>
    <x:m/>
    <x:x v="6"/>
  </x:r>
  <x:r>
    <x:x v="0"/>
    <x:s v="Relational Placement"/>
    <x:n v="137"/>
    <x:s v="Place the pink marker to the left of the green pen."/>
    <x:s v="green pen, pink marker, red block, blue block"/>
    <x:s v="NO MOVEMENT — requested relation is already satisfied at the start: pink marker → 2–8 cm edge gap to the left of green pen; centroid direction within ±45°."/>
    <x:m/>
    <x:x v="6"/>
  </x:r>
  <x:r>
    <x:x v="1"/>
    <x:s v="Relational Placement"/>
    <x:n v="138"/>
    <x:s v="Place the green pen to the left of the blue block."/>
    <x:s v="green pen, blue block, pink marker"/>
    <x:s v="NO MOVEMENT — requested relation is already satisfied at the start: green pen → 2–8 cm edge gap to the left of blue block; centroid direction within ±45°."/>
    <x:s v="moved the green pen to the front of the blue block"/>
    <x:x v="6"/>
  </x:r>
  <x:r>
    <x:x v="1"/>
    <x:s v="Relational Placement"/>
    <x:n v="139"/>
    <x:s v="Place the blue block to the right of the green pen."/>
    <x:s v="green pen, blue block, pink marker"/>
    <x:s v="NO MOVEMENT — requested relation is already satisfied at the start: blue block → 2–8 cm edge gap to the right of green pen; centroid direction within ±45°."/>
    <x:s v="went to the blue block 5 times, and pushed it around a little bit. Still stayed on the right."/>
    <x:x v="6"/>
  </x:r>
  <x:r>
    <x:x v="1"/>
    <x:s v="Relational Placement"/>
    <x:n v="140"/>
    <x:s v="Place the green pen to the left of the blue block."/>
    <x:s v="green pen, blue block, pink marker"/>
    <x:s v="green pen → 2–8 cm edge gap to the left of blue block; centroid direction within ±45°."/>
    <x:s v="didn't move"/>
    <x:x v="12"/>
  </x:r>
  <x:r>
    <x:x v="1"/>
    <x:s v="Relational Placement"/>
    <x:n v="141"/>
    <x:s v="Place the blue block to the right of the green pen."/>
    <x:s v="green pen, blue block, pink marker"/>
    <x:s v="blue block → 2–8 cm edge gap to the right of green pen; centroid direction within ±45°."/>
    <x:s v="didn't move"/>
    <x:x v="12"/>
  </x:r>
  <x:r>
    <x:x v="0"/>
    <x:s v="Relational Placement"/>
    <x:n v="142"/>
    <x:s v="Place the red block to the right of the pink marker."/>
    <x:s v="red block, pink marker, green pen, blue block"/>
    <x:s v="red block → 2–8 cm edge gap to the right of pink marker; centroid direction within ±45°."/>
    <x:m/>
    <x:x v="12"/>
  </x:r>
  <x:r>
    <x:x v="1"/>
    <x:s v="Relational Placement"/>
    <x:n v="143"/>
    <x:s v="Place the pink marker to the left of the red block."/>
    <x:s v="red block, pink marker, green pen, blue block"/>
    <x:s v="pink marker → 2–8 cm edge gap to the left of red block; centroid direction within ±45°."/>
    <x:s v="didn't move"/>
    <x:x v="12"/>
  </x:r>
  <x:r>
    <x:x v="0"/>
    <x:s v="Relational Placement"/>
    <x:n v="144"/>
    <x:s v="Place the red block to the right of the pink marker."/>
    <x:s v="red block, pink marker, green pen, blue block"/>
    <x:s v="NO MOVEMENT — requested relation is already satisfied at the start: red block → 2–8 cm edge gap to the right of pink marker; centroid direction within ±45°."/>
    <x:m/>
    <x:x v="6"/>
  </x:r>
  <x:r>
    <x:x v="0"/>
    <x:s v="Relational Placement"/>
    <x:n v="145"/>
    <x:s v="Place the pink marker to the left of the red block."/>
    <x:s v="red block, pink marker, green pen, blue block"/>
    <x:s v="NO MOVEMENT — requested relation is already satisfied at the start: pink marker → 2–8 cm edge gap to the left of red block; centroid direction within ±45°."/>
    <x:m/>
    <x:x v="6"/>
  </x:r>
  <x:r>
    <x:x v="0"/>
    <x:s v="Relational Placement"/>
    <x:n v="146"/>
    <x:s v="Place the red block to the left of the blue block."/>
    <x:s v="red block, blue block, pink marker"/>
    <x:s v="NO MOVEMENT — requested relation is already satisfied at the start: red block → 2–8 cm edge gap to the left of blue block; centroid direction within ±45°."/>
    <x:m/>
    <x:x v="6"/>
  </x:r>
  <x:r>
    <x:x v="0"/>
    <x:s v="Relational Placement"/>
    <x:n v="147"/>
    <x:s v="Place the blue block to the right of the red block."/>
    <x:s v="red block, blue block, pink marker"/>
    <x:s v="NO MOVEMENT — requested relation is already satisfied at the start: blue block → 2–8 cm edge gap to the right of red block; centroid direction within ±45°."/>
    <x:m/>
    <x:x v="6"/>
  </x:r>
  <x:r>
    <x:x v="1"/>
    <x:s v="Relational Placement"/>
    <x:n v="148"/>
    <x:s v="Place the red block to the left of the blue block."/>
    <x:s v="red block, blue block, pink marker"/>
    <x:s v="red block → 2–8 cm edge gap to the left of blue block; centroid direction within ±45°."/>
    <x:s v="didn't move"/>
    <x:x v="12"/>
  </x:r>
  <x:r>
    <x:x v="1"/>
    <x:s v="Relational Placement"/>
    <x:n v="149"/>
    <x:s v="Place the blue block to the right of the red block."/>
    <x:s v="red block, blue block, pink marker"/>
    <x:s v="blue block → 2–8 cm edge gap to the right of red block; centroid direction within ±45°."/>
    <x:s v="didn't move"/>
    <x:x v="12"/>
  </x:r>
  <x:r>
    <x:x v="1"/>
    <x:s v="Relational Placement"/>
    <x:n v="150"/>
    <x:s v="Put the green pen on the table in front of the pink marker."/>
    <x:s v="green pen, pink marker, red block, blue block"/>
    <x:s v="green pen → 2–8 cm edge gap in front of pink marker; centroid direction within ±45°."/>
    <x:s v="didn't move"/>
    <x:x v="12"/>
  </x:r>
  <x:r>
    <x:x v="1"/>
    <x:s v="Relational Placement"/>
    <x:n v="151"/>
    <x:s v="Move the pink marker to the back of the green pen."/>
    <x:s v="green pen, pink marker, red block, blue block"/>
    <x:s v="pink marker → 2–8 cm edge gap behind green pen; centroid direction within ±45°."/>
    <x:s v="went for pink marker twice but didn't move it"/>
    <x:x v="12"/>
  </x:r>
  <x:r>
    <x:x v="0"/>
    <x:s v="Relational Placement"/>
    <x:n v="152"/>
    <x:s v="Put the green pen on the table in front of the pink marker."/>
    <x:s v="green pen, pink marker, red block, blue block"/>
    <x:s v="NO MOVEMENT — requested relation is already satisfied at the start: green pen → 2–8 cm edge gap in front of pink marker; centroid direction within ±45°."/>
    <x:m/>
    <x:x v="6"/>
  </x:r>
  <x:r>
    <x:x v="0"/>
    <x:s v="Relational Placement"/>
    <x:n v="153"/>
    <x:s v="Move the pink marker to the back of the green pen."/>
    <x:s v="green pen, pink marker, red block, blue block"/>
    <x:s v="NO MOVEMENT — requested relation is already satisfied at the start: pink marker → 2–8 cm edge gap behind green pen; centroid direction within ±45°."/>
    <x:m/>
    <x:x v="6"/>
  </x:r>
  <x:r>
    <x:x v="0"/>
    <x:s v="Relational Placement"/>
    <x:n v="154"/>
    <x:s v="Put the green pen on the table behind the blue block."/>
    <x:s v="green pen, blue block, pink marker"/>
    <x:s v="NO MOVEMENT — requested relation is already satisfied at the start: green pen → 2–8 cm edge gap behind blue block; centroid direction within ±45°."/>
    <x:m/>
    <x:x v="6"/>
  </x:r>
  <x:r>
    <x:x v="0"/>
    <x:s v="Relational Placement"/>
    <x:n v="155"/>
    <x:s v="Move the blue block to the front of the green pen."/>
    <x:s v="green pen, blue block, pink marker"/>
    <x:s v="NO MOVEMENT — requested relation is already satisfied at the start: blue block → 2–8 cm edge gap in front of green pen; centroid direction within ±45°."/>
    <x:m/>
    <x:x v="6"/>
  </x:r>
  <x:r>
    <x:x v="1"/>
    <x:s v="Relational Placement"/>
    <x:n v="156"/>
    <x:s v="Put the green pen on the table behind the blue block."/>
    <x:s v="green pen, blue block, pink marker"/>
    <x:s v="green pen → 2–8 cm edge gap behind blue block; centroid direction within ±45°."/>
    <x:s v="didn't move"/>
    <x:x v="12"/>
  </x:r>
  <x:r>
    <x:x v="0"/>
    <x:s v="Relational Placement"/>
    <x:n v="157"/>
    <x:s v="Move the blue block to the front of the green pen."/>
    <x:s v="green pen, blue block, pink marker"/>
    <x:s v="blue block → 2–8 cm edge gap in front of green pen; centroid direction within ±45°."/>
    <x:s v="very interesting rollout. Put it in front once, but no that close. went home and then back to put it closer"/>
    <x:x v="12"/>
  </x:r>
  <x:r>
    <x:x v="0"/>
    <x:s v="Relational Placement"/>
    <x:n v="158"/>
    <x:s v="Move the red block to the front of the pink marker."/>
    <x:s v="red block, pink marker, green pen, blue block"/>
    <x:s v="red block → 2–8 cm edge gap in front of pink marker; centroid direction within ±45°."/>
    <x:m/>
    <x:x v="12"/>
  </x:r>
  <x:r>
    <x:x v="1"/>
    <x:s v="Relational Placement"/>
    <x:n v="159"/>
    <x:s v="Put the pink marker on the table behind the red block."/>
    <x:s v="red block, pink marker, green pen, blue block"/>
    <x:s v="pink marker → 2–8 cm edge gap behind red block; centroid direction within ±45°."/>
    <x:s v="didn't move"/>
    <x:x v="12"/>
  </x:r>
  <x:r>
    <x:x v="0"/>
    <x:s v="Relational Placement"/>
    <x:n v="160"/>
    <x:s v="Move the red block to the front of the pink marker."/>
    <x:s v="red block, pink marker, green pen, blue block"/>
    <x:s v="NO MOVEMENT — requested relation is already satisfied at the start: red block → 2–8 cm edge gap in front of pink marker; centroid direction within ±45°."/>
    <x:m/>
    <x:x v="6"/>
  </x:r>
  <x:r>
    <x:x v="1"/>
    <x:s v="Relational Placement"/>
    <x:n v="161"/>
    <x:s v="Put the pink marker on the table behind the red block."/>
    <x:s v="red block, pink marker, green pen, blue block"/>
    <x:s v="NO MOVEMENT — requested relation is already satisfied at the start: pink marker → 2–8 cm edge gap behind red block; centroid direction within ±45°."/>
    <x:s v="moved to the pink marker 2 times"/>
    <x:x v="6"/>
  </x:r>
  <x:r>
    <x:x v="0"/>
    <x:s v="Relational Placement"/>
    <x:n v="162"/>
    <x:s v="Put the red block on the table behind the blue block."/>
    <x:s v="red block, blue block, pink marker"/>
    <x:s v="NO MOVEMENT — requested relation is already satisfied at the start: red block → 2–8 cm edge gap behind blue block; centroid direction within ±45°."/>
    <x:m/>
    <x:x v="6"/>
  </x:r>
  <x:r>
    <x:x v="0"/>
    <x:s v="Relational Placement"/>
    <x:n v="163"/>
    <x:s v="Move the blue block to the front of the red block."/>
    <x:s v="red block, blue block, pink marker"/>
    <x:s v="NO MOVEMENT — requested relation is already satisfied at the start: blue block → 2–8 cm edge gap in front of red block; centroid direction within ±45°."/>
    <x:m/>
    <x:x v="6"/>
  </x:r>
  <x:r>
    <x:x v="1"/>
    <x:s v="Relational Placement"/>
    <x:n v="164"/>
    <x:s v="Put the red block on the table behind the blue block."/>
    <x:s v="red block, blue block, pink marker"/>
    <x:s v="red block → 2–8 cm edge gap behind blue block; centroid direction within ±45°."/>
    <x:s v="didn't move"/>
    <x:x v="12"/>
  </x:r>
  <x:r>
    <x:x v="1"/>
    <x:s v="Relational Placement"/>
    <x:n v="165"/>
    <x:s v="Move the blue block to the front of the red block."/>
    <x:s v="red block, blue block, pink marker"/>
    <x:s v="blue block → 2–8 cm edge gap in front of red block; centroid direction within ±45°."/>
    <x:m/>
    <x:x v="12"/>
  </x:r>
  <x:r>
    <x:x v="1"/>
    <x:s v="Relational Placement"/>
    <x:n v="166"/>
    <x:s v="Place the red block in front of the blue block."/>
    <x:s v="red block, blue block, green pen, pink marker"/>
    <x:s v="red block → 2–8 cm edge gap in front of blue block; centroid direction within ±45°."/>
    <x:s v="didn't move"/>
    <x:x v="12"/>
  </x:r>
  <x:r>
    <x:x v="1"/>
    <x:s v="Relational Placement"/>
    <x:n v="167"/>
    <x:s v="Put the blue block on the table behind the red block."/>
    <x:s v="red block, blue block, green pen, pink marker"/>
    <x:s v="blue block → 2–8 cm edge gap behind red block; centroid direction within ±45°."/>
    <x:m/>
    <x:x v="12"/>
  </x:r>
  <x:r>
    <x:x v="0"/>
    <x:s v="Relational Placement"/>
    <x:n v="168"/>
    <x:s v="Place the red block in front of the blue block."/>
    <x:s v="red block, blue block, green pen, pink marker"/>
    <x:s v="NO MOVEMENT — requested relation is already satisfied at the start: red block → 2–8 cm edge gap in front of blue block; centroid direction within ±45°."/>
    <x:m/>
    <x:x v="6"/>
  </x:r>
  <x:r>
    <x:x v="0"/>
    <x:s v="Relational Placement"/>
    <x:n v="169"/>
    <x:s v="Put the blue block on the table behind the red block."/>
    <x:s v="red block, blue block, green pen, pink marker"/>
    <x:s v="NO MOVEMENT — requested relation is already satisfied at the start: blue block → 2–8 cm edge gap behind red block; centroid direction within ±45°."/>
    <x:m/>
    <x:x v="6"/>
  </x:r>
  <x:r>
    <x:x v="0"/>
    <x:s v="Referential Disambiguation"/>
    <x:n v="0"/>
    <x:s v="Move the crushed soda can lying between the green pencil sharpener and the green pen into the bowl."/>
    <x:s v="crushed Coke can; crushed Pepsi can; green pencil sharpener; green pen"/>
    <x:s v="crushed Coke can"/>
    <x:m/>
    <x:x v="0"/>
  </x:r>
  <x:r>
    <x:x v="0"/>
    <x:s v="Referential Disambiguation"/>
    <x:n v="1"/>
    <x:s v="Pick up the crushed soda can positioned between the airplane toy with propellers and the green pen, then place it in the bowl."/>
    <x:s v="crushed Coke can; crushed Pepsi can; airplane toy with propellers; green pen; green pencil sharpener"/>
    <x:s v="crushed Coke can"/>
    <x:m/>
    <x:x v="0"/>
  </x:r>
  <x:r>
    <x:x v="0"/>
    <x:s v="Referential Disambiguation"/>
    <x:n v="2"/>
    <x:s v="Pick up the crushed soda can positioned between the airplane toy with propellers and the green pencil sharpener, then place it in the bowl."/>
    <x:s v="crushed Coke can; crushed Pepsi can; airplane toy with propellers; green pencil sharpener"/>
    <x:s v="crushed Coke can"/>
    <x:m/>
    <x:x v="0"/>
  </x:r>
  <x:r>
    <x:x v="0"/>
    <x:s v="Referential Disambiguation"/>
    <x:n v="3"/>
    <x:s v="Pick up the crushed soda can furthest from the green pen and place it in the bowl."/>
    <x:s v="crushed Coke can; crushed Pepsi can; green pen"/>
    <x:s v="crushed Pepsi can"/>
    <x:m/>
    <x:x v="0"/>
  </x:r>
  <x:r>
    <x:x v="1"/>
    <x:s v="Referential Disambiguation"/>
    <x:n v="4"/>
    <x:s v="Pick up the crushed soda can furthest from the yellow pen and place it in the bowl."/>
    <x:s v="crushed Coke can; crushed Pepsi can; yellow pen; airplane toy with propellers"/>
    <x:s v="crushed Coke can"/>
    <x:s v="picked pepsi can"/>
    <x:x v="0"/>
  </x:r>
  <x:r>
    <x:x v="0"/>
    <x:s v="Referential Disambiguation"/>
    <x:n v="5"/>
    <x:s v="Pick up the pencil sharpener nearest to the crushed Coke can and place it in the bowl."/>
    <x:s v="green pencil sharpener; red pencil sharpener; crushed Coke can"/>
    <x:s v="green pencil sharpener"/>
    <x:m/>
    <x:x v="0"/>
  </x:r>
  <x:r>
    <x:x v="0"/>
    <x:s v="Referential Disambiguation"/>
    <x:n v="6"/>
    <x:s v="Move the pencil sharpener that is closest to the crushed Pepsi can into the bowl."/>
    <x:s v="green pencil sharpener; red pencil sharpener; crushed Pepsi can; airplane toy with propellers"/>
    <x:s v="red pencil sharpener"/>
    <x:m/>
    <x:x v="0"/>
  </x:r>
  <x:r>
    <x:x v="0"/>
    <x:s v="Referential Disambiguation"/>
    <x:n v="7"/>
    <x:s v="Move the pencil sharpener that is closest to the green pen into the bowl."/>
    <x:s v="green pencil sharpener; red pencil sharpener; green pen"/>
    <x:s v="green pencil sharpener"/>
    <x:m/>
    <x:x v="0"/>
  </x:r>
  <x:r>
    <x:x v="0"/>
    <x:s v="Referential Disambiguation"/>
    <x:n v="8"/>
    <x:s v="Pick up the pencil sharpener furthest from the yellow pen and place it in the bowl."/>
    <x:s v="green pencil sharpener; red pencil sharpener; yellow pen; airplane toy without propellers"/>
    <x:s v="green pencil sharpener"/>
    <x:m/>
    <x:x v="0"/>
  </x:r>
  <x:r>
    <x:x v="1"/>
    <x:s v="Referential Disambiguation"/>
    <x:n v="9"/>
    <x:s v="Pick up the pencil sharpener furthest from the green pen and place it in the bowl."/>
    <x:s v="green pencil sharpener; red pencil sharpener; green pen"/>
    <x:s v="red pencil sharpener"/>
    <x:s v="picked one closest"/>
    <x:x v="0"/>
  </x:r>
  <x:r>
    <x:x v="0"/>
    <x:s v="Referential Disambiguation"/>
    <x:n v="10"/>
    <x:s v="Put the airplane toy closest to the green pencil sharpener in the bowl."/>
    <x:s v="airplane toy with propellers; airplane toy without propellers; green pencil sharpener; red pencil sharpener"/>
    <x:s v="airplane toy with propellers"/>
    <x:m/>
    <x:x v="0"/>
  </x:r>
  <x:r>
    <x:x v="0"/>
    <x:s v="Referential Disambiguation"/>
    <x:n v="11"/>
    <x:s v="Put the airplane toy closest to the green pen in the bowl."/>
    <x:s v="airplane toy with propellers; airplane toy without propellers; green pen"/>
    <x:s v="airplane toy with propellers"/>
    <x:m/>
    <x:x v="0"/>
  </x:r>
  <x:r>
    <x:x v="1"/>
    <x:s v="Referential Disambiguation"/>
    <x:n v="12"/>
    <x:s v="Move the airplane toy lying between the crushed Coke can and the green pencil sharpener into the bowl."/>
    <x:s v="airplane toy with propellers; airplane toy without propellers; crushed Coke can; green pencil sharpener; red pencil sharpener"/>
    <x:s v="airplane toy with propellers"/>
    <x:s v="picked aiplanetoy between the pencil sharpeners"/>
    <x:x v="0"/>
  </x:r>
  <x:r>
    <x:x v="0"/>
    <x:s v="Referential Disambiguation"/>
    <x:n v="13"/>
    <x:s v="Put the airplane toy between the crushed Coke can and the green pen in the bowl."/>
    <x:s v="airplane toy with propellers; airplane toy without propellers; crushed Coke can; green pen"/>
    <x:s v="airplane toy without propellers"/>
    <x:s v="reasoning failure. went for the plane toy not between, dropped it, and during recovery, went for the correct one and got. failure for reasoning though."/>
    <x:x v="0"/>
  </x:r>
  <x:r>
    <x:x v="0"/>
    <x:s v="Referential Disambiguation"/>
    <x:n v="14"/>
    <x:s v="Pick up the airplane toy positioned between the yellow pen and the crushed Coke can, then place it in the bowl."/>
    <x:s v="airplane toy with propellers; airplane toy without propellers; yellow pen; crushed Coke can; crushed Pepsi can"/>
    <x:s v="airplane toy with propellers"/>
    <x:m/>
    <x:x v="0"/>
  </x:r>
  <x:r>
    <x:x v="0"/>
    <x:s v="Referential Disambiguation"/>
    <x:n v="15"/>
    <x:s v="Put the pen closest to the crushed Coke can in the bowl."/>
    <x:s v="green pen; yellow pen; crushed Coke can; crushed Pepsi can"/>
    <x:s v="green pen"/>
    <x:m/>
    <x:x v="0"/>
  </x:r>
  <x:r>
    <x:x v="0"/>
    <x:s v="Referential Disambiguation"/>
    <x:n v="16"/>
    <x:s v="Put the pen closest to the red pencil sharpener in the bowl."/>
    <x:s v="green pen; yellow pen; red pencil sharpener; airplane toy without propellers"/>
    <x:s v="yellow pen"/>
    <x:m/>
    <x:x v="0"/>
  </x:r>
  <x:r>
    <x:x v="0"/>
    <x:s v="Referential Disambiguation"/>
    <x:n v="17"/>
    <x:s v="Pick up the pen furthest from the crushed Coke can and place it in the bowl."/>
    <x:s v="green pen; yellow pen; crushed Coke can"/>
    <x:s v="yellow pen"/>
    <x:m/>
    <x:x v="0"/>
  </x:r>
  <x:r>
    <x:x v="1"/>
    <x:s v="Referential Disambiguation"/>
    <x:n v="18"/>
    <x:s v="Pick up the pen furthest from the crushed Pepsi can and place it in the bowl."/>
    <x:s v="green pen; yellow pen; crushed Pepsi can; green pencil sharpener"/>
    <x:s v="green pen"/>
    <x:s v="picked pen closest"/>
    <x:x v="0"/>
  </x:r>
  <x:r>
    <x:x v="0"/>
    <x:s v="Referential Disambiguation"/>
    <x:n v="19"/>
    <x:s v="Pick up the pen furthest from the airplane toy with propellers and place it in the bowl."/>
    <x:s v="green pen; yellow pen; airplane toy with propellers"/>
    <x:s v="yellow pen"/>
    <x:m/>
    <x:x v="0"/>
  </x:r>
  <x:r>
    <x:x v="1"/>
    <x:s v="Referential Disambiguation"/>
    <x:n v="20"/>
    <x:s v="Pick up the airplane toy furthest from the green pen and place it in the bowl."/>
    <x:s v="airplane toy with propellers; airplane toy without propellers; green pen"/>
    <x:s v="airplane toy with propellers"/>
    <x:s v="picked the closest one"/>
    <x:x v="1"/>
  </x:r>
  <x:r>
    <x:x v="1"/>
    <x:s v="Referential Disambiguation"/>
    <x:n v="21"/>
    <x:s v="Put the airplane toy with propellers in the bowl."/>
    <x:s v="airplane toy with propellers; airplane toy without propellers; green pen"/>
    <x:s v="airplane toy with propellers"/>
    <x:s v="picked airplane without propellors"/>
    <x:x v="2"/>
  </x:r>
  <x:r>
    <x:x v="1"/>
    <x:s v="Referential Disambiguation"/>
    <x:n v="22"/>
    <x:s v="Choose the airplane toy farthest from the green pen and put it in the bowl."/>
    <x:s v="airplane toy with propellers; airplane toy without propellers; green pen"/>
    <x:s v="airplane toy with propellers"/>
    <x:s v="went for closest one and couldn't grasp it. failed reasoning and grasping"/>
    <x:x v="3"/>
  </x:r>
  <x:r>
    <x:x v="1"/>
    <x:s v="Referential Disambiguation"/>
    <x:n v="23"/>
    <x:s v="Take the airplane toy with propellers and set it in the bowl."/>
    <x:s v="airplane toy with propellers; airplane toy without propellers; green pen"/>
    <x:s v="airplane toy with propellers"/>
    <x:s v="picked non-propellor plane"/>
    <x:x v="3"/>
  </x:r>
  <x:r>
    <x:x v="1"/>
    <x:s v="Referential Disambiguation"/>
    <x:n v="24"/>
    <x:s v="Pick up the crushed soda can closest to the green pen and place it in the bowl."/>
    <x:s v="crushed Coke can; crushed Pepsi can; green pen"/>
    <x:s v="crushed Coke can"/>
    <x:s v="picked soda can furthest from green pen"/>
    <x:x v="1"/>
  </x:r>
  <x:r>
    <x:x v="0"/>
    <x:s v="Referential Disambiguation"/>
    <x:n v="25"/>
    <x:s v="Put the crushed Coke can in the bowl."/>
    <x:s v="crushed Coke can; crushed Pepsi can; green pen"/>
    <x:s v="crushed Coke can"/>
    <x:m/>
    <x:x v="2"/>
  </x:r>
  <x:r>
    <x:x v="1"/>
    <x:s v="Referential Disambiguation"/>
    <x:n v="26"/>
    <x:s v="Choose the crushed soda can nearest to the green pen and put it in the bowl."/>
    <x:s v="crushed Coke can; crushed Pepsi can; green pen"/>
    <x:s v="crushed Coke can"/>
    <x:m/>
    <x:x v="3"/>
  </x:r>
  <x:r>
    <x:x v="1"/>
    <x:s v="Referential Disambiguation"/>
    <x:n v="27"/>
    <x:s v="Take the crushed Coke can and set it in the bowl."/>
    <x:s v="crushed Coke can; crushed Pepsi can; green pen"/>
    <x:s v="crushed Coke can"/>
    <x:s v="picked the crushed pepsi can"/>
    <x:x v="3"/>
  </x:r>
  <x:r>
    <x:x v="0"/>
    <x:s v="Referential Disambiguation"/>
    <x:n v="28"/>
    <x:s v="Pick up the pencil sharpener between the green pen and the crushed Coke can and place it in the bowl."/>
    <x:s v="green pencil sharpener; red pencil sharpener; green pen; crushed Coke can"/>
    <x:s v="green pencil sharpener"/>
    <x:m/>
    <x:x v="1"/>
  </x:r>
  <x:r>
    <x:x v="0"/>
    <x:s v="Referential Disambiguation"/>
    <x:n v="29"/>
    <x:s v="Pick up the green pencil sharpener and place it in the bowl."/>
    <x:s v="green pencil sharpener; red pencil sharpener; green pen; crushed Coke can"/>
    <x:s v="green pencil sharpener"/>
    <x:m/>
    <x:x v="2"/>
  </x:r>
  <x:r>
    <x:x v="0"/>
    <x:s v="Referential Disambiguation"/>
    <x:n v="30"/>
    <x:s v="Choose the pencil sharpener located in the middle of the green pen and the crushed Coke can, then put it in the bowl."/>
    <x:s v="green pencil sharpener; red pencil sharpener; green pen; crushed Coke can"/>
    <x:s v="green pencil sharpener"/>
    <x:m/>
    <x:x v="3"/>
  </x:r>
  <x:r>
    <x:x v="0"/>
    <x:s v="Referential Disambiguation"/>
    <x:n v="31"/>
    <x:s v="Take the green pencil sharpener and set it in the bowl."/>
    <x:s v="green pencil sharpener; red pencil sharpener; green pen; crushed Coke can"/>
    <x:s v="green pencil sharpener"/>
    <x:m/>
    <x:x v="3"/>
  </x:r>
  <x:r>
    <x:x v="0"/>
    <x:s v="Referential Disambiguation"/>
    <x:n v="32"/>
    <x:s v="Put the airplane toy furthest from the crushed Coke can in the bowl."/>
    <x:s v="airplane toy with propellers; airplane toy without propellers; crushed Coke can; green pen"/>
    <x:s v="airplane toy with propellers"/>
    <x:m/>
    <x:x v="1"/>
  </x:r>
  <x:r>
    <x:x v="0"/>
    <x:s v="Referential Disambiguation"/>
    <x:n v="33"/>
    <x:s v="Move the airplane toy with propellers into the bowl."/>
    <x:s v="airplane toy with propellers; airplane toy without propellers; crushed Coke can; green pen"/>
    <x:s v="airplane toy with propellers"/>
    <x:m/>
    <x:x v="2"/>
  </x:r>
  <x:r>
    <x:x v="0"/>
    <x:s v="Referential Disambiguation"/>
    <x:n v="34"/>
    <x:s v="Place the airplane toy with the greatest distance from the crushed Coke can in the bowl."/>
    <x:s v="airplane toy with propellers; airplane toy without propellers; crushed Coke can; green pen"/>
    <x:s v="airplane toy with propellers"/>
    <x:m/>
    <x:x v="3"/>
  </x:r>
  <x:r>
    <x:x v="0"/>
    <x:s v="Referential Disambiguation"/>
    <x:n v="35"/>
    <x:s v="Transfer the airplane toy with propellers into the bowl."/>
    <x:s v="airplane toy with propellers; airplane toy without propellers; crushed Coke can; green pen"/>
    <x:s v="airplane toy with propellers"/>
    <x:m/>
    <x:x v="3"/>
  </x:r>
  <x:r>
    <x:x v="1"/>
    <x:s v="Referential Disambiguation"/>
    <x:n v="36"/>
    <x:s v="Put the crushed soda can closest to the airplane toy with propellers in the bowl."/>
    <x:s v="crushed Coke can; crushed Pepsi can; airplane toy with propellers; green pencil sharpener"/>
    <x:s v="crushed Coke can"/>
    <x:s v="picked pepsi can; furthest from ariplane toy"/>
    <x:x v="1"/>
  </x:r>
  <x:r>
    <x:x v="1"/>
    <x:s v="Referential Disambiguation"/>
    <x:n v="37"/>
    <x:s v="Move the crushed Coke can into the bowl."/>
    <x:s v="crushed Coke can; crushed Pepsi can; airplane toy with propellers; green pencil sharpener"/>
    <x:s v="crushed Coke can"/>
    <x:s v="went for the coke can, but couldn't grasp it. Reasoning succeeded"/>
    <x:x v="2"/>
  </x:r>
  <x:r>
    <x:x v="0"/>
    <x:s v="Referential Disambiguation"/>
    <x:n v="38"/>
    <x:s v="Place the crushed soda can with the shortest distance to the airplane toy with propellers in the bowl."/>
    <x:s v="crushed Coke can; crushed Pepsi can; airplane toy with propellers; green pencil sharpener"/>
    <x:s v="crushed Coke can"/>
    <x:s v="failed reasoning. went for pepsi can, knocked it out of range, then got the coke can."/>
    <x:x v="3"/>
  </x:r>
  <x:r>
    <x:x v="0"/>
    <x:s v="Referential Disambiguation"/>
    <x:n v="39"/>
    <x:s v="Transfer the crushed Coke can into the bowl."/>
    <x:s v="crushed Coke can; crushed Pepsi can; airplane toy with propellers; green pencil sharpener"/>
    <x:s v="crushed Coke can"/>
    <x:m/>
    <x:x v="3"/>
  </x:r>
  <x:r>
    <x:x v="1"/>
    <x:s v="Referential Disambiguation"/>
    <x:n v="40"/>
    <x:s v="Put the pencil sharpener between the airplane toy with propellers and the yellow pen in the bowl."/>
    <x:s v="green pencil sharpener; red pencil sharpener; airplane toy with propellers; yellow pen; airplane toy without propellers"/>
    <x:s v="green pencil sharpener"/>
    <x:s v="picked the sharpener between the yellow pen and airplane toy without propellors"/>
    <x:x v="1"/>
  </x:r>
  <x:r>
    <x:x v="0"/>
    <x:s v="Referential Disambiguation"/>
    <x:n v="41"/>
    <x:s v="Move the green pencil sharpener into the bowl."/>
    <x:s v="green pencil sharpener; red pencil sharpener; airplane toy with propellers; yellow pen; airplane toy without propellers"/>
    <x:s v="green pencil sharpener"/>
    <x:m/>
    <x:x v="2"/>
  </x:r>
  <x:r>
    <x:x v="1"/>
    <x:s v="Referential Disambiguation"/>
    <x:n v="42"/>
    <x:s v="Place the pencil sharpener sitting between the airplane toy with propellers and the yellow pen in the bowl."/>
    <x:s v="green pencil sharpener; red pencil sharpener; airplane toy with propellers; yellow pen; airplane toy without propellers"/>
    <x:s v="green pencil sharpener"/>
    <x:s v="picked the sharpener between the yellow pen and airplane toy without propellors"/>
    <x:x v="3"/>
  </x:r>
  <x:r>
    <x:x v="0"/>
    <x:s v="Referential Disambiguation"/>
    <x:n v="43"/>
    <x:s v="Transfer the green pencil sharpener into the bowl."/>
    <x:s v="green pencil sharpener; red pencil sharpener; airplane toy with propellers; yellow pen; airplane toy without propellers"/>
    <x:s v="green pencil sharpener"/>
    <x:m/>
    <x:x v="3"/>
  </x:r>
  <x:r>
    <x:x v="1"/>
    <x:s v="Referential Disambiguation"/>
    <x:n v="44"/>
    <x:s v="Move the airplane toy furthest from the green pencil sharpener into the bowl."/>
    <x:s v="airplane toy with propellers; airplane toy without propellers; green pencil sharpener"/>
    <x:s v="airplane toy without propellers"/>
    <x:s v="picked the airplane toy closest"/>
    <x:x v="1"/>
  </x:r>
  <x:r>
    <x:x v="1"/>
    <x:s v="Referential Disambiguation"/>
    <x:n v="45"/>
    <x:s v="Pick up the airplane toy without propellers and place it in the bowl."/>
    <x:s v="airplane toy with propellers; airplane toy without propellers; green pencil sharpener"/>
    <x:s v="airplane toy without propellers"/>
    <x:s v="picked the propellor plane"/>
    <x:x v="2"/>
  </x:r>
  <x:r>
    <x:x v="1"/>
    <x:s v="Referential Disambiguation"/>
    <x:n v="46"/>
    <x:s v="Move whichever airplane toy is most distant from the green pencil sharpener into the bowl."/>
    <x:s v="airplane toy with propellers; airplane toy without propellers; green pencil sharpener"/>
    <x:s v="airplane toy without propellers"/>
    <x:s v="picked the airplane toy closest"/>
    <x:x v="3"/>
  </x:r>
  <x:r>
    <x:x v="1"/>
    <x:s v="Referential Disambiguation"/>
    <x:n v="47"/>
    <x:s v="Set the airplane toy without propellers inside the bowl."/>
    <x:s v="airplane toy with propellers; airplane toy without propellers; green pencil sharpener"/>
    <x:s v="airplane toy without propellers"/>
    <x:m/>
    <x:x v="3"/>
  </x:r>
  <x:r>
    <x:x v="0"/>
    <x:s v="Referential Disambiguation"/>
    <x:n v="48"/>
    <x:s v="Move the crushed soda can closest to the green pencil sharpener into the bowl."/>
    <x:s v="crushed Coke can; crushed Pepsi can; green pencil sharpener"/>
    <x:s v="crushed Pepsi can"/>
    <x:m/>
    <x:x v="1"/>
  </x:r>
  <x:r>
    <x:x v="0"/>
    <x:s v="Referential Disambiguation"/>
    <x:n v="49"/>
    <x:s v="Pick up the crushed Pepsi can and place it in the bowl."/>
    <x:s v="crushed Coke can; crushed Pepsi can; green pencil sharpener"/>
    <x:s v="crushed Pepsi can"/>
    <x:m/>
    <x:x v="2"/>
  </x:r>
  <x:r>
    <x:x v="0"/>
    <x:s v="Referential Disambiguation"/>
    <x:n v="50"/>
    <x:s v="Move whichever crushed soda can is nearer to the green pencil sharpener into the bowl."/>
    <x:s v="crushed Coke can; crushed Pepsi can; green pencil sharpener"/>
    <x:s v="crushed Pepsi can"/>
    <x:m/>
    <x:x v="3"/>
  </x:r>
  <x:r>
    <x:x v="0"/>
    <x:s v="Referential Disambiguation"/>
    <x:n v="51"/>
    <x:s v="Set the crushed Pepsi can inside the bowl."/>
    <x:s v="crushed Coke can; crushed Pepsi can; green pencil sharpener"/>
    <x:s v="crushed Pepsi can"/>
    <x:m/>
    <x:x v="3"/>
  </x:r>
  <x:r>
    <x:x v="0"/>
    <x:s v="Referential Disambiguation"/>
    <x:n v="52"/>
    <x:s v="Move the pencil sharpener between the crushed Pepsi can and the airplane toy without propellers into the bowl."/>
    <x:s v="green pencil sharpener; red pencil sharpener; crushed Pepsi can; airplane toy without propellers"/>
    <x:s v="red pencil sharpener"/>
    <x:m/>
    <x:x v="1"/>
  </x:r>
  <x:r>
    <x:x v="0"/>
    <x:s v="Referential Disambiguation"/>
    <x:n v="53"/>
    <x:s v="Move the red pencil sharpener into the bowl."/>
    <x:s v="green pencil sharpener; red pencil sharpener; crushed Pepsi can; airplane toy without propellers"/>
    <x:s v="red pencil sharpener"/>
    <x:m/>
    <x:x v="2"/>
  </x:r>
  <x:r>
    <x:x v="0"/>
    <x:s v="Referential Disambiguation"/>
    <x:n v="54"/>
    <x:s v="Move the pencil sharpener that lies on the segment joining the crushed Pepsi can and the airplane toy without propellers into the bowl."/>
    <x:s v="green pencil sharpener; red pencil sharpener; crushed Pepsi can; airplane toy without propellers"/>
    <x:s v="red pencil sharpener"/>
    <x:m/>
    <x:x v="3"/>
  </x:r>
  <x:r>
    <x:x v="0"/>
    <x:s v="Referential Disambiguation"/>
    <x:n v="55"/>
    <x:s v="Set the red pencil sharpener inside the bowl."/>
    <x:s v="green pencil sharpener; red pencil sharpener; crushed Pepsi can; airplane toy without propellers"/>
    <x:s v="red pencil sharpener"/>
    <x:m/>
    <x:x v="3"/>
  </x:r>
  <x:r>
    <x:x v="1"/>
    <x:s v="Referential Disambiguation"/>
    <x:n v="56"/>
    <x:s v="Pick up the airplane toy furthest from the yellow pen and place it in the bowl."/>
    <x:s v="airplane toy with propellers; airplane toy without propellers; yellow pen; green pen"/>
    <x:s v="airplane toy without propellers"/>
    <x:s v="successful reasoning, but failed grasping."/>
    <x:x v="1"/>
  </x:r>
  <x:r>
    <x:x v="0"/>
    <x:s v="Referential Disambiguation"/>
    <x:n v="57"/>
    <x:s v="Put the airplane toy without propellers in the bowl."/>
    <x:s v="airplane toy with propellers; airplane toy without propellers; yellow pen; green pen"/>
    <x:s v="airplane toy without propellers"/>
    <x:m/>
    <x:x v="2"/>
  </x:r>
  <x:r>
    <x:x v="0"/>
    <x:s v="Referential Disambiguation"/>
    <x:n v="58"/>
    <x:s v="Choose the airplane toy farthest from the yellow pen and put it in the bowl."/>
    <x:s v="airplane toy with propellers; airplane toy without propellers; yellow pen; green pen"/>
    <x:s v="airplane toy without propellers"/>
    <x:m/>
    <x:x v="3"/>
  </x:r>
  <x:r>
    <x:x v="0"/>
    <x:s v="Referential Disambiguation"/>
    <x:n v="59"/>
    <x:s v="Take the airplane toy without propellers and set it in the bowl."/>
    <x:s v="airplane toy with propellers; airplane toy without propellers; yellow pen; green pen"/>
    <x:s v="airplane toy without propellers"/>
    <x:m/>
    <x:x v="3"/>
  </x:r>
  <x:r>
    <x:x v="1"/>
    <x:s v="Referential Disambiguation"/>
    <x:n v="60"/>
    <x:s v="Pick up the crushed soda can closest to the yellow pen and place it in the bowl."/>
    <x:s v="crushed Coke can; crushed Pepsi can; yellow pen; red pencil sharpener"/>
    <x:s v="crushed Pepsi can"/>
    <x:s v="picked the can furthest from the yellow pen"/>
    <x:x v="1"/>
  </x:r>
  <x:r>
    <x:x v="1"/>
    <x:s v="Referential Disambiguation"/>
    <x:n v="61"/>
    <x:s v="Put the crushed Pepsi can in the bowl."/>
    <x:s v="crushed Coke can; crushed Pepsi can; yellow pen; red pencil sharpener"/>
    <x:s v="crushed Pepsi can"/>
    <x:s v="picked coke can"/>
    <x:x v="2"/>
  </x:r>
  <x:r>
    <x:x v="1"/>
    <x:s v="Referential Disambiguation"/>
    <x:n v="62"/>
    <x:s v="Pick up the pencil sharpener between the green pen and the crushed Coke can and place it in the bowl."/>
    <x:s v="green pencil sharpener; red pencil sharpener; green pen; crushed Coke can; yellow pen"/>
    <x:s v="red pencil sharpener"/>
    <x:s v="picked the green pencil sharpener"/>
    <x:x v="1"/>
  </x:r>
  <x:r>
    <x:x v="0"/>
    <x:s v="Referential Disambiguation"/>
    <x:n v="63"/>
    <x:s v="Put the red pencil sharpener in the bowl."/>
    <x:s v="green pencil sharpener; red pencil sharpener; green pen; crushed Coke can; yellow pen"/>
    <x:s v="red pencil sharpener"/>
    <x:m/>
    <x:x v="2"/>
  </x:r>
  <x:r>
    <x:x v="1"/>
    <x:s v="Referential Disambiguation"/>
    <x:n v="64"/>
    <x:s v="Put the airplane toy furthest from the crushed Pepsi can in the bowl."/>
    <x:s v="airplane toy with propellers; airplane toy without propellers; crushed Pepsi can"/>
    <x:s v="airplane toy with propellers"/>
    <x:s v="picked closest"/>
    <x:x v="1"/>
  </x:r>
  <x:r>
    <x:x v="1"/>
    <x:s v="Referential Disambiguation"/>
    <x:n v="65"/>
    <x:s v="Put the airplane toy with propellers in the bowl."/>
    <x:s v="airplane toy with propellers; airplane toy without propellers; crushed Pepsi can"/>
    <x:s v="airplane toy with propellers"/>
    <x:s v="picked non-propellor plane"/>
    <x:x v="2"/>
  </x:r>
  <x:r>
    <x:x v="1"/>
    <x:s v="Referential Disambiguation"/>
    <x:n v="66"/>
    <x:s v="Put the crushed soda can closest to the airplane toy without propellers in the bowl."/>
    <x:s v="crushed Coke can; crushed Pepsi can; airplane toy without propellers"/>
    <x:s v="crushed Coke can"/>
    <x:s v="successful reasoning, but knocked can over and couldn't recover"/>
    <x:x v="1"/>
  </x:r>
  <x:r>
    <x:x v="1"/>
    <x:s v="Referential Disambiguation"/>
    <x:n v="67"/>
    <x:s v="Pick up the crushed Coke can and place it in the bowl."/>
    <x:s v="crushed Coke can; crushed Pepsi can; airplane toy without propellers"/>
    <x:s v="crushed Coke can"/>
    <x:s v="went for the coke can, but couldn't grasp it. successfully went for coke can, but then started to go for the airplane toy"/>
    <x:x v="2"/>
  </x:r>
  <x:r>
    <x:x v="1"/>
    <x:s v="Referential Disambiguation"/>
    <x:n v="68"/>
    <x:s v="Put the pencil sharpener between the airplane toy with propellers and the yellow pen in the bowl."/>
    <x:s v="green pencil sharpener; red pencil sharpener; airplane toy with propellers; yellow pen"/>
    <x:s v="green pencil sharpener"/>
    <x:s v="picked the red pencil sharpener"/>
    <x:x v="1"/>
  </x:r>
  <x:r>
    <x:x v="0"/>
    <x:s v="Referential Disambiguation"/>
    <x:n v="69"/>
    <x:s v="Pick up the green pencil sharpener and place it in the bowl."/>
    <x:s v="green pencil sharpener; red pencil sharpener; airplane toy with propellers; yellow pen"/>
    <x:s v="green pencil sharpener"/>
    <x:m/>
    <x:x v="2"/>
  </x:r>
  <x:r>
    <x:x v="0"/>
    <x:s v="Referential Disambiguation"/>
    <x:n v="70"/>
    <x:s v="Move the airplane toy furthest from the red pencil sharpener into the bowl."/>
    <x:s v="airplane toy with propellers; airplane toy without propellers; red pencil sharpener; crushed Coke can"/>
    <x:s v="airplane toy with propellers"/>
    <x:m/>
    <x:x v="1"/>
  </x:r>
  <x:r>
    <x:x v="1"/>
    <x:s v="Referential Disambiguation"/>
    <x:n v="71"/>
    <x:s v="Move the airplane toy with propellers into the bowl."/>
    <x:s v="airplane toy with propellers; airplane toy without propellers; red pencil sharpener; crushed Coke can"/>
    <x:s v="airplane toy with propellers"/>
    <x:s v="succeeded reasoning, but failed grasping"/>
    <x:x v="2"/>
  </x:r>
  <x:r>
    <x:x v="0"/>
    <x:s v="Referential Disambiguation"/>
    <x:n v="72"/>
    <x:s v="Move the crushed soda can closest to the red pencil sharpener into the bowl."/>
    <x:s v="crushed Coke can; crushed Pepsi can; red pencil sharpener; yellow pen"/>
    <x:s v="crushed Coke can"/>
    <x:m/>
    <x:x v="1"/>
  </x:r>
  <x:r>
    <x:x v="0"/>
    <x:s v="Referential Disambiguation"/>
    <x:n v="73"/>
    <x:s v="Put the crushed Coke can in the bowl."/>
    <x:s v="crushed Coke can; crushed Pepsi can; red pencil sharpener; yellow pen"/>
    <x:s v="crushed Coke can"/>
    <x:m/>
    <x:x v="2"/>
  </x:r>
  <x:r>
    <x:x v="1"/>
    <x:s v="Referential Disambiguation"/>
    <x:n v="74"/>
    <x:s v="Move the pencil sharpener between the crushed Pepsi can and the airplane toy without propellers into the bowl."/>
    <x:s v="green pencil sharpener; red pencil sharpener; crushed Pepsi can; airplane toy without propellers; airplane toy with propellers"/>
    <x:s v="green pencil sharpener"/>
    <x:s v="picked the red pencil sharpener"/>
    <x:x v="1"/>
  </x:r>
  <x:r>
    <x:x v="0"/>
    <x:s v="Referential Disambiguation"/>
    <x:n v="75"/>
    <x:s v="Put the green pencil sharpener in the bowl."/>
    <x:s v="green pencil sharpener; red pencil sharpener; crushed Pepsi can; airplane toy without propellers; airplane toy with propellers"/>
    <x:s v="green pencil sharpener"/>
    <x:m/>
    <x:x v="2"/>
  </x:r>
  <x:r>
    <x:x v="1"/>
    <x:s v="Referential Disambiguation"/>
    <x:n v="76"/>
    <x:s v="Pick up the airplane toy furthest from the green pen and place it in the bowl."/>
    <x:s v="airplane toy with propellers; airplane toy without propellers; green pen"/>
    <x:s v="airplane toy without propellers"/>
    <x:s v="picked closest"/>
    <x:x v="1"/>
  </x:r>
  <x:r>
    <x:x v="0"/>
    <x:s v="Referential Disambiguation"/>
    <x:n v="77"/>
    <x:s v="Put the airplane toy without propellers in the bowl."/>
    <x:s v="airplane toy with propellers; airplane toy without propellers; green pen"/>
    <x:s v="airplane toy without propellers"/>
    <x:m/>
    <x:x v="2"/>
  </x:r>
  <x:r>
    <x:x v="0"/>
    <x:s v="Referential Disambiguation"/>
    <x:n v="78"/>
    <x:s v="Pick up the crushed soda can closest to the green pen and place it in the bowl."/>
    <x:s v="crushed Coke can; crushed Pepsi can; green pen"/>
    <x:s v="crushed Pepsi can"/>
    <x:m/>
    <x:x v="1"/>
  </x:r>
  <x:r>
    <x:x v="0"/>
    <x:s v="Referential Disambiguation"/>
    <x:n v="79"/>
    <x:s v="Move the crushed Pepsi can into the bowl."/>
    <x:s v="crushed Coke can; crushed Pepsi can; green pen"/>
    <x:s v="crushed Pepsi can"/>
    <x:m/>
    <x:x v="2"/>
  </x:r>
  <x:r>
    <x:x v="0"/>
    <x:s v="Referential Disambiguation"/>
    <x:n v="80"/>
    <x:s v="Pick up the pencil sharpener between the green pen and the crushed Coke can and place it in the bowl."/>
    <x:s v="green pencil sharpener; red pencil sharpener; green pen; crushed Coke can"/>
    <x:s v="red pencil sharpener"/>
    <x:m/>
    <x:x v="1"/>
  </x:r>
  <x:r>
    <x:x v="1"/>
    <x:s v="Referential Disambiguation"/>
    <x:n v="81"/>
    <x:s v="Put the airplane toy furthest from the crushed Coke can in the bowl."/>
    <x:s v="airplane toy with propellers; airplane toy without propellers; crushed Coke can; green pencil sharpener"/>
    <x:s v="airplane toy without propellers"/>
    <x:s v="picked closest"/>
    <x:x v="1"/>
  </x:r>
  <x:r>
    <x:x v="1"/>
    <x:s v="Referential Disambiguation"/>
    <x:n v="82"/>
    <x:s v="Put the crushed soda can closest to the airplane toy with propellers in the bowl."/>
    <x:s v="crushed Coke can; crushed Pepsi can; airplane toy with propellers; yellow pen"/>
    <x:s v="crushed Pepsi can"/>
    <x:s v="picked the coke can; furthest"/>
    <x:x v="1"/>
  </x:r>
  <x:r>
    <x:x v="0"/>
    <x:s v="Referential Disambiguation"/>
    <x:n v="83"/>
    <x:s v="Put the pencil sharpener between the airplane toy with propellers and the yellow pen in the bowl."/>
    <x:s v="green pencil sharpener; red pencil sharpener; airplane toy with propellers; yellow pen; crushed Pepsi can"/>
    <x:s v="red pencil sharpener"/>
    <x:s v="failed reasoning; first went for the yellow pen and picked it, but dropped it. Then during recovery got the red pencil sharpener."/>
    <x:x v="1"/>
  </x:r>
  <x:r>
    <x:x v="0"/>
    <x:s v="Referential Disambiguation"/>
    <x:n v="84"/>
    <x:s v="Move the airplane toy furthest from the green pencil sharpener into the bowl."/>
    <x:s v="airplane toy with propellers; airplane toy without propellers; green pencil sharpener"/>
    <x:s v="airplane toy with propellers"/>
    <x:m/>
    <x:x v="1"/>
  </x:r>
  <x:r>
    <x:x v="1"/>
    <x:s v="Referential Disambiguation"/>
    <x:n v="85"/>
    <x:s v="Move the crushed soda can closest to the green pencil sharpener into the bowl."/>
    <x:s v="crushed Coke can; crushed Pepsi can; green pencil sharpener"/>
    <x:s v="crushed Coke can"/>
    <x:s v="picked pepsi can"/>
    <x:x v="1"/>
  </x:r>
  <x:r>
    <x:x v="1"/>
    <x:s v="Referential Disambiguation"/>
    <x:n v="86"/>
    <x:s v="Move the pencil sharpener between the crushed Pepsi can and the airplane toy without propellers into the bowl."/>
    <x:s v="green pencil sharpener; red pencil sharpener; crushed Pepsi can; airplane toy without propellers"/>
    <x:s v="green pencil sharpener"/>
    <x:s v="picked airplane toy"/>
    <x:x v="1"/>
  </x:r>
  <x:r>
    <x:x v="1"/>
    <x:s v="Referential Disambiguation"/>
    <x:n v="87"/>
    <x:s v="Pick up the airplane toy furthest from the yellow pen and place it in the bowl."/>
    <x:s v="airplane toy with propellers; airplane toy without propellers; yellow pen; green pencil sharpener"/>
    <x:s v="airplane toy with propellers"/>
    <x:s v="picked airplane toy closest"/>
    <x:x v="1"/>
  </x:r>
  <x:r>
    <x:x v="1"/>
    <x:s v="Referential Disambiguation"/>
    <x:n v="88"/>
    <x:s v="Pick up the crushed soda can closest to the yellow pen and place it in the bowl."/>
    <x:s v="crushed Coke can; crushed Pepsi can; yellow pen; airplane toy without propellers"/>
    <x:s v="crushed Coke can"/>
    <x:s v="went for crushed coke can, knocked it over, then picked and placed yellow pen in the bowl during recovery."/>
    <x:x v="1"/>
  </x:r>
  <x:r>
    <x:x v="1"/>
    <x:s v="Referential Disambiguation"/>
    <x:n v="89"/>
    <x:s v="Pick up the pencil sharpener between the green pen and the crushed Coke can and place it in the bowl."/>
    <x:s v="green pencil sharpener; red pencil sharpener; green pen; crushed Coke can; airplane toy without propellers"/>
    <x:s v="green pencil sharpener"/>
    <x:s v="picked red pencil sharpener"/>
    <x:x v="1"/>
  </x:r>
  <x:r>
    <x:x v="1"/>
    <x:s v="Referential Disambiguation"/>
    <x:n v="90"/>
    <x:s v="Put the airplane toy furthest from the crushed Pepsi can in the bowl."/>
    <x:s v="airplane toy with propellers; airplane toy without propellers; crushed Pepsi can"/>
    <x:s v="airplane toy without propellers"/>
    <x:s v="picked closest airplane toy"/>
    <x:x v="1"/>
  </x:r>
  <x:r>
    <x:x v="1"/>
    <x:s v="Referential Disambiguation"/>
    <x:n v="91"/>
    <x:s v="Put the crushed soda can closest to the airplane toy without propellers in the bowl."/>
    <x:s v="crushed Coke can; crushed Pepsi can; airplane toy without propellers"/>
    <x:s v="crushed Pepsi can"/>
    <x:s v="picked soda can furthest from airplane toy"/>
    <x:x v="1"/>
  </x:r>
  <x:r>
    <x:x v="0"/>
    <x:s v="Referential Disambiguation"/>
    <x:n v="92"/>
    <x:s v="Put the pencil sharpener between the airplane toy with propellers and the yellow pen in the bowl."/>
    <x:s v="green pencil sharpener; red pencil sharpener; airplane toy with propellers; yellow pen"/>
    <x:s v="red pencil sharpener"/>
    <x:m/>
    <x:x v="1"/>
  </x:r>
  <x:r>
    <x:x v="1"/>
    <x:s v="Referential Disambiguation"/>
    <x:n v="93"/>
    <x:s v="Move the airplane toy furthest from the red pencil sharpener into the bowl."/>
    <x:s v="airplane toy with propellers; airplane toy without propellers; red pencil sharpener; green pen"/>
    <x:s v="airplane toy without propellers"/>
    <x:s v="picked the one closest"/>
    <x:x v="1"/>
  </x:r>
  <x:r>
    <x:x v="1"/>
    <x:s v="Referential Disambiguation"/>
    <x:n v="94"/>
    <x:s v="Move the crushed soda can closest to the red pencil sharpener into the bowl."/>
    <x:s v="crushed Coke can; crushed Pepsi can; red pencil sharpener; green pencil sharpener"/>
    <x:s v="crushed Pepsi can"/>
    <x:s v="picked coke can"/>
    <x:x v="1"/>
  </x:r>
  <x:r>
    <x:x v="0"/>
    <x:s v="Referential Disambiguation"/>
    <x:n v="95"/>
    <x:s v="Move the pencil sharpener between the crushed Pepsi can and the airplane toy without propellers into the bowl."/>
    <x:s v="green pencil sharpener; red pencil sharpener; crushed Pepsi can; airplane toy without propellers; green pen"/>
    <x:s v="red pencil sharpener"/>
    <x:m/>
    <x:x v="1"/>
  </x:r>
  <x:r>
    <x:x v="1"/>
    <x:s v="Referential Disambiguation"/>
    <x:n v="96"/>
    <x:s v="Pick up the airplane toy furthest from the green pen and place it in the bowl."/>
    <x:s v="airplane toy with propellers; airplane toy without propellers; green pen"/>
    <x:s v="airplane toy with propellers"/>
    <x:s v="picked closest"/>
    <x:x v="1"/>
  </x:r>
  <x:r>
    <x:x v="1"/>
    <x:s v="Referential Disambiguation"/>
    <x:n v="97"/>
    <x:s v="Pick up the crushed soda can closest to the green pen and place it in the bowl."/>
    <x:s v="crushed Coke can; crushed Pepsi can; green pen"/>
    <x:s v="crushed Coke can"/>
    <x:s v="went for pepsi can, knocked it over, and tried again, but couldn't get it."/>
    <x:x v="1"/>
  </x:r>
  <x:r>
    <x:x v="0"/>
    <x:s v="Referential Disambiguation"/>
    <x:n v="98"/>
    <x:s v="Pick up the pencil sharpener between the green pen and the crushed Coke can and place it in the bowl."/>
    <x:s v="green pencil sharpener; red pencil sharpener; green pen; crushed Coke can"/>
    <x:s v="green pencil sharpener"/>
    <x:m/>
    <x:x v="1"/>
  </x:r>
  <x:r>
    <x:x v="0"/>
    <x:s v="Referential Disambiguation"/>
    <x:n v="99"/>
    <x:s v="Put the airplane toy furthest from the crushed Coke can in the bowl."/>
    <x:s v="airplane toy with propellers; airplane toy without propellers; crushed Coke can; yellow pen"/>
    <x:s v="airplane toy with propellers"/>
    <x:m/>
    <x:x v="1"/>
  </x:r>
  <x:r>
    <x:x v="1"/>
    <x:s v="Referential Disambiguation"/>
    <x:n v="100"/>
    <x:s v="Put the crushed soda can closest to the airplane toy with propellers in the bowl."/>
    <x:s v="crushed Coke can; crushed Pepsi can; airplane toy with propellers; red pencil sharpener"/>
    <x:s v="crushed Coke can"/>
    <x:s v="picked pepsi can"/>
    <x:x v="1"/>
  </x:r>
  <x:r>
    <x:x v="1"/>
    <x:s v="Referential Disambiguation"/>
    <x:n v="101"/>
    <x:s v="Put the pencil sharpener between the airplane toy with propellers and the yellow pen in the bowl."/>
    <x:s v="green pencil sharpener; red pencil sharpener; airplane toy with propellers; yellow pen; airplane toy without propellers"/>
    <x:s v="green pencil sharpener"/>
    <x:s v="just started grasping nothing in the workspace"/>
    <x:x v="1"/>
  </x:r>
  <x:r>
    <x:x v="1"/>
    <x:s v="Referential Disambiguation"/>
    <x:n v="102"/>
    <x:s v="Move the airplane toy furthest from the green pencil sharpener into the bowl."/>
    <x:s v="airplane toy with propellers; airplane toy without propellers; green pencil sharpener"/>
    <x:s v="airplane toy without propellers"/>
    <x:s v="picked closest airplane toy"/>
    <x:x v="1"/>
  </x:r>
  <x:r>
    <x:x v="1"/>
    <x:s v="Referential Disambiguation"/>
    <x:n v="103"/>
    <x:s v="Move the crushed soda can closest to the green pencil sharpener into the bowl."/>
    <x:s v="crushed Coke can; crushed Pepsi can; green pencil sharpener"/>
    <x:s v="crushed Pepsi can"/>
    <x:s v="picked furthest soda can"/>
    <x:x v="1"/>
  </x:r>
  <x:r>
    <x:x v="0"/>
    <x:s v="Referential Disambiguation"/>
    <x:n v="104"/>
    <x:s v="Move the pencil sharpener between the crushed Pepsi can and the airplane toy without propellers into the bowl."/>
    <x:s v="green pencil sharpener; red pencil sharpener; crushed Pepsi can; airplane toy without propellers"/>
    <x:s v="red pencil sharpener"/>
    <x:m/>
    <x:x v="1"/>
  </x:r>
  <x:r>
    <x:x v="0"/>
    <x:s v="Referential Disambiguation"/>
    <x:n v="105"/>
    <x:s v="Pick up the airplane toy furthest from the yellow pen and place it in the bowl."/>
    <x:s v="airplane toy with propellers; airplane toy without propellers; yellow pen; crushed Coke can"/>
    <x:s v="airplane toy without propellers"/>
    <x:m/>
    <x:x v="1"/>
  </x:r>
  <x:r>
    <x:x v="1"/>
    <x:s v="Referential Disambiguation"/>
    <x:n v="106"/>
    <x:s v="Pick up the crushed soda can closest to the yellow pen and place it in the bowl."/>
    <x:s v="crushed Coke can; crushed Pepsi can; yellow pen; green pen"/>
    <x:s v="crushed Pepsi can"/>
    <x:s v="picked the coke can; furthest from yellow pen, closest to green pen."/>
    <x:x v="1"/>
  </x:r>
  <x:r>
    <x:x v="0"/>
    <x:s v="Referential Disambiguation"/>
    <x:n v="107"/>
    <x:s v="Pick up the pencil sharpener between the green pen and the crushed Coke can and place it in the bowl."/>
    <x:s v="green pencil sharpener; red pencil sharpener; green pen; crushed Coke can; yellow pen"/>
    <x:s v="red pencil sharpener"/>
    <x:m/>
    <x:x v="1"/>
  </x:r>
  <x:r>
    <x:x v="0"/>
    <x:s v="Referential Disambiguation"/>
    <x:n v="108"/>
    <x:s v="Put the airplane toy furthest from the crushed Pepsi can in the bowl."/>
    <x:s v="airplane toy with propellers; airplane toy without propellers; crushed Pepsi can; green pen"/>
    <x:s v="airplane toy with propellers"/>
    <x:m/>
    <x:x v="1"/>
  </x:r>
  <x:r>
    <x:x v="1"/>
    <x:s v="Referential Disambiguation"/>
    <x:n v="109"/>
    <x:s v="Put the crushed soda can closest to the airplane toy without propellers in the bowl."/>
    <x:s v="crushed Coke can; crushed Pepsi can; airplane toy without propellers; green pencil sharpener"/>
    <x:s v="crushed Coke can"/>
    <x:s v="picked furthest from airplane toy/closest to green pencil sharpener"/>
    <x:x v="1"/>
  </x:r>
  <x:r>
    <x:x v="1"/>
    <x:s v="Referential Disambiguation"/>
    <x:n v="110"/>
    <x:s v="Pick up the block closest to the crushed Coke can and place it in the bowl."/>
    <x:s v="green block; blue block; crushed Coke can"/>
    <x:s v="green block"/>
    <x:s v="picked up the coke can"/>
    <x:x v="13"/>
  </x:r>
  <x:r>
    <x:x v="1"/>
    <x:s v="Referential Disambiguation"/>
    <x:n v="111"/>
    <x:s v="Put the block furthest from the crushed Coke can in the bowl."/>
    <x:s v="green block; blue block; crushed Coke can"/>
    <x:s v="blue block"/>
    <x:s v="tried picking the crushed coke can, but failed to grasp it. During recovery, got the green block, which was right next to the coke can."/>
    <x:x v="13"/>
  </x:r>
  <x:r>
    <x:x v="1"/>
    <x:s v="Referential Disambiguation"/>
    <x:n v="112"/>
    <x:s v="Put the block closest to the green pencil sharpener in the bowl."/>
    <x:s v="green block; blue block; green pencil sharpener; airplane toy without propellers"/>
    <x:s v="blue block"/>
    <x:s v="picked green block"/>
    <x:x v="13"/>
  </x:r>
  <x:r>
    <x:x v="1"/>
    <x:s v="Referential Disambiguation"/>
    <x:n v="113"/>
    <x:s v="Move the block furthest from the green pencil sharpener into the bowl."/>
    <x:s v="green block; blue block; green pencil sharpener; airplane toy without propellers"/>
    <x:s v="green block"/>
    <x:s v="picked green pencil sharpener"/>
    <x:x v="13"/>
  </x:r>
  <x:r>
    <x:x v="0"/>
    <x:s v="Referential Disambiguation"/>
    <x:n v="114"/>
    <x:s v="Move the block closest to the green pen into the bowl."/>
    <x:s v="green block; blue block; green pen"/>
    <x:s v="green block"/>
    <x:m/>
    <x:x v="13"/>
  </x:r>
  <x:r>
    <x:x v="0"/>
    <x:s v="Referential Disambiguation"/>
    <x:n v="115"/>
    <x:s v="Pick up the block furthest from the green pen and place it in the bowl."/>
    <x:s v="green block; blue block; green pen"/>
    <x:s v="blue block"/>
    <x:m/>
    <x:x v="13"/>
  </x:r>
  <x:r>
    <x:x v="0"/>
    <x:s v="Referential Disambiguation"/>
    <x:n v="116"/>
    <x:s v="Pick up the block closest to the airplane toy with propellers and place it in the bowl."/>
    <x:s v="green block; blue block; airplane toy with propellers; crushed Pepsi can"/>
    <x:s v="blue block"/>
    <x:m/>
    <x:x v="13"/>
  </x:r>
  <x:r>
    <x:x v="0"/>
    <x:s v="Referential Disambiguation"/>
    <x:n v="117"/>
    <x:s v="Put the block furthest from the airplane toy with propellers in the bowl."/>
    <x:s v="green block; blue block; airplane toy with propellers; crushed Pepsi can"/>
    <x:s v="green block"/>
    <x:m/>
    <x:x v="13"/>
  </x:r>
  <x:r>
    <x:x v="1"/>
    <x:s v="Referential Disambiguation"/>
    <x:n v="118"/>
    <x:s v="Put the block closest to the crushed Coke can in the bowl."/>
    <x:s v="green block; blue block; crushed Coke can"/>
    <x:s v="green block"/>
    <x:s v="picked the coke can"/>
    <x:x v="13"/>
  </x:r>
  <x:r>
    <x:x v="0"/>
    <x:s v="Referential Disambiguation"/>
    <x:n v="119"/>
    <x:s v="Move the block furthest from the crushed Coke can into the bowl."/>
    <x:s v="green block; blue block; crushed Coke can"/>
    <x:s v="blue block"/>
    <x:m/>
    <x:x v="13"/>
  </x:r>
  <x:r>
    <x:x v="0"/>
    <x:s v="Referential Disambiguation"/>
    <x:n v="120"/>
    <x:s v="Move the block closest to the green pencil sharpener into the bowl."/>
    <x:s v="green block; blue block; green pencil sharpener; green pen"/>
    <x:s v="blue block"/>
    <x:m/>
    <x:x v="13"/>
  </x:r>
  <x:r>
    <x:x v="1"/>
    <x:s v="Referential Disambiguation"/>
    <x:n v="121"/>
    <x:s v="Pick up the block furthest from the green pencil sharpener and place it in the bowl."/>
    <x:s v="green block; blue block; green pencil sharpener; green pen"/>
    <x:s v="green block"/>
    <x:s v="tried to pick the green block, got it and dropped it. Then during recovery picked up the green pencil sharpener"/>
    <x:x v="13"/>
  </x:r>
  <x:r>
    <x:x v="0"/>
    <x:s v="Referential Disambiguation"/>
    <x:n v="122"/>
    <x:s v="Pick up the block closest to the green pen and place it in the bowl."/>
    <x:s v="green block; blue block; green pen; yellow pen"/>
    <x:s v="green block"/>
    <x:m/>
    <x:x v="13"/>
  </x:r>
  <x:r>
    <x:x v="1"/>
    <x:s v="Referential Disambiguation"/>
    <x:n v="123"/>
    <x:s v="Put the block furthest from the green pen in the bowl."/>
    <x:s v="green block; blue block; green pen; yellow pen"/>
    <x:s v="blue block"/>
    <x:s v="picked the green block"/>
    <x:x v="13"/>
  </x:r>
  <x:r>
    <x:x v="0"/>
    <x:s v="Referential Disambiguation"/>
    <x:n v="124"/>
    <x:s v="Pick up the block between the green pen and the crushed Coke can and place it in the bowl."/>
    <x:s v="green block; blue block; green pen; crushed Coke can"/>
    <x:s v="green block"/>
    <x:m/>
    <x:x v="13"/>
  </x:r>
  <x:r>
    <x:x v="0"/>
    <x:s v="Referential Disambiguation"/>
    <x:n v="125"/>
    <x:s v="Put the block between the yellow pen and the crushed Pepsi can in the bowl."/>
    <x:s v="green block; blue block; yellow pen; crushed Pepsi can; red pencil sharpener"/>
    <x:s v="blue block"/>
    <x:m/>
    <x:x v="13"/>
  </x:r>
  <x:r>
    <x:x v="0"/>
    <x:s v="Referential Disambiguation"/>
    <x:n v="126"/>
    <x:s v="Move the block between the green pencil sharpener and the airplane toy with propellers into the bowl."/>
    <x:s v="green block; blue block; green pencil sharpener; airplane toy with propellers; green pen"/>
    <x:s v="green block"/>
    <x:m/>
    <x:x v="13"/>
  </x:r>
  <x:r>
    <x:x v="1"/>
    <x:s v="Referential Disambiguation"/>
    <x:n v="127"/>
    <x:s v="Pick up the block between the red pencil sharpener and the airplane toy without propellers and place it in the bowl."/>
    <x:s v="green block; blue block; red pencil sharpener; airplane toy without propellers"/>
    <x:s v="blue block"/>
    <x:s v="picked the red pencil sharpener"/>
    <x:x v="13"/>
  </x:r>
  <x:r>
    <x:x v="0"/>
    <x:s v="Referential Disambiguation"/>
    <x:n v="128"/>
    <x:s v="Put the block between the green pen and the airplane toy without propellers in the bowl."/>
    <x:s v="green block; blue block; green pen; airplane toy without propellers"/>
    <x:s v="green block"/>
    <x:m/>
    <x:x v="13"/>
  </x:r>
  <x:r>
    <x:x v="1"/>
    <x:s v="Referential Disambiguation"/>
    <x:n v="129"/>
    <x:s v="Move the block between the yellow pen and the airplane toy with propellers into the bowl."/>
    <x:s v="green block; blue block; yellow pen; airplane toy with propellers; crushed Coke can"/>
    <x:s v="blue block"/>
    <x:s v="picked green block between the yellow pen and coke can"/>
    <x:x v="13"/>
  </x:r>
  <x:r>
    <x:x v="1"/>
    <x:s v="Referential Disambiguation"/>
    <x:n v="130"/>
    <x:s v="Pick up the crushed soda can between the green pen and the airplane toy with propellers and place it in the bowl."/>
    <x:s v="green pen; airplane toy with propellers; yellow pen; airplane toy without propellers"/>
    <x:s v="NO-OP; neither crushed Coke can nor crushed Pepsi can is present"/>
    <x:s v="picked the airplane toy closest to the green pen"/>
    <x:x v="14"/>
  </x:r>
  <x:r>
    <x:x v="1"/>
    <x:s v="Referential Disambiguation"/>
    <x:n v="131"/>
    <x:s v="Pick up the pencil sharpener closest to the crushed Coke can and place it in the bowl."/>
    <x:s v="crushed Coke can; green pen; yellow pen"/>
    <x:s v="NO-OP; neither green pencil sharpener nor red pencil sharpener is present"/>
    <x:s v="picked the green pen"/>
    <x:x v="14"/>
  </x:r>
  <x:r>
    <x:x v="1"/>
    <x:s v="Referential Disambiguation"/>
    <x:n v="132"/>
    <x:s v="Put the airplane toy closest to the green pencil sharpener in the bowl."/>
    <x:s v="green pencil sharpener; red pencil sharpener; green pen; yellow pen"/>
    <x:s v="NO-OP; neither airplane toy with propellers nor airplane toy without propellers is present"/>
    <x:s v="picked green pencil sharpener"/>
    <x:x v="14"/>
  </x:r>
  <x:r>
    <x:x v="1"/>
    <x:s v="Referential Disambiguation"/>
    <x:n v="133"/>
    <x:s v="Pick up the pen furthest from the crushed Pepsi can and place it in the bowl."/>
    <x:s v="crushed Pepsi can; airplane toy with propellers; airplane toy without propellers"/>
    <x:s v="NO-OP; neither green pen nor yellow pen is present"/>
    <x:s v="picked pepsi can"/>
    <x:x v="14"/>
  </x:r>
  <x:r>
    <x:x v="1"/>
    <x:s v="Referential Disambiguation"/>
    <x:n v="134"/>
    <x:s v="Put the crushed soda can furthest from the airplane toy without propellers in the bowl."/>
    <x:s v="airplane toy without propellers; airplane toy with propellers; green pencil sharpener; red pencil sharpener"/>
    <x:s v="NO-OP; neither crushed Coke can nor crushed Pepsi can is present"/>
    <x:s v="tried picking up thge airplane toy with propellors and then dropped it and then picked up the red pencil sharpener in the bowl during recovery"/>
    <x:x v="14"/>
  </x:r>
  <x:r>
    <x:x v="1"/>
    <x:s v="Referential Disambiguation"/>
    <x:n v="135"/>
    <x:s v="Move the pencil sharpener furthest from the airplane toy without propellers into the bowl."/>
    <x:s v="airplane toy without propellers; crushed Coke can; crushed Pepsi can"/>
    <x:s v="NO-OP; neither green pencil sharpener nor red pencil sharpener is present"/>
    <x:s v="picked airplane toy"/>
    <x:x v="14"/>
  </x:r>
  <x:r>
    <x:x v="1"/>
    <x:s v="Referential Disambiguation"/>
    <x:n v="136"/>
    <x:s v="Put the airplane toy between the green pen and the crushed Coke can in the bowl."/>
    <x:s v="green pen; crushed Coke can; crushed Pepsi can; green pencil sharpener; red pencil sharpener"/>
    <x:s v="NO-OP; neither airplane toy with propellers nor airplane toy without propellers is present"/>
    <x:s v="tried picking the coke can, knocked it over, and couldn't recover"/>
    <x:x v="14"/>
  </x:r>
  <x:r>
    <x:x v="1"/>
    <x:s v="Referential Disambiguation"/>
    <x:n v="137"/>
    <x:s v="Move the pen closest to the green pencil sharpener into the bowl."/>
    <x:s v="green pencil sharpener; red pencil sharpener; airplane toy with propellers"/>
    <x:s v="NO-OP; neither green pen nor yellow pen is present"/>
    <x:s v="picked green pencil sharpener"/>
    <x:x v="14"/>
  </x:r>
  <x:r>
    <x:x v="1"/>
    <x:s v="Referential Disambiguation"/>
    <x:n v="138"/>
    <x:s v="Move the crushed soda can between the airplane toy without propellers and the red pencil sharpener into the bowl."/>
    <x:s v="airplane toy without propellers; red pencil sharpener; yellow pen; airplane toy with propellers"/>
    <x:s v="NO-OP; neither crushed Coke can nor crushed Pepsi can is present"/>
    <x:s v="picked the red pencil sharpener"/>
    <x:x v="14"/>
  </x:r>
  <x:r>
    <x:x v="1"/>
    <x:s v="Referential Disambiguation"/>
    <x:n v="139"/>
    <x:s v="Pick up the pencil sharpener closest to the yellow pen and place it in the bowl."/>
    <x:s v="yellow pen; airplane toy without propellers; crushed Coke can; crushed Pepsi can"/>
    <x:s v="NO-OP; neither green pencil sharpener nor red pencil sharpener is present"/>
    <x:s v="picked the coke can"/>
    <x:x v="14"/>
  </x:r>
  <x:r>
    <x:x v="1"/>
    <x:s v="Referential Disambiguation"/>
    <x:n v="140"/>
    <x:s v="Pick up the airplane toy between the green pencil sharpener and the yellow pen and place it in the bowl."/>
    <x:s v="green pencil sharpener; yellow pen; crushed Coke can; crushed Pepsi can; red pencil sharpener"/>
    <x:s v="NO-OP; neither airplane toy with propellers nor airplane toy without propellers is present"/>
    <x:s v="tried picking the coke can, knocked it over, and couldn't recover"/>
    <x:x v="14"/>
  </x:r>
  <x:r>
    <x:x v="1"/>
    <x:s v="Referential Disambiguation"/>
    <x:n v="141"/>
    <x:s v="Pick up the pen furthest from the airplane toy without propellers and place it in the bowl."/>
    <x:s v="airplane toy without propellers; crushed Pepsi can; green pencil sharpener; red pencil sharpener"/>
    <x:s v="NO-OP; neither green pen nor yellow pen is present"/>
    <x:s v="went for pepsi can, couldn't pick it"/>
    <x:x v="14"/>
  </x:r>
  <x:r>
    <x:x v="1"/>
    <x:s v="Referential Disambiguation"/>
    <x:n v="142"/>
    <x:s v="Put the crushed soda can furthest from the green pen in the bowl."/>
    <x:s v="green pen; yellow pen; airplane toy with propellers"/>
    <x:s v="NO-OP; neither crushed Coke can nor crushed Pepsi can is present"/>
    <x:s v="picked the yellow pen"/>
    <x:x v="14"/>
  </x:r>
  <x:r>
    <x:x v="1"/>
    <x:s v="Referential Disambiguation"/>
    <x:n v="143"/>
    <x:s v="Put the pencil sharpener closest to the crushed Coke can in the bowl."/>
    <x:s v="crushed Coke can; airplane toy with propellers; airplane toy without propellers"/>
    <x:s v="NO-OP; neither green pencil sharpener nor red pencil sharpener is present"/>
    <x:s v="tried to pick airplane toy without propellors, dropped it, then went for propellor airplane toy. Could get it either."/>
    <x:x v="14"/>
  </x:r>
  <x:r>
    <x:x v="1"/>
    <x:s v="Referential Disambiguation"/>
    <x:n v="144"/>
    <x:s v="Move the airplane toy closest to the green pencil sharpener into the bowl."/>
    <x:s v="green pencil sharpener; yellow pen; crushed Coke can; crushed Pepsi can"/>
    <x:s v="NO-OP; neither airplane toy with propellers nor airplane toy without propellers is present"/>
    <x:s v="picked the green pencil sharpener"/>
    <x:x v="14"/>
  </x:r>
  <x:r>
    <x:x v="1"/>
    <x:s v="Referential Disambiguation"/>
    <x:n v="145"/>
    <x:s v="Move the pen furthest from the crushed Pepsi can into the bowl."/>
    <x:s v="crushed Pepsi can; crushed Coke can; green pencil sharpener; red pencil sharpener"/>
    <x:s v="NO-OP; neither green pen nor yellow pen is present"/>
    <x:s v="picked the pepsi can"/>
    <x:x v="14"/>
  </x:r>
  <x:r>
    <x:x v="1"/>
    <x:s v="Referential Disambiguation"/>
    <x:n v="146"/>
    <x:s v="Put the crushed soda can between the green pencil sharpener and the yellow pen in the bowl."/>
    <x:s v="green pencil sharpener; yellow pen; airplane toy with propellers; airplane toy without propellers"/>
    <x:s v="NO-OP; neither crushed Coke can nor crushed Pepsi can is present"/>
    <x:s v="picked the yellow pen"/>
    <x:x v="14"/>
  </x:r>
  <x:r>
    <x:x v="1"/>
    <x:s v="Referential Disambiguation"/>
    <x:n v="147"/>
    <x:s v="Pick up the pencil sharpener furthest from the airplane toy without propellers and place it in the bowl."/>
    <x:s v="airplane toy without propellers; green pen; yellow pen; airplane toy with propellers"/>
    <x:s v="NO-OP; neither green pencil sharpener nor red pencil sharpener is present"/>
    <x:s v="picked the yellow pen. Furthest from propellor airplane"/>
    <x:x v="14"/>
  </x:r>
  <x:r>
    <x:x v="1"/>
    <x:s v="Referential Disambiguation"/>
    <x:n v="148"/>
    <x:s v="Move the airplane toy between the green pen and the crushed Coke can into the bowl."/>
    <x:s v="green pen; crushed Coke can; crushed Pepsi can; green pencil sharpener; red pencil sharpener"/>
    <x:s v="NO-OP; neither airplane toy with propellers nor airplane toy without propellers is present"/>
    <x:s v="tried to pick the coke can but couldn't"/>
    <x:x v="14"/>
  </x:r>
  <x:r>
    <x:x v="1"/>
    <x:s v="Referential Disambiguation"/>
    <x:n v="149"/>
    <x:s v="Pick up the pen closest to the green pencil sharpener and place it in the bowl."/>
    <x:s v="green pencil sharpener; airplane toy without propellers; crushed Coke can; crushed Pepsi can"/>
    <x:s v="NO-OP; neither green pen nor yellow pen is present"/>
    <x:s v="picked the green pencil sharpener"/>
    <x:x v="14"/>
  </x:r>
  <x:r>
    <x:x v="0"/>
    <x:s v="Size Recognition"/>
    <x:n v="0"/>
    <x:s v="Move the object that is smallest into the bowl."/>
    <x:s v="Bowl: empty. Table, robot-left→robot-right: P1 red pencil sharpener; P2 green block; P3 juggling ball; P4 crushed Pepsi can. Adjacent centers 8 cm apart; row centered on the workspace; all objects fully visible and grasp paths clear."/>
    <x:s v="MOVE red pencil sharpener to bowl"/>
    <x:m/>
    <x:x v="0"/>
  </x:r>
  <x:r>
    <x:x v="0"/>
    <x:s v="Size Recognition"/>
    <x:n v="1"/>
    <x:s v="Pick up the smallest item and place it in the bowl."/>
    <x:s v="Bowl: empty. Table, robot-left→robot-right: P1 crushed Pepsi can; P2 juggling ball; P3 green block. Adjacent centers 12 cm apart; row shifted 4 cm toward robot-left; all objects fully visible and grasp paths clear."/>
    <x:s v="MOVE green block to bowl"/>
    <x:m/>
    <x:x v="0"/>
  </x:r>
  <x:r>
    <x:x v="0"/>
    <x:s v="Size Recognition"/>
    <x:n v="2"/>
    <x:s v="Put the largest object in the bowl."/>
    <x:s v="Bowl: empty. Table, robot-left→robot-right: P1 juggling ball; P2 red pencil sharpener; P3 green block. Adjacent centers 16 cm apart; row shifted 4 cm toward robot-right; all objects fully visible and grasp paths clear."/>
    <x:s v="MOVE juggling ball to bowl"/>
    <x:m/>
    <x:x v="0"/>
  </x:r>
  <x:r>
    <x:x v="0"/>
    <x:s v="Size Recognition"/>
    <x:n v="3"/>
    <x:s v="Pick up the largest item and place it in the bowl."/>
    <x:s v="Bowl: empty. Table, robot-left→robot-right: P1 red pencil sharpener; P2 green block; P3 juggling ball; P4 crushed Pepsi can. Adjacent centers 8 cm apart; row shifted 4 cm toward the robot; all objects fully visible and grasp paths clear."/>
    <x:s v="MOVE crushed Pepsi can to bowl"/>
    <x:m/>
    <x:x v="0"/>
  </x:r>
  <x:r>
    <x:x v="0"/>
    <x:s v="Size Recognition"/>
    <x:n v="4"/>
    <x:s v="Pick up the smallest item and place it in the bowl."/>
    <x:s v="Bowl: empty. Table, robot-left→robot-right: P1 juggling ball; P2 crushed Pepsi can; P3 green block; P4 red pencil sharpener. Adjacent centers 12 cm apart; row shifted 4 cm toward robot-left; all objects fully visible and grasp paths clear."/>
    <x:s v="MOVE red pencil sharpener to bowl"/>
    <x:m/>
    <x:x v="0"/>
  </x:r>
  <x:r>
    <x:x v="0"/>
    <x:s v="Size Recognition"/>
    <x:n v="5"/>
    <x:s v="Pick up the smallest item and place it in the bowl."/>
    <x:s v="Bowl: empty. Table, robot-left→robot-right: P1 green block; P2 juggling ball; P3 crushed Pepsi can. Adjacent centers 16 cm apart; row shifted 4 cm toward robot-right; all objects fully visible and grasp paths clear."/>
    <x:s v="MOVE green block to bowl"/>
    <x:m/>
    <x:x v="0"/>
  </x:r>
  <x:r>
    <x:x v="0"/>
    <x:s v="Size Recognition"/>
    <x:n v="6"/>
    <x:s v="Pick up the largest item and place it in the bowl."/>
    <x:s v="Bowl: empty. Table, robot-left→robot-right: P1 green block; P2 red pencil sharpener; P3 juggling ball. Adjacent centers 8 cm apart; row shifted 4 cm toward the robot; all objects fully visible and grasp paths clear."/>
    <x:s v="MOVE juggling ball to bowl"/>
    <x:m/>
    <x:x v="0"/>
  </x:r>
  <x:r>
    <x:x v="1"/>
    <x:s v="Size Recognition"/>
    <x:n v="7"/>
    <x:s v="Move the object that is largest into the bowl."/>
    <x:s v="Bowl: empty. Table, robot-left→robot-right: P1 crushed Pepsi can; P2 green block; P3 juggling ball; P4 red pencil sharpener. Adjacent centers 12 cm apart; row shifted 4 cm away from the robot; all objects fully visible and grasp paths clear."/>
    <x:s v="MOVE crushed Pepsi can to bowl"/>
    <x:s v="Failed grasping the can and during recovery, went for juggling ball. Grasping failure."/>
    <x:x v="0"/>
  </x:r>
  <x:r>
    <x:x v="0"/>
    <x:s v="Size Recognition"/>
    <x:n v="8"/>
    <x:s v="Move the object that is smallest into the bowl."/>
    <x:s v="Bowl: empty. Table, robot-left→robot-right: P1 red pencil sharpener; P2 crushed Pepsi can; P3 green block; P4 juggling ball. Adjacent centers 16 cm apart; row shifted 4 cm toward robot-right; all objects fully visible and grasp paths clear."/>
    <x:s v="MOVE red pencil sharpener to bowl"/>
    <x:m/>
    <x:x v="0"/>
  </x:r>
  <x:r>
    <x:x v="0"/>
    <x:s v="Size Recognition"/>
    <x:n v="9"/>
    <x:s v="Put the smallest object in the bowl."/>
    <x:s v="Bowl: empty. Table, robot-left→robot-right: P1 crushed Pepsi can; P2 juggling ball; P3 green block. Adjacent centers 8 cm apart; row shifted 4 cm toward the robot; all objects fully visible and grasp paths clear."/>
    <x:s v="MOVE green block to bowl"/>
    <x:m/>
    <x:x v="0"/>
  </x:r>
  <x:r>
    <x:x v="0"/>
    <x:s v="Size Recognition"/>
    <x:n v="10"/>
    <x:s v="Pick up the largest item and place it in the bowl."/>
    <x:s v="Bowl: empty. Table, robot-left→robot-right: P1 juggling ball; P2 red pencil sharpener; P3 green block. Adjacent centers 12 cm apart; row shifted 4 cm away from the robot; all objects fully visible and grasp paths clear."/>
    <x:s v="MOVE juggling ball to bowl"/>
    <x:m/>
    <x:x v="0"/>
  </x:r>
  <x:r>
    <x:x v="0"/>
    <x:s v="Size Recognition"/>
    <x:n v="11"/>
    <x:s v="Put the largest object in the bowl."/>
    <x:s v="Bowl: empty. Table, robot-left→robot-right: P1 juggling ball; P2 red pencil sharpener; P3 green block; P4 crushed Pepsi can. Adjacent centers 16 cm apart; row centered on the workspace; all objects fully visible and grasp paths clear."/>
    <x:s v="MOVE crushed Pepsi can to bowl"/>
    <x:m/>
    <x:x v="0"/>
  </x:r>
  <x:r>
    <x:x v="0"/>
    <x:s v="Size Recognition"/>
    <x:n v="12"/>
    <x:s v="Put the smallest object in the bowl."/>
    <x:s v="Bowl: empty. Table, robot-left→robot-right: P1 green block; P2 juggling ball; P3 crushed Pepsi can; P4 red pencil sharpener. Adjacent centers 8 cm apart; row shifted 4 cm toward the robot; all objects fully visible and grasp paths clear."/>
    <x:s v="MOVE red pencil sharpener to bowl"/>
    <x:s v="Picked largest object."/>
    <x:x v="0"/>
  </x:r>
  <x:r>
    <x:x v="0"/>
    <x:s v="Size Recognition"/>
    <x:n v="13"/>
    <x:s v="Put the smallest object in the bowl."/>
    <x:s v="Bowl: empty. Table, robot-left→robot-right: P1 green block; P2 juggling ball; P3 crushed Pepsi can. Adjacent centers 12 cm apart; row shifted 4 cm away from the robot; all objects fully visible and grasp paths clear."/>
    <x:s v="MOVE green block to bowl"/>
    <x:m/>
    <x:x v="0"/>
  </x:r>
  <x:r>
    <x:x v="0"/>
    <x:s v="Size Recognition"/>
    <x:n v="14"/>
    <x:s v="Pick up the largest item and place it in the bowl."/>
    <x:s v="Bowl: empty. Table, robot-left→robot-right: P1 green block; P2 red pencil sharpener; P3 juggling ball. Adjacent centers 16 cm apart; row centered on the workspace; all objects fully visible and grasp paths clear."/>
    <x:s v="MOVE juggling ball to bowl"/>
    <x:m/>
    <x:x v="0"/>
  </x:r>
  <x:r>
    <x:x v="0"/>
    <x:s v="Size Recognition"/>
    <x:n v="15"/>
    <x:s v="Put the largest object in the bowl."/>
    <x:s v="Bowl: empty. Table, robot-left→robot-right: P1 crushed Pepsi can; P2 red pencil sharpener; P3 green block; P4 juggling ball. Adjacent centers 8 cm apart; row shifted 4 cm toward robot-left; all objects fully visible and grasp paths clear."/>
    <x:s v="MOVE crushed Pepsi can to bowl"/>
    <x:m/>
    <x:x v="0"/>
  </x:r>
  <x:r>
    <x:x v="0"/>
    <x:s v="Size Recognition"/>
    <x:n v="16"/>
    <x:s v="Move the object that is smallest into the bowl."/>
    <x:s v="Bowl: empty. Table, robot-left→robot-right: P1 red pencil sharpener; P2 juggling ball; P3 crushed Pepsi can; P4 green block. Adjacent centers 12 cm apart; row shifted 4 cm away from the robot; all objects fully visible and grasp paths clear."/>
    <x:s v="MOVE red pencil sharpener to bowl"/>
    <x:m/>
    <x:x v="0"/>
  </x:r>
  <x:r>
    <x:x v="0"/>
    <x:s v="Size Recognition"/>
    <x:n v="17"/>
    <x:s v="Put the smallest object in the bowl."/>
    <x:s v="Bowl: empty. Table, robot-left→robot-right: P1 crushed Pepsi can; P2 juggling ball; P3 green block. Adjacent centers 16 cm apart; row centered on the workspace; all objects fully visible and grasp paths clear."/>
    <x:s v="MOVE green block to bowl"/>
    <x:m/>
    <x:x v="0"/>
  </x:r>
  <x:r>
    <x:x v="0"/>
    <x:s v="Size Recognition"/>
    <x:n v="18"/>
    <x:s v="Put the largest object in the bowl."/>
    <x:s v="Bowl: empty. Table, robot-left→robot-right: P1 juggling ball; P2 red pencil sharpener; P3 green block. Adjacent centers 8 cm apart; row shifted 4 cm toward robot-left; all objects fully visible and grasp paths clear."/>
    <x:s v="MOVE juggling ball to bowl"/>
    <x:m/>
    <x:x v="0"/>
  </x:r>
  <x:r>
    <x:x v="0"/>
    <x:s v="Size Recognition"/>
    <x:n v="19"/>
    <x:s v="Move the object that is largest into the bowl."/>
    <x:s v="Bowl: empty. Table, robot-left→robot-right: P1 green block; P2 juggling ball; P3 red pencil sharpener; P4 crushed Pepsi can. Adjacent centers 12 cm apart; row shifted 4 cm toward robot-right; all objects fully visible and grasp paths clear."/>
    <x:s v="MOVE crushed Pepsi can to bowl"/>
    <x:m/>
    <x:x v="0"/>
  </x:r>
  <x:r>
    <x:x v="0"/>
    <x:s v="Size Recognition"/>
    <x:n v="20"/>
    <x:s v="Move the object that is largest into the bowl."/>
    <x:s v="Bowl: empty. Table, robot-left→robot-right: P1 green block; P2 red pencil sharpener. Adjacent centers 8 cm apart; row centered on the workspace; all objects fully visible and grasp paths clear."/>
    <x:s v="MOVE green block to bowl"/>
    <x:m/>
    <x:x v="1"/>
  </x:r>
  <x:r>
    <x:x v="0"/>
    <x:s v="Size Recognition"/>
    <x:n v="21"/>
    <x:s v="Put the green block in the bowl."/>
    <x:s v="Bowl: empty. Table, robot-left→robot-right: P1 green block; P2 red pencil sharpener. Adjacent centers 8 cm apart; row centered on the workspace; all objects fully visible and grasp paths clear."/>
    <x:s v="MOVE green block to bowl"/>
    <x:m/>
    <x:x v="2"/>
  </x:r>
  <x:r>
    <x:x v="0"/>
    <x:s v="Size Recognition"/>
    <x:n v="22"/>
    <x:s v="Choose the biggest item and move it into the bowl."/>
    <x:s v="Bowl: empty. Table, robot-left→robot-right: P1 green block; P2 red pencil sharpener. Adjacent centers 8 cm apart; row centered on the workspace; all objects fully visible and grasp paths clear."/>
    <x:s v="MOVE green block to bowl"/>
    <x:m/>
    <x:x v="3"/>
  </x:r>
  <x:r>
    <x:x v="0"/>
    <x:s v="Size Recognition"/>
    <x:n v="23"/>
    <x:s v="Transfer the green block from the table into the bowl."/>
    <x:s v="Bowl: empty. Table, robot-left→robot-right: P1 green block; P2 red pencil sharpener. Adjacent centers 8 cm apart; row centered on the workspace; all objects fully visible and grasp paths clear."/>
    <x:s v="MOVE green block to bowl"/>
    <x:m/>
    <x:x v="3"/>
  </x:r>
  <x:r>
    <x:x v="0"/>
    <x:s v="Size Recognition"/>
    <x:n v="24"/>
    <x:s v="Pick up the smallest item and place it in the bowl."/>
    <x:s v="Bowl: empty. Table, robot-left→robot-right: P1 crushed Pepsi can; P2 juggling ball. Adjacent centers 12 cm apart; row shifted 4 cm toward robot-right; all objects fully visible and grasp paths clear."/>
    <x:s v="MOVE juggling ball to bowl"/>
    <x:m/>
    <x:x v="1"/>
  </x:r>
  <x:r>
    <x:x v="0"/>
    <x:s v="Size Recognition"/>
    <x:n v="25"/>
    <x:s v="Put the juggling ball in the bowl."/>
    <x:s v="Bowl: empty. Table, robot-left→robot-right: P1 crushed Pepsi can; P2 juggling ball. Adjacent centers 12 cm apart; row shifted 4 cm toward robot-right; all objects fully visible and grasp paths clear."/>
    <x:s v="MOVE juggling ball to bowl"/>
    <x:m/>
    <x:x v="2"/>
  </x:r>
  <x:r>
    <x:x v="1"/>
    <x:s v="Size Recognition"/>
    <x:n v="26"/>
    <x:s v="Choose the tiniest item and move it into the bowl."/>
    <x:s v="Bowl: empty. Table, robot-left→robot-right: P1 crushed Pepsi can; P2 juggling ball. Adjacent centers 12 cm apart; row shifted 4 cm toward robot-right; all objects fully visible and grasp paths clear."/>
    <x:s v="MOVE juggling ball to bowl"/>
    <x:s v="Picked the soda can"/>
    <x:x v="3"/>
  </x:r>
  <x:r>
    <x:x v="0"/>
    <x:s v="Size Recognition"/>
    <x:n v="27"/>
    <x:s v="Transfer the juggling ball from the table into the bowl."/>
    <x:s v="Bowl: empty. Table, robot-left→robot-right: P1 crushed Pepsi can; P2 juggling ball. Adjacent centers 12 cm apart; row shifted 4 cm toward robot-right; all objects fully visible and grasp paths clear."/>
    <x:s v="MOVE juggling ball to bowl"/>
    <x:m/>
    <x:x v="3"/>
  </x:r>
  <x:r>
    <x:x v="1"/>
    <x:s v="Size Recognition"/>
    <x:n v="28"/>
    <x:s v="Pick up the largest item and place it in the bowl."/>
    <x:s v="Bowl: empty. Table, robot-left→robot-right: P1 red pencil sharpener; P2 green block. Adjacent centers 12 cm apart; row shifted 4 cm toward robot-left; all objects fully visible and grasp paths clear."/>
    <x:s v="MOVE green block to bowl"/>
    <x:s v="Picked the pencil sharpener"/>
    <x:x v="1"/>
  </x:r>
  <x:r>
    <x:x v="0"/>
    <x:s v="Size Recognition"/>
    <x:n v="29"/>
    <x:s v="Move the green block into the bowl."/>
    <x:s v="Bowl: empty. Table, robot-left→robot-right: P1 red pencil sharpener; P2 green block. Adjacent centers 12 cm apart; row shifted 4 cm toward robot-left; all objects fully visible and grasp paths clear."/>
    <x:s v="MOVE green block to bowl"/>
    <x:m/>
    <x:x v="2"/>
  </x:r>
  <x:r>
    <x:x v="0"/>
    <x:s v="Size Recognition"/>
    <x:n v="30"/>
    <x:s v="Place whichever object is greatest in size inside the bowl."/>
    <x:s v="Bowl: empty. Table, robot-left→robot-right: P1 red pencil sharpener; P2 green block. Adjacent centers 12 cm apart; row shifted 4 cm toward robot-left; all objects fully visible and grasp paths clear."/>
    <x:s v="MOVE green block to bowl"/>
    <x:m/>
    <x:x v="3"/>
  </x:r>
  <x:r>
    <x:x v="0"/>
    <x:s v="Size Recognition"/>
    <x:n v="31"/>
    <x:s v="Lift the green block and set it inside the bowl."/>
    <x:s v="Bowl: empty. Table, robot-left→robot-right: P1 red pencil sharpener; P2 green block. Adjacent centers 12 cm apart; row shifted 4 cm toward robot-left; all objects fully visible and grasp paths clear."/>
    <x:s v="MOVE green block to bowl"/>
    <x:m/>
    <x:x v="3"/>
  </x:r>
  <x:r>
    <x:x v="0"/>
    <x:s v="Size Recognition"/>
    <x:n v="32"/>
    <x:s v="Put the smallest object in the bowl."/>
    <x:s v="Bowl: empty. Table, robot-left→robot-right: P1 juggling ball; P2 crushed Pepsi can. Adjacent centers 16 cm apart; row shifted 4 cm toward the robot; all objects fully visible and grasp paths clear."/>
    <x:s v="MOVE juggling ball to bowl"/>
    <x:m/>
    <x:x v="1"/>
  </x:r>
  <x:r>
    <x:x v="0"/>
    <x:s v="Size Recognition"/>
    <x:n v="33"/>
    <x:s v="Move the juggling ball into the bowl."/>
    <x:s v="Bowl: empty. Table, robot-left→robot-right: P1 juggling ball; P2 crushed Pepsi can. Adjacent centers 16 cm apart; row shifted 4 cm toward the robot; all objects fully visible and grasp paths clear."/>
    <x:s v="MOVE juggling ball to bowl"/>
    <x:m/>
    <x:x v="2"/>
  </x:r>
  <x:r>
    <x:x v="0"/>
    <x:s v="Size Recognition"/>
    <x:n v="34"/>
    <x:s v="Place whichever object is least in size inside the bowl."/>
    <x:s v="Bowl: empty. Table, robot-left→robot-right: P1 juggling ball; P2 crushed Pepsi can. Adjacent centers 16 cm apart; row shifted 4 cm toward the robot; all objects fully visible and grasp paths clear."/>
    <x:s v="MOVE juggling ball to bowl"/>
    <x:s v="Used the gripping strategy for the pepsi can, but got the ball."/>
    <x:x v="3"/>
  </x:r>
  <x:r>
    <x:x v="0"/>
    <x:s v="Size Recognition"/>
    <x:n v="35"/>
    <x:s v="Lift the juggling ball and set it inside the bowl."/>
    <x:s v="Bowl: empty. Table, robot-left→robot-right: P1 juggling ball; P2 crushed Pepsi can. Adjacent centers 16 cm apart; row shifted 4 cm toward the robot; all objects fully visible and grasp paths clear."/>
    <x:s v="MOVE juggling ball to bowl"/>
    <x:m/>
    <x:x v="3"/>
  </x:r>
  <x:r>
    <x:x v="1"/>
    <x:s v="Size Recognition"/>
    <x:n v="36"/>
    <x:s v="Put the largest object in the bowl."/>
    <x:s v="Bowl: empty. Table, robot-left→robot-right: P1 green block; P2 red pencil sharpener. Adjacent centers 16 cm apart; row shifted 4 cm toward robot-right; all objects fully visible and grasp paths clear."/>
    <x:s v="MOVE green block to bowl"/>
    <x:s v="Picked pencil sharpener"/>
    <x:x v="1"/>
  </x:r>
  <x:r>
    <x:x v="0"/>
    <x:s v="Size Recognition"/>
    <x:n v="37"/>
    <x:s v="Pick up the green block and place it in the bowl."/>
    <x:s v="Bowl: empty. Table, robot-left→robot-right: P1 green block; P2 red pencil sharpener. Adjacent centers 16 cm apart; row shifted 4 cm toward robot-right; all objects fully visible and grasp paths clear."/>
    <x:s v="MOVE green block to bowl"/>
    <x:m/>
    <x:x v="2"/>
  </x:r>
  <x:r>
    <x:x v="0"/>
    <x:s v="Size Recognition"/>
    <x:n v="38"/>
    <x:s v="Select the bigger object and put it into the bowl."/>
    <x:s v="Bowl: empty. Table, robot-left→robot-right: P1 green block; P2 red pencil sharpener. Adjacent centers 16 cm apart; row shifted 4 cm toward robot-right; all objects fully visible and grasp paths clear."/>
    <x:s v="MOVE green block to bowl"/>
    <x:m/>
    <x:x v="3"/>
  </x:r>
  <x:r>
    <x:x v="0"/>
    <x:s v="Size Recognition"/>
    <x:n v="39"/>
    <x:s v="Move the green block off the table and into the bowl."/>
    <x:s v="Bowl: empty. Table, robot-left→robot-right: P1 green block; P2 red pencil sharpener. Adjacent centers 16 cm apart; row shifted 4 cm toward robot-right; all objects fully visible and grasp paths clear."/>
    <x:s v="MOVE green block to bowl"/>
    <x:m/>
    <x:x v="3"/>
  </x:r>
  <x:r>
    <x:x v="0"/>
    <x:s v="Size Recognition"/>
    <x:n v="40"/>
    <x:s v="Move the object that is smallest into the bowl."/>
    <x:s v="Bowl: empty. Table, robot-left→robot-right: P1 crushed Pepsi can; P2 juggling ball. Adjacent centers 8 cm apart; row shifted 4 cm away from the robot; all objects fully visible and grasp paths clear."/>
    <x:s v="MOVE juggling ball to bowl"/>
    <x:m/>
    <x:x v="1"/>
  </x:r>
  <x:r>
    <x:x v="0"/>
    <x:s v="Size Recognition"/>
    <x:n v="41"/>
    <x:s v="Pick up the juggling ball and place it in the bowl."/>
    <x:s v="Bowl: empty. Table, robot-left→robot-right: P1 crushed Pepsi can; P2 juggling ball. Adjacent centers 8 cm apart; row shifted 4 cm away from the robot; all objects fully visible and grasp paths clear."/>
    <x:s v="MOVE juggling ball to bowl"/>
    <x:m/>
    <x:x v="2"/>
  </x:r>
  <x:r>
    <x:x v="1"/>
    <x:s v="Size Recognition"/>
    <x:n v="42"/>
    <x:s v="Select the smaller object and put it into the bowl."/>
    <x:s v="Bowl: empty. Table, robot-left→robot-right: P1 crushed Pepsi can; P2 juggling ball. Adjacent centers 8 cm apart; row shifted 4 cm away from the robot; all objects fully visible and grasp paths clear."/>
    <x:s v="MOVE juggling ball to bowl"/>
    <x:s v="grabbed soda can"/>
    <x:x v="3"/>
  </x:r>
  <x:r>
    <x:x v="0"/>
    <x:s v="Size Recognition"/>
    <x:n v="43"/>
    <x:s v="Move the juggling ball off the table and into the bowl."/>
    <x:s v="Bowl: empty. Table, robot-left→robot-right: P1 crushed Pepsi can; P2 juggling ball. Adjacent centers 8 cm apart; row shifted 4 cm away from the robot; all objects fully visible and grasp paths clear."/>
    <x:s v="MOVE juggling ball to bowl"/>
    <x:m/>
    <x:x v="3"/>
  </x:r>
  <x:r>
    <x:x v="0"/>
    <x:s v="Size Recognition"/>
    <x:n v="44"/>
    <x:s v="Move the object that is largest into the bowl."/>
    <x:s v="Bowl: empty. Table, robot-left→robot-right: P1 red pencil sharpener; P2 green block. Adjacent centers 8 cm apart; row shifted 4 cm toward the robot; all objects fully visible and grasp paths clear."/>
    <x:s v="MOVE green block to bowl"/>
    <x:m/>
    <x:x v="1"/>
  </x:r>
  <x:r>
    <x:x v="0"/>
    <x:s v="Size Recognition"/>
    <x:n v="45"/>
    <x:s v="Put the green block in the bowl."/>
    <x:s v="Bowl: empty. Table, robot-left→robot-right: P1 red pencil sharpener; P2 green block. Adjacent centers 8 cm apart; row shifted 4 cm toward the robot; all objects fully visible and grasp paths clear."/>
    <x:s v="MOVE green block to bowl"/>
    <x:m/>
    <x:x v="2"/>
  </x:r>
  <x:r>
    <x:x v="0"/>
    <x:s v="Size Recognition"/>
    <x:n v="46"/>
    <x:s v="Find the greatest-sized item and move it to the bowl."/>
    <x:s v="Bowl: empty. Table, robot-left→robot-right: P1 red pencil sharpener; P2 green block. Adjacent centers 8 cm apart; row shifted 4 cm toward the robot; all objects fully visible and grasp paths clear."/>
    <x:s v="MOVE green block to bowl"/>
    <x:m/>
    <x:x v="3"/>
  </x:r>
  <x:r>
    <x:x v="0"/>
    <x:s v="Size Recognition"/>
    <x:n v="47"/>
    <x:s v="Place the table's green block inside the bowl."/>
    <x:s v="Bowl: empty. Table, robot-left→robot-right: P1 red pencil sharpener; P2 green block. Adjacent centers 8 cm apart; row shifted 4 cm toward the robot; all objects fully visible and grasp paths clear."/>
    <x:s v="MOVE green block to bowl"/>
    <x:m/>
    <x:x v="3"/>
  </x:r>
  <x:r>
    <x:x v="1"/>
    <x:s v="Size Recognition"/>
    <x:n v="48"/>
    <x:s v="Pick up the smallest item and place it in the bowl."/>
    <x:s v="Bowl: empty. Table, robot-left→robot-right: P1 juggling ball; P2 crushed Pepsi can. Adjacent centers 12 cm apart; row centered on the workspace; all objects fully visible and grasp paths clear."/>
    <x:s v="MOVE juggling ball to bowl"/>
    <x:s v="Picked soda can"/>
    <x:x v="1"/>
  </x:r>
  <x:r>
    <x:x v="0"/>
    <x:s v="Size Recognition"/>
    <x:n v="49"/>
    <x:s v="Put the juggling ball in the bowl."/>
    <x:s v="Bowl: empty. Table, robot-left→robot-right: P1 juggling ball; P2 crushed Pepsi can. Adjacent centers 12 cm apart; row centered on the workspace; all objects fully visible and grasp paths clear."/>
    <x:s v="MOVE juggling ball to bowl"/>
    <x:m/>
    <x:x v="2"/>
  </x:r>
  <x:r>
    <x:x v="1"/>
    <x:s v="Size Recognition"/>
    <x:n v="50"/>
    <x:s v="Find the least-sized item and move it to the bowl."/>
    <x:s v="Bowl: empty. Table, robot-left→robot-right: P1 juggling ball; P2 crushed Pepsi can. Adjacent centers 12 cm apart; row centered on the workspace; all objects fully visible and grasp paths clear."/>
    <x:s v="MOVE juggling ball to bowl"/>
    <x:s v="Picked soda can"/>
    <x:x v="3"/>
  </x:r>
  <x:r>
    <x:x v="0"/>
    <x:s v="Size Recognition"/>
    <x:n v="51"/>
    <x:s v="Place the table's juggling ball inside the bowl."/>
    <x:s v="Bowl: empty. Table, robot-left→robot-right: P1 juggling ball; P2 crushed Pepsi can. Adjacent centers 12 cm apart; row centered on the workspace; all objects fully visible and grasp paths clear."/>
    <x:s v="MOVE juggling ball to bowl"/>
    <x:m/>
    <x:x v="3"/>
  </x:r>
  <x:r>
    <x:x v="0"/>
    <x:s v="Size Recognition"/>
    <x:n v="52"/>
    <x:s v="Pick up the largest item and place it in the bowl."/>
    <x:s v="Bowl: empty. Table, robot-left→robot-right: P1 green block; P2 red pencil sharpener. Adjacent centers 12 cm apart; row shifted 4 cm away from the robot; all objects fully visible and grasp paths clear."/>
    <x:s v="MOVE green block to bowl"/>
    <x:m/>
    <x:x v="1"/>
  </x:r>
  <x:r>
    <x:x v="0"/>
    <x:s v="Size Recognition"/>
    <x:n v="53"/>
    <x:s v="Move the green block into the bowl."/>
    <x:s v="Bowl: empty. Table, robot-left→robot-right: P1 green block; P2 red pencil sharpener. Adjacent centers 12 cm apart; row shifted 4 cm away from the robot; all objects fully visible and grasp paths clear."/>
    <x:s v="MOVE green block to bowl"/>
    <x:m/>
    <x:x v="2"/>
  </x:r>
  <x:r>
    <x:x v="0"/>
    <x:s v="Size Recognition"/>
    <x:n v="54"/>
    <x:s v="Move whichever item is larger into the bowl."/>
    <x:s v="Bowl: empty. Table, robot-left→robot-right: P1 green block; P2 red pencil sharpener. Adjacent centers 12 cm apart; row shifted 4 cm away from the robot; all objects fully visible and grasp paths clear."/>
    <x:s v="MOVE green block to bowl"/>
    <x:m/>
    <x:x v="3"/>
  </x:r>
  <x:r>
    <x:x v="0"/>
    <x:s v="Size Recognition"/>
    <x:n v="55"/>
    <x:s v="Take the green block from the table and put it in the bowl."/>
    <x:s v="Bowl: empty. Table, robot-left→robot-right: P1 green block; P2 red pencil sharpener. Adjacent centers 12 cm apart; row shifted 4 cm away from the robot; all objects fully visible and grasp paths clear."/>
    <x:s v="MOVE green block to bowl"/>
    <x:m/>
    <x:x v="3"/>
  </x:r>
  <x:r>
    <x:x v="1"/>
    <x:s v="Size Recognition"/>
    <x:n v="56"/>
    <x:s v="Put the smallest object in the bowl."/>
    <x:s v="Bowl: empty. Table, robot-left→robot-right: P1 crushed Pepsi can; P2 juggling ball. Adjacent centers 16 cm apart; row shifted 4 cm toward robot-left; all objects fully visible and grasp paths clear."/>
    <x:s v="MOVE juggling ball to bowl"/>
    <x:s v="Placed the soda can"/>
    <x:x v="1"/>
  </x:r>
  <x:r>
    <x:x v="0"/>
    <x:s v="Size Recognition"/>
    <x:n v="57"/>
    <x:s v="Move the juggling ball into the bowl."/>
    <x:s v="Bowl: empty. Table, robot-left→robot-right: P1 crushed Pepsi can; P2 juggling ball. Adjacent centers 16 cm apart; row shifted 4 cm toward robot-left; all objects fully visible and grasp paths clear."/>
    <x:s v="MOVE juggling ball to bowl"/>
    <x:m/>
    <x:x v="2"/>
  </x:r>
  <x:r>
    <x:x v="1"/>
    <x:s v="Size Recognition"/>
    <x:n v="58"/>
    <x:s v="Move whichever item is smaller into the bowl."/>
    <x:s v="Bowl: empty. Table, robot-left→robot-right: P1 crushed Pepsi can; P2 juggling ball. Adjacent centers 16 cm apart; row shifted 4 cm toward robot-left; all objects fully visible and grasp paths clear."/>
    <x:s v="MOVE juggling ball to bowl"/>
    <x:s v="Placed the soda can"/>
    <x:x v="3"/>
  </x:r>
  <x:r>
    <x:x v="0"/>
    <x:s v="Size Recognition"/>
    <x:n v="59"/>
    <x:s v="Take the juggling ball from the table and put it in the bowl."/>
    <x:s v="Bowl: empty. Table, robot-left→robot-right: P1 crushed Pepsi can; P2 juggling ball. Adjacent centers 16 cm apart; row shifted 4 cm toward robot-left; all objects fully visible and grasp paths clear."/>
    <x:s v="MOVE juggling ball to bowl"/>
    <x:m/>
    <x:x v="3"/>
  </x:r>
  <x:r>
    <x:x v="0"/>
    <x:s v="Size Recognition"/>
    <x:n v="60"/>
    <x:s v="Put the largest object in the bowl."/>
    <x:s v="Bowl: empty. Table, robot-left→robot-right: P1 red pencil sharpener; P2 green block. Adjacent centers 16 cm apart; row centered on the workspace; all objects fully visible and grasp paths clear."/>
    <x:s v="MOVE green block to bowl"/>
    <x:m/>
    <x:x v="1"/>
  </x:r>
  <x:r>
    <x:x v="0"/>
    <x:s v="Size Recognition"/>
    <x:n v="61"/>
    <x:s v="Pick up the green block and place it in the bowl."/>
    <x:s v="Bowl: empty. Table, robot-left→robot-right: P1 red pencil sharpener; P2 green block. Adjacent centers 16 cm apart; row centered on the workspace; all objects fully visible and grasp paths clear."/>
    <x:s v="MOVE green block to bowl"/>
    <x:m/>
    <x:x v="2"/>
  </x:r>
  <x:r>
    <x:x v="0"/>
    <x:s v="Size Recognition"/>
    <x:n v="62"/>
    <x:s v="Move the object that is smallest into the bowl."/>
    <x:s v="Bowl: empty. Table, robot-left→robot-right: P1 juggling ball; P2 crushed Pepsi can. Adjacent centers 8 cm apart; row shifted 4 cm toward robot-right; all objects fully visible and grasp paths clear."/>
    <x:s v="MOVE juggling ball to bowl"/>
    <x:m/>
    <x:x v="1"/>
  </x:r>
  <x:r>
    <x:x v="0"/>
    <x:s v="Size Recognition"/>
    <x:n v="63"/>
    <x:s v="Pick up the juggling ball and place it in the bowl."/>
    <x:s v="Bowl: empty. Table, robot-left→robot-right: P1 juggling ball; P2 crushed Pepsi can. Adjacent centers 8 cm apart; row shifted 4 cm toward robot-right; all objects fully visible and grasp paths clear."/>
    <x:s v="MOVE juggling ball to bowl"/>
    <x:m/>
    <x:x v="2"/>
  </x:r>
  <x:r>
    <x:x v="1"/>
    <x:s v="Size Recognition"/>
    <x:n v="64"/>
    <x:s v="Move the object that is largest into the bowl."/>
    <x:s v="Bowl: empty. Table, robot-left→robot-right: P1 green block; P2 red pencil sharpener. Adjacent centers 8 cm apart; row shifted 4 cm toward robot-left; all objects fully visible and grasp paths clear."/>
    <x:s v="MOVE green block to bowl"/>
    <x:s v="Grabbed red pencil sharpener. pencil sharpener was placed in front of the robot."/>
    <x:x v="1"/>
  </x:r>
  <x:r>
    <x:x v="0"/>
    <x:s v="Size Recognition"/>
    <x:n v="65"/>
    <x:s v="Put the green block in the bowl."/>
    <x:s v="Bowl: empty. Table, robot-left→robot-right: P1 green block; P2 red pencil sharpener. Adjacent centers 8 cm apart; row shifted 4 cm toward robot-left; all objects fully visible and grasp paths clear."/>
    <x:s v="MOVE green block to bowl"/>
    <x:m/>
    <x:x v="2"/>
  </x:r>
  <x:r>
    <x:x v="1"/>
    <x:s v="Size Recognition"/>
    <x:n v="66"/>
    <x:s v="Pick up the smallest item and place it in the bowl."/>
    <x:s v="Bowl: empty. Table, robot-left→robot-right: P1 crushed Pepsi can; P2 juggling ball. Adjacent centers 12 cm apart; row shifted 4 cm toward the robot; all objects fully visible and grasp paths clear."/>
    <x:s v="MOVE juggling ball to bowl"/>
    <x:s v="Grabbed soda can. can was placed in front of the robot"/>
    <x:x v="1"/>
  </x:r>
  <x:r>
    <x:x v="0"/>
    <x:s v="Size Recognition"/>
    <x:n v="67"/>
    <x:s v="Put the juggling ball in the bowl."/>
    <x:s v="Bowl: empty. Table, robot-left→robot-right: P1 crushed Pepsi can; P2 juggling ball. Adjacent centers 12 cm apart; row shifted 4 cm toward the robot; all objects fully visible and grasp paths clear."/>
    <x:s v="MOVE juggling ball to bowl"/>
    <x:s v="Had a good recovery"/>
    <x:x v="2"/>
  </x:r>
  <x:r>
    <x:x v="0"/>
    <x:s v="Size Recognition"/>
    <x:n v="68"/>
    <x:s v="Pick up the largest item and place it in the bowl."/>
    <x:s v="Bowl: empty. Table, robot-left→robot-right: P1 red pencil sharpener; P2 green block. Adjacent centers 12 cm apart; row shifted 4 cm toward robot-right; all objects fully visible and grasp paths clear."/>
    <x:s v="MOVE green block to bowl"/>
    <x:m/>
    <x:x v="1"/>
  </x:r>
  <x:r>
    <x:x v="0"/>
    <x:s v="Size Recognition"/>
    <x:n v="69"/>
    <x:s v="Move the green block into the bowl."/>
    <x:s v="Bowl: empty. Table, robot-left→robot-right: P1 red pencil sharpener; P2 green block. Adjacent centers 12 cm apart; row shifted 4 cm toward robot-right; all objects fully visible and grasp paths clear."/>
    <x:s v="MOVE green block to bowl"/>
    <x:m/>
    <x:x v="2"/>
  </x:r>
  <x:r>
    <x:x v="1"/>
    <x:s v="Size Recognition"/>
    <x:n v="70"/>
    <x:s v="Put the smallest object in the bowl."/>
    <x:s v="Bowl: empty. Table, robot-left→robot-right: P1 juggling ball; P2 crushed Pepsi can. Adjacent centers 16 cm apart; row shifted 4 cm away from the robot; all objects fully visible and grasp paths clear."/>
    <x:s v="MOVE juggling ball to bowl"/>
    <x:s v="Grabbed soda can"/>
    <x:x v="1"/>
  </x:r>
  <x:r>
    <x:x v="0"/>
    <x:s v="Size Recognition"/>
    <x:n v="71"/>
    <x:s v="Move the juggling ball into the bowl."/>
    <x:s v="Bowl: empty. Table, robot-left→robot-right: P1 juggling ball; P2 crushed Pepsi can. Adjacent centers 16 cm apart; row shifted 4 cm away from the robot; all objects fully visible and grasp paths clear."/>
    <x:s v="MOVE juggling ball to bowl"/>
    <x:m/>
    <x:x v="2"/>
  </x:r>
  <x:r>
    <x:x v="1"/>
    <x:s v="Size Recognition"/>
    <x:n v="72"/>
    <x:s v="Put the largest object in the bowl."/>
    <x:s v="Bowl: empty. Table, robot-left→robot-right: P1 green block; P2 red pencil sharpener. Adjacent centers 16 cm apart; row shifted 4 cm toward the robot; all objects fully visible and grasp paths clear."/>
    <x:s v="MOVE green block to bowl"/>
    <x:s v="Grabbed pencil sharpener. I think the model may have learned to detect smaller visual pixel area from the middle camera. the block was oriented so it would look smaller"/>
    <x:x v="1"/>
  </x:r>
  <x:r>
    <x:x v="0"/>
    <x:s v="Size Recognition"/>
    <x:n v="73"/>
    <x:s v="Pick up the green block and place it in the bowl."/>
    <x:s v="Bowl: empty. Table, robot-left→robot-right: P1 green block; P2 red pencil sharpener. Adjacent centers 16 cm apart; row shifted 4 cm toward the robot; all objects fully visible and grasp paths clear."/>
    <x:s v="MOVE green block to bowl"/>
    <x:m/>
    <x:x v="2"/>
  </x:r>
  <x:r>
    <x:x v="0"/>
    <x:s v="Size Recognition"/>
    <x:n v="74"/>
    <x:s v="Move the object that is smallest into the bowl."/>
    <x:s v="Bowl: empty. Table, robot-left→robot-right: P1 crushed Pepsi can; P2 juggling ball. Adjacent centers 8 cm apart; row centered on the workspace; all objects fully visible and grasp paths clear."/>
    <x:s v="MOVE juggling ball to bowl"/>
    <x:m/>
    <x:x v="1"/>
  </x:r>
  <x:r>
    <x:x v="0"/>
    <x:s v="Size Recognition"/>
    <x:n v="75"/>
    <x:s v="Pick up the juggling ball and place it in the bowl."/>
    <x:s v="Bowl: empty. Table, robot-left→robot-right: P1 crushed Pepsi can; P2 juggling ball. Adjacent centers 8 cm apart; row centered on the workspace; all objects fully visible and grasp paths clear."/>
    <x:s v="MOVE juggling ball to bowl"/>
    <x:m/>
    <x:x v="2"/>
  </x:r>
  <x:r>
    <x:x v="1"/>
    <x:s v="Size Recognition"/>
    <x:n v="76"/>
    <x:s v="Move the object that is largest into the bowl."/>
    <x:s v="Bowl: empty. Table, robot-left→robot-right: P1 red pencil sharpener; P2 green block. Adjacent centers 8 cm apart; row shifted 4 cm away from the robot; all objects fully visible and grasp paths clear."/>
    <x:s v="MOVE green block to bowl"/>
    <x:s v="Went for red pencil sharpener. Positioned closer to the camera than green block and green block oriented with the top of the block facing the camera."/>
    <x:x v="1"/>
  </x:r>
  <x:r>
    <x:x v="0"/>
    <x:s v="Size Recognition"/>
    <x:n v="77"/>
    <x:s v="Put the green block in the bowl."/>
    <x:s v="Bowl: empty. Table, robot-left→robot-right: P1 red pencil sharpener; P2 green block. Adjacent centers 8 cm apart; row shifted 4 cm away from the robot; all objects fully visible and grasp paths clear."/>
    <x:s v="MOVE green block to bowl"/>
    <x:m/>
    <x:x v="2"/>
  </x:r>
  <x:r>
    <x:x v="0"/>
    <x:s v="Size Recognition"/>
    <x:n v="78"/>
    <x:s v="Pick up the smallest item and place it in the bowl."/>
    <x:s v="Bowl: empty. Table, robot-left→robot-right: P1 juggling ball; P2 crushed Pepsi can. Adjacent centers 12 cm apart; row shifted 4 cm toward robot-left; all objects fully visible and grasp paths clear."/>
    <x:s v="MOVE juggling ball to bowl"/>
    <x:m/>
    <x:x v="1"/>
  </x:r>
  <x:r>
    <x:x v="0"/>
    <x:s v="Size Recognition"/>
    <x:n v="79"/>
    <x:s v="Put the juggling ball in the bowl."/>
    <x:s v="Bowl: empty. Table, robot-left→robot-right: P1 juggling ball; P2 crushed Pepsi can. Adjacent centers 12 cm apart; row shifted 4 cm toward robot-left; all objects fully visible and grasp paths clear."/>
    <x:s v="MOVE juggling ball to bowl"/>
    <x:m/>
    <x:x v="2"/>
  </x:r>
  <x:r>
    <x:x v="0"/>
    <x:s v="Size Recognition"/>
    <x:n v="80"/>
    <x:s v="Pick up the largest item and place it in the bowl."/>
    <x:s v="Bowl: empty. Table, robot-left→robot-right: P1 green block; P2 red pencil sharpener. Adjacent centers 12 cm apart; row centered on the workspace; all objects fully visible and grasp paths clear."/>
    <x:s v="MOVE green block to bowl"/>
    <x:m/>
    <x:x v="1"/>
  </x:r>
  <x:r>
    <x:x v="1"/>
    <x:s v="Size Recognition"/>
    <x:n v="81"/>
    <x:s v="Put the smallest object in the bowl."/>
    <x:s v="Bowl: empty. Table, robot-left→robot-right: P1 crushed Pepsi can; P2 juggling ball. Adjacent centers 16 cm apart; row shifted 4 cm toward robot-right; all objects fully visible and grasp paths clear."/>
    <x:s v="MOVE juggling ball to bowl"/>
    <x:s v="grabbed soda can. soda can near front of robot."/>
    <x:x v="1"/>
  </x:r>
  <x:r>
    <x:x v="0"/>
    <x:s v="Size Recognition"/>
    <x:n v="82"/>
    <x:s v="Put the largest object in the bowl."/>
    <x:s v="Bowl: empty. Table, robot-left→robot-right: P1 red pencil sharpener; P2 green block. Adjacent centers 16 cm apart; row shifted 4 cm toward robot-left; all objects fully visible and grasp paths clear."/>
    <x:s v="MOVE green block to bowl"/>
    <x:m/>
    <x:x v="1"/>
  </x:r>
  <x:r>
    <x:x v="1"/>
    <x:s v="Size Recognition"/>
    <x:n v="83"/>
    <x:s v="Move the object that is smallest into the bowl."/>
    <x:s v="Bowl: empty. Table, robot-left→robot-right: P1 juggling ball; P2 crushed Pepsi can. Adjacent centers 8 cm apart; row shifted 4 cm toward the robot; all objects fully visible and grasp paths clear."/>
    <x:s v="MOVE juggling ball to bowl"/>
    <x:s v="Picked soda can; I think the middle camera would have more pixels for the soda can than the juggling ball, so maybe hypothesis is incorrect"/>
    <x:x v="1"/>
  </x:r>
  <x:r>
    <x:x v="0"/>
    <x:s v="Size Recognition"/>
    <x:n v="84"/>
    <x:s v="Move the object that is largest into the bowl."/>
    <x:s v="Bowl: empty. Table, robot-left→robot-right: P1 green block; P2 red pencil sharpener. Adjacent centers 8 cm apart; row shifted 4 cm toward robot-right; all objects fully visible and grasp paths clear."/>
    <x:s v="MOVE green block to bowl"/>
    <x:m/>
    <x:x v="1"/>
  </x:r>
  <x:r>
    <x:x v="1"/>
    <x:s v="Size Recognition"/>
    <x:n v="85"/>
    <x:s v="Pick up the smallest item and place it in the bowl."/>
    <x:s v="Bowl: empty. Table, robot-left→robot-right: P1 crushed Pepsi can; P2 juggling ball. Adjacent centers 12 cm apart; row shifted 4 cm away from the robot; all objects fully visible and grasp paths clear."/>
    <x:s v="MOVE juggling ball to bowl"/>
    <x:s v="Picked soda can; I think the middle camera would have more pixels for the soda can than the juggling ball, so maybe hypothesis is incorrect"/>
    <x:x v="1"/>
  </x:r>
  <x:r>
    <x:x v="1"/>
    <x:s v="Size Recognition"/>
    <x:n v="86"/>
    <x:s v="Pick up the largest item and place it in the bowl."/>
    <x:s v="Bowl: empty. Table, robot-left→robot-right: P1 red pencil sharpener; P2 green block. Adjacent centers 12 cm apart; row shifted 4 cm toward the robot; all objects fully visible and grasp paths clear."/>
    <x:s v="MOVE green block to bowl"/>
    <x:s v="Grabbed red pencil sharpener; was placed in front of the robot."/>
    <x:x v="1"/>
  </x:r>
  <x:r>
    <x:x v="0"/>
    <x:s v="Size Recognition"/>
    <x:n v="87"/>
    <x:s v="Put the smallest object in the bowl."/>
    <x:s v="Bowl: empty. Table, robot-left→robot-right: P1 juggling ball; P2 crushed Pepsi can. Adjacent centers 16 cm apart; row centered on the workspace; all objects fully visible and grasp paths clear."/>
    <x:s v="MOVE juggling ball to bowl"/>
    <x:m/>
    <x:x v="1"/>
  </x:r>
  <x:r>
    <x:x v="0"/>
    <x:s v="Size Recognition"/>
    <x:n v="88"/>
    <x:s v="Put the largest object in the bowl."/>
    <x:s v="Bowl: empty. Table, robot-left→robot-right: P1 green block; P2 red pencil sharpener. Adjacent centers 16 cm apart; row shifted 4 cm away from the robot; all objects fully visible and grasp paths clear."/>
    <x:s v="MOVE green block to bowl"/>
    <x:m/>
    <x:x v="1"/>
  </x:r>
  <x:r>
    <x:x v="0"/>
    <x:s v="Size Recognition"/>
    <x:n v="89"/>
    <x:s v="Move the object that is smallest into the bowl."/>
    <x:s v="Bowl: empty. Table, robot-left→robot-right: P1 crushed Pepsi can; P2 juggling ball. Adjacent centers 8 cm apart; row shifted 4 cm toward robot-left; all objects fully visible and grasp paths clear."/>
    <x:s v="MOVE juggling ball to bowl"/>
    <x:m/>
    <x:x v="1"/>
  </x:r>
  <x:r>
    <x:x v="1"/>
    <x:s v="Size Recognition"/>
    <x:n v="90"/>
    <x:s v="Move the object that is largest into the bowl."/>
    <x:s v="Bowl: empty. Table, robot-left→robot-right: P1 red pencil sharpener; P2 green block. Adjacent centers 8 cm apart; row centered on the workspace; all objects fully visible and grasp paths clear."/>
    <x:s v="MOVE green block to bowl"/>
    <x:s v="red pencil sharpener. pixels on middle camera prob would have green block bigger. Maybe the green block was too far at edge of the robots reaching range."/>
    <x:x v="1"/>
  </x:r>
  <x:r>
    <x:x v="1"/>
    <x:s v="Size Recognition"/>
    <x:n v="91"/>
    <x:s v="Pick up the smallest item and place it in the bowl."/>
    <x:s v="Bowl: empty. Table, robot-left→robot-right: P1 juggling ball; P2 crushed Pepsi can. Adjacent centers 12 cm apart; row shifted 4 cm toward robot-right; all objects fully visible and grasp paths clear."/>
    <x:s v="MOVE juggling ball to bowl"/>
    <x:s v="Weird behavoir. trying to pick up object that isn't there. Didn't even grasp anything."/>
    <x:x v="1"/>
  </x:r>
  <x:r>
    <x:x v="1"/>
    <x:s v="Size Recognition"/>
    <x:n v="92"/>
    <x:s v="Pick up the largest item and place it in the bowl."/>
    <x:s v="Bowl: empty. Table, robot-left→robot-right: P1 green block; P2 red pencil sharpener. Adjacent centers 12 cm apart; row shifted 4 cm toward robot-left; all objects fully visible and grasp paths clear."/>
    <x:s v="MOVE green block to bowl"/>
    <x:s v="red pencil sharpener. pixels on middle camera prob would have green block bigger. green block definitely in range this time."/>
    <x:x v="1"/>
  </x:r>
  <x:r>
    <x:x v="1"/>
    <x:s v="Size Recognition"/>
    <x:n v="93"/>
    <x:s v="Put the smallest object in the bowl."/>
    <x:s v="Bowl: empty. Table, robot-left→robot-right: P1 crushed Pepsi can; P2 juggling ball. Adjacent centers 16 cm apart; row shifted 4 cm toward the robot; all objects fully visible and grasp paths clear."/>
    <x:s v="MOVE juggling ball to bowl"/>
    <x:s v="Went for soda can and then knocked it over and could not recover"/>
    <x:x v="1"/>
  </x:r>
  <x:r>
    <x:x v="1"/>
    <x:s v="Size Recognition"/>
    <x:n v="94"/>
    <x:s v="Put the largest object in the bowl."/>
    <x:s v="Bowl: empty. Table, robot-left→robot-right: P1 red pencil sharpener; P2 green block. Adjacent centers 16 cm apart; row shifted 4 cm toward robot-right; all objects fully visible and grasp paths clear."/>
    <x:s v="MOVE green block to bowl"/>
    <x:s v="Grabbed red pencil sharpener."/>
    <x:x v="1"/>
  </x:r>
  <x:r>
    <x:x v="0"/>
    <x:s v="Size Recognition"/>
    <x:n v="95"/>
    <x:s v="Move the object that is smallest into the bowl."/>
    <x:s v="Bowl: empty. Table, robot-left→robot-right: P1 juggling ball; P2 crushed Pepsi can. Adjacent centers 8 cm apart; row shifted 4 cm away from the robot; all objects fully visible and grasp paths clear."/>
    <x:s v="MOVE juggling ball to bowl"/>
    <x:m/>
    <x:x v="1"/>
  </x:r>
  <x:r>
    <x:x v="1"/>
    <x:s v="Size Recognition"/>
    <x:n v="96"/>
    <x:s v="Move the object that is largest into the bowl."/>
    <x:s v="Bowl: empty. Table, robot-left→robot-right: P1 green block; P2 red pencil sharpener. Adjacent centers 8 cm apart; row shifted 4 cm toward the robot; all objects fully visible and grasp paths clear."/>
    <x:s v="MOVE green block to bowl"/>
    <x:s v="grabbed red pencil sharpener"/>
    <x:x v="1"/>
  </x:r>
  <x:r>
    <x:x v="1"/>
    <x:s v="Size Recognition"/>
    <x:n v="97"/>
    <x:s v="Pick up the smallest item and place it in the bowl."/>
    <x:s v="Bowl: empty. Table, robot-left→robot-right: P1 crushed Pepsi can; P2 juggling ball. Adjacent centers 12 cm apart; row centered on the workspace; all objects fully visible and grasp paths clear."/>
    <x:s v="MOVE juggling ball to bowl"/>
    <x:s v="grabbed soda can"/>
    <x:x v="1"/>
  </x:r>
  <x:r>
    <x:x v="0"/>
    <x:s v="Size Recognition"/>
    <x:n v="98"/>
    <x:s v="Pick up the largest item and place it in the bowl."/>
    <x:s v="Bowl: empty. Table, robot-left→robot-right: P1 red pencil sharpener; P2 green block. Adjacent centers 12 cm apart; row shifted 4 cm away from the robot; all objects fully visible and grasp paths clear."/>
    <x:s v="MOVE green block to bowl"/>
    <x:m/>
    <x:x v="1"/>
  </x:r>
  <x:r>
    <x:x v="0"/>
    <x:s v="Size Recognition"/>
    <x:n v="99"/>
    <x:s v="Put the smallest object in the bowl."/>
    <x:s v="Bowl: empty. Table, robot-left→robot-right: P1 juggling ball; P2 crushed Pepsi can. Adjacent centers 16 cm apart; row shifted 4 cm toward robot-left; all objects fully visible and grasp paths clear."/>
    <x:s v="MOVE juggling ball to bowl"/>
    <x:s v="Tried to pick can, knocked it out of range and during recovery, went for juggling ball"/>
    <x:x v="1"/>
  </x:r>
  <x:r>
    <x:x v="0"/>
    <x:s v="Size Recognition"/>
    <x:n v="100"/>
    <x:s v="Put the largest object in the bowl."/>
    <x:s v="Bowl: empty. Table, robot-left→robot-right: P1 green block; P2 red pencil sharpener. Adjacent centers 16 cm apart; row centered on the workspace; all objects fully visible and grasp paths clear."/>
    <x:s v="MOVE green block to bowl"/>
    <x:m/>
    <x:x v="1"/>
  </x:r>
  <x:r>
    <x:x v="0"/>
    <x:s v="Size Recognition"/>
    <x:n v="101"/>
    <x:s v="Move the object that is smallest into the bowl."/>
    <x:s v="Bowl: empty. Table, robot-left→robot-right: P1 crushed Pepsi can; P2 juggling ball. Adjacent centers 8 cm apart; row shifted 4 cm toward robot-right; all objects fully visible and grasp paths clear."/>
    <x:s v="MOVE juggling ball to bowl"/>
    <x:m/>
    <x:x v="1"/>
  </x:r>
  <x:r>
    <x:x v="1"/>
    <x:s v="Size Recognition"/>
    <x:n v="102"/>
    <x:s v="Move the object that is largest into the bowl."/>
    <x:s v="Bowl: empty. Table, robot-left→robot-right: P1 red pencil sharpener; P2 green block. Adjacent centers 8 cm apart; row shifted 4 cm toward robot-left; all objects fully visible and grasp paths clear."/>
    <x:s v="MOVE green block to bowl"/>
    <x:s v="Picked red sharpener"/>
    <x:x v="1"/>
  </x:r>
  <x:r>
    <x:x v="1"/>
    <x:s v="Size Recognition"/>
    <x:n v="103"/>
    <x:s v="Pick up the smallest item and place it in the bowl."/>
    <x:s v="Bowl: empty. Table, robot-left→robot-right: P1 juggling ball; P2 crushed Pepsi can. Adjacent centers 12 cm apart; row shifted 4 cm toward the robot; all objects fully visible and grasp paths clear."/>
    <x:s v="MOVE juggling ball to bowl"/>
    <x:s v="Picked the soda can"/>
    <x:x v="1"/>
  </x:r>
  <x:r>
    <x:x v="0"/>
    <x:s v="Size Recognition"/>
    <x:n v="104"/>
    <x:s v="Pick up the largest item and place it in the bowl."/>
    <x:s v="Bowl: empty. Table, robot-left→robot-right: P1 green block; P2 red pencil sharpener. Adjacent centers 12 cm apart; row shifted 4 cm toward robot-right; all objects fully visible and grasp paths clear."/>
    <x:s v="MOVE green block to bowl"/>
    <x:s v="Started doing grasping strategy for pepsi can and was jittering around before eventually finding the green block and getting it."/>
    <x:x v="1"/>
  </x:r>
  <x:r>
    <x:x v="1"/>
    <x:s v="Size Recognition"/>
    <x:n v="105"/>
    <x:s v="Put the smallest object in the bowl."/>
    <x:s v="Bowl: empty. Table, robot-left→robot-right: P1 crushed Pepsi can; P2 juggling ball. Adjacent centers 16 cm apart; row shifted 4 cm away from the robot; all objects fully visible and grasp paths clear."/>
    <x:s v="MOVE juggling ball to bowl"/>
    <x:s v="Tried to get the soda can, dropped it, and then during recovery, started going for ball, but didn't get it and went back trying to get pepsi can."/>
    <x:x v="1"/>
  </x:r>
  <x:r>
    <x:x v="0"/>
    <x:s v="Size Recognition"/>
    <x:n v="106"/>
    <x:s v="Put the largest object in the bowl."/>
    <x:s v="Bowl: empty. Table, robot-left→robot-right: P1 red pencil sharpener; P2 green block. Adjacent centers 16 cm apart; row shifted 4 cm toward the robot; all objects fully visible and grasp paths clear."/>
    <x:s v="MOVE green block to bowl"/>
    <x:m/>
    <x:x v="1"/>
  </x:r>
  <x:r>
    <x:x v="0"/>
    <x:s v="Size Recognition"/>
    <x:n v="107"/>
    <x:s v="Move the object that is smallest into the bowl."/>
    <x:s v="Bowl: empty. Table, robot-left→robot-right: P1 juggling ball; P2 crushed Pepsi can. Adjacent centers 8 cm apart; row centered on the workspace; all objects fully visible and grasp paths clear."/>
    <x:s v="MOVE juggling ball to bowl"/>
    <x:s v="Grabbed the ball with the soda can gripping strategy."/>
    <x:x v="1"/>
  </x:r>
  <x:r>
    <x:x v="0"/>
    <x:s v="Size Recognition"/>
    <x:n v="108"/>
    <x:s v="Move the object that is largest into the bowl."/>
    <x:s v="Bowl: empty. Table, robot-left→robot-right: P1 green block; P2 red pencil sharpener. Adjacent centers 8 cm apart; row shifted 4 cm away from the robot; all objects fully visible and grasp paths clear."/>
    <x:s v="MOVE green block to bowl"/>
    <x:m/>
    <x:x v="1"/>
  </x:r>
  <x:r>
    <x:x v="0"/>
    <x:s v="Size Recognition"/>
    <x:n v="109"/>
    <x:s v="Pick up the smallest item and place it in the bowl."/>
    <x:s v="Bowl: empty. Table, robot-left→robot-right: P1 crushed Pepsi can; P2 juggling ball. Adjacent centers 12 cm apart; row shifted 4 cm toward robot-left; all objects fully visible and grasp paths clear."/>
    <x:s v="MOVE juggling ball to bowl"/>
    <x:m/>
    <x:x v="1"/>
  </x:r>
  <x:r>
    <x:x v="0"/>
    <x:s v="Size Recognition"/>
    <x:n v="110"/>
    <x:s v="Move the object that is largest into the bowl."/>
    <x:s v="Bowl: empty. Table, robot-left→robot-right: P1 airplane toy with propellers; P2 red pencil sharpener. Adjacent centers 8 cm apart; row centered on the workspace; all objects fully visible and grasp paths clear."/>
    <x:s v="MOVE airplane toy with propellers to bowl"/>
    <x:m/>
    <x:x v="15"/>
  </x:r>
  <x:r>
    <x:x v="0"/>
    <x:s v="Size Recognition"/>
    <x:n v="111"/>
    <x:s v="Put the smallest object in the bowl."/>
    <x:s v="Bowl: empty. Table, robot-left→robot-right: P1 airplane toy with propellers; P2 red pencil sharpener. Adjacent centers 8 cm apart; row centered on the workspace; all objects fully visible and grasp paths clear."/>
    <x:s v="MOVE red pencil sharpener to bowl"/>
    <x:m/>
    <x:x v="16"/>
  </x:r>
  <x:r>
    <x:x v="0"/>
    <x:s v="Size Recognition"/>
    <x:n v="112"/>
    <x:s v="Pick up the smallest item and place it in the bowl."/>
    <x:s v="Bowl: empty. Table, robot-left→robot-right: P1 airplane toy with propellers; P2 green block; P3 crushed Pepsi can. Adjacent centers 12 cm apart; row shifted 4 cm toward robot-right; all objects fully visible and grasp paths clear."/>
    <x:s v="MOVE airplane toy with propellers to bowl"/>
    <x:m/>
    <x:x v="15"/>
  </x:r>
  <x:r>
    <x:x v="0"/>
    <x:s v="Size Recognition"/>
    <x:n v="113"/>
    <x:s v="Put the largest object in the bowl."/>
    <x:s v="Bowl: empty. Table, robot-left→robot-right: P1 airplane toy with propellers; P2 green block; P3 crushed Pepsi can. Adjacent centers 12 cm apart; row shifted 4 cm toward robot-right; all objects fully visible and grasp paths clear."/>
    <x:s v="MOVE crushed Pepsi can to bowl"/>
    <x:m/>
    <x:x v="16"/>
  </x:r>
  <x:r>
    <x:x v="0"/>
    <x:s v="Size Recognition"/>
    <x:n v="114"/>
    <x:s v="Pick up the largest item and place it in the bowl."/>
    <x:s v="Bowl: empty. Table, robot-left→robot-right: P1 red pencil sharpener; P2 airplane toy with propellers. Adjacent centers 12 cm apart; row shifted 4 cm toward robot-left; all objects fully visible and grasp paths clear."/>
    <x:s v="MOVE airplane toy with propellers to bowl"/>
    <x:m/>
    <x:x v="15"/>
  </x:r>
  <x:r>
    <x:x v="0"/>
    <x:s v="Size Recognition"/>
    <x:n v="115"/>
    <x:s v="Move the object that is smallest into the bowl."/>
    <x:s v="Bowl: empty. Table, robot-left→robot-right: P1 red pencil sharpener; P2 airplane toy with propellers. Adjacent centers 12 cm apart; row shifted 4 cm toward robot-left; all objects fully visible and grasp paths clear."/>
    <x:s v="MOVE red pencil sharpener to bowl"/>
    <x:m/>
    <x:x v="16"/>
  </x:r>
  <x:r>
    <x:x v="0"/>
    <x:s v="Size Recognition"/>
    <x:n v="116"/>
    <x:s v="Put the smallest object in the bowl."/>
    <x:s v="Bowl: empty. Table, robot-left→robot-right: P1 juggling ball; P2 green block; P3 airplane toy with propellers. Adjacent centers 16 cm apart; row shifted 4 cm toward the robot; all objects fully visible and grasp paths clear."/>
    <x:s v="MOVE airplane toy with propellers to bowl"/>
    <x:m/>
    <x:x v="15"/>
  </x:r>
  <x:r>
    <x:x v="0"/>
    <x:s v="Size Recognition"/>
    <x:n v="117"/>
    <x:s v="Move the object that is largest into the bowl."/>
    <x:s v="Bowl: empty. Table, robot-left→robot-right: P1 juggling ball; P2 green block; P3 airplane toy with propellers. Adjacent centers 16 cm apart; row shifted 4 cm toward the robot; all objects fully visible and grasp paths clear."/>
    <x:s v="MOVE juggling ball to bowl"/>
    <x:m/>
    <x:x v="16"/>
  </x:r>
  <x:r>
    <x:x v="0"/>
    <x:s v="Size Recognition"/>
    <x:n v="118"/>
    <x:s v="Put the largest object in the bowl."/>
    <x:s v="Bowl: empty. Table, robot-left→robot-right: P1 airplane toy with propellers; P2 red pencil sharpener. Adjacent centers 16 cm apart; row shifted 4 cm toward robot-right; all objects fully visible and grasp paths clear."/>
    <x:s v="MOVE airplane toy with propellers to bowl"/>
    <x:m/>
    <x:x v="15"/>
  </x:r>
  <x:r>
    <x:x v="0"/>
    <x:s v="Size Recognition"/>
    <x:n v="119"/>
    <x:s v="Pick up the smallest item and place it in the bowl."/>
    <x:s v="Bowl: empty. Table, robot-left→robot-right: P1 airplane toy with propellers; P2 red pencil sharpener. Adjacent centers 16 cm apart; row shifted 4 cm toward robot-right; all objects fully visible and grasp paths clear."/>
    <x:s v="MOVE red pencil sharpener to bowl"/>
    <x:m/>
    <x:x v="16"/>
  </x:r>
  <x:r>
    <x:x v="1"/>
    <x:s v="Size Recognition"/>
    <x:n v="120"/>
    <x:s v="Move the object that is smallest into the bowl."/>
    <x:s v="Bowl: empty. Table, robot-left→robot-right: P1 green block; P2 crushed Pepsi can; P3 airplane toy with propellers. Adjacent centers 8 cm apart; row shifted 4 cm away from the robot; all objects fully visible and grasp paths clear."/>
    <x:s v="MOVE airplane toy with propellers to bowl"/>
    <x:s v="Picked up green block"/>
    <x:x v="15"/>
  </x:r>
  <x:r>
    <x:x v="0"/>
    <x:s v="Size Recognition"/>
    <x:n v="121"/>
    <x:s v="Pick up the largest item and place it in the bowl."/>
    <x:s v="Bowl: empty. Table, robot-left→robot-right: P1 green block; P2 crushed Pepsi can; P3 airplane toy with propellers. Adjacent centers 8 cm apart; row shifted 4 cm away from the robot; all objects fully visible and grasp paths clear."/>
    <x:s v="MOVE crushed Pepsi can to bowl"/>
    <x:m/>
    <x:x v="16"/>
  </x:r>
  <x:r>
    <x:x v="0"/>
    <x:s v="Size Recognition"/>
    <x:n v="122"/>
    <x:s v="Move the object that is largest into the bowl."/>
    <x:s v="Bowl: empty. Table, robot-left→robot-right: P1 red pencil sharpener; P2 airplane toy with propellers. Adjacent centers 8 cm apart; row shifted 4 cm toward the robot; all objects fully visible and grasp paths clear."/>
    <x:s v="MOVE airplane toy with propellers to bowl"/>
    <x:m/>
    <x:x v="15"/>
  </x:r>
  <x:r>
    <x:x v="1"/>
    <x:s v="Size Recognition"/>
    <x:n v="123"/>
    <x:s v="Put the smallest object in the bowl."/>
    <x:s v="Bowl: empty. Table, robot-left→robot-right: P1 red pencil sharpener; P2 airplane toy with propellers. Adjacent centers 8 cm apart; row shifted 4 cm toward the robot; all objects fully visible and grasp paths clear."/>
    <x:s v="MOVE red pencil sharpener to bowl"/>
    <x:s v="Failed grasping. Picked the block, it went up on its side, then it flew out of the range of the robot. Reasoning succeeded"/>
    <x:x v="16"/>
  </x:r>
  <x:r>
    <x:x v="1"/>
    <x:s v="Size Recognition"/>
    <x:n v="124"/>
    <x:s v="Pick up the smallest item and place it in the bowl."/>
    <x:s v="Bowl: empty. Table, robot-left→robot-right: P1 airplane toy with propellers; P2 green block; P3 juggling ball. Adjacent centers 12 cm apart; row centered on the workspace; all objects fully visible and grasp paths clear."/>
    <x:s v="MOVE airplane toy with propellers to bowl"/>
    <x:s v="Grabbed the green block"/>
    <x:x v="15"/>
  </x:r>
  <x:r>
    <x:x v="0"/>
    <x:s v="Size Recognition"/>
    <x:n v="125"/>
    <x:s v="Put the largest object in the bowl."/>
    <x:s v="Bowl: empty. Table, robot-left→robot-right: P1 airplane toy with propellers; P2 green block; P3 juggling ball. Adjacent centers 12 cm apart; row centered on the workspace; all objects fully visible and grasp paths clear."/>
    <x:s v="MOVE juggling ball to bowl"/>
    <x:m/>
    <x:x v="16"/>
  </x:r>
  <x:r>
    <x:x v="0"/>
    <x:s v="Size Recognition"/>
    <x:n v="126"/>
    <x:s v="Pick up the largest item and place it in the bowl."/>
    <x:s v="Bowl: empty. Table, robot-left→robot-right: P1 airplane toy with propellers; P2 red pencil sharpener. Adjacent centers 12 cm apart; row shifted 4 cm away from the robot; all objects fully visible and grasp paths clear."/>
    <x:s v="MOVE airplane toy with propellers to bowl"/>
    <x:m/>
    <x:x v="15"/>
  </x:r>
  <x:r>
    <x:x v="0"/>
    <x:s v="Size Recognition"/>
    <x:n v="127"/>
    <x:s v="Move the object that is smallest into the bowl."/>
    <x:s v="Bowl: empty. Table, robot-left→robot-right: P1 airplane toy with propellers; P2 red pencil sharpener. Adjacent centers 12 cm apart; row shifted 4 cm away from the robot; all objects fully visible and grasp paths clear."/>
    <x:s v="MOVE red pencil sharpener to bowl"/>
    <x:m/>
    <x:x v="16"/>
  </x:r>
  <x:r>
    <x:x v="0"/>
    <x:s v="Size Recognition"/>
    <x:n v="128"/>
    <x:s v="Put the smallest object in the bowl."/>
    <x:s v="Bowl: empty. Table, robot-left→robot-right: P1 crushed Pepsi can; P2 juggling ball; P3 airplane toy with propellers. Adjacent centers 16 cm apart; row shifted 4 cm toward robot-left; all objects fully visible and grasp paths clear."/>
    <x:s v="MOVE airplane toy with propellers to bowl"/>
    <x:m/>
    <x:x v="15"/>
  </x:r>
  <x:r>
    <x:x v="0"/>
    <x:s v="Size Recognition"/>
    <x:n v="129"/>
    <x:s v="Move the object that is largest into the bowl."/>
    <x:s v="Bowl: empty. Table, robot-left→robot-right: P1 crushed Pepsi can; P2 juggling ball; P3 airplane toy with propellers. Adjacent centers 16 cm apart; row shifted 4 cm toward robot-left; all objects fully visible and grasp paths clear."/>
    <x:s v="MOVE crushed Pepsi can to bowl"/>
    <x:m/>
    <x:x v="16"/>
  </x:r>
</x:pivotCacheRecords>
</file>