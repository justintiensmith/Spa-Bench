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ustintiensmith/Documents/lerobot/outputs/01a0678e-4e7e-7a31-b018-7fba72ab9fe5/"/>
    </mc:Choice>
  </mc:AlternateContent>
  <xr:revisionPtr revIDLastSave="0" documentId="13_ncr:1_{6AD4FA9B-7960-7248-BBD5-175403BD5AFA}" xr6:coauthVersionLast="47" xr6:coauthVersionMax="47" xr10:uidLastSave="{00000000-0000-0000-0000-000000000000}"/>
  <bookViews>
    <workbookView xWindow="0" yWindow="780" windowWidth="30240" windowHeight="17760" activeTab="8" xr2:uid="{00000000-000D-0000-FFFF-FFFF00000000}"/>
  </bookViews>
  <sheets>
    <sheet name="Guide" sheetId="1" r:id="rId1"/>
    <sheet name="Overall Summary" sheetId="2" r:id="rId2"/>
    <sheet name="Familiar Data" sheetId="3" r:id="rId3"/>
    <sheet name="Novel Data" sheetId="4" r:id="rId4"/>
    <sheet name="Matched Data" sheetId="5" r:id="rId5"/>
    <sheet name="Diagnostics" sheetId="6" r:id="rId6"/>
    <sheet name="Chart Data" sheetId="7" r:id="rId7"/>
    <sheet name="Familiar Charts" sheetId="8" r:id="rId8"/>
    <sheet name="Novel Charts" sheetId="9" r:id="rId9"/>
  </sheets>
  <externalReferences>
    <externalReference r:id="rId10"/>
  </externalReferenc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2" i="6" l="1" a="1"/>
  <c r="G92" i="6"/>
  <c r="F22" i="4"/>
  <c r="G22" i="4"/>
  <c r="H22" i="4"/>
  <c r="I22" i="4"/>
  <c r="L22" i="4"/>
  <c r="D140" i="7"/>
  <c r="F21" i="4"/>
  <c r="G21" i="4"/>
  <c r="H21" i="4"/>
  <c r="I21" i="4"/>
  <c r="L21" i="4"/>
  <c r="C140" i="7"/>
  <c r="F20" i="4"/>
  <c r="G20" i="4"/>
  <c r="H20" i="4"/>
  <c r="I20" i="4"/>
  <c r="L20" i="4"/>
  <c r="B140" i="7"/>
  <c r="D139" i="7"/>
  <c r="C139" i="7"/>
  <c r="B139" i="7"/>
  <c r="D138" i="7"/>
  <c r="C138" i="7"/>
  <c r="B138" i="7"/>
  <c r="K22" i="4"/>
  <c r="D137" i="7"/>
  <c r="K21" i="4"/>
  <c r="C137" i="7"/>
  <c r="K20" i="4"/>
  <c r="B137" i="7"/>
  <c r="J22" i="4"/>
  <c r="D136" i="7"/>
  <c r="J21" i="4"/>
  <c r="C136" i="7"/>
  <c r="J20" i="4"/>
  <c r="B136" i="7"/>
  <c r="D135" i="7"/>
  <c r="C135" i="7"/>
  <c r="B135" i="7"/>
  <c r="D134" i="7"/>
  <c r="C134" i="7"/>
  <c r="B134" i="7"/>
  <c r="D133" i="7"/>
  <c r="C133" i="7"/>
  <c r="B133" i="7"/>
  <c r="F19" i="4"/>
  <c r="G19" i="4"/>
  <c r="H19" i="4"/>
  <c r="I19" i="4"/>
  <c r="L19" i="4"/>
  <c r="D129" i="7"/>
  <c r="F18" i="4"/>
  <c r="G18" i="4"/>
  <c r="H18" i="4"/>
  <c r="I18" i="4"/>
  <c r="L18" i="4"/>
  <c r="C129" i="7"/>
  <c r="F17" i="4"/>
  <c r="G17" i="4"/>
  <c r="H17" i="4"/>
  <c r="I17" i="4"/>
  <c r="L17" i="4"/>
  <c r="B129" i="7"/>
  <c r="D128" i="7"/>
  <c r="C128" i="7"/>
  <c r="B128" i="7"/>
  <c r="D127" i="7"/>
  <c r="C127" i="7"/>
  <c r="B127" i="7"/>
  <c r="K19" i="4"/>
  <c r="D126" i="7"/>
  <c r="K18" i="4"/>
  <c r="C126" i="7"/>
  <c r="K17" i="4"/>
  <c r="B126" i="7"/>
  <c r="J19" i="4"/>
  <c r="D125" i="7"/>
  <c r="J18" i="4"/>
  <c r="C125" i="7"/>
  <c r="J17" i="4"/>
  <c r="B125" i="7"/>
  <c r="D124" i="7"/>
  <c r="C124" i="7"/>
  <c r="B124" i="7"/>
  <c r="D123" i="7"/>
  <c r="C123" i="7"/>
  <c r="B123" i="7"/>
  <c r="D122" i="7"/>
  <c r="C122" i="7"/>
  <c r="B122" i="7"/>
  <c r="F16" i="4"/>
  <c r="G16" i="4"/>
  <c r="H16" i="4"/>
  <c r="I16" i="4"/>
  <c r="L16" i="4"/>
  <c r="D118" i="7"/>
  <c r="F15" i="4"/>
  <c r="G15" i="4"/>
  <c r="H15" i="4"/>
  <c r="I15" i="4"/>
  <c r="L15" i="4"/>
  <c r="C118" i="7"/>
  <c r="F14" i="4"/>
  <c r="G14" i="4"/>
  <c r="H14" i="4"/>
  <c r="I14" i="4"/>
  <c r="L14" i="4"/>
  <c r="B118" i="7"/>
  <c r="D117" i="7"/>
  <c r="C117" i="7"/>
  <c r="B117" i="7"/>
  <c r="D116" i="7"/>
  <c r="C116" i="7"/>
  <c r="B116" i="7"/>
  <c r="K16" i="4"/>
  <c r="D115" i="7"/>
  <c r="K15" i="4"/>
  <c r="C115" i="7"/>
  <c r="K14" i="4"/>
  <c r="B115" i="7"/>
  <c r="J16" i="4"/>
  <c r="D114" i="7"/>
  <c r="J15" i="4"/>
  <c r="C114" i="7"/>
  <c r="J14" i="4"/>
  <c r="B114" i="7"/>
  <c r="D113" i="7"/>
  <c r="C113" i="7"/>
  <c r="B113" i="7"/>
  <c r="D112" i="7"/>
  <c r="C112" i="7"/>
  <c r="B112" i="7"/>
  <c r="D111" i="7"/>
  <c r="C111" i="7"/>
  <c r="B111" i="7"/>
  <c r="F13" i="4"/>
  <c r="G13" i="4"/>
  <c r="H13" i="4"/>
  <c r="I13" i="4"/>
  <c r="L13" i="4"/>
  <c r="D107" i="7"/>
  <c r="F12" i="4"/>
  <c r="G12" i="4"/>
  <c r="H12" i="4"/>
  <c r="I12" i="4"/>
  <c r="L12" i="4"/>
  <c r="C107" i="7"/>
  <c r="F11" i="4"/>
  <c r="G11" i="4"/>
  <c r="H11" i="4"/>
  <c r="I11" i="4"/>
  <c r="L11" i="4"/>
  <c r="B107" i="7"/>
  <c r="D106" i="7"/>
  <c r="C106" i="7"/>
  <c r="B106" i="7"/>
  <c r="D105" i="7"/>
  <c r="C105" i="7"/>
  <c r="B105" i="7"/>
  <c r="K13" i="4"/>
  <c r="D104" i="7"/>
  <c r="K12" i="4"/>
  <c r="C104" i="7"/>
  <c r="K11" i="4"/>
  <c r="B104" i="7"/>
  <c r="J13" i="4"/>
  <c r="D103" i="7"/>
  <c r="J12" i="4"/>
  <c r="C103" i="7"/>
  <c r="J11" i="4"/>
  <c r="B103" i="7"/>
  <c r="D102" i="7"/>
  <c r="C102" i="7"/>
  <c r="B102" i="7"/>
  <c r="D101" i="7"/>
  <c r="C101" i="7"/>
  <c r="B101" i="7"/>
  <c r="D100" i="7"/>
  <c r="C100" i="7"/>
  <c r="B100" i="7"/>
  <c r="F10" i="4"/>
  <c r="G10" i="4"/>
  <c r="H10" i="4"/>
  <c r="I10" i="4"/>
  <c r="L10" i="4"/>
  <c r="D96" i="7"/>
  <c r="F9" i="4"/>
  <c r="G9" i="4"/>
  <c r="H9" i="4"/>
  <c r="I9" i="4"/>
  <c r="L9" i="4"/>
  <c r="C96" i="7"/>
  <c r="F8" i="4"/>
  <c r="G8" i="4"/>
  <c r="H8" i="4"/>
  <c r="I8" i="4"/>
  <c r="L8" i="4"/>
  <c r="B96" i="7"/>
  <c r="D95" i="7"/>
  <c r="C95" i="7"/>
  <c r="B95" i="7"/>
  <c r="D94" i="7"/>
  <c r="C94" i="7"/>
  <c r="B94" i="7"/>
  <c r="K10" i="4"/>
  <c r="D93" i="7"/>
  <c r="K9" i="4"/>
  <c r="C93" i="7"/>
  <c r="K8" i="4"/>
  <c r="B93" i="7"/>
  <c r="J10" i="4"/>
  <c r="D92" i="7"/>
  <c r="J9" i="4"/>
  <c r="C92" i="7"/>
  <c r="J8" i="4"/>
  <c r="B92" i="7"/>
  <c r="D91" i="7"/>
  <c r="C91" i="7"/>
  <c r="B91" i="7"/>
  <c r="D90" i="7"/>
  <c r="C90" i="7"/>
  <c r="B90" i="7"/>
  <c r="D89" i="7"/>
  <c r="C89" i="7"/>
  <c r="B89" i="7"/>
  <c r="F7" i="4"/>
  <c r="G7" i="4"/>
  <c r="H7" i="4"/>
  <c r="I7" i="4"/>
  <c r="L7" i="4"/>
  <c r="D85" i="7"/>
  <c r="F6" i="4"/>
  <c r="G6" i="4"/>
  <c r="H6" i="4"/>
  <c r="I6" i="4"/>
  <c r="L6" i="4"/>
  <c r="C85" i="7"/>
  <c r="F5" i="4"/>
  <c r="G5" i="4"/>
  <c r="H5" i="4"/>
  <c r="I5" i="4"/>
  <c r="L5" i="4"/>
  <c r="B85" i="7"/>
  <c r="D84" i="7"/>
  <c r="C84" i="7"/>
  <c r="B84" i="7"/>
  <c r="D83" i="7"/>
  <c r="C83" i="7"/>
  <c r="B83" i="7"/>
  <c r="K7" i="4"/>
  <c r="D82" i="7"/>
  <c r="K6" i="4"/>
  <c r="C82" i="7"/>
  <c r="K5" i="4"/>
  <c r="B82" i="7"/>
  <c r="J7" i="4"/>
  <c r="D81" i="7"/>
  <c r="J6" i="4"/>
  <c r="C81" i="7"/>
  <c r="J5" i="4"/>
  <c r="B81" i="7"/>
  <c r="D80" i="7"/>
  <c r="C80" i="7"/>
  <c r="B80" i="7"/>
  <c r="D79" i="7"/>
  <c r="C79" i="7"/>
  <c r="B79" i="7"/>
  <c r="D78" i="7"/>
  <c r="C78" i="7"/>
  <c r="B78" i="7"/>
  <c r="F34" i="3"/>
  <c r="G34" i="3"/>
  <c r="H34" i="3"/>
  <c r="I34" i="3"/>
  <c r="L34" i="3"/>
  <c r="F74" i="7"/>
  <c r="F33" i="3"/>
  <c r="G33" i="3"/>
  <c r="H33" i="3"/>
  <c r="I33" i="3"/>
  <c r="L33" i="3"/>
  <c r="E74" i="7"/>
  <c r="F32" i="3"/>
  <c r="G32" i="3"/>
  <c r="H32" i="3"/>
  <c r="I32" i="3"/>
  <c r="L32" i="3"/>
  <c r="D74" i="7"/>
  <c r="F31" i="3"/>
  <c r="G31" i="3"/>
  <c r="H31" i="3"/>
  <c r="I31" i="3"/>
  <c r="L31" i="3"/>
  <c r="C74" i="7"/>
  <c r="F30" i="3"/>
  <c r="G30" i="3"/>
  <c r="H30" i="3"/>
  <c r="I30" i="3"/>
  <c r="L30" i="3"/>
  <c r="B74" i="7"/>
  <c r="F73" i="7"/>
  <c r="E73" i="7"/>
  <c r="D73" i="7"/>
  <c r="C73" i="7"/>
  <c r="B73" i="7"/>
  <c r="F72" i="7"/>
  <c r="E72" i="7"/>
  <c r="D72" i="7"/>
  <c r="C72" i="7"/>
  <c r="B72" i="7"/>
  <c r="K34" i="3"/>
  <c r="F71" i="7"/>
  <c r="K33" i="3"/>
  <c r="E71" i="7"/>
  <c r="K32" i="3"/>
  <c r="D71" i="7"/>
  <c r="K31" i="3"/>
  <c r="C71" i="7"/>
  <c r="K30" i="3"/>
  <c r="B71" i="7"/>
  <c r="J34" i="3"/>
  <c r="F70" i="7"/>
  <c r="J33" i="3"/>
  <c r="E70" i="7"/>
  <c r="J32" i="3"/>
  <c r="D70" i="7"/>
  <c r="J31" i="3"/>
  <c r="C70" i="7"/>
  <c r="J30" i="3"/>
  <c r="B70" i="7"/>
  <c r="F69" i="7"/>
  <c r="E69" i="7"/>
  <c r="D69" i="7"/>
  <c r="C69" i="7"/>
  <c r="B69" i="7"/>
  <c r="F68" i="7"/>
  <c r="E68" i="7"/>
  <c r="D68" i="7"/>
  <c r="C68" i="7"/>
  <c r="B68" i="7"/>
  <c r="F67" i="7"/>
  <c r="E67" i="7"/>
  <c r="D67" i="7"/>
  <c r="C67" i="7"/>
  <c r="B67" i="7"/>
  <c r="F29" i="3"/>
  <c r="G29" i="3"/>
  <c r="H29" i="3"/>
  <c r="I29" i="3"/>
  <c r="L29" i="3"/>
  <c r="F63" i="7"/>
  <c r="F28" i="3"/>
  <c r="G28" i="3"/>
  <c r="H28" i="3"/>
  <c r="I28" i="3"/>
  <c r="L28" i="3"/>
  <c r="E63" i="7"/>
  <c r="F27" i="3"/>
  <c r="G27" i="3"/>
  <c r="H27" i="3"/>
  <c r="I27" i="3"/>
  <c r="L27" i="3"/>
  <c r="D63" i="7"/>
  <c r="F26" i="3"/>
  <c r="G26" i="3"/>
  <c r="H26" i="3"/>
  <c r="I26" i="3"/>
  <c r="L26" i="3"/>
  <c r="C63" i="7"/>
  <c r="F25" i="3"/>
  <c r="G25" i="3"/>
  <c r="H25" i="3"/>
  <c r="I25" i="3"/>
  <c r="L25" i="3"/>
  <c r="B63" i="7"/>
  <c r="F62" i="7"/>
  <c r="E62" i="7"/>
  <c r="D62" i="7"/>
  <c r="C62" i="7"/>
  <c r="B62" i="7"/>
  <c r="F61" i="7"/>
  <c r="E61" i="7"/>
  <c r="D61" i="7"/>
  <c r="C61" i="7"/>
  <c r="B61" i="7"/>
  <c r="K29" i="3"/>
  <c r="F60" i="7"/>
  <c r="K28" i="3"/>
  <c r="E60" i="7"/>
  <c r="K27" i="3"/>
  <c r="D60" i="7"/>
  <c r="K26" i="3"/>
  <c r="C60" i="7"/>
  <c r="K25" i="3"/>
  <c r="B60" i="7"/>
  <c r="J29" i="3"/>
  <c r="F59" i="7"/>
  <c r="J28" i="3"/>
  <c r="E59" i="7"/>
  <c r="J27" i="3"/>
  <c r="D59" i="7"/>
  <c r="J26" i="3"/>
  <c r="C59" i="7"/>
  <c r="J25" i="3"/>
  <c r="B59" i="7"/>
  <c r="F58" i="7"/>
  <c r="E58" i="7"/>
  <c r="D58" i="7"/>
  <c r="C58" i="7"/>
  <c r="B58" i="7"/>
  <c r="F57" i="7"/>
  <c r="E57" i="7"/>
  <c r="D57" i="7"/>
  <c r="C57" i="7"/>
  <c r="B57" i="7"/>
  <c r="F56" i="7"/>
  <c r="E56" i="7"/>
  <c r="D56" i="7"/>
  <c r="C56" i="7"/>
  <c r="B56" i="7"/>
  <c r="F24" i="3"/>
  <c r="G24" i="3"/>
  <c r="H24" i="3"/>
  <c r="I24" i="3"/>
  <c r="L24" i="3"/>
  <c r="F52" i="7"/>
  <c r="F23" i="3"/>
  <c r="G23" i="3"/>
  <c r="H23" i="3"/>
  <c r="I23" i="3"/>
  <c r="L23" i="3"/>
  <c r="E52" i="7"/>
  <c r="F22" i="3"/>
  <c r="G22" i="3"/>
  <c r="H22" i="3"/>
  <c r="I22" i="3"/>
  <c r="L22" i="3"/>
  <c r="D52" i="7"/>
  <c r="F21" i="3"/>
  <c r="G21" i="3"/>
  <c r="H21" i="3"/>
  <c r="I21" i="3"/>
  <c r="L21" i="3"/>
  <c r="C52" i="7"/>
  <c r="F20" i="3"/>
  <c r="G20" i="3"/>
  <c r="H20" i="3"/>
  <c r="I20" i="3"/>
  <c r="L20" i="3"/>
  <c r="B52" i="7"/>
  <c r="F51" i="7"/>
  <c r="E51" i="7"/>
  <c r="D51" i="7"/>
  <c r="C51" i="7"/>
  <c r="B51" i="7"/>
  <c r="F50" i="7"/>
  <c r="E50" i="7"/>
  <c r="D50" i="7"/>
  <c r="C50" i="7"/>
  <c r="B50" i="7"/>
  <c r="K24" i="3"/>
  <c r="F49" i="7"/>
  <c r="K23" i="3"/>
  <c r="E49" i="7"/>
  <c r="K22" i="3"/>
  <c r="D49" i="7"/>
  <c r="K21" i="3"/>
  <c r="C49" i="7"/>
  <c r="K20" i="3"/>
  <c r="B49" i="7"/>
  <c r="J24" i="3"/>
  <c r="F48" i="7"/>
  <c r="J23" i="3"/>
  <c r="E48" i="7"/>
  <c r="J22" i="3"/>
  <c r="D48" i="7"/>
  <c r="J21" i="3"/>
  <c r="C48" i="7"/>
  <c r="J20" i="3"/>
  <c r="B48" i="7"/>
  <c r="F47" i="7"/>
  <c r="E47" i="7"/>
  <c r="D47" i="7"/>
  <c r="C47" i="7"/>
  <c r="B47" i="7"/>
  <c r="F46" i="7"/>
  <c r="E46" i="7"/>
  <c r="D46" i="7"/>
  <c r="C46" i="7"/>
  <c r="B46" i="7"/>
  <c r="F45" i="7"/>
  <c r="E45" i="7"/>
  <c r="D45" i="7"/>
  <c r="C45" i="7"/>
  <c r="B45" i="7"/>
  <c r="F19" i="3"/>
  <c r="G19" i="3"/>
  <c r="H19" i="3"/>
  <c r="I19" i="3"/>
  <c r="L19" i="3"/>
  <c r="F41" i="7"/>
  <c r="F18" i="3"/>
  <c r="G18" i="3"/>
  <c r="H18" i="3"/>
  <c r="I18" i="3"/>
  <c r="L18" i="3"/>
  <c r="E41" i="7"/>
  <c r="F17" i="3"/>
  <c r="G17" i="3"/>
  <c r="H17" i="3"/>
  <c r="I17" i="3"/>
  <c r="L17" i="3"/>
  <c r="D41" i="7"/>
  <c r="F16" i="3"/>
  <c r="G16" i="3"/>
  <c r="H16" i="3"/>
  <c r="I16" i="3"/>
  <c r="L16" i="3"/>
  <c r="C41" i="7"/>
  <c r="F15" i="3"/>
  <c r="G15" i="3"/>
  <c r="H15" i="3"/>
  <c r="I15" i="3"/>
  <c r="L15" i="3"/>
  <c r="B41" i="7"/>
  <c r="F40" i="7"/>
  <c r="E40" i="7"/>
  <c r="D40" i="7"/>
  <c r="C40" i="7"/>
  <c r="B40" i="7"/>
  <c r="F39" i="7"/>
  <c r="E39" i="7"/>
  <c r="D39" i="7"/>
  <c r="C39" i="7"/>
  <c r="B39" i="7"/>
  <c r="K19" i="3"/>
  <c r="F38" i="7"/>
  <c r="K18" i="3"/>
  <c r="E38" i="7"/>
  <c r="K17" i="3"/>
  <c r="D38" i="7"/>
  <c r="K16" i="3"/>
  <c r="C38" i="7"/>
  <c r="K15" i="3"/>
  <c r="B38" i="7"/>
  <c r="J19" i="3"/>
  <c r="F37" i="7"/>
  <c r="J18" i="3"/>
  <c r="E37" i="7"/>
  <c r="J17" i="3"/>
  <c r="D37" i="7"/>
  <c r="J16" i="3"/>
  <c r="C37" i="7"/>
  <c r="J15" i="3"/>
  <c r="B37" i="7"/>
  <c r="F36" i="7"/>
  <c r="E36" i="7"/>
  <c r="D36" i="7"/>
  <c r="C36" i="7"/>
  <c r="B36" i="7"/>
  <c r="F35" i="7"/>
  <c r="E35" i="7"/>
  <c r="D35" i="7"/>
  <c r="C35" i="7"/>
  <c r="B35" i="7"/>
  <c r="F34" i="7"/>
  <c r="E34" i="7"/>
  <c r="D34" i="7"/>
  <c r="C34" i="7"/>
  <c r="B34" i="7"/>
  <c r="F14" i="3"/>
  <c r="G14" i="3"/>
  <c r="H14" i="3"/>
  <c r="I14" i="3"/>
  <c r="L14" i="3"/>
  <c r="F30" i="7"/>
  <c r="F13" i="3"/>
  <c r="G13" i="3"/>
  <c r="H13" i="3"/>
  <c r="I13" i="3"/>
  <c r="L13" i="3"/>
  <c r="E30" i="7"/>
  <c r="F12" i="3"/>
  <c r="G12" i="3"/>
  <c r="H12" i="3"/>
  <c r="I12" i="3"/>
  <c r="L12" i="3"/>
  <c r="D30" i="7"/>
  <c r="F11" i="3"/>
  <c r="G11" i="3"/>
  <c r="H11" i="3"/>
  <c r="I11" i="3"/>
  <c r="L11" i="3"/>
  <c r="C30" i="7"/>
  <c r="F10" i="3"/>
  <c r="G10" i="3"/>
  <c r="H10" i="3"/>
  <c r="I10" i="3"/>
  <c r="L10" i="3"/>
  <c r="B30" i="7"/>
  <c r="F29" i="7"/>
  <c r="E29" i="7"/>
  <c r="D29" i="7"/>
  <c r="C29" i="7"/>
  <c r="B29" i="7"/>
  <c r="F28" i="7"/>
  <c r="E28" i="7"/>
  <c r="D28" i="7"/>
  <c r="C28" i="7"/>
  <c r="B28" i="7"/>
  <c r="K14" i="3"/>
  <c r="F27" i="7"/>
  <c r="K13" i="3"/>
  <c r="E27" i="7"/>
  <c r="K12" i="3"/>
  <c r="D27" i="7"/>
  <c r="K11" i="3"/>
  <c r="C27" i="7"/>
  <c r="K10" i="3"/>
  <c r="B27" i="7"/>
  <c r="J14" i="3"/>
  <c r="F26" i="7"/>
  <c r="J13" i="3"/>
  <c r="E26" i="7"/>
  <c r="J12" i="3"/>
  <c r="D26" i="7"/>
  <c r="J11" i="3"/>
  <c r="C26" i="7"/>
  <c r="J10" i="3"/>
  <c r="B26" i="7"/>
  <c r="F25" i="7"/>
  <c r="E25" i="7"/>
  <c r="D25" i="7"/>
  <c r="C25" i="7"/>
  <c r="B25" i="7"/>
  <c r="F24" i="7"/>
  <c r="E24" i="7"/>
  <c r="D24" i="7"/>
  <c r="C24" i="7"/>
  <c r="B24" i="7"/>
  <c r="F23" i="7"/>
  <c r="E23" i="7"/>
  <c r="D23" i="7"/>
  <c r="C23" i="7"/>
  <c r="B23" i="7"/>
  <c r="F9" i="3"/>
  <c r="G9" i="3"/>
  <c r="H9" i="3"/>
  <c r="I9" i="3"/>
  <c r="L9" i="3"/>
  <c r="F19" i="7"/>
  <c r="F8" i="3"/>
  <c r="G8" i="3"/>
  <c r="H8" i="3"/>
  <c r="I8" i="3"/>
  <c r="L8" i="3"/>
  <c r="E19" i="7"/>
  <c r="F7" i="3"/>
  <c r="G7" i="3"/>
  <c r="H7" i="3"/>
  <c r="I7" i="3"/>
  <c r="L7" i="3"/>
  <c r="D19" i="7"/>
  <c r="F6" i="3"/>
  <c r="G6" i="3"/>
  <c r="H6" i="3"/>
  <c r="I6" i="3"/>
  <c r="L6" i="3"/>
  <c r="C19" i="7"/>
  <c r="F5" i="3"/>
  <c r="G5" i="3"/>
  <c r="H5" i="3"/>
  <c r="I5" i="3"/>
  <c r="L5" i="3"/>
  <c r="B19" i="7"/>
  <c r="F18" i="7"/>
  <c r="E18" i="7"/>
  <c r="D18" i="7"/>
  <c r="C18" i="7"/>
  <c r="B18" i="7"/>
  <c r="F17" i="7"/>
  <c r="E17" i="7"/>
  <c r="D17" i="7"/>
  <c r="C17" i="7"/>
  <c r="B17" i="7"/>
  <c r="K9" i="3"/>
  <c r="F16" i="7"/>
  <c r="K8" i="3"/>
  <c r="E16" i="7"/>
  <c r="K7" i="3"/>
  <c r="D16" i="7"/>
  <c r="K6" i="3"/>
  <c r="C16" i="7"/>
  <c r="K5" i="3"/>
  <c r="B16" i="7"/>
  <c r="J9" i="3"/>
  <c r="F15" i="7"/>
  <c r="J8" i="3"/>
  <c r="E15" i="7"/>
  <c r="J7" i="3"/>
  <c r="D15" i="7"/>
  <c r="J6" i="3"/>
  <c r="C15" i="7"/>
  <c r="J5" i="3"/>
  <c r="B15" i="7"/>
  <c r="F14" i="7"/>
  <c r="E14" i="7"/>
  <c r="D14" i="7"/>
  <c r="C14" i="7"/>
  <c r="B14" i="7"/>
  <c r="F13" i="7"/>
  <c r="E13" i="7"/>
  <c r="D13" i="7"/>
  <c r="C13" i="7"/>
  <c r="B13" i="7"/>
  <c r="F12" i="7"/>
  <c r="E12" i="7"/>
  <c r="D12" i="7"/>
  <c r="C12" i="7"/>
  <c r="B12" i="7"/>
  <c r="F13" i="2"/>
  <c r="G13" i="2"/>
  <c r="D7" i="7"/>
  <c r="F12" i="2"/>
  <c r="G12" i="2"/>
  <c r="C7" i="7"/>
  <c r="F11" i="2"/>
  <c r="G11" i="2"/>
  <c r="B7" i="7"/>
  <c r="F10" i="2"/>
  <c r="G10" i="2"/>
  <c r="D6" i="7"/>
  <c r="F9" i="2"/>
  <c r="G9" i="2"/>
  <c r="C6" i="7"/>
  <c r="F8" i="2"/>
  <c r="G8" i="2"/>
  <c r="B6" i="7"/>
  <c r="F7" i="2"/>
  <c r="G7" i="2"/>
  <c r="D5" i="7"/>
  <c r="F6" i="2"/>
  <c r="G6" i="2"/>
  <c r="C5" i="7"/>
  <c r="F5" i="2"/>
  <c r="G5" i="2"/>
  <c r="B5" i="7"/>
  <c r="F94" i="6"/>
  <c r="G94" i="6"/>
  <c r="H94" i="6"/>
  <c r="I94" i="6"/>
  <c r="L94" i="6"/>
  <c r="K94" i="6"/>
  <c r="J94" i="6"/>
  <c r="F93" i="6"/>
  <c r="G93" i="6"/>
  <c r="H93" i="6"/>
  <c r="I93" i="6"/>
  <c r="L93" i="6"/>
  <c r="K93" i="6"/>
  <c r="J93" i="6"/>
  <c r="F92" i="6"/>
  <c r="H92" i="6"/>
  <c r="I92" i="6"/>
  <c r="L92" i="6"/>
  <c r="K92" i="6"/>
  <c r="J92" i="6"/>
  <c r="F91" i="6"/>
  <c r="G91" i="6"/>
  <c r="H91" i="6"/>
  <c r="I91" i="6"/>
  <c r="L91" i="6"/>
  <c r="K91" i="6"/>
  <c r="J91" i="6"/>
  <c r="F90" i="6"/>
  <c r="G90" i="6"/>
  <c r="H90" i="6"/>
  <c r="I90" i="6"/>
  <c r="L90" i="6"/>
  <c r="K90" i="6"/>
  <c r="J90" i="6"/>
  <c r="F89" i="6"/>
  <c r="G89" i="6"/>
  <c r="H89" i="6"/>
  <c r="I89" i="6"/>
  <c r="L89" i="6"/>
  <c r="K89" i="6"/>
  <c r="J89" i="6"/>
  <c r="F88" i="6"/>
  <c r="G88" i="6"/>
  <c r="H88" i="6"/>
  <c r="I88" i="6"/>
  <c r="L88" i="6"/>
  <c r="K88" i="6"/>
  <c r="J88" i="6"/>
  <c r="F87" i="6"/>
  <c r="G87" i="6"/>
  <c r="H87" i="6"/>
  <c r="I87" i="6"/>
  <c r="L87" i="6"/>
  <c r="K87" i="6"/>
  <c r="J87" i="6"/>
  <c r="F86" i="6"/>
  <c r="G86" i="6"/>
  <c r="H86" i="6"/>
  <c r="I86" i="6"/>
  <c r="L86" i="6"/>
  <c r="K86" i="6"/>
  <c r="J86" i="6"/>
  <c r="F85" i="6"/>
  <c r="G85" i="6"/>
  <c r="H85" i="6"/>
  <c r="I85" i="6"/>
  <c r="L85" i="6"/>
  <c r="K85" i="6"/>
  <c r="J85" i="6"/>
  <c r="F84" i="6"/>
  <c r="G84" i="6"/>
  <c r="H84" i="6"/>
  <c r="I84" i="6"/>
  <c r="L84" i="6"/>
  <c r="K84" i="6"/>
  <c r="J84" i="6"/>
  <c r="F83" i="6"/>
  <c r="G83" i="6"/>
  <c r="H83" i="6"/>
  <c r="I83" i="6"/>
  <c r="L83" i="6"/>
  <c r="K83" i="6"/>
  <c r="J83" i="6"/>
  <c r="F82" i="6"/>
  <c r="G82" i="6"/>
  <c r="H82" i="6"/>
  <c r="I82" i="6"/>
  <c r="L82" i="6"/>
  <c r="K82" i="6"/>
  <c r="J82" i="6"/>
  <c r="F81" i="6"/>
  <c r="G81" i="6"/>
  <c r="H81" i="6"/>
  <c r="I81" i="6"/>
  <c r="L81" i="6"/>
  <c r="K81" i="6"/>
  <c r="J81" i="6"/>
  <c r="F80" i="6"/>
  <c r="G80" i="6"/>
  <c r="H80" i="6"/>
  <c r="I80" i="6"/>
  <c r="L80" i="6"/>
  <c r="K80" i="6"/>
  <c r="J80" i="6"/>
  <c r="F79" i="6"/>
  <c r="G79" i="6"/>
  <c r="H79" i="6"/>
  <c r="I79" i="6"/>
  <c r="L79" i="6"/>
  <c r="K79" i="6"/>
  <c r="J79" i="6"/>
  <c r="F78" i="6"/>
  <c r="G78" i="6"/>
  <c r="H78" i="6"/>
  <c r="I78" i="6"/>
  <c r="L78" i="6"/>
  <c r="K78" i="6"/>
  <c r="J78" i="6"/>
  <c r="F77" i="6"/>
  <c r="G77" i="6"/>
  <c r="H77" i="6"/>
  <c r="I77" i="6"/>
  <c r="L77" i="6"/>
  <c r="K77" i="6"/>
  <c r="J77" i="6"/>
  <c r="F76" i="6"/>
  <c r="G76" i="6"/>
  <c r="H76" i="6"/>
  <c r="I76" i="6"/>
  <c r="L76" i="6"/>
  <c r="K76" i="6"/>
  <c r="J76" i="6"/>
  <c r="F75" i="6"/>
  <c r="G75" i="6"/>
  <c r="H75" i="6"/>
  <c r="I75" i="6"/>
  <c r="L75" i="6"/>
  <c r="K75" i="6"/>
  <c r="J75" i="6"/>
  <c r="F74" i="6"/>
  <c r="G74" i="6"/>
  <c r="H74" i="6"/>
  <c r="I74" i="6"/>
  <c r="L74" i="6"/>
  <c r="K74" i="6"/>
  <c r="J74" i="6"/>
  <c r="F73" i="6"/>
  <c r="G73" i="6"/>
  <c r="H73" i="6"/>
  <c r="I73" i="6"/>
  <c r="L73" i="6"/>
  <c r="K73" i="6"/>
  <c r="J73" i="6"/>
  <c r="F72" i="6"/>
  <c r="G72" i="6"/>
  <c r="H72" i="6"/>
  <c r="I72" i="6"/>
  <c r="L72" i="6"/>
  <c r="K72" i="6"/>
  <c r="J72" i="6"/>
  <c r="F71" i="6"/>
  <c r="G71" i="6"/>
  <c r="H71" i="6"/>
  <c r="I71" i="6"/>
  <c r="L71" i="6"/>
  <c r="K71" i="6"/>
  <c r="J71" i="6"/>
  <c r="F70" i="6"/>
  <c r="G70" i="6"/>
  <c r="H70" i="6"/>
  <c r="I70" i="6"/>
  <c r="L70" i="6"/>
  <c r="K70" i="6"/>
  <c r="J70" i="6"/>
  <c r="F69" i="6"/>
  <c r="G69" i="6"/>
  <c r="H69" i="6"/>
  <c r="I69" i="6"/>
  <c r="L69" i="6"/>
  <c r="K69" i="6"/>
  <c r="J69" i="6"/>
  <c r="F68" i="6"/>
  <c r="G68" i="6"/>
  <c r="H68" i="6"/>
  <c r="I68" i="6"/>
  <c r="L68" i="6"/>
  <c r="K68" i="6"/>
  <c r="J68" i="6"/>
  <c r="F67" i="6"/>
  <c r="G67" i="6"/>
  <c r="H67" i="6"/>
  <c r="I67" i="6"/>
  <c r="L67" i="6"/>
  <c r="K67" i="6"/>
  <c r="J67" i="6"/>
  <c r="F66" i="6"/>
  <c r="G66" i="6"/>
  <c r="H66" i="6"/>
  <c r="I66" i="6"/>
  <c r="L66" i="6"/>
  <c r="K66" i="6"/>
  <c r="J66" i="6"/>
  <c r="F65" i="6"/>
  <c r="G65" i="6"/>
  <c r="H65" i="6"/>
  <c r="I65" i="6"/>
  <c r="L65" i="6"/>
  <c r="K65" i="6"/>
  <c r="J65" i="6"/>
  <c r="F64" i="6"/>
  <c r="G64" i="6"/>
  <c r="H64" i="6"/>
  <c r="I64" i="6"/>
  <c r="L64" i="6"/>
  <c r="K64" i="6"/>
  <c r="J64" i="6"/>
  <c r="F63" i="6"/>
  <c r="G63" i="6"/>
  <c r="H63" i="6"/>
  <c r="I63" i="6"/>
  <c r="L63" i="6"/>
  <c r="K63" i="6"/>
  <c r="J63" i="6"/>
  <c r="F62" i="6"/>
  <c r="G62" i="6"/>
  <c r="H62" i="6"/>
  <c r="I62" i="6"/>
  <c r="L62" i="6"/>
  <c r="K62" i="6"/>
  <c r="J62" i="6"/>
  <c r="F61" i="6"/>
  <c r="G61" i="6"/>
  <c r="H61" i="6"/>
  <c r="I61" i="6"/>
  <c r="L61" i="6"/>
  <c r="K61" i="6"/>
  <c r="J61" i="6"/>
  <c r="F60" i="6"/>
  <c r="G60" i="6"/>
  <c r="H60" i="6"/>
  <c r="I60" i="6"/>
  <c r="L60" i="6"/>
  <c r="K60" i="6"/>
  <c r="J60" i="6"/>
  <c r="F59" i="6"/>
  <c r="G59" i="6"/>
  <c r="H59" i="6"/>
  <c r="I59" i="6"/>
  <c r="L59" i="6"/>
  <c r="K59" i="6"/>
  <c r="J59" i="6"/>
  <c r="F58" i="6"/>
  <c r="G58" i="6"/>
  <c r="H58" i="6"/>
  <c r="I58" i="6"/>
  <c r="L58" i="6"/>
  <c r="K58" i="6"/>
  <c r="J58" i="6"/>
  <c r="F57" i="6"/>
  <c r="G57" i="6"/>
  <c r="H57" i="6"/>
  <c r="I57" i="6"/>
  <c r="L57" i="6"/>
  <c r="K57" i="6"/>
  <c r="J57" i="6"/>
  <c r="F56" i="6"/>
  <c r="G56" i="6"/>
  <c r="H56" i="6"/>
  <c r="I56" i="6"/>
  <c r="L56" i="6"/>
  <c r="K56" i="6"/>
  <c r="J56" i="6"/>
  <c r="F55" i="6"/>
  <c r="G55" i="6"/>
  <c r="H55" i="6"/>
  <c r="I55" i="6"/>
  <c r="L55" i="6"/>
  <c r="K55" i="6"/>
  <c r="J55" i="6"/>
  <c r="F54" i="6"/>
  <c r="G54" i="6"/>
  <c r="H54" i="6"/>
  <c r="I54" i="6"/>
  <c r="L54" i="6"/>
  <c r="K54" i="6"/>
  <c r="J54" i="6"/>
  <c r="F53" i="6"/>
  <c r="G53" i="6"/>
  <c r="H53" i="6"/>
  <c r="I53" i="6"/>
  <c r="L53" i="6"/>
  <c r="K53" i="6"/>
  <c r="J53" i="6"/>
  <c r="F52" i="6"/>
  <c r="G52" i="6"/>
  <c r="H52" i="6"/>
  <c r="I52" i="6"/>
  <c r="L52" i="6"/>
  <c r="K52" i="6"/>
  <c r="J52" i="6"/>
  <c r="F51" i="6"/>
  <c r="G51" i="6"/>
  <c r="H51" i="6"/>
  <c r="I51" i="6"/>
  <c r="L51" i="6"/>
  <c r="K51" i="6"/>
  <c r="J51" i="6"/>
  <c r="F50" i="6"/>
  <c r="G50" i="6"/>
  <c r="H50" i="6"/>
  <c r="I50" i="6"/>
  <c r="L50" i="6"/>
  <c r="K50" i="6"/>
  <c r="J50" i="6"/>
  <c r="F49" i="6"/>
  <c r="G49" i="6"/>
  <c r="H49" i="6"/>
  <c r="I49" i="6"/>
  <c r="L49" i="6"/>
  <c r="K49" i="6"/>
  <c r="J49" i="6"/>
  <c r="F48" i="6"/>
  <c r="G48" i="6"/>
  <c r="H48" i="6"/>
  <c r="I48" i="6"/>
  <c r="L48" i="6"/>
  <c r="K48" i="6"/>
  <c r="J48" i="6"/>
  <c r="F47" i="6"/>
  <c r="G47" i="6"/>
  <c r="H47" i="6"/>
  <c r="I47" i="6"/>
  <c r="L47" i="6"/>
  <c r="K47" i="6"/>
  <c r="J47" i="6"/>
  <c r="F46" i="6"/>
  <c r="G46" i="6"/>
  <c r="H46" i="6"/>
  <c r="I46" i="6"/>
  <c r="L46" i="6"/>
  <c r="K46" i="6"/>
  <c r="J46" i="6"/>
  <c r="F45" i="6"/>
  <c r="G45" i="6"/>
  <c r="H45" i="6"/>
  <c r="I45" i="6"/>
  <c r="L45" i="6"/>
  <c r="K45" i="6"/>
  <c r="J45" i="6"/>
  <c r="F44" i="6"/>
  <c r="G44" i="6"/>
  <c r="H44" i="6"/>
  <c r="I44" i="6"/>
  <c r="L44" i="6"/>
  <c r="K44" i="6"/>
  <c r="J44" i="6"/>
  <c r="F43" i="6"/>
  <c r="G43" i="6"/>
  <c r="H43" i="6"/>
  <c r="I43" i="6"/>
  <c r="L43" i="6"/>
  <c r="K43" i="6"/>
  <c r="J43" i="6"/>
  <c r="F42" i="6"/>
  <c r="G42" i="6"/>
  <c r="H42" i="6"/>
  <c r="I42" i="6"/>
  <c r="L42" i="6"/>
  <c r="K42" i="6"/>
  <c r="J42" i="6"/>
  <c r="F41" i="6"/>
  <c r="G41" i="6"/>
  <c r="H41" i="6"/>
  <c r="I41" i="6"/>
  <c r="L41" i="6"/>
  <c r="K41" i="6"/>
  <c r="J41" i="6"/>
  <c r="F40" i="6"/>
  <c r="G40" i="6"/>
  <c r="H40" i="6"/>
  <c r="I40" i="6"/>
  <c r="L40" i="6"/>
  <c r="K40" i="6"/>
  <c r="J40" i="6"/>
  <c r="F39" i="6"/>
  <c r="G39" i="6"/>
  <c r="H39" i="6"/>
  <c r="I39" i="6"/>
  <c r="L39" i="6"/>
  <c r="K39" i="6"/>
  <c r="J39" i="6"/>
  <c r="F38" i="6"/>
  <c r="G38" i="6"/>
  <c r="H38" i="6"/>
  <c r="I38" i="6"/>
  <c r="L38" i="6"/>
  <c r="K38" i="6"/>
  <c r="J38" i="6"/>
  <c r="F37" i="6"/>
  <c r="G37" i="6"/>
  <c r="H37" i="6"/>
  <c r="I37" i="6"/>
  <c r="L37" i="6"/>
  <c r="K37" i="6"/>
  <c r="J37" i="6"/>
  <c r="F36" i="6"/>
  <c r="G36" i="6"/>
  <c r="H36" i="6"/>
  <c r="I36" i="6"/>
  <c r="L36" i="6"/>
  <c r="K36" i="6"/>
  <c r="J36" i="6"/>
  <c r="F35" i="6"/>
  <c r="G35" i="6"/>
  <c r="H35" i="6"/>
  <c r="I35" i="6"/>
  <c r="L35" i="6"/>
  <c r="K35" i="6"/>
  <c r="J35" i="6"/>
  <c r="F34" i="6"/>
  <c r="G34" i="6"/>
  <c r="H34" i="6"/>
  <c r="I34" i="6"/>
  <c r="L34" i="6"/>
  <c r="K34" i="6"/>
  <c r="J34" i="6"/>
  <c r="F33" i="6"/>
  <c r="G33" i="6"/>
  <c r="H33" i="6"/>
  <c r="I33" i="6"/>
  <c r="L33" i="6"/>
  <c r="K33" i="6"/>
  <c r="J33" i="6"/>
  <c r="F32" i="6"/>
  <c r="G32" i="6"/>
  <c r="H32" i="6"/>
  <c r="I32" i="6"/>
  <c r="L32" i="6"/>
  <c r="K32" i="6"/>
  <c r="J32" i="6"/>
  <c r="F31" i="6"/>
  <c r="G31" i="6"/>
  <c r="H31" i="6"/>
  <c r="I31" i="6"/>
  <c r="L31" i="6"/>
  <c r="K31" i="6"/>
  <c r="J31" i="6"/>
  <c r="F30" i="6"/>
  <c r="G30" i="6"/>
  <c r="H30" i="6"/>
  <c r="I30" i="6"/>
  <c r="L30" i="6"/>
  <c r="K30" i="6"/>
  <c r="J30" i="6"/>
  <c r="F29" i="6"/>
  <c r="G29" i="6"/>
  <c r="H29" i="6"/>
  <c r="I29" i="6"/>
  <c r="L29" i="6"/>
  <c r="K29" i="6"/>
  <c r="J29" i="6"/>
  <c r="F28" i="6"/>
  <c r="G28" i="6"/>
  <c r="H28" i="6"/>
  <c r="I28" i="6"/>
  <c r="L28" i="6"/>
  <c r="K28" i="6"/>
  <c r="J28" i="6"/>
  <c r="F27" i="6"/>
  <c r="G27" i="6"/>
  <c r="H27" i="6"/>
  <c r="I27" i="6"/>
  <c r="L27" i="6"/>
  <c r="K27" i="6"/>
  <c r="J27" i="6"/>
  <c r="F26" i="6"/>
  <c r="G26" i="6"/>
  <c r="H26" i="6"/>
  <c r="I26" i="6"/>
  <c r="L26" i="6"/>
  <c r="K26" i="6"/>
  <c r="J26" i="6"/>
  <c r="F25" i="6"/>
  <c r="G25" i="6"/>
  <c r="H25" i="6"/>
  <c r="I25" i="6"/>
  <c r="L25" i="6"/>
  <c r="K25" i="6"/>
  <c r="J25" i="6"/>
  <c r="F24" i="6"/>
  <c r="G24" i="6"/>
  <c r="H24" i="6"/>
  <c r="I24" i="6"/>
  <c r="L24" i="6"/>
  <c r="K24" i="6"/>
  <c r="J24" i="6"/>
  <c r="F23" i="6"/>
  <c r="G23" i="6"/>
  <c r="H23" i="6"/>
  <c r="I23" i="6"/>
  <c r="L23" i="6"/>
  <c r="K23" i="6"/>
  <c r="J23" i="6"/>
  <c r="F22" i="6"/>
  <c r="G22" i="6"/>
  <c r="H22" i="6"/>
  <c r="I22" i="6"/>
  <c r="L22" i="6"/>
  <c r="K22" i="6"/>
  <c r="J22" i="6"/>
  <c r="F21" i="6"/>
  <c r="G21" i="6"/>
  <c r="H21" i="6"/>
  <c r="I21" i="6"/>
  <c r="L21" i="6"/>
  <c r="K21" i="6"/>
  <c r="J21" i="6"/>
  <c r="F20" i="6"/>
  <c r="G20" i="6"/>
  <c r="H20" i="6"/>
  <c r="I20" i="6"/>
  <c r="L20" i="6"/>
  <c r="K20" i="6"/>
  <c r="J20" i="6"/>
  <c r="F19" i="6"/>
  <c r="G19" i="6"/>
  <c r="H19" i="6"/>
  <c r="I19" i="6"/>
  <c r="L19" i="6"/>
  <c r="K19" i="6"/>
  <c r="J19" i="6"/>
  <c r="F18" i="6"/>
  <c r="G18" i="6"/>
  <c r="H18" i="6"/>
  <c r="I18" i="6"/>
  <c r="L18" i="6"/>
  <c r="K18" i="6"/>
  <c r="J18" i="6"/>
  <c r="F17" i="6"/>
  <c r="G17" i="6"/>
  <c r="H17" i="6"/>
  <c r="I17" i="6"/>
  <c r="L17" i="6"/>
  <c r="K17" i="6"/>
  <c r="J17" i="6"/>
  <c r="F16" i="6"/>
  <c r="G16" i="6"/>
  <c r="H16" i="6"/>
  <c r="I16" i="6"/>
  <c r="L16" i="6"/>
  <c r="K16" i="6"/>
  <c r="J16" i="6"/>
  <c r="F15" i="6"/>
  <c r="G15" i="6"/>
  <c r="H15" i="6"/>
  <c r="I15" i="6"/>
  <c r="L15" i="6"/>
  <c r="K15" i="6"/>
  <c r="J15" i="6"/>
  <c r="F14" i="6"/>
  <c r="G14" i="6"/>
  <c r="H14" i="6"/>
  <c r="I14" i="6"/>
  <c r="L14" i="6"/>
  <c r="K14" i="6"/>
  <c r="J14" i="6"/>
  <c r="F13" i="6"/>
  <c r="G13" i="6"/>
  <c r="H13" i="6"/>
  <c r="I13" i="6"/>
  <c r="L13" i="6"/>
  <c r="K13" i="6"/>
  <c r="J13" i="6"/>
  <c r="F12" i="6"/>
  <c r="G12" i="6"/>
  <c r="H12" i="6"/>
  <c r="I12" i="6"/>
  <c r="L12" i="6"/>
  <c r="K12" i="6"/>
  <c r="J12" i="6"/>
  <c r="F11" i="6"/>
  <c r="G11" i="6"/>
  <c r="H11" i="6"/>
  <c r="I11" i="6"/>
  <c r="L11" i="6"/>
  <c r="K11" i="6"/>
  <c r="J11" i="6"/>
  <c r="F10" i="6"/>
  <c r="G10" i="6"/>
  <c r="H10" i="6"/>
  <c r="I10" i="6"/>
  <c r="L10" i="6"/>
  <c r="K10" i="6"/>
  <c r="J10" i="6"/>
  <c r="F9" i="6"/>
  <c r="G9" i="6"/>
  <c r="H9" i="6"/>
  <c r="I9" i="6"/>
  <c r="L9" i="6"/>
  <c r="K9" i="6"/>
  <c r="J9" i="6"/>
  <c r="F8" i="6"/>
  <c r="G8" i="6"/>
  <c r="H8" i="6"/>
  <c r="I8" i="6"/>
  <c r="L8" i="6"/>
  <c r="K8" i="6"/>
  <c r="J8" i="6"/>
  <c r="F7" i="6"/>
  <c r="G7" i="6"/>
  <c r="H7" i="6"/>
  <c r="I7" i="6"/>
  <c r="L7" i="6"/>
  <c r="K7" i="6"/>
  <c r="J7" i="6"/>
  <c r="F6" i="6"/>
  <c r="G6" i="6"/>
  <c r="H6" i="6"/>
  <c r="I6" i="6"/>
  <c r="L6" i="6"/>
  <c r="K6" i="6"/>
  <c r="J6" i="6"/>
  <c r="F5" i="6"/>
  <c r="G5" i="6"/>
  <c r="H5" i="6"/>
  <c r="I5" i="6"/>
  <c r="L5" i="6"/>
  <c r="K5" i="6"/>
  <c r="J5" i="6"/>
  <c r="F22" i="5"/>
  <c r="G22" i="5"/>
  <c r="H22" i="5"/>
  <c r="I22" i="5"/>
  <c r="L22" i="5"/>
  <c r="K22" i="5"/>
  <c r="J22" i="5"/>
  <c r="F21" i="5"/>
  <c r="G21" i="5"/>
  <c r="H21" i="5"/>
  <c r="I21" i="5"/>
  <c r="L21" i="5"/>
  <c r="K21" i="5"/>
  <c r="J21" i="5"/>
  <c r="F20" i="5"/>
  <c r="G20" i="5"/>
  <c r="H20" i="5"/>
  <c r="I20" i="5"/>
  <c r="L20" i="5"/>
  <c r="K20" i="5"/>
  <c r="J20" i="5"/>
  <c r="F19" i="5"/>
  <c r="G19" i="5"/>
  <c r="H19" i="5"/>
  <c r="I19" i="5"/>
  <c r="L19" i="5"/>
  <c r="K19" i="5"/>
  <c r="J19" i="5"/>
  <c r="F18" i="5"/>
  <c r="G18" i="5"/>
  <c r="H18" i="5"/>
  <c r="I18" i="5"/>
  <c r="L18" i="5"/>
  <c r="K18" i="5"/>
  <c r="J18" i="5"/>
  <c r="F17" i="5"/>
  <c r="G17" i="5"/>
  <c r="H17" i="5"/>
  <c r="I17" i="5"/>
  <c r="L17" i="5"/>
  <c r="K17" i="5"/>
  <c r="J17" i="5"/>
  <c r="F16" i="5"/>
  <c r="G16" i="5"/>
  <c r="H16" i="5"/>
  <c r="I16" i="5"/>
  <c r="L16" i="5"/>
  <c r="K16" i="5"/>
  <c r="J16" i="5"/>
  <c r="F15" i="5"/>
  <c r="G15" i="5"/>
  <c r="H15" i="5"/>
  <c r="I15" i="5"/>
  <c r="L15" i="5"/>
  <c r="K15" i="5"/>
  <c r="J15" i="5"/>
  <c r="F14" i="5"/>
  <c r="G14" i="5"/>
  <c r="H14" i="5"/>
  <c r="I14" i="5"/>
  <c r="L14" i="5"/>
  <c r="K14" i="5"/>
  <c r="J14" i="5"/>
  <c r="F13" i="5"/>
  <c r="G13" i="5"/>
  <c r="H13" i="5"/>
  <c r="I13" i="5"/>
  <c r="L13" i="5"/>
  <c r="K13" i="5"/>
  <c r="J13" i="5"/>
  <c r="F12" i="5"/>
  <c r="G12" i="5"/>
  <c r="H12" i="5"/>
  <c r="I12" i="5"/>
  <c r="L12" i="5"/>
  <c r="K12" i="5"/>
  <c r="J12" i="5"/>
  <c r="F11" i="5"/>
  <c r="G11" i="5"/>
  <c r="H11" i="5"/>
  <c r="I11" i="5"/>
  <c r="L11" i="5"/>
  <c r="K11" i="5"/>
  <c r="J11" i="5"/>
  <c r="F10" i="5"/>
  <c r="G10" i="5"/>
  <c r="H10" i="5"/>
  <c r="I10" i="5"/>
  <c r="L10" i="5"/>
  <c r="K10" i="5"/>
  <c r="J10" i="5"/>
  <c r="F9" i="5"/>
  <c r="G9" i="5"/>
  <c r="H9" i="5"/>
  <c r="I9" i="5"/>
  <c r="L9" i="5"/>
  <c r="K9" i="5"/>
  <c r="J9" i="5"/>
  <c r="F8" i="5"/>
  <c r="G8" i="5"/>
  <c r="H8" i="5"/>
  <c r="I8" i="5"/>
  <c r="L8" i="5"/>
  <c r="K8" i="5"/>
  <c r="J8" i="5"/>
  <c r="F7" i="5"/>
  <c r="G7" i="5"/>
  <c r="H7" i="5"/>
  <c r="I7" i="5"/>
  <c r="L7" i="5"/>
  <c r="K7" i="5"/>
  <c r="J7" i="5"/>
  <c r="F6" i="5"/>
  <c r="G6" i="5"/>
  <c r="H6" i="5"/>
  <c r="I6" i="5"/>
  <c r="L6" i="5"/>
  <c r="K6" i="5"/>
  <c r="J6" i="5"/>
  <c r="F5" i="5"/>
  <c r="G5" i="5"/>
  <c r="H5" i="5"/>
  <c r="I5" i="5"/>
  <c r="L5" i="5"/>
  <c r="K5" i="5"/>
  <c r="J5" i="5"/>
  <c r="H13" i="2"/>
  <c r="I13" i="2"/>
  <c r="L13" i="2"/>
  <c r="K13" i="2"/>
  <c r="J13" i="2"/>
  <c r="H12" i="2"/>
  <c r="I12" i="2"/>
  <c r="L12" i="2"/>
  <c r="K12" i="2"/>
  <c r="J12" i="2"/>
  <c r="H11" i="2"/>
  <c r="I11" i="2"/>
  <c r="L11" i="2"/>
  <c r="K11" i="2"/>
  <c r="J11" i="2"/>
  <c r="H10" i="2"/>
  <c r="I10" i="2"/>
  <c r="L10" i="2"/>
  <c r="K10" i="2"/>
  <c r="J10" i="2"/>
  <c r="H9" i="2"/>
  <c r="I9" i="2"/>
  <c r="L9" i="2"/>
  <c r="K9" i="2"/>
  <c r="J9" i="2"/>
  <c r="H8" i="2"/>
  <c r="I8" i="2"/>
  <c r="L8" i="2"/>
  <c r="K8" i="2"/>
  <c r="J8" i="2"/>
  <c r="H7" i="2"/>
  <c r="I7" i="2"/>
  <c r="L7" i="2"/>
  <c r="K7" i="2"/>
  <c r="J7" i="2"/>
  <c r="H6" i="2"/>
  <c r="I6" i="2"/>
  <c r="L6" i="2"/>
  <c r="K6" i="2"/>
  <c r="J6" i="2"/>
  <c r="H5" i="2"/>
  <c r="I5" i="2"/>
  <c r="L5" i="2"/>
  <c r="K5" i="2"/>
  <c r="J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<sst xmlns="http://schemas.openxmlformats.org/spreadsheetml/2006/main" count="1324" uniqueCount="182">
  <si>
    <t>Spa-Bench Figure Data and Wilson Confidence Intervals</t>
  </si>
  <si>
    <t>Chart-ready success counts, rates, exact two-sided Wilson 95% intervals, and native Excel charts compiled from the consolidated evaluation workbook.</t>
  </si>
  <si>
    <t>Wilson z</t>
  </si>
  <si>
    <t>Confidence level</t>
  </si>
  <si>
    <t>Count reconciliation: the five requested model sheets contain 2,891 scored evaluations, one fewer than the 2,892 evaluation rollouts cited for the paper. The separate GR00T action-only sheet contains 20 scored rows and is excluded from every figure here. Resolve the one-rollout discrepancy before publishing a total-episode figure.</t>
  </si>
  <si>
    <t>Figure / analysis</t>
  </si>
  <si>
    <t>Required data</t>
  </si>
  <si>
    <t>Included here</t>
  </si>
  <si>
    <t>Recommended use</t>
  </si>
  <si>
    <t>Workbook sheet</t>
  </si>
  <si>
    <t>Purpose</t>
  </si>
  <si>
    <t>Chart status</t>
  </si>
  <si>
    <t>Main benchmark result</t>
  </si>
  <si>
    <t>Successes, trials, rates, Wilson intervals for novel, familiar, and matched manipulation</t>
  </si>
  <si>
    <t>Yes</t>
  </si>
  <si>
    <t>Primary results figure</t>
  </si>
  <si>
    <t>Overall Summary</t>
  </si>
  <si>
    <t>Three headline evaluation tracks × three complete models</t>
  </si>
  <si>
    <t>One native overview chart</t>
  </si>
  <si>
    <t>Familiar task breakdown</t>
  </si>
  <si>
    <t>Per-task results for five models, including partial baselines</t>
  </si>
  <si>
    <t>Six small-multiple charts</t>
  </si>
  <si>
    <t>Familiar Data</t>
  </si>
  <si>
    <t>Six tasks × five models</t>
  </si>
  <si>
    <t>Feeds six familiar charts</t>
  </si>
  <si>
    <t>Novel task breakdown</t>
  </si>
  <si>
    <t>Per-task results for the three complete models</t>
  </si>
  <si>
    <t>Novel Data</t>
  </si>
  <si>
    <t>Six tasks × three models</t>
  </si>
  <si>
    <t>Feeds six novel charts</t>
  </si>
  <si>
    <t>Matched manipulation</t>
  </si>
  <si>
    <t>Control analysis; included as chart-ready data</t>
  </si>
  <si>
    <t>Matched Data</t>
  </si>
  <si>
    <t>Chart-ready control data</t>
  </si>
  <si>
    <t>Language robustness</t>
  </si>
  <si>
    <t>Novel and matched paraphrase outcomes by task/model</t>
  </si>
  <si>
    <t>Diagnostic figure or appendix</t>
  </si>
  <si>
    <t>Diagnostics</t>
  </si>
  <si>
    <t>Language, object, and no-intervention breakdowns</t>
  </si>
  <si>
    <t>Chart-ready</t>
  </si>
  <si>
    <t>Object transfer</t>
  </si>
  <si>
    <t>Cross-task objects and novel-object pilot outcomes</t>
  </si>
  <si>
    <t>Chart Data</t>
  </si>
  <si>
    <t>Wide helper blocks with custom error magnitudes</t>
  </si>
  <si>
    <t>Use for Excel custom error bars</t>
  </si>
  <si>
    <t>No-intervention</t>
  </si>
  <si>
    <t>Correct no-op outcomes plus movement-required control</t>
  </si>
  <si>
    <t>Safety/action-gating diagnostic</t>
  </si>
  <si>
    <t>Familiar Charts</t>
  </si>
  <si>
    <t>Requested familiar-concept charts</t>
  </si>
  <si>
    <t>Six native charts</t>
  </si>
  <si>
    <t>Failure taxonomy</t>
  </si>
  <si>
    <t>Mutually exclusive failure labels per unsuccessful rollout</t>
  </si>
  <si>
    <t>No</t>
  </si>
  <si>
    <t>Annotate failures before making this figure</t>
  </si>
  <si>
    <t>Novel Charts</t>
  </si>
  <si>
    <t>Requested novel-concept charts</t>
  </si>
  <si>
    <t>Dataset composition</t>
  </si>
  <si>
    <t>Demonstrations and evaluation episodes by task/model/split</t>
  </si>
  <si>
    <t>Partial</t>
  </si>
  <si>
    <t>Reconcile 2,891 vs. 2,892 first</t>
  </si>
  <si>
    <t>Missing-cell design</t>
  </si>
  <si>
    <t>Observed/novel concept–argument cells and demonstrations per cell</t>
  </si>
  <si>
    <t>Build from training-manifest metadata</t>
  </si>
  <si>
    <t>How to add exact asymmetric Wilson error bars in Excel: select a chart series, choose Custom error bars, set Positive Error Value to the corresponding Upper error row in Chart Data, and Negative Error Value to the Lower error row. The included native charts are intentionally linked to the Success rate rows; all exact CI bounds and error magnitudes remain editable and auditable in the workbook.</t>
  </si>
  <si>
    <t>Source: Consolidated_Model_Evaluations_with_Custom_Error_Bars.xlsx. Rates use scored Success and Failure rows only. Source condition labels are retained in each data table. Paper-facing labels replace 'withheld' language with capability-oriented evaluation tracks.</t>
  </si>
  <si>
    <t>Overall Success by Evaluation Track</t>
  </si>
  <si>
    <t>Complete models only. Error columns are the exact asymmetric distances from the observed rate to the Wilson 95% lower and upper bounds.</t>
  </si>
  <si>
    <t>Evaluation track</t>
  </si>
  <si>
    <t>Model</t>
  </si>
  <si>
    <t>Evaluation scope</t>
  </si>
  <si>
    <t>Success</t>
  </si>
  <si>
    <t>Failure</t>
  </si>
  <si>
    <t>Scored</t>
  </si>
  <si>
    <t>Success rate</t>
  </si>
  <si>
    <t>CI lower</t>
  </si>
  <si>
    <t>CI upper</t>
  </si>
  <si>
    <t>Lower error</t>
  </si>
  <si>
    <t>Upper error</t>
  </si>
  <si>
    <t>Wilson 95% CI</t>
  </si>
  <si>
    <t>Source sheet</t>
  </si>
  <si>
    <t>Source condition(s)</t>
  </si>
  <si>
    <t>Notes</t>
  </si>
  <si>
    <t>Novel Spatial Concepts</t>
  </si>
  <si>
    <t>MolmoAct2</t>
  </si>
  <si>
    <t>Complete benchmark</t>
  </si>
  <si>
    <t>Concept/compositional transfer</t>
  </si>
  <si>
    <t>Primary spatial-generalization track; 50 trials per task and model.</t>
  </si>
  <si>
    <t>π0.5</t>
  </si>
  <si>
    <t>Pi0.5</t>
  </si>
  <si>
    <t>GR00T Vision</t>
  </si>
  <si>
    <t>Familiar Spatial Concepts</t>
  </si>
  <si>
    <t>In-distribution concept baseline</t>
  </si>
  <si>
    <t>Familiar spatial grounding; 20 trials per task and complete model.</t>
  </si>
  <si>
    <t>Matched Manipulation Control</t>
  </si>
  <si>
    <t>Matched manipulation control</t>
  </si>
  <si>
    <t>Matched motor demand with direct object/action language; 20 trials per task and model.</t>
  </si>
  <si>
    <t>Familiar Spatial Concepts by Task</t>
  </si>
  <si>
    <t>Five models are shown. VLA-0 and GR00T full fine-tune are partial familiar-only baselines with unequal task denominators; use the Scored column when comparing them.</t>
  </si>
  <si>
    <t>Task / Track</t>
  </si>
  <si>
    <t>State Recognition</t>
  </si>
  <si>
    <t>VLA-0</t>
  </si>
  <si>
    <t>Partial familiar-only baseline</t>
  </si>
  <si>
    <t>Partial baseline; denominator differs from complete models.</t>
  </si>
  <si>
    <t>GR00T Full FT</t>
  </si>
  <si>
    <t>GR00T Full</t>
  </si>
  <si>
    <t>Counting</t>
  </si>
  <si>
    <t>Ordinal Reference Ordering</t>
  </si>
  <si>
    <t>Relational Placement</t>
  </si>
  <si>
    <t>Referential Disambiguation</t>
  </si>
  <si>
    <t>Size Recognition</t>
  </si>
  <si>
    <t>Novel Spatial Concepts by Task</t>
  </si>
  <si>
    <t>Three complete models; 50 physical robot trials per task and model.</t>
  </si>
  <si>
    <t>Matched Manipulation Controls by Task</t>
  </si>
  <si>
    <t>Three complete models; 20 trials per task and model. These controls separate spatial grounding failures from basic manipulation failures.</t>
  </si>
  <si>
    <t>Diagnostic Evaluation Results</t>
  </si>
  <si>
    <t>All rows include exact Wilson 95% intervals. Aggregate rows pool only the applicable tasks listed in the accompanying notes.</t>
  </si>
  <si>
    <t>Diagnostic / task</t>
  </si>
  <si>
    <t>Novel prompt paraphrases — All applicable tasks</t>
  </si>
  <si>
    <t>Language robustness — transfer paraphrases</t>
  </si>
  <si>
    <t>Paraphrases of novel spatial-concept prompts.</t>
  </si>
  <si>
    <t>Novel prompt paraphrases — State Recognition</t>
  </si>
  <si>
    <t>Novel prompt paraphrases — Counting</t>
  </si>
  <si>
    <t>Novel prompt paraphrases — Ordinal Reference Ordering</t>
  </si>
  <si>
    <t>Novel prompt paraphrases — Relational Placement</t>
  </si>
  <si>
    <t>Novel prompt paraphrases — Referential Disambiguation</t>
  </si>
  <si>
    <t>Novel prompt paraphrases — Size Recognition</t>
  </si>
  <si>
    <t>Matched prompt paraphrases — All applicable tasks</t>
  </si>
  <si>
    <t>Language robustness — matched-control paraphrases</t>
  </si>
  <si>
    <t>Paraphrases of direct matched-manipulation prompts.</t>
  </si>
  <si>
    <t>Matched prompt paraphrases — State Recognition</t>
  </si>
  <si>
    <t>Matched prompt paraphrases — Counting</t>
  </si>
  <si>
    <t>Matched prompt paraphrases — Ordinal Reference Ordering</t>
  </si>
  <si>
    <t>Matched prompt paraphrases — Relational Placement</t>
  </si>
  <si>
    <t>Matched prompt paraphrases — Referential Disambiguation</t>
  </si>
  <si>
    <t>Matched prompt paraphrases — Size Recognition</t>
  </si>
  <si>
    <t>Cross-task objects — All applicable tasks</t>
  </si>
  <si>
    <t>All source conditions beginning with Cross-task</t>
  </si>
  <si>
    <t>Strict cross-task-object diagnostic; excludes the separate black-cup pilot.</t>
  </si>
  <si>
    <t>Cross-task objects — Counting</t>
  </si>
  <si>
    <t>Cross-task objects — Ordinal Reference Ordering</t>
  </si>
  <si>
    <t>Cross-task objects — Relational Placement</t>
  </si>
  <si>
    <t>Cross-task objects — Referential Disambiguation</t>
  </si>
  <si>
    <t>Cross-task objects — Size Recognition</t>
  </si>
  <si>
    <t>Novel-object state pilot — All applicable tasks</t>
  </si>
  <si>
    <t>Novel-object state reasoning</t>
  </si>
  <si>
    <t>Globally unseen black-cup pilot.</t>
  </si>
  <si>
    <t>Novel-object state pilot — State Recognition</t>
  </si>
  <si>
    <t>No-intervention behavior — All applicable tasks</t>
  </si>
  <si>
    <t>Goal-satisfied / invalid-target no-movement conditions</t>
  </si>
  <si>
    <t>Task-specific correct non-intervention; Size Recognition has no such track.</t>
  </si>
  <si>
    <t>No-intervention behavior — State Recognition</t>
  </si>
  <si>
    <t>No-intervention behavior — Counting</t>
  </si>
  <si>
    <t>No-intervention behavior — Ordinal Reference Ordering</t>
  </si>
  <si>
    <t>No-intervention behavior — Relational Placement</t>
  </si>
  <si>
    <t>No-intervention behavior — Referential Disambiguation</t>
  </si>
  <si>
    <t>Relational movement-required control — All applicable tasks</t>
  </si>
  <si>
    <t>Violated-relation correction control</t>
  </si>
  <si>
    <t>Opposite-sector correction trials requiring movement.</t>
  </si>
  <si>
    <t>Relational movement-required control — Relational Placement</t>
  </si>
  <si>
    <t>Chart Helper Data</t>
  </si>
  <si>
    <t>Every block contains Success rate, CI lower/upper, and custom negative/positive error magnitudes. Formulas link directly to the calculation sheets.</t>
  </si>
  <si>
    <t>Familiar: State Recognition</t>
  </si>
  <si>
    <t>Metric</t>
  </si>
  <si>
    <t>Axis helper</t>
  </si>
  <si>
    <t>Successes</t>
  </si>
  <si>
    <t>Familiar: Counting</t>
  </si>
  <si>
    <t>Familiar: Ordinal Reference Ordering</t>
  </si>
  <si>
    <t>Familiar: Relational Placement</t>
  </si>
  <si>
    <t>Familiar: Referential Disambiguation</t>
  </si>
  <si>
    <t>Familiar: Size Recognition</t>
  </si>
  <si>
    <t>Novel: State Recognition</t>
  </si>
  <si>
    <t>Novel: Counting</t>
  </si>
  <si>
    <t>Novel: Ordinal Reference Ordering</t>
  </si>
  <si>
    <t>Novel: Relational Placement</t>
  </si>
  <si>
    <t>Novel: Referential Disambiguation</t>
  </si>
  <si>
    <t>Novel: Size Recognition</t>
  </si>
  <si>
    <t>Familiar Spatial Concepts — Task-Level Success</t>
  </si>
  <si>
    <t>Six task-family charts comparing MolmoAct2, π0.5, VLA-0, GR00T full fine-tune, and GR00T vision-only. Partial baselines have smaller denominators.</t>
  </si>
  <si>
    <t>Exact Wilson 95% lower/upper bounds and asymmetric custom error magnitudes are in Chart Data. All charts are native and linked to the success-rate cells.</t>
  </si>
  <si>
    <t>Novel Spatial Concepts — Task-Level Success</t>
  </si>
  <si>
    <t>Six task-family charts comparing the three completely evaluated models (50 trials per task/model).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</si>
</sst>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name val="Carlito"/>
    </font>
    <font>
      <b/>
      <sz val="18"/>
      <color rgb="FFFFFFFF"/>
      <name val="Arial"/>
      <family val="2"/>
    </font>
    <font>
      <i/>
      <sz val="10"/>
      <color rgb="FF1F2937"/>
      <name val="Arial"/>
      <family val="2"/>
    </font>
    <font>
      <sz val="10"/>
      <name val="Arial"/>
      <family val="2"/>
    </font>
    <font>
      <b/>
      <sz val="10"/>
      <color rgb="FF17365D"/>
      <name val="Arial"/>
      <family val="2"/>
    </font>
    <font>
      <b/>
      <sz val="10"/>
      <color rgb="FF7F6000"/>
      <name val="Arial"/>
      <family val="2"/>
    </font>
    <font>
      <b/>
      <sz val="10"/>
      <color rgb="FFFFFFFF"/>
      <name val="Arial"/>
      <family val="2"/>
    </font>
    <font>
      <sz val="10"/>
      <color rgb="FF1F2937"/>
      <name val="Arial"/>
      <family val="2"/>
    </font>
    <font>
      <i/>
      <sz val="9"/>
      <color rgb="FF52606D"/>
      <name val="Arial"/>
      <family val="2"/>
    </font>
    <font>
      <sz val="9"/>
      <name val="Arial"/>
      <family val="2"/>
    </font>
    <font>
      <b/>
      <sz val="9"/>
      <color rgb="FFFFFFFF"/>
      <name val="Arial"/>
      <family val="2"/>
    </font>
    <font>
      <i/>
      <sz val="9"/>
      <color rgb="FF1F2937"/>
      <name val="Arial"/>
      <family val="2"/>
    </font>
    <font>
      <sz val="11"/>
      <name val="Arial"/>
      <family val="2"/>
    </font>
  </fonts>
  <fills count="12">
    <fill>
      <patternFill patternType="none"/>
    </fill>
    <fill>
      <patternFill patternType="gray125"/>
    </fill>
    <fill>
      <patternFill patternType="solid">
        <fgColor rgb="FF17365D"/>
      </patternFill>
    </fill>
    <fill>
      <patternFill patternType="solid">
        <fgColor rgb="FFEEF5F9"/>
      </patternFill>
    </fill>
    <fill>
      <patternFill patternType="solid">
        <fgColor rgb="FFDCEAF3"/>
      </patternFill>
    </fill>
    <fill>
      <patternFill patternType="solid">
        <fgColor rgb="FFFFF2CC"/>
      </patternFill>
    </fill>
    <fill>
      <patternFill patternType="solid">
        <fgColor rgb="FF245E83"/>
      </patternFill>
    </fill>
    <fill>
      <patternFill patternType="solid">
        <fgColor rgb="FFE67E00"/>
      </patternFill>
    </fill>
    <fill>
      <patternFill patternType="solid">
        <fgColor rgb="FF07966A"/>
      </patternFill>
    </fill>
    <fill>
      <patternFill patternType="solid">
        <fgColor rgb="FF737B8C"/>
      </patternFill>
    </fill>
    <fill>
      <patternFill patternType="solid">
        <fgColor rgb="FF7C3AED"/>
      </patternFill>
    </fill>
    <fill>
      <patternFill patternType="solid">
        <fgColor rgb="FF2F67E8"/>
      </patternFill>
    </fill>
  </fills>
  <borders count="15">
    <border>
      <left/>
      <right/>
      <top/>
      <bottom/>
      <diagonal/>
    </border>
    <border>
      <left style="thin">
        <color rgb="FFC9D5E2"/>
      </left>
      <right style="thin">
        <color rgb="FFC9D5E2"/>
      </right>
      <top style="thin">
        <color rgb="FFC9D5E2"/>
      </top>
      <bottom style="thin">
        <color rgb="FFC9D5E2"/>
      </bottom>
      <diagonal/>
    </border>
    <border>
      <left style="medium">
        <color rgb="FFD6B656"/>
      </left>
      <right/>
      <top style="medium">
        <color rgb="FFD6B656"/>
      </top>
      <bottom/>
      <diagonal/>
    </border>
    <border>
      <left/>
      <right/>
      <top style="medium">
        <color rgb="FFD6B656"/>
      </top>
      <bottom/>
      <diagonal/>
    </border>
    <border>
      <left/>
      <right style="medium">
        <color rgb="FFD6B656"/>
      </right>
      <top style="medium">
        <color rgb="FFD6B656"/>
      </top>
      <bottom/>
      <diagonal/>
    </border>
    <border>
      <left style="medium">
        <color rgb="FFD6B656"/>
      </left>
      <right/>
      <top/>
      <bottom style="medium">
        <color rgb="FFD6B656"/>
      </bottom>
      <diagonal/>
    </border>
    <border>
      <left/>
      <right/>
      <top/>
      <bottom style="medium">
        <color rgb="FFD6B656"/>
      </bottom>
      <diagonal/>
    </border>
    <border>
      <left/>
      <right style="medium">
        <color rgb="FFD6B656"/>
      </right>
      <top/>
      <bottom style="medium">
        <color rgb="FFD6B656"/>
      </bottom>
      <diagonal/>
    </border>
    <border>
      <left style="thin">
        <color rgb="FFFFFFFF"/>
      </left>
      <right style="thin">
        <color rgb="FFFFFFFF"/>
      </right>
      <top style="thin">
        <color rgb="FFFFFFFF"/>
      </top>
      <bottom style="thin">
        <color rgb="FFFFFFFF"/>
      </bottom>
      <diagonal/>
    </border>
    <border>
      <left style="thin">
        <color rgb="FFC9D5E2"/>
      </left>
      <right/>
      <top style="thin">
        <color rgb="FFC9D5E2"/>
      </top>
      <bottom/>
      <diagonal/>
    </border>
    <border>
      <left/>
      <right/>
      <top style="thin">
        <color rgb="FFC9D5E2"/>
      </top>
      <bottom/>
      <diagonal/>
    </border>
    <border>
      <left/>
      <right style="thin">
        <color rgb="FFC9D5E2"/>
      </right>
      <top style="thin">
        <color rgb="FFC9D5E2"/>
      </top>
      <bottom/>
      <diagonal/>
    </border>
    <border>
      <left style="thin">
        <color rgb="FFC9D5E2"/>
      </left>
      <right/>
      <top/>
      <bottom style="thin">
        <color rgb="FFC9D5E2"/>
      </bottom>
      <diagonal/>
    </border>
    <border>
      <left/>
      <right/>
      <top/>
      <bottom style="thin">
        <color rgb="FFC9D5E2"/>
      </bottom>
      <diagonal/>
    </border>
    <border>
      <left/>
      <right style="thin">
        <color rgb="FFC9D5E2"/>
      </right>
      <top/>
      <bottom style="thin">
        <color rgb="FFC9D5E2"/>
      </bottom>
      <diagonal/>
    </border>
  </borders>
  <cellStyleXfs count="1">
    <xf numFmtId="0" fontId="0" fillId="0" borderId="0"/>
  </cellStyleXfs>
  <cellXfs count="37">
    <xf numFmtId="0" fontId="0" fillId="0" borderId="0" xfId="0"/>
    <xf numFmtId="0" fontId="3" fillId="0" borderId="1" xfId="0" applyFont="1" applyBorder="1"/>
    <xf numFmtId="9" fontId="3" fillId="0" borderId="1" xfId="0" applyNumberFormat="1" applyFont="1" applyBorder="1"/>
    <xf numFmtId="0" fontId="4" fillId="4" borderId="1" xfId="0" applyFont="1" applyFill="1" applyBorder="1"/>
    <xf numFmtId="0" fontId="6" fillId="6" borderId="8" xfId="0" applyFont="1" applyFill="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vertical="center" wrapText="1"/>
    </xf>
    <xf numFmtId="164" fontId="7" fillId="0" borderId="1" xfId="0" applyNumberFormat="1" applyFont="1" applyBorder="1" applyAlignment="1">
      <alignment vertical="center"/>
    </xf>
    <xf numFmtId="1" fontId="7" fillId="0" borderId="1" xfId="0" applyNumberFormat="1" applyFont="1" applyBorder="1" applyAlignment="1">
      <alignment vertical="center"/>
    </xf>
    <xf numFmtId="0" fontId="6" fillId="6" borderId="1" xfId="0" applyFont="1" applyFill="1" applyBorder="1"/>
    <xf numFmtId="164" fontId="3" fillId="0" borderId="1" xfId="0" applyNumberFormat="1" applyFont="1" applyBorder="1"/>
    <xf numFmtId="0" fontId="9" fillId="0" borderId="1" xfId="0" applyFont="1" applyBorder="1"/>
    <xf numFmtId="0" fontId="10" fillId="6" borderId="1" xfId="0" applyFont="1" applyFill="1" applyBorder="1"/>
    <xf numFmtId="164" fontId="9" fillId="0" borderId="1" xfId="0" applyNumberFormat="1" applyFont="1" applyBorder="1"/>
    <xf numFmtId="0" fontId="12" fillId="0" borderId="0" xfId="0" applyFont="1"/>
    <xf numFmtId="0" fontId="1" fillId="2" borderId="0" xfId="0" applyFont="1" applyFill="1" applyAlignment="1">
      <alignment vertical="center"/>
    </xf>
    <xf numFmtId="0" fontId="2" fillId="3" borderId="0" xfId="0" applyFont="1" applyFill="1" applyAlignment="1">
      <alignment vertical="center" wrapText="1"/>
    </xf>
    <xf numFmtId="0" fontId="5" fillId="5" borderId="2" xfId="0" applyFont="1" applyFill="1" applyBorder="1" applyAlignment="1">
      <alignment vertical="center" wrapText="1"/>
    </xf>
    <xf numFmtId="0" fontId="5" fillId="5" borderId="3" xfId="0" applyFont="1" applyFill="1" applyBorder="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vertical="center" wrapText="1"/>
    </xf>
    <xf numFmtId="0" fontId="5" fillId="5" borderId="7"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3" borderId="13" xfId="0" applyFont="1" applyFill="1" applyBorder="1" applyAlignment="1">
      <alignment vertical="center" wrapText="1"/>
    </xf>
    <xf numFmtId="0" fontId="2" fillId="3" borderId="14" xfId="0" applyFont="1" applyFill="1" applyBorder="1" applyAlignment="1">
      <alignment vertical="center" wrapText="1"/>
    </xf>
    <xf numFmtId="0" fontId="8" fillId="0" borderId="0" xfId="0" applyFont="1" applyAlignment="1">
      <alignment vertical="center" wrapText="1"/>
    </xf>
    <xf numFmtId="0" fontId="4" fillId="4" borderId="0" xfId="0" applyFont="1" applyFill="1"/>
    <xf numFmtId="0" fontId="10" fillId="7" borderId="0" xfId="0" applyFont="1" applyFill="1" applyAlignment="1">
      <alignment horizontal="center" vertical="center"/>
    </xf>
    <xf numFmtId="0" fontId="10" fillId="8" borderId="0" xfId="0" applyFont="1" applyFill="1" applyAlignment="1">
      <alignment horizontal="center" vertical="center"/>
    </xf>
    <xf numFmtId="0" fontId="10" fillId="9" borderId="0" xfId="0" applyFont="1" applyFill="1" applyAlignment="1">
      <alignment horizontal="center" vertical="center"/>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11" fillId="3" borderId="0" xfId="0" applyFont="1" applyFill="1" applyAlignment="1">
      <alignment vertical="center" wrapText="1"/>
    </xf>
  </cellXfs>
  <cellStyles count="1">
    <cellStyle name="Normal" xfId="0" builtinId="0"/>
  </cellStyles>
  <dxfs count="5">
    <dxf>
      <font>
        <color rgb="FF4B5563"/>
      </font>
      <fill>
        <patternFill patternType="solid">
          <bgColor rgb="FFF3F4F6"/>
        </patternFill>
      </fill>
    </dxf>
    <dxf>
      <font>
        <color rgb="FF4B5563"/>
      </font>
      <fill>
        <patternFill patternType="solid">
          <bgColor rgb="FFF3F4F6"/>
        </patternFill>
      </fill>
    </dxf>
    <dxf>
      <font>
        <color rgb="FF4B5563"/>
      </font>
      <fill>
        <patternFill patternType="solid">
          <bgColor rgb="FFF3F4F6"/>
        </patternFill>
      </fill>
    </dxf>
    <dxf>
      <font>
        <color rgb="FF4B5563"/>
      </font>
      <fill>
        <patternFill patternType="solid">
          <bgColor rgb="FFF3F4F6"/>
        </patternFill>
      </fill>
    </dxf>
    <dxf>
      <font>
        <color rgb="FF4B5563"/>
      </font>
      <fill>
        <patternFill patternType="solid">
          <bgColor rgb="FFF3F4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Overall Success Rate by Evaluation Track</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Data'!$A$5:$A$7</c:f>
              <c:strCache>
                <c:ptCount val="3"/>
                <c:pt idx="0">
                  <c:v>Novel Spatial Concepts</c:v>
                </c:pt>
                <c:pt idx="1">
                  <c:v>Familiar Spatial Concepts</c:v>
                </c:pt>
                <c:pt idx="2">
                  <c:v>Matched Manipulation Control</c:v>
                </c:pt>
              </c:strCache>
            </c:strRef>
          </c:cat>
          <c:val>
            <c:numRef>
              <c:f>'Chart Data'!$B$5:$B$7</c:f>
              <c:numCache>
                <c:formatCode>0.0%</c:formatCode>
                <c:ptCount val="3"/>
                <c:pt idx="0">
                  <c:v>0.52</c:v>
                </c:pt>
                <c:pt idx="1">
                  <c:v>0.72499999999999998</c:v>
                </c:pt>
                <c:pt idx="2">
                  <c:v>0.89166666666666672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858-1D4A-A6AF-D5A78DB42CB9}"/>
            </c:ext>
          </c:extLst>
        </c:ser>
        <c:ser>
          <c:idx val="1"/>
          <c:order val="1"/>
          <c:tx>
            <c:v>π0.5</c:v>
          </c:tx>
          <c:spPr>
            <a:solidFill>
              <a:srgbClr val="07966A"/>
            </a:solidFill>
          </c:spPr>
          <c:invertIfNegative val="1"/>
          <c:cat>
            <c:strRef>
              <c:f>'Chart Data'!$A$5:$A$7</c:f>
              <c:strCache>
                <c:ptCount val="3"/>
                <c:pt idx="0">
                  <c:v>Novel Spatial Concepts</c:v>
                </c:pt>
                <c:pt idx="1">
                  <c:v>Familiar Spatial Concepts</c:v>
                </c:pt>
                <c:pt idx="2">
                  <c:v>Matched Manipulation Control</c:v>
                </c:pt>
              </c:strCache>
            </c:strRef>
          </c:cat>
          <c:val>
            <c:numRef>
              <c:f>'Chart Data'!$C$5:$C$7</c:f>
              <c:numCache>
                <c:formatCode>0.0%</c:formatCode>
                <c:ptCount val="3"/>
                <c:pt idx="0">
                  <c:v>0.40666666666666668</c:v>
                </c:pt>
                <c:pt idx="1">
                  <c:v>0.68333333333333335</c:v>
                </c:pt>
                <c:pt idx="2">
                  <c:v>0.83333333333333337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E858-1D4A-A6AF-D5A78DB42CB9}"/>
            </c:ext>
          </c:extLst>
        </c:ser>
        <c:ser>
          <c:idx val="2"/>
          <c:order val="2"/>
          <c:tx>
            <c:v>GR00T Vision</c:v>
          </c:tx>
          <c:spPr>
            <a:solidFill>
              <a:srgbClr val="2F67E8"/>
            </a:solidFill>
          </c:spPr>
          <c:invertIfNegative val="1"/>
          <c:cat>
            <c:strRef>
              <c:f>'Chart Data'!$A$5:$A$7</c:f>
              <c:strCache>
                <c:ptCount val="3"/>
                <c:pt idx="0">
                  <c:v>Novel Spatial Concepts</c:v>
                </c:pt>
                <c:pt idx="1">
                  <c:v>Familiar Spatial Concepts</c:v>
                </c:pt>
                <c:pt idx="2">
                  <c:v>Matched Manipulation Control</c:v>
                </c:pt>
              </c:strCache>
            </c:strRef>
          </c:cat>
          <c:val>
            <c:numRef>
              <c:f>'Chart Data'!$D$5:$D$7</c:f>
              <c:numCache>
                <c:formatCode>0.0%</c:formatCode>
                <c:ptCount val="3"/>
                <c:pt idx="0">
                  <c:v>0.44333333333333336</c:v>
                </c:pt>
                <c:pt idx="1">
                  <c:v>0.67500000000000004</c:v>
                </c:pt>
                <c:pt idx="2">
                  <c:v>0.81666666666666665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E858-1D4A-A6AF-D5A78DB42CB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State Recognition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Data'!$A$12</c:f>
              <c:strCache>
                <c:ptCount val="1"/>
                <c:pt idx="0">
                  <c:v>Success rate</c:v>
                </c:pt>
              </c:strCache>
            </c:strRef>
          </c:cat>
          <c:val>
            <c:numRef>
              <c:f>'Chart Data'!$B$12</c:f>
              <c:numCache>
                <c:formatCode>0.0%</c:formatCode>
                <c:ptCount val="1"/>
                <c:pt idx="0">
                  <c:v>0.9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FC1-C14A-B13D-2127A860BE8E}"/>
            </c:ext>
          </c:extLst>
        </c:ser>
        <c:ser>
          <c:idx val="1"/>
          <c:order val="1"/>
          <c:tx>
            <c:v>π0.5</c:v>
          </c:tx>
          <c:spPr>
            <a:solidFill>
              <a:srgbClr val="07966A"/>
            </a:solidFill>
          </c:spPr>
          <c:invertIfNegative val="1"/>
          <c:cat>
            <c:strRef>
              <c:f>'Chart Data'!$A$12</c:f>
              <c:strCache>
                <c:ptCount val="1"/>
                <c:pt idx="0">
                  <c:v>Success rate</c:v>
                </c:pt>
              </c:strCache>
            </c:strRef>
          </c:cat>
          <c:val>
            <c:numRef>
              <c:f>'Chart Data'!$C$12</c:f>
              <c:numCache>
                <c:formatCode>0.0%</c:formatCode>
                <c:ptCount val="1"/>
                <c:pt idx="0">
                  <c:v>0.8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8FC1-C14A-B13D-2127A860BE8E}"/>
            </c:ext>
          </c:extLst>
        </c:ser>
        <c:ser>
          <c:idx val="2"/>
          <c:order val="2"/>
          <c:tx>
            <c:v>VLA-0</c:v>
          </c:tx>
          <c:spPr>
            <a:solidFill>
              <a:srgbClr val="737B8C"/>
            </a:solidFill>
          </c:spPr>
          <c:invertIfNegative val="1"/>
          <c:cat>
            <c:strRef>
              <c:f>'Chart Data'!$A$12</c:f>
              <c:strCache>
                <c:ptCount val="1"/>
                <c:pt idx="0">
                  <c:v>Success rate</c:v>
                </c:pt>
              </c:strCache>
            </c:strRef>
          </c:cat>
          <c:val>
            <c:numRef>
              <c:f>'Chart Data'!$D$12</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8FC1-C14A-B13D-2127A860BE8E}"/>
            </c:ext>
          </c:extLst>
        </c:ser>
        <c:ser>
          <c:idx val="3"/>
          <c:order val="3"/>
          <c:tx>
            <c:v>GR00T Full FT</c:v>
          </c:tx>
          <c:spPr>
            <a:solidFill>
              <a:srgbClr val="7C3AED"/>
            </a:solidFill>
          </c:spPr>
          <c:invertIfNegative val="1"/>
          <c:cat>
            <c:strRef>
              <c:f>'Chart Data'!$A$12</c:f>
              <c:strCache>
                <c:ptCount val="1"/>
                <c:pt idx="0">
                  <c:v>Success rate</c:v>
                </c:pt>
              </c:strCache>
            </c:strRef>
          </c:cat>
          <c:val>
            <c:numRef>
              <c:f>'Chart Data'!$E$12</c:f>
              <c:numCache>
                <c:formatCode>0.0%</c:formatCode>
                <c:ptCount val="1"/>
                <c:pt idx="0">
                  <c:v>0.2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8FC1-C14A-B13D-2127A860BE8E}"/>
            </c:ext>
          </c:extLst>
        </c:ser>
        <c:ser>
          <c:idx val="4"/>
          <c:order val="4"/>
          <c:tx>
            <c:v>GR00T Vision</c:v>
          </c:tx>
          <c:spPr>
            <a:solidFill>
              <a:srgbClr val="2F67E8"/>
            </a:solidFill>
          </c:spPr>
          <c:invertIfNegative val="1"/>
          <c:cat>
            <c:strRef>
              <c:f>'Chart Data'!$A$12</c:f>
              <c:strCache>
                <c:ptCount val="1"/>
                <c:pt idx="0">
                  <c:v>Success rate</c:v>
                </c:pt>
              </c:strCache>
            </c:strRef>
          </c:cat>
          <c:val>
            <c:numRef>
              <c:f>'Chart Data'!$F$12</c:f>
              <c:numCache>
                <c:formatCode>0.0%</c:formatCode>
                <c:ptCount val="1"/>
                <c:pt idx="0">
                  <c:v>0.85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8FC1-C14A-B13D-2127A860BE8E}"/>
            </c:ext>
          </c:extLst>
        </c:ser>
        <c:ser>
          <c:idx val="5"/>
          <c:order val="5"/>
          <c:tx>
            <c:v>Axis helper</c:v>
          </c:tx>
          <c:spPr>
            <a:noFill/>
            <a:ln w="0">
              <a:solidFill>
                <a:srgbClr val="FFFFFF"/>
              </a:solidFill>
              <a:prstDash val="solid"/>
            </a:ln>
          </c:spPr>
          <c:invertIfNegative val="1"/>
          <c:cat>
            <c:strRef>
              <c:f>'Chart Data'!$A$12</c:f>
              <c:strCache>
                <c:ptCount val="1"/>
                <c:pt idx="0">
                  <c:v>Success rate</c:v>
                </c:pt>
              </c:strCache>
            </c:strRef>
          </c:cat>
          <c:val>
            <c:numRef>
              <c:f>'Chart Data'!$G$12</c:f>
              <c:numCache>
                <c:formatCode>0.0%</c:formatCode>
                <c:ptCount val="1"/>
                <c:pt idx="0">
                  <c:v>0.9</c:v>
                </c:pt>
              </c:numCache>
            </c:numRef>
          </c:val>
          <c:extLst>
            <c:ext xmlns:c16="http://schemas.microsoft.com/office/drawing/2014/chart" uri="{C3380CC4-5D6E-409C-BE32-E72D297353CC}">
              <c16:uniqueId val="{00000005-8FC1-C14A-B13D-2127A860BE8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Counting</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Data'!$A$23</c:f>
              <c:strCache>
                <c:ptCount val="1"/>
                <c:pt idx="0">
                  <c:v>Success rate</c:v>
                </c:pt>
              </c:strCache>
            </c:strRef>
          </c:cat>
          <c:val>
            <c:numRef>
              <c:f>'Chart Data'!$B$23</c:f>
              <c:numCache>
                <c:formatCode>0.0%</c:formatCode>
                <c:ptCount val="1"/>
                <c:pt idx="0">
                  <c:v>0.6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227-0C41-B4D0-A1BB5C4CDCC4}"/>
            </c:ext>
          </c:extLst>
        </c:ser>
        <c:ser>
          <c:idx val="1"/>
          <c:order val="1"/>
          <c:tx>
            <c:v>π0.5</c:v>
          </c:tx>
          <c:spPr>
            <a:solidFill>
              <a:srgbClr val="07966A"/>
            </a:solidFill>
          </c:spPr>
          <c:invertIfNegative val="1"/>
          <c:cat>
            <c:strRef>
              <c:f>'Chart Data'!$A$23</c:f>
              <c:strCache>
                <c:ptCount val="1"/>
                <c:pt idx="0">
                  <c:v>Success rate</c:v>
                </c:pt>
              </c:strCache>
            </c:strRef>
          </c:cat>
          <c:val>
            <c:numRef>
              <c:f>'Chart Data'!$C$23</c:f>
              <c:numCache>
                <c:formatCode>0.0%</c:formatCode>
                <c:ptCount val="1"/>
                <c:pt idx="0">
                  <c:v>0.55000000000000004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E227-0C41-B4D0-A1BB5C4CDCC4}"/>
            </c:ext>
          </c:extLst>
        </c:ser>
        <c:ser>
          <c:idx val="2"/>
          <c:order val="2"/>
          <c:tx>
            <c:v>VLA-0</c:v>
          </c:tx>
          <c:spPr>
            <a:solidFill>
              <a:srgbClr val="737B8C"/>
            </a:solidFill>
          </c:spPr>
          <c:invertIfNegative val="1"/>
          <c:cat>
            <c:strRef>
              <c:f>'Chart Data'!$A$23</c:f>
              <c:strCache>
                <c:ptCount val="1"/>
                <c:pt idx="0">
                  <c:v>Success rate</c:v>
                </c:pt>
              </c:strCache>
            </c:strRef>
          </c:cat>
          <c:val>
            <c:numRef>
              <c:f>'Chart Data'!$D$23</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E227-0C41-B4D0-A1BB5C4CDCC4}"/>
            </c:ext>
          </c:extLst>
        </c:ser>
        <c:ser>
          <c:idx val="3"/>
          <c:order val="3"/>
          <c:tx>
            <c:v>GR00T Full FT</c:v>
          </c:tx>
          <c:spPr>
            <a:solidFill>
              <a:srgbClr val="7C3AED"/>
            </a:solidFill>
          </c:spPr>
          <c:invertIfNegative val="1"/>
          <c:cat>
            <c:strRef>
              <c:f>'Chart Data'!$A$23</c:f>
              <c:strCache>
                <c:ptCount val="1"/>
                <c:pt idx="0">
                  <c:v>Success rate</c:v>
                </c:pt>
              </c:strCache>
            </c:strRef>
          </c:cat>
          <c:val>
            <c:numRef>
              <c:f>'Chart Data'!$E$23</c:f>
              <c:numCache>
                <c:formatCode>0.0%</c:formatCode>
                <c:ptCount val="1"/>
                <c:pt idx="0">
                  <c:v>0.36842105263157893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E227-0C41-B4D0-A1BB5C4CDCC4}"/>
            </c:ext>
          </c:extLst>
        </c:ser>
        <c:ser>
          <c:idx val="4"/>
          <c:order val="4"/>
          <c:tx>
            <c:v>GR00T Vision</c:v>
          </c:tx>
          <c:spPr>
            <a:solidFill>
              <a:srgbClr val="2F67E8"/>
            </a:solidFill>
          </c:spPr>
          <c:invertIfNegative val="1"/>
          <c:cat>
            <c:strRef>
              <c:f>'Chart Data'!$A$23</c:f>
              <c:strCache>
                <c:ptCount val="1"/>
                <c:pt idx="0">
                  <c:v>Success rate</c:v>
                </c:pt>
              </c:strCache>
            </c:strRef>
          </c:cat>
          <c:val>
            <c:numRef>
              <c:f>'Chart Data'!$F$23</c:f>
              <c:numCache>
                <c:formatCode>0.0%</c:formatCode>
                <c:ptCount val="1"/>
                <c:pt idx="0">
                  <c:v>0.6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E227-0C41-B4D0-A1BB5C4CDCC4}"/>
            </c:ext>
          </c:extLst>
        </c:ser>
        <c:ser>
          <c:idx val="5"/>
          <c:order val="5"/>
          <c:tx>
            <c:v>Axis helper</c:v>
          </c:tx>
          <c:spPr>
            <a:noFill/>
            <a:ln w="0">
              <a:solidFill>
                <a:srgbClr val="FFFFFF"/>
              </a:solidFill>
              <a:prstDash val="solid"/>
            </a:ln>
          </c:spPr>
          <c:invertIfNegative val="1"/>
          <c:cat>
            <c:strRef>
              <c:f>'Chart Data'!$A$23</c:f>
              <c:strCache>
                <c:ptCount val="1"/>
                <c:pt idx="0">
                  <c:v>Success rate</c:v>
                </c:pt>
              </c:strCache>
            </c:strRef>
          </c:cat>
          <c:val>
            <c:numRef>
              <c:f>'Chart Data'!$G$23</c:f>
              <c:numCache>
                <c:formatCode>0.0%</c:formatCode>
                <c:ptCount val="1"/>
                <c:pt idx="0">
                  <c:v>0.9</c:v>
                </c:pt>
              </c:numCache>
            </c:numRef>
          </c:val>
          <c:extLst>
            <c:ext xmlns:c16="http://schemas.microsoft.com/office/drawing/2014/chart" uri="{C3380CC4-5D6E-409C-BE32-E72D297353CC}">
              <c16:uniqueId val="{00000005-E227-0C41-B4D0-A1BB5C4CDCC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Ordinal Reference Ordering</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Data'!$A$34</c:f>
              <c:strCache>
                <c:ptCount val="1"/>
                <c:pt idx="0">
                  <c:v>Success rate</c:v>
                </c:pt>
              </c:strCache>
            </c:strRef>
          </c:cat>
          <c:val>
            <c:numRef>
              <c:f>'Chart Data'!$B$34</c:f>
              <c:numCache>
                <c:formatCode>0.0%</c:formatCode>
                <c:ptCount val="1"/>
                <c:pt idx="0">
                  <c:v>0.5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7170-7B42-A350-13305BA3C739}"/>
            </c:ext>
          </c:extLst>
        </c:ser>
        <c:ser>
          <c:idx val="1"/>
          <c:order val="1"/>
          <c:tx>
            <c:v>π0.5</c:v>
          </c:tx>
          <c:spPr>
            <a:solidFill>
              <a:srgbClr val="07966A"/>
            </a:solidFill>
          </c:spPr>
          <c:invertIfNegative val="1"/>
          <c:cat>
            <c:strRef>
              <c:f>'Chart Data'!$A$34</c:f>
              <c:strCache>
                <c:ptCount val="1"/>
                <c:pt idx="0">
                  <c:v>Success rate</c:v>
                </c:pt>
              </c:strCache>
            </c:strRef>
          </c:cat>
          <c:val>
            <c:numRef>
              <c:f>'Chart Data'!$C$34</c:f>
              <c:numCache>
                <c:formatCode>0.0%</c:formatCode>
                <c:ptCount val="1"/>
                <c:pt idx="0">
                  <c:v>0.35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7170-7B42-A350-13305BA3C739}"/>
            </c:ext>
          </c:extLst>
        </c:ser>
        <c:ser>
          <c:idx val="2"/>
          <c:order val="2"/>
          <c:tx>
            <c:v>VLA-0</c:v>
          </c:tx>
          <c:spPr>
            <a:solidFill>
              <a:srgbClr val="737B8C"/>
            </a:solidFill>
          </c:spPr>
          <c:invertIfNegative val="1"/>
          <c:cat>
            <c:strRef>
              <c:f>'Chart Data'!$A$34</c:f>
              <c:strCache>
                <c:ptCount val="1"/>
                <c:pt idx="0">
                  <c:v>Success rate</c:v>
                </c:pt>
              </c:strCache>
            </c:strRef>
          </c:cat>
          <c:val>
            <c:numRef>
              <c:f>'Chart Data'!$D$34</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7170-7B42-A350-13305BA3C739}"/>
            </c:ext>
          </c:extLst>
        </c:ser>
        <c:ser>
          <c:idx val="3"/>
          <c:order val="3"/>
          <c:tx>
            <c:v>GR00T Full FT</c:v>
          </c:tx>
          <c:spPr>
            <a:solidFill>
              <a:srgbClr val="7C3AED"/>
            </a:solidFill>
          </c:spPr>
          <c:invertIfNegative val="1"/>
          <c:cat>
            <c:strRef>
              <c:f>'Chart Data'!$A$34</c:f>
              <c:strCache>
                <c:ptCount val="1"/>
                <c:pt idx="0">
                  <c:v>Success rate</c:v>
                </c:pt>
              </c:strCache>
            </c:strRef>
          </c:cat>
          <c:val>
            <c:numRef>
              <c:f>'Chart Data'!$E$34</c:f>
              <c:numCache>
                <c:formatCode>0.0%</c:formatCode>
                <c:ptCount val="1"/>
                <c:pt idx="0">
                  <c:v>0.15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7170-7B42-A350-13305BA3C739}"/>
            </c:ext>
          </c:extLst>
        </c:ser>
        <c:ser>
          <c:idx val="4"/>
          <c:order val="4"/>
          <c:tx>
            <c:v>GR00T Vision</c:v>
          </c:tx>
          <c:spPr>
            <a:solidFill>
              <a:srgbClr val="2F67E8"/>
            </a:solidFill>
          </c:spPr>
          <c:invertIfNegative val="1"/>
          <c:cat>
            <c:strRef>
              <c:f>'Chart Data'!$A$34</c:f>
              <c:strCache>
                <c:ptCount val="1"/>
                <c:pt idx="0">
                  <c:v>Success rate</c:v>
                </c:pt>
              </c:strCache>
            </c:strRef>
          </c:cat>
          <c:val>
            <c:numRef>
              <c:f>'Chart Data'!$F$34</c:f>
              <c:numCache>
                <c:formatCode>0.0%</c:formatCode>
                <c:ptCount val="1"/>
                <c:pt idx="0">
                  <c:v>0.45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7170-7B42-A350-13305BA3C739}"/>
            </c:ext>
          </c:extLst>
        </c:ser>
        <c:ser>
          <c:idx val="5"/>
          <c:order val="5"/>
          <c:tx>
            <c:v>Axis helper</c:v>
          </c:tx>
          <c:spPr>
            <a:noFill/>
            <a:ln w="0">
              <a:solidFill>
                <a:srgbClr val="FFFFFF"/>
              </a:solidFill>
              <a:prstDash val="solid"/>
            </a:ln>
          </c:spPr>
          <c:invertIfNegative val="1"/>
          <c:cat>
            <c:strRef>
              <c:f>'Chart Data'!$A$34</c:f>
              <c:strCache>
                <c:ptCount val="1"/>
                <c:pt idx="0">
                  <c:v>Success rate</c:v>
                </c:pt>
              </c:strCache>
            </c:strRef>
          </c:cat>
          <c:val>
            <c:numRef>
              <c:f>'Chart Data'!$G$34</c:f>
              <c:numCache>
                <c:formatCode>0.0%</c:formatCode>
                <c:ptCount val="1"/>
                <c:pt idx="0">
                  <c:v>0.9</c:v>
                </c:pt>
              </c:numCache>
            </c:numRef>
          </c:val>
          <c:extLst>
            <c:ext xmlns:c16="http://schemas.microsoft.com/office/drawing/2014/chart" uri="{C3380CC4-5D6E-409C-BE32-E72D297353CC}">
              <c16:uniqueId val="{00000005-7170-7B42-A350-13305BA3C73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Relational Placement</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Data'!$A$45</c:f>
              <c:strCache>
                <c:ptCount val="1"/>
                <c:pt idx="0">
                  <c:v>Success rate</c:v>
                </c:pt>
              </c:strCache>
            </c:strRef>
          </c:cat>
          <c:val>
            <c:numRef>
              <c:f>'Chart Data'!$B$45</c:f>
              <c:numCache>
                <c:formatCode>0.0%</c:formatCode>
                <c:ptCount val="1"/>
                <c:pt idx="0">
                  <c:v>0.8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6FB-1F45-83F4-9712E00EFDC1}"/>
            </c:ext>
          </c:extLst>
        </c:ser>
        <c:ser>
          <c:idx val="1"/>
          <c:order val="1"/>
          <c:tx>
            <c:v>π0.5</c:v>
          </c:tx>
          <c:spPr>
            <a:solidFill>
              <a:srgbClr val="07966A"/>
            </a:solidFill>
          </c:spPr>
          <c:invertIfNegative val="1"/>
          <c:cat>
            <c:strRef>
              <c:f>'Chart Data'!$A$45</c:f>
              <c:strCache>
                <c:ptCount val="1"/>
                <c:pt idx="0">
                  <c:v>Success rate</c:v>
                </c:pt>
              </c:strCache>
            </c:strRef>
          </c:cat>
          <c:val>
            <c:numRef>
              <c:f>'Chart Data'!$C$45</c:f>
              <c:numCache>
                <c:formatCode>0.0%</c:formatCode>
                <c:ptCount val="1"/>
                <c:pt idx="0">
                  <c:v>0.65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6FB-1F45-83F4-9712E00EFDC1}"/>
            </c:ext>
          </c:extLst>
        </c:ser>
        <c:ser>
          <c:idx val="2"/>
          <c:order val="2"/>
          <c:tx>
            <c:v>VLA-0</c:v>
          </c:tx>
          <c:spPr>
            <a:solidFill>
              <a:srgbClr val="737B8C"/>
            </a:solidFill>
          </c:spPr>
          <c:invertIfNegative val="1"/>
          <c:cat>
            <c:strRef>
              <c:f>'Chart Data'!$A$45</c:f>
              <c:strCache>
                <c:ptCount val="1"/>
                <c:pt idx="0">
                  <c:v>Success rate</c:v>
                </c:pt>
              </c:strCache>
            </c:strRef>
          </c:cat>
          <c:val>
            <c:numRef>
              <c:f>'Chart Data'!$D$45</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C6FB-1F45-83F4-9712E00EFDC1}"/>
            </c:ext>
          </c:extLst>
        </c:ser>
        <c:ser>
          <c:idx val="3"/>
          <c:order val="3"/>
          <c:tx>
            <c:v>GR00T Full FT</c:v>
          </c:tx>
          <c:spPr>
            <a:solidFill>
              <a:srgbClr val="7C3AED"/>
            </a:solidFill>
          </c:spPr>
          <c:invertIfNegative val="1"/>
          <c:cat>
            <c:strRef>
              <c:f>'Chart Data'!$A$45</c:f>
              <c:strCache>
                <c:ptCount val="1"/>
                <c:pt idx="0">
                  <c:v>Success rate</c:v>
                </c:pt>
              </c:strCache>
            </c:strRef>
          </c:cat>
          <c:val>
            <c:numRef>
              <c:f>'Chart Data'!$E$45</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C6FB-1F45-83F4-9712E00EFDC1}"/>
            </c:ext>
          </c:extLst>
        </c:ser>
        <c:ser>
          <c:idx val="4"/>
          <c:order val="4"/>
          <c:tx>
            <c:v>GR00T Vision</c:v>
          </c:tx>
          <c:spPr>
            <a:solidFill>
              <a:srgbClr val="2F67E8"/>
            </a:solidFill>
          </c:spPr>
          <c:invertIfNegative val="1"/>
          <c:cat>
            <c:strRef>
              <c:f>'Chart Data'!$A$45</c:f>
              <c:strCache>
                <c:ptCount val="1"/>
                <c:pt idx="0">
                  <c:v>Success rate</c:v>
                </c:pt>
              </c:strCache>
            </c:strRef>
          </c:cat>
          <c:val>
            <c:numRef>
              <c:f>'Chart Data'!$F$45</c:f>
              <c:numCache>
                <c:formatCode>0.0%</c:formatCode>
                <c:ptCount val="1"/>
                <c:pt idx="0">
                  <c:v>0.7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C6FB-1F45-83F4-9712E00EFDC1}"/>
            </c:ext>
          </c:extLst>
        </c:ser>
        <c:ser>
          <c:idx val="5"/>
          <c:order val="5"/>
          <c:tx>
            <c:v>Axis helper</c:v>
          </c:tx>
          <c:spPr>
            <a:noFill/>
            <a:ln w="0">
              <a:solidFill>
                <a:srgbClr val="FFFFFF"/>
              </a:solidFill>
              <a:prstDash val="solid"/>
            </a:ln>
          </c:spPr>
          <c:invertIfNegative val="1"/>
          <c:cat>
            <c:strRef>
              <c:f>'Chart Data'!$A$45</c:f>
              <c:strCache>
                <c:ptCount val="1"/>
                <c:pt idx="0">
                  <c:v>Success rate</c:v>
                </c:pt>
              </c:strCache>
            </c:strRef>
          </c:cat>
          <c:val>
            <c:numRef>
              <c:f>'Chart Data'!$G$45</c:f>
              <c:numCache>
                <c:formatCode>0.0%</c:formatCode>
                <c:ptCount val="1"/>
                <c:pt idx="0">
                  <c:v>0.9</c:v>
                </c:pt>
              </c:numCache>
            </c:numRef>
          </c:val>
          <c:extLst>
            <c:ext xmlns:c16="http://schemas.microsoft.com/office/drawing/2014/chart" uri="{C3380CC4-5D6E-409C-BE32-E72D297353CC}">
              <c16:uniqueId val="{00000005-C6FB-1F45-83F4-9712E00EFDC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Referential Disambiguation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Data'!$A$56</c:f>
              <c:strCache>
                <c:ptCount val="1"/>
                <c:pt idx="0">
                  <c:v>Success rate</c:v>
                </c:pt>
              </c:strCache>
            </c:strRef>
          </c:cat>
          <c:val>
            <c:numRef>
              <c:f>'Chart Data'!$B$56</c:f>
              <c:numCache>
                <c:formatCode>0.0%</c:formatCode>
                <c:ptCount val="1"/>
                <c:pt idx="0">
                  <c:v>0.75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A6C-914B-A4E2-3AE18F311692}"/>
            </c:ext>
          </c:extLst>
        </c:ser>
        <c:ser>
          <c:idx val="1"/>
          <c:order val="1"/>
          <c:tx>
            <c:v>π0.5</c:v>
          </c:tx>
          <c:spPr>
            <a:solidFill>
              <a:srgbClr val="07966A"/>
            </a:solidFill>
          </c:spPr>
          <c:invertIfNegative val="1"/>
          <c:cat>
            <c:strRef>
              <c:f>'Chart Data'!$A$56</c:f>
              <c:strCache>
                <c:ptCount val="1"/>
                <c:pt idx="0">
                  <c:v>Success rate</c:v>
                </c:pt>
              </c:strCache>
            </c:strRef>
          </c:cat>
          <c:val>
            <c:numRef>
              <c:f>'Chart Data'!$C$56</c:f>
              <c:numCache>
                <c:formatCode>0.0%</c:formatCode>
                <c:ptCount val="1"/>
                <c:pt idx="0">
                  <c:v>0.8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2A6C-914B-A4E2-3AE18F311692}"/>
            </c:ext>
          </c:extLst>
        </c:ser>
        <c:ser>
          <c:idx val="2"/>
          <c:order val="2"/>
          <c:tx>
            <c:v>VLA-0</c:v>
          </c:tx>
          <c:spPr>
            <a:solidFill>
              <a:srgbClr val="737B8C"/>
            </a:solidFill>
          </c:spPr>
          <c:invertIfNegative val="1"/>
          <c:cat>
            <c:strRef>
              <c:f>'Chart Data'!$A$56</c:f>
              <c:strCache>
                <c:ptCount val="1"/>
                <c:pt idx="0">
                  <c:v>Success rate</c:v>
                </c:pt>
              </c:strCache>
            </c:strRef>
          </c:cat>
          <c:val>
            <c:numRef>
              <c:f>'Chart Data'!$D$56</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2A6C-914B-A4E2-3AE18F311692}"/>
            </c:ext>
          </c:extLst>
        </c:ser>
        <c:ser>
          <c:idx val="3"/>
          <c:order val="3"/>
          <c:tx>
            <c:v>GR00T Full FT</c:v>
          </c:tx>
          <c:spPr>
            <a:solidFill>
              <a:srgbClr val="7C3AED"/>
            </a:solidFill>
          </c:spPr>
          <c:invertIfNegative val="1"/>
          <c:cat>
            <c:strRef>
              <c:f>'Chart Data'!$A$56</c:f>
              <c:strCache>
                <c:ptCount val="1"/>
                <c:pt idx="0">
                  <c:v>Success rate</c:v>
                </c:pt>
              </c:strCache>
            </c:strRef>
          </c:cat>
          <c:val>
            <c:numRef>
              <c:f>'Chart Data'!$E$56</c:f>
              <c:numCache>
                <c:formatCode>0.0%</c:formatCode>
                <c:ptCount val="1"/>
                <c:pt idx="0">
                  <c:v>0.2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2A6C-914B-A4E2-3AE18F311692}"/>
            </c:ext>
          </c:extLst>
        </c:ser>
        <c:ser>
          <c:idx val="4"/>
          <c:order val="4"/>
          <c:tx>
            <c:v>GR00T Vision</c:v>
          </c:tx>
          <c:spPr>
            <a:solidFill>
              <a:srgbClr val="2F67E8"/>
            </a:solidFill>
          </c:spPr>
          <c:invertIfNegative val="1"/>
          <c:cat>
            <c:strRef>
              <c:f>'Chart Data'!$A$56</c:f>
              <c:strCache>
                <c:ptCount val="1"/>
                <c:pt idx="0">
                  <c:v>Success rate</c:v>
                </c:pt>
              </c:strCache>
            </c:strRef>
          </c:cat>
          <c:val>
            <c:numRef>
              <c:f>'Chart Data'!$F$56</c:f>
              <c:numCache>
                <c:formatCode>0.0%</c:formatCode>
                <c:ptCount val="1"/>
                <c:pt idx="0">
                  <c:v>0.6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2A6C-914B-A4E2-3AE18F311692}"/>
            </c:ext>
          </c:extLst>
        </c:ser>
        <c:ser>
          <c:idx val="5"/>
          <c:order val="5"/>
          <c:tx>
            <c:v>Axis helper</c:v>
          </c:tx>
          <c:spPr>
            <a:noFill/>
            <a:ln w="0">
              <a:solidFill>
                <a:srgbClr val="FFFFFF"/>
              </a:solidFill>
              <a:prstDash val="solid"/>
            </a:ln>
          </c:spPr>
          <c:invertIfNegative val="1"/>
          <c:cat>
            <c:strRef>
              <c:f>'Chart Data'!$A$56</c:f>
              <c:strCache>
                <c:ptCount val="1"/>
                <c:pt idx="0">
                  <c:v>Success rate</c:v>
                </c:pt>
              </c:strCache>
            </c:strRef>
          </c:cat>
          <c:val>
            <c:numRef>
              <c:f>'Chart Data'!$G$56</c:f>
              <c:numCache>
                <c:formatCode>0.0%</c:formatCode>
                <c:ptCount val="1"/>
                <c:pt idx="0">
                  <c:v>0.9</c:v>
                </c:pt>
              </c:numCache>
            </c:numRef>
          </c:val>
          <c:extLst>
            <c:ext xmlns:c16="http://schemas.microsoft.com/office/drawing/2014/chart" uri="{C3380CC4-5D6E-409C-BE32-E72D297353CC}">
              <c16:uniqueId val="{00000005-2A6C-914B-A4E2-3AE18F31169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Size Recognition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Data'!$A$67</c:f>
              <c:strCache>
                <c:ptCount val="1"/>
                <c:pt idx="0">
                  <c:v>Success rate</c:v>
                </c:pt>
              </c:strCache>
            </c:strRef>
          </c:cat>
          <c:val>
            <c:numRef>
              <c:f>'Chart Data'!$B$67</c:f>
              <c:numCache>
                <c:formatCode>0.0%</c:formatCode>
                <c:ptCount val="1"/>
                <c:pt idx="0">
                  <c:v>0.8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753-254E-9700-D0B3815DB45C}"/>
            </c:ext>
          </c:extLst>
        </c:ser>
        <c:ser>
          <c:idx val="1"/>
          <c:order val="1"/>
          <c:tx>
            <c:v>π0.5</c:v>
          </c:tx>
          <c:spPr>
            <a:solidFill>
              <a:srgbClr val="07966A"/>
            </a:solidFill>
          </c:spPr>
          <c:invertIfNegative val="1"/>
          <c:cat>
            <c:strRef>
              <c:f>'Chart Data'!$A$67</c:f>
              <c:strCache>
                <c:ptCount val="1"/>
                <c:pt idx="0">
                  <c:v>Success rate</c:v>
                </c:pt>
              </c:strCache>
            </c:strRef>
          </c:cat>
          <c:val>
            <c:numRef>
              <c:f>'Chart Data'!$C$67</c:f>
              <c:numCache>
                <c:formatCode>0.0%</c:formatCode>
                <c:ptCount val="1"/>
                <c:pt idx="0">
                  <c:v>0.95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753-254E-9700-D0B3815DB45C}"/>
            </c:ext>
          </c:extLst>
        </c:ser>
        <c:ser>
          <c:idx val="2"/>
          <c:order val="2"/>
          <c:tx>
            <c:v>VLA-0</c:v>
          </c:tx>
          <c:spPr>
            <a:solidFill>
              <a:srgbClr val="737B8C"/>
            </a:solidFill>
          </c:spPr>
          <c:invertIfNegative val="1"/>
          <c:cat>
            <c:strRef>
              <c:f>'Chart Data'!$A$67</c:f>
              <c:strCache>
                <c:ptCount val="1"/>
                <c:pt idx="0">
                  <c:v>Success rate</c:v>
                </c:pt>
              </c:strCache>
            </c:strRef>
          </c:cat>
          <c:val>
            <c:numRef>
              <c:f>'Chart Data'!$D$67</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753-254E-9700-D0B3815DB45C}"/>
            </c:ext>
          </c:extLst>
        </c:ser>
        <c:ser>
          <c:idx val="3"/>
          <c:order val="3"/>
          <c:tx>
            <c:v>GR00T Full FT</c:v>
          </c:tx>
          <c:spPr>
            <a:solidFill>
              <a:srgbClr val="7C3AED"/>
            </a:solidFill>
          </c:spPr>
          <c:invertIfNegative val="1"/>
          <c:cat>
            <c:strRef>
              <c:f>'Chart Data'!$A$67</c:f>
              <c:strCache>
                <c:ptCount val="1"/>
                <c:pt idx="0">
                  <c:v>Success rate</c:v>
                </c:pt>
              </c:strCache>
            </c:strRef>
          </c:cat>
          <c:val>
            <c:numRef>
              <c:f>'Chart Data'!$E$67</c:f>
              <c:numCache>
                <c:formatCode>0.0%</c:formatCode>
                <c:ptCount val="1"/>
                <c:pt idx="0">
                  <c:v>0.35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9753-254E-9700-D0B3815DB45C}"/>
            </c:ext>
          </c:extLst>
        </c:ser>
        <c:ser>
          <c:idx val="4"/>
          <c:order val="4"/>
          <c:tx>
            <c:v>GR00T Vision</c:v>
          </c:tx>
          <c:spPr>
            <a:solidFill>
              <a:srgbClr val="2F67E8"/>
            </a:solidFill>
          </c:spPr>
          <c:invertIfNegative val="1"/>
          <c:cat>
            <c:strRef>
              <c:f>'Chart Data'!$A$67</c:f>
              <c:strCache>
                <c:ptCount val="1"/>
                <c:pt idx="0">
                  <c:v>Success rate</c:v>
                </c:pt>
              </c:strCache>
            </c:strRef>
          </c:cat>
          <c:val>
            <c:numRef>
              <c:f>'Chart Data'!$F$67</c:f>
              <c:numCache>
                <c:formatCode>0.0%</c:formatCode>
                <c:ptCount val="1"/>
                <c:pt idx="0">
                  <c:v>0.85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9753-254E-9700-D0B3815DB45C}"/>
            </c:ext>
          </c:extLst>
        </c:ser>
        <c:ser>
          <c:idx val="5"/>
          <c:order val="5"/>
          <c:tx>
            <c:v>Axis helper</c:v>
          </c:tx>
          <c:spPr>
            <a:noFill/>
            <a:ln w="0">
              <a:solidFill>
                <a:srgbClr val="FFFFFF"/>
              </a:solidFill>
              <a:prstDash val="solid"/>
            </a:ln>
          </c:spPr>
          <c:invertIfNegative val="1"/>
          <c:cat>
            <c:strRef>
              <c:f>'Chart Data'!$A$67</c:f>
              <c:strCache>
                <c:ptCount val="1"/>
                <c:pt idx="0">
                  <c:v>Success rate</c:v>
                </c:pt>
              </c:strCache>
            </c:strRef>
          </c:cat>
          <c:val>
            <c:numRef>
              <c:f>'Chart Data'!$G$67</c:f>
              <c:numCache>
                <c:formatCode>0.0%</c:formatCode>
                <c:ptCount val="1"/>
                <c:pt idx="0">
                  <c:v>0.9</c:v>
                </c:pt>
              </c:numCache>
            </c:numRef>
          </c:val>
          <c:extLst>
            <c:ext xmlns:c16="http://schemas.microsoft.com/office/drawing/2014/chart" uri="{C3380CC4-5D6E-409C-BE32-E72D297353CC}">
              <c16:uniqueId val="{00000005-9753-254E-9700-D0B3815DB45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State Recognition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Data'!$A$78</c:f>
              <c:strCache>
                <c:ptCount val="1"/>
                <c:pt idx="0">
                  <c:v>Success rate</c:v>
                </c:pt>
              </c:strCache>
            </c:strRef>
          </c:cat>
          <c:val>
            <c:numRef>
              <c:f>'Chart Data'!$B$78</c:f>
              <c:numCache>
                <c:formatCode>0.0%</c:formatCode>
                <c:ptCount val="1"/>
                <c:pt idx="0">
                  <c:v>0.76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F91-084B-804A-1CFBC9277349}"/>
            </c:ext>
          </c:extLst>
        </c:ser>
        <c:ser>
          <c:idx val="1"/>
          <c:order val="1"/>
          <c:tx>
            <c:v>π0.5</c:v>
          </c:tx>
          <c:spPr>
            <a:solidFill>
              <a:srgbClr val="07966A"/>
            </a:solidFill>
          </c:spPr>
          <c:invertIfNegative val="1"/>
          <c:cat>
            <c:strRef>
              <c:f>'Chart Data'!$A$78</c:f>
              <c:strCache>
                <c:ptCount val="1"/>
                <c:pt idx="0">
                  <c:v>Success rate</c:v>
                </c:pt>
              </c:strCache>
            </c:strRef>
          </c:cat>
          <c:val>
            <c:numRef>
              <c:f>'Chart Data'!$C$78</c:f>
              <c:numCache>
                <c:formatCode>0.0%</c:formatCode>
                <c:ptCount val="1"/>
                <c:pt idx="0">
                  <c:v>0.36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2F91-084B-804A-1CFBC9277349}"/>
            </c:ext>
          </c:extLst>
        </c:ser>
        <c:ser>
          <c:idx val="2"/>
          <c:order val="2"/>
          <c:tx>
            <c:v>GR00T Vision</c:v>
          </c:tx>
          <c:spPr>
            <a:solidFill>
              <a:srgbClr val="2F67E8"/>
            </a:solidFill>
          </c:spPr>
          <c:invertIfNegative val="1"/>
          <c:cat>
            <c:strRef>
              <c:f>'Chart Data'!$A$78</c:f>
              <c:strCache>
                <c:ptCount val="1"/>
                <c:pt idx="0">
                  <c:v>Success rate</c:v>
                </c:pt>
              </c:strCache>
            </c:strRef>
          </c:cat>
          <c:val>
            <c:numRef>
              <c:f>'Chart Data'!$D$78</c:f>
              <c:numCache>
                <c:formatCode>0.0%</c:formatCode>
                <c:ptCount val="1"/>
                <c:pt idx="0">
                  <c:v>0.34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2F91-084B-804A-1CFBC9277349}"/>
            </c:ext>
          </c:extLst>
        </c:ser>
        <c:ser>
          <c:idx val="3"/>
          <c:order val="3"/>
          <c:tx>
            <c:v>Axis helper</c:v>
          </c:tx>
          <c:spPr>
            <a:noFill/>
            <a:ln w="0">
              <a:solidFill>
                <a:srgbClr val="FFFFFF"/>
              </a:solidFill>
              <a:prstDash val="solid"/>
            </a:ln>
          </c:spPr>
          <c:invertIfNegative val="1"/>
          <c:cat>
            <c:strRef>
              <c:f>'Chart Data'!$A$78</c:f>
              <c:strCache>
                <c:ptCount val="1"/>
                <c:pt idx="0">
                  <c:v>Success rate</c:v>
                </c:pt>
              </c:strCache>
            </c:strRef>
          </c:cat>
          <c:val>
            <c:numRef>
              <c:f>'Chart Data'!$E$78</c:f>
              <c:numCache>
                <c:formatCode>0.0%</c:formatCode>
                <c:ptCount val="1"/>
                <c:pt idx="0">
                  <c:v>0.9</c:v>
                </c:pt>
              </c:numCache>
            </c:numRef>
          </c:val>
          <c:extLst>
            <c:ext xmlns:c16="http://schemas.microsoft.com/office/drawing/2014/chart" uri="{C3380CC4-5D6E-409C-BE32-E72D297353CC}">
              <c16:uniqueId val="{00000003-2F91-084B-804A-1CFBC927734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Counting</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Data'!$A$89</c:f>
              <c:strCache>
                <c:ptCount val="1"/>
                <c:pt idx="0">
                  <c:v>Success rate</c:v>
                </c:pt>
              </c:strCache>
            </c:strRef>
          </c:cat>
          <c:val>
            <c:numRef>
              <c:f>'Chart Data'!$B$89</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B5B-BA4E-BA4E-E818477B206F}"/>
            </c:ext>
          </c:extLst>
        </c:ser>
        <c:ser>
          <c:idx val="1"/>
          <c:order val="1"/>
          <c:tx>
            <c:v>π0.5</c:v>
          </c:tx>
          <c:spPr>
            <a:solidFill>
              <a:srgbClr val="07966A"/>
            </a:solidFill>
          </c:spPr>
          <c:invertIfNegative val="1"/>
          <c:cat>
            <c:strRef>
              <c:f>'Chart Data'!$A$89</c:f>
              <c:strCache>
                <c:ptCount val="1"/>
                <c:pt idx="0">
                  <c:v>Success rate</c:v>
                </c:pt>
              </c:strCache>
            </c:strRef>
          </c:cat>
          <c:val>
            <c:numRef>
              <c:f>'Chart Data'!$C$89</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B5B-BA4E-BA4E-E818477B206F}"/>
            </c:ext>
          </c:extLst>
        </c:ser>
        <c:ser>
          <c:idx val="2"/>
          <c:order val="2"/>
          <c:tx>
            <c:v>GR00T Vision</c:v>
          </c:tx>
          <c:spPr>
            <a:solidFill>
              <a:srgbClr val="2F67E8"/>
            </a:solidFill>
          </c:spPr>
          <c:invertIfNegative val="1"/>
          <c:cat>
            <c:strRef>
              <c:f>'Chart Data'!$A$89</c:f>
              <c:strCache>
                <c:ptCount val="1"/>
                <c:pt idx="0">
                  <c:v>Success rate</c:v>
                </c:pt>
              </c:strCache>
            </c:strRef>
          </c:cat>
          <c:val>
            <c:numRef>
              <c:f>'Chart Data'!$D$89</c:f>
              <c:numCache>
                <c:formatCode>0.0%</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DB5B-BA4E-BA4E-E818477B206F}"/>
            </c:ext>
          </c:extLst>
        </c:ser>
        <c:ser>
          <c:idx val="3"/>
          <c:order val="3"/>
          <c:tx>
            <c:v>Axis helper</c:v>
          </c:tx>
          <c:spPr>
            <a:noFill/>
            <a:ln w="0">
              <a:solidFill>
                <a:srgbClr val="FFFFFF"/>
              </a:solidFill>
              <a:prstDash val="solid"/>
            </a:ln>
          </c:spPr>
          <c:invertIfNegative val="1"/>
          <c:cat>
            <c:strRef>
              <c:f>'Chart Data'!$A$89</c:f>
              <c:strCache>
                <c:ptCount val="1"/>
                <c:pt idx="0">
                  <c:v>Success rate</c:v>
                </c:pt>
              </c:strCache>
            </c:strRef>
          </c:cat>
          <c:val>
            <c:numRef>
              <c:f>'Chart Data'!$E$89</c:f>
              <c:numCache>
                <c:formatCode>0.0%</c:formatCode>
                <c:ptCount val="1"/>
                <c:pt idx="0">
                  <c:v>0.9</c:v>
                </c:pt>
              </c:numCache>
            </c:numRef>
          </c:val>
          <c:extLst>
            <c:ext xmlns:c16="http://schemas.microsoft.com/office/drawing/2014/chart" uri="{C3380CC4-5D6E-409C-BE32-E72D297353CC}">
              <c16:uniqueId val="{00000003-DB5B-BA4E-BA4E-E818477B206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Ordinal Reference Ordering</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Data'!$A$100</c:f>
              <c:strCache>
                <c:ptCount val="1"/>
                <c:pt idx="0">
                  <c:v>Success rate</c:v>
                </c:pt>
              </c:strCache>
            </c:strRef>
          </c:cat>
          <c:val>
            <c:numRef>
              <c:f>'Chart Data'!$B$100</c:f>
              <c:numCache>
                <c:formatCode>0.0%</c:formatCode>
                <c:ptCount val="1"/>
                <c:pt idx="0">
                  <c:v>0.54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5A0-C54D-AF05-5122381B1A61}"/>
            </c:ext>
          </c:extLst>
        </c:ser>
        <c:ser>
          <c:idx val="1"/>
          <c:order val="1"/>
          <c:tx>
            <c:v>π0.5</c:v>
          </c:tx>
          <c:spPr>
            <a:solidFill>
              <a:srgbClr val="07966A"/>
            </a:solidFill>
          </c:spPr>
          <c:invertIfNegative val="1"/>
          <c:cat>
            <c:strRef>
              <c:f>'Chart Data'!$A$100</c:f>
              <c:strCache>
                <c:ptCount val="1"/>
                <c:pt idx="0">
                  <c:v>Success rate</c:v>
                </c:pt>
              </c:strCache>
            </c:strRef>
          </c:cat>
          <c:val>
            <c:numRef>
              <c:f>'Chart Data'!$C$100</c:f>
              <c:numCache>
                <c:formatCode>0.0%</c:formatCode>
                <c:ptCount val="1"/>
                <c:pt idx="0">
                  <c:v>0.46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85A0-C54D-AF05-5122381B1A61}"/>
            </c:ext>
          </c:extLst>
        </c:ser>
        <c:ser>
          <c:idx val="2"/>
          <c:order val="2"/>
          <c:tx>
            <c:v>GR00T Vision</c:v>
          </c:tx>
          <c:spPr>
            <a:solidFill>
              <a:srgbClr val="2F67E8"/>
            </a:solidFill>
          </c:spPr>
          <c:invertIfNegative val="1"/>
          <c:cat>
            <c:strRef>
              <c:f>'Chart Data'!$A$100</c:f>
              <c:strCache>
                <c:ptCount val="1"/>
                <c:pt idx="0">
                  <c:v>Success rate</c:v>
                </c:pt>
              </c:strCache>
            </c:strRef>
          </c:cat>
          <c:val>
            <c:numRef>
              <c:f>'Chart Data'!$D$100</c:f>
              <c:numCache>
                <c:formatCode>0.0%</c:formatCode>
                <c:ptCount val="1"/>
                <c:pt idx="0">
                  <c:v>0.42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85A0-C54D-AF05-5122381B1A61}"/>
            </c:ext>
          </c:extLst>
        </c:ser>
        <c:ser>
          <c:idx val="3"/>
          <c:order val="3"/>
          <c:tx>
            <c:v>Axis helper</c:v>
          </c:tx>
          <c:spPr>
            <a:noFill/>
            <a:ln w="0">
              <a:solidFill>
                <a:srgbClr val="FFFFFF"/>
              </a:solidFill>
              <a:prstDash val="solid"/>
            </a:ln>
          </c:spPr>
          <c:invertIfNegative val="1"/>
          <c:cat>
            <c:strRef>
              <c:f>'Chart Data'!$A$100</c:f>
              <c:strCache>
                <c:ptCount val="1"/>
                <c:pt idx="0">
                  <c:v>Success rate</c:v>
                </c:pt>
              </c:strCache>
            </c:strRef>
          </c:cat>
          <c:val>
            <c:numRef>
              <c:f>'Chart Data'!$E$100</c:f>
              <c:numCache>
                <c:formatCode>0.0%</c:formatCode>
                <c:ptCount val="1"/>
                <c:pt idx="0">
                  <c:v>0.9</c:v>
                </c:pt>
              </c:numCache>
            </c:numRef>
          </c:val>
          <c:extLst>
            <c:ext xmlns:c16="http://schemas.microsoft.com/office/drawing/2014/chart" uri="{C3380CC4-5D6E-409C-BE32-E72D297353CC}">
              <c16:uniqueId val="{00000003-85A0-C54D-AF05-5122381B1A6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Relational Placement</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Data'!$A$111</c:f>
              <c:strCache>
                <c:ptCount val="1"/>
                <c:pt idx="0">
                  <c:v>Success rate</c:v>
                </c:pt>
              </c:strCache>
            </c:strRef>
          </c:cat>
          <c:val>
            <c:numRef>
              <c:f>'Chart Data'!$B$111</c:f>
              <c:numCache>
                <c:formatCode>0.0%</c:formatCode>
                <c:ptCount val="1"/>
                <c:pt idx="0">
                  <c:v>0.5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BCF-074A-B371-F9EEA7B3BD36}"/>
            </c:ext>
          </c:extLst>
        </c:ser>
        <c:ser>
          <c:idx val="1"/>
          <c:order val="1"/>
          <c:tx>
            <c:v>π0.5</c:v>
          </c:tx>
          <c:spPr>
            <a:solidFill>
              <a:srgbClr val="07966A"/>
            </a:solidFill>
          </c:spPr>
          <c:invertIfNegative val="1"/>
          <c:cat>
            <c:strRef>
              <c:f>'Chart Data'!$A$111</c:f>
              <c:strCache>
                <c:ptCount val="1"/>
                <c:pt idx="0">
                  <c:v>Success rate</c:v>
                </c:pt>
              </c:strCache>
            </c:strRef>
          </c:cat>
          <c:val>
            <c:numRef>
              <c:f>'Chart Data'!$C$111</c:f>
              <c:numCache>
                <c:formatCode>0.0%</c:formatCode>
                <c:ptCount val="1"/>
                <c:pt idx="0">
                  <c:v>0.72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2BCF-074A-B371-F9EEA7B3BD36}"/>
            </c:ext>
          </c:extLst>
        </c:ser>
        <c:ser>
          <c:idx val="2"/>
          <c:order val="2"/>
          <c:tx>
            <c:v>GR00T Vision</c:v>
          </c:tx>
          <c:spPr>
            <a:solidFill>
              <a:srgbClr val="2F67E8"/>
            </a:solidFill>
          </c:spPr>
          <c:invertIfNegative val="1"/>
          <c:cat>
            <c:strRef>
              <c:f>'Chart Data'!$A$111</c:f>
              <c:strCache>
                <c:ptCount val="1"/>
                <c:pt idx="0">
                  <c:v>Success rate</c:v>
                </c:pt>
              </c:strCache>
            </c:strRef>
          </c:cat>
          <c:val>
            <c:numRef>
              <c:f>'Chart Data'!$D$111</c:f>
              <c:numCache>
                <c:formatCode>0.0%</c:formatCode>
                <c:ptCount val="1"/>
                <c:pt idx="0">
                  <c:v>0.78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2BCF-074A-B371-F9EEA7B3BD36}"/>
            </c:ext>
          </c:extLst>
        </c:ser>
        <c:ser>
          <c:idx val="3"/>
          <c:order val="3"/>
          <c:tx>
            <c:v>Axis helper</c:v>
          </c:tx>
          <c:spPr>
            <a:noFill/>
            <a:ln w="0">
              <a:solidFill>
                <a:srgbClr val="FFFFFF"/>
              </a:solidFill>
              <a:prstDash val="solid"/>
            </a:ln>
          </c:spPr>
          <c:invertIfNegative val="1"/>
          <c:cat>
            <c:strRef>
              <c:f>'Chart Data'!$A$111</c:f>
              <c:strCache>
                <c:ptCount val="1"/>
                <c:pt idx="0">
                  <c:v>Success rate</c:v>
                </c:pt>
              </c:strCache>
            </c:strRef>
          </c:cat>
          <c:val>
            <c:numRef>
              <c:f>'Chart Data'!$E$111</c:f>
              <c:numCache>
                <c:formatCode>0.0%</c:formatCode>
                <c:ptCount val="1"/>
                <c:pt idx="0">
                  <c:v>0.9</c:v>
                </c:pt>
              </c:numCache>
            </c:numRef>
          </c:val>
          <c:extLst>
            <c:ext xmlns:c16="http://schemas.microsoft.com/office/drawing/2014/chart" uri="{C3380CC4-5D6E-409C-BE32-E72D297353CC}">
              <c16:uniqueId val="{00000003-2BCF-074A-B371-F9EEA7B3BD3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Referential Disambiguation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Data'!$A$122</c:f>
              <c:strCache>
                <c:ptCount val="1"/>
                <c:pt idx="0">
                  <c:v>Success rate</c:v>
                </c:pt>
              </c:strCache>
            </c:strRef>
          </c:cat>
          <c:val>
            <c:numRef>
              <c:f>'Chart Data'!$B$122</c:f>
              <c:numCache>
                <c:formatCode>0.0%</c:formatCode>
                <c:ptCount val="1"/>
                <c:pt idx="0">
                  <c:v>0.68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415-C246-88FA-AE6FF83747FA}"/>
            </c:ext>
          </c:extLst>
        </c:ser>
        <c:ser>
          <c:idx val="1"/>
          <c:order val="1"/>
          <c:tx>
            <c:v>π0.5</c:v>
          </c:tx>
          <c:spPr>
            <a:solidFill>
              <a:srgbClr val="07966A"/>
            </a:solidFill>
          </c:spPr>
          <c:invertIfNegative val="1"/>
          <c:cat>
            <c:strRef>
              <c:f>'Chart Data'!$A$122</c:f>
              <c:strCache>
                <c:ptCount val="1"/>
                <c:pt idx="0">
                  <c:v>Success rate</c:v>
                </c:pt>
              </c:strCache>
            </c:strRef>
          </c:cat>
          <c:val>
            <c:numRef>
              <c:f>'Chart Data'!$C$122</c:f>
              <c:numCache>
                <c:formatCode>0.0%</c:formatCode>
                <c:ptCount val="1"/>
                <c:pt idx="0">
                  <c:v>0.36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5415-C246-88FA-AE6FF83747FA}"/>
            </c:ext>
          </c:extLst>
        </c:ser>
        <c:ser>
          <c:idx val="2"/>
          <c:order val="2"/>
          <c:tx>
            <c:v>GR00T Vision</c:v>
          </c:tx>
          <c:spPr>
            <a:solidFill>
              <a:srgbClr val="2F67E8"/>
            </a:solidFill>
          </c:spPr>
          <c:invertIfNegative val="1"/>
          <c:cat>
            <c:strRef>
              <c:f>'Chart Data'!$A$122</c:f>
              <c:strCache>
                <c:ptCount val="1"/>
                <c:pt idx="0">
                  <c:v>Success rate</c:v>
                </c:pt>
              </c:strCache>
            </c:strRef>
          </c:cat>
          <c:val>
            <c:numRef>
              <c:f>'Chart Data'!$D$122</c:f>
              <c:numCache>
                <c:formatCode>0.0%</c:formatCode>
                <c:ptCount val="1"/>
                <c:pt idx="0">
                  <c:v>0.54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5415-C246-88FA-AE6FF83747FA}"/>
            </c:ext>
          </c:extLst>
        </c:ser>
        <c:ser>
          <c:idx val="3"/>
          <c:order val="3"/>
          <c:tx>
            <c:v>Axis helper</c:v>
          </c:tx>
          <c:spPr>
            <a:noFill/>
            <a:ln w="0">
              <a:solidFill>
                <a:srgbClr val="FFFFFF"/>
              </a:solidFill>
              <a:prstDash val="solid"/>
            </a:ln>
          </c:spPr>
          <c:invertIfNegative val="1"/>
          <c:cat>
            <c:strRef>
              <c:f>'Chart Data'!$A$122</c:f>
              <c:strCache>
                <c:ptCount val="1"/>
                <c:pt idx="0">
                  <c:v>Success rate</c:v>
                </c:pt>
              </c:strCache>
            </c:strRef>
          </c:cat>
          <c:val>
            <c:numRef>
              <c:f>'Chart Data'!$E$122</c:f>
              <c:numCache>
                <c:formatCode>0.0%</c:formatCode>
                <c:ptCount val="1"/>
                <c:pt idx="0">
                  <c:v>0.9</c:v>
                </c:pt>
              </c:numCache>
            </c:numRef>
          </c:val>
          <c:extLst>
            <c:ext xmlns:c16="http://schemas.microsoft.com/office/drawing/2014/chart" uri="{C3380CC4-5D6E-409C-BE32-E72D297353CC}">
              <c16:uniqueId val="{00000003-5415-C246-88FA-AE6FF83747F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Size Recognition</a:t>
            </a:r>
          </a:p>
        </c:rich>
      </c:tx>
      <c:overlay val="0"/>
    </c:title>
    <c:autoTitleDeleted val="0"/>
    <c:plotArea>
      <c:layout/>
      <c:barChart>
        <c:barDir val="col"/>
        <c:grouping val="clustered"/>
        <c:varyColors val="0"/>
        <c:ser>
          <c:idx val="0"/>
          <c:order val="0"/>
          <c:tx>
            <c:v>MolmoAct2</c:v>
          </c:tx>
          <c:spPr>
            <a:solidFill>
              <a:srgbClr val="E67E00"/>
            </a:solidFill>
          </c:spPr>
          <c:invertIfNegative val="1"/>
          <c:cat>
            <c:strRef>
              <c:f>'Chart Data'!$A$133</c:f>
              <c:strCache>
                <c:ptCount val="1"/>
                <c:pt idx="0">
                  <c:v>Success rate</c:v>
                </c:pt>
              </c:strCache>
            </c:strRef>
          </c:cat>
          <c:val>
            <c:numRef>
              <c:f>'Chart Data'!$B$133</c:f>
              <c:numCache>
                <c:formatCode>0.0%</c:formatCode>
                <c:ptCount val="1"/>
                <c:pt idx="0">
                  <c:v>0.64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A01-474E-B568-E18D8560FD99}"/>
            </c:ext>
          </c:extLst>
        </c:ser>
        <c:ser>
          <c:idx val="1"/>
          <c:order val="1"/>
          <c:tx>
            <c:v>π0.5</c:v>
          </c:tx>
          <c:spPr>
            <a:solidFill>
              <a:srgbClr val="07966A"/>
            </a:solidFill>
          </c:spPr>
          <c:invertIfNegative val="1"/>
          <c:cat>
            <c:strRef>
              <c:f>'Chart Data'!$A$133</c:f>
              <c:strCache>
                <c:ptCount val="1"/>
                <c:pt idx="0">
                  <c:v>Success rate</c:v>
                </c:pt>
              </c:strCache>
            </c:strRef>
          </c:cat>
          <c:val>
            <c:numRef>
              <c:f>'Chart Data'!$C$133</c:f>
              <c:numCache>
                <c:formatCode>0.0%</c:formatCode>
                <c:ptCount val="1"/>
                <c:pt idx="0">
                  <c:v>0.54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A01-474E-B568-E18D8560FD99}"/>
            </c:ext>
          </c:extLst>
        </c:ser>
        <c:ser>
          <c:idx val="2"/>
          <c:order val="2"/>
          <c:tx>
            <c:v>GR00T Vision</c:v>
          </c:tx>
          <c:spPr>
            <a:solidFill>
              <a:srgbClr val="2F67E8"/>
            </a:solidFill>
          </c:spPr>
          <c:invertIfNegative val="1"/>
          <c:cat>
            <c:strRef>
              <c:f>'Chart Data'!$A$133</c:f>
              <c:strCache>
                <c:ptCount val="1"/>
                <c:pt idx="0">
                  <c:v>Success rate</c:v>
                </c:pt>
              </c:strCache>
            </c:strRef>
          </c:cat>
          <c:val>
            <c:numRef>
              <c:f>'Chart Data'!$D$133</c:f>
              <c:numCache>
                <c:formatCode>0.0%</c:formatCode>
                <c:ptCount val="1"/>
                <c:pt idx="0">
                  <c:v>0.57999999999999996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DA01-474E-B568-E18D8560FD99}"/>
            </c:ext>
          </c:extLst>
        </c:ser>
        <c:ser>
          <c:idx val="3"/>
          <c:order val="3"/>
          <c:tx>
            <c:v>Axis helper</c:v>
          </c:tx>
          <c:spPr>
            <a:noFill/>
            <a:ln w="0">
              <a:solidFill>
                <a:srgbClr val="FFFFFF"/>
              </a:solidFill>
              <a:prstDash val="solid"/>
            </a:ln>
          </c:spPr>
          <c:invertIfNegative val="1"/>
          <c:cat>
            <c:strRef>
              <c:f>'Chart Data'!$A$133</c:f>
              <c:strCache>
                <c:ptCount val="1"/>
                <c:pt idx="0">
                  <c:v>Success rate</c:v>
                </c:pt>
              </c:strCache>
            </c:strRef>
          </c:cat>
          <c:val>
            <c:numRef>
              <c:f>'Chart Data'!$E$133</c:f>
              <c:numCache>
                <c:formatCode>0.0%</c:formatCode>
                <c:ptCount val="1"/>
                <c:pt idx="0">
                  <c:v>0.9</c:v>
                </c:pt>
              </c:numCache>
            </c:numRef>
          </c:val>
          <c:extLst>
            <c:ext xmlns:c16="http://schemas.microsoft.com/office/drawing/2014/chart" uri="{C3380CC4-5D6E-409C-BE32-E72D297353CC}">
              <c16:uniqueId val="{00000003-DA01-474E-B568-E18D8560FD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At val="0"/>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16</xdr:col>
      <xdr:colOff>0</xdr:colOff>
      <xdr:row>3</xdr:row>
      <xdr:rowOff>0</xdr:rowOff>
    </xdr:from>
    <xdr:to>
      <xdr:col>29</xdr:col>
      <xdr:colOff>0</xdr:colOff>
      <xdr:row>24</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10</xdr:col>
      <xdr:colOff>0</xdr:colOff>
      <xdr:row>20</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21</xdr:col>
      <xdr:colOff>0</xdr:colOff>
      <xdr:row>20</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10</xdr:col>
      <xdr:colOff>0</xdr:colOff>
      <xdr:row>39</xdr:row>
      <xdr:rowOff>0</xdr:rowOff>
    </xdr:to>
    <xdr:graphicFrame macro="">
      <xdr:nvGraphicFramePr>
        <xdr:cNvPr id="4" nam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0</xdr:rowOff>
    </xdr:from>
    <xdr:to>
      <xdr:col>21</xdr:col>
      <xdr:colOff>0</xdr:colOff>
      <xdr:row>39</xdr:row>
      <xdr:rowOff>0</xdr:rowOff>
    </xdr:to>
    <xdr:graphicFrame macro="">
      <xdr:nvGraphicFramePr>
        <xdr:cNvPr id="5" name="Char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0</xdr:rowOff>
    </xdr:from>
    <xdr:to>
      <xdr:col>10</xdr:col>
      <xdr:colOff>0</xdr:colOff>
      <xdr:row>58</xdr:row>
      <xdr:rowOff>0</xdr:rowOff>
    </xdr:to>
    <xdr:graphicFrame macro="">
      <xdr:nvGraphicFramePr>
        <xdr:cNvPr id="6" name="Chart">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41</xdr:row>
      <xdr:rowOff>0</xdr:rowOff>
    </xdr:from>
    <xdr:to>
      <xdr:col>21</xdr:col>
      <xdr:colOff>0</xdr:colOff>
      <xdr:row>58</xdr:row>
      <xdr:rowOff>0</xdr:rowOff>
    </xdr:to>
    <xdr:graphicFrame macro="">
      <xdr:nvGraphicFramePr>
        <xdr:cNvPr id="7" name="Chart">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10</xdr:col>
      <xdr:colOff>0</xdr:colOff>
      <xdr:row>20</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21</xdr:col>
      <xdr:colOff>0</xdr:colOff>
      <xdr:row>20</xdr:row>
      <xdr:rowOff>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10</xdr:col>
      <xdr:colOff>0</xdr:colOff>
      <xdr:row>39</xdr:row>
      <xdr:rowOff>0</xdr:rowOff>
    </xdr:to>
    <xdr:graphicFrame macro="">
      <xdr:nvGraphicFramePr>
        <xdr:cNvPr id="4" nam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0</xdr:rowOff>
    </xdr:from>
    <xdr:to>
      <xdr:col>21</xdr:col>
      <xdr:colOff>0</xdr:colOff>
      <xdr:row>39</xdr:row>
      <xdr:rowOff>0</xdr:rowOff>
    </xdr:to>
    <xdr:graphicFrame macro="">
      <xdr:nvGraphicFramePr>
        <xdr:cNvPr id="5" nam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0</xdr:rowOff>
    </xdr:from>
    <xdr:to>
      <xdr:col>10</xdr:col>
      <xdr:colOff>0</xdr:colOff>
      <xdr:row>58</xdr:row>
      <xdr:rowOff>0</xdr:rowOff>
    </xdr:to>
    <xdr:graphicFrame macro="">
      <xdr:nvGraphicFramePr>
        <xdr:cNvPr id="6" name="Chart">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41</xdr:row>
      <xdr:rowOff>0</xdr:rowOff>
    </xdr:from>
    <xdr:to>
      <xdr:col>21</xdr:col>
      <xdr:colOff>0</xdr:colOff>
      <xdr:row>58</xdr:row>
      <xdr:rowOff>0</xdr:rowOff>
    </xdr:to>
    <xdr:graphicFrame macro="">
      <xdr:nvGraphicFramePr>
        <xdr:cNvPr id="7" name="Chart">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onsolidated_Model_Evaluations_with_Custom_Error_Bars.xlsx" TargetMode="External"/><Relationship Id="rId2" Type="http://schemas.openxmlformats.org/officeDocument/2006/relationships/externalLinkPath" Target="/Users/justintiensmith/Documents/Consolidated_Model_Evaluations_with_Custom_Error_Bars.xlsx" TargetMode="External"/><Relationship Id="rId1" Type="http://schemas.openxmlformats.org/officeDocument/2006/relationships/externalLinkPath" Target="/Users/justintiensmith/Documents/Consolidated_Model_Evaluations_with_Custom_Error_Ba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lts"/>
      <sheetName val="Read Me"/>
      <sheetName val="VLA-0"/>
      <sheetName val="GR00T Vision"/>
      <sheetName val="GR00T Full"/>
      <sheetName val="MolmoAct2"/>
      <sheetName val="Pi0.5"/>
      <sheetName val="GR00T Action-Only"/>
      <sheetName val="Analysis Data"/>
      <sheetName val="Task Charts"/>
      <sheetName val="Overall Charts"/>
    </sheetNames>
    <sheetDataSet>
      <sheetData sheetId="0"/>
      <sheetData sheetId="1"/>
      <sheetData sheetId="2"/>
      <sheetData sheetId="3"/>
      <sheetData sheetId="4">
        <row r="27">
          <cell r="A27" t="str">
            <v>Failure</v>
          </cell>
          <cell r="B27" t="str">
            <v>Counting</v>
          </cell>
          <cell r="C27">
            <v>6</v>
          </cell>
          <cell r="D27" t="str">
            <v>Leave exactly three objects in the bowl.</v>
          </cell>
          <cell r="E27" t="str">
            <v>Bowl objects: [yellow block, green pencil sharpener, airplane toy without propellers, blue pen] | Table objects: [none]</v>
          </cell>
          <cell r="F27" t="str">
            <v>REMOVE any one bowl object; finish with 3 objects in the bowl</v>
          </cell>
          <cell r="G27" t="str">
            <v>went to bowl but failed to remove anything</v>
          </cell>
          <cell r="H27" t="str">
            <v>In-distribution concept baseline</v>
          </cell>
          <cell r="I27" t="str">
            <v>ID-F02</v>
          </cell>
          <cell r="J27" t="str">
            <v>In-distribution: three via trained 4→3 removal</v>
          </cell>
          <cell r="L27" t="str">
            <v>893</v>
          </cell>
          <cell r="M27" t="str">
            <v>Exact trained cell: prompt, count transition, and scene-object membership match; physical layout is not copied exactly.</v>
          </cell>
          <cell r="N27">
            <v>1</v>
          </cell>
          <cell r="O27" t="str">
            <v>Recreate the listed bowl/table membership from training episode 893.</v>
          </cell>
          <cell r="P27" t="str">
            <v>Exact trained count transition and scene-object membership. Any object that reaches the requested final count is acceptable.</v>
          </cell>
          <cell r="W27" t="str">
            <v>ID-F02</v>
          </cell>
          <cell r="X27">
            <v>4</v>
          </cell>
          <cell r="Y27">
            <v>3</v>
          </cell>
          <cell r="Z27" t="str">
            <v>REMOVE</v>
          </cell>
          <cell r="AK27" t="str">
            <v>Eval_Counting.xlsm</v>
          </cell>
          <cell r="AL27" t="str">
            <v>GR00T</v>
          </cell>
          <cell r="AM27">
            <v>8</v>
          </cell>
          <cell r="AN27">
            <v>8</v>
          </cell>
        </row>
        <row r="121">
          <cell r="A121" t="str">
            <v>Failure</v>
          </cell>
          <cell r="B121" t="str">
            <v>Counting; 5</v>
          </cell>
          <cell r="C121" t="str">
            <v>Adjust the bowl so that it contains two objects.</v>
          </cell>
          <cell r="D121" t="str">
            <v>Bowl objects: [green pencil sharpener] | Table objects: [yellow block, airplane toy without propellers]</v>
          </cell>
          <cell r="F121">
            <v>859</v>
          </cell>
          <cell r="G121" t="str">
            <v>Exact trained cell: prompt, count transition, and scene-object membership match; physical layout is not copied exactly.</v>
          </cell>
          <cell r="H121" t="str">
            <v>ADD any one table object; finish with 2 objects in the bowl</v>
          </cell>
          <cell r="I121" t="str">
            <v>went to grasp thin air</v>
          </cell>
          <cell r="J121" t="str">
            <v>In-distribution concept baseline</v>
          </cell>
          <cell r="K121" t="str">
            <v>ID-F02</v>
          </cell>
          <cell r="L121" t="str">
            <v>ID-F02</v>
          </cell>
          <cell r="M121">
            <v>1</v>
          </cell>
          <cell r="N121">
            <v>2</v>
          </cell>
          <cell r="O121" t="str">
            <v>ADD</v>
          </cell>
          <cell r="P121" t="str">
            <v>In-distribution: two via trained 1→2 addition</v>
          </cell>
          <cell r="Q121">
            <v>1</v>
          </cell>
          <cell r="R121" t="str">
            <v>Recreate the listed bowl/table membership from training episode 859.</v>
          </cell>
          <cell r="S121" t="str">
            <v>Exact trained count transition and scene-object membership. Any object that reaches the requested final count is acceptable.</v>
          </cell>
        </row>
      </sheetData>
      <sheetData sheetId="5"/>
      <sheetData sheetId="6"/>
      <sheetData sheetId="7"/>
      <sheetData sheetId="8"/>
      <sheetData sheetId="9"/>
      <sheetData sheetId="1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0</v>
    <v>3</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verallResultsTable" displayName="OverallResultsTable" ref="A4:O13" totalsRowShown="0">
  <tableColumns count="15">
    <tableColumn id="1" xr3:uid="{00000000-0010-0000-0000-000001000000}" name="Evaluation track"/>
    <tableColumn id="2" xr3:uid="{00000000-0010-0000-0000-000002000000}" name="Model"/>
    <tableColumn id="3" xr3:uid="{00000000-0010-0000-0000-000003000000}" name="Evaluation scope"/>
    <tableColumn id="4" xr3:uid="{00000000-0010-0000-0000-000004000000}" name="Success"/>
    <tableColumn id="5" xr3:uid="{00000000-0010-0000-0000-000005000000}" name="Failure"/>
    <tableColumn id="6" xr3:uid="{00000000-0010-0000-0000-000006000000}" name="Scored"/>
    <tableColumn id="7" xr3:uid="{00000000-0010-0000-0000-000007000000}" name="Success rate"/>
    <tableColumn id="8" xr3:uid="{00000000-0010-0000-0000-000008000000}" name="CI lower"/>
    <tableColumn id="9" xr3:uid="{00000000-0010-0000-0000-000009000000}" name="CI upper"/>
    <tableColumn id="10" xr3:uid="{00000000-0010-0000-0000-00000A000000}" name="Lower error"/>
    <tableColumn id="11" xr3:uid="{00000000-0010-0000-0000-00000B000000}" name="Upper error"/>
    <tableColumn id="12" xr3:uid="{00000000-0010-0000-0000-00000C000000}" name="Wilson 95% CI"/>
    <tableColumn id="13" xr3:uid="{00000000-0010-0000-0000-00000D000000}" name="Source sheet"/>
    <tableColumn id="14" xr3:uid="{00000000-0010-0000-0000-00000E000000}" name="Source condition(s)"/>
    <tableColumn id="15" xr3:uid="{00000000-0010-0000-0000-00000F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amiliarResultsTable" displayName="FamiliarResultsTable" ref="A4:O34" totalsRowShown="0">
  <tableColumns count="15">
    <tableColumn id="1" xr3:uid="{00000000-0010-0000-0100-000001000000}" name="Task / Track"/>
    <tableColumn id="2" xr3:uid="{00000000-0010-0000-0100-000002000000}" name="Model"/>
    <tableColumn id="3" xr3:uid="{00000000-0010-0000-0100-000003000000}" name="Evaluation scope"/>
    <tableColumn id="4" xr3:uid="{00000000-0010-0000-0100-000004000000}" name="Success"/>
    <tableColumn id="5" xr3:uid="{00000000-0010-0000-0100-000005000000}" name="Failure"/>
    <tableColumn id="6" xr3:uid="{00000000-0010-0000-0100-000006000000}" name="Scored"/>
    <tableColumn id="7" xr3:uid="{00000000-0010-0000-0100-000007000000}" name="Success rate"/>
    <tableColumn id="8" xr3:uid="{00000000-0010-0000-0100-000008000000}" name="CI lower"/>
    <tableColumn id="9" xr3:uid="{00000000-0010-0000-0100-000009000000}" name="CI upper"/>
    <tableColumn id="10" xr3:uid="{00000000-0010-0000-0100-00000A000000}" name="Lower error"/>
    <tableColumn id="11" xr3:uid="{00000000-0010-0000-0100-00000B000000}" name="Upper error"/>
    <tableColumn id="12" xr3:uid="{00000000-0010-0000-0100-00000C000000}" name="Wilson 95% CI"/>
    <tableColumn id="13" xr3:uid="{00000000-0010-0000-0100-00000D000000}" name="Source sheet"/>
    <tableColumn id="14" xr3:uid="{00000000-0010-0000-0100-00000E000000}" name="Source condition(s)"/>
    <tableColumn id="15" xr3:uid="{00000000-0010-0000-0100-00000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ovelResultsTable" displayName="NovelResultsTable" ref="A4:O22" totalsRowShown="0">
  <tableColumns count="15">
    <tableColumn id="1" xr3:uid="{00000000-0010-0000-0200-000001000000}" name="Task / Track"/>
    <tableColumn id="2" xr3:uid="{00000000-0010-0000-0200-000002000000}" name="Model"/>
    <tableColumn id="3" xr3:uid="{00000000-0010-0000-0200-000003000000}" name="Evaluation scope"/>
    <tableColumn id="4" xr3:uid="{00000000-0010-0000-0200-000004000000}" name="Success"/>
    <tableColumn id="5" xr3:uid="{00000000-0010-0000-0200-000005000000}" name="Failure"/>
    <tableColumn id="6" xr3:uid="{00000000-0010-0000-0200-000006000000}" name="Scored"/>
    <tableColumn id="7" xr3:uid="{00000000-0010-0000-0200-000007000000}" name="Success rate"/>
    <tableColumn id="8" xr3:uid="{00000000-0010-0000-0200-000008000000}" name="CI lower"/>
    <tableColumn id="9" xr3:uid="{00000000-0010-0000-0200-000009000000}" name="CI upper"/>
    <tableColumn id="10" xr3:uid="{00000000-0010-0000-0200-00000A000000}" name="Lower error"/>
    <tableColumn id="11" xr3:uid="{00000000-0010-0000-0200-00000B000000}" name="Upper error"/>
    <tableColumn id="12" xr3:uid="{00000000-0010-0000-0200-00000C000000}" name="Wilson 95% CI"/>
    <tableColumn id="13" xr3:uid="{00000000-0010-0000-0200-00000D000000}" name="Source sheet"/>
    <tableColumn id="14" xr3:uid="{00000000-0010-0000-0200-00000E000000}" name="Source condition(s)"/>
    <tableColumn id="15" xr3:uid="{00000000-0010-0000-0200-00000F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tchedResultsTable" displayName="MatchedResultsTable" ref="A4:O22" totalsRowShown="0">
  <tableColumns count="15">
    <tableColumn id="1" xr3:uid="{00000000-0010-0000-0300-000001000000}" name="Task / Track"/>
    <tableColumn id="2" xr3:uid="{00000000-0010-0000-0300-000002000000}" name="Model"/>
    <tableColumn id="3" xr3:uid="{00000000-0010-0000-0300-000003000000}" name="Evaluation scope"/>
    <tableColumn id="4" xr3:uid="{00000000-0010-0000-0300-000004000000}" name="Success"/>
    <tableColumn id="5" xr3:uid="{00000000-0010-0000-0300-000005000000}" name="Failure"/>
    <tableColumn id="6" xr3:uid="{00000000-0010-0000-0300-000006000000}" name="Scored"/>
    <tableColumn id="7" xr3:uid="{00000000-0010-0000-0300-000007000000}" name="Success rate"/>
    <tableColumn id="8" xr3:uid="{00000000-0010-0000-0300-000008000000}" name="CI lower"/>
    <tableColumn id="9" xr3:uid="{00000000-0010-0000-0300-000009000000}" name="CI upper"/>
    <tableColumn id="10" xr3:uid="{00000000-0010-0000-0300-00000A000000}" name="Lower error"/>
    <tableColumn id="11" xr3:uid="{00000000-0010-0000-0300-00000B000000}" name="Upper error"/>
    <tableColumn id="12" xr3:uid="{00000000-0010-0000-0300-00000C000000}" name="Wilson 95% CI"/>
    <tableColumn id="13" xr3:uid="{00000000-0010-0000-0300-00000D000000}" name="Source sheet"/>
    <tableColumn id="14" xr3:uid="{00000000-0010-0000-0300-00000E000000}" name="Source condition(s)"/>
    <tableColumn id="15" xr3:uid="{00000000-0010-0000-0300-00000F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agnosticResultsTable" displayName="DiagnosticResultsTable" ref="A4:O94" totalsRowShown="0">
  <tableColumns count="15">
    <tableColumn id="1" xr3:uid="{00000000-0010-0000-0400-000001000000}" name="Diagnostic / task"/>
    <tableColumn id="2" xr3:uid="{00000000-0010-0000-0400-000002000000}" name="Model"/>
    <tableColumn id="3" xr3:uid="{00000000-0010-0000-0400-000003000000}" name="Evaluation scope"/>
    <tableColumn id="4" xr3:uid="{00000000-0010-0000-0400-000004000000}" name="Success"/>
    <tableColumn id="5" xr3:uid="{00000000-0010-0000-0400-000005000000}" name="Failure"/>
    <tableColumn id="6" xr3:uid="{00000000-0010-0000-0400-000006000000}" name="Scored"/>
    <tableColumn id="7" xr3:uid="{00000000-0010-0000-0400-000007000000}" name="Success rate"/>
    <tableColumn id="8" xr3:uid="{00000000-0010-0000-0400-000008000000}" name="CI lower"/>
    <tableColumn id="9" xr3:uid="{00000000-0010-0000-0400-000009000000}" name="CI upper"/>
    <tableColumn id="10" xr3:uid="{00000000-0010-0000-0400-00000A000000}" name="Lower error"/>
    <tableColumn id="11" xr3:uid="{00000000-0010-0000-0400-00000B000000}" name="Upper error"/>
    <tableColumn id="12" xr3:uid="{00000000-0010-0000-0400-00000C000000}" name="Wilson 95% CI"/>
    <tableColumn id="13" xr3:uid="{00000000-0010-0000-0400-00000D000000}" name="Source sheet"/>
    <tableColumn id="14" xr3:uid="{00000000-0010-0000-0400-00000E000000}" name="Source condition(s)"/>
    <tableColumn id="15" xr3:uid="{00000000-0010-0000-0400-00000F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showGridLines="0" workbookViewId="0">
      <pane ySplit="2" topLeftCell="A3" activePane="bottomLeft" state="frozen"/>
      <selection pane="bottomLeft" sqref="A1:H1"/>
    </sheetView>
  </sheetViews>
  <sheetFormatPr baseColWidth="10" defaultColWidth="8.83203125" defaultRowHeight="14"/>
  <cols>
    <col min="1" max="1" width="25" customWidth="1"/>
    <col min="2" max="2" width="18" customWidth="1"/>
    <col min="3" max="3" width="14" customWidth="1"/>
    <col min="4" max="4" width="31" customWidth="1"/>
    <col min="5" max="5" width="3" customWidth="1"/>
    <col min="6" max="6" width="21" customWidth="1"/>
    <col min="7" max="7" width="45" customWidth="1"/>
    <col min="8" max="8" width="24" customWidth="1"/>
  </cols>
  <sheetData>
    <row r="1" spans="1:8" ht="21.5" customHeight="1">
      <c r="A1" s="15" t="s">
        <v>0</v>
      </c>
      <c r="B1" s="15"/>
      <c r="C1" s="15"/>
      <c r="D1" s="15"/>
      <c r="E1" s="15"/>
      <c r="F1" s="15"/>
      <c r="G1" s="15"/>
      <c r="H1" s="15"/>
    </row>
    <row r="2" spans="1:8" ht="24" customHeight="1">
      <c r="A2" s="16" t="s">
        <v>1</v>
      </c>
      <c r="B2" s="16"/>
      <c r="C2" s="16"/>
      <c r="D2" s="16"/>
      <c r="E2" s="16"/>
      <c r="F2" s="16"/>
      <c r="G2" s="16"/>
      <c r="H2" s="16"/>
    </row>
    <row r="4" spans="1:8" ht="15" customHeight="1">
      <c r="A4" s="3" t="s">
        <v>2</v>
      </c>
      <c r="B4" s="1">
        <v>1.96</v>
      </c>
    </row>
    <row r="5" spans="1:8" ht="15" customHeight="1">
      <c r="A5" s="3" t="s">
        <v>3</v>
      </c>
      <c r="B5" s="2">
        <v>0.95</v>
      </c>
    </row>
    <row r="7" spans="1:8">
      <c r="A7" s="17" t="s">
        <v>4</v>
      </c>
      <c r="B7" s="18"/>
      <c r="C7" s="18"/>
      <c r="D7" s="18"/>
      <c r="E7" s="18"/>
      <c r="F7" s="18"/>
      <c r="G7" s="18"/>
      <c r="H7" s="19"/>
    </row>
    <row r="8" spans="1:8">
      <c r="A8" s="20"/>
      <c r="B8" s="21"/>
      <c r="C8" s="21"/>
      <c r="D8" s="21"/>
      <c r="E8" s="21"/>
      <c r="F8" s="21"/>
      <c r="G8" s="21"/>
      <c r="H8" s="22"/>
    </row>
    <row r="10" spans="1:8" ht="24" customHeight="1">
      <c r="A10" s="4" t="s">
        <v>5</v>
      </c>
      <c r="B10" s="4" t="s">
        <v>6</v>
      </c>
      <c r="C10" s="4" t="s">
        <v>7</v>
      </c>
      <c r="D10" s="4" t="s">
        <v>8</v>
      </c>
      <c r="F10" s="4" t="s">
        <v>9</v>
      </c>
      <c r="G10" s="4" t="s">
        <v>10</v>
      </c>
      <c r="H10" s="4" t="s">
        <v>11</v>
      </c>
    </row>
    <row r="11" spans="1:8" ht="120" customHeight="1">
      <c r="A11" s="5" t="s">
        <v>12</v>
      </c>
      <c r="B11" s="5" t="s">
        <v>13</v>
      </c>
      <c r="C11" s="5" t="s">
        <v>14</v>
      </c>
      <c r="D11" s="5" t="s">
        <v>15</v>
      </c>
      <c r="F11" s="5" t="s">
        <v>16</v>
      </c>
      <c r="G11" s="5" t="s">
        <v>17</v>
      </c>
      <c r="H11" s="5" t="s">
        <v>18</v>
      </c>
    </row>
    <row r="12" spans="1:8" ht="72" customHeight="1">
      <c r="A12" s="5" t="s">
        <v>19</v>
      </c>
      <c r="B12" s="5" t="s">
        <v>20</v>
      </c>
      <c r="C12" s="5" t="s">
        <v>14</v>
      </c>
      <c r="D12" s="5" t="s">
        <v>21</v>
      </c>
      <c r="F12" s="5" t="s">
        <v>22</v>
      </c>
      <c r="G12" s="5" t="s">
        <v>23</v>
      </c>
      <c r="H12" s="5" t="s">
        <v>24</v>
      </c>
    </row>
    <row r="13" spans="1:8" ht="60" customHeight="1">
      <c r="A13" s="5" t="s">
        <v>25</v>
      </c>
      <c r="B13" s="5" t="s">
        <v>26</v>
      </c>
      <c r="C13" s="5" t="s">
        <v>14</v>
      </c>
      <c r="D13" s="5" t="s">
        <v>21</v>
      </c>
      <c r="F13" s="5" t="s">
        <v>27</v>
      </c>
      <c r="G13" s="5" t="s">
        <v>28</v>
      </c>
      <c r="H13" s="5" t="s">
        <v>29</v>
      </c>
    </row>
    <row r="14" spans="1:8" ht="60" customHeight="1">
      <c r="A14" s="5" t="s">
        <v>30</v>
      </c>
      <c r="B14" s="5" t="s">
        <v>26</v>
      </c>
      <c r="C14" s="5" t="s">
        <v>14</v>
      </c>
      <c r="D14" s="5" t="s">
        <v>31</v>
      </c>
      <c r="F14" s="5" t="s">
        <v>32</v>
      </c>
      <c r="G14" s="5" t="s">
        <v>28</v>
      </c>
      <c r="H14" s="5" t="s">
        <v>33</v>
      </c>
    </row>
    <row r="15" spans="1:8" ht="72" customHeight="1">
      <c r="A15" s="5" t="s">
        <v>34</v>
      </c>
      <c r="B15" s="5" t="s">
        <v>35</v>
      </c>
      <c r="C15" s="5" t="s">
        <v>14</v>
      </c>
      <c r="D15" s="5" t="s">
        <v>36</v>
      </c>
      <c r="F15" s="5" t="s">
        <v>37</v>
      </c>
      <c r="G15" s="5" t="s">
        <v>38</v>
      </c>
      <c r="H15" s="5" t="s">
        <v>39</v>
      </c>
    </row>
    <row r="16" spans="1:8" ht="60" customHeight="1">
      <c r="A16" s="5" t="s">
        <v>40</v>
      </c>
      <c r="B16" s="5" t="s">
        <v>41</v>
      </c>
      <c r="C16" s="5" t="s">
        <v>14</v>
      </c>
      <c r="D16" s="5" t="s">
        <v>36</v>
      </c>
      <c r="F16" s="5" t="s">
        <v>42</v>
      </c>
      <c r="G16" s="5" t="s">
        <v>43</v>
      </c>
      <c r="H16" s="5" t="s">
        <v>44</v>
      </c>
    </row>
    <row r="17" spans="1:8" ht="84" customHeight="1">
      <c r="A17" s="5" t="s">
        <v>45</v>
      </c>
      <c r="B17" s="5" t="s">
        <v>46</v>
      </c>
      <c r="C17" s="5" t="s">
        <v>14</v>
      </c>
      <c r="D17" s="5" t="s">
        <v>47</v>
      </c>
      <c r="F17" s="5" t="s">
        <v>48</v>
      </c>
      <c r="G17" s="5" t="s">
        <v>49</v>
      </c>
      <c r="H17" s="5" t="s">
        <v>50</v>
      </c>
    </row>
    <row r="18" spans="1:8" ht="72" customHeight="1">
      <c r="A18" s="5" t="s">
        <v>51</v>
      </c>
      <c r="B18" s="5" t="s">
        <v>52</v>
      </c>
      <c r="C18" s="5" t="s">
        <v>53</v>
      </c>
      <c r="D18" s="5" t="s">
        <v>54</v>
      </c>
      <c r="F18" s="5" t="s">
        <v>55</v>
      </c>
      <c r="G18" s="5" t="s">
        <v>56</v>
      </c>
      <c r="H18" s="5" t="s">
        <v>50</v>
      </c>
    </row>
    <row r="19" spans="1:8" ht="72" customHeight="1">
      <c r="A19" s="5" t="s">
        <v>57</v>
      </c>
      <c r="B19" s="5" t="s">
        <v>58</v>
      </c>
      <c r="C19" s="5" t="s">
        <v>59</v>
      </c>
      <c r="D19" s="5" t="s">
        <v>60</v>
      </c>
    </row>
    <row r="20" spans="1:8" ht="84" customHeight="1">
      <c r="A20" s="5" t="s">
        <v>61</v>
      </c>
      <c r="B20" s="5" t="s">
        <v>62</v>
      </c>
      <c r="C20" s="5" t="s">
        <v>53</v>
      </c>
      <c r="D20" s="5" t="s">
        <v>63</v>
      </c>
    </row>
    <row r="22" spans="1:8">
      <c r="A22" s="23" t="s">
        <v>64</v>
      </c>
      <c r="B22" s="24"/>
      <c r="C22" s="24"/>
      <c r="D22" s="24"/>
      <c r="E22" s="24"/>
      <c r="F22" s="24"/>
      <c r="G22" s="24"/>
      <c r="H22" s="25"/>
    </row>
    <row r="23" spans="1:8">
      <c r="A23" s="26"/>
      <c r="B23" s="27"/>
      <c r="C23" s="27"/>
      <c r="D23" s="27"/>
      <c r="E23" s="27"/>
      <c r="F23" s="27"/>
      <c r="G23" s="27"/>
      <c r="H23" s="28"/>
    </row>
    <row r="25" spans="1:8">
      <c r="A25" s="29" t="s">
        <v>65</v>
      </c>
      <c r="B25" s="29"/>
      <c r="C25" s="29"/>
      <c r="D25" s="29"/>
      <c r="E25" s="29"/>
      <c r="F25" s="29"/>
      <c r="G25" s="29"/>
      <c r="H25" s="29"/>
    </row>
    <row r="26" spans="1:8">
      <c r="A26" s="29"/>
      <c r="B26" s="29"/>
      <c r="C26" s="29"/>
      <c r="D26" s="29"/>
      <c r="E26" s="29"/>
      <c r="F26" s="29"/>
      <c r="G26" s="29"/>
      <c r="H26" s="29"/>
    </row>
  </sheetData>
  <mergeCells count="5">
    <mergeCell ref="A1:H1"/>
    <mergeCell ref="A2:H2"/>
    <mergeCell ref="A7:H8"/>
    <mergeCell ref="A22:H23"/>
    <mergeCell ref="A25: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
  <sheetViews>
    <sheetView showGridLines="0" workbookViewId="0">
      <pane xSplit="2" ySplit="4" topLeftCell="C5" activePane="bottomRight" state="frozen"/>
      <selection pane="topRight"/>
      <selection pane="bottomLeft"/>
      <selection pane="bottomRight" sqref="A1:XFD1048576"/>
    </sheetView>
  </sheetViews>
  <sheetFormatPr baseColWidth="10" defaultColWidth="8.83203125" defaultRowHeight="14"/>
  <cols>
    <col min="1" max="1" width="31" customWidth="1"/>
    <col min="2" max="2" width="23" customWidth="1"/>
    <col min="3" max="3" width="21" customWidth="1"/>
    <col min="4" max="6" width="10" customWidth="1"/>
    <col min="7" max="11" width="13" customWidth="1"/>
    <col min="12" max="12" width="24" customWidth="1"/>
    <col min="13" max="13" width="18" customWidth="1"/>
    <col min="14" max="14" width="38" customWidth="1"/>
    <col min="15" max="15" width="45" customWidth="1"/>
  </cols>
  <sheetData>
    <row r="1" spans="1:29" ht="30" customHeight="1">
      <c r="A1" s="15" t="s">
        <v>66</v>
      </c>
      <c r="B1" s="15"/>
      <c r="C1" s="15"/>
      <c r="D1" s="15"/>
      <c r="E1" s="15"/>
      <c r="F1" s="15"/>
      <c r="G1" s="15"/>
      <c r="H1" s="15"/>
      <c r="I1" s="15"/>
      <c r="J1" s="15"/>
      <c r="K1" s="15"/>
      <c r="L1" s="15"/>
      <c r="M1" s="15"/>
      <c r="N1" s="15"/>
      <c r="O1" s="15"/>
      <c r="P1" s="14"/>
      <c r="Q1" s="14"/>
      <c r="R1" s="14"/>
      <c r="S1" s="14"/>
      <c r="T1" s="14"/>
      <c r="U1" s="14"/>
      <c r="V1" s="14"/>
      <c r="W1" s="14"/>
      <c r="X1" s="14"/>
      <c r="Y1" s="14"/>
      <c r="Z1" s="14"/>
      <c r="AA1" s="14"/>
      <c r="AB1" s="14"/>
      <c r="AC1" s="14"/>
    </row>
    <row r="2" spans="1:29" ht="32" customHeight="1">
      <c r="A2" s="16" t="s">
        <v>67</v>
      </c>
      <c r="B2" s="16"/>
      <c r="C2" s="16"/>
      <c r="D2" s="16"/>
      <c r="E2" s="16"/>
      <c r="F2" s="16"/>
      <c r="G2" s="16"/>
      <c r="H2" s="16"/>
      <c r="I2" s="16"/>
      <c r="J2" s="16"/>
      <c r="K2" s="16"/>
      <c r="L2" s="16"/>
      <c r="M2" s="16"/>
      <c r="N2" s="16"/>
      <c r="O2" s="16"/>
      <c r="P2" s="14"/>
      <c r="Q2" s="14"/>
      <c r="R2" s="14"/>
      <c r="S2" s="14"/>
      <c r="T2" s="14"/>
      <c r="U2" s="14"/>
      <c r="V2" s="14"/>
      <c r="W2" s="14"/>
      <c r="X2" s="14"/>
      <c r="Y2" s="14"/>
      <c r="Z2" s="14"/>
      <c r="AA2" s="14"/>
      <c r="AB2" s="14"/>
      <c r="AC2" s="14"/>
    </row>
    <row r="4" spans="1:29" ht="36" customHeight="1">
      <c r="A4" s="4" t="s">
        <v>68</v>
      </c>
      <c r="B4" s="4" t="s">
        <v>69</v>
      </c>
      <c r="C4" s="4" t="s">
        <v>70</v>
      </c>
      <c r="D4" s="4" t="s">
        <v>71</v>
      </c>
      <c r="E4" s="4" t="s">
        <v>72</v>
      </c>
      <c r="F4" s="4" t="s">
        <v>73</v>
      </c>
      <c r="G4" s="4" t="s">
        <v>74</v>
      </c>
      <c r="H4" s="4" t="s">
        <v>75</v>
      </c>
      <c r="I4" s="4" t="s">
        <v>76</v>
      </c>
      <c r="J4" s="4" t="s">
        <v>77</v>
      </c>
      <c r="K4" s="4" t="s">
        <v>78</v>
      </c>
      <c r="L4" s="4" t="s">
        <v>79</v>
      </c>
      <c r="M4" s="4" t="s">
        <v>80</v>
      </c>
      <c r="N4" s="4" t="s">
        <v>81</v>
      </c>
      <c r="O4" s="4" t="s">
        <v>82</v>
      </c>
    </row>
    <row r="5" spans="1:29" ht="84" customHeight="1">
      <c r="A5" s="6" t="s">
        <v>83</v>
      </c>
      <c r="B5" s="6" t="s">
        <v>84</v>
      </c>
      <c r="C5" s="6" t="s">
        <v>85</v>
      </c>
      <c r="D5" s="8">
        <v>156</v>
      </c>
      <c r="E5" s="8">
        <v>144</v>
      </c>
      <c r="F5" s="8">
        <f t="shared" ref="F5:F13" si="0">D5+E5</f>
        <v>300</v>
      </c>
      <c r="G5" s="7">
        <f t="shared" ref="G5:G13" si="1">IF(F5=0,"",D5/F5)</f>
        <v>0.52</v>
      </c>
      <c r="H5" s="7">
        <f>IF(F5=0,"",MAX(0,(G5+Guide!$B$4^2/(2*F5))/(1+Guide!$B$4^2/F5)-Guide!$B$4*SQRT(G5*(1-G5)/F5+Guide!$B$4^2/(4*F5^2))/(1+Guide!$B$4^2/F5)))</f>
        <v>0.46357005360167935</v>
      </c>
      <c r="I5" s="7">
        <f>IF(F5=0,"",MIN(1,(G5+Guide!$B$4^2/(2*F5))/(1+Guide!$B$4^2/F5)+Guide!$B$4*SQRT(G5*(1-G5)/F5+Guide!$B$4^2/(4*F5^2))/(1+Guide!$B$4^2/F5)))</f>
        <v>0.57592420919841136</v>
      </c>
      <c r="J5" s="7">
        <f t="shared" ref="J5:J13" si="2">IF(F5=0,"",G5-H5)</f>
        <v>5.6429946398320663E-2</v>
      </c>
      <c r="K5" s="7">
        <f t="shared" ref="K5:K13" si="3">IF(F5=0,"",I5-G5)</f>
        <v>5.5924209198411345E-2</v>
      </c>
      <c r="L5" s="6" t="str">
        <f t="shared" ref="L5:L13" si="4">IF(F5=0,"",TEXT(G5,"0.0%")&amp;" ["&amp;TEXT(H5,"0.0%")&amp;"–"&amp;TEXT(I5,"0.0%")&amp;"]")</f>
        <v>52.0% [46.4%–57.6%]</v>
      </c>
      <c r="M5" s="6" t="s">
        <v>84</v>
      </c>
      <c r="N5" s="6" t="s">
        <v>86</v>
      </c>
      <c r="O5" s="6" t="s">
        <v>87</v>
      </c>
    </row>
    <row r="6" spans="1:29" ht="84" customHeight="1">
      <c r="A6" s="6" t="s">
        <v>83</v>
      </c>
      <c r="B6" s="6" t="s">
        <v>88</v>
      </c>
      <c r="C6" s="6" t="s">
        <v>85</v>
      </c>
      <c r="D6" s="8">
        <v>122</v>
      </c>
      <c r="E6" s="8">
        <v>178</v>
      </c>
      <c r="F6" s="8">
        <f t="shared" si="0"/>
        <v>300</v>
      </c>
      <c r="G6" s="7">
        <f t="shared" si="1"/>
        <v>0.40666666666666668</v>
      </c>
      <c r="H6" s="7">
        <f>IF(F6=0,"",MAX(0,(G6+Guide!$B$4^2/(2*F6))/(1+Guide!$B$4^2/F6)-Guide!$B$4*SQRT(G6*(1-G6)/F6+Guide!$B$4^2/(4*F6^2))/(1+Guide!$B$4^2/F6)))</f>
        <v>0.35260079990292059</v>
      </c>
      <c r="I6" s="7">
        <f>IF(F6=0,"",MIN(1,(G6+Guide!$B$4^2/(2*F6))/(1+Guide!$B$4^2/F6)+Guide!$B$4*SQRT(G6*(1-G6)/F6+Guide!$B$4^2/(4*F6^2))/(1+Guide!$B$4^2/F6)))</f>
        <v>0.46309264036332343</v>
      </c>
      <c r="J6" s="7">
        <f t="shared" si="2"/>
        <v>5.4065866763746084E-2</v>
      </c>
      <c r="K6" s="7">
        <f t="shared" si="3"/>
        <v>5.642597369665675E-2</v>
      </c>
      <c r="L6" s="6" t="str">
        <f t="shared" si="4"/>
        <v>40.7% [35.3%–46.3%]</v>
      </c>
      <c r="M6" s="6" t="s">
        <v>89</v>
      </c>
      <c r="N6" s="6" t="s">
        <v>86</v>
      </c>
      <c r="O6" s="6" t="s">
        <v>87</v>
      </c>
    </row>
    <row r="7" spans="1:29" ht="84" customHeight="1">
      <c r="A7" s="6" t="s">
        <v>83</v>
      </c>
      <c r="B7" s="6" t="s">
        <v>90</v>
      </c>
      <c r="C7" s="6" t="s">
        <v>85</v>
      </c>
      <c r="D7" s="8">
        <v>133</v>
      </c>
      <c r="E7" s="8">
        <v>167</v>
      </c>
      <c r="F7" s="8">
        <f t="shared" si="0"/>
        <v>300</v>
      </c>
      <c r="G7" s="7">
        <f t="shared" si="1"/>
        <v>0.44333333333333336</v>
      </c>
      <c r="H7" s="7">
        <f>IF(F7=0,"",MAX(0,(G7+Guide!$B$4^2/(2*F7))/(1+Guide!$B$4^2/F7)-Guide!$B$4*SQRT(G7*(1-G7)/F7+Guide!$B$4^2/(4*F7^2))/(1+Guide!$B$4^2/F7)))</f>
        <v>0.38818592986274902</v>
      </c>
      <c r="I7" s="7">
        <f>IF(F7=0,"",MIN(1,(G7+Guide!$B$4^2/(2*F7))/(1+Guide!$B$4^2/F7)+Guide!$B$4*SQRT(G7*(1-G7)/F7+Guide!$B$4^2/(4*F7^2))/(1+Guide!$B$4^2/F7)))</f>
        <v>0.49991365887032768</v>
      </c>
      <c r="J7" s="7">
        <f t="shared" si="2"/>
        <v>5.5147403470584333E-2</v>
      </c>
      <c r="K7" s="7">
        <f t="shared" si="3"/>
        <v>5.6580325536994325E-2</v>
      </c>
      <c r="L7" s="6" t="str">
        <f t="shared" si="4"/>
        <v>44.3% [38.8%–50.0%]</v>
      </c>
      <c r="M7" s="6" t="s">
        <v>90</v>
      </c>
      <c r="N7" s="6" t="s">
        <v>86</v>
      </c>
      <c r="O7" s="6" t="s">
        <v>87</v>
      </c>
    </row>
    <row r="8" spans="1:29" ht="84" customHeight="1">
      <c r="A8" s="6" t="s">
        <v>91</v>
      </c>
      <c r="B8" s="6" t="s">
        <v>84</v>
      </c>
      <c r="C8" s="6" t="s">
        <v>85</v>
      </c>
      <c r="D8" s="8">
        <v>87</v>
      </c>
      <c r="E8" s="8">
        <v>33</v>
      </c>
      <c r="F8" s="8">
        <f t="shared" si="0"/>
        <v>120</v>
      </c>
      <c r="G8" s="7">
        <f t="shared" si="1"/>
        <v>0.72499999999999998</v>
      </c>
      <c r="H8" s="7">
        <f>IF(F8=0,"",MAX(0,(G8+Guide!$B$4^2/(2*F8))/(1+Guide!$B$4^2/F8)-Guide!$B$4*SQRT(G8*(1-G8)/F8+Guide!$B$4^2/(4*F8^2))/(1+Guide!$B$4^2/F8)))</f>
        <v>0.6390686764395932</v>
      </c>
      <c r="I8" s="7">
        <f>IF(F8=0,"",MIN(1,(G8+Guide!$B$4^2/(2*F8))/(1+Guide!$B$4^2/F8)+Guide!$B$4*SQRT(G8*(1-G8)/F8+Guide!$B$4^2/(4*F8^2))/(1+Guide!$B$4^2/F8)))</f>
        <v>0.79697220158523852</v>
      </c>
      <c r="J8" s="7">
        <f t="shared" si="2"/>
        <v>8.593132356040678E-2</v>
      </c>
      <c r="K8" s="7">
        <f t="shared" si="3"/>
        <v>7.1972201585238538E-2</v>
      </c>
      <c r="L8" s="6" t="str">
        <f t="shared" si="4"/>
        <v>72.5% [63.9%–79.7%]</v>
      </c>
      <c r="M8" s="6" t="s">
        <v>84</v>
      </c>
      <c r="N8" s="6" t="s">
        <v>92</v>
      </c>
      <c r="O8" s="6" t="s">
        <v>93</v>
      </c>
    </row>
    <row r="9" spans="1:29" ht="84" customHeight="1">
      <c r="A9" s="6" t="s">
        <v>91</v>
      </c>
      <c r="B9" s="6" t="s">
        <v>88</v>
      </c>
      <c r="C9" s="6" t="s">
        <v>85</v>
      </c>
      <c r="D9" s="8">
        <v>82</v>
      </c>
      <c r="E9" s="8">
        <v>38</v>
      </c>
      <c r="F9" s="8">
        <f t="shared" si="0"/>
        <v>120</v>
      </c>
      <c r="G9" s="7">
        <f t="shared" si="1"/>
        <v>0.68333333333333335</v>
      </c>
      <c r="H9" s="7">
        <f>IF(F9=0,"",MAX(0,(G9+Guide!$B$4^2/(2*F9))/(1+Guide!$B$4^2/F9)-Guide!$B$4*SQRT(G9*(1-G9)/F9+Guide!$B$4^2/(4*F9^2))/(1+Guide!$B$4^2/F9)))</f>
        <v>0.59551964654165201</v>
      </c>
      <c r="I9" s="7">
        <f>IF(F9=0,"",MIN(1,(G9+Guide!$B$4^2/(2*F9))/(1+Guide!$B$4^2/F9)+Guide!$B$4*SQRT(G9*(1-G9)/F9+Guide!$B$4^2/(4*F9^2))/(1+Guide!$B$4^2/F9)))</f>
        <v>0.75977292073784064</v>
      </c>
      <c r="J9" s="7">
        <f t="shared" si="2"/>
        <v>8.7813686791681334E-2</v>
      </c>
      <c r="K9" s="7">
        <f t="shared" si="3"/>
        <v>7.6439587404507292E-2</v>
      </c>
      <c r="L9" s="6" t="str">
        <f t="shared" si="4"/>
        <v>68.3% [59.6%–76.0%]</v>
      </c>
      <c r="M9" s="6" t="s">
        <v>89</v>
      </c>
      <c r="N9" s="6" t="s">
        <v>92</v>
      </c>
      <c r="O9" s="6" t="s">
        <v>93</v>
      </c>
    </row>
    <row r="10" spans="1:29" ht="84" customHeight="1">
      <c r="A10" s="6" t="s">
        <v>91</v>
      </c>
      <c r="B10" s="6" t="s">
        <v>90</v>
      </c>
      <c r="C10" s="6" t="s">
        <v>85</v>
      </c>
      <c r="D10" s="8">
        <v>81</v>
      </c>
      <c r="E10" s="8">
        <v>39</v>
      </c>
      <c r="F10" s="8">
        <f t="shared" si="0"/>
        <v>120</v>
      </c>
      <c r="G10" s="7">
        <f t="shared" si="1"/>
        <v>0.67500000000000004</v>
      </c>
      <c r="H10" s="7">
        <f>IF(F10=0,"",MAX(0,(G10+Guide!$B$4^2/(2*F10))/(1+Guide!$B$4^2/F10)-Guide!$B$4*SQRT(G10*(1-G10)/F10+Guide!$B$4^2/(4*F10^2))/(1+Guide!$B$4^2/F10)))</f>
        <v>0.58690016921877908</v>
      </c>
      <c r="I10" s="7">
        <f>IF(F10=0,"",MIN(1,(G10+Guide!$B$4^2/(2*F10))/(1+Guide!$B$4^2/F10)+Guide!$B$4*SQRT(G10*(1-G10)/F10+Guide!$B$4^2/(4*F10^2))/(1+Guide!$B$4^2/F10)))</f>
        <v>0.75224273591164581</v>
      </c>
      <c r="J10" s="7">
        <f t="shared" si="2"/>
        <v>8.8099830781220967E-2</v>
      </c>
      <c r="K10" s="7">
        <f t="shared" si="3"/>
        <v>7.7242735911645766E-2</v>
      </c>
      <c r="L10" s="6" t="str">
        <f t="shared" si="4"/>
        <v>67.5% [58.7%–75.2%]</v>
      </c>
      <c r="M10" s="6" t="s">
        <v>90</v>
      </c>
      <c r="N10" s="6" t="s">
        <v>92</v>
      </c>
      <c r="O10" s="6" t="s">
        <v>93</v>
      </c>
    </row>
    <row r="11" spans="1:29" ht="108" customHeight="1">
      <c r="A11" s="6" t="s">
        <v>94</v>
      </c>
      <c r="B11" s="6" t="s">
        <v>84</v>
      </c>
      <c r="C11" s="6" t="s">
        <v>85</v>
      </c>
      <c r="D11" s="8">
        <v>107</v>
      </c>
      <c r="E11" s="8">
        <v>13</v>
      </c>
      <c r="F11" s="8">
        <f t="shared" si="0"/>
        <v>120</v>
      </c>
      <c r="G11" s="7">
        <f t="shared" si="1"/>
        <v>0.89166666666666672</v>
      </c>
      <c r="H11" s="7">
        <f>IF(F11=0,"",MAX(0,(G11+Guide!$B$4^2/(2*F11))/(1+Guide!$B$4^2/F11)-Guide!$B$4*SQRT(G11*(1-G11)/F11+Guide!$B$4^2/(4*F11^2))/(1+Guide!$B$4^2/F11)))</f>
        <v>0.82344491994726132</v>
      </c>
      <c r="I11" s="7">
        <f>IF(F11=0,"",MIN(1,(G11+Guide!$B$4^2/(2*F11))/(1+Guide!$B$4^2/F11)+Guide!$B$4*SQRT(G11*(1-G11)/F11+Guide!$B$4^2/(4*F11^2))/(1+Guide!$B$4^2/F11)))</f>
        <v>0.93558920105892751</v>
      </c>
      <c r="J11" s="7">
        <f t="shared" si="2"/>
        <v>6.8221746719405396E-2</v>
      </c>
      <c r="K11" s="7">
        <f t="shared" si="3"/>
        <v>4.3922534392260792E-2</v>
      </c>
      <c r="L11" s="6" t="str">
        <f t="shared" si="4"/>
        <v>89.2% [82.3%–93.6%]</v>
      </c>
      <c r="M11" s="6" t="s">
        <v>84</v>
      </c>
      <c r="N11" s="6" t="s">
        <v>95</v>
      </c>
      <c r="O11" s="6" t="s">
        <v>96</v>
      </c>
    </row>
    <row r="12" spans="1:29" ht="108" customHeight="1">
      <c r="A12" s="6" t="s">
        <v>94</v>
      </c>
      <c r="B12" s="6" t="s">
        <v>88</v>
      </c>
      <c r="C12" s="6" t="s">
        <v>85</v>
      </c>
      <c r="D12" s="8">
        <v>100</v>
      </c>
      <c r="E12" s="8">
        <v>20</v>
      </c>
      <c r="F12" s="8">
        <f t="shared" si="0"/>
        <v>120</v>
      </c>
      <c r="G12" s="7">
        <f t="shared" si="1"/>
        <v>0.83333333333333337</v>
      </c>
      <c r="H12" s="7">
        <f>IF(F12=0,"",MAX(0,(G12+Guide!$B$4^2/(2*F12))/(1+Guide!$B$4^2/F12)-Guide!$B$4*SQRT(G12*(1-G12)/F12+Guide!$B$4^2/(4*F12^2))/(1+Guide!$B$4^2/F12)))</f>
        <v>0.75654560608976196</v>
      </c>
      <c r="I12" s="7">
        <f>IF(F12=0,"",MIN(1,(G12+Guide!$B$4^2/(2*F12))/(1+Guide!$B$4^2/F12)+Guide!$B$4*SQRT(G12*(1-G12)/F12+Guide!$B$4^2/(4*F12^2))/(1+Guide!$B$4^2/F12)))</f>
        <v>0.88944087987295184</v>
      </c>
      <c r="J12" s="7">
        <f t="shared" si="2"/>
        <v>7.6787727243571413E-2</v>
      </c>
      <c r="K12" s="7">
        <f t="shared" si="3"/>
        <v>5.6107546539618469E-2</v>
      </c>
      <c r="L12" s="6" t="str">
        <f t="shared" si="4"/>
        <v>83.3% [75.7%–88.9%]</v>
      </c>
      <c r="M12" s="6" t="s">
        <v>89</v>
      </c>
      <c r="N12" s="6" t="s">
        <v>95</v>
      </c>
      <c r="O12" s="6" t="s">
        <v>96</v>
      </c>
    </row>
    <row r="13" spans="1:29" ht="108" customHeight="1">
      <c r="A13" s="6" t="s">
        <v>94</v>
      </c>
      <c r="B13" s="6" t="s">
        <v>90</v>
      </c>
      <c r="C13" s="6" t="s">
        <v>85</v>
      </c>
      <c r="D13" s="8">
        <v>98</v>
      </c>
      <c r="E13" s="8">
        <v>22</v>
      </c>
      <c r="F13" s="8">
        <f t="shared" si="0"/>
        <v>120</v>
      </c>
      <c r="G13" s="7">
        <f t="shared" si="1"/>
        <v>0.81666666666666665</v>
      </c>
      <c r="H13" s="7">
        <f>IF(F13=0,"",MAX(0,(G13+Guide!$B$4^2/(2*F13))/(1+Guide!$B$4^2/F13)-Guide!$B$4*SQRT(G13*(1-G13)/F13+Guide!$B$4^2/(4*F13^2))/(1+Guide!$B$4^2/F13)))</f>
        <v>0.73798926410676335</v>
      </c>
      <c r="I13" s="7">
        <f>IF(F13=0,"",MIN(1,(G13+Guide!$B$4^2/(2*F13))/(1+Guide!$B$4^2/F13)+Guide!$B$4*SQRT(G13*(1-G13)/F13+Guide!$B$4^2/(4*F13^2))/(1+Guide!$B$4^2/F13)))</f>
        <v>0.87569789755781469</v>
      </c>
      <c r="J13" s="7">
        <f t="shared" si="2"/>
        <v>7.8677402559903298E-2</v>
      </c>
      <c r="K13" s="7">
        <f t="shared" si="3"/>
        <v>5.9031230891148034E-2</v>
      </c>
      <c r="L13" s="6" t="str">
        <f t="shared" si="4"/>
        <v>81.7% [73.8%–87.6%]</v>
      </c>
      <c r="M13" s="6" t="s">
        <v>90</v>
      </c>
      <c r="N13" s="6" t="s">
        <v>95</v>
      </c>
      <c r="O13" s="6" t="s">
        <v>96</v>
      </c>
    </row>
  </sheetData>
  <mergeCells count="2">
    <mergeCell ref="A1:O1"/>
    <mergeCell ref="A2:O2"/>
  </mergeCells>
  <conditionalFormatting sqref="A5:O13">
    <cfRule type="expression" dxfId="4" priority="1">
      <formula>$C5="Partial familiar-only baseline"</formula>
    </cfRule>
  </conditionalFormatting>
  <conditionalFormatting sqref="G5:G13">
    <cfRule type="dataBar" priority="2">
      <dataBar>
        <cfvo type="num" val="0"/>
        <cfvo type="num" val="1"/>
        <color rgb="FF2F67E8"/>
      </dataBar>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4"/>
  <sheetViews>
    <sheetView showGridLines="0" workbookViewId="0">
      <pane xSplit="2" ySplit="4" topLeftCell="C18" activePane="bottomRight" state="frozen"/>
      <selection pane="topRight"/>
      <selection pane="bottomLeft"/>
      <selection pane="bottomRight" activeCell="C5" sqref="C5"/>
    </sheetView>
  </sheetViews>
  <sheetFormatPr baseColWidth="10" defaultColWidth="8.83203125" defaultRowHeight="14"/>
  <cols>
    <col min="1" max="1" width="31" customWidth="1"/>
    <col min="2" max="2" width="23" customWidth="1"/>
    <col min="3" max="3" width="21" customWidth="1"/>
    <col min="4" max="6" width="10" customWidth="1"/>
    <col min="7" max="11" width="13" customWidth="1"/>
    <col min="12" max="12" width="24" customWidth="1"/>
    <col min="13" max="13" width="18" customWidth="1"/>
    <col min="14" max="14" width="38" customWidth="1"/>
    <col min="15" max="15" width="45" customWidth="1"/>
  </cols>
  <sheetData>
    <row r="1" spans="1:29" ht="30" customHeight="1">
      <c r="A1" s="15" t="s">
        <v>97</v>
      </c>
      <c r="B1" s="15"/>
      <c r="C1" s="15"/>
      <c r="D1" s="15"/>
      <c r="E1" s="15"/>
      <c r="F1" s="15"/>
      <c r="G1" s="15"/>
      <c r="H1" s="15"/>
      <c r="I1" s="15"/>
      <c r="J1" s="15"/>
      <c r="K1" s="15"/>
      <c r="L1" s="15"/>
      <c r="M1" s="15"/>
      <c r="N1" s="15"/>
      <c r="O1" s="15"/>
      <c r="P1" s="14"/>
      <c r="Q1" s="14"/>
      <c r="R1" s="14"/>
      <c r="S1" s="14"/>
      <c r="T1" s="14"/>
      <c r="U1" s="14"/>
      <c r="V1" s="14"/>
      <c r="W1" s="14"/>
      <c r="X1" s="14"/>
      <c r="Y1" s="14"/>
      <c r="Z1" s="14"/>
      <c r="AA1" s="14"/>
      <c r="AB1" s="14"/>
      <c r="AC1" s="14"/>
    </row>
    <row r="2" spans="1:29" ht="32" customHeight="1">
      <c r="A2" s="16" t="s">
        <v>98</v>
      </c>
      <c r="B2" s="16"/>
      <c r="C2" s="16"/>
      <c r="D2" s="16"/>
      <c r="E2" s="16"/>
      <c r="F2" s="16"/>
      <c r="G2" s="16"/>
      <c r="H2" s="16"/>
      <c r="I2" s="16"/>
      <c r="J2" s="16"/>
      <c r="K2" s="16"/>
      <c r="L2" s="16"/>
      <c r="M2" s="16"/>
      <c r="N2" s="16"/>
      <c r="O2" s="16"/>
      <c r="P2" s="14"/>
      <c r="Q2" s="14"/>
      <c r="R2" s="14"/>
      <c r="S2" s="14"/>
      <c r="T2" s="14"/>
      <c r="U2" s="14"/>
      <c r="V2" s="14"/>
      <c r="W2" s="14"/>
      <c r="X2" s="14"/>
      <c r="Y2" s="14"/>
      <c r="Z2" s="14"/>
      <c r="AA2" s="14"/>
      <c r="AB2" s="14"/>
      <c r="AC2" s="14"/>
    </row>
    <row r="4" spans="1:29" ht="36" customHeight="1">
      <c r="A4" s="4" t="s">
        <v>99</v>
      </c>
      <c r="B4" s="4" t="s">
        <v>69</v>
      </c>
      <c r="C4" s="4" t="s">
        <v>70</v>
      </c>
      <c r="D4" s="4" t="s">
        <v>71</v>
      </c>
      <c r="E4" s="4" t="s">
        <v>72</v>
      </c>
      <c r="F4" s="4" t="s">
        <v>73</v>
      </c>
      <c r="G4" s="4" t="s">
        <v>74</v>
      </c>
      <c r="H4" s="4" t="s">
        <v>75</v>
      </c>
      <c r="I4" s="4" t="s">
        <v>76</v>
      </c>
      <c r="J4" s="4" t="s">
        <v>77</v>
      </c>
      <c r="K4" s="4" t="s">
        <v>78</v>
      </c>
      <c r="L4" s="4" t="s">
        <v>79</v>
      </c>
      <c r="M4" s="4" t="s">
        <v>80</v>
      </c>
      <c r="N4" s="4" t="s">
        <v>81</v>
      </c>
      <c r="O4" s="4" t="s">
        <v>82</v>
      </c>
    </row>
    <row r="5" spans="1:29" ht="36" customHeight="1">
      <c r="A5" s="6" t="s">
        <v>100</v>
      </c>
      <c r="B5" s="6" t="s">
        <v>84</v>
      </c>
      <c r="C5" s="6" t="s">
        <v>85</v>
      </c>
      <c r="D5" s="8">
        <v>18</v>
      </c>
      <c r="E5" s="8">
        <v>2</v>
      </c>
      <c r="F5" s="8">
        <f t="shared" ref="F5:F34" si="0">D5+E5</f>
        <v>20</v>
      </c>
      <c r="G5" s="7">
        <f t="shared" ref="G5:G34" si="1">IF(F5=0,"",D5/F5)</f>
        <v>0.9</v>
      </c>
      <c r="H5" s="7">
        <f>IF(F5=0,"",MAX(0,(G5+Guide!$B$4^2/(2*F5))/(1+Guide!$B$4^2/F5)-Guide!$B$4*SQRT(G5*(1-G5)/F5+Guide!$B$4^2/(4*F5^2))/(1+Guide!$B$4^2/F5)))</f>
        <v>0.69896179358820665</v>
      </c>
      <c r="I5" s="7">
        <f>IF(F5=0,"",MIN(1,(G5+Guide!$B$4^2/(2*F5))/(1+Guide!$B$4^2/F5)+Guide!$B$4*SQRT(G5*(1-G5)/F5+Guide!$B$4^2/(4*F5^2))/(1+Guide!$B$4^2/F5)))</f>
        <v>0.97213410601584682</v>
      </c>
      <c r="J5" s="7">
        <f t="shared" ref="J5:J34" si="2">IF(F5=0,"",G5-H5)</f>
        <v>0.20103820641179337</v>
      </c>
      <c r="K5" s="7">
        <f t="shared" ref="K5:K34" si="3">IF(F5=0,"",I5-G5)</f>
        <v>7.2134106015846799E-2</v>
      </c>
      <c r="L5" s="6" t="str">
        <f t="shared" ref="L5:L34" si="4">IF(F5=0,"",TEXT(G5,"0.0%")&amp;" ["&amp;TEXT(H5,"0.0%")&amp;"–"&amp;TEXT(I5,"0.0%")&amp;"]")</f>
        <v>90.0% [69.9%–97.2%]</v>
      </c>
      <c r="M5" s="6" t="s">
        <v>84</v>
      </c>
      <c r="N5" s="6" t="s">
        <v>92</v>
      </c>
      <c r="O5" s="6"/>
    </row>
    <row r="6" spans="1:29" ht="36" customHeight="1">
      <c r="A6" s="6" t="s">
        <v>100</v>
      </c>
      <c r="B6" s="6" t="s">
        <v>88</v>
      </c>
      <c r="C6" s="6" t="s">
        <v>85</v>
      </c>
      <c r="D6" s="8">
        <v>16</v>
      </c>
      <c r="E6" s="8">
        <v>4</v>
      </c>
      <c r="F6" s="8">
        <f t="shared" si="0"/>
        <v>20</v>
      </c>
      <c r="G6" s="7">
        <f t="shared" si="1"/>
        <v>0.8</v>
      </c>
      <c r="H6" s="7">
        <f>IF(F6=0,"",MAX(0,(G6+Guide!$B$4^2/(2*F6))/(1+Guide!$B$4^2/F6)-Guide!$B$4*SQRT(G6*(1-G6)/F6+Guide!$B$4^2/(4*F6^2))/(1+Guide!$B$4^2/F6)))</f>
        <v>0.58397827797424007</v>
      </c>
      <c r="I6" s="7">
        <f>IF(F6=0,"",MIN(1,(G6+Guide!$B$4^2/(2*F6))/(1+Guide!$B$4^2/F6)+Guide!$B$4*SQRT(G6*(1-G6)/F6+Guide!$B$4^2/(4*F6^2))/(1+Guide!$B$4^2/F6)))</f>
        <v>0.91934364672879998</v>
      </c>
      <c r="J6" s="7">
        <f t="shared" si="2"/>
        <v>0.21602172202575998</v>
      </c>
      <c r="K6" s="7">
        <f t="shared" si="3"/>
        <v>0.11934364672879993</v>
      </c>
      <c r="L6" s="6" t="str">
        <f t="shared" si="4"/>
        <v>80.0% [58.4%–91.9%]</v>
      </c>
      <c r="M6" s="6" t="s">
        <v>89</v>
      </c>
      <c r="N6" s="6" t="s">
        <v>92</v>
      </c>
      <c r="O6" s="6"/>
    </row>
    <row r="7" spans="1:29" ht="84" customHeight="1">
      <c r="A7" s="6" t="s">
        <v>100</v>
      </c>
      <c r="B7" s="6" t="s">
        <v>101</v>
      </c>
      <c r="C7" s="6" t="s">
        <v>102</v>
      </c>
      <c r="D7" s="8">
        <v>0</v>
      </c>
      <c r="E7" s="8">
        <v>10</v>
      </c>
      <c r="F7" s="8">
        <f t="shared" si="0"/>
        <v>10</v>
      </c>
      <c r="G7" s="7">
        <f t="shared" si="1"/>
        <v>0</v>
      </c>
      <c r="H7" s="7">
        <f>IF(F7=0,"",MAX(0,(G7+Guide!$B$4^2/(2*F7))/(1+Guide!$B$4^2/F7)-Guide!$B$4*SQRT(G7*(1-G7)/F7+Guide!$B$4^2/(4*F7^2))/(1+Guide!$B$4^2/F7)))</f>
        <v>0</v>
      </c>
      <c r="I7" s="7">
        <f>IF(F7=0,"",MIN(1,(G7+Guide!$B$4^2/(2*F7))/(1+Guide!$B$4^2/F7)+Guide!$B$4*SQRT(G7*(1-G7)/F7+Guide!$B$4^2/(4*F7^2))/(1+Guide!$B$4^2/F7)))</f>
        <v>0.27754016876661658</v>
      </c>
      <c r="J7" s="7">
        <f t="shared" si="2"/>
        <v>0</v>
      </c>
      <c r="K7" s="7">
        <f t="shared" si="3"/>
        <v>0.27754016876661658</v>
      </c>
      <c r="L7" s="6" t="str">
        <f t="shared" si="4"/>
        <v>0.0% [0.0%–27.8%]</v>
      </c>
      <c r="M7" s="6" t="s">
        <v>101</v>
      </c>
      <c r="N7" s="6" t="s">
        <v>92</v>
      </c>
      <c r="O7" s="6" t="s">
        <v>103</v>
      </c>
    </row>
    <row r="8" spans="1:29" ht="84" customHeight="1">
      <c r="A8" s="6" t="s">
        <v>100</v>
      </c>
      <c r="B8" s="6" t="s">
        <v>104</v>
      </c>
      <c r="C8" s="6" t="s">
        <v>102</v>
      </c>
      <c r="D8" s="8">
        <v>4</v>
      </c>
      <c r="E8" s="8">
        <v>16</v>
      </c>
      <c r="F8" s="8">
        <f t="shared" si="0"/>
        <v>20</v>
      </c>
      <c r="G8" s="7">
        <f t="shared" si="1"/>
        <v>0.2</v>
      </c>
      <c r="H8" s="7">
        <f>IF(F8=0,"",MAX(0,(G8+Guide!$B$4^2/(2*F8))/(1+Guide!$B$4^2/F8)-Guide!$B$4*SQRT(G8*(1-G8)/F8+Guide!$B$4^2/(4*F8^2))/(1+Guide!$B$4^2/F8)))</f>
        <v>8.0656353271199993E-2</v>
      </c>
      <c r="I8" s="7">
        <f>IF(F8=0,"",MIN(1,(G8+Guide!$B$4^2/(2*F8))/(1+Guide!$B$4^2/F8)+Guide!$B$4*SQRT(G8*(1-G8)/F8+Guide!$B$4^2/(4*F8^2))/(1+Guide!$B$4^2/F8)))</f>
        <v>0.41602172202575993</v>
      </c>
      <c r="J8" s="7">
        <f t="shared" si="2"/>
        <v>0.11934364672880002</v>
      </c>
      <c r="K8" s="7">
        <f t="shared" si="3"/>
        <v>0.21602172202575992</v>
      </c>
      <c r="L8" s="6" t="str">
        <f t="shared" si="4"/>
        <v>20.0% [8.1%–41.6%]</v>
      </c>
      <c r="M8" s="6" t="s">
        <v>105</v>
      </c>
      <c r="N8" s="6" t="s">
        <v>92</v>
      </c>
      <c r="O8" s="6" t="s">
        <v>103</v>
      </c>
    </row>
    <row r="9" spans="1:29" ht="36" customHeight="1">
      <c r="A9" s="6" t="s">
        <v>100</v>
      </c>
      <c r="B9" s="6" t="s">
        <v>90</v>
      </c>
      <c r="C9" s="6" t="s">
        <v>85</v>
      </c>
      <c r="D9" s="8">
        <v>17</v>
      </c>
      <c r="E9" s="8">
        <v>3</v>
      </c>
      <c r="F9" s="8">
        <f t="shared" si="0"/>
        <v>20</v>
      </c>
      <c r="G9" s="7">
        <f t="shared" si="1"/>
        <v>0.85</v>
      </c>
      <c r="H9" s="7">
        <f>IF(F9=0,"",MAX(0,(G9+Guide!$B$4^2/(2*F9))/(1+Guide!$B$4^2/F9)-Guide!$B$4*SQRT(G9*(1-G9)/F9+Guide!$B$4^2/(4*F9^2))/(1+Guide!$B$4^2/F9)))</f>
        <v>0.63957670411304257</v>
      </c>
      <c r="I9" s="7">
        <f>IF(F9=0,"",MIN(1,(G9+Guide!$B$4^2/(2*F9))/(1+Guide!$B$4^2/F9)+Guide!$B$4*SQRT(G9*(1-G9)/F9+Guide!$B$4^2/(4*F9^2))/(1+Guide!$B$4^2/F9)))</f>
        <v>0.94763220804050408</v>
      </c>
      <c r="J9" s="7">
        <f t="shared" si="2"/>
        <v>0.21042329588695741</v>
      </c>
      <c r="K9" s="7">
        <f t="shared" si="3"/>
        <v>9.7632208040504098E-2</v>
      </c>
      <c r="L9" s="6" t="str">
        <f t="shared" si="4"/>
        <v>85.0% [64.0%–94.8%]</v>
      </c>
      <c r="M9" s="6" t="s">
        <v>90</v>
      </c>
      <c r="N9" s="6" t="s">
        <v>92</v>
      </c>
      <c r="O9" s="6"/>
    </row>
    <row r="10" spans="1:29" ht="36" customHeight="1">
      <c r="A10" s="6" t="s">
        <v>106</v>
      </c>
      <c r="B10" s="6" t="s">
        <v>84</v>
      </c>
      <c r="C10" s="6" t="s">
        <v>85</v>
      </c>
      <c r="D10" s="8">
        <v>12</v>
      </c>
      <c r="E10" s="8">
        <v>8</v>
      </c>
      <c r="F10" s="8">
        <f t="shared" si="0"/>
        <v>20</v>
      </c>
      <c r="G10" s="7">
        <f t="shared" si="1"/>
        <v>0.6</v>
      </c>
      <c r="H10" s="7">
        <f>IF(F10=0,"",MAX(0,(G10+Guide!$B$4^2/(2*F10))/(1+Guide!$B$4^2/F10)-Guide!$B$4*SQRT(G10*(1-G10)/F10+Guide!$B$4^2/(4*F10^2))/(1+Guide!$B$4^2/F10)))</f>
        <v>0.38657794231520609</v>
      </c>
      <c r="I10" s="7">
        <f>IF(F10=0,"",MIN(1,(G10+Guide!$B$4^2/(2*F10))/(1+Guide!$B$4^2/F10)+Guide!$B$4*SQRT(G10*(1-G10)/F10+Guide!$B$4^2/(4*F10^2))/(1+Guide!$B$4^2/F10)))</f>
        <v>0.78119603258580739</v>
      </c>
      <c r="J10" s="7">
        <f t="shared" si="2"/>
        <v>0.21342205768479389</v>
      </c>
      <c r="K10" s="7">
        <f t="shared" si="3"/>
        <v>0.18119603258580741</v>
      </c>
      <c r="L10" s="6" t="str">
        <f t="shared" si="4"/>
        <v>60.0% [38.7%–78.1%]</v>
      </c>
      <c r="M10" s="6" t="s">
        <v>84</v>
      </c>
      <c r="N10" s="6" t="s">
        <v>92</v>
      </c>
      <c r="O10" s="6"/>
    </row>
    <row r="11" spans="1:29" ht="36" customHeight="1">
      <c r="A11" s="6" t="s">
        <v>106</v>
      </c>
      <c r="B11" s="6" t="s">
        <v>88</v>
      </c>
      <c r="C11" s="6" t="s">
        <v>85</v>
      </c>
      <c r="D11" s="8">
        <v>11</v>
      </c>
      <c r="E11" s="8">
        <v>9</v>
      </c>
      <c r="F11" s="8">
        <f t="shared" si="0"/>
        <v>20</v>
      </c>
      <c r="G11" s="7">
        <f t="shared" si="1"/>
        <v>0.55000000000000004</v>
      </c>
      <c r="H11" s="7">
        <f>IF(F11=0,"",MAX(0,(G11+Guide!$B$4^2/(2*F11))/(1+Guide!$B$4^2/F11)-Guide!$B$4*SQRT(G11*(1-G11)/F11+Guide!$B$4^2/(4*F11^2))/(1+Guide!$B$4^2/F11)))</f>
        <v>0.34208200830759972</v>
      </c>
      <c r="I11" s="7">
        <f>IF(F11=0,"",MIN(1,(G11+Guide!$B$4^2/(2*F11))/(1+Guide!$B$4^2/F11)+Guide!$B$4*SQRT(G11*(1-G11)/F11+Guide!$B$4^2/(4*F11^2))/(1+Guide!$B$4^2/F11)))</f>
        <v>0.74180497914290711</v>
      </c>
      <c r="J11" s="7">
        <f t="shared" si="2"/>
        <v>0.20791799169240033</v>
      </c>
      <c r="K11" s="7">
        <f t="shared" si="3"/>
        <v>0.19180497914290706</v>
      </c>
      <c r="L11" s="6" t="str">
        <f t="shared" si="4"/>
        <v>55.0% [34.2%–74.2%]</v>
      </c>
      <c r="M11" s="6" t="s">
        <v>89</v>
      </c>
      <c r="N11" s="6" t="s">
        <v>92</v>
      </c>
      <c r="O11" s="6"/>
    </row>
    <row r="12" spans="1:29" ht="84" customHeight="1">
      <c r="A12" s="6" t="s">
        <v>106</v>
      </c>
      <c r="B12" s="6" t="s">
        <v>101</v>
      </c>
      <c r="C12" s="6" t="s">
        <v>102</v>
      </c>
      <c r="D12" s="8">
        <v>0</v>
      </c>
      <c r="E12" s="8">
        <v>10</v>
      </c>
      <c r="F12" s="8">
        <f t="shared" si="0"/>
        <v>10</v>
      </c>
      <c r="G12" s="7">
        <f t="shared" si="1"/>
        <v>0</v>
      </c>
      <c r="H12" s="7">
        <f>IF(F12=0,"",MAX(0,(G12+Guide!$B$4^2/(2*F12))/(1+Guide!$B$4^2/F12)-Guide!$B$4*SQRT(G12*(1-G12)/F12+Guide!$B$4^2/(4*F12^2))/(1+Guide!$B$4^2/F12)))</f>
        <v>0</v>
      </c>
      <c r="I12" s="7">
        <f>IF(F12=0,"",MIN(1,(G12+Guide!$B$4^2/(2*F12))/(1+Guide!$B$4^2/F12)+Guide!$B$4*SQRT(G12*(1-G12)/F12+Guide!$B$4^2/(4*F12^2))/(1+Guide!$B$4^2/F12)))</f>
        <v>0.27754016876661658</v>
      </c>
      <c r="J12" s="7">
        <f t="shared" si="2"/>
        <v>0</v>
      </c>
      <c r="K12" s="7">
        <f t="shared" si="3"/>
        <v>0.27754016876661658</v>
      </c>
      <c r="L12" s="6" t="str">
        <f t="shared" si="4"/>
        <v>0.0% [0.0%–27.8%]</v>
      </c>
      <c r="M12" s="6" t="s">
        <v>101</v>
      </c>
      <c r="N12" s="6" t="s">
        <v>92</v>
      </c>
      <c r="O12" s="6" t="s">
        <v>103</v>
      </c>
    </row>
    <row r="13" spans="1:29" ht="84" customHeight="1">
      <c r="A13" s="6" t="s">
        <v>106</v>
      </c>
      <c r="B13" s="6" t="s">
        <v>104</v>
      </c>
      <c r="C13" s="6" t="s">
        <v>102</v>
      </c>
      <c r="D13" s="8">
        <v>7</v>
      </c>
      <c r="E13" s="8">
        <v>12</v>
      </c>
      <c r="F13" s="8">
        <f t="shared" si="0"/>
        <v>19</v>
      </c>
      <c r="G13" s="7">
        <f t="shared" si="1"/>
        <v>0.36842105263157893</v>
      </c>
      <c r="H13" s="7">
        <f>IF(F13=0,"",MAX(0,(G13+Guide!$B$4^2/(2*F13))/(1+Guide!$B$4^2/F13)-Guide!$B$4*SQRT(G13*(1-G13)/F13+Guide!$B$4^2/(4*F13^2))/(1+Guide!$B$4^2/F13)))</f>
        <v>0.19149272376273843</v>
      </c>
      <c r="I13" s="7">
        <f>IF(F13=0,"",MIN(1,(G13+Guide!$B$4^2/(2*F13))/(1+Guide!$B$4^2/F13)+Guide!$B$4*SQRT(G13*(1-G13)/F13+Guide!$B$4^2/(4*F13^2))/(1+Guide!$B$4^2/F13)))</f>
        <v>0.5896084250184328</v>
      </c>
      <c r="J13" s="7">
        <f t="shared" si="2"/>
        <v>0.1769283288688405</v>
      </c>
      <c r="K13" s="7">
        <f t="shared" si="3"/>
        <v>0.22118737238685388</v>
      </c>
      <c r="L13" s="6" t="str">
        <f t="shared" si="4"/>
        <v>36.8% [19.1%–59.0%]</v>
      </c>
      <c r="M13" s="6" t="s">
        <v>105</v>
      </c>
      <c r="N13" s="6" t="s">
        <v>92</v>
      </c>
      <c r="O13" s="6" t="s">
        <v>103</v>
      </c>
    </row>
    <row r="14" spans="1:29" ht="36" customHeight="1">
      <c r="A14" s="6" t="s">
        <v>106</v>
      </c>
      <c r="B14" s="6" t="s">
        <v>90</v>
      </c>
      <c r="C14" s="6" t="s">
        <v>85</v>
      </c>
      <c r="D14" s="8">
        <v>12</v>
      </c>
      <c r="E14" s="8">
        <v>8</v>
      </c>
      <c r="F14" s="8">
        <f t="shared" si="0"/>
        <v>20</v>
      </c>
      <c r="G14" s="7">
        <f t="shared" si="1"/>
        <v>0.6</v>
      </c>
      <c r="H14" s="7">
        <f>IF(F14=0,"",MAX(0,(G14+Guide!$B$4^2/(2*F14))/(1+Guide!$B$4^2/F14)-Guide!$B$4*SQRT(G14*(1-G14)/F14+Guide!$B$4^2/(4*F14^2))/(1+Guide!$B$4^2/F14)))</f>
        <v>0.38657794231520609</v>
      </c>
      <c r="I14" s="7">
        <f>IF(F14=0,"",MIN(1,(G14+Guide!$B$4^2/(2*F14))/(1+Guide!$B$4^2/F14)+Guide!$B$4*SQRT(G14*(1-G14)/F14+Guide!$B$4^2/(4*F14^2))/(1+Guide!$B$4^2/F14)))</f>
        <v>0.78119603258580739</v>
      </c>
      <c r="J14" s="7">
        <f t="shared" si="2"/>
        <v>0.21342205768479389</v>
      </c>
      <c r="K14" s="7">
        <f t="shared" si="3"/>
        <v>0.18119603258580741</v>
      </c>
      <c r="L14" s="6" t="str">
        <f t="shared" si="4"/>
        <v>60.0% [38.7%–78.1%]</v>
      </c>
      <c r="M14" s="6" t="s">
        <v>90</v>
      </c>
      <c r="N14" s="6" t="s">
        <v>92</v>
      </c>
      <c r="O14" s="6"/>
    </row>
    <row r="15" spans="1:29" ht="36" customHeight="1">
      <c r="A15" s="6" t="s">
        <v>107</v>
      </c>
      <c r="B15" s="6" t="s">
        <v>84</v>
      </c>
      <c r="C15" s="6" t="s">
        <v>85</v>
      </c>
      <c r="D15" s="8">
        <v>10</v>
      </c>
      <c r="E15" s="8">
        <v>10</v>
      </c>
      <c r="F15" s="8">
        <f t="shared" si="0"/>
        <v>20</v>
      </c>
      <c r="G15" s="7">
        <f t="shared" si="1"/>
        <v>0.5</v>
      </c>
      <c r="H15" s="7">
        <f>IF(F15=0,"",MAX(0,(G15+Guide!$B$4^2/(2*F15))/(1+Guide!$B$4^2/F15)-Guide!$B$4*SQRT(G15*(1-G15)/F15+Guide!$B$4^2/(4*F15^2))/(1+Guide!$B$4^2/F15)))</f>
        <v>0.29929491442981992</v>
      </c>
      <c r="I15" s="7">
        <f>IF(F15=0,"",MIN(1,(G15+Guide!$B$4^2/(2*F15))/(1+Guide!$B$4^2/F15)+Guide!$B$4*SQRT(G15*(1-G15)/F15+Guide!$B$4^2/(4*F15^2))/(1+Guide!$B$4^2/F15)))</f>
        <v>0.70070508557018008</v>
      </c>
      <c r="J15" s="7">
        <f t="shared" si="2"/>
        <v>0.20070508557018008</v>
      </c>
      <c r="K15" s="7">
        <f t="shared" si="3"/>
        <v>0.20070508557018008</v>
      </c>
      <c r="L15" s="6" t="str">
        <f t="shared" si="4"/>
        <v>50.0% [29.9%–70.1%]</v>
      </c>
      <c r="M15" s="6" t="s">
        <v>84</v>
      </c>
      <c r="N15" s="6" t="s">
        <v>92</v>
      </c>
      <c r="O15" s="6"/>
    </row>
    <row r="16" spans="1:29" ht="36" customHeight="1">
      <c r="A16" s="6" t="s">
        <v>107</v>
      </c>
      <c r="B16" s="6" t="s">
        <v>88</v>
      </c>
      <c r="C16" s="6" t="s">
        <v>85</v>
      </c>
      <c r="D16" s="8">
        <v>7</v>
      </c>
      <c r="E16" s="8">
        <v>13</v>
      </c>
      <c r="F16" s="8">
        <f t="shared" si="0"/>
        <v>20</v>
      </c>
      <c r="G16" s="7">
        <f t="shared" si="1"/>
        <v>0.35</v>
      </c>
      <c r="H16" s="7">
        <f>IF(F16=0,"",MAX(0,(G16+Guide!$B$4^2/(2*F16))/(1+Guide!$B$4^2/F16)-Guide!$B$4*SQRT(G16*(1-G16)/F16+Guide!$B$4^2/(4*F16^2))/(1+Guide!$B$4^2/F16)))</f>
        <v>0.18118954786794464</v>
      </c>
      <c r="I16" s="7">
        <f>IF(F16=0,"",MIN(1,(G16+Guide!$B$4^2/(2*F16))/(1+Guide!$B$4^2/F16)+Guide!$B$4*SQRT(G16*(1-G16)/F16+Guide!$B$4^2/(4*F16^2))/(1+Guide!$B$4^2/F16)))</f>
        <v>0.56714948978053537</v>
      </c>
      <c r="J16" s="7">
        <f t="shared" si="2"/>
        <v>0.16881045213205534</v>
      </c>
      <c r="K16" s="7">
        <f t="shared" si="3"/>
        <v>0.21714948978053539</v>
      </c>
      <c r="L16" s="6" t="str">
        <f t="shared" si="4"/>
        <v>35.0% [18.1%–56.7%]</v>
      </c>
      <c r="M16" s="6" t="s">
        <v>89</v>
      </c>
      <c r="N16" s="6" t="s">
        <v>92</v>
      </c>
      <c r="O16" s="6"/>
    </row>
    <row r="17" spans="1:15" ht="84" customHeight="1">
      <c r="A17" s="6" t="s">
        <v>107</v>
      </c>
      <c r="B17" s="6" t="s">
        <v>101</v>
      </c>
      <c r="C17" s="6" t="s">
        <v>102</v>
      </c>
      <c r="D17" s="8">
        <v>0</v>
      </c>
      <c r="E17" s="8">
        <v>10</v>
      </c>
      <c r="F17" s="8">
        <f t="shared" si="0"/>
        <v>10</v>
      </c>
      <c r="G17" s="7">
        <f t="shared" si="1"/>
        <v>0</v>
      </c>
      <c r="H17" s="7">
        <f>IF(F17=0,"",MAX(0,(G17+Guide!$B$4^2/(2*F17))/(1+Guide!$B$4^2/F17)-Guide!$B$4*SQRT(G17*(1-G17)/F17+Guide!$B$4^2/(4*F17^2))/(1+Guide!$B$4^2/F17)))</f>
        <v>0</v>
      </c>
      <c r="I17" s="7">
        <f>IF(F17=0,"",MIN(1,(G17+Guide!$B$4^2/(2*F17))/(1+Guide!$B$4^2/F17)+Guide!$B$4*SQRT(G17*(1-G17)/F17+Guide!$B$4^2/(4*F17^2))/(1+Guide!$B$4^2/F17)))</f>
        <v>0.27754016876661658</v>
      </c>
      <c r="J17" s="7">
        <f t="shared" si="2"/>
        <v>0</v>
      </c>
      <c r="K17" s="7">
        <f t="shared" si="3"/>
        <v>0.27754016876661658</v>
      </c>
      <c r="L17" s="6" t="str">
        <f t="shared" si="4"/>
        <v>0.0% [0.0%–27.8%]</v>
      </c>
      <c r="M17" s="6" t="s">
        <v>101</v>
      </c>
      <c r="N17" s="6" t="s">
        <v>92</v>
      </c>
      <c r="O17" s="6" t="s">
        <v>103</v>
      </c>
    </row>
    <row r="18" spans="1:15" ht="84" customHeight="1">
      <c r="A18" s="6" t="s">
        <v>107</v>
      </c>
      <c r="B18" s="6" t="s">
        <v>104</v>
      </c>
      <c r="C18" s="6" t="s">
        <v>102</v>
      </c>
      <c r="D18" s="8">
        <v>3</v>
      </c>
      <c r="E18" s="8">
        <v>17</v>
      </c>
      <c r="F18" s="8">
        <f t="shared" si="0"/>
        <v>20</v>
      </c>
      <c r="G18" s="7">
        <f t="shared" si="1"/>
        <v>0.15</v>
      </c>
      <c r="H18" s="7">
        <f>IF(F18=0,"",MAX(0,(G18+Guide!$B$4^2/(2*F18))/(1+Guide!$B$4^2/F18)-Guide!$B$4*SQRT(G18*(1-G18)/F18+Guide!$B$4^2/(4*F18^2))/(1+Guide!$B$4^2/F18)))</f>
        <v>5.2367791959495841E-2</v>
      </c>
      <c r="I18" s="7">
        <f>IF(F18=0,"",MIN(1,(G18+Guide!$B$4^2/(2*F18))/(1+Guide!$B$4^2/F18)+Guide!$B$4*SQRT(G18*(1-G18)/F18+Guide!$B$4^2/(4*F18^2))/(1+Guide!$B$4^2/F18)))</f>
        <v>0.36042329588695743</v>
      </c>
      <c r="J18" s="7">
        <f t="shared" si="2"/>
        <v>9.7632208040504154E-2</v>
      </c>
      <c r="K18" s="7">
        <f t="shared" si="3"/>
        <v>0.21042329588695743</v>
      </c>
      <c r="L18" s="6" t="str">
        <f t="shared" si="4"/>
        <v>15.0% [5.2%–36.0%]</v>
      </c>
      <c r="M18" s="6" t="s">
        <v>105</v>
      </c>
      <c r="N18" s="6" t="s">
        <v>92</v>
      </c>
      <c r="O18" s="6" t="s">
        <v>103</v>
      </c>
    </row>
    <row r="19" spans="1:15" ht="36" customHeight="1">
      <c r="A19" s="6" t="s">
        <v>107</v>
      </c>
      <c r="B19" s="6" t="s">
        <v>90</v>
      </c>
      <c r="C19" s="6" t="s">
        <v>85</v>
      </c>
      <c r="D19" s="8">
        <v>9</v>
      </c>
      <c r="E19" s="8">
        <v>11</v>
      </c>
      <c r="F19" s="8">
        <f t="shared" si="0"/>
        <v>20</v>
      </c>
      <c r="G19" s="7">
        <f t="shared" si="1"/>
        <v>0.45</v>
      </c>
      <c r="H19" s="7">
        <f>IF(F19=0,"",MAX(0,(G19+Guide!$B$4^2/(2*F19))/(1+Guide!$B$4^2/F19)-Guide!$B$4*SQRT(G19*(1-G19)/F19+Guide!$B$4^2/(4*F19^2))/(1+Guide!$B$4^2/F19)))</f>
        <v>0.25819502085709295</v>
      </c>
      <c r="I19" s="7">
        <f>IF(F19=0,"",MIN(1,(G19+Guide!$B$4^2/(2*F19))/(1+Guide!$B$4^2/F19)+Guide!$B$4*SQRT(G19*(1-G19)/F19+Guide!$B$4^2/(4*F19^2))/(1+Guide!$B$4^2/F19)))</f>
        <v>0.65791799169240028</v>
      </c>
      <c r="J19" s="7">
        <f t="shared" si="2"/>
        <v>0.19180497914290706</v>
      </c>
      <c r="K19" s="7">
        <f t="shared" si="3"/>
        <v>0.20791799169240027</v>
      </c>
      <c r="L19" s="6" t="str">
        <f t="shared" si="4"/>
        <v>45.0% [25.8%–65.8%]</v>
      </c>
      <c r="M19" s="6" t="s">
        <v>90</v>
      </c>
      <c r="N19" s="6" t="s">
        <v>92</v>
      </c>
      <c r="O19" s="6"/>
    </row>
    <row r="20" spans="1:15" ht="36" customHeight="1">
      <c r="A20" s="6" t="s">
        <v>108</v>
      </c>
      <c r="B20" s="6" t="s">
        <v>84</v>
      </c>
      <c r="C20" s="6" t="s">
        <v>85</v>
      </c>
      <c r="D20" s="8">
        <v>16</v>
      </c>
      <c r="E20" s="8">
        <v>4</v>
      </c>
      <c r="F20" s="8">
        <f t="shared" si="0"/>
        <v>20</v>
      </c>
      <c r="G20" s="7">
        <f t="shared" si="1"/>
        <v>0.8</v>
      </c>
      <c r="H20" s="7">
        <f>IF(F20=0,"",MAX(0,(G20+Guide!$B$4^2/(2*F20))/(1+Guide!$B$4^2/F20)-Guide!$B$4*SQRT(G20*(1-G20)/F20+Guide!$B$4^2/(4*F20^2))/(1+Guide!$B$4^2/F20)))</f>
        <v>0.58397827797424007</v>
      </c>
      <c r="I20" s="7">
        <f>IF(F20=0,"",MIN(1,(G20+Guide!$B$4^2/(2*F20))/(1+Guide!$B$4^2/F20)+Guide!$B$4*SQRT(G20*(1-G20)/F20+Guide!$B$4^2/(4*F20^2))/(1+Guide!$B$4^2/F20)))</f>
        <v>0.91934364672879998</v>
      </c>
      <c r="J20" s="7">
        <f t="shared" si="2"/>
        <v>0.21602172202575998</v>
      </c>
      <c r="K20" s="7">
        <f t="shared" si="3"/>
        <v>0.11934364672879993</v>
      </c>
      <c r="L20" s="6" t="str">
        <f t="shared" si="4"/>
        <v>80.0% [58.4%–91.9%]</v>
      </c>
      <c r="M20" s="6" t="s">
        <v>84</v>
      </c>
      <c r="N20" s="6" t="s">
        <v>92</v>
      </c>
      <c r="O20" s="6"/>
    </row>
    <row r="21" spans="1:15" ht="36" customHeight="1">
      <c r="A21" s="6" t="s">
        <v>108</v>
      </c>
      <c r="B21" s="6" t="s">
        <v>88</v>
      </c>
      <c r="C21" s="6" t="s">
        <v>85</v>
      </c>
      <c r="D21" s="8">
        <v>13</v>
      </c>
      <c r="E21" s="8">
        <v>7</v>
      </c>
      <c r="F21" s="8">
        <f t="shared" si="0"/>
        <v>20</v>
      </c>
      <c r="G21" s="7">
        <f t="shared" si="1"/>
        <v>0.65</v>
      </c>
      <c r="H21" s="7">
        <f>IF(F21=0,"",MAX(0,(G21+Guide!$B$4^2/(2*F21))/(1+Guide!$B$4^2/F21)-Guide!$B$4*SQRT(G21*(1-G21)/F21+Guide!$B$4^2/(4*F21^2))/(1+Guide!$B$4^2/F21)))</f>
        <v>0.43285051021946463</v>
      </c>
      <c r="I21" s="7">
        <f>IF(F21=0,"",MIN(1,(G21+Guide!$B$4^2/(2*F21))/(1+Guide!$B$4^2/F21)+Guide!$B$4*SQRT(G21*(1-G21)/F21+Guide!$B$4^2/(4*F21^2))/(1+Guide!$B$4^2/F21)))</f>
        <v>0.81881045213205539</v>
      </c>
      <c r="J21" s="7">
        <f t="shared" si="2"/>
        <v>0.21714948978053539</v>
      </c>
      <c r="K21" s="7">
        <f t="shared" si="3"/>
        <v>0.16881045213205537</v>
      </c>
      <c r="L21" s="6" t="str">
        <f t="shared" si="4"/>
        <v>65.0% [43.3%–81.9%]</v>
      </c>
      <c r="M21" s="6" t="s">
        <v>89</v>
      </c>
      <c r="N21" s="6" t="s">
        <v>92</v>
      </c>
      <c r="O21" s="6"/>
    </row>
    <row r="22" spans="1:15" ht="84" customHeight="1">
      <c r="A22" s="6" t="s">
        <v>108</v>
      </c>
      <c r="B22" s="6" t="s">
        <v>101</v>
      </c>
      <c r="C22" s="6" t="s">
        <v>102</v>
      </c>
      <c r="D22" s="8">
        <v>0</v>
      </c>
      <c r="E22" s="8">
        <v>12</v>
      </c>
      <c r="F22" s="8">
        <f t="shared" si="0"/>
        <v>12</v>
      </c>
      <c r="G22" s="7">
        <f t="shared" si="1"/>
        <v>0</v>
      </c>
      <c r="H22" s="7">
        <f>IF(F22=0,"",MAX(0,(G22+Guide!$B$4^2/(2*F22))/(1+Guide!$B$4^2/F22)-Guide!$B$4*SQRT(G22*(1-G22)/F22+Guide!$B$4^2/(4*F22^2))/(1+Guide!$B$4^2/F22)))</f>
        <v>0</v>
      </c>
      <c r="I22" s="7">
        <f>IF(F22=0,"",MIN(1,(G22+Guide!$B$4^2/(2*F22))/(1+Guide!$B$4^2/F22)+Guide!$B$4*SQRT(G22*(1-G22)/F22+Guide!$B$4^2/(4*F22^2))/(1+Guide!$B$4^2/F22)))</f>
        <v>0.24250075749924249</v>
      </c>
      <c r="J22" s="7">
        <f t="shared" si="2"/>
        <v>0</v>
      </c>
      <c r="K22" s="7">
        <f t="shared" si="3"/>
        <v>0.24250075749924249</v>
      </c>
      <c r="L22" s="6" t="str">
        <f t="shared" si="4"/>
        <v>0.0% [0.0%–24.3%]</v>
      </c>
      <c r="M22" s="6" t="s">
        <v>101</v>
      </c>
      <c r="N22" s="6" t="s">
        <v>92</v>
      </c>
      <c r="O22" s="6" t="s">
        <v>103</v>
      </c>
    </row>
    <row r="23" spans="1:15" ht="84" customHeight="1">
      <c r="A23" s="6" t="s">
        <v>108</v>
      </c>
      <c r="B23" s="6" t="s">
        <v>104</v>
      </c>
      <c r="C23" s="6" t="s">
        <v>102</v>
      </c>
      <c r="D23" s="8">
        <v>0</v>
      </c>
      <c r="E23" s="8">
        <v>20</v>
      </c>
      <c r="F23" s="8">
        <f t="shared" si="0"/>
        <v>20</v>
      </c>
      <c r="G23" s="7">
        <f t="shared" si="1"/>
        <v>0</v>
      </c>
      <c r="H23" s="7">
        <f>IF(F23=0,"",MAX(0,(G23+Guide!$B$4^2/(2*F23))/(1+Guide!$B$4^2/F23)-Guide!$B$4*SQRT(G23*(1-G23)/F23+Guide!$B$4^2/(4*F23^2))/(1+Guide!$B$4^2/F23)))</f>
        <v>0</v>
      </c>
      <c r="I23" s="7">
        <f>IF(F23=0,"",MIN(1,(G23+Guide!$B$4^2/(2*F23))/(1+Guide!$B$4^2/F23)+Guide!$B$4*SQRT(G23*(1-G23)/F23+Guide!$B$4^2/(4*F23^2))/(1+Guide!$B$4^2/F23)))</f>
        <v>0.16113012549493322</v>
      </c>
      <c r="J23" s="7">
        <f t="shared" si="2"/>
        <v>0</v>
      </c>
      <c r="K23" s="7">
        <f t="shared" si="3"/>
        <v>0.16113012549493322</v>
      </c>
      <c r="L23" s="6" t="str">
        <f t="shared" si="4"/>
        <v>0.0% [0.0%–16.1%]</v>
      </c>
      <c r="M23" s="6" t="s">
        <v>105</v>
      </c>
      <c r="N23" s="6" t="s">
        <v>92</v>
      </c>
      <c r="O23" s="6" t="s">
        <v>103</v>
      </c>
    </row>
    <row r="24" spans="1:15" ht="36" customHeight="1">
      <c r="A24" s="6" t="s">
        <v>108</v>
      </c>
      <c r="B24" s="6" t="s">
        <v>90</v>
      </c>
      <c r="C24" s="6" t="s">
        <v>85</v>
      </c>
      <c r="D24" s="8">
        <v>14</v>
      </c>
      <c r="E24" s="8">
        <v>6</v>
      </c>
      <c r="F24" s="8">
        <f t="shared" si="0"/>
        <v>20</v>
      </c>
      <c r="G24" s="7">
        <f t="shared" si="1"/>
        <v>0.7</v>
      </c>
      <c r="H24" s="7">
        <f>IF(F24=0,"",MAX(0,(G24+Guide!$B$4^2/(2*F24))/(1+Guide!$B$4^2/F24)-Guide!$B$4*SQRT(G24*(1-G24)/F24+Guide!$B$4^2/(4*F24^2))/(1+Guide!$B$4^2/F24)))</f>
        <v>0.48102322377102058</v>
      </c>
      <c r="I24" s="7">
        <f>IF(F24=0,"",MIN(1,(G24+Guide!$B$4^2/(2*F24))/(1+Guide!$B$4^2/F24)+Guide!$B$4*SQRT(G24*(1-G24)/F24+Guide!$B$4^2/(4*F24^2))/(1+Guide!$B$4^2/F24)))</f>
        <v>0.85452472603100604</v>
      </c>
      <c r="J24" s="7">
        <f t="shared" si="2"/>
        <v>0.21897677622897938</v>
      </c>
      <c r="K24" s="7">
        <f t="shared" si="3"/>
        <v>0.15452472603100609</v>
      </c>
      <c r="L24" s="6" t="str">
        <f t="shared" si="4"/>
        <v>70.0% [48.1%–85.5%]</v>
      </c>
      <c r="M24" s="6" t="s">
        <v>90</v>
      </c>
      <c r="N24" s="6" t="s">
        <v>92</v>
      </c>
      <c r="O24" s="6"/>
    </row>
    <row r="25" spans="1:15" ht="36" customHeight="1">
      <c r="A25" s="6" t="s">
        <v>109</v>
      </c>
      <c r="B25" s="6" t="s">
        <v>84</v>
      </c>
      <c r="C25" s="6" t="s">
        <v>85</v>
      </c>
      <c r="D25" s="8">
        <v>15</v>
      </c>
      <c r="E25" s="8">
        <v>5</v>
      </c>
      <c r="F25" s="8">
        <f t="shared" si="0"/>
        <v>20</v>
      </c>
      <c r="G25" s="7">
        <f t="shared" si="1"/>
        <v>0.75</v>
      </c>
      <c r="H25" s="7">
        <f>IF(F25=0,"",MAX(0,(G25+Guide!$B$4^2/(2*F25))/(1+Guide!$B$4^2/F25)-Guide!$B$4*SQRT(G25*(1-G25)/F25+Guide!$B$4^2/(4*F25^2))/(1+Guide!$B$4^2/F25)))</f>
        <v>0.53129499004193648</v>
      </c>
      <c r="I25" s="7">
        <f>IF(F25=0,"",MIN(1,(G25+Guide!$B$4^2/(2*F25))/(1+Guide!$B$4^2/F25)+Guide!$B$4*SQRT(G25*(1-G25)/F25+Guide!$B$4^2/(4*F25^2))/(1+Guide!$B$4^2/F25)))</f>
        <v>0.88813994721059697</v>
      </c>
      <c r="J25" s="7">
        <f t="shared" si="2"/>
        <v>0.21870500995806352</v>
      </c>
      <c r="K25" s="7">
        <f t="shared" si="3"/>
        <v>0.13813994721059697</v>
      </c>
      <c r="L25" s="6" t="str">
        <f t="shared" si="4"/>
        <v>75.0% [53.1%–88.8%]</v>
      </c>
      <c r="M25" s="6" t="s">
        <v>84</v>
      </c>
      <c r="N25" s="6" t="s">
        <v>92</v>
      </c>
      <c r="O25" s="6"/>
    </row>
    <row r="26" spans="1:15" ht="36" customHeight="1">
      <c r="A26" s="6" t="s">
        <v>109</v>
      </c>
      <c r="B26" s="6" t="s">
        <v>88</v>
      </c>
      <c r="C26" s="6" t="s">
        <v>85</v>
      </c>
      <c r="D26" s="8">
        <v>16</v>
      </c>
      <c r="E26" s="8">
        <v>4</v>
      </c>
      <c r="F26" s="8">
        <f t="shared" si="0"/>
        <v>20</v>
      </c>
      <c r="G26" s="7">
        <f t="shared" si="1"/>
        <v>0.8</v>
      </c>
      <c r="H26" s="7">
        <f>IF(F26=0,"",MAX(0,(G26+Guide!$B$4^2/(2*F26))/(1+Guide!$B$4^2/F26)-Guide!$B$4*SQRT(G26*(1-G26)/F26+Guide!$B$4^2/(4*F26^2))/(1+Guide!$B$4^2/F26)))</f>
        <v>0.58397827797424007</v>
      </c>
      <c r="I26" s="7">
        <f>IF(F26=0,"",MIN(1,(G26+Guide!$B$4^2/(2*F26))/(1+Guide!$B$4^2/F26)+Guide!$B$4*SQRT(G26*(1-G26)/F26+Guide!$B$4^2/(4*F26^2))/(1+Guide!$B$4^2/F26)))</f>
        <v>0.91934364672879998</v>
      </c>
      <c r="J26" s="7">
        <f t="shared" si="2"/>
        <v>0.21602172202575998</v>
      </c>
      <c r="K26" s="7">
        <f t="shared" si="3"/>
        <v>0.11934364672879993</v>
      </c>
      <c r="L26" s="6" t="str">
        <f t="shared" si="4"/>
        <v>80.0% [58.4%–91.9%]</v>
      </c>
      <c r="M26" s="6" t="s">
        <v>89</v>
      </c>
      <c r="N26" s="6" t="s">
        <v>92</v>
      </c>
      <c r="O26" s="6"/>
    </row>
    <row r="27" spans="1:15" ht="84" customHeight="1">
      <c r="A27" s="6" t="s">
        <v>109</v>
      </c>
      <c r="B27" s="6" t="s">
        <v>101</v>
      </c>
      <c r="C27" s="6" t="s">
        <v>102</v>
      </c>
      <c r="D27" s="8">
        <v>0</v>
      </c>
      <c r="E27" s="8">
        <v>10</v>
      </c>
      <c r="F27" s="8">
        <f t="shared" si="0"/>
        <v>10</v>
      </c>
      <c r="G27" s="7">
        <f t="shared" si="1"/>
        <v>0</v>
      </c>
      <c r="H27" s="7">
        <f>IF(F27=0,"",MAX(0,(G27+Guide!$B$4^2/(2*F27))/(1+Guide!$B$4^2/F27)-Guide!$B$4*SQRT(G27*(1-G27)/F27+Guide!$B$4^2/(4*F27^2))/(1+Guide!$B$4^2/F27)))</f>
        <v>0</v>
      </c>
      <c r="I27" s="7">
        <f>IF(F27=0,"",MIN(1,(G27+Guide!$B$4^2/(2*F27))/(1+Guide!$B$4^2/F27)+Guide!$B$4*SQRT(G27*(1-G27)/F27+Guide!$B$4^2/(4*F27^2))/(1+Guide!$B$4^2/F27)))</f>
        <v>0.27754016876661658</v>
      </c>
      <c r="J27" s="7">
        <f t="shared" si="2"/>
        <v>0</v>
      </c>
      <c r="K27" s="7">
        <f t="shared" si="3"/>
        <v>0.27754016876661658</v>
      </c>
      <c r="L27" s="6" t="str">
        <f t="shared" si="4"/>
        <v>0.0% [0.0%–27.8%]</v>
      </c>
      <c r="M27" s="6" t="s">
        <v>101</v>
      </c>
      <c r="N27" s="6" t="s">
        <v>92</v>
      </c>
      <c r="O27" s="6" t="s">
        <v>103</v>
      </c>
    </row>
    <row r="28" spans="1:15" ht="84" customHeight="1">
      <c r="A28" s="6" t="s">
        <v>109</v>
      </c>
      <c r="B28" s="6" t="s">
        <v>104</v>
      </c>
      <c r="C28" s="6" t="s">
        <v>102</v>
      </c>
      <c r="D28" s="8">
        <v>4</v>
      </c>
      <c r="E28" s="8">
        <v>16</v>
      </c>
      <c r="F28" s="8">
        <f t="shared" si="0"/>
        <v>20</v>
      </c>
      <c r="G28" s="7">
        <f t="shared" si="1"/>
        <v>0.2</v>
      </c>
      <c r="H28" s="7">
        <f>IF(F28=0,"",MAX(0,(G28+Guide!$B$4^2/(2*F28))/(1+Guide!$B$4^2/F28)-Guide!$B$4*SQRT(G28*(1-G28)/F28+Guide!$B$4^2/(4*F28^2))/(1+Guide!$B$4^2/F28)))</f>
        <v>8.0656353271199993E-2</v>
      </c>
      <c r="I28" s="7">
        <f>IF(F28=0,"",MIN(1,(G28+Guide!$B$4^2/(2*F28))/(1+Guide!$B$4^2/F28)+Guide!$B$4*SQRT(G28*(1-G28)/F28+Guide!$B$4^2/(4*F28^2))/(1+Guide!$B$4^2/F28)))</f>
        <v>0.41602172202575993</v>
      </c>
      <c r="J28" s="7">
        <f t="shared" si="2"/>
        <v>0.11934364672880002</v>
      </c>
      <c r="K28" s="7">
        <f t="shared" si="3"/>
        <v>0.21602172202575992</v>
      </c>
      <c r="L28" s="6" t="str">
        <f t="shared" si="4"/>
        <v>20.0% [8.1%–41.6%]</v>
      </c>
      <c r="M28" s="6" t="s">
        <v>105</v>
      </c>
      <c r="N28" s="6" t="s">
        <v>92</v>
      </c>
      <c r="O28" s="6" t="s">
        <v>103</v>
      </c>
    </row>
    <row r="29" spans="1:15" ht="36" customHeight="1">
      <c r="A29" s="6" t="s">
        <v>109</v>
      </c>
      <c r="B29" s="6" t="s">
        <v>90</v>
      </c>
      <c r="C29" s="6" t="s">
        <v>85</v>
      </c>
      <c r="D29" s="8">
        <v>12</v>
      </c>
      <c r="E29" s="8">
        <v>8</v>
      </c>
      <c r="F29" s="8">
        <f t="shared" si="0"/>
        <v>20</v>
      </c>
      <c r="G29" s="7">
        <f t="shared" si="1"/>
        <v>0.6</v>
      </c>
      <c r="H29" s="7">
        <f>IF(F29=0,"",MAX(0,(G29+Guide!$B$4^2/(2*F29))/(1+Guide!$B$4^2/F29)-Guide!$B$4*SQRT(G29*(1-G29)/F29+Guide!$B$4^2/(4*F29^2))/(1+Guide!$B$4^2/F29)))</f>
        <v>0.38657794231520609</v>
      </c>
      <c r="I29" s="7">
        <f>IF(F29=0,"",MIN(1,(G29+Guide!$B$4^2/(2*F29))/(1+Guide!$B$4^2/F29)+Guide!$B$4*SQRT(G29*(1-G29)/F29+Guide!$B$4^2/(4*F29^2))/(1+Guide!$B$4^2/F29)))</f>
        <v>0.78119603258580739</v>
      </c>
      <c r="J29" s="7">
        <f t="shared" si="2"/>
        <v>0.21342205768479389</v>
      </c>
      <c r="K29" s="7">
        <f t="shared" si="3"/>
        <v>0.18119603258580741</v>
      </c>
      <c r="L29" s="6" t="str">
        <f t="shared" si="4"/>
        <v>60.0% [38.7%–78.1%]</v>
      </c>
      <c r="M29" s="6" t="s">
        <v>90</v>
      </c>
      <c r="N29" s="6" t="s">
        <v>92</v>
      </c>
      <c r="O29" s="6"/>
    </row>
    <row r="30" spans="1:15" ht="36" customHeight="1">
      <c r="A30" s="6" t="s">
        <v>110</v>
      </c>
      <c r="B30" s="6" t="s">
        <v>84</v>
      </c>
      <c r="C30" s="6" t="s">
        <v>85</v>
      </c>
      <c r="D30" s="8">
        <v>16</v>
      </c>
      <c r="E30" s="8">
        <v>4</v>
      </c>
      <c r="F30" s="8">
        <f t="shared" si="0"/>
        <v>20</v>
      </c>
      <c r="G30" s="7">
        <f t="shared" si="1"/>
        <v>0.8</v>
      </c>
      <c r="H30" s="7">
        <f>IF(F30=0,"",MAX(0,(G30+Guide!$B$4^2/(2*F30))/(1+Guide!$B$4^2/F30)-Guide!$B$4*SQRT(G30*(1-G30)/F30+Guide!$B$4^2/(4*F30^2))/(1+Guide!$B$4^2/F30)))</f>
        <v>0.58397827797424007</v>
      </c>
      <c r="I30" s="7">
        <f>IF(F30=0,"",MIN(1,(G30+Guide!$B$4^2/(2*F30))/(1+Guide!$B$4^2/F30)+Guide!$B$4*SQRT(G30*(1-G30)/F30+Guide!$B$4^2/(4*F30^2))/(1+Guide!$B$4^2/F30)))</f>
        <v>0.91934364672879998</v>
      </c>
      <c r="J30" s="7">
        <f t="shared" si="2"/>
        <v>0.21602172202575998</v>
      </c>
      <c r="K30" s="7">
        <f t="shared" si="3"/>
        <v>0.11934364672879993</v>
      </c>
      <c r="L30" s="6" t="str">
        <f t="shared" si="4"/>
        <v>80.0% [58.4%–91.9%]</v>
      </c>
      <c r="M30" s="6" t="s">
        <v>84</v>
      </c>
      <c r="N30" s="6" t="s">
        <v>92</v>
      </c>
      <c r="O30" s="6"/>
    </row>
    <row r="31" spans="1:15" ht="36" customHeight="1">
      <c r="A31" s="6" t="s">
        <v>110</v>
      </c>
      <c r="B31" s="6" t="s">
        <v>88</v>
      </c>
      <c r="C31" s="6" t="s">
        <v>85</v>
      </c>
      <c r="D31" s="8">
        <v>19</v>
      </c>
      <c r="E31" s="8">
        <v>1</v>
      </c>
      <c r="F31" s="8">
        <f t="shared" si="0"/>
        <v>20</v>
      </c>
      <c r="G31" s="7">
        <f t="shared" si="1"/>
        <v>0.95</v>
      </c>
      <c r="H31" s="7">
        <f>IF(F31=0,"",MAX(0,(G31+Guide!$B$4^2/(2*F31))/(1+Guide!$B$4^2/F31)-Guide!$B$4*SQRT(G31*(1-G31)/F31+Guide!$B$4^2/(4*F31^2))/(1+Guide!$B$4^2/F31)))</f>
        <v>0.76386410648743308</v>
      </c>
      <c r="I31" s="7">
        <f>IF(F31=0,"",MIN(1,(G31+Guide!$B$4^2/(2*F31))/(1+Guide!$B$4^2/F31)+Guide!$B$4*SQRT(G31*(1-G31)/F31+Guide!$B$4^2/(4*F31^2))/(1+Guide!$B$4^2/F31)))</f>
        <v>0.99111878056712677</v>
      </c>
      <c r="J31" s="7">
        <f t="shared" si="2"/>
        <v>0.18613589351256687</v>
      </c>
      <c r="K31" s="7">
        <f t="shared" si="3"/>
        <v>4.1118780567126811E-2</v>
      </c>
      <c r="L31" s="6" t="str">
        <f t="shared" si="4"/>
        <v>95.0% [76.4%–99.1%]</v>
      </c>
      <c r="M31" s="6" t="s">
        <v>89</v>
      </c>
      <c r="N31" s="6" t="s">
        <v>92</v>
      </c>
      <c r="O31" s="6"/>
    </row>
    <row r="32" spans="1:15" ht="84" customHeight="1">
      <c r="A32" s="6" t="s">
        <v>110</v>
      </c>
      <c r="B32" s="6" t="s">
        <v>101</v>
      </c>
      <c r="C32" s="6" t="s">
        <v>102</v>
      </c>
      <c r="D32" s="8">
        <v>0</v>
      </c>
      <c r="E32" s="8">
        <v>20</v>
      </c>
      <c r="F32" s="8">
        <f t="shared" si="0"/>
        <v>20</v>
      </c>
      <c r="G32" s="7">
        <f t="shared" si="1"/>
        <v>0</v>
      </c>
      <c r="H32" s="7">
        <f>IF(F32=0,"",MAX(0,(G32+Guide!$B$4^2/(2*F32))/(1+Guide!$B$4^2/F32)-Guide!$B$4*SQRT(G32*(1-G32)/F32+Guide!$B$4^2/(4*F32^2))/(1+Guide!$B$4^2/F32)))</f>
        <v>0</v>
      </c>
      <c r="I32" s="7">
        <f>IF(F32=0,"",MIN(1,(G32+Guide!$B$4^2/(2*F32))/(1+Guide!$B$4^2/F32)+Guide!$B$4*SQRT(G32*(1-G32)/F32+Guide!$B$4^2/(4*F32^2))/(1+Guide!$B$4^2/F32)))</f>
        <v>0.16113012549493322</v>
      </c>
      <c r="J32" s="7">
        <f t="shared" si="2"/>
        <v>0</v>
      </c>
      <c r="K32" s="7">
        <f t="shared" si="3"/>
        <v>0.16113012549493322</v>
      </c>
      <c r="L32" s="6" t="str">
        <f t="shared" si="4"/>
        <v>0.0% [0.0%–16.1%]</v>
      </c>
      <c r="M32" s="6" t="s">
        <v>101</v>
      </c>
      <c r="N32" s="6" t="s">
        <v>92</v>
      </c>
      <c r="O32" s="6" t="s">
        <v>103</v>
      </c>
    </row>
    <row r="33" spans="1:15" ht="84" customHeight="1">
      <c r="A33" s="6" t="s">
        <v>110</v>
      </c>
      <c r="B33" s="6" t="s">
        <v>104</v>
      </c>
      <c r="C33" s="6" t="s">
        <v>102</v>
      </c>
      <c r="D33" s="8">
        <v>7</v>
      </c>
      <c r="E33" s="8">
        <v>13</v>
      </c>
      <c r="F33" s="8">
        <f t="shared" si="0"/>
        <v>20</v>
      </c>
      <c r="G33" s="7">
        <f t="shared" si="1"/>
        <v>0.35</v>
      </c>
      <c r="H33" s="7">
        <f>IF(F33=0,"",MAX(0,(G33+Guide!$B$4^2/(2*F33))/(1+Guide!$B$4^2/F33)-Guide!$B$4*SQRT(G33*(1-G33)/F33+Guide!$B$4^2/(4*F33^2))/(1+Guide!$B$4^2/F33)))</f>
        <v>0.18118954786794464</v>
      </c>
      <c r="I33" s="7">
        <f>IF(F33=0,"",MIN(1,(G33+Guide!$B$4^2/(2*F33))/(1+Guide!$B$4^2/F33)+Guide!$B$4*SQRT(G33*(1-G33)/F33+Guide!$B$4^2/(4*F33^2))/(1+Guide!$B$4^2/F33)))</f>
        <v>0.56714948978053537</v>
      </c>
      <c r="J33" s="7">
        <f t="shared" si="2"/>
        <v>0.16881045213205534</v>
      </c>
      <c r="K33" s="7">
        <f t="shared" si="3"/>
        <v>0.21714948978053539</v>
      </c>
      <c r="L33" s="6" t="str">
        <f t="shared" si="4"/>
        <v>35.0% [18.1%–56.7%]</v>
      </c>
      <c r="M33" s="6" t="s">
        <v>105</v>
      </c>
      <c r="N33" s="6" t="s">
        <v>92</v>
      </c>
      <c r="O33" s="6" t="s">
        <v>103</v>
      </c>
    </row>
    <row r="34" spans="1:15" ht="36" customHeight="1">
      <c r="A34" s="6" t="s">
        <v>110</v>
      </c>
      <c r="B34" s="6" t="s">
        <v>90</v>
      </c>
      <c r="C34" s="6" t="s">
        <v>85</v>
      </c>
      <c r="D34" s="8">
        <v>17</v>
      </c>
      <c r="E34" s="8">
        <v>3</v>
      </c>
      <c r="F34" s="8">
        <f t="shared" si="0"/>
        <v>20</v>
      </c>
      <c r="G34" s="7">
        <f t="shared" si="1"/>
        <v>0.85</v>
      </c>
      <c r="H34" s="7">
        <f>IF(F34=0,"",MAX(0,(G34+Guide!$B$4^2/(2*F34))/(1+Guide!$B$4^2/F34)-Guide!$B$4*SQRT(G34*(1-G34)/F34+Guide!$B$4^2/(4*F34^2))/(1+Guide!$B$4^2/F34)))</f>
        <v>0.63957670411304257</v>
      </c>
      <c r="I34" s="7">
        <f>IF(F34=0,"",MIN(1,(G34+Guide!$B$4^2/(2*F34))/(1+Guide!$B$4^2/F34)+Guide!$B$4*SQRT(G34*(1-G34)/F34+Guide!$B$4^2/(4*F34^2))/(1+Guide!$B$4^2/F34)))</f>
        <v>0.94763220804050408</v>
      </c>
      <c r="J34" s="7">
        <f t="shared" si="2"/>
        <v>0.21042329588695741</v>
      </c>
      <c r="K34" s="7">
        <f t="shared" si="3"/>
        <v>9.7632208040504098E-2</v>
      </c>
      <c r="L34" s="6" t="str">
        <f t="shared" si="4"/>
        <v>85.0% [64.0%–94.8%]</v>
      </c>
      <c r="M34" s="6" t="s">
        <v>90</v>
      </c>
      <c r="N34" s="6" t="s">
        <v>92</v>
      </c>
      <c r="O34" s="6"/>
    </row>
  </sheetData>
  <mergeCells count="2">
    <mergeCell ref="A1:O1"/>
    <mergeCell ref="A2:O2"/>
  </mergeCells>
  <conditionalFormatting sqref="A5:O34">
    <cfRule type="expression" dxfId="3" priority="1">
      <formula>$C5="Partial familiar-only baseline"</formula>
    </cfRule>
  </conditionalFormatting>
  <conditionalFormatting sqref="G5:G34">
    <cfRule type="dataBar" priority="2">
      <dataBar>
        <cfvo type="num" val="0"/>
        <cfvo type="num" val="1"/>
        <color rgb="FF2F67E8"/>
      </dataBar>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2"/>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4"/>
  <cols>
    <col min="1" max="1" width="31" customWidth="1"/>
    <col min="2" max="2" width="23" customWidth="1"/>
    <col min="3" max="3" width="21" customWidth="1"/>
    <col min="4" max="6" width="10" customWidth="1"/>
    <col min="7" max="11" width="13" customWidth="1"/>
    <col min="12" max="12" width="24" customWidth="1"/>
    <col min="13" max="13" width="18" customWidth="1"/>
    <col min="14" max="14" width="38" customWidth="1"/>
    <col min="15" max="15" width="45" customWidth="1"/>
  </cols>
  <sheetData>
    <row r="1" spans="1:29" ht="30" customHeight="1">
      <c r="A1" s="15" t="s">
        <v>111</v>
      </c>
      <c r="B1" s="15"/>
      <c r="C1" s="15"/>
      <c r="D1" s="15"/>
      <c r="E1" s="15"/>
      <c r="F1" s="15"/>
      <c r="G1" s="15"/>
      <c r="H1" s="15"/>
      <c r="I1" s="15"/>
      <c r="J1" s="15"/>
      <c r="K1" s="15"/>
      <c r="L1" s="15"/>
      <c r="M1" s="15"/>
      <c r="N1" s="15"/>
      <c r="O1" s="15"/>
      <c r="P1" s="14"/>
      <c r="Q1" s="14"/>
      <c r="R1" s="14"/>
      <c r="S1" s="14"/>
      <c r="T1" s="14"/>
      <c r="U1" s="14"/>
      <c r="V1" s="14"/>
      <c r="W1" s="14"/>
      <c r="X1" s="14"/>
      <c r="Y1" s="14"/>
      <c r="Z1" s="14"/>
      <c r="AA1" s="14"/>
      <c r="AB1" s="14"/>
      <c r="AC1" s="14"/>
    </row>
    <row r="2" spans="1:29" ht="32" customHeight="1">
      <c r="A2" s="16" t="s">
        <v>112</v>
      </c>
      <c r="B2" s="16"/>
      <c r="C2" s="16"/>
      <c r="D2" s="16"/>
      <c r="E2" s="16"/>
      <c r="F2" s="16"/>
      <c r="G2" s="16"/>
      <c r="H2" s="16"/>
      <c r="I2" s="16"/>
      <c r="J2" s="16"/>
      <c r="K2" s="16"/>
      <c r="L2" s="16"/>
      <c r="M2" s="16"/>
      <c r="N2" s="16"/>
      <c r="O2" s="16"/>
      <c r="P2" s="14"/>
      <c r="Q2" s="14"/>
      <c r="R2" s="14"/>
      <c r="S2" s="14"/>
      <c r="T2" s="14"/>
      <c r="U2" s="14"/>
      <c r="V2" s="14"/>
      <c r="W2" s="14"/>
      <c r="X2" s="14"/>
      <c r="Y2" s="14"/>
      <c r="Z2" s="14"/>
      <c r="AA2" s="14"/>
      <c r="AB2" s="14"/>
      <c r="AC2" s="14"/>
    </row>
    <row r="4" spans="1:29" ht="36" customHeight="1">
      <c r="A4" s="4" t="s">
        <v>99</v>
      </c>
      <c r="B4" s="4" t="s">
        <v>69</v>
      </c>
      <c r="C4" s="4" t="s">
        <v>70</v>
      </c>
      <c r="D4" s="4" t="s">
        <v>71</v>
      </c>
      <c r="E4" s="4" t="s">
        <v>72</v>
      </c>
      <c r="F4" s="4" t="s">
        <v>73</v>
      </c>
      <c r="G4" s="4" t="s">
        <v>74</v>
      </c>
      <c r="H4" s="4" t="s">
        <v>75</v>
      </c>
      <c r="I4" s="4" t="s">
        <v>76</v>
      </c>
      <c r="J4" s="4" t="s">
        <v>77</v>
      </c>
      <c r="K4" s="4" t="s">
        <v>78</v>
      </c>
      <c r="L4" s="4" t="s">
        <v>79</v>
      </c>
      <c r="M4" s="4" t="s">
        <v>80</v>
      </c>
      <c r="N4" s="4" t="s">
        <v>81</v>
      </c>
      <c r="O4" s="4" t="s">
        <v>82</v>
      </c>
    </row>
    <row r="5" spans="1:29" ht="36" customHeight="1">
      <c r="A5" s="6" t="s">
        <v>100</v>
      </c>
      <c r="B5" s="6" t="s">
        <v>84</v>
      </c>
      <c r="C5" s="6" t="s">
        <v>85</v>
      </c>
      <c r="D5" s="8">
        <v>38</v>
      </c>
      <c r="E5" s="8">
        <v>12</v>
      </c>
      <c r="F5" s="8">
        <f t="shared" ref="F5:F22" si="0">D5+E5</f>
        <v>50</v>
      </c>
      <c r="G5" s="7">
        <f t="shared" ref="G5:G22" si="1">IF(F5=0,"",D5/F5)</f>
        <v>0.76</v>
      </c>
      <c r="H5" s="7">
        <f>IF(F5=0,"",MAX(0,(G5+Guide!$B$4^2/(2*F5))/(1+Guide!$B$4^2/F5)-Guide!$B$4*SQRT(G5*(1-G5)/F5+Guide!$B$4^2/(4*F5^2))/(1+Guide!$B$4^2/F5)))</f>
        <v>0.62587050624807627</v>
      </c>
      <c r="I5" s="7">
        <f>IF(F5=0,"",MIN(1,(G5+Guide!$B$4^2/(2*F5))/(1+Guide!$B$4^2/F5)+Guide!$B$4*SQRT(G5*(1-G5)/F5+Guide!$B$4^2/(4*F5^2))/(1+Guide!$B$4^2/F5)))</f>
        <v>0.85702747598127793</v>
      </c>
      <c r="J5" s="7">
        <f t="shared" ref="J5:J22" si="2">IF(F5=0,"",G5-H5)</f>
        <v>0.13412949375192373</v>
      </c>
      <c r="K5" s="7">
        <f t="shared" ref="K5:K22" si="3">IF(F5=0,"",I5-G5)</f>
        <v>9.7027475981277922E-2</v>
      </c>
      <c r="L5" s="6" t="str">
        <f t="shared" ref="L5:L22" si="4">IF(F5=0,"",TEXT(G5,"0.0%")&amp;" ["&amp;TEXT(H5,"0.0%")&amp;"–"&amp;TEXT(I5,"0.0%")&amp;"]")</f>
        <v>76.0% [62.6%–85.7%]</v>
      </c>
      <c r="M5" s="6" t="s">
        <v>84</v>
      </c>
      <c r="N5" s="6" t="s">
        <v>86</v>
      </c>
      <c r="O5" s="6"/>
    </row>
    <row r="6" spans="1:29" ht="36" customHeight="1">
      <c r="A6" s="6" t="s">
        <v>100</v>
      </c>
      <c r="B6" s="6" t="s">
        <v>88</v>
      </c>
      <c r="C6" s="6" t="s">
        <v>85</v>
      </c>
      <c r="D6" s="8">
        <v>18</v>
      </c>
      <c r="E6" s="8">
        <v>32</v>
      </c>
      <c r="F6" s="8">
        <f t="shared" si="0"/>
        <v>50</v>
      </c>
      <c r="G6" s="7">
        <f t="shared" si="1"/>
        <v>0.36</v>
      </c>
      <c r="H6" s="7">
        <f>IF(F6=0,"",MAX(0,(G6+Guide!$B$4^2/(2*F6))/(1+Guide!$B$4^2/F6)-Guide!$B$4*SQRT(G6*(1-G6)/F6+Guide!$B$4^2/(4*F6^2))/(1+Guide!$B$4^2/F6)))</f>
        <v>0.24138562967182875</v>
      </c>
      <c r="I6" s="7">
        <f>IF(F6=0,"",MIN(1,(G6+Guide!$B$4^2/(2*F6))/(1+Guide!$B$4^2/F6)+Guide!$B$4*SQRT(G6*(1-G6)/F6+Guide!$B$4^2/(4*F6^2))/(1+Guide!$B$4^2/F6)))</f>
        <v>0.49859237989698046</v>
      </c>
      <c r="J6" s="7">
        <f t="shared" si="2"/>
        <v>0.11861437032817124</v>
      </c>
      <c r="K6" s="7">
        <f t="shared" si="3"/>
        <v>0.13859237989698048</v>
      </c>
      <c r="L6" s="6" t="str">
        <f t="shared" si="4"/>
        <v>36.0% [24.1%–49.9%]</v>
      </c>
      <c r="M6" s="6" t="s">
        <v>89</v>
      </c>
      <c r="N6" s="6" t="s">
        <v>86</v>
      </c>
      <c r="O6" s="6"/>
    </row>
    <row r="7" spans="1:29" ht="36" customHeight="1">
      <c r="A7" s="6" t="s">
        <v>100</v>
      </c>
      <c r="B7" s="6" t="s">
        <v>90</v>
      </c>
      <c r="C7" s="6" t="s">
        <v>85</v>
      </c>
      <c r="D7" s="8">
        <v>17</v>
      </c>
      <c r="E7" s="8">
        <v>33</v>
      </c>
      <c r="F7" s="8">
        <f t="shared" si="0"/>
        <v>50</v>
      </c>
      <c r="G7" s="7">
        <f t="shared" si="1"/>
        <v>0.34</v>
      </c>
      <c r="H7" s="7">
        <f>IF(F7=0,"",MAX(0,(G7+Guide!$B$4^2/(2*F7))/(1+Guide!$B$4^2/F7)-Guide!$B$4*SQRT(G7*(1-G7)/F7+Guide!$B$4^2/(4*F7^2))/(1+Guide!$B$4^2/F7)))</f>
        <v>0.2243676963506106</v>
      </c>
      <c r="I7" s="7">
        <f>IF(F7=0,"",MIN(1,(G7+Guide!$B$4^2/(2*F7))/(1+Guide!$B$4^2/F7)+Guide!$B$4*SQRT(G7*(1-G7)/F7+Guide!$B$4^2/(4*F7^2))/(1+Guide!$B$4^2/F7)))</f>
        <v>0.47846431458517147</v>
      </c>
      <c r="J7" s="7">
        <f t="shared" si="2"/>
        <v>0.11563230364938942</v>
      </c>
      <c r="K7" s="7">
        <f t="shared" si="3"/>
        <v>0.13846431458517144</v>
      </c>
      <c r="L7" s="6" t="str">
        <f t="shared" si="4"/>
        <v>34.0% [22.4%–47.8%]</v>
      </c>
      <c r="M7" s="6" t="s">
        <v>90</v>
      </c>
      <c r="N7" s="6" t="s">
        <v>86</v>
      </c>
      <c r="O7" s="6"/>
    </row>
    <row r="8" spans="1:29" ht="36" customHeight="1">
      <c r="A8" s="6" t="s">
        <v>106</v>
      </c>
      <c r="B8" s="6" t="s">
        <v>84</v>
      </c>
      <c r="C8" s="6" t="s">
        <v>85</v>
      </c>
      <c r="D8" s="8">
        <v>0</v>
      </c>
      <c r="E8" s="8">
        <v>50</v>
      </c>
      <c r="F8" s="8">
        <f t="shared" si="0"/>
        <v>50</v>
      </c>
      <c r="G8" s="7">
        <f t="shared" si="1"/>
        <v>0</v>
      </c>
      <c r="H8" s="7">
        <f>IF(F8=0,"",MAX(0,(G8+Guide!$B$4^2/(2*F8))/(1+Guide!$B$4^2/F8)-Guide!$B$4*SQRT(G8*(1-G8)/F8+Guide!$B$4^2/(4*F8^2))/(1+Guide!$B$4^2/F8)))</f>
        <v>0</v>
      </c>
      <c r="I8" s="7">
        <f>IF(F8=0,"",MIN(1,(G8+Guide!$B$4^2/(2*F8))/(1+Guide!$B$4^2/F8)+Guide!$B$4*SQRT(G8*(1-G8)/F8+Guide!$B$4^2/(4*F8^2))/(1+Guide!$B$4^2/F8)))</f>
        <v>7.1350034174318733E-2</v>
      </c>
      <c r="J8" s="7">
        <f t="shared" si="2"/>
        <v>0</v>
      </c>
      <c r="K8" s="7">
        <f t="shared" si="3"/>
        <v>7.1350034174318733E-2</v>
      </c>
      <c r="L8" s="6" t="str">
        <f t="shared" si="4"/>
        <v>0.0% [0.0%–7.1%]</v>
      </c>
      <c r="M8" s="6" t="s">
        <v>84</v>
      </c>
      <c r="N8" s="6" t="s">
        <v>86</v>
      </c>
      <c r="O8" s="6"/>
    </row>
    <row r="9" spans="1:29" ht="36" customHeight="1">
      <c r="A9" s="6" t="s">
        <v>106</v>
      </c>
      <c r="B9" s="6" t="s">
        <v>88</v>
      </c>
      <c r="C9" s="6" t="s">
        <v>85</v>
      </c>
      <c r="D9" s="8">
        <v>0</v>
      </c>
      <c r="E9" s="8">
        <v>50</v>
      </c>
      <c r="F9" s="8">
        <f t="shared" si="0"/>
        <v>50</v>
      </c>
      <c r="G9" s="7">
        <f t="shared" si="1"/>
        <v>0</v>
      </c>
      <c r="H9" s="7">
        <f>IF(F9=0,"",MAX(0,(G9+Guide!$B$4^2/(2*F9))/(1+Guide!$B$4^2/F9)-Guide!$B$4*SQRT(G9*(1-G9)/F9+Guide!$B$4^2/(4*F9^2))/(1+Guide!$B$4^2/F9)))</f>
        <v>0</v>
      </c>
      <c r="I9" s="7">
        <f>IF(F9=0,"",MIN(1,(G9+Guide!$B$4^2/(2*F9))/(1+Guide!$B$4^2/F9)+Guide!$B$4*SQRT(G9*(1-G9)/F9+Guide!$B$4^2/(4*F9^2))/(1+Guide!$B$4^2/F9)))</f>
        <v>7.1350034174318733E-2</v>
      </c>
      <c r="J9" s="7">
        <f t="shared" si="2"/>
        <v>0</v>
      </c>
      <c r="K9" s="7">
        <f t="shared" si="3"/>
        <v>7.1350034174318733E-2</v>
      </c>
      <c r="L9" s="6" t="str">
        <f t="shared" si="4"/>
        <v>0.0% [0.0%–7.1%]</v>
      </c>
      <c r="M9" s="6" t="s">
        <v>89</v>
      </c>
      <c r="N9" s="6" t="s">
        <v>86</v>
      </c>
      <c r="O9" s="6"/>
    </row>
    <row r="10" spans="1:29" ht="36" customHeight="1">
      <c r="A10" s="6" t="s">
        <v>106</v>
      </c>
      <c r="B10" s="6" t="s">
        <v>90</v>
      </c>
      <c r="C10" s="6" t="s">
        <v>85</v>
      </c>
      <c r="D10" s="8">
        <v>0</v>
      </c>
      <c r="E10" s="8">
        <v>50</v>
      </c>
      <c r="F10" s="8">
        <f t="shared" si="0"/>
        <v>50</v>
      </c>
      <c r="G10" s="7">
        <f t="shared" si="1"/>
        <v>0</v>
      </c>
      <c r="H10" s="7">
        <f>IF(F10=0,"",MAX(0,(G10+Guide!$B$4^2/(2*F10))/(1+Guide!$B$4^2/F10)-Guide!$B$4*SQRT(G10*(1-G10)/F10+Guide!$B$4^2/(4*F10^2))/(1+Guide!$B$4^2/F10)))</f>
        <v>0</v>
      </c>
      <c r="I10" s="7">
        <f>IF(F10=0,"",MIN(1,(G10+Guide!$B$4^2/(2*F10))/(1+Guide!$B$4^2/F10)+Guide!$B$4*SQRT(G10*(1-G10)/F10+Guide!$B$4^2/(4*F10^2))/(1+Guide!$B$4^2/F10)))</f>
        <v>7.1350034174318733E-2</v>
      </c>
      <c r="J10" s="7">
        <f t="shared" si="2"/>
        <v>0</v>
      </c>
      <c r="K10" s="7">
        <f t="shared" si="3"/>
        <v>7.1350034174318733E-2</v>
      </c>
      <c r="L10" s="6" t="str">
        <f t="shared" si="4"/>
        <v>0.0% [0.0%–7.1%]</v>
      </c>
      <c r="M10" s="6" t="s">
        <v>90</v>
      </c>
      <c r="N10" s="6" t="s">
        <v>86</v>
      </c>
      <c r="O10" s="6"/>
    </row>
    <row r="11" spans="1:29" ht="36" customHeight="1">
      <c r="A11" s="6" t="s">
        <v>107</v>
      </c>
      <c r="B11" s="6" t="s">
        <v>84</v>
      </c>
      <c r="C11" s="6" t="s">
        <v>85</v>
      </c>
      <c r="D11" s="8">
        <v>27</v>
      </c>
      <c r="E11" s="8">
        <v>23</v>
      </c>
      <c r="F11" s="8">
        <f t="shared" si="0"/>
        <v>50</v>
      </c>
      <c r="G11" s="7">
        <f t="shared" si="1"/>
        <v>0.54</v>
      </c>
      <c r="H11" s="7">
        <f>IF(F11=0,"",MAX(0,(G11+Guide!$B$4^2/(2*F11))/(1+Guide!$B$4^2/F11)-Guide!$B$4*SQRT(G11*(1-G11)/F11+Guide!$B$4^2/(4*F11^2))/(1+Guide!$B$4^2/F11)))</f>
        <v>0.40398634328388083</v>
      </c>
      <c r="I11" s="7">
        <f>IF(F11=0,"",MIN(1,(G11+Guide!$B$4^2/(2*F11))/(1+Guide!$B$4^2/F11)+Guide!$B$4*SQRT(G11*(1-G11)/F11+Guide!$B$4^2/(4*F11^2))/(1+Guide!$B$4^2/F11)))</f>
        <v>0.67030565398217368</v>
      </c>
      <c r="J11" s="7">
        <f t="shared" si="2"/>
        <v>0.1360136567161192</v>
      </c>
      <c r="K11" s="7">
        <f t="shared" si="3"/>
        <v>0.13030565398217364</v>
      </c>
      <c r="L11" s="6" t="str">
        <f t="shared" si="4"/>
        <v>54.0% [40.4%–67.0%]</v>
      </c>
      <c r="M11" s="6" t="s">
        <v>84</v>
      </c>
      <c r="N11" s="6" t="s">
        <v>86</v>
      </c>
      <c r="O11" s="6"/>
    </row>
    <row r="12" spans="1:29" ht="36" customHeight="1">
      <c r="A12" s="6" t="s">
        <v>107</v>
      </c>
      <c r="B12" s="6" t="s">
        <v>88</v>
      </c>
      <c r="C12" s="6" t="s">
        <v>85</v>
      </c>
      <c r="D12" s="8">
        <v>23</v>
      </c>
      <c r="E12" s="8">
        <v>27</v>
      </c>
      <c r="F12" s="8">
        <f t="shared" si="0"/>
        <v>50</v>
      </c>
      <c r="G12" s="7">
        <f t="shared" si="1"/>
        <v>0.46</v>
      </c>
      <c r="H12" s="7">
        <f>IF(F12=0,"",MAX(0,(G12+Guide!$B$4^2/(2*F12))/(1+Guide!$B$4^2/F12)-Guide!$B$4*SQRT(G12*(1-G12)/F12+Guide!$B$4^2/(4*F12^2))/(1+Guide!$B$4^2/F12)))</f>
        <v>0.32969434601782632</v>
      </c>
      <c r="I12" s="7">
        <f>IF(F12=0,"",MIN(1,(G12+Guide!$B$4^2/(2*F12))/(1+Guide!$B$4^2/F12)+Guide!$B$4*SQRT(G12*(1-G12)/F12+Guide!$B$4^2/(4*F12^2))/(1+Guide!$B$4^2/F12)))</f>
        <v>0.59601365671611917</v>
      </c>
      <c r="J12" s="7">
        <f t="shared" si="2"/>
        <v>0.1303056539821737</v>
      </c>
      <c r="K12" s="7">
        <f t="shared" si="3"/>
        <v>0.13601365671611915</v>
      </c>
      <c r="L12" s="6" t="str">
        <f t="shared" si="4"/>
        <v>46.0% [33.0%–59.6%]</v>
      </c>
      <c r="M12" s="6" t="s">
        <v>89</v>
      </c>
      <c r="N12" s="6" t="s">
        <v>86</v>
      </c>
      <c r="O12" s="6"/>
    </row>
    <row r="13" spans="1:29" ht="36" customHeight="1">
      <c r="A13" s="6" t="s">
        <v>107</v>
      </c>
      <c r="B13" s="6" t="s">
        <v>90</v>
      </c>
      <c r="C13" s="6" t="s">
        <v>85</v>
      </c>
      <c r="D13" s="8">
        <v>21</v>
      </c>
      <c r="E13" s="8">
        <v>29</v>
      </c>
      <c r="F13" s="8">
        <f t="shared" si="0"/>
        <v>50</v>
      </c>
      <c r="G13" s="7">
        <f t="shared" si="1"/>
        <v>0.42</v>
      </c>
      <c r="H13" s="7">
        <f>IF(F13=0,"",MAX(0,(G13+Guide!$B$4^2/(2*F13))/(1+Guide!$B$4^2/F13)-Guide!$B$4*SQRT(G13*(1-G13)/F13+Guide!$B$4^2/(4*F13^2))/(1+Guide!$B$4^2/F13)))</f>
        <v>0.29374797234566929</v>
      </c>
      <c r="I13" s="7">
        <f>IF(F13=0,"",MIN(1,(G13+Guide!$B$4^2/(2*F13))/(1+Guide!$B$4^2/F13)+Guide!$B$4*SQRT(G13*(1-G13)/F13+Guide!$B$4^2/(4*F13^2))/(1+Guide!$B$4^2/F13)))</f>
        <v>0.55766803312222168</v>
      </c>
      <c r="J13" s="7">
        <f t="shared" si="2"/>
        <v>0.12625202765433069</v>
      </c>
      <c r="K13" s="7">
        <f t="shared" si="3"/>
        <v>0.1376680331222217</v>
      </c>
      <c r="L13" s="6" t="str">
        <f t="shared" si="4"/>
        <v>42.0% [29.4%–55.8%]</v>
      </c>
      <c r="M13" s="6" t="s">
        <v>90</v>
      </c>
      <c r="N13" s="6" t="s">
        <v>86</v>
      </c>
      <c r="O13" s="6"/>
    </row>
    <row r="14" spans="1:29" ht="36" customHeight="1">
      <c r="A14" s="6" t="s">
        <v>108</v>
      </c>
      <c r="B14" s="6" t="s">
        <v>84</v>
      </c>
      <c r="C14" s="6" t="s">
        <v>85</v>
      </c>
      <c r="D14" s="8">
        <v>25</v>
      </c>
      <c r="E14" s="8">
        <v>25</v>
      </c>
      <c r="F14" s="8">
        <f t="shared" si="0"/>
        <v>50</v>
      </c>
      <c r="G14" s="7">
        <f t="shared" si="1"/>
        <v>0.5</v>
      </c>
      <c r="H14" s="7">
        <f>IF(F14=0,"",MAX(0,(G14+Guide!$B$4^2/(2*F14))/(1+Guide!$B$4^2/F14)-Guide!$B$4*SQRT(G14*(1-G14)/F14+Guide!$B$4^2/(4*F14^2))/(1+Guide!$B$4^2/F14)))</f>
        <v>0.36644286412332855</v>
      </c>
      <c r="I14" s="7">
        <f>IF(F14=0,"",MIN(1,(G14+Guide!$B$4^2/(2*F14))/(1+Guide!$B$4^2/F14)+Guide!$B$4*SQRT(G14*(1-G14)/F14+Guide!$B$4^2/(4*F14^2))/(1+Guide!$B$4^2/F14)))</f>
        <v>0.6335571358766714</v>
      </c>
      <c r="J14" s="7">
        <f t="shared" si="2"/>
        <v>0.13355713587667145</v>
      </c>
      <c r="K14" s="7">
        <f t="shared" si="3"/>
        <v>0.1335571358766714</v>
      </c>
      <c r="L14" s="6" t="str">
        <f t="shared" si="4"/>
        <v>50.0% [36.6%–63.4%]</v>
      </c>
      <c r="M14" s="6" t="s">
        <v>84</v>
      </c>
      <c r="N14" s="6" t="s">
        <v>86</v>
      </c>
      <c r="O14" s="6"/>
    </row>
    <row r="15" spans="1:29" ht="36" customHeight="1">
      <c r="A15" s="6" t="s">
        <v>108</v>
      </c>
      <c r="B15" s="6" t="s">
        <v>88</v>
      </c>
      <c r="C15" s="6" t="s">
        <v>85</v>
      </c>
      <c r="D15" s="8">
        <v>36</v>
      </c>
      <c r="E15" s="8">
        <v>14</v>
      </c>
      <c r="F15" s="8">
        <f t="shared" si="0"/>
        <v>50</v>
      </c>
      <c r="G15" s="7">
        <f t="shared" si="1"/>
        <v>0.72</v>
      </c>
      <c r="H15" s="7">
        <f>IF(F15=0,"",MAX(0,(G15+Guide!$B$4^2/(2*F15))/(1+Guide!$B$4^2/F15)-Guide!$B$4*SQRT(G15*(1-G15)/F15+Guide!$B$4^2/(4*F15^2))/(1+Guide!$B$4^2/F15)))</f>
        <v>0.58334612854010337</v>
      </c>
      <c r="I15" s="7">
        <f>IF(F15=0,"",MIN(1,(G15+Guide!$B$4^2/(2*F15))/(1+Guide!$B$4^2/F15)+Guide!$B$4*SQRT(G15*(1-G15)/F15+Guide!$B$4^2/(4*F15^2))/(1+Guide!$B$4^2/F15)))</f>
        <v>0.82525985642319633</v>
      </c>
      <c r="J15" s="7">
        <f t="shared" si="2"/>
        <v>0.1366538714598966</v>
      </c>
      <c r="K15" s="7">
        <f t="shared" si="3"/>
        <v>0.10525985642319635</v>
      </c>
      <c r="L15" s="6" t="str">
        <f t="shared" si="4"/>
        <v>72.0% [58.3%–82.5%]</v>
      </c>
      <c r="M15" s="6" t="s">
        <v>89</v>
      </c>
      <c r="N15" s="6" t="s">
        <v>86</v>
      </c>
      <c r="O15" s="6"/>
    </row>
    <row r="16" spans="1:29" ht="36" customHeight="1">
      <c r="A16" s="6" t="s">
        <v>108</v>
      </c>
      <c r="B16" s="6" t="s">
        <v>90</v>
      </c>
      <c r="C16" s="6" t="s">
        <v>85</v>
      </c>
      <c r="D16" s="8">
        <v>39</v>
      </c>
      <c r="E16" s="8">
        <v>11</v>
      </c>
      <c r="F16" s="8">
        <f t="shared" si="0"/>
        <v>50</v>
      </c>
      <c r="G16" s="7">
        <f t="shared" si="1"/>
        <v>0.78</v>
      </c>
      <c r="H16" s="7">
        <f>IF(F16=0,"",MAX(0,(G16+Guide!$B$4^2/(2*F16))/(1+Guide!$B$4^2/F16)-Guide!$B$4*SQRT(G16*(1-G16)/F16+Guide!$B$4^2/(4*F16^2))/(1+Guide!$B$4^2/F16)))</f>
        <v>0.64758184310540445</v>
      </c>
      <c r="I16" s="7">
        <f>IF(F16=0,"",MIN(1,(G16+Guide!$B$4^2/(2*F16))/(1+Guide!$B$4^2/F16)+Guide!$B$4*SQRT(G16*(1-G16)/F16+Guide!$B$4^2/(4*F16^2))/(1+Guide!$B$4^2/F16)))</f>
        <v>0.87246213775697712</v>
      </c>
      <c r="J16" s="7">
        <f t="shared" si="2"/>
        <v>0.13241815689459557</v>
      </c>
      <c r="K16" s="7">
        <f t="shared" si="3"/>
        <v>9.2462137756977092E-2</v>
      </c>
      <c r="L16" s="6" t="str">
        <f t="shared" si="4"/>
        <v>78.0% [64.8%–87.2%]</v>
      </c>
      <c r="M16" s="6" t="s">
        <v>90</v>
      </c>
      <c r="N16" s="6" t="s">
        <v>86</v>
      </c>
      <c r="O16" s="6"/>
    </row>
    <row r="17" spans="1:15" ht="36" customHeight="1">
      <c r="A17" s="6" t="s">
        <v>109</v>
      </c>
      <c r="B17" s="6" t="s">
        <v>84</v>
      </c>
      <c r="C17" s="6" t="s">
        <v>85</v>
      </c>
      <c r="D17" s="8">
        <v>34</v>
      </c>
      <c r="E17" s="8">
        <v>16</v>
      </c>
      <c r="F17" s="8">
        <f t="shared" si="0"/>
        <v>50</v>
      </c>
      <c r="G17" s="7">
        <f t="shared" si="1"/>
        <v>0.68</v>
      </c>
      <c r="H17" s="7">
        <f>IF(F17=0,"",MAX(0,(G17+Guide!$B$4^2/(2*F17))/(1+Guide!$B$4^2/F17)-Guide!$B$4*SQRT(G17*(1-G17)/F17+Guide!$B$4^2/(4*F17^2))/(1+Guide!$B$4^2/F17)))</f>
        <v>0.54189442863723936</v>
      </c>
      <c r="I17" s="7">
        <f>IF(F17=0,"",MIN(1,(G17+Guide!$B$4^2/(2*F17))/(1+Guide!$B$4^2/F17)+Guide!$B$4*SQRT(G17*(1-G17)/F17+Guide!$B$4^2/(4*F17^2))/(1+Guide!$B$4^2/F17)))</f>
        <v>0.79241955906000605</v>
      </c>
      <c r="J17" s="7">
        <f t="shared" si="2"/>
        <v>0.13810557136276069</v>
      </c>
      <c r="K17" s="7">
        <f t="shared" si="3"/>
        <v>0.112419559060006</v>
      </c>
      <c r="L17" s="6" t="str">
        <f t="shared" si="4"/>
        <v>68.0% [54.2%–79.2%]</v>
      </c>
      <c r="M17" s="6" t="s">
        <v>84</v>
      </c>
      <c r="N17" s="6" t="s">
        <v>86</v>
      </c>
      <c r="O17" s="6"/>
    </row>
    <row r="18" spans="1:15" ht="36" customHeight="1">
      <c r="A18" s="6" t="s">
        <v>109</v>
      </c>
      <c r="B18" s="6" t="s">
        <v>88</v>
      </c>
      <c r="C18" s="6" t="s">
        <v>85</v>
      </c>
      <c r="D18" s="8">
        <v>18</v>
      </c>
      <c r="E18" s="8">
        <v>32</v>
      </c>
      <c r="F18" s="8">
        <f t="shared" si="0"/>
        <v>50</v>
      </c>
      <c r="G18" s="7">
        <f t="shared" si="1"/>
        <v>0.36</v>
      </c>
      <c r="H18" s="7">
        <f>IF(F18=0,"",MAX(0,(G18+Guide!$B$4^2/(2*F18))/(1+Guide!$B$4^2/F18)-Guide!$B$4*SQRT(G18*(1-G18)/F18+Guide!$B$4^2/(4*F18^2))/(1+Guide!$B$4^2/F18)))</f>
        <v>0.24138562967182875</v>
      </c>
      <c r="I18" s="7">
        <f>IF(F18=0,"",MIN(1,(G18+Guide!$B$4^2/(2*F18))/(1+Guide!$B$4^2/F18)+Guide!$B$4*SQRT(G18*(1-G18)/F18+Guide!$B$4^2/(4*F18^2))/(1+Guide!$B$4^2/F18)))</f>
        <v>0.49859237989698046</v>
      </c>
      <c r="J18" s="7">
        <f t="shared" si="2"/>
        <v>0.11861437032817124</v>
      </c>
      <c r="K18" s="7">
        <f t="shared" si="3"/>
        <v>0.13859237989698048</v>
      </c>
      <c r="L18" s="6" t="str">
        <f t="shared" si="4"/>
        <v>36.0% [24.1%–49.9%]</v>
      </c>
      <c r="M18" s="6" t="s">
        <v>89</v>
      </c>
      <c r="N18" s="6" t="s">
        <v>86</v>
      </c>
      <c r="O18" s="6"/>
    </row>
    <row r="19" spans="1:15" ht="36" customHeight="1">
      <c r="A19" s="6" t="s">
        <v>109</v>
      </c>
      <c r="B19" s="6" t="s">
        <v>90</v>
      </c>
      <c r="C19" s="6" t="s">
        <v>85</v>
      </c>
      <c r="D19" s="8">
        <v>27</v>
      </c>
      <c r="E19" s="8">
        <v>23</v>
      </c>
      <c r="F19" s="8">
        <f t="shared" si="0"/>
        <v>50</v>
      </c>
      <c r="G19" s="7">
        <f t="shared" si="1"/>
        <v>0.54</v>
      </c>
      <c r="H19" s="7">
        <f>IF(F19=0,"",MAX(0,(G19+Guide!$B$4^2/(2*F19))/(1+Guide!$B$4^2/F19)-Guide!$B$4*SQRT(G19*(1-G19)/F19+Guide!$B$4^2/(4*F19^2))/(1+Guide!$B$4^2/F19)))</f>
        <v>0.40398634328388083</v>
      </c>
      <c r="I19" s="7">
        <f>IF(F19=0,"",MIN(1,(G19+Guide!$B$4^2/(2*F19))/(1+Guide!$B$4^2/F19)+Guide!$B$4*SQRT(G19*(1-G19)/F19+Guide!$B$4^2/(4*F19^2))/(1+Guide!$B$4^2/F19)))</f>
        <v>0.67030565398217368</v>
      </c>
      <c r="J19" s="7">
        <f t="shared" si="2"/>
        <v>0.1360136567161192</v>
      </c>
      <c r="K19" s="7">
        <f t="shared" si="3"/>
        <v>0.13030565398217364</v>
      </c>
      <c r="L19" s="6" t="str">
        <f t="shared" si="4"/>
        <v>54.0% [40.4%–67.0%]</v>
      </c>
      <c r="M19" s="6" t="s">
        <v>90</v>
      </c>
      <c r="N19" s="6" t="s">
        <v>86</v>
      </c>
      <c r="O19" s="6"/>
    </row>
    <row r="20" spans="1:15" ht="36" customHeight="1">
      <c r="A20" s="6" t="s">
        <v>110</v>
      </c>
      <c r="B20" s="6" t="s">
        <v>84</v>
      </c>
      <c r="C20" s="6" t="s">
        <v>85</v>
      </c>
      <c r="D20" s="8">
        <v>32</v>
      </c>
      <c r="E20" s="8">
        <v>18</v>
      </c>
      <c r="F20" s="8">
        <f t="shared" si="0"/>
        <v>50</v>
      </c>
      <c r="G20" s="7">
        <f t="shared" si="1"/>
        <v>0.64</v>
      </c>
      <c r="H20" s="7">
        <f>IF(F20=0,"",MAX(0,(G20+Guide!$B$4^2/(2*F20))/(1+Guide!$B$4^2/F20)-Guide!$B$4*SQRT(G20*(1-G20)/F20+Guide!$B$4^2/(4*F20^2))/(1+Guide!$B$4^2/F20)))</f>
        <v>0.50140762010301954</v>
      </c>
      <c r="I20" s="7">
        <f>IF(F20=0,"",MIN(1,(G20+Guide!$B$4^2/(2*F20))/(1+Guide!$B$4^2/F20)+Guide!$B$4*SQRT(G20*(1-G20)/F20+Guide!$B$4^2/(4*F20^2))/(1+Guide!$B$4^2/F20)))</f>
        <v>0.75861437032817114</v>
      </c>
      <c r="J20" s="7">
        <f t="shared" si="2"/>
        <v>0.13859237989698048</v>
      </c>
      <c r="K20" s="7">
        <f t="shared" si="3"/>
        <v>0.11861437032817113</v>
      </c>
      <c r="L20" s="6" t="str">
        <f t="shared" si="4"/>
        <v>64.0% [50.1%–75.9%]</v>
      </c>
      <c r="M20" s="6" t="s">
        <v>84</v>
      </c>
      <c r="N20" s="6" t="s">
        <v>86</v>
      </c>
      <c r="O20" s="6"/>
    </row>
    <row r="21" spans="1:15" ht="36" customHeight="1">
      <c r="A21" s="6" t="s">
        <v>110</v>
      </c>
      <c r="B21" s="6" t="s">
        <v>88</v>
      </c>
      <c r="C21" s="6" t="s">
        <v>85</v>
      </c>
      <c r="D21" s="8">
        <v>27</v>
      </c>
      <c r="E21" s="8">
        <v>23</v>
      </c>
      <c r="F21" s="8">
        <f t="shared" si="0"/>
        <v>50</v>
      </c>
      <c r="G21" s="7">
        <f t="shared" si="1"/>
        <v>0.54</v>
      </c>
      <c r="H21" s="7">
        <f>IF(F21=0,"",MAX(0,(G21+Guide!$B$4^2/(2*F21))/(1+Guide!$B$4^2/F21)-Guide!$B$4*SQRT(G21*(1-G21)/F21+Guide!$B$4^2/(4*F21^2))/(1+Guide!$B$4^2/F21)))</f>
        <v>0.40398634328388083</v>
      </c>
      <c r="I21" s="7">
        <f>IF(F21=0,"",MIN(1,(G21+Guide!$B$4^2/(2*F21))/(1+Guide!$B$4^2/F21)+Guide!$B$4*SQRT(G21*(1-G21)/F21+Guide!$B$4^2/(4*F21^2))/(1+Guide!$B$4^2/F21)))</f>
        <v>0.67030565398217368</v>
      </c>
      <c r="J21" s="7">
        <f t="shared" si="2"/>
        <v>0.1360136567161192</v>
      </c>
      <c r="K21" s="7">
        <f t="shared" si="3"/>
        <v>0.13030565398217364</v>
      </c>
      <c r="L21" s="6" t="str">
        <f t="shared" si="4"/>
        <v>54.0% [40.4%–67.0%]</v>
      </c>
      <c r="M21" s="6" t="s">
        <v>89</v>
      </c>
      <c r="N21" s="6" t="s">
        <v>86</v>
      </c>
      <c r="O21" s="6"/>
    </row>
    <row r="22" spans="1:15" ht="36" customHeight="1">
      <c r="A22" s="6" t="s">
        <v>110</v>
      </c>
      <c r="B22" s="6" t="s">
        <v>90</v>
      </c>
      <c r="C22" s="6" t="s">
        <v>85</v>
      </c>
      <c r="D22" s="8">
        <v>29</v>
      </c>
      <c r="E22" s="8">
        <v>21</v>
      </c>
      <c r="F22" s="8">
        <f t="shared" si="0"/>
        <v>50</v>
      </c>
      <c r="G22" s="7">
        <f t="shared" si="1"/>
        <v>0.57999999999999996</v>
      </c>
      <c r="H22" s="7">
        <f>IF(F22=0,"",MAX(0,(G22+Guide!$B$4^2/(2*F22))/(1+Guide!$B$4^2/F22)-Guide!$B$4*SQRT(G22*(1-G22)/F22+Guide!$B$4^2/(4*F22^2))/(1+Guide!$B$4^2/F22)))</f>
        <v>0.44233196687777832</v>
      </c>
      <c r="I22" s="7">
        <f>IF(F22=0,"",MIN(1,(G22+Guide!$B$4^2/(2*F22))/(1+Guide!$B$4^2/F22)+Guide!$B$4*SQRT(G22*(1-G22)/F22+Guide!$B$4^2/(4*F22^2))/(1+Guide!$B$4^2/F22)))</f>
        <v>0.70625202765433071</v>
      </c>
      <c r="J22" s="7">
        <f t="shared" si="2"/>
        <v>0.13766803312222164</v>
      </c>
      <c r="K22" s="7">
        <f t="shared" si="3"/>
        <v>0.12625202765433075</v>
      </c>
      <c r="L22" s="6" t="str">
        <f t="shared" si="4"/>
        <v>58.0% [44.2%–70.6%]</v>
      </c>
      <c r="M22" s="6" t="s">
        <v>90</v>
      </c>
      <c r="N22" s="6" t="s">
        <v>86</v>
      </c>
      <c r="O22" s="6"/>
    </row>
  </sheetData>
  <mergeCells count="2">
    <mergeCell ref="A1:O1"/>
    <mergeCell ref="A2:O2"/>
  </mergeCells>
  <conditionalFormatting sqref="A5:O22">
    <cfRule type="expression" dxfId="2" priority="1">
      <formula>$C5="Partial familiar-only baseline"</formula>
    </cfRule>
  </conditionalFormatting>
  <conditionalFormatting sqref="G5:G22">
    <cfRule type="dataBar" priority="2">
      <dataBar>
        <cfvo type="num" val="0"/>
        <cfvo type="num" val="1"/>
        <color rgb="FF2F67E8"/>
      </dataBar>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2"/>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4"/>
  <cols>
    <col min="1" max="1" width="31" customWidth="1"/>
    <col min="2" max="2" width="23" customWidth="1"/>
    <col min="3" max="3" width="21" customWidth="1"/>
    <col min="4" max="6" width="10" customWidth="1"/>
    <col min="7" max="11" width="13" customWidth="1"/>
    <col min="12" max="12" width="24" customWidth="1"/>
    <col min="13" max="13" width="18" customWidth="1"/>
    <col min="14" max="14" width="38" customWidth="1"/>
    <col min="15" max="15" width="45" customWidth="1"/>
  </cols>
  <sheetData>
    <row r="1" spans="1:29" ht="30" customHeight="1">
      <c r="A1" s="15" t="s">
        <v>113</v>
      </c>
      <c r="B1" s="15"/>
      <c r="C1" s="15"/>
      <c r="D1" s="15"/>
      <c r="E1" s="15"/>
      <c r="F1" s="15"/>
      <c r="G1" s="15"/>
      <c r="H1" s="15"/>
      <c r="I1" s="15"/>
      <c r="J1" s="15"/>
      <c r="K1" s="15"/>
      <c r="L1" s="15"/>
      <c r="M1" s="15"/>
      <c r="N1" s="15"/>
      <c r="O1" s="15"/>
      <c r="P1" s="14"/>
      <c r="Q1" s="14"/>
      <c r="R1" s="14"/>
      <c r="S1" s="14"/>
      <c r="T1" s="14"/>
      <c r="U1" s="14"/>
      <c r="V1" s="14"/>
      <c r="W1" s="14"/>
      <c r="X1" s="14"/>
      <c r="Y1" s="14"/>
      <c r="Z1" s="14"/>
      <c r="AA1" s="14"/>
      <c r="AB1" s="14"/>
      <c r="AC1" s="14"/>
    </row>
    <row r="2" spans="1:29" ht="32" customHeight="1">
      <c r="A2" s="16" t="s">
        <v>114</v>
      </c>
      <c r="B2" s="16"/>
      <c r="C2" s="16"/>
      <c r="D2" s="16"/>
      <c r="E2" s="16"/>
      <c r="F2" s="16"/>
      <c r="G2" s="16"/>
      <c r="H2" s="16"/>
      <c r="I2" s="16"/>
      <c r="J2" s="16"/>
      <c r="K2" s="16"/>
      <c r="L2" s="16"/>
      <c r="M2" s="16"/>
      <c r="N2" s="16"/>
      <c r="O2" s="16"/>
      <c r="P2" s="14"/>
      <c r="Q2" s="14"/>
      <c r="R2" s="14"/>
      <c r="S2" s="14"/>
      <c r="T2" s="14"/>
      <c r="U2" s="14"/>
      <c r="V2" s="14"/>
      <c r="W2" s="14"/>
      <c r="X2" s="14"/>
      <c r="Y2" s="14"/>
      <c r="Z2" s="14"/>
      <c r="AA2" s="14"/>
      <c r="AB2" s="14"/>
      <c r="AC2" s="14"/>
    </row>
    <row r="4" spans="1:29" ht="36" customHeight="1">
      <c r="A4" s="4" t="s">
        <v>99</v>
      </c>
      <c r="B4" s="4" t="s">
        <v>69</v>
      </c>
      <c r="C4" s="4" t="s">
        <v>70</v>
      </c>
      <c r="D4" s="4" t="s">
        <v>71</v>
      </c>
      <c r="E4" s="4" t="s">
        <v>72</v>
      </c>
      <c r="F4" s="4" t="s">
        <v>73</v>
      </c>
      <c r="G4" s="4" t="s">
        <v>74</v>
      </c>
      <c r="H4" s="4" t="s">
        <v>75</v>
      </c>
      <c r="I4" s="4" t="s">
        <v>76</v>
      </c>
      <c r="J4" s="4" t="s">
        <v>77</v>
      </c>
      <c r="K4" s="4" t="s">
        <v>78</v>
      </c>
      <c r="L4" s="4" t="s">
        <v>79</v>
      </c>
      <c r="M4" s="4" t="s">
        <v>80</v>
      </c>
      <c r="N4" s="4" t="s">
        <v>81</v>
      </c>
      <c r="O4" s="4" t="s">
        <v>82</v>
      </c>
    </row>
    <row r="5" spans="1:29" ht="36" customHeight="1">
      <c r="A5" s="6" t="s">
        <v>100</v>
      </c>
      <c r="B5" s="6" t="s">
        <v>84</v>
      </c>
      <c r="C5" s="6" t="s">
        <v>85</v>
      </c>
      <c r="D5" s="8">
        <v>20</v>
      </c>
      <c r="E5" s="8">
        <v>0</v>
      </c>
      <c r="F5" s="8">
        <f t="shared" ref="F5:F22" si="0">D5+E5</f>
        <v>20</v>
      </c>
      <c r="G5" s="7">
        <f t="shared" ref="G5:G22" si="1">IF(F5=0,"",D5/F5)</f>
        <v>1</v>
      </c>
      <c r="H5" s="7">
        <f>IF(F5=0,"",MAX(0,(G5+Guide!$B$4^2/(2*F5))/(1+Guide!$B$4^2/F5)-Guide!$B$4*SQRT(G5*(1-G5)/F5+Guide!$B$4^2/(4*F5^2))/(1+Guide!$B$4^2/F5)))</f>
        <v>0.83886987450506667</v>
      </c>
      <c r="I5" s="7">
        <f>IF(F5=0,"",MIN(1,(G5+Guide!$B$4^2/(2*F5))/(1+Guide!$B$4^2/F5)+Guide!$B$4*SQRT(G5*(1-G5)/F5+Guide!$B$4^2/(4*F5^2))/(1+Guide!$B$4^2/F5)))</f>
        <v>1</v>
      </c>
      <c r="J5" s="7">
        <f t="shared" ref="J5:J22" si="2">IF(F5=0,"",G5-H5)</f>
        <v>0.16113012549493333</v>
      </c>
      <c r="K5" s="7">
        <f t="shared" ref="K5:K22" si="3">IF(F5=0,"",I5-G5)</f>
        <v>0</v>
      </c>
      <c r="L5" s="6" t="str">
        <f t="shared" ref="L5:L22" si="4">IF(F5=0,"",TEXT(G5,"0.0%")&amp;" ["&amp;TEXT(H5,"0.0%")&amp;"–"&amp;TEXT(I5,"0.0%")&amp;"]")</f>
        <v>100.0% [83.9%–100.0%]</v>
      </c>
      <c r="M5" s="6" t="s">
        <v>84</v>
      </c>
      <c r="N5" s="6" t="s">
        <v>95</v>
      </c>
      <c r="O5" s="6"/>
    </row>
    <row r="6" spans="1:29" ht="36" customHeight="1">
      <c r="A6" s="6" t="s">
        <v>100</v>
      </c>
      <c r="B6" s="6" t="s">
        <v>88</v>
      </c>
      <c r="C6" s="6" t="s">
        <v>85</v>
      </c>
      <c r="D6" s="8">
        <v>18</v>
      </c>
      <c r="E6" s="8">
        <v>2</v>
      </c>
      <c r="F6" s="8">
        <f t="shared" si="0"/>
        <v>20</v>
      </c>
      <c r="G6" s="7">
        <f t="shared" si="1"/>
        <v>0.9</v>
      </c>
      <c r="H6" s="7">
        <f>IF(F6=0,"",MAX(0,(G6+Guide!$B$4^2/(2*F6))/(1+Guide!$B$4^2/F6)-Guide!$B$4*SQRT(G6*(1-G6)/F6+Guide!$B$4^2/(4*F6^2))/(1+Guide!$B$4^2/F6)))</f>
        <v>0.69896179358820665</v>
      </c>
      <c r="I6" s="7">
        <f>IF(F6=0,"",MIN(1,(G6+Guide!$B$4^2/(2*F6))/(1+Guide!$B$4^2/F6)+Guide!$B$4*SQRT(G6*(1-G6)/F6+Guide!$B$4^2/(4*F6^2))/(1+Guide!$B$4^2/F6)))</f>
        <v>0.97213410601584682</v>
      </c>
      <c r="J6" s="7">
        <f t="shared" si="2"/>
        <v>0.20103820641179337</v>
      </c>
      <c r="K6" s="7">
        <f t="shared" si="3"/>
        <v>7.2134106015846799E-2</v>
      </c>
      <c r="L6" s="6" t="str">
        <f t="shared" si="4"/>
        <v>90.0% [69.9%–97.2%]</v>
      </c>
      <c r="M6" s="6" t="s">
        <v>89</v>
      </c>
      <c r="N6" s="6" t="s">
        <v>95</v>
      </c>
      <c r="O6" s="6"/>
    </row>
    <row r="7" spans="1:29" ht="36" customHeight="1">
      <c r="A7" s="6" t="s">
        <v>100</v>
      </c>
      <c r="B7" s="6" t="s">
        <v>90</v>
      </c>
      <c r="C7" s="6" t="s">
        <v>85</v>
      </c>
      <c r="D7" s="8">
        <v>19</v>
      </c>
      <c r="E7" s="8">
        <v>1</v>
      </c>
      <c r="F7" s="8">
        <f t="shared" si="0"/>
        <v>20</v>
      </c>
      <c r="G7" s="7">
        <f t="shared" si="1"/>
        <v>0.95</v>
      </c>
      <c r="H7" s="7">
        <f>IF(F7=0,"",MAX(0,(G7+Guide!$B$4^2/(2*F7))/(1+Guide!$B$4^2/F7)-Guide!$B$4*SQRT(G7*(1-G7)/F7+Guide!$B$4^2/(4*F7^2))/(1+Guide!$B$4^2/F7)))</f>
        <v>0.76386410648743308</v>
      </c>
      <c r="I7" s="7">
        <f>IF(F7=0,"",MIN(1,(G7+Guide!$B$4^2/(2*F7))/(1+Guide!$B$4^2/F7)+Guide!$B$4*SQRT(G7*(1-G7)/F7+Guide!$B$4^2/(4*F7^2))/(1+Guide!$B$4^2/F7)))</f>
        <v>0.99111878056712677</v>
      </c>
      <c r="J7" s="7">
        <f t="shared" si="2"/>
        <v>0.18613589351256687</v>
      </c>
      <c r="K7" s="7">
        <f t="shared" si="3"/>
        <v>4.1118780567126811E-2</v>
      </c>
      <c r="L7" s="6" t="str">
        <f t="shared" si="4"/>
        <v>95.0% [76.4%–99.1%]</v>
      </c>
      <c r="M7" s="6" t="s">
        <v>90</v>
      </c>
      <c r="N7" s="6" t="s">
        <v>95</v>
      </c>
      <c r="O7" s="6"/>
    </row>
    <row r="8" spans="1:29" ht="36" customHeight="1">
      <c r="A8" s="6" t="s">
        <v>106</v>
      </c>
      <c r="B8" s="6" t="s">
        <v>84</v>
      </c>
      <c r="C8" s="6" t="s">
        <v>85</v>
      </c>
      <c r="D8" s="8">
        <v>16</v>
      </c>
      <c r="E8" s="8">
        <v>4</v>
      </c>
      <c r="F8" s="8">
        <f t="shared" si="0"/>
        <v>20</v>
      </c>
      <c r="G8" s="7">
        <f t="shared" si="1"/>
        <v>0.8</v>
      </c>
      <c r="H8" s="7">
        <f>IF(F8=0,"",MAX(0,(G8+Guide!$B$4^2/(2*F8))/(1+Guide!$B$4^2/F8)-Guide!$B$4*SQRT(G8*(1-G8)/F8+Guide!$B$4^2/(4*F8^2))/(1+Guide!$B$4^2/F8)))</f>
        <v>0.58397827797424007</v>
      </c>
      <c r="I8" s="7">
        <f>IF(F8=0,"",MIN(1,(G8+Guide!$B$4^2/(2*F8))/(1+Guide!$B$4^2/F8)+Guide!$B$4*SQRT(G8*(1-G8)/F8+Guide!$B$4^2/(4*F8^2))/(1+Guide!$B$4^2/F8)))</f>
        <v>0.91934364672879998</v>
      </c>
      <c r="J8" s="7">
        <f t="shared" si="2"/>
        <v>0.21602172202575998</v>
      </c>
      <c r="K8" s="7">
        <f t="shared" si="3"/>
        <v>0.11934364672879993</v>
      </c>
      <c r="L8" s="6" t="str">
        <f t="shared" si="4"/>
        <v>80.0% [58.4%–91.9%]</v>
      </c>
      <c r="M8" s="6" t="s">
        <v>84</v>
      </c>
      <c r="N8" s="6" t="s">
        <v>95</v>
      </c>
      <c r="O8" s="6"/>
    </row>
    <row r="9" spans="1:29" ht="36" customHeight="1">
      <c r="A9" s="6" t="s">
        <v>106</v>
      </c>
      <c r="B9" s="6" t="s">
        <v>88</v>
      </c>
      <c r="C9" s="6" t="s">
        <v>85</v>
      </c>
      <c r="D9" s="8">
        <v>11</v>
      </c>
      <c r="E9" s="8">
        <v>9</v>
      </c>
      <c r="F9" s="8">
        <f t="shared" si="0"/>
        <v>20</v>
      </c>
      <c r="G9" s="7">
        <f t="shared" si="1"/>
        <v>0.55000000000000004</v>
      </c>
      <c r="H9" s="7">
        <f>IF(F9=0,"",MAX(0,(G9+Guide!$B$4^2/(2*F9))/(1+Guide!$B$4^2/F9)-Guide!$B$4*SQRT(G9*(1-G9)/F9+Guide!$B$4^2/(4*F9^2))/(1+Guide!$B$4^2/F9)))</f>
        <v>0.34208200830759972</v>
      </c>
      <c r="I9" s="7">
        <f>IF(F9=0,"",MIN(1,(G9+Guide!$B$4^2/(2*F9))/(1+Guide!$B$4^2/F9)+Guide!$B$4*SQRT(G9*(1-G9)/F9+Guide!$B$4^2/(4*F9^2))/(1+Guide!$B$4^2/F9)))</f>
        <v>0.74180497914290711</v>
      </c>
      <c r="J9" s="7">
        <f t="shared" si="2"/>
        <v>0.20791799169240033</v>
      </c>
      <c r="K9" s="7">
        <f t="shared" si="3"/>
        <v>0.19180497914290706</v>
      </c>
      <c r="L9" s="6" t="str">
        <f t="shared" si="4"/>
        <v>55.0% [34.2%–74.2%]</v>
      </c>
      <c r="M9" s="6" t="s">
        <v>89</v>
      </c>
      <c r="N9" s="6" t="s">
        <v>95</v>
      </c>
      <c r="O9" s="6"/>
    </row>
    <row r="10" spans="1:29" ht="36" customHeight="1">
      <c r="A10" s="6" t="s">
        <v>106</v>
      </c>
      <c r="B10" s="6" t="s">
        <v>90</v>
      </c>
      <c r="C10" s="6" t="s">
        <v>85</v>
      </c>
      <c r="D10" s="8">
        <v>12</v>
      </c>
      <c r="E10" s="8">
        <v>8</v>
      </c>
      <c r="F10" s="8">
        <f t="shared" si="0"/>
        <v>20</v>
      </c>
      <c r="G10" s="7">
        <f t="shared" si="1"/>
        <v>0.6</v>
      </c>
      <c r="H10" s="7">
        <f>IF(F10=0,"",MAX(0,(G10+Guide!$B$4^2/(2*F10))/(1+Guide!$B$4^2/F10)-Guide!$B$4*SQRT(G10*(1-G10)/F10+Guide!$B$4^2/(4*F10^2))/(1+Guide!$B$4^2/F10)))</f>
        <v>0.38657794231520609</v>
      </c>
      <c r="I10" s="7">
        <f>IF(F10=0,"",MIN(1,(G10+Guide!$B$4^2/(2*F10))/(1+Guide!$B$4^2/F10)+Guide!$B$4*SQRT(G10*(1-G10)/F10+Guide!$B$4^2/(4*F10^2))/(1+Guide!$B$4^2/F10)))</f>
        <v>0.78119603258580739</v>
      </c>
      <c r="J10" s="7">
        <f t="shared" si="2"/>
        <v>0.21342205768479389</v>
      </c>
      <c r="K10" s="7">
        <f t="shared" si="3"/>
        <v>0.18119603258580741</v>
      </c>
      <c r="L10" s="6" t="str">
        <f t="shared" si="4"/>
        <v>60.0% [38.7%–78.1%]</v>
      </c>
      <c r="M10" s="6" t="s">
        <v>90</v>
      </c>
      <c r="N10" s="6" t="s">
        <v>95</v>
      </c>
      <c r="O10" s="6"/>
    </row>
    <row r="11" spans="1:29" ht="36" customHeight="1">
      <c r="A11" s="6" t="s">
        <v>107</v>
      </c>
      <c r="B11" s="6" t="s">
        <v>84</v>
      </c>
      <c r="C11" s="6" t="s">
        <v>85</v>
      </c>
      <c r="D11" s="8">
        <v>17</v>
      </c>
      <c r="E11" s="8">
        <v>3</v>
      </c>
      <c r="F11" s="8">
        <f t="shared" si="0"/>
        <v>20</v>
      </c>
      <c r="G11" s="7">
        <f t="shared" si="1"/>
        <v>0.85</v>
      </c>
      <c r="H11" s="7">
        <f>IF(F11=0,"",MAX(0,(G11+Guide!$B$4^2/(2*F11))/(1+Guide!$B$4^2/F11)-Guide!$B$4*SQRT(G11*(1-G11)/F11+Guide!$B$4^2/(4*F11^2))/(1+Guide!$B$4^2/F11)))</f>
        <v>0.63957670411304257</v>
      </c>
      <c r="I11" s="7">
        <f>IF(F11=0,"",MIN(1,(G11+Guide!$B$4^2/(2*F11))/(1+Guide!$B$4^2/F11)+Guide!$B$4*SQRT(G11*(1-G11)/F11+Guide!$B$4^2/(4*F11^2))/(1+Guide!$B$4^2/F11)))</f>
        <v>0.94763220804050408</v>
      </c>
      <c r="J11" s="7">
        <f t="shared" si="2"/>
        <v>0.21042329588695741</v>
      </c>
      <c r="K11" s="7">
        <f t="shared" si="3"/>
        <v>9.7632208040504098E-2</v>
      </c>
      <c r="L11" s="6" t="str">
        <f t="shared" si="4"/>
        <v>85.0% [64.0%–94.8%]</v>
      </c>
      <c r="M11" s="6" t="s">
        <v>84</v>
      </c>
      <c r="N11" s="6" t="s">
        <v>95</v>
      </c>
      <c r="O11" s="6"/>
    </row>
    <row r="12" spans="1:29" ht="36" customHeight="1">
      <c r="A12" s="6" t="s">
        <v>107</v>
      </c>
      <c r="B12" s="6" t="s">
        <v>88</v>
      </c>
      <c r="C12" s="6" t="s">
        <v>85</v>
      </c>
      <c r="D12" s="8">
        <v>20</v>
      </c>
      <c r="E12" s="8">
        <v>0</v>
      </c>
      <c r="F12" s="8">
        <f t="shared" si="0"/>
        <v>20</v>
      </c>
      <c r="G12" s="7">
        <f t="shared" si="1"/>
        <v>1</v>
      </c>
      <c r="H12" s="7">
        <f>IF(F12=0,"",MAX(0,(G12+Guide!$B$4^2/(2*F12))/(1+Guide!$B$4^2/F12)-Guide!$B$4*SQRT(G12*(1-G12)/F12+Guide!$B$4^2/(4*F12^2))/(1+Guide!$B$4^2/F12)))</f>
        <v>0.83886987450506667</v>
      </c>
      <c r="I12" s="7">
        <f>IF(F12=0,"",MIN(1,(G12+Guide!$B$4^2/(2*F12))/(1+Guide!$B$4^2/F12)+Guide!$B$4*SQRT(G12*(1-G12)/F12+Guide!$B$4^2/(4*F12^2))/(1+Guide!$B$4^2/F12)))</f>
        <v>1</v>
      </c>
      <c r="J12" s="7">
        <f t="shared" si="2"/>
        <v>0.16113012549493333</v>
      </c>
      <c r="K12" s="7">
        <f t="shared" si="3"/>
        <v>0</v>
      </c>
      <c r="L12" s="6" t="str">
        <f t="shared" si="4"/>
        <v>100.0% [83.9%–100.0%]</v>
      </c>
      <c r="M12" s="6" t="s">
        <v>89</v>
      </c>
      <c r="N12" s="6" t="s">
        <v>95</v>
      </c>
      <c r="O12" s="6"/>
    </row>
    <row r="13" spans="1:29" ht="36" customHeight="1">
      <c r="A13" s="6" t="s">
        <v>107</v>
      </c>
      <c r="B13" s="6" t="s">
        <v>90</v>
      </c>
      <c r="C13" s="6" t="s">
        <v>85</v>
      </c>
      <c r="D13" s="8">
        <v>19</v>
      </c>
      <c r="E13" s="8">
        <v>1</v>
      </c>
      <c r="F13" s="8">
        <f t="shared" si="0"/>
        <v>20</v>
      </c>
      <c r="G13" s="7">
        <f t="shared" si="1"/>
        <v>0.95</v>
      </c>
      <c r="H13" s="7">
        <f>IF(F13=0,"",MAX(0,(G13+Guide!$B$4^2/(2*F13))/(1+Guide!$B$4^2/F13)-Guide!$B$4*SQRT(G13*(1-G13)/F13+Guide!$B$4^2/(4*F13^2))/(1+Guide!$B$4^2/F13)))</f>
        <v>0.76386410648743308</v>
      </c>
      <c r="I13" s="7">
        <f>IF(F13=0,"",MIN(1,(G13+Guide!$B$4^2/(2*F13))/(1+Guide!$B$4^2/F13)+Guide!$B$4*SQRT(G13*(1-G13)/F13+Guide!$B$4^2/(4*F13^2))/(1+Guide!$B$4^2/F13)))</f>
        <v>0.99111878056712677</v>
      </c>
      <c r="J13" s="7">
        <f t="shared" si="2"/>
        <v>0.18613589351256687</v>
      </c>
      <c r="K13" s="7">
        <f t="shared" si="3"/>
        <v>4.1118780567126811E-2</v>
      </c>
      <c r="L13" s="6" t="str">
        <f t="shared" si="4"/>
        <v>95.0% [76.4%–99.1%]</v>
      </c>
      <c r="M13" s="6" t="s">
        <v>90</v>
      </c>
      <c r="N13" s="6" t="s">
        <v>95</v>
      </c>
      <c r="O13" s="6"/>
    </row>
    <row r="14" spans="1:29" ht="36" customHeight="1">
      <c r="A14" s="6" t="s">
        <v>108</v>
      </c>
      <c r="B14" s="6" t="s">
        <v>84</v>
      </c>
      <c r="C14" s="6" t="s">
        <v>85</v>
      </c>
      <c r="D14" s="8">
        <v>17</v>
      </c>
      <c r="E14" s="8">
        <v>3</v>
      </c>
      <c r="F14" s="8">
        <f t="shared" si="0"/>
        <v>20</v>
      </c>
      <c r="G14" s="7">
        <f t="shared" si="1"/>
        <v>0.85</v>
      </c>
      <c r="H14" s="7">
        <f>IF(F14=0,"",MAX(0,(G14+Guide!$B$4^2/(2*F14))/(1+Guide!$B$4^2/F14)-Guide!$B$4*SQRT(G14*(1-G14)/F14+Guide!$B$4^2/(4*F14^2))/(1+Guide!$B$4^2/F14)))</f>
        <v>0.63957670411304257</v>
      </c>
      <c r="I14" s="7">
        <f>IF(F14=0,"",MIN(1,(G14+Guide!$B$4^2/(2*F14))/(1+Guide!$B$4^2/F14)+Guide!$B$4*SQRT(G14*(1-G14)/F14+Guide!$B$4^2/(4*F14^2))/(1+Guide!$B$4^2/F14)))</f>
        <v>0.94763220804050408</v>
      </c>
      <c r="J14" s="7">
        <f t="shared" si="2"/>
        <v>0.21042329588695741</v>
      </c>
      <c r="K14" s="7">
        <f t="shared" si="3"/>
        <v>9.7632208040504098E-2</v>
      </c>
      <c r="L14" s="6" t="str">
        <f t="shared" si="4"/>
        <v>85.0% [64.0%–94.8%]</v>
      </c>
      <c r="M14" s="6" t="s">
        <v>84</v>
      </c>
      <c r="N14" s="6" t="s">
        <v>95</v>
      </c>
      <c r="O14" s="6"/>
    </row>
    <row r="15" spans="1:29" ht="36" customHeight="1">
      <c r="A15" s="6" t="s">
        <v>108</v>
      </c>
      <c r="B15" s="6" t="s">
        <v>88</v>
      </c>
      <c r="C15" s="6" t="s">
        <v>85</v>
      </c>
      <c r="D15" s="8">
        <v>18</v>
      </c>
      <c r="E15" s="8">
        <v>2</v>
      </c>
      <c r="F15" s="8">
        <f t="shared" si="0"/>
        <v>20</v>
      </c>
      <c r="G15" s="7">
        <f t="shared" si="1"/>
        <v>0.9</v>
      </c>
      <c r="H15" s="7">
        <f>IF(F15=0,"",MAX(0,(G15+Guide!$B$4^2/(2*F15))/(1+Guide!$B$4^2/F15)-Guide!$B$4*SQRT(G15*(1-G15)/F15+Guide!$B$4^2/(4*F15^2))/(1+Guide!$B$4^2/F15)))</f>
        <v>0.69896179358820665</v>
      </c>
      <c r="I15" s="7">
        <f>IF(F15=0,"",MIN(1,(G15+Guide!$B$4^2/(2*F15))/(1+Guide!$B$4^2/F15)+Guide!$B$4*SQRT(G15*(1-G15)/F15+Guide!$B$4^2/(4*F15^2))/(1+Guide!$B$4^2/F15)))</f>
        <v>0.97213410601584682</v>
      </c>
      <c r="J15" s="7">
        <f t="shared" si="2"/>
        <v>0.20103820641179337</v>
      </c>
      <c r="K15" s="7">
        <f t="shared" si="3"/>
        <v>7.2134106015846799E-2</v>
      </c>
      <c r="L15" s="6" t="str">
        <f t="shared" si="4"/>
        <v>90.0% [69.9%–97.2%]</v>
      </c>
      <c r="M15" s="6" t="s">
        <v>89</v>
      </c>
      <c r="N15" s="6" t="s">
        <v>95</v>
      </c>
      <c r="O15" s="6"/>
    </row>
    <row r="16" spans="1:29" ht="36" customHeight="1">
      <c r="A16" s="6" t="s">
        <v>108</v>
      </c>
      <c r="B16" s="6" t="s">
        <v>90</v>
      </c>
      <c r="C16" s="6" t="s">
        <v>85</v>
      </c>
      <c r="D16" s="8">
        <v>17</v>
      </c>
      <c r="E16" s="8">
        <v>3</v>
      </c>
      <c r="F16" s="8">
        <f t="shared" si="0"/>
        <v>20</v>
      </c>
      <c r="G16" s="7">
        <f t="shared" si="1"/>
        <v>0.85</v>
      </c>
      <c r="H16" s="7">
        <f>IF(F16=0,"",MAX(0,(G16+Guide!$B$4^2/(2*F16))/(1+Guide!$B$4^2/F16)-Guide!$B$4*SQRT(G16*(1-G16)/F16+Guide!$B$4^2/(4*F16^2))/(1+Guide!$B$4^2/F16)))</f>
        <v>0.63957670411304257</v>
      </c>
      <c r="I16" s="7">
        <f>IF(F16=0,"",MIN(1,(G16+Guide!$B$4^2/(2*F16))/(1+Guide!$B$4^2/F16)+Guide!$B$4*SQRT(G16*(1-G16)/F16+Guide!$B$4^2/(4*F16^2))/(1+Guide!$B$4^2/F16)))</f>
        <v>0.94763220804050408</v>
      </c>
      <c r="J16" s="7">
        <f t="shared" si="2"/>
        <v>0.21042329588695741</v>
      </c>
      <c r="K16" s="7">
        <f t="shared" si="3"/>
        <v>9.7632208040504098E-2</v>
      </c>
      <c r="L16" s="6" t="str">
        <f t="shared" si="4"/>
        <v>85.0% [64.0%–94.8%]</v>
      </c>
      <c r="M16" s="6" t="s">
        <v>90</v>
      </c>
      <c r="N16" s="6" t="s">
        <v>95</v>
      </c>
      <c r="O16" s="6"/>
    </row>
    <row r="17" spans="1:15" ht="36" customHeight="1">
      <c r="A17" s="6" t="s">
        <v>109</v>
      </c>
      <c r="B17" s="6" t="s">
        <v>84</v>
      </c>
      <c r="C17" s="6" t="s">
        <v>85</v>
      </c>
      <c r="D17" s="8">
        <v>17</v>
      </c>
      <c r="E17" s="8">
        <v>3</v>
      </c>
      <c r="F17" s="8">
        <f t="shared" si="0"/>
        <v>20</v>
      </c>
      <c r="G17" s="7">
        <f t="shared" si="1"/>
        <v>0.85</v>
      </c>
      <c r="H17" s="7">
        <f>IF(F17=0,"",MAX(0,(G17+Guide!$B$4^2/(2*F17))/(1+Guide!$B$4^2/F17)-Guide!$B$4*SQRT(G17*(1-G17)/F17+Guide!$B$4^2/(4*F17^2))/(1+Guide!$B$4^2/F17)))</f>
        <v>0.63957670411304257</v>
      </c>
      <c r="I17" s="7">
        <f>IF(F17=0,"",MIN(1,(G17+Guide!$B$4^2/(2*F17))/(1+Guide!$B$4^2/F17)+Guide!$B$4*SQRT(G17*(1-G17)/F17+Guide!$B$4^2/(4*F17^2))/(1+Guide!$B$4^2/F17)))</f>
        <v>0.94763220804050408</v>
      </c>
      <c r="J17" s="7">
        <f t="shared" si="2"/>
        <v>0.21042329588695741</v>
      </c>
      <c r="K17" s="7">
        <f t="shared" si="3"/>
        <v>9.7632208040504098E-2</v>
      </c>
      <c r="L17" s="6" t="str">
        <f t="shared" si="4"/>
        <v>85.0% [64.0%–94.8%]</v>
      </c>
      <c r="M17" s="6" t="s">
        <v>84</v>
      </c>
      <c r="N17" s="6" t="s">
        <v>95</v>
      </c>
      <c r="O17" s="6"/>
    </row>
    <row r="18" spans="1:15" ht="36" customHeight="1">
      <c r="A18" s="6" t="s">
        <v>109</v>
      </c>
      <c r="B18" s="6" t="s">
        <v>88</v>
      </c>
      <c r="C18" s="6" t="s">
        <v>85</v>
      </c>
      <c r="D18" s="8">
        <v>13</v>
      </c>
      <c r="E18" s="8">
        <v>7</v>
      </c>
      <c r="F18" s="8">
        <f t="shared" si="0"/>
        <v>20</v>
      </c>
      <c r="G18" s="7">
        <f t="shared" si="1"/>
        <v>0.65</v>
      </c>
      <c r="H18" s="7">
        <f>IF(F18=0,"",MAX(0,(G18+Guide!$B$4^2/(2*F18))/(1+Guide!$B$4^2/F18)-Guide!$B$4*SQRT(G18*(1-G18)/F18+Guide!$B$4^2/(4*F18^2))/(1+Guide!$B$4^2/F18)))</f>
        <v>0.43285051021946463</v>
      </c>
      <c r="I18" s="7">
        <f>IF(F18=0,"",MIN(1,(G18+Guide!$B$4^2/(2*F18))/(1+Guide!$B$4^2/F18)+Guide!$B$4*SQRT(G18*(1-G18)/F18+Guide!$B$4^2/(4*F18^2))/(1+Guide!$B$4^2/F18)))</f>
        <v>0.81881045213205539</v>
      </c>
      <c r="J18" s="7">
        <f t="shared" si="2"/>
        <v>0.21714948978053539</v>
      </c>
      <c r="K18" s="7">
        <f t="shared" si="3"/>
        <v>0.16881045213205537</v>
      </c>
      <c r="L18" s="6" t="str">
        <f t="shared" si="4"/>
        <v>65.0% [43.3%–81.9%]</v>
      </c>
      <c r="M18" s="6" t="s">
        <v>89</v>
      </c>
      <c r="N18" s="6" t="s">
        <v>95</v>
      </c>
      <c r="O18" s="6"/>
    </row>
    <row r="19" spans="1:15" ht="36" customHeight="1">
      <c r="A19" s="6" t="s">
        <v>109</v>
      </c>
      <c r="B19" s="6" t="s">
        <v>90</v>
      </c>
      <c r="C19" s="6" t="s">
        <v>85</v>
      </c>
      <c r="D19" s="8">
        <v>12</v>
      </c>
      <c r="E19" s="8">
        <v>8</v>
      </c>
      <c r="F19" s="8">
        <f t="shared" si="0"/>
        <v>20</v>
      </c>
      <c r="G19" s="7">
        <f t="shared" si="1"/>
        <v>0.6</v>
      </c>
      <c r="H19" s="7">
        <f>IF(F19=0,"",MAX(0,(G19+Guide!$B$4^2/(2*F19))/(1+Guide!$B$4^2/F19)-Guide!$B$4*SQRT(G19*(1-G19)/F19+Guide!$B$4^2/(4*F19^2))/(1+Guide!$B$4^2/F19)))</f>
        <v>0.38657794231520609</v>
      </c>
      <c r="I19" s="7">
        <f>IF(F19=0,"",MIN(1,(G19+Guide!$B$4^2/(2*F19))/(1+Guide!$B$4^2/F19)+Guide!$B$4*SQRT(G19*(1-G19)/F19+Guide!$B$4^2/(4*F19^2))/(1+Guide!$B$4^2/F19)))</f>
        <v>0.78119603258580739</v>
      </c>
      <c r="J19" s="7">
        <f t="shared" si="2"/>
        <v>0.21342205768479389</v>
      </c>
      <c r="K19" s="7">
        <f t="shared" si="3"/>
        <v>0.18119603258580741</v>
      </c>
      <c r="L19" s="6" t="str">
        <f t="shared" si="4"/>
        <v>60.0% [38.7%–78.1%]</v>
      </c>
      <c r="M19" s="6" t="s">
        <v>90</v>
      </c>
      <c r="N19" s="6" t="s">
        <v>95</v>
      </c>
      <c r="O19" s="6"/>
    </row>
    <row r="20" spans="1:15" ht="36" customHeight="1">
      <c r="A20" s="6" t="s">
        <v>110</v>
      </c>
      <c r="B20" s="6" t="s">
        <v>84</v>
      </c>
      <c r="C20" s="6" t="s">
        <v>85</v>
      </c>
      <c r="D20" s="8">
        <v>20</v>
      </c>
      <c r="E20" s="8">
        <v>0</v>
      </c>
      <c r="F20" s="8">
        <f t="shared" si="0"/>
        <v>20</v>
      </c>
      <c r="G20" s="7">
        <f t="shared" si="1"/>
        <v>1</v>
      </c>
      <c r="H20" s="7">
        <f>IF(F20=0,"",MAX(0,(G20+Guide!$B$4^2/(2*F20))/(1+Guide!$B$4^2/F20)-Guide!$B$4*SQRT(G20*(1-G20)/F20+Guide!$B$4^2/(4*F20^2))/(1+Guide!$B$4^2/F20)))</f>
        <v>0.83886987450506667</v>
      </c>
      <c r="I20" s="7">
        <f>IF(F20=0,"",MIN(1,(G20+Guide!$B$4^2/(2*F20))/(1+Guide!$B$4^2/F20)+Guide!$B$4*SQRT(G20*(1-G20)/F20+Guide!$B$4^2/(4*F20^2))/(1+Guide!$B$4^2/F20)))</f>
        <v>1</v>
      </c>
      <c r="J20" s="7">
        <f t="shared" si="2"/>
        <v>0.16113012549493333</v>
      </c>
      <c r="K20" s="7">
        <f t="shared" si="3"/>
        <v>0</v>
      </c>
      <c r="L20" s="6" t="str">
        <f t="shared" si="4"/>
        <v>100.0% [83.9%–100.0%]</v>
      </c>
      <c r="M20" s="6" t="s">
        <v>84</v>
      </c>
      <c r="N20" s="6" t="s">
        <v>95</v>
      </c>
      <c r="O20" s="6"/>
    </row>
    <row r="21" spans="1:15" ht="36" customHeight="1">
      <c r="A21" s="6" t="s">
        <v>110</v>
      </c>
      <c r="B21" s="6" t="s">
        <v>88</v>
      </c>
      <c r="C21" s="6" t="s">
        <v>85</v>
      </c>
      <c r="D21" s="8">
        <v>20</v>
      </c>
      <c r="E21" s="8">
        <v>0</v>
      </c>
      <c r="F21" s="8">
        <f t="shared" si="0"/>
        <v>20</v>
      </c>
      <c r="G21" s="7">
        <f t="shared" si="1"/>
        <v>1</v>
      </c>
      <c r="H21" s="7">
        <f>IF(F21=0,"",MAX(0,(G21+Guide!$B$4^2/(2*F21))/(1+Guide!$B$4^2/F21)-Guide!$B$4*SQRT(G21*(1-G21)/F21+Guide!$B$4^2/(4*F21^2))/(1+Guide!$B$4^2/F21)))</f>
        <v>0.83886987450506667</v>
      </c>
      <c r="I21" s="7">
        <f>IF(F21=0,"",MIN(1,(G21+Guide!$B$4^2/(2*F21))/(1+Guide!$B$4^2/F21)+Guide!$B$4*SQRT(G21*(1-G21)/F21+Guide!$B$4^2/(4*F21^2))/(1+Guide!$B$4^2/F21)))</f>
        <v>1</v>
      </c>
      <c r="J21" s="7">
        <f t="shared" si="2"/>
        <v>0.16113012549493333</v>
      </c>
      <c r="K21" s="7">
        <f t="shared" si="3"/>
        <v>0</v>
      </c>
      <c r="L21" s="6" t="str">
        <f t="shared" si="4"/>
        <v>100.0% [83.9%–100.0%]</v>
      </c>
      <c r="M21" s="6" t="s">
        <v>89</v>
      </c>
      <c r="N21" s="6" t="s">
        <v>95</v>
      </c>
      <c r="O21" s="6"/>
    </row>
    <row r="22" spans="1:15" ht="36" customHeight="1">
      <c r="A22" s="6" t="s">
        <v>110</v>
      </c>
      <c r="B22" s="6" t="s">
        <v>90</v>
      </c>
      <c r="C22" s="6" t="s">
        <v>85</v>
      </c>
      <c r="D22" s="8">
        <v>19</v>
      </c>
      <c r="E22" s="8">
        <v>1</v>
      </c>
      <c r="F22" s="8">
        <f t="shared" si="0"/>
        <v>20</v>
      </c>
      <c r="G22" s="7">
        <f t="shared" si="1"/>
        <v>0.95</v>
      </c>
      <c r="H22" s="7">
        <f>IF(F22=0,"",MAX(0,(G22+Guide!$B$4^2/(2*F22))/(1+Guide!$B$4^2/F22)-Guide!$B$4*SQRT(G22*(1-G22)/F22+Guide!$B$4^2/(4*F22^2))/(1+Guide!$B$4^2/F22)))</f>
        <v>0.76386410648743308</v>
      </c>
      <c r="I22" s="7">
        <f>IF(F22=0,"",MIN(1,(G22+Guide!$B$4^2/(2*F22))/(1+Guide!$B$4^2/F22)+Guide!$B$4*SQRT(G22*(1-G22)/F22+Guide!$B$4^2/(4*F22^2))/(1+Guide!$B$4^2/F22)))</f>
        <v>0.99111878056712677</v>
      </c>
      <c r="J22" s="7">
        <f t="shared" si="2"/>
        <v>0.18613589351256687</v>
      </c>
      <c r="K22" s="7">
        <f t="shared" si="3"/>
        <v>4.1118780567126811E-2</v>
      </c>
      <c r="L22" s="6" t="str">
        <f t="shared" si="4"/>
        <v>95.0% [76.4%–99.1%]</v>
      </c>
      <c r="M22" s="6" t="s">
        <v>90</v>
      </c>
      <c r="N22" s="6" t="s">
        <v>95</v>
      </c>
      <c r="O22" s="6"/>
    </row>
  </sheetData>
  <mergeCells count="2">
    <mergeCell ref="A1:O1"/>
    <mergeCell ref="A2:O2"/>
  </mergeCells>
  <conditionalFormatting sqref="A5:O22">
    <cfRule type="expression" dxfId="1" priority="1">
      <formula>$C5="Partial familiar-only baseline"</formula>
    </cfRule>
  </conditionalFormatting>
  <conditionalFormatting sqref="G5:G22">
    <cfRule type="dataBar" priority="2">
      <dataBar>
        <cfvo type="num" val="0"/>
        <cfvo type="num" val="1"/>
        <color rgb="FF2F67E8"/>
      </dataBar>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94"/>
  <sheetViews>
    <sheetView showGridLines="0" workbookViewId="0">
      <pane xSplit="2" ySplit="4" topLeftCell="C88" activePane="bottomRight" state="frozen"/>
      <selection pane="topRight"/>
      <selection pane="bottomLeft"/>
      <selection pane="bottomRight" activeCell="G92" sqref="G92"/>
    </sheetView>
  </sheetViews>
  <sheetFormatPr baseColWidth="10" defaultColWidth="8.83203125" defaultRowHeight="14"/>
  <cols>
    <col min="1" max="1" width="31" customWidth="1"/>
    <col min="2" max="2" width="23" customWidth="1"/>
    <col min="3" max="3" width="21" customWidth="1"/>
    <col min="4" max="6" width="10" customWidth="1"/>
    <col min="7" max="11" width="13" customWidth="1"/>
    <col min="12" max="12" width="24" customWidth="1"/>
    <col min="13" max="13" width="18" customWidth="1"/>
    <col min="14" max="14" width="38" customWidth="1"/>
    <col min="15" max="15" width="45" customWidth="1"/>
  </cols>
  <sheetData>
    <row r="1" spans="1:29" ht="30" customHeight="1">
      <c r="A1" s="15" t="s">
        <v>115</v>
      </c>
      <c r="B1" s="15"/>
      <c r="C1" s="15"/>
      <c r="D1" s="15"/>
      <c r="E1" s="15"/>
      <c r="F1" s="15"/>
      <c r="G1" s="15"/>
      <c r="H1" s="15"/>
      <c r="I1" s="15"/>
      <c r="J1" s="15"/>
      <c r="K1" s="15"/>
      <c r="L1" s="15"/>
      <c r="M1" s="15"/>
      <c r="N1" s="15"/>
      <c r="O1" s="15"/>
      <c r="P1" s="14"/>
      <c r="Q1" s="14"/>
      <c r="R1" s="14"/>
      <c r="S1" s="14"/>
      <c r="T1" s="14"/>
      <c r="U1" s="14"/>
      <c r="V1" s="14"/>
      <c r="W1" s="14"/>
      <c r="X1" s="14"/>
      <c r="Y1" s="14"/>
      <c r="Z1" s="14"/>
      <c r="AA1" s="14"/>
      <c r="AB1" s="14"/>
      <c r="AC1" s="14"/>
    </row>
    <row r="2" spans="1:29" ht="32" customHeight="1">
      <c r="A2" s="16" t="s">
        <v>116</v>
      </c>
      <c r="B2" s="16"/>
      <c r="C2" s="16"/>
      <c r="D2" s="16"/>
      <c r="E2" s="16"/>
      <c r="F2" s="16"/>
      <c r="G2" s="16"/>
      <c r="H2" s="16"/>
      <c r="I2" s="16"/>
      <c r="J2" s="16"/>
      <c r="K2" s="16"/>
      <c r="L2" s="16"/>
      <c r="M2" s="16"/>
      <c r="N2" s="16"/>
      <c r="O2" s="16"/>
      <c r="P2" s="14"/>
      <c r="Q2" s="14"/>
      <c r="R2" s="14"/>
      <c r="S2" s="14"/>
      <c r="T2" s="14"/>
      <c r="U2" s="14"/>
      <c r="V2" s="14"/>
      <c r="W2" s="14"/>
      <c r="X2" s="14"/>
      <c r="Y2" s="14"/>
      <c r="Z2" s="14"/>
      <c r="AA2" s="14"/>
      <c r="AB2" s="14"/>
      <c r="AC2" s="14"/>
    </row>
    <row r="4" spans="1:29" ht="36" customHeight="1">
      <c r="A4" s="4" t="s">
        <v>117</v>
      </c>
      <c r="B4" s="4" t="s">
        <v>69</v>
      </c>
      <c r="C4" s="4" t="s">
        <v>70</v>
      </c>
      <c r="D4" s="4" t="s">
        <v>71</v>
      </c>
      <c r="E4" s="4" t="s">
        <v>72</v>
      </c>
      <c r="F4" s="4" t="s">
        <v>73</v>
      </c>
      <c r="G4" s="4" t="s">
        <v>74</v>
      </c>
      <c r="H4" s="4" t="s">
        <v>75</v>
      </c>
      <c r="I4" s="4" t="s">
        <v>76</v>
      </c>
      <c r="J4" s="4" t="s">
        <v>77</v>
      </c>
      <c r="K4" s="4" t="s">
        <v>78</v>
      </c>
      <c r="L4" s="4" t="s">
        <v>79</v>
      </c>
      <c r="M4" s="4" t="s">
        <v>80</v>
      </c>
      <c r="N4" s="4" t="s">
        <v>81</v>
      </c>
      <c r="O4" s="4" t="s">
        <v>82</v>
      </c>
    </row>
    <row r="5" spans="1:29" ht="72" customHeight="1">
      <c r="A5" s="6" t="s">
        <v>118</v>
      </c>
      <c r="B5" s="6" t="s">
        <v>84</v>
      </c>
      <c r="C5" s="6" t="s">
        <v>85</v>
      </c>
      <c r="D5" s="8">
        <v>30</v>
      </c>
      <c r="E5" s="8">
        <v>30</v>
      </c>
      <c r="F5" s="8">
        <f t="shared" ref="F5:F36" si="0">D5+E5</f>
        <v>60</v>
      </c>
      <c r="G5" s="7">
        <f t="shared" ref="G5:G36" si="1">IF(F5=0,"",D5/F5)</f>
        <v>0.5</v>
      </c>
      <c r="H5" s="7">
        <f>IF(F5=0,"",MAX(0,(G5+Guide!$B$4^2/(2*F5))/(1+Guide!$B$4^2/F5)-Guide!$B$4*SQRT(G5*(1-G5)/F5+Guide!$B$4^2/(4*F5^2))/(1+Guide!$B$4^2/F5)))</f>
        <v>0.37734812427246284</v>
      </c>
      <c r="I5" s="7">
        <f>IF(F5=0,"",MIN(1,(G5+Guide!$B$4^2/(2*F5))/(1+Guide!$B$4^2/F5)+Guide!$B$4*SQRT(G5*(1-G5)/F5+Guide!$B$4^2/(4*F5^2))/(1+Guide!$B$4^2/F5)))</f>
        <v>0.62265187572753722</v>
      </c>
      <c r="J5" s="7">
        <f t="shared" ref="J5:J36" si="2">IF(F5=0,"",G5-H5)</f>
        <v>0.12265187572753716</v>
      </c>
      <c r="K5" s="7">
        <f t="shared" ref="K5:K36" si="3">IF(F5=0,"",I5-G5)</f>
        <v>0.12265187572753722</v>
      </c>
      <c r="L5" s="6" t="str">
        <f t="shared" ref="L5:L36" si="4">IF(F5=0,"",TEXT(G5,"0.0%")&amp;" ["&amp;TEXT(H5,"0.0%")&amp;"–"&amp;TEXT(I5,"0.0%")&amp;"]")</f>
        <v>50.0% [37.7%–62.3%]</v>
      </c>
      <c r="M5" s="6" t="s">
        <v>84</v>
      </c>
      <c r="N5" s="6" t="s">
        <v>119</v>
      </c>
      <c r="O5" s="6" t="s">
        <v>120</v>
      </c>
    </row>
    <row r="6" spans="1:29" ht="72" customHeight="1">
      <c r="A6" s="6" t="s">
        <v>118</v>
      </c>
      <c r="B6" s="6" t="s">
        <v>88</v>
      </c>
      <c r="C6" s="6" t="s">
        <v>85</v>
      </c>
      <c r="D6" s="8">
        <v>25</v>
      </c>
      <c r="E6" s="8">
        <v>35</v>
      </c>
      <c r="F6" s="8">
        <f t="shared" si="0"/>
        <v>60</v>
      </c>
      <c r="G6" s="7">
        <f t="shared" si="1"/>
        <v>0.41666666666666669</v>
      </c>
      <c r="H6" s="7">
        <f>IF(F6=0,"",MAX(0,(G6+Guide!$B$4^2/(2*F6))/(1+Guide!$B$4^2/F6)-Guide!$B$4*SQRT(G6*(1-G6)/F6+Guide!$B$4^2/(4*F6^2))/(1+Guide!$B$4^2/F6)))</f>
        <v>0.30064086487871833</v>
      </c>
      <c r="I6" s="7">
        <f>IF(F6=0,"",MIN(1,(G6+Guide!$B$4^2/(2*F6))/(1+Guide!$B$4^2/F6)+Guide!$B$4*SQRT(G6*(1-G6)/F6+Guide!$B$4^2/(4*F6^2))/(1+Guide!$B$4^2/F6)))</f>
        <v>0.54272145686760387</v>
      </c>
      <c r="J6" s="7">
        <f t="shared" si="2"/>
        <v>0.11602580178794836</v>
      </c>
      <c r="K6" s="7">
        <f t="shared" si="3"/>
        <v>0.12605479020093718</v>
      </c>
      <c r="L6" s="6" t="str">
        <f t="shared" si="4"/>
        <v>41.7% [30.1%–54.3%]</v>
      </c>
      <c r="M6" s="6" t="s">
        <v>89</v>
      </c>
      <c r="N6" s="6" t="s">
        <v>119</v>
      </c>
      <c r="O6" s="6" t="s">
        <v>120</v>
      </c>
    </row>
    <row r="7" spans="1:29" ht="72" customHeight="1">
      <c r="A7" s="6" t="s">
        <v>118</v>
      </c>
      <c r="B7" s="6" t="s">
        <v>90</v>
      </c>
      <c r="C7" s="6" t="s">
        <v>85</v>
      </c>
      <c r="D7" s="8">
        <v>23</v>
      </c>
      <c r="E7" s="8">
        <v>37</v>
      </c>
      <c r="F7" s="8">
        <f t="shared" si="0"/>
        <v>60</v>
      </c>
      <c r="G7" s="7">
        <f t="shared" si="1"/>
        <v>0.38333333333333336</v>
      </c>
      <c r="H7" s="7">
        <f>IF(F7=0,"",MAX(0,(G7+Guide!$B$4^2/(2*F7))/(1+Guide!$B$4^2/F7)-Guide!$B$4*SQRT(G7*(1-G7)/F7+Guide!$B$4^2/(4*F7^2))/(1+Guide!$B$4^2/F7)))</f>
        <v>0.27088089584888242</v>
      </c>
      <c r="I7" s="7">
        <f>IF(F7=0,"",MIN(1,(G7+Guide!$B$4^2/(2*F7))/(1+Guide!$B$4^2/F7)+Guide!$B$4*SQRT(G7*(1-G7)/F7+Guide!$B$4^2/(4*F7^2))/(1+Guide!$B$4^2/F7)))</f>
        <v>0.50982635459596859</v>
      </c>
      <c r="J7" s="7">
        <f t="shared" si="2"/>
        <v>0.11245243748445094</v>
      </c>
      <c r="K7" s="7">
        <f t="shared" si="3"/>
        <v>0.12649302126263523</v>
      </c>
      <c r="L7" s="6" t="str">
        <f t="shared" si="4"/>
        <v>38.3% [27.1%–51.0%]</v>
      </c>
      <c r="M7" s="6" t="s">
        <v>90</v>
      </c>
      <c r="N7" s="6" t="s">
        <v>119</v>
      </c>
      <c r="O7" s="6" t="s">
        <v>120</v>
      </c>
    </row>
    <row r="8" spans="1:29" ht="60" customHeight="1">
      <c r="A8" s="6" t="s">
        <v>121</v>
      </c>
      <c r="B8" s="6" t="s">
        <v>84</v>
      </c>
      <c r="C8" s="6" t="s">
        <v>85</v>
      </c>
      <c r="D8" s="8">
        <v>8</v>
      </c>
      <c r="E8" s="8">
        <v>2</v>
      </c>
      <c r="F8" s="8">
        <f t="shared" si="0"/>
        <v>10</v>
      </c>
      <c r="G8" s="7">
        <f t="shared" si="1"/>
        <v>0.8</v>
      </c>
      <c r="H8" s="7">
        <f>IF(F8=0,"",MAX(0,(G8+Guide!$B$4^2/(2*F8))/(1+Guide!$B$4^2/F8)-Guide!$B$4*SQRT(G8*(1-G8)/F8+Guide!$B$4^2/(4*F8^2))/(1+Guide!$B$4^2/F8)))</f>
        <v>0.49015684672072335</v>
      </c>
      <c r="I8" s="7">
        <f>IF(F8=0,"",MIN(1,(G8+Guide!$B$4^2/(2*F8))/(1+Guide!$B$4^2/F8)+Guide!$B$4*SQRT(G8*(1-G8)/F8+Guide!$B$4^2/(4*F8^2))/(1+Guide!$B$4^2/F8)))</f>
        <v>0.94331905201930666</v>
      </c>
      <c r="J8" s="7">
        <f t="shared" si="2"/>
        <v>0.3098431532792767</v>
      </c>
      <c r="K8" s="7">
        <f t="shared" si="3"/>
        <v>0.14331905201930661</v>
      </c>
      <c r="L8" s="6" t="str">
        <f t="shared" si="4"/>
        <v>80.0% [49.0%–94.3%]</v>
      </c>
      <c r="M8" s="6" t="s">
        <v>84</v>
      </c>
      <c r="N8" s="6" t="s">
        <v>119</v>
      </c>
      <c r="O8" s="6" t="s">
        <v>120</v>
      </c>
    </row>
    <row r="9" spans="1:29" ht="60" customHeight="1">
      <c r="A9" s="6" t="s">
        <v>121</v>
      </c>
      <c r="B9" s="6" t="s">
        <v>88</v>
      </c>
      <c r="C9" s="6" t="s">
        <v>85</v>
      </c>
      <c r="D9" s="8">
        <v>3</v>
      </c>
      <c r="E9" s="8">
        <v>7</v>
      </c>
      <c r="F9" s="8">
        <f t="shared" si="0"/>
        <v>10</v>
      </c>
      <c r="G9" s="7">
        <f t="shared" si="1"/>
        <v>0.3</v>
      </c>
      <c r="H9" s="7">
        <f>IF(F9=0,"",MAX(0,(G9+Guide!$B$4^2/(2*F9))/(1+Guide!$B$4^2/F9)-Guide!$B$4*SQRT(G9*(1-G9)/F9+Guide!$B$4^2/(4*F9^2))/(1+Guide!$B$4^2/F9)))</f>
        <v>0.10778928748621183</v>
      </c>
      <c r="I9" s="7">
        <f>IF(F9=0,"",MIN(1,(G9+Guide!$B$4^2/(2*F9))/(1+Guide!$B$4^2/F9)+Guide!$B$4*SQRT(G9*(1-G9)/F9+Guide!$B$4^2/(4*F9^2))/(1+Guide!$B$4^2/F9)))</f>
        <v>0.60322678002043473</v>
      </c>
      <c r="J9" s="7">
        <f t="shared" si="2"/>
        <v>0.19221071251378816</v>
      </c>
      <c r="K9" s="7">
        <f t="shared" si="3"/>
        <v>0.30322678002043474</v>
      </c>
      <c r="L9" s="6" t="str">
        <f t="shared" si="4"/>
        <v>30.0% [10.8%–60.3%]</v>
      </c>
      <c r="M9" s="6" t="s">
        <v>89</v>
      </c>
      <c r="N9" s="6" t="s">
        <v>119</v>
      </c>
      <c r="O9" s="6" t="s">
        <v>120</v>
      </c>
    </row>
    <row r="10" spans="1:29" ht="60" customHeight="1">
      <c r="A10" s="6" t="s">
        <v>121</v>
      </c>
      <c r="B10" s="6" t="s">
        <v>90</v>
      </c>
      <c r="C10" s="6" t="s">
        <v>85</v>
      </c>
      <c r="D10" s="8">
        <v>4</v>
      </c>
      <c r="E10" s="8">
        <v>6</v>
      </c>
      <c r="F10" s="8">
        <f t="shared" si="0"/>
        <v>10</v>
      </c>
      <c r="G10" s="7">
        <f t="shared" si="1"/>
        <v>0.4</v>
      </c>
      <c r="H10" s="7">
        <f>IF(F10=0,"",MAX(0,(G10+Guide!$B$4^2/(2*F10))/(1+Guide!$B$4^2/F10)-Guide!$B$4*SQRT(G10*(1-G10)/F10+Guide!$B$4^2/(4*F10^2))/(1+Guide!$B$4^2/F10)))</f>
        <v>0.16817758120350967</v>
      </c>
      <c r="I10" s="7">
        <f>IF(F10=0,"",MIN(1,(G10+Guide!$B$4^2/(2*F10))/(1+Guide!$B$4^2/F10)+Guide!$B$4*SQRT(G10*(1-G10)/F10+Guide!$B$4^2/(4*F10^2))/(1+Guide!$B$4^2/F10)))</f>
        <v>0.68733045254981351</v>
      </c>
      <c r="J10" s="7">
        <f t="shared" si="2"/>
        <v>0.23182241879649035</v>
      </c>
      <c r="K10" s="7">
        <f t="shared" si="3"/>
        <v>0.28733045254981349</v>
      </c>
      <c r="L10" s="6" t="str">
        <f t="shared" si="4"/>
        <v>40.0% [16.8%–68.7%]</v>
      </c>
      <c r="M10" s="6" t="s">
        <v>90</v>
      </c>
      <c r="N10" s="6" t="s">
        <v>119</v>
      </c>
      <c r="O10" s="6" t="s">
        <v>120</v>
      </c>
    </row>
    <row r="11" spans="1:29" ht="60" customHeight="1">
      <c r="A11" s="6" t="s">
        <v>122</v>
      </c>
      <c r="B11" s="6" t="s">
        <v>84</v>
      </c>
      <c r="C11" s="6" t="s">
        <v>85</v>
      </c>
      <c r="D11" s="8">
        <v>0</v>
      </c>
      <c r="E11" s="8">
        <v>10</v>
      </c>
      <c r="F11" s="8">
        <f t="shared" si="0"/>
        <v>10</v>
      </c>
      <c r="G11" s="7">
        <f t="shared" si="1"/>
        <v>0</v>
      </c>
      <c r="H11" s="7">
        <f>IF(F11=0,"",MAX(0,(G11+Guide!$B$4^2/(2*F11))/(1+Guide!$B$4^2/F11)-Guide!$B$4*SQRT(G11*(1-G11)/F11+Guide!$B$4^2/(4*F11^2))/(1+Guide!$B$4^2/F11)))</f>
        <v>0</v>
      </c>
      <c r="I11" s="7">
        <f>IF(F11=0,"",MIN(1,(G11+Guide!$B$4^2/(2*F11))/(1+Guide!$B$4^2/F11)+Guide!$B$4*SQRT(G11*(1-G11)/F11+Guide!$B$4^2/(4*F11^2))/(1+Guide!$B$4^2/F11)))</f>
        <v>0.27754016876661658</v>
      </c>
      <c r="J11" s="7">
        <f t="shared" si="2"/>
        <v>0</v>
      </c>
      <c r="K11" s="7">
        <f t="shared" si="3"/>
        <v>0.27754016876661658</v>
      </c>
      <c r="L11" s="6" t="str">
        <f t="shared" si="4"/>
        <v>0.0% [0.0%–27.8%]</v>
      </c>
      <c r="M11" s="6" t="s">
        <v>84</v>
      </c>
      <c r="N11" s="6" t="s">
        <v>119</v>
      </c>
      <c r="O11" s="6" t="s">
        <v>120</v>
      </c>
    </row>
    <row r="12" spans="1:29" ht="60" customHeight="1">
      <c r="A12" s="6" t="s">
        <v>122</v>
      </c>
      <c r="B12" s="6" t="s">
        <v>88</v>
      </c>
      <c r="C12" s="6" t="s">
        <v>85</v>
      </c>
      <c r="D12" s="8">
        <v>0</v>
      </c>
      <c r="E12" s="8">
        <v>10</v>
      </c>
      <c r="F12" s="8">
        <f t="shared" si="0"/>
        <v>10</v>
      </c>
      <c r="G12" s="7">
        <f t="shared" si="1"/>
        <v>0</v>
      </c>
      <c r="H12" s="7">
        <f>IF(F12=0,"",MAX(0,(G12+Guide!$B$4^2/(2*F12))/(1+Guide!$B$4^2/F12)-Guide!$B$4*SQRT(G12*(1-G12)/F12+Guide!$B$4^2/(4*F12^2))/(1+Guide!$B$4^2/F12)))</f>
        <v>0</v>
      </c>
      <c r="I12" s="7">
        <f>IF(F12=0,"",MIN(1,(G12+Guide!$B$4^2/(2*F12))/(1+Guide!$B$4^2/F12)+Guide!$B$4*SQRT(G12*(1-G12)/F12+Guide!$B$4^2/(4*F12^2))/(1+Guide!$B$4^2/F12)))</f>
        <v>0.27754016876661658</v>
      </c>
      <c r="J12" s="7">
        <f t="shared" si="2"/>
        <v>0</v>
      </c>
      <c r="K12" s="7">
        <f t="shared" si="3"/>
        <v>0.27754016876661658</v>
      </c>
      <c r="L12" s="6" t="str">
        <f t="shared" si="4"/>
        <v>0.0% [0.0%–27.8%]</v>
      </c>
      <c r="M12" s="6" t="s">
        <v>89</v>
      </c>
      <c r="N12" s="6" t="s">
        <v>119</v>
      </c>
      <c r="O12" s="6" t="s">
        <v>120</v>
      </c>
    </row>
    <row r="13" spans="1:29" ht="60" customHeight="1">
      <c r="A13" s="6" t="s">
        <v>122</v>
      </c>
      <c r="B13" s="6" t="s">
        <v>90</v>
      </c>
      <c r="C13" s="6" t="s">
        <v>85</v>
      </c>
      <c r="D13" s="8">
        <v>0</v>
      </c>
      <c r="E13" s="8">
        <v>10</v>
      </c>
      <c r="F13" s="8">
        <f t="shared" si="0"/>
        <v>10</v>
      </c>
      <c r="G13" s="7">
        <f t="shared" si="1"/>
        <v>0</v>
      </c>
      <c r="H13" s="7">
        <f>IF(F13=0,"",MAX(0,(G13+Guide!$B$4^2/(2*F13))/(1+Guide!$B$4^2/F13)-Guide!$B$4*SQRT(G13*(1-G13)/F13+Guide!$B$4^2/(4*F13^2))/(1+Guide!$B$4^2/F13)))</f>
        <v>0</v>
      </c>
      <c r="I13" s="7">
        <f>IF(F13=0,"",MIN(1,(G13+Guide!$B$4^2/(2*F13))/(1+Guide!$B$4^2/F13)+Guide!$B$4*SQRT(G13*(1-G13)/F13+Guide!$B$4^2/(4*F13^2))/(1+Guide!$B$4^2/F13)))</f>
        <v>0.27754016876661658</v>
      </c>
      <c r="J13" s="7">
        <f t="shared" si="2"/>
        <v>0</v>
      </c>
      <c r="K13" s="7">
        <f t="shared" si="3"/>
        <v>0.27754016876661658</v>
      </c>
      <c r="L13" s="6" t="str">
        <f t="shared" si="4"/>
        <v>0.0% [0.0%–27.8%]</v>
      </c>
      <c r="M13" s="6" t="s">
        <v>90</v>
      </c>
      <c r="N13" s="6" t="s">
        <v>119</v>
      </c>
      <c r="O13" s="6" t="s">
        <v>120</v>
      </c>
    </row>
    <row r="14" spans="1:29" ht="72" customHeight="1">
      <c r="A14" s="6" t="s">
        <v>123</v>
      </c>
      <c r="B14" s="6" t="s">
        <v>84</v>
      </c>
      <c r="C14" s="6" t="s">
        <v>85</v>
      </c>
      <c r="D14" s="8">
        <v>1</v>
      </c>
      <c r="E14" s="8">
        <v>9</v>
      </c>
      <c r="F14" s="8">
        <f t="shared" si="0"/>
        <v>10</v>
      </c>
      <c r="G14" s="7">
        <f t="shared" si="1"/>
        <v>0.1</v>
      </c>
      <c r="H14" s="7">
        <f>IF(F14=0,"",MAX(0,(G14+Guide!$B$4^2/(2*F14))/(1+Guide!$B$4^2/F14)-Guide!$B$4*SQRT(G14*(1-G14)/F14+Guide!$B$4^2/(4*F14^2))/(1+Guide!$B$4^2/F14)))</f>
        <v>1.7875749515721129E-2</v>
      </c>
      <c r="I14" s="7">
        <f>IF(F14=0,"",MIN(1,(G14+Guide!$B$4^2/(2*F14))/(1+Guide!$B$4^2/F14)+Guide!$B$4*SQRT(G14*(1-G14)/F14+Guide!$B$4^2/(4*F14^2))/(1+Guide!$B$4^2/F14)))</f>
        <v>0.4041563854975721</v>
      </c>
      <c r="J14" s="7">
        <f t="shared" si="2"/>
        <v>8.2124250484278877E-2</v>
      </c>
      <c r="K14" s="7">
        <f t="shared" si="3"/>
        <v>0.30415638549757207</v>
      </c>
      <c r="L14" s="6" t="str">
        <f t="shared" si="4"/>
        <v>10.0% [1.8%–40.4%]</v>
      </c>
      <c r="M14" s="6" t="s">
        <v>84</v>
      </c>
      <c r="N14" s="6" t="s">
        <v>119</v>
      </c>
      <c r="O14" s="6" t="s">
        <v>120</v>
      </c>
    </row>
    <row r="15" spans="1:29" ht="72" customHeight="1">
      <c r="A15" s="6" t="s">
        <v>123</v>
      </c>
      <c r="B15" s="6" t="s">
        <v>88</v>
      </c>
      <c r="C15" s="6" t="s">
        <v>85</v>
      </c>
      <c r="D15" s="8">
        <v>3</v>
      </c>
      <c r="E15" s="8">
        <v>7</v>
      </c>
      <c r="F15" s="8">
        <f t="shared" si="0"/>
        <v>10</v>
      </c>
      <c r="G15" s="7">
        <f t="shared" si="1"/>
        <v>0.3</v>
      </c>
      <c r="H15" s="7">
        <f>IF(F15=0,"",MAX(0,(G15+Guide!$B$4^2/(2*F15))/(1+Guide!$B$4^2/F15)-Guide!$B$4*SQRT(G15*(1-G15)/F15+Guide!$B$4^2/(4*F15^2))/(1+Guide!$B$4^2/F15)))</f>
        <v>0.10778928748621183</v>
      </c>
      <c r="I15" s="7">
        <f>IF(F15=0,"",MIN(1,(G15+Guide!$B$4^2/(2*F15))/(1+Guide!$B$4^2/F15)+Guide!$B$4*SQRT(G15*(1-G15)/F15+Guide!$B$4^2/(4*F15^2))/(1+Guide!$B$4^2/F15)))</f>
        <v>0.60322678002043473</v>
      </c>
      <c r="J15" s="7">
        <f t="shared" si="2"/>
        <v>0.19221071251378816</v>
      </c>
      <c r="K15" s="7">
        <f t="shared" si="3"/>
        <v>0.30322678002043474</v>
      </c>
      <c r="L15" s="6" t="str">
        <f t="shared" si="4"/>
        <v>30.0% [10.8%–60.3%]</v>
      </c>
      <c r="M15" s="6" t="s">
        <v>89</v>
      </c>
      <c r="N15" s="6" t="s">
        <v>119</v>
      </c>
      <c r="O15" s="6" t="s">
        <v>120</v>
      </c>
    </row>
    <row r="16" spans="1:29" ht="72" customHeight="1">
      <c r="A16" s="6" t="s">
        <v>123</v>
      </c>
      <c r="B16" s="6" t="s">
        <v>90</v>
      </c>
      <c r="C16" s="6" t="s">
        <v>85</v>
      </c>
      <c r="D16" s="8">
        <v>2</v>
      </c>
      <c r="E16" s="8">
        <v>8</v>
      </c>
      <c r="F16" s="8">
        <f t="shared" si="0"/>
        <v>10</v>
      </c>
      <c r="G16" s="7">
        <f t="shared" si="1"/>
        <v>0.2</v>
      </c>
      <c r="H16" s="7">
        <f>IF(F16=0,"",MAX(0,(G16+Guide!$B$4^2/(2*F16))/(1+Guide!$B$4^2/F16)-Guide!$B$4*SQRT(G16*(1-G16)/F16+Guide!$B$4^2/(4*F16^2))/(1+Guide!$B$4^2/F16)))</f>
        <v>5.6680947980693314E-2</v>
      </c>
      <c r="I16" s="7">
        <f>IF(F16=0,"",MIN(1,(G16+Guide!$B$4^2/(2*F16))/(1+Guide!$B$4^2/F16)+Guide!$B$4*SQRT(G16*(1-G16)/F16+Guide!$B$4^2/(4*F16^2))/(1+Guide!$B$4^2/F16)))</f>
        <v>0.50984315327927654</v>
      </c>
      <c r="J16" s="7">
        <f t="shared" si="2"/>
        <v>0.1433190520193067</v>
      </c>
      <c r="K16" s="7">
        <f t="shared" si="3"/>
        <v>0.30984315327927653</v>
      </c>
      <c r="L16" s="6" t="str">
        <f t="shared" si="4"/>
        <v>20.0% [5.7%–51.0%]</v>
      </c>
      <c r="M16" s="6" t="s">
        <v>90</v>
      </c>
      <c r="N16" s="6" t="s">
        <v>119</v>
      </c>
      <c r="O16" s="6" t="s">
        <v>120</v>
      </c>
    </row>
    <row r="17" spans="1:15" ht="72" customHeight="1">
      <c r="A17" s="6" t="s">
        <v>124</v>
      </c>
      <c r="B17" s="6" t="s">
        <v>84</v>
      </c>
      <c r="C17" s="6" t="s">
        <v>85</v>
      </c>
      <c r="D17" s="8">
        <v>4</v>
      </c>
      <c r="E17" s="8">
        <v>6</v>
      </c>
      <c r="F17" s="8">
        <f t="shared" si="0"/>
        <v>10</v>
      </c>
      <c r="G17" s="7">
        <f t="shared" si="1"/>
        <v>0.4</v>
      </c>
      <c r="H17" s="7">
        <f>IF(F17=0,"",MAX(0,(G17+Guide!$B$4^2/(2*F17))/(1+Guide!$B$4^2/F17)-Guide!$B$4*SQRT(G17*(1-G17)/F17+Guide!$B$4^2/(4*F17^2))/(1+Guide!$B$4^2/F17)))</f>
        <v>0.16817758120350967</v>
      </c>
      <c r="I17" s="7">
        <f>IF(F17=0,"",MIN(1,(G17+Guide!$B$4^2/(2*F17))/(1+Guide!$B$4^2/F17)+Guide!$B$4*SQRT(G17*(1-G17)/F17+Guide!$B$4^2/(4*F17^2))/(1+Guide!$B$4^2/F17)))</f>
        <v>0.68733045254981351</v>
      </c>
      <c r="J17" s="7">
        <f t="shared" si="2"/>
        <v>0.23182241879649035</v>
      </c>
      <c r="K17" s="7">
        <f t="shared" si="3"/>
        <v>0.28733045254981349</v>
      </c>
      <c r="L17" s="6" t="str">
        <f t="shared" si="4"/>
        <v>40.0% [16.8%–68.7%]</v>
      </c>
      <c r="M17" s="6" t="s">
        <v>84</v>
      </c>
      <c r="N17" s="6" t="s">
        <v>119</v>
      </c>
      <c r="O17" s="6" t="s">
        <v>120</v>
      </c>
    </row>
    <row r="18" spans="1:15" ht="72" customHeight="1">
      <c r="A18" s="6" t="s">
        <v>124</v>
      </c>
      <c r="B18" s="6" t="s">
        <v>88</v>
      </c>
      <c r="C18" s="6" t="s">
        <v>85</v>
      </c>
      <c r="D18" s="8">
        <v>7</v>
      </c>
      <c r="E18" s="8">
        <v>3</v>
      </c>
      <c r="F18" s="8">
        <f t="shared" si="0"/>
        <v>10</v>
      </c>
      <c r="G18" s="7">
        <f t="shared" si="1"/>
        <v>0.7</v>
      </c>
      <c r="H18" s="7">
        <f>IF(F18=0,"",MAX(0,(G18+Guide!$B$4^2/(2*F18))/(1+Guide!$B$4^2/F18)-Guide!$B$4*SQRT(G18*(1-G18)/F18+Guide!$B$4^2/(4*F18^2))/(1+Guide!$B$4^2/F18)))</f>
        <v>0.39677321997956516</v>
      </c>
      <c r="I18" s="7">
        <f>IF(F18=0,"",MIN(1,(G18+Guide!$B$4^2/(2*F18))/(1+Guide!$B$4^2/F18)+Guide!$B$4*SQRT(G18*(1-G18)/F18+Guide!$B$4^2/(4*F18^2))/(1+Guide!$B$4^2/F18)))</f>
        <v>0.89221071251378803</v>
      </c>
      <c r="J18" s="7">
        <f t="shared" si="2"/>
        <v>0.30322678002043479</v>
      </c>
      <c r="K18" s="7">
        <f t="shared" si="3"/>
        <v>0.19221071251378807</v>
      </c>
      <c r="L18" s="6" t="str">
        <f t="shared" si="4"/>
        <v>70.0% [39.7%–89.2%]</v>
      </c>
      <c r="M18" s="6" t="s">
        <v>89</v>
      </c>
      <c r="N18" s="6" t="s">
        <v>119</v>
      </c>
      <c r="O18" s="6" t="s">
        <v>120</v>
      </c>
    </row>
    <row r="19" spans="1:15" ht="72" customHeight="1">
      <c r="A19" s="6" t="s">
        <v>124</v>
      </c>
      <c r="B19" s="6" t="s">
        <v>90</v>
      </c>
      <c r="C19" s="6" t="s">
        <v>85</v>
      </c>
      <c r="D19" s="8">
        <v>5</v>
      </c>
      <c r="E19" s="8">
        <v>5</v>
      </c>
      <c r="F19" s="8">
        <f t="shared" si="0"/>
        <v>10</v>
      </c>
      <c r="G19" s="7">
        <f t="shared" si="1"/>
        <v>0.5</v>
      </c>
      <c r="H19" s="7">
        <f>IF(F19=0,"",MAX(0,(G19+Guide!$B$4^2/(2*F19))/(1+Guide!$B$4^2/F19)-Guide!$B$4*SQRT(G19*(1-G19)/F19+Guide!$B$4^2/(4*F19^2))/(1+Guide!$B$4^2/F19)))</f>
        <v>0.23658959361548731</v>
      </c>
      <c r="I19" s="7">
        <f>IF(F19=0,"",MIN(1,(G19+Guide!$B$4^2/(2*F19))/(1+Guide!$B$4^2/F19)+Guide!$B$4*SQRT(G19*(1-G19)/F19+Guide!$B$4^2/(4*F19^2))/(1+Guide!$B$4^2/F19)))</f>
        <v>0.76341040638451263</v>
      </c>
      <c r="J19" s="7">
        <f t="shared" si="2"/>
        <v>0.26341040638451269</v>
      </c>
      <c r="K19" s="7">
        <f t="shared" si="3"/>
        <v>0.26341040638451263</v>
      </c>
      <c r="L19" s="6" t="str">
        <f t="shared" si="4"/>
        <v>50.0% [23.7%–76.3%]</v>
      </c>
      <c r="M19" s="6" t="s">
        <v>90</v>
      </c>
      <c r="N19" s="6" t="s">
        <v>119</v>
      </c>
      <c r="O19" s="6" t="s">
        <v>120</v>
      </c>
    </row>
    <row r="20" spans="1:15" ht="84" customHeight="1">
      <c r="A20" s="6" t="s">
        <v>125</v>
      </c>
      <c r="B20" s="6" t="s">
        <v>84</v>
      </c>
      <c r="C20" s="6" t="s">
        <v>85</v>
      </c>
      <c r="D20" s="8">
        <v>9</v>
      </c>
      <c r="E20" s="8">
        <v>1</v>
      </c>
      <c r="F20" s="8">
        <f t="shared" si="0"/>
        <v>10</v>
      </c>
      <c r="G20" s="7">
        <f t="shared" si="1"/>
        <v>0.9</v>
      </c>
      <c r="H20" s="7">
        <f>IF(F20=0,"",MAX(0,(G20+Guide!$B$4^2/(2*F20))/(1+Guide!$B$4^2/F20)-Guide!$B$4*SQRT(G20*(1-G20)/F20+Guide!$B$4^2/(4*F20^2))/(1+Guide!$B$4^2/F20)))</f>
        <v>0.59584361450242784</v>
      </c>
      <c r="I20" s="7">
        <f>IF(F20=0,"",MIN(1,(G20+Guide!$B$4^2/(2*F20))/(1+Guide!$B$4^2/F20)+Guide!$B$4*SQRT(G20*(1-G20)/F20+Guide!$B$4^2/(4*F20^2))/(1+Guide!$B$4^2/F20)))</f>
        <v>0.98212425048427876</v>
      </c>
      <c r="J20" s="7">
        <f t="shared" si="2"/>
        <v>0.30415638549757218</v>
      </c>
      <c r="K20" s="7">
        <f t="shared" si="3"/>
        <v>8.2124250484278738E-2</v>
      </c>
      <c r="L20" s="6" t="str">
        <f t="shared" si="4"/>
        <v>90.0% [59.6%–98.2%]</v>
      </c>
      <c r="M20" s="6" t="s">
        <v>84</v>
      </c>
      <c r="N20" s="6" t="s">
        <v>119</v>
      </c>
      <c r="O20" s="6" t="s">
        <v>120</v>
      </c>
    </row>
    <row r="21" spans="1:15" ht="84" customHeight="1">
      <c r="A21" s="6" t="s">
        <v>125</v>
      </c>
      <c r="B21" s="6" t="s">
        <v>88</v>
      </c>
      <c r="C21" s="6" t="s">
        <v>85</v>
      </c>
      <c r="D21" s="8">
        <v>6</v>
      </c>
      <c r="E21" s="8">
        <v>4</v>
      </c>
      <c r="F21" s="8">
        <f t="shared" si="0"/>
        <v>10</v>
      </c>
      <c r="G21" s="7">
        <f t="shared" si="1"/>
        <v>0.6</v>
      </c>
      <c r="H21" s="7">
        <f>IF(F21=0,"",MAX(0,(G21+Guide!$B$4^2/(2*F21))/(1+Guide!$B$4^2/F21)-Guide!$B$4*SQRT(G21*(1-G21)/F21+Guide!$B$4^2/(4*F21^2))/(1+Guide!$B$4^2/F21)))</f>
        <v>0.31266954745018638</v>
      </c>
      <c r="I21" s="7">
        <f>IF(F21=0,"",MIN(1,(G21+Guide!$B$4^2/(2*F21))/(1+Guide!$B$4^2/F21)+Guide!$B$4*SQRT(G21*(1-G21)/F21+Guide!$B$4^2/(4*F21^2))/(1+Guide!$B$4^2/F21)))</f>
        <v>0.83182241879649021</v>
      </c>
      <c r="J21" s="7">
        <f t="shared" si="2"/>
        <v>0.2873304525498136</v>
      </c>
      <c r="K21" s="7">
        <f t="shared" si="3"/>
        <v>0.23182241879649024</v>
      </c>
      <c r="L21" s="6" t="str">
        <f t="shared" si="4"/>
        <v>60.0% [31.3%–83.2%]</v>
      </c>
      <c r="M21" s="6" t="s">
        <v>89</v>
      </c>
      <c r="N21" s="6" t="s">
        <v>119</v>
      </c>
      <c r="O21" s="6" t="s">
        <v>120</v>
      </c>
    </row>
    <row r="22" spans="1:15" ht="84" customHeight="1">
      <c r="A22" s="6" t="s">
        <v>125</v>
      </c>
      <c r="B22" s="6" t="s">
        <v>90</v>
      </c>
      <c r="C22" s="6" t="s">
        <v>85</v>
      </c>
      <c r="D22" s="8">
        <v>5</v>
      </c>
      <c r="E22" s="8">
        <v>5</v>
      </c>
      <c r="F22" s="8">
        <f t="shared" si="0"/>
        <v>10</v>
      </c>
      <c r="G22" s="7">
        <f t="shared" si="1"/>
        <v>0.5</v>
      </c>
      <c r="H22" s="7">
        <f>IF(F22=0,"",MAX(0,(G22+Guide!$B$4^2/(2*F22))/(1+Guide!$B$4^2/F22)-Guide!$B$4*SQRT(G22*(1-G22)/F22+Guide!$B$4^2/(4*F22^2))/(1+Guide!$B$4^2/F22)))</f>
        <v>0.23658959361548731</v>
      </c>
      <c r="I22" s="7">
        <f>IF(F22=0,"",MIN(1,(G22+Guide!$B$4^2/(2*F22))/(1+Guide!$B$4^2/F22)+Guide!$B$4*SQRT(G22*(1-G22)/F22+Guide!$B$4^2/(4*F22^2))/(1+Guide!$B$4^2/F22)))</f>
        <v>0.76341040638451263</v>
      </c>
      <c r="J22" s="7">
        <f t="shared" si="2"/>
        <v>0.26341040638451269</v>
      </c>
      <c r="K22" s="7">
        <f t="shared" si="3"/>
        <v>0.26341040638451263</v>
      </c>
      <c r="L22" s="6" t="str">
        <f t="shared" si="4"/>
        <v>50.0% [23.7%–76.3%]</v>
      </c>
      <c r="M22" s="6" t="s">
        <v>90</v>
      </c>
      <c r="N22" s="6" t="s">
        <v>119</v>
      </c>
      <c r="O22" s="6" t="s">
        <v>120</v>
      </c>
    </row>
    <row r="23" spans="1:15" ht="60" customHeight="1">
      <c r="A23" s="6" t="s">
        <v>126</v>
      </c>
      <c r="B23" s="6" t="s">
        <v>84</v>
      </c>
      <c r="C23" s="6" t="s">
        <v>85</v>
      </c>
      <c r="D23" s="8">
        <v>8</v>
      </c>
      <c r="E23" s="8">
        <v>2</v>
      </c>
      <c r="F23" s="8">
        <f t="shared" si="0"/>
        <v>10</v>
      </c>
      <c r="G23" s="7">
        <f t="shared" si="1"/>
        <v>0.8</v>
      </c>
      <c r="H23" s="7">
        <f>IF(F23=0,"",MAX(0,(G23+Guide!$B$4^2/(2*F23))/(1+Guide!$B$4^2/F23)-Guide!$B$4*SQRT(G23*(1-G23)/F23+Guide!$B$4^2/(4*F23^2))/(1+Guide!$B$4^2/F23)))</f>
        <v>0.49015684672072335</v>
      </c>
      <c r="I23" s="7">
        <f>IF(F23=0,"",MIN(1,(G23+Guide!$B$4^2/(2*F23))/(1+Guide!$B$4^2/F23)+Guide!$B$4*SQRT(G23*(1-G23)/F23+Guide!$B$4^2/(4*F23^2))/(1+Guide!$B$4^2/F23)))</f>
        <v>0.94331905201930666</v>
      </c>
      <c r="J23" s="7">
        <f t="shared" si="2"/>
        <v>0.3098431532792767</v>
      </c>
      <c r="K23" s="7">
        <f t="shared" si="3"/>
        <v>0.14331905201930661</v>
      </c>
      <c r="L23" s="6" t="str">
        <f t="shared" si="4"/>
        <v>80.0% [49.0%–94.3%]</v>
      </c>
      <c r="M23" s="6" t="s">
        <v>84</v>
      </c>
      <c r="N23" s="6" t="s">
        <v>119</v>
      </c>
      <c r="O23" s="6" t="s">
        <v>120</v>
      </c>
    </row>
    <row r="24" spans="1:15" ht="60" customHeight="1">
      <c r="A24" s="6" t="s">
        <v>126</v>
      </c>
      <c r="B24" s="6" t="s">
        <v>88</v>
      </c>
      <c r="C24" s="6" t="s">
        <v>85</v>
      </c>
      <c r="D24" s="8">
        <v>6</v>
      </c>
      <c r="E24" s="8">
        <v>4</v>
      </c>
      <c r="F24" s="8">
        <f t="shared" si="0"/>
        <v>10</v>
      </c>
      <c r="G24" s="7">
        <f t="shared" si="1"/>
        <v>0.6</v>
      </c>
      <c r="H24" s="7">
        <f>IF(F24=0,"",MAX(0,(G24+Guide!$B$4^2/(2*F24))/(1+Guide!$B$4^2/F24)-Guide!$B$4*SQRT(G24*(1-G24)/F24+Guide!$B$4^2/(4*F24^2))/(1+Guide!$B$4^2/F24)))</f>
        <v>0.31266954745018638</v>
      </c>
      <c r="I24" s="7">
        <f>IF(F24=0,"",MIN(1,(G24+Guide!$B$4^2/(2*F24))/(1+Guide!$B$4^2/F24)+Guide!$B$4*SQRT(G24*(1-G24)/F24+Guide!$B$4^2/(4*F24^2))/(1+Guide!$B$4^2/F24)))</f>
        <v>0.83182241879649021</v>
      </c>
      <c r="J24" s="7">
        <f t="shared" si="2"/>
        <v>0.2873304525498136</v>
      </c>
      <c r="K24" s="7">
        <f t="shared" si="3"/>
        <v>0.23182241879649024</v>
      </c>
      <c r="L24" s="6" t="str">
        <f t="shared" si="4"/>
        <v>60.0% [31.3%–83.2%]</v>
      </c>
      <c r="M24" s="6" t="s">
        <v>89</v>
      </c>
      <c r="N24" s="6" t="s">
        <v>119</v>
      </c>
      <c r="O24" s="6" t="s">
        <v>120</v>
      </c>
    </row>
    <row r="25" spans="1:15" ht="60" customHeight="1">
      <c r="A25" s="6" t="s">
        <v>126</v>
      </c>
      <c r="B25" s="6" t="s">
        <v>90</v>
      </c>
      <c r="C25" s="6" t="s">
        <v>85</v>
      </c>
      <c r="D25" s="8">
        <v>7</v>
      </c>
      <c r="E25" s="8">
        <v>3</v>
      </c>
      <c r="F25" s="8">
        <f t="shared" si="0"/>
        <v>10</v>
      </c>
      <c r="G25" s="7">
        <f t="shared" si="1"/>
        <v>0.7</v>
      </c>
      <c r="H25" s="7">
        <f>IF(F25=0,"",MAX(0,(G25+Guide!$B$4^2/(2*F25))/(1+Guide!$B$4^2/F25)-Guide!$B$4*SQRT(G25*(1-G25)/F25+Guide!$B$4^2/(4*F25^2))/(1+Guide!$B$4^2/F25)))</f>
        <v>0.39677321997956516</v>
      </c>
      <c r="I25" s="7">
        <f>IF(F25=0,"",MIN(1,(G25+Guide!$B$4^2/(2*F25))/(1+Guide!$B$4^2/F25)+Guide!$B$4*SQRT(G25*(1-G25)/F25+Guide!$B$4^2/(4*F25^2))/(1+Guide!$B$4^2/F25)))</f>
        <v>0.89221071251378803</v>
      </c>
      <c r="J25" s="7">
        <f t="shared" si="2"/>
        <v>0.30322678002043479</v>
      </c>
      <c r="K25" s="7">
        <f t="shared" si="3"/>
        <v>0.19221071251378807</v>
      </c>
      <c r="L25" s="6" t="str">
        <f t="shared" si="4"/>
        <v>70.0% [39.7%–89.2%]</v>
      </c>
      <c r="M25" s="6" t="s">
        <v>90</v>
      </c>
      <c r="N25" s="6" t="s">
        <v>119</v>
      </c>
      <c r="O25" s="6" t="s">
        <v>120</v>
      </c>
    </row>
    <row r="26" spans="1:15" ht="84" customHeight="1">
      <c r="A26" s="6" t="s">
        <v>127</v>
      </c>
      <c r="B26" s="6" t="s">
        <v>84</v>
      </c>
      <c r="C26" s="6" t="s">
        <v>85</v>
      </c>
      <c r="D26" s="8">
        <v>54</v>
      </c>
      <c r="E26" s="8">
        <v>6</v>
      </c>
      <c r="F26" s="8">
        <f t="shared" si="0"/>
        <v>60</v>
      </c>
      <c r="G26" s="7">
        <f t="shared" si="1"/>
        <v>0.9</v>
      </c>
      <c r="H26" s="7">
        <f>IF(F26=0,"",MAX(0,(G26+Guide!$B$4^2/(2*F26))/(1+Guide!$B$4^2/F26)-Guide!$B$4*SQRT(G26*(1-G26)/F26+Guide!$B$4^2/(4*F26^2))/(1+Guide!$B$4^2/F26)))</f>
        <v>0.79850305507488961</v>
      </c>
      <c r="I26" s="7">
        <f>IF(F26=0,"",MIN(1,(G26+Guide!$B$4^2/(2*F26))/(1+Guide!$B$4^2/F26)+Guide!$B$4*SQRT(G26*(1-G26)/F26+Guide!$B$4^2/(4*F26^2))/(1+Guide!$B$4^2/F26)))</f>
        <v>0.9533578005427642</v>
      </c>
      <c r="J26" s="7">
        <f t="shared" si="2"/>
        <v>0.10149694492511041</v>
      </c>
      <c r="K26" s="7">
        <f t="shared" si="3"/>
        <v>5.3357800542764178E-2</v>
      </c>
      <c r="L26" s="6" t="str">
        <f t="shared" si="4"/>
        <v>90.0% [79.9%–95.3%]</v>
      </c>
      <c r="M26" s="6" t="s">
        <v>84</v>
      </c>
      <c r="N26" s="6" t="s">
        <v>128</v>
      </c>
      <c r="O26" s="6" t="s">
        <v>129</v>
      </c>
    </row>
    <row r="27" spans="1:15" ht="84" customHeight="1">
      <c r="A27" s="6" t="s">
        <v>127</v>
      </c>
      <c r="B27" s="6" t="s">
        <v>88</v>
      </c>
      <c r="C27" s="6" t="s">
        <v>85</v>
      </c>
      <c r="D27" s="8">
        <v>52</v>
      </c>
      <c r="E27" s="8">
        <v>8</v>
      </c>
      <c r="F27" s="8">
        <f t="shared" si="0"/>
        <v>60</v>
      </c>
      <c r="G27" s="7">
        <f t="shared" si="1"/>
        <v>0.8666666666666667</v>
      </c>
      <c r="H27" s="7">
        <f>IF(F27=0,"",MAX(0,(G27+Guide!$B$4^2/(2*F27))/(1+Guide!$B$4^2/F27)-Guide!$B$4*SQRT(G27*(1-G27)/F27+Guide!$B$4^2/(4*F27^2))/(1+Guide!$B$4^2/F27)))</f>
        <v>0.75834605409927891</v>
      </c>
      <c r="I27" s="7">
        <f>IF(F27=0,"",MIN(1,(G27+Guide!$B$4^2/(2*F27))/(1+Guide!$B$4^2/F27)+Guide!$B$4*SQRT(G27*(1-G27)/F27+Guide!$B$4^2/(4*F27^2))/(1+Guide!$B$4^2/F27)))</f>
        <v>0.9308597302169036</v>
      </c>
      <c r="J27" s="7">
        <f t="shared" si="2"/>
        <v>0.10832061256738779</v>
      </c>
      <c r="K27" s="7">
        <f t="shared" si="3"/>
        <v>6.4193063550236906E-2</v>
      </c>
      <c r="L27" s="6" t="str">
        <f t="shared" si="4"/>
        <v>86.7% [75.8%–93.1%]</v>
      </c>
      <c r="M27" s="6" t="s">
        <v>89</v>
      </c>
      <c r="N27" s="6" t="s">
        <v>128</v>
      </c>
      <c r="O27" s="6" t="s">
        <v>129</v>
      </c>
    </row>
    <row r="28" spans="1:15" ht="84" customHeight="1">
      <c r="A28" s="6" t="s">
        <v>127</v>
      </c>
      <c r="B28" s="6" t="s">
        <v>90</v>
      </c>
      <c r="C28" s="6" t="s">
        <v>85</v>
      </c>
      <c r="D28" s="8">
        <v>42</v>
      </c>
      <c r="E28" s="8">
        <v>18</v>
      </c>
      <c r="F28" s="8">
        <f t="shared" si="0"/>
        <v>60</v>
      </c>
      <c r="G28" s="7">
        <f t="shared" si="1"/>
        <v>0.7</v>
      </c>
      <c r="H28" s="7">
        <f>IF(F28=0,"",MAX(0,(G28+Guide!$B$4^2/(2*F28))/(1+Guide!$B$4^2/F28)-Guide!$B$4*SQRT(G28*(1-G28)/F28+Guide!$B$4^2/(4*F28^2))/(1+Guide!$B$4^2/F28)))</f>
        <v>0.57491053033609574</v>
      </c>
      <c r="I28" s="7">
        <f>IF(F28=0,"",MIN(1,(G28+Guide!$B$4^2/(2*F28))/(1+Guide!$B$4^2/F28)+Guide!$B$4*SQRT(G28*(1-G28)/F28+Guide!$B$4^2/(4*F28^2))/(1+Guide!$B$4^2/F28)))</f>
        <v>0.80101989747273095</v>
      </c>
      <c r="J28" s="7">
        <f t="shared" si="2"/>
        <v>0.12508946966390422</v>
      </c>
      <c r="K28" s="7">
        <f t="shared" si="3"/>
        <v>0.10101989747273099</v>
      </c>
      <c r="L28" s="6" t="str">
        <f t="shared" si="4"/>
        <v>70.0% [57.5%–80.1%]</v>
      </c>
      <c r="M28" s="6" t="s">
        <v>90</v>
      </c>
      <c r="N28" s="6" t="s">
        <v>128</v>
      </c>
      <c r="O28" s="6" t="s">
        <v>129</v>
      </c>
    </row>
    <row r="29" spans="1:15" ht="84" customHeight="1">
      <c r="A29" s="6" t="s">
        <v>130</v>
      </c>
      <c r="B29" s="6" t="s">
        <v>84</v>
      </c>
      <c r="C29" s="6" t="s">
        <v>85</v>
      </c>
      <c r="D29" s="8">
        <v>10</v>
      </c>
      <c r="E29" s="8">
        <v>0</v>
      </c>
      <c r="F29" s="8">
        <f t="shared" si="0"/>
        <v>10</v>
      </c>
      <c r="G29" s="7">
        <f t="shared" si="1"/>
        <v>1</v>
      </c>
      <c r="H29" s="7">
        <f>IF(F29=0,"",MAX(0,(G29+Guide!$B$4^2/(2*F29))/(1+Guide!$B$4^2/F29)-Guide!$B$4*SQRT(G29*(1-G29)/F29+Guide!$B$4^2/(4*F29^2))/(1+Guide!$B$4^2/F29)))</f>
        <v>0.72245983123338342</v>
      </c>
      <c r="I29" s="7">
        <f>IF(F29=0,"",MIN(1,(G29+Guide!$B$4^2/(2*F29))/(1+Guide!$B$4^2/F29)+Guide!$B$4*SQRT(G29*(1-G29)/F29+Guide!$B$4^2/(4*F29^2))/(1+Guide!$B$4^2/F29)))</f>
        <v>1</v>
      </c>
      <c r="J29" s="7">
        <f t="shared" si="2"/>
        <v>0.27754016876661658</v>
      </c>
      <c r="K29" s="7">
        <f t="shared" si="3"/>
        <v>0</v>
      </c>
      <c r="L29" s="6" t="str">
        <f t="shared" si="4"/>
        <v>100.0% [72.2%–100.0%]</v>
      </c>
      <c r="M29" s="6" t="s">
        <v>84</v>
      </c>
      <c r="N29" s="6" t="s">
        <v>128</v>
      </c>
      <c r="O29" s="6" t="s">
        <v>129</v>
      </c>
    </row>
    <row r="30" spans="1:15" ht="84" customHeight="1">
      <c r="A30" s="6" t="s">
        <v>130</v>
      </c>
      <c r="B30" s="6" t="s">
        <v>88</v>
      </c>
      <c r="C30" s="6" t="s">
        <v>85</v>
      </c>
      <c r="D30" s="8">
        <v>10</v>
      </c>
      <c r="E30" s="8">
        <v>0</v>
      </c>
      <c r="F30" s="8">
        <f t="shared" si="0"/>
        <v>10</v>
      </c>
      <c r="G30" s="7">
        <f t="shared" si="1"/>
        <v>1</v>
      </c>
      <c r="H30" s="7">
        <f>IF(F30=0,"",MAX(0,(G30+Guide!$B$4^2/(2*F30))/(1+Guide!$B$4^2/F30)-Guide!$B$4*SQRT(G30*(1-G30)/F30+Guide!$B$4^2/(4*F30^2))/(1+Guide!$B$4^2/F30)))</f>
        <v>0.72245983123338342</v>
      </c>
      <c r="I30" s="7">
        <f>IF(F30=0,"",MIN(1,(G30+Guide!$B$4^2/(2*F30))/(1+Guide!$B$4^2/F30)+Guide!$B$4*SQRT(G30*(1-G30)/F30+Guide!$B$4^2/(4*F30^2))/(1+Guide!$B$4^2/F30)))</f>
        <v>1</v>
      </c>
      <c r="J30" s="7">
        <f t="shared" si="2"/>
        <v>0.27754016876661658</v>
      </c>
      <c r="K30" s="7">
        <f t="shared" si="3"/>
        <v>0</v>
      </c>
      <c r="L30" s="6" t="str">
        <f t="shared" si="4"/>
        <v>100.0% [72.2%–100.0%]</v>
      </c>
      <c r="M30" s="6" t="s">
        <v>89</v>
      </c>
      <c r="N30" s="6" t="s">
        <v>128</v>
      </c>
      <c r="O30" s="6" t="s">
        <v>129</v>
      </c>
    </row>
    <row r="31" spans="1:15" ht="84" customHeight="1">
      <c r="A31" s="6" t="s">
        <v>130</v>
      </c>
      <c r="B31" s="6" t="s">
        <v>90</v>
      </c>
      <c r="C31" s="6" t="s">
        <v>85</v>
      </c>
      <c r="D31" s="8">
        <v>9</v>
      </c>
      <c r="E31" s="8">
        <v>1</v>
      </c>
      <c r="F31" s="8">
        <f t="shared" si="0"/>
        <v>10</v>
      </c>
      <c r="G31" s="7">
        <f t="shared" si="1"/>
        <v>0.9</v>
      </c>
      <c r="H31" s="7">
        <f>IF(F31=0,"",MAX(0,(G31+Guide!$B$4^2/(2*F31))/(1+Guide!$B$4^2/F31)-Guide!$B$4*SQRT(G31*(1-G31)/F31+Guide!$B$4^2/(4*F31^2))/(1+Guide!$B$4^2/F31)))</f>
        <v>0.59584361450242784</v>
      </c>
      <c r="I31" s="7">
        <f>IF(F31=0,"",MIN(1,(G31+Guide!$B$4^2/(2*F31))/(1+Guide!$B$4^2/F31)+Guide!$B$4*SQRT(G31*(1-G31)/F31+Guide!$B$4^2/(4*F31^2))/(1+Guide!$B$4^2/F31)))</f>
        <v>0.98212425048427876</v>
      </c>
      <c r="J31" s="7">
        <f t="shared" si="2"/>
        <v>0.30415638549757218</v>
      </c>
      <c r="K31" s="7">
        <f t="shared" si="3"/>
        <v>8.2124250484278738E-2</v>
      </c>
      <c r="L31" s="6" t="str">
        <f t="shared" si="4"/>
        <v>90.0% [59.6%–98.2%]</v>
      </c>
      <c r="M31" s="6" t="s">
        <v>90</v>
      </c>
      <c r="N31" s="6" t="s">
        <v>128</v>
      </c>
      <c r="O31" s="6" t="s">
        <v>129</v>
      </c>
    </row>
    <row r="32" spans="1:15" ht="84" customHeight="1">
      <c r="A32" s="6" t="s">
        <v>131</v>
      </c>
      <c r="B32" s="6" t="s">
        <v>84</v>
      </c>
      <c r="C32" s="6" t="s">
        <v>85</v>
      </c>
      <c r="D32" s="8">
        <v>7</v>
      </c>
      <c r="E32" s="8">
        <v>3</v>
      </c>
      <c r="F32" s="8">
        <f t="shared" si="0"/>
        <v>10</v>
      </c>
      <c r="G32" s="7">
        <f t="shared" si="1"/>
        <v>0.7</v>
      </c>
      <c r="H32" s="7">
        <f>IF(F32=0,"",MAX(0,(G32+Guide!$B$4^2/(2*F32))/(1+Guide!$B$4^2/F32)-Guide!$B$4*SQRT(G32*(1-G32)/F32+Guide!$B$4^2/(4*F32^2))/(1+Guide!$B$4^2/F32)))</f>
        <v>0.39677321997956516</v>
      </c>
      <c r="I32" s="7">
        <f>IF(F32=0,"",MIN(1,(G32+Guide!$B$4^2/(2*F32))/(1+Guide!$B$4^2/F32)+Guide!$B$4*SQRT(G32*(1-G32)/F32+Guide!$B$4^2/(4*F32^2))/(1+Guide!$B$4^2/F32)))</f>
        <v>0.89221071251378803</v>
      </c>
      <c r="J32" s="7">
        <f t="shared" si="2"/>
        <v>0.30322678002043479</v>
      </c>
      <c r="K32" s="7">
        <f t="shared" si="3"/>
        <v>0.19221071251378807</v>
      </c>
      <c r="L32" s="6" t="str">
        <f t="shared" si="4"/>
        <v>70.0% [39.7%–89.2%]</v>
      </c>
      <c r="M32" s="6" t="s">
        <v>84</v>
      </c>
      <c r="N32" s="6" t="s">
        <v>128</v>
      </c>
      <c r="O32" s="6" t="s">
        <v>129</v>
      </c>
    </row>
    <row r="33" spans="1:15" ht="84" customHeight="1">
      <c r="A33" s="6" t="s">
        <v>131</v>
      </c>
      <c r="B33" s="6" t="s">
        <v>88</v>
      </c>
      <c r="C33" s="6" t="s">
        <v>85</v>
      </c>
      <c r="D33" s="8">
        <v>5</v>
      </c>
      <c r="E33" s="8">
        <v>5</v>
      </c>
      <c r="F33" s="8">
        <f t="shared" si="0"/>
        <v>10</v>
      </c>
      <c r="G33" s="7">
        <f t="shared" si="1"/>
        <v>0.5</v>
      </c>
      <c r="H33" s="7">
        <f>IF(F33=0,"",MAX(0,(G33+Guide!$B$4^2/(2*F33))/(1+Guide!$B$4^2/F33)-Guide!$B$4*SQRT(G33*(1-G33)/F33+Guide!$B$4^2/(4*F33^2))/(1+Guide!$B$4^2/F33)))</f>
        <v>0.23658959361548731</v>
      </c>
      <c r="I33" s="7">
        <f>IF(F33=0,"",MIN(1,(G33+Guide!$B$4^2/(2*F33))/(1+Guide!$B$4^2/F33)+Guide!$B$4*SQRT(G33*(1-G33)/F33+Guide!$B$4^2/(4*F33^2))/(1+Guide!$B$4^2/F33)))</f>
        <v>0.76341040638451263</v>
      </c>
      <c r="J33" s="7">
        <f t="shared" si="2"/>
        <v>0.26341040638451269</v>
      </c>
      <c r="K33" s="7">
        <f t="shared" si="3"/>
        <v>0.26341040638451263</v>
      </c>
      <c r="L33" s="6" t="str">
        <f t="shared" si="4"/>
        <v>50.0% [23.7%–76.3%]</v>
      </c>
      <c r="M33" s="6" t="s">
        <v>89</v>
      </c>
      <c r="N33" s="6" t="s">
        <v>128</v>
      </c>
      <c r="O33" s="6" t="s">
        <v>129</v>
      </c>
    </row>
    <row r="34" spans="1:15" ht="84" customHeight="1">
      <c r="A34" s="6" t="s">
        <v>131</v>
      </c>
      <c r="B34" s="6" t="s">
        <v>90</v>
      </c>
      <c r="C34" s="6" t="s">
        <v>85</v>
      </c>
      <c r="D34" s="8">
        <v>3</v>
      </c>
      <c r="E34" s="8">
        <v>7</v>
      </c>
      <c r="F34" s="8">
        <f t="shared" si="0"/>
        <v>10</v>
      </c>
      <c r="G34" s="7">
        <f t="shared" si="1"/>
        <v>0.3</v>
      </c>
      <c r="H34" s="7">
        <f>IF(F34=0,"",MAX(0,(G34+Guide!$B$4^2/(2*F34))/(1+Guide!$B$4^2/F34)-Guide!$B$4*SQRT(G34*(1-G34)/F34+Guide!$B$4^2/(4*F34^2))/(1+Guide!$B$4^2/F34)))</f>
        <v>0.10778928748621183</v>
      </c>
      <c r="I34" s="7">
        <f>IF(F34=0,"",MIN(1,(G34+Guide!$B$4^2/(2*F34))/(1+Guide!$B$4^2/F34)+Guide!$B$4*SQRT(G34*(1-G34)/F34+Guide!$B$4^2/(4*F34^2))/(1+Guide!$B$4^2/F34)))</f>
        <v>0.60322678002043473</v>
      </c>
      <c r="J34" s="7">
        <f t="shared" si="2"/>
        <v>0.19221071251378816</v>
      </c>
      <c r="K34" s="7">
        <f t="shared" si="3"/>
        <v>0.30322678002043474</v>
      </c>
      <c r="L34" s="6" t="str">
        <f t="shared" si="4"/>
        <v>30.0% [10.8%–60.3%]</v>
      </c>
      <c r="M34" s="6" t="s">
        <v>90</v>
      </c>
      <c r="N34" s="6" t="s">
        <v>128</v>
      </c>
      <c r="O34" s="6" t="s">
        <v>129</v>
      </c>
    </row>
    <row r="35" spans="1:15" ht="84" customHeight="1">
      <c r="A35" s="6" t="s">
        <v>132</v>
      </c>
      <c r="B35" s="6" t="s">
        <v>84</v>
      </c>
      <c r="C35" s="6" t="s">
        <v>85</v>
      </c>
      <c r="D35" s="8">
        <v>7</v>
      </c>
      <c r="E35" s="8">
        <v>3</v>
      </c>
      <c r="F35" s="8">
        <f t="shared" si="0"/>
        <v>10</v>
      </c>
      <c r="G35" s="7">
        <f t="shared" si="1"/>
        <v>0.7</v>
      </c>
      <c r="H35" s="7">
        <f>IF(F35=0,"",MAX(0,(G35+Guide!$B$4^2/(2*F35))/(1+Guide!$B$4^2/F35)-Guide!$B$4*SQRT(G35*(1-G35)/F35+Guide!$B$4^2/(4*F35^2))/(1+Guide!$B$4^2/F35)))</f>
        <v>0.39677321997956516</v>
      </c>
      <c r="I35" s="7">
        <f>IF(F35=0,"",MIN(1,(G35+Guide!$B$4^2/(2*F35))/(1+Guide!$B$4^2/F35)+Guide!$B$4*SQRT(G35*(1-G35)/F35+Guide!$B$4^2/(4*F35^2))/(1+Guide!$B$4^2/F35)))</f>
        <v>0.89221071251378803</v>
      </c>
      <c r="J35" s="7">
        <f t="shared" si="2"/>
        <v>0.30322678002043479</v>
      </c>
      <c r="K35" s="7">
        <f t="shared" si="3"/>
        <v>0.19221071251378807</v>
      </c>
      <c r="L35" s="6" t="str">
        <f t="shared" si="4"/>
        <v>70.0% [39.7%–89.2%]</v>
      </c>
      <c r="M35" s="6" t="s">
        <v>84</v>
      </c>
      <c r="N35" s="6" t="s">
        <v>128</v>
      </c>
      <c r="O35" s="6" t="s">
        <v>129</v>
      </c>
    </row>
    <row r="36" spans="1:15" ht="84" customHeight="1">
      <c r="A36" s="6" t="s">
        <v>132</v>
      </c>
      <c r="B36" s="6" t="s">
        <v>88</v>
      </c>
      <c r="C36" s="6" t="s">
        <v>85</v>
      </c>
      <c r="D36" s="8">
        <v>10</v>
      </c>
      <c r="E36" s="8">
        <v>0</v>
      </c>
      <c r="F36" s="8">
        <f t="shared" si="0"/>
        <v>10</v>
      </c>
      <c r="G36" s="7">
        <f t="shared" si="1"/>
        <v>1</v>
      </c>
      <c r="H36" s="7">
        <f>IF(F36=0,"",MAX(0,(G36+Guide!$B$4^2/(2*F36))/(1+Guide!$B$4^2/F36)-Guide!$B$4*SQRT(G36*(1-G36)/F36+Guide!$B$4^2/(4*F36^2))/(1+Guide!$B$4^2/F36)))</f>
        <v>0.72245983123338342</v>
      </c>
      <c r="I36" s="7">
        <f>IF(F36=0,"",MIN(1,(G36+Guide!$B$4^2/(2*F36))/(1+Guide!$B$4^2/F36)+Guide!$B$4*SQRT(G36*(1-G36)/F36+Guide!$B$4^2/(4*F36^2))/(1+Guide!$B$4^2/F36)))</f>
        <v>1</v>
      </c>
      <c r="J36" s="7">
        <f t="shared" si="2"/>
        <v>0.27754016876661658</v>
      </c>
      <c r="K36" s="7">
        <f t="shared" si="3"/>
        <v>0</v>
      </c>
      <c r="L36" s="6" t="str">
        <f t="shared" si="4"/>
        <v>100.0% [72.2%–100.0%]</v>
      </c>
      <c r="M36" s="6" t="s">
        <v>89</v>
      </c>
      <c r="N36" s="6" t="s">
        <v>128</v>
      </c>
      <c r="O36" s="6" t="s">
        <v>129</v>
      </c>
    </row>
    <row r="37" spans="1:15" ht="84" customHeight="1">
      <c r="A37" s="6" t="s">
        <v>132</v>
      </c>
      <c r="B37" s="6" t="s">
        <v>90</v>
      </c>
      <c r="C37" s="6" t="s">
        <v>85</v>
      </c>
      <c r="D37" s="8">
        <v>7</v>
      </c>
      <c r="E37" s="8">
        <v>3</v>
      </c>
      <c r="F37" s="8">
        <f t="shared" ref="F37:F68" si="5">D37+E37</f>
        <v>10</v>
      </c>
      <c r="G37" s="7">
        <f t="shared" ref="G37:G68" si="6">IF(F37=0,"",D37/F37)</f>
        <v>0.7</v>
      </c>
      <c r="H37" s="7">
        <f>IF(F37=0,"",MAX(0,(G37+Guide!$B$4^2/(2*F37))/(1+Guide!$B$4^2/F37)-Guide!$B$4*SQRT(G37*(1-G37)/F37+Guide!$B$4^2/(4*F37^2))/(1+Guide!$B$4^2/F37)))</f>
        <v>0.39677321997956516</v>
      </c>
      <c r="I37" s="7">
        <f>IF(F37=0,"",MIN(1,(G37+Guide!$B$4^2/(2*F37))/(1+Guide!$B$4^2/F37)+Guide!$B$4*SQRT(G37*(1-G37)/F37+Guide!$B$4^2/(4*F37^2))/(1+Guide!$B$4^2/F37)))</f>
        <v>0.89221071251378803</v>
      </c>
      <c r="J37" s="7">
        <f t="shared" ref="J37:J68" si="7">IF(F37=0,"",G37-H37)</f>
        <v>0.30322678002043479</v>
      </c>
      <c r="K37" s="7">
        <f t="shared" ref="K37:K68" si="8">IF(F37=0,"",I37-G37)</f>
        <v>0.19221071251378807</v>
      </c>
      <c r="L37" s="6" t="str">
        <f t="shared" ref="L37:L68" si="9">IF(F37=0,"",TEXT(G37,"0.0%")&amp;" ["&amp;TEXT(H37,"0.0%")&amp;"–"&amp;TEXT(I37,"0.0%")&amp;"]")</f>
        <v>70.0% [39.7%–89.2%]</v>
      </c>
      <c r="M37" s="6" t="s">
        <v>90</v>
      </c>
      <c r="N37" s="6" t="s">
        <v>128</v>
      </c>
      <c r="O37" s="6" t="s">
        <v>129</v>
      </c>
    </row>
    <row r="38" spans="1:15" ht="84" customHeight="1">
      <c r="A38" s="6" t="s">
        <v>133</v>
      </c>
      <c r="B38" s="6" t="s">
        <v>84</v>
      </c>
      <c r="C38" s="6" t="s">
        <v>85</v>
      </c>
      <c r="D38" s="8">
        <v>10</v>
      </c>
      <c r="E38" s="8">
        <v>0</v>
      </c>
      <c r="F38" s="8">
        <f t="shared" si="5"/>
        <v>10</v>
      </c>
      <c r="G38" s="7">
        <f t="shared" si="6"/>
        <v>1</v>
      </c>
      <c r="H38" s="7">
        <f>IF(F38=0,"",MAX(0,(G38+Guide!$B$4^2/(2*F38))/(1+Guide!$B$4^2/F38)-Guide!$B$4*SQRT(G38*(1-G38)/F38+Guide!$B$4^2/(4*F38^2))/(1+Guide!$B$4^2/F38)))</f>
        <v>0.72245983123338342</v>
      </c>
      <c r="I38" s="7">
        <f>IF(F38=0,"",MIN(1,(G38+Guide!$B$4^2/(2*F38))/(1+Guide!$B$4^2/F38)+Guide!$B$4*SQRT(G38*(1-G38)/F38+Guide!$B$4^2/(4*F38^2))/(1+Guide!$B$4^2/F38)))</f>
        <v>1</v>
      </c>
      <c r="J38" s="7">
        <f t="shared" si="7"/>
        <v>0.27754016876661658</v>
      </c>
      <c r="K38" s="7">
        <f t="shared" si="8"/>
        <v>0</v>
      </c>
      <c r="L38" s="6" t="str">
        <f t="shared" si="9"/>
        <v>100.0% [72.2%–100.0%]</v>
      </c>
      <c r="M38" s="6" t="s">
        <v>84</v>
      </c>
      <c r="N38" s="6" t="s">
        <v>128</v>
      </c>
      <c r="O38" s="6" t="s">
        <v>129</v>
      </c>
    </row>
    <row r="39" spans="1:15" ht="84" customHeight="1">
      <c r="A39" s="6" t="s">
        <v>133</v>
      </c>
      <c r="B39" s="6" t="s">
        <v>88</v>
      </c>
      <c r="C39" s="6" t="s">
        <v>85</v>
      </c>
      <c r="D39" s="8">
        <v>10</v>
      </c>
      <c r="E39" s="8">
        <v>0</v>
      </c>
      <c r="F39" s="8">
        <f t="shared" si="5"/>
        <v>10</v>
      </c>
      <c r="G39" s="7">
        <f t="shared" si="6"/>
        <v>1</v>
      </c>
      <c r="H39" s="7">
        <f>IF(F39=0,"",MAX(0,(G39+Guide!$B$4^2/(2*F39))/(1+Guide!$B$4^2/F39)-Guide!$B$4*SQRT(G39*(1-G39)/F39+Guide!$B$4^2/(4*F39^2))/(1+Guide!$B$4^2/F39)))</f>
        <v>0.72245983123338342</v>
      </c>
      <c r="I39" s="7">
        <f>IF(F39=0,"",MIN(1,(G39+Guide!$B$4^2/(2*F39))/(1+Guide!$B$4^2/F39)+Guide!$B$4*SQRT(G39*(1-G39)/F39+Guide!$B$4^2/(4*F39^2))/(1+Guide!$B$4^2/F39)))</f>
        <v>1</v>
      </c>
      <c r="J39" s="7">
        <f t="shared" si="7"/>
        <v>0.27754016876661658</v>
      </c>
      <c r="K39" s="7">
        <f t="shared" si="8"/>
        <v>0</v>
      </c>
      <c r="L39" s="6" t="str">
        <f t="shared" si="9"/>
        <v>100.0% [72.2%–100.0%]</v>
      </c>
      <c r="M39" s="6" t="s">
        <v>89</v>
      </c>
      <c r="N39" s="6" t="s">
        <v>128</v>
      </c>
      <c r="O39" s="6" t="s">
        <v>129</v>
      </c>
    </row>
    <row r="40" spans="1:15" ht="84" customHeight="1">
      <c r="A40" s="6" t="s">
        <v>133</v>
      </c>
      <c r="B40" s="6" t="s">
        <v>90</v>
      </c>
      <c r="C40" s="6" t="s">
        <v>85</v>
      </c>
      <c r="D40" s="8">
        <v>7</v>
      </c>
      <c r="E40" s="8">
        <v>3</v>
      </c>
      <c r="F40" s="8">
        <f t="shared" si="5"/>
        <v>10</v>
      </c>
      <c r="G40" s="7">
        <f t="shared" si="6"/>
        <v>0.7</v>
      </c>
      <c r="H40" s="7">
        <f>IF(F40=0,"",MAX(0,(G40+Guide!$B$4^2/(2*F40))/(1+Guide!$B$4^2/F40)-Guide!$B$4*SQRT(G40*(1-G40)/F40+Guide!$B$4^2/(4*F40^2))/(1+Guide!$B$4^2/F40)))</f>
        <v>0.39677321997956516</v>
      </c>
      <c r="I40" s="7">
        <f>IF(F40=0,"",MIN(1,(G40+Guide!$B$4^2/(2*F40))/(1+Guide!$B$4^2/F40)+Guide!$B$4*SQRT(G40*(1-G40)/F40+Guide!$B$4^2/(4*F40^2))/(1+Guide!$B$4^2/F40)))</f>
        <v>0.89221071251378803</v>
      </c>
      <c r="J40" s="7">
        <f t="shared" si="7"/>
        <v>0.30322678002043479</v>
      </c>
      <c r="K40" s="7">
        <f t="shared" si="8"/>
        <v>0.19221071251378807</v>
      </c>
      <c r="L40" s="6" t="str">
        <f t="shared" si="9"/>
        <v>70.0% [39.7%–89.2%]</v>
      </c>
      <c r="M40" s="6" t="s">
        <v>90</v>
      </c>
      <c r="N40" s="6" t="s">
        <v>128</v>
      </c>
      <c r="O40" s="6" t="s">
        <v>129</v>
      </c>
    </row>
    <row r="41" spans="1:15" ht="84" customHeight="1">
      <c r="A41" s="6" t="s">
        <v>134</v>
      </c>
      <c r="B41" s="6" t="s">
        <v>84</v>
      </c>
      <c r="C41" s="6" t="s">
        <v>85</v>
      </c>
      <c r="D41" s="8">
        <v>10</v>
      </c>
      <c r="E41" s="8">
        <v>0</v>
      </c>
      <c r="F41" s="8">
        <f t="shared" si="5"/>
        <v>10</v>
      </c>
      <c r="G41" s="7">
        <f t="shared" si="6"/>
        <v>1</v>
      </c>
      <c r="H41" s="7">
        <f>IF(F41=0,"",MAX(0,(G41+Guide!$B$4^2/(2*F41))/(1+Guide!$B$4^2/F41)-Guide!$B$4*SQRT(G41*(1-G41)/F41+Guide!$B$4^2/(4*F41^2))/(1+Guide!$B$4^2/F41)))</f>
        <v>0.72245983123338342</v>
      </c>
      <c r="I41" s="7">
        <f>IF(F41=0,"",MIN(1,(G41+Guide!$B$4^2/(2*F41))/(1+Guide!$B$4^2/F41)+Guide!$B$4*SQRT(G41*(1-G41)/F41+Guide!$B$4^2/(4*F41^2))/(1+Guide!$B$4^2/F41)))</f>
        <v>1</v>
      </c>
      <c r="J41" s="7">
        <f t="shared" si="7"/>
        <v>0.27754016876661658</v>
      </c>
      <c r="K41" s="7">
        <f t="shared" si="8"/>
        <v>0</v>
      </c>
      <c r="L41" s="6" t="str">
        <f t="shared" si="9"/>
        <v>100.0% [72.2%–100.0%]</v>
      </c>
      <c r="M41" s="6" t="s">
        <v>84</v>
      </c>
      <c r="N41" s="6" t="s">
        <v>128</v>
      </c>
      <c r="O41" s="6" t="s">
        <v>129</v>
      </c>
    </row>
    <row r="42" spans="1:15" ht="84" customHeight="1">
      <c r="A42" s="6" t="s">
        <v>134</v>
      </c>
      <c r="B42" s="6" t="s">
        <v>88</v>
      </c>
      <c r="C42" s="6" t="s">
        <v>85</v>
      </c>
      <c r="D42" s="8">
        <v>7</v>
      </c>
      <c r="E42" s="8">
        <v>3</v>
      </c>
      <c r="F42" s="8">
        <f t="shared" si="5"/>
        <v>10</v>
      </c>
      <c r="G42" s="7">
        <f t="shared" si="6"/>
        <v>0.7</v>
      </c>
      <c r="H42" s="7">
        <f>IF(F42=0,"",MAX(0,(G42+Guide!$B$4^2/(2*F42))/(1+Guide!$B$4^2/F42)-Guide!$B$4*SQRT(G42*(1-G42)/F42+Guide!$B$4^2/(4*F42^2))/(1+Guide!$B$4^2/F42)))</f>
        <v>0.39677321997956516</v>
      </c>
      <c r="I42" s="7">
        <f>IF(F42=0,"",MIN(1,(G42+Guide!$B$4^2/(2*F42))/(1+Guide!$B$4^2/F42)+Guide!$B$4*SQRT(G42*(1-G42)/F42+Guide!$B$4^2/(4*F42^2))/(1+Guide!$B$4^2/F42)))</f>
        <v>0.89221071251378803</v>
      </c>
      <c r="J42" s="7">
        <f t="shared" si="7"/>
        <v>0.30322678002043479</v>
      </c>
      <c r="K42" s="7">
        <f t="shared" si="8"/>
        <v>0.19221071251378807</v>
      </c>
      <c r="L42" s="6" t="str">
        <f t="shared" si="9"/>
        <v>70.0% [39.7%–89.2%]</v>
      </c>
      <c r="M42" s="6" t="s">
        <v>89</v>
      </c>
      <c r="N42" s="6" t="s">
        <v>128</v>
      </c>
      <c r="O42" s="6" t="s">
        <v>129</v>
      </c>
    </row>
    <row r="43" spans="1:15" ht="84" customHeight="1">
      <c r="A43" s="6" t="s">
        <v>134</v>
      </c>
      <c r="B43" s="6" t="s">
        <v>90</v>
      </c>
      <c r="C43" s="6" t="s">
        <v>85</v>
      </c>
      <c r="D43" s="8">
        <v>6</v>
      </c>
      <c r="E43" s="8">
        <v>4</v>
      </c>
      <c r="F43" s="8">
        <f t="shared" si="5"/>
        <v>10</v>
      </c>
      <c r="G43" s="7">
        <f t="shared" si="6"/>
        <v>0.6</v>
      </c>
      <c r="H43" s="7">
        <f>IF(F43=0,"",MAX(0,(G43+Guide!$B$4^2/(2*F43))/(1+Guide!$B$4^2/F43)-Guide!$B$4*SQRT(G43*(1-G43)/F43+Guide!$B$4^2/(4*F43^2))/(1+Guide!$B$4^2/F43)))</f>
        <v>0.31266954745018638</v>
      </c>
      <c r="I43" s="7">
        <f>IF(F43=0,"",MIN(1,(G43+Guide!$B$4^2/(2*F43))/(1+Guide!$B$4^2/F43)+Guide!$B$4*SQRT(G43*(1-G43)/F43+Guide!$B$4^2/(4*F43^2))/(1+Guide!$B$4^2/F43)))</f>
        <v>0.83182241879649021</v>
      </c>
      <c r="J43" s="7">
        <f t="shared" si="7"/>
        <v>0.2873304525498136</v>
      </c>
      <c r="K43" s="7">
        <f t="shared" si="8"/>
        <v>0.23182241879649024</v>
      </c>
      <c r="L43" s="6" t="str">
        <f t="shared" si="9"/>
        <v>60.0% [31.3%–83.2%]</v>
      </c>
      <c r="M43" s="6" t="s">
        <v>90</v>
      </c>
      <c r="N43" s="6" t="s">
        <v>128</v>
      </c>
      <c r="O43" s="6" t="s">
        <v>129</v>
      </c>
    </row>
    <row r="44" spans="1:15" ht="84" customHeight="1">
      <c r="A44" s="6" t="s">
        <v>135</v>
      </c>
      <c r="B44" s="6" t="s">
        <v>84</v>
      </c>
      <c r="C44" s="6" t="s">
        <v>85</v>
      </c>
      <c r="D44" s="8">
        <v>10</v>
      </c>
      <c r="E44" s="8">
        <v>0</v>
      </c>
      <c r="F44" s="8">
        <f t="shared" si="5"/>
        <v>10</v>
      </c>
      <c r="G44" s="7">
        <f t="shared" si="6"/>
        <v>1</v>
      </c>
      <c r="H44" s="7">
        <f>IF(F44=0,"",MAX(0,(G44+Guide!$B$4^2/(2*F44))/(1+Guide!$B$4^2/F44)-Guide!$B$4*SQRT(G44*(1-G44)/F44+Guide!$B$4^2/(4*F44^2))/(1+Guide!$B$4^2/F44)))</f>
        <v>0.72245983123338342</v>
      </c>
      <c r="I44" s="7">
        <f>IF(F44=0,"",MIN(1,(G44+Guide!$B$4^2/(2*F44))/(1+Guide!$B$4^2/F44)+Guide!$B$4*SQRT(G44*(1-G44)/F44+Guide!$B$4^2/(4*F44^2))/(1+Guide!$B$4^2/F44)))</f>
        <v>1</v>
      </c>
      <c r="J44" s="7">
        <f t="shared" si="7"/>
        <v>0.27754016876661658</v>
      </c>
      <c r="K44" s="7">
        <f t="shared" si="8"/>
        <v>0</v>
      </c>
      <c r="L44" s="6" t="str">
        <f t="shared" si="9"/>
        <v>100.0% [72.2%–100.0%]</v>
      </c>
      <c r="M44" s="6" t="s">
        <v>84</v>
      </c>
      <c r="N44" s="6" t="s">
        <v>128</v>
      </c>
      <c r="O44" s="6" t="s">
        <v>129</v>
      </c>
    </row>
    <row r="45" spans="1:15" ht="84" customHeight="1">
      <c r="A45" s="6" t="s">
        <v>135</v>
      </c>
      <c r="B45" s="6" t="s">
        <v>88</v>
      </c>
      <c r="C45" s="6" t="s">
        <v>85</v>
      </c>
      <c r="D45" s="8">
        <v>10</v>
      </c>
      <c r="E45" s="8">
        <v>0</v>
      </c>
      <c r="F45" s="8">
        <f t="shared" si="5"/>
        <v>10</v>
      </c>
      <c r="G45" s="7">
        <f t="shared" si="6"/>
        <v>1</v>
      </c>
      <c r="H45" s="7">
        <f>IF(F45=0,"",MAX(0,(G45+Guide!$B$4^2/(2*F45))/(1+Guide!$B$4^2/F45)-Guide!$B$4*SQRT(G45*(1-G45)/F45+Guide!$B$4^2/(4*F45^2))/(1+Guide!$B$4^2/F45)))</f>
        <v>0.72245983123338342</v>
      </c>
      <c r="I45" s="7">
        <f>IF(F45=0,"",MIN(1,(G45+Guide!$B$4^2/(2*F45))/(1+Guide!$B$4^2/F45)+Guide!$B$4*SQRT(G45*(1-G45)/F45+Guide!$B$4^2/(4*F45^2))/(1+Guide!$B$4^2/F45)))</f>
        <v>1</v>
      </c>
      <c r="J45" s="7">
        <f t="shared" si="7"/>
        <v>0.27754016876661658</v>
      </c>
      <c r="K45" s="7">
        <f t="shared" si="8"/>
        <v>0</v>
      </c>
      <c r="L45" s="6" t="str">
        <f t="shared" si="9"/>
        <v>100.0% [72.2%–100.0%]</v>
      </c>
      <c r="M45" s="6" t="s">
        <v>89</v>
      </c>
      <c r="N45" s="6" t="s">
        <v>128</v>
      </c>
      <c r="O45" s="6" t="s">
        <v>129</v>
      </c>
    </row>
    <row r="46" spans="1:15" ht="84" customHeight="1">
      <c r="A46" s="6" t="s">
        <v>135</v>
      </c>
      <c r="B46" s="6" t="s">
        <v>90</v>
      </c>
      <c r="C46" s="6" t="s">
        <v>85</v>
      </c>
      <c r="D46" s="8">
        <v>10</v>
      </c>
      <c r="E46" s="8">
        <v>0</v>
      </c>
      <c r="F46" s="8">
        <f t="shared" si="5"/>
        <v>10</v>
      </c>
      <c r="G46" s="7">
        <f t="shared" si="6"/>
        <v>1</v>
      </c>
      <c r="H46" s="7">
        <f>IF(F46=0,"",MAX(0,(G46+Guide!$B$4^2/(2*F46))/(1+Guide!$B$4^2/F46)-Guide!$B$4*SQRT(G46*(1-G46)/F46+Guide!$B$4^2/(4*F46^2))/(1+Guide!$B$4^2/F46)))</f>
        <v>0.72245983123338342</v>
      </c>
      <c r="I46" s="7">
        <f>IF(F46=0,"",MIN(1,(G46+Guide!$B$4^2/(2*F46))/(1+Guide!$B$4^2/F46)+Guide!$B$4*SQRT(G46*(1-G46)/F46+Guide!$B$4^2/(4*F46^2))/(1+Guide!$B$4^2/F46)))</f>
        <v>1</v>
      </c>
      <c r="J46" s="7">
        <f t="shared" si="7"/>
        <v>0.27754016876661658</v>
      </c>
      <c r="K46" s="7">
        <f t="shared" si="8"/>
        <v>0</v>
      </c>
      <c r="L46" s="6" t="str">
        <f t="shared" si="9"/>
        <v>100.0% [72.2%–100.0%]</v>
      </c>
      <c r="M46" s="6" t="s">
        <v>90</v>
      </c>
      <c r="N46" s="6" t="s">
        <v>128</v>
      </c>
      <c r="O46" s="6" t="s">
        <v>129</v>
      </c>
    </row>
    <row r="47" spans="1:15" ht="108" customHeight="1">
      <c r="A47" s="6" t="s">
        <v>136</v>
      </c>
      <c r="B47" s="6" t="s">
        <v>84</v>
      </c>
      <c r="C47" s="6" t="s">
        <v>85</v>
      </c>
      <c r="D47" s="8">
        <v>53</v>
      </c>
      <c r="E47" s="8">
        <v>47</v>
      </c>
      <c r="F47" s="8">
        <f t="shared" si="5"/>
        <v>100</v>
      </c>
      <c r="G47" s="7">
        <f t="shared" si="6"/>
        <v>0.53</v>
      </c>
      <c r="H47" s="7">
        <f>IF(F47=0,"",MAX(0,(G47+Guide!$B$4^2/(2*F47))/(1+Guide!$B$4^2/F47)-Guide!$B$4*SQRT(G47*(1-G47)/F47+Guide!$B$4^2/(4*F47^2))/(1+Guide!$B$4^2/F47)))</f>
        <v>0.4328868313724773</v>
      </c>
      <c r="I47" s="7">
        <f>IF(F47=0,"",MIN(1,(G47+Guide!$B$4^2/(2*F47))/(1+Guide!$B$4^2/F47)+Guide!$B$4*SQRT(G47*(1-G47)/F47+Guide!$B$4^2/(4*F47^2))/(1+Guide!$B$4^2/F47)))</f>
        <v>0.62489348017896262</v>
      </c>
      <c r="J47" s="7">
        <f t="shared" si="7"/>
        <v>9.7113168627522728E-2</v>
      </c>
      <c r="K47" s="7">
        <f t="shared" si="8"/>
        <v>9.4893480178962597E-2</v>
      </c>
      <c r="L47" s="6" t="str">
        <f t="shared" si="9"/>
        <v>53.0% [43.3%–62.5%]</v>
      </c>
      <c r="M47" s="6" t="s">
        <v>84</v>
      </c>
      <c r="N47" s="6" t="s">
        <v>137</v>
      </c>
      <c r="O47" s="6" t="s">
        <v>138</v>
      </c>
    </row>
    <row r="48" spans="1:15" ht="108" customHeight="1">
      <c r="A48" s="6" t="s">
        <v>136</v>
      </c>
      <c r="B48" s="6" t="s">
        <v>88</v>
      </c>
      <c r="C48" s="6" t="s">
        <v>85</v>
      </c>
      <c r="D48" s="8">
        <v>54</v>
      </c>
      <c r="E48" s="8">
        <v>46</v>
      </c>
      <c r="F48" s="8">
        <f t="shared" si="5"/>
        <v>100</v>
      </c>
      <c r="G48" s="7">
        <f t="shared" si="6"/>
        <v>0.54</v>
      </c>
      <c r="H48" s="7">
        <f>IF(F48=0,"",MAX(0,(G48+Guide!$B$4^2/(2*F48))/(1+Guide!$B$4^2/F48)-Guide!$B$4*SQRT(G48*(1-G48)/F48+Guide!$B$4^2/(4*F48^2))/(1+Guide!$B$4^2/F48)))</f>
        <v>0.44264685393523856</v>
      </c>
      <c r="I48" s="7">
        <f>IF(F48=0,"",MIN(1,(G48+Guide!$B$4^2/(2*F48))/(1+Guide!$B$4^2/F48)+Guide!$B$4*SQRT(G48*(1-G48)/F48+Guide!$B$4^2/(4*F48^2))/(1+Guide!$B$4^2/F48)))</f>
        <v>0.63439356146668147</v>
      </c>
      <c r="J48" s="7">
        <f t="shared" si="7"/>
        <v>9.7353146064761475E-2</v>
      </c>
      <c r="K48" s="7">
        <f t="shared" si="8"/>
        <v>9.439356146668143E-2</v>
      </c>
      <c r="L48" s="6" t="str">
        <f t="shared" si="9"/>
        <v>54.0% [44.3%–63.4%]</v>
      </c>
      <c r="M48" s="6" t="s">
        <v>89</v>
      </c>
      <c r="N48" s="6" t="s">
        <v>137</v>
      </c>
      <c r="O48" s="6" t="s">
        <v>138</v>
      </c>
    </row>
    <row r="49" spans="1:15" ht="108" customHeight="1">
      <c r="A49" s="6" t="s">
        <v>136</v>
      </c>
      <c r="B49" s="6" t="s">
        <v>90</v>
      </c>
      <c r="C49" s="6" t="s">
        <v>85</v>
      </c>
      <c r="D49" s="8">
        <v>55</v>
      </c>
      <c r="E49" s="8">
        <v>45</v>
      </c>
      <c r="F49" s="8">
        <f t="shared" si="5"/>
        <v>100</v>
      </c>
      <c r="G49" s="7">
        <f t="shared" si="6"/>
        <v>0.55000000000000004</v>
      </c>
      <c r="H49" s="7">
        <f>IF(F49=0,"",MAX(0,(G49+Guide!$B$4^2/(2*F49))/(1+Guide!$B$4^2/F49)-Guide!$B$4*SQRT(G49*(1-G49)/F49+Guide!$B$4^2/(4*F49^2))/(1+Guide!$B$4^2/F49)))</f>
        <v>0.45244427031643447</v>
      </c>
      <c r="I49" s="7">
        <f>IF(F49=0,"",MIN(1,(G49+Guide!$B$4^2/(2*F49))/(1+Guide!$B$4^2/F49)+Guide!$B$4*SQRT(G49*(1-G49)/F49+Guide!$B$4^2/(4*F49^2))/(1+Guide!$B$4^2/F49)))</f>
        <v>0.64385624893596538</v>
      </c>
      <c r="J49" s="7">
        <f t="shared" si="7"/>
        <v>9.7555729683565573E-2</v>
      </c>
      <c r="K49" s="7">
        <f t="shared" si="8"/>
        <v>9.3856248935965336E-2</v>
      </c>
      <c r="L49" s="6" t="str">
        <f t="shared" si="9"/>
        <v>55.0% [45.2%–64.4%]</v>
      </c>
      <c r="M49" s="6" t="s">
        <v>90</v>
      </c>
      <c r="N49" s="6" t="s">
        <v>137</v>
      </c>
      <c r="O49" s="6" t="s">
        <v>138</v>
      </c>
    </row>
    <row r="50" spans="1:15" ht="108" customHeight="1">
      <c r="A50" s="6" t="s">
        <v>139</v>
      </c>
      <c r="B50" s="6" t="s">
        <v>84</v>
      </c>
      <c r="C50" s="6" t="s">
        <v>85</v>
      </c>
      <c r="D50" s="8">
        <v>8</v>
      </c>
      <c r="E50" s="8">
        <v>12</v>
      </c>
      <c r="F50" s="8">
        <f t="shared" si="5"/>
        <v>20</v>
      </c>
      <c r="G50" s="7">
        <f t="shared" si="6"/>
        <v>0.4</v>
      </c>
      <c r="H50" s="7">
        <f>IF(F50=0,"",MAX(0,(G50+Guide!$B$4^2/(2*F50))/(1+Guide!$B$4^2/F50)-Guide!$B$4*SQRT(G50*(1-G50)/F50+Guide!$B$4^2/(4*F50^2))/(1+Guide!$B$4^2/F50)))</f>
        <v>0.21880396741419272</v>
      </c>
      <c r="I50" s="7">
        <f>IF(F50=0,"",MIN(1,(G50+Guide!$B$4^2/(2*F50))/(1+Guide!$B$4^2/F50)+Guide!$B$4*SQRT(G50*(1-G50)/F50+Guide!$B$4^2/(4*F50^2))/(1+Guide!$B$4^2/F50)))</f>
        <v>0.61342205768479396</v>
      </c>
      <c r="J50" s="7">
        <f t="shared" si="7"/>
        <v>0.1811960325858073</v>
      </c>
      <c r="K50" s="7">
        <f t="shared" si="8"/>
        <v>0.21342205768479394</v>
      </c>
      <c r="L50" s="6" t="str">
        <f t="shared" si="9"/>
        <v>40.0% [21.9%–61.3%]</v>
      </c>
      <c r="M50" s="6" t="s">
        <v>84</v>
      </c>
      <c r="N50" s="6" t="s">
        <v>137</v>
      </c>
      <c r="O50" s="6" t="s">
        <v>138</v>
      </c>
    </row>
    <row r="51" spans="1:15" ht="108" customHeight="1">
      <c r="A51" s="6" t="s">
        <v>139</v>
      </c>
      <c r="B51" s="6" t="s">
        <v>88</v>
      </c>
      <c r="C51" s="6" t="s">
        <v>85</v>
      </c>
      <c r="D51" s="8">
        <v>8</v>
      </c>
      <c r="E51" s="8">
        <v>12</v>
      </c>
      <c r="F51" s="8">
        <f t="shared" si="5"/>
        <v>20</v>
      </c>
      <c r="G51" s="7">
        <f t="shared" si="6"/>
        <v>0.4</v>
      </c>
      <c r="H51" s="7">
        <f>IF(F51=0,"",MAX(0,(G51+Guide!$B$4^2/(2*F51))/(1+Guide!$B$4^2/F51)-Guide!$B$4*SQRT(G51*(1-G51)/F51+Guide!$B$4^2/(4*F51^2))/(1+Guide!$B$4^2/F51)))</f>
        <v>0.21880396741419272</v>
      </c>
      <c r="I51" s="7">
        <f>IF(F51=0,"",MIN(1,(G51+Guide!$B$4^2/(2*F51))/(1+Guide!$B$4^2/F51)+Guide!$B$4*SQRT(G51*(1-G51)/F51+Guide!$B$4^2/(4*F51^2))/(1+Guide!$B$4^2/F51)))</f>
        <v>0.61342205768479396</v>
      </c>
      <c r="J51" s="7">
        <f t="shared" si="7"/>
        <v>0.1811960325858073</v>
      </c>
      <c r="K51" s="7">
        <f t="shared" si="8"/>
        <v>0.21342205768479394</v>
      </c>
      <c r="L51" s="6" t="str">
        <f t="shared" si="9"/>
        <v>40.0% [21.9%–61.3%]</v>
      </c>
      <c r="M51" s="6" t="s">
        <v>89</v>
      </c>
      <c r="N51" s="6" t="s">
        <v>137</v>
      </c>
      <c r="O51" s="6" t="s">
        <v>138</v>
      </c>
    </row>
    <row r="52" spans="1:15" ht="108" customHeight="1">
      <c r="A52" s="6" t="s">
        <v>139</v>
      </c>
      <c r="B52" s="6" t="s">
        <v>90</v>
      </c>
      <c r="C52" s="6" t="s">
        <v>85</v>
      </c>
      <c r="D52" s="8">
        <v>11</v>
      </c>
      <c r="E52" s="8">
        <v>9</v>
      </c>
      <c r="F52" s="8">
        <f t="shared" si="5"/>
        <v>20</v>
      </c>
      <c r="G52" s="7">
        <f t="shared" si="6"/>
        <v>0.55000000000000004</v>
      </c>
      <c r="H52" s="7">
        <f>IF(F52=0,"",MAX(0,(G52+Guide!$B$4^2/(2*F52))/(1+Guide!$B$4^2/F52)-Guide!$B$4*SQRT(G52*(1-G52)/F52+Guide!$B$4^2/(4*F52^2))/(1+Guide!$B$4^2/F52)))</f>
        <v>0.34208200830759972</v>
      </c>
      <c r="I52" s="7">
        <f>IF(F52=0,"",MIN(1,(G52+Guide!$B$4^2/(2*F52))/(1+Guide!$B$4^2/F52)+Guide!$B$4*SQRT(G52*(1-G52)/F52+Guide!$B$4^2/(4*F52^2))/(1+Guide!$B$4^2/F52)))</f>
        <v>0.74180497914290711</v>
      </c>
      <c r="J52" s="7">
        <f t="shared" si="7"/>
        <v>0.20791799169240033</v>
      </c>
      <c r="K52" s="7">
        <f t="shared" si="8"/>
        <v>0.19180497914290706</v>
      </c>
      <c r="L52" s="6" t="str">
        <f t="shared" si="9"/>
        <v>55.0% [34.2%–74.2%]</v>
      </c>
      <c r="M52" s="6" t="s">
        <v>90</v>
      </c>
      <c r="N52" s="6" t="s">
        <v>137</v>
      </c>
      <c r="O52" s="6" t="s">
        <v>138</v>
      </c>
    </row>
    <row r="53" spans="1:15" ht="108" customHeight="1">
      <c r="A53" s="6" t="s">
        <v>140</v>
      </c>
      <c r="B53" s="6" t="s">
        <v>84</v>
      </c>
      <c r="C53" s="6" t="s">
        <v>85</v>
      </c>
      <c r="D53" s="8">
        <v>10</v>
      </c>
      <c r="E53" s="8">
        <v>10</v>
      </c>
      <c r="F53" s="8">
        <f t="shared" si="5"/>
        <v>20</v>
      </c>
      <c r="G53" s="7">
        <f t="shared" si="6"/>
        <v>0.5</v>
      </c>
      <c r="H53" s="7">
        <f>IF(F53=0,"",MAX(0,(G53+Guide!$B$4^2/(2*F53))/(1+Guide!$B$4^2/F53)-Guide!$B$4*SQRT(G53*(1-G53)/F53+Guide!$B$4^2/(4*F53^2))/(1+Guide!$B$4^2/F53)))</f>
        <v>0.29929491442981992</v>
      </c>
      <c r="I53" s="7">
        <f>IF(F53=0,"",MIN(1,(G53+Guide!$B$4^2/(2*F53))/(1+Guide!$B$4^2/F53)+Guide!$B$4*SQRT(G53*(1-G53)/F53+Guide!$B$4^2/(4*F53^2))/(1+Guide!$B$4^2/F53)))</f>
        <v>0.70070508557018008</v>
      </c>
      <c r="J53" s="7">
        <f t="shared" si="7"/>
        <v>0.20070508557018008</v>
      </c>
      <c r="K53" s="7">
        <f t="shared" si="8"/>
        <v>0.20070508557018008</v>
      </c>
      <c r="L53" s="6" t="str">
        <f t="shared" si="9"/>
        <v>50.0% [29.9%–70.1%]</v>
      </c>
      <c r="M53" s="6" t="s">
        <v>84</v>
      </c>
      <c r="N53" s="6" t="s">
        <v>137</v>
      </c>
      <c r="O53" s="6" t="s">
        <v>138</v>
      </c>
    </row>
    <row r="54" spans="1:15" ht="108" customHeight="1">
      <c r="A54" s="6" t="s">
        <v>140</v>
      </c>
      <c r="B54" s="6" t="s">
        <v>88</v>
      </c>
      <c r="C54" s="6" t="s">
        <v>85</v>
      </c>
      <c r="D54" s="8">
        <v>7</v>
      </c>
      <c r="E54" s="8">
        <v>13</v>
      </c>
      <c r="F54" s="8">
        <f t="shared" si="5"/>
        <v>20</v>
      </c>
      <c r="G54" s="7">
        <f t="shared" si="6"/>
        <v>0.35</v>
      </c>
      <c r="H54" s="7">
        <f>IF(F54=0,"",MAX(0,(G54+Guide!$B$4^2/(2*F54))/(1+Guide!$B$4^2/F54)-Guide!$B$4*SQRT(G54*(1-G54)/F54+Guide!$B$4^2/(4*F54^2))/(1+Guide!$B$4^2/F54)))</f>
        <v>0.18118954786794464</v>
      </c>
      <c r="I54" s="7">
        <f>IF(F54=0,"",MIN(1,(G54+Guide!$B$4^2/(2*F54))/(1+Guide!$B$4^2/F54)+Guide!$B$4*SQRT(G54*(1-G54)/F54+Guide!$B$4^2/(4*F54^2))/(1+Guide!$B$4^2/F54)))</f>
        <v>0.56714948978053537</v>
      </c>
      <c r="J54" s="7">
        <f t="shared" si="7"/>
        <v>0.16881045213205534</v>
      </c>
      <c r="K54" s="7">
        <f t="shared" si="8"/>
        <v>0.21714948978053539</v>
      </c>
      <c r="L54" s="6" t="str">
        <f t="shared" si="9"/>
        <v>35.0% [18.1%–56.7%]</v>
      </c>
      <c r="M54" s="6" t="s">
        <v>89</v>
      </c>
      <c r="N54" s="6" t="s">
        <v>137</v>
      </c>
      <c r="O54" s="6" t="s">
        <v>138</v>
      </c>
    </row>
    <row r="55" spans="1:15" ht="108" customHeight="1">
      <c r="A55" s="6" t="s">
        <v>140</v>
      </c>
      <c r="B55" s="6" t="s">
        <v>90</v>
      </c>
      <c r="C55" s="6" t="s">
        <v>85</v>
      </c>
      <c r="D55" s="8">
        <v>13</v>
      </c>
      <c r="E55" s="8">
        <v>7</v>
      </c>
      <c r="F55" s="8">
        <f t="shared" si="5"/>
        <v>20</v>
      </c>
      <c r="G55" s="7">
        <f t="shared" si="6"/>
        <v>0.65</v>
      </c>
      <c r="H55" s="7">
        <f>IF(F55=0,"",MAX(0,(G55+Guide!$B$4^2/(2*F55))/(1+Guide!$B$4^2/F55)-Guide!$B$4*SQRT(G55*(1-G55)/F55+Guide!$B$4^2/(4*F55^2))/(1+Guide!$B$4^2/F55)))</f>
        <v>0.43285051021946463</v>
      </c>
      <c r="I55" s="7">
        <f>IF(F55=0,"",MIN(1,(G55+Guide!$B$4^2/(2*F55))/(1+Guide!$B$4^2/F55)+Guide!$B$4*SQRT(G55*(1-G55)/F55+Guide!$B$4^2/(4*F55^2))/(1+Guide!$B$4^2/F55)))</f>
        <v>0.81881045213205539</v>
      </c>
      <c r="J55" s="7">
        <f t="shared" si="7"/>
        <v>0.21714948978053539</v>
      </c>
      <c r="K55" s="7">
        <f t="shared" si="8"/>
        <v>0.16881045213205537</v>
      </c>
      <c r="L55" s="6" t="str">
        <f t="shared" si="9"/>
        <v>65.0% [43.3%–81.9%]</v>
      </c>
      <c r="M55" s="6" t="s">
        <v>90</v>
      </c>
      <c r="N55" s="6" t="s">
        <v>137</v>
      </c>
      <c r="O55" s="6" t="s">
        <v>138</v>
      </c>
    </row>
    <row r="56" spans="1:15" ht="108" customHeight="1">
      <c r="A56" s="6" t="s">
        <v>141</v>
      </c>
      <c r="B56" s="6" t="s">
        <v>84</v>
      </c>
      <c r="C56" s="6" t="s">
        <v>85</v>
      </c>
      <c r="D56" s="8">
        <v>6</v>
      </c>
      <c r="E56" s="8">
        <v>14</v>
      </c>
      <c r="F56" s="8">
        <f t="shared" si="5"/>
        <v>20</v>
      </c>
      <c r="G56" s="7">
        <f t="shared" si="6"/>
        <v>0.3</v>
      </c>
      <c r="H56" s="7">
        <f>IF(F56=0,"",MAX(0,(G56+Guide!$B$4^2/(2*F56))/(1+Guide!$B$4^2/F56)-Guide!$B$4*SQRT(G56*(1-G56)/F56+Guide!$B$4^2/(4*F56^2))/(1+Guide!$B$4^2/F56)))</f>
        <v>0.14547527396899385</v>
      </c>
      <c r="I56" s="7">
        <f>IF(F56=0,"",MIN(1,(G56+Guide!$B$4^2/(2*F56))/(1+Guide!$B$4^2/F56)+Guide!$B$4*SQRT(G56*(1-G56)/F56+Guide!$B$4^2/(4*F56^2))/(1+Guide!$B$4^2/F56)))</f>
        <v>0.51897677622897931</v>
      </c>
      <c r="J56" s="7">
        <f t="shared" si="7"/>
        <v>0.15452472603100614</v>
      </c>
      <c r="K56" s="7">
        <f t="shared" si="8"/>
        <v>0.21897677622897932</v>
      </c>
      <c r="L56" s="6" t="str">
        <f t="shared" si="9"/>
        <v>30.0% [14.5%–51.9%]</v>
      </c>
      <c r="M56" s="6" t="s">
        <v>84</v>
      </c>
      <c r="N56" s="6" t="s">
        <v>137</v>
      </c>
      <c r="O56" s="6" t="s">
        <v>138</v>
      </c>
    </row>
    <row r="57" spans="1:15" ht="108" customHeight="1">
      <c r="A57" s="6" t="s">
        <v>141</v>
      </c>
      <c r="B57" s="6" t="s">
        <v>88</v>
      </c>
      <c r="C57" s="6" t="s">
        <v>85</v>
      </c>
      <c r="D57" s="8">
        <v>11</v>
      </c>
      <c r="E57" s="8">
        <v>9</v>
      </c>
      <c r="F57" s="8">
        <f t="shared" si="5"/>
        <v>20</v>
      </c>
      <c r="G57" s="7">
        <f t="shared" si="6"/>
        <v>0.55000000000000004</v>
      </c>
      <c r="H57" s="7">
        <f>IF(F57=0,"",MAX(0,(G57+Guide!$B$4^2/(2*F57))/(1+Guide!$B$4^2/F57)-Guide!$B$4*SQRT(G57*(1-G57)/F57+Guide!$B$4^2/(4*F57^2))/(1+Guide!$B$4^2/F57)))</f>
        <v>0.34208200830759972</v>
      </c>
      <c r="I57" s="7">
        <f>IF(F57=0,"",MIN(1,(G57+Guide!$B$4^2/(2*F57))/(1+Guide!$B$4^2/F57)+Guide!$B$4*SQRT(G57*(1-G57)/F57+Guide!$B$4^2/(4*F57^2))/(1+Guide!$B$4^2/F57)))</f>
        <v>0.74180497914290711</v>
      </c>
      <c r="J57" s="7">
        <f t="shared" si="7"/>
        <v>0.20791799169240033</v>
      </c>
      <c r="K57" s="7">
        <f t="shared" si="8"/>
        <v>0.19180497914290706</v>
      </c>
      <c r="L57" s="6" t="str">
        <f t="shared" si="9"/>
        <v>55.0% [34.2%–74.2%]</v>
      </c>
      <c r="M57" s="6" t="s">
        <v>89</v>
      </c>
      <c r="N57" s="6" t="s">
        <v>137</v>
      </c>
      <c r="O57" s="6" t="s">
        <v>138</v>
      </c>
    </row>
    <row r="58" spans="1:15" ht="108" customHeight="1">
      <c r="A58" s="6" t="s">
        <v>141</v>
      </c>
      <c r="B58" s="6" t="s">
        <v>90</v>
      </c>
      <c r="C58" s="6" t="s">
        <v>85</v>
      </c>
      <c r="D58" s="8">
        <v>12</v>
      </c>
      <c r="E58" s="8">
        <v>8</v>
      </c>
      <c r="F58" s="8">
        <f t="shared" si="5"/>
        <v>20</v>
      </c>
      <c r="G58" s="7">
        <f t="shared" si="6"/>
        <v>0.6</v>
      </c>
      <c r="H58" s="7">
        <f>IF(F58=0,"",MAX(0,(G58+Guide!$B$4^2/(2*F58))/(1+Guide!$B$4^2/F58)-Guide!$B$4*SQRT(G58*(1-G58)/F58+Guide!$B$4^2/(4*F58^2))/(1+Guide!$B$4^2/F58)))</f>
        <v>0.38657794231520609</v>
      </c>
      <c r="I58" s="7">
        <f>IF(F58=0,"",MIN(1,(G58+Guide!$B$4^2/(2*F58))/(1+Guide!$B$4^2/F58)+Guide!$B$4*SQRT(G58*(1-G58)/F58+Guide!$B$4^2/(4*F58^2))/(1+Guide!$B$4^2/F58)))</f>
        <v>0.78119603258580739</v>
      </c>
      <c r="J58" s="7">
        <f t="shared" si="7"/>
        <v>0.21342205768479389</v>
      </c>
      <c r="K58" s="7">
        <f t="shared" si="8"/>
        <v>0.18119603258580741</v>
      </c>
      <c r="L58" s="6" t="str">
        <f t="shared" si="9"/>
        <v>60.0% [38.7%–78.1%]</v>
      </c>
      <c r="M58" s="6" t="s">
        <v>90</v>
      </c>
      <c r="N58" s="6" t="s">
        <v>137</v>
      </c>
      <c r="O58" s="6" t="s">
        <v>138</v>
      </c>
    </row>
    <row r="59" spans="1:15" ht="108" customHeight="1">
      <c r="A59" s="6" t="s">
        <v>142</v>
      </c>
      <c r="B59" s="6" t="s">
        <v>84</v>
      </c>
      <c r="C59" s="6" t="s">
        <v>85</v>
      </c>
      <c r="D59" s="8">
        <v>14</v>
      </c>
      <c r="E59" s="8">
        <v>6</v>
      </c>
      <c r="F59" s="8">
        <f t="shared" si="5"/>
        <v>20</v>
      </c>
      <c r="G59" s="7">
        <f t="shared" si="6"/>
        <v>0.7</v>
      </c>
      <c r="H59" s="7">
        <f>IF(F59=0,"",MAX(0,(G59+Guide!$B$4^2/(2*F59))/(1+Guide!$B$4^2/F59)-Guide!$B$4*SQRT(G59*(1-G59)/F59+Guide!$B$4^2/(4*F59^2))/(1+Guide!$B$4^2/F59)))</f>
        <v>0.48102322377102058</v>
      </c>
      <c r="I59" s="7">
        <f>IF(F59=0,"",MIN(1,(G59+Guide!$B$4^2/(2*F59))/(1+Guide!$B$4^2/F59)+Guide!$B$4*SQRT(G59*(1-G59)/F59+Guide!$B$4^2/(4*F59^2))/(1+Guide!$B$4^2/F59)))</f>
        <v>0.85452472603100604</v>
      </c>
      <c r="J59" s="7">
        <f t="shared" si="7"/>
        <v>0.21897677622897938</v>
      </c>
      <c r="K59" s="7">
        <f t="shared" si="8"/>
        <v>0.15452472603100609</v>
      </c>
      <c r="L59" s="6" t="str">
        <f t="shared" si="9"/>
        <v>70.0% [48.1%–85.5%]</v>
      </c>
      <c r="M59" s="6" t="s">
        <v>84</v>
      </c>
      <c r="N59" s="6" t="s">
        <v>137</v>
      </c>
      <c r="O59" s="6" t="s">
        <v>138</v>
      </c>
    </row>
    <row r="60" spans="1:15" ht="108" customHeight="1">
      <c r="A60" s="6" t="s">
        <v>142</v>
      </c>
      <c r="B60" s="6" t="s">
        <v>88</v>
      </c>
      <c r="C60" s="6" t="s">
        <v>85</v>
      </c>
      <c r="D60" s="8">
        <v>11</v>
      </c>
      <c r="E60" s="8">
        <v>9</v>
      </c>
      <c r="F60" s="8">
        <f t="shared" si="5"/>
        <v>20</v>
      </c>
      <c r="G60" s="7">
        <f t="shared" si="6"/>
        <v>0.55000000000000004</v>
      </c>
      <c r="H60" s="7">
        <f>IF(F60=0,"",MAX(0,(G60+Guide!$B$4^2/(2*F60))/(1+Guide!$B$4^2/F60)-Guide!$B$4*SQRT(G60*(1-G60)/F60+Guide!$B$4^2/(4*F60^2))/(1+Guide!$B$4^2/F60)))</f>
        <v>0.34208200830759972</v>
      </c>
      <c r="I60" s="7">
        <f>IF(F60=0,"",MIN(1,(G60+Guide!$B$4^2/(2*F60))/(1+Guide!$B$4^2/F60)+Guide!$B$4*SQRT(G60*(1-G60)/F60+Guide!$B$4^2/(4*F60^2))/(1+Guide!$B$4^2/F60)))</f>
        <v>0.74180497914290711</v>
      </c>
      <c r="J60" s="7">
        <f t="shared" si="7"/>
        <v>0.20791799169240033</v>
      </c>
      <c r="K60" s="7">
        <f t="shared" si="8"/>
        <v>0.19180497914290706</v>
      </c>
      <c r="L60" s="6" t="str">
        <f t="shared" si="9"/>
        <v>55.0% [34.2%–74.2%]</v>
      </c>
      <c r="M60" s="6" t="s">
        <v>89</v>
      </c>
      <c r="N60" s="6" t="s">
        <v>137</v>
      </c>
      <c r="O60" s="6" t="s">
        <v>138</v>
      </c>
    </row>
    <row r="61" spans="1:15" ht="108" customHeight="1">
      <c r="A61" s="6" t="s">
        <v>142</v>
      </c>
      <c r="B61" s="6" t="s">
        <v>90</v>
      </c>
      <c r="C61" s="6" t="s">
        <v>85</v>
      </c>
      <c r="D61" s="8">
        <v>8</v>
      </c>
      <c r="E61" s="8">
        <v>12</v>
      </c>
      <c r="F61" s="8">
        <f t="shared" si="5"/>
        <v>20</v>
      </c>
      <c r="G61" s="7">
        <f t="shared" si="6"/>
        <v>0.4</v>
      </c>
      <c r="H61" s="7">
        <f>IF(F61=0,"",MAX(0,(G61+Guide!$B$4^2/(2*F61))/(1+Guide!$B$4^2/F61)-Guide!$B$4*SQRT(G61*(1-G61)/F61+Guide!$B$4^2/(4*F61^2))/(1+Guide!$B$4^2/F61)))</f>
        <v>0.21880396741419272</v>
      </c>
      <c r="I61" s="7">
        <f>IF(F61=0,"",MIN(1,(G61+Guide!$B$4^2/(2*F61))/(1+Guide!$B$4^2/F61)+Guide!$B$4*SQRT(G61*(1-G61)/F61+Guide!$B$4^2/(4*F61^2))/(1+Guide!$B$4^2/F61)))</f>
        <v>0.61342205768479396</v>
      </c>
      <c r="J61" s="7">
        <f t="shared" si="7"/>
        <v>0.1811960325858073</v>
      </c>
      <c r="K61" s="7">
        <f t="shared" si="8"/>
        <v>0.21342205768479394</v>
      </c>
      <c r="L61" s="6" t="str">
        <f t="shared" si="9"/>
        <v>40.0% [21.9%–61.3%]</v>
      </c>
      <c r="M61" s="6" t="s">
        <v>90</v>
      </c>
      <c r="N61" s="6" t="s">
        <v>137</v>
      </c>
      <c r="O61" s="6" t="s">
        <v>138</v>
      </c>
    </row>
    <row r="62" spans="1:15" ht="108" customHeight="1">
      <c r="A62" s="6" t="s">
        <v>143</v>
      </c>
      <c r="B62" s="6" t="s">
        <v>84</v>
      </c>
      <c r="C62" s="6" t="s">
        <v>85</v>
      </c>
      <c r="D62" s="8">
        <v>15</v>
      </c>
      <c r="E62" s="8">
        <v>5</v>
      </c>
      <c r="F62" s="8">
        <f t="shared" si="5"/>
        <v>20</v>
      </c>
      <c r="G62" s="7">
        <f t="shared" si="6"/>
        <v>0.75</v>
      </c>
      <c r="H62" s="7">
        <f>IF(F62=0,"",MAX(0,(G62+Guide!$B$4^2/(2*F62))/(1+Guide!$B$4^2/F62)-Guide!$B$4*SQRT(G62*(1-G62)/F62+Guide!$B$4^2/(4*F62^2))/(1+Guide!$B$4^2/F62)))</f>
        <v>0.53129499004193648</v>
      </c>
      <c r="I62" s="7">
        <f>IF(F62=0,"",MIN(1,(G62+Guide!$B$4^2/(2*F62))/(1+Guide!$B$4^2/F62)+Guide!$B$4*SQRT(G62*(1-G62)/F62+Guide!$B$4^2/(4*F62^2))/(1+Guide!$B$4^2/F62)))</f>
        <v>0.88813994721059697</v>
      </c>
      <c r="J62" s="7">
        <f t="shared" si="7"/>
        <v>0.21870500995806352</v>
      </c>
      <c r="K62" s="7">
        <f t="shared" si="8"/>
        <v>0.13813994721059697</v>
      </c>
      <c r="L62" s="6" t="str">
        <f t="shared" si="9"/>
        <v>75.0% [53.1%–88.8%]</v>
      </c>
      <c r="M62" s="6" t="s">
        <v>84</v>
      </c>
      <c r="N62" s="6" t="s">
        <v>137</v>
      </c>
      <c r="O62" s="6" t="s">
        <v>138</v>
      </c>
    </row>
    <row r="63" spans="1:15" ht="108" customHeight="1">
      <c r="A63" s="6" t="s">
        <v>143</v>
      </c>
      <c r="B63" s="6" t="s">
        <v>88</v>
      </c>
      <c r="C63" s="6" t="s">
        <v>85</v>
      </c>
      <c r="D63" s="8">
        <v>17</v>
      </c>
      <c r="E63" s="8">
        <v>3</v>
      </c>
      <c r="F63" s="8">
        <f t="shared" si="5"/>
        <v>20</v>
      </c>
      <c r="G63" s="7">
        <f t="shared" si="6"/>
        <v>0.85</v>
      </c>
      <c r="H63" s="7">
        <f>IF(F63=0,"",MAX(0,(G63+Guide!$B$4^2/(2*F63))/(1+Guide!$B$4^2/F63)-Guide!$B$4*SQRT(G63*(1-G63)/F63+Guide!$B$4^2/(4*F63^2))/(1+Guide!$B$4^2/F63)))</f>
        <v>0.63957670411304257</v>
      </c>
      <c r="I63" s="7">
        <f>IF(F63=0,"",MIN(1,(G63+Guide!$B$4^2/(2*F63))/(1+Guide!$B$4^2/F63)+Guide!$B$4*SQRT(G63*(1-G63)/F63+Guide!$B$4^2/(4*F63^2))/(1+Guide!$B$4^2/F63)))</f>
        <v>0.94763220804050408</v>
      </c>
      <c r="J63" s="7">
        <f t="shared" si="7"/>
        <v>0.21042329588695741</v>
      </c>
      <c r="K63" s="7">
        <f t="shared" si="8"/>
        <v>9.7632208040504098E-2</v>
      </c>
      <c r="L63" s="6" t="str">
        <f t="shared" si="9"/>
        <v>85.0% [64.0%–94.8%]</v>
      </c>
      <c r="M63" s="6" t="s">
        <v>89</v>
      </c>
      <c r="N63" s="6" t="s">
        <v>137</v>
      </c>
      <c r="O63" s="6" t="s">
        <v>138</v>
      </c>
    </row>
    <row r="64" spans="1:15" ht="108" customHeight="1">
      <c r="A64" s="6" t="s">
        <v>143</v>
      </c>
      <c r="B64" s="6" t="s">
        <v>90</v>
      </c>
      <c r="C64" s="6" t="s">
        <v>85</v>
      </c>
      <c r="D64" s="8">
        <v>11</v>
      </c>
      <c r="E64" s="8">
        <v>9</v>
      </c>
      <c r="F64" s="8">
        <f t="shared" si="5"/>
        <v>20</v>
      </c>
      <c r="G64" s="7">
        <f t="shared" si="6"/>
        <v>0.55000000000000004</v>
      </c>
      <c r="H64" s="7">
        <f>IF(F64=0,"",MAX(0,(G64+Guide!$B$4^2/(2*F64))/(1+Guide!$B$4^2/F64)-Guide!$B$4*SQRT(G64*(1-G64)/F64+Guide!$B$4^2/(4*F64^2))/(1+Guide!$B$4^2/F64)))</f>
        <v>0.34208200830759972</v>
      </c>
      <c r="I64" s="7">
        <f>IF(F64=0,"",MIN(1,(G64+Guide!$B$4^2/(2*F64))/(1+Guide!$B$4^2/F64)+Guide!$B$4*SQRT(G64*(1-G64)/F64+Guide!$B$4^2/(4*F64^2))/(1+Guide!$B$4^2/F64)))</f>
        <v>0.74180497914290711</v>
      </c>
      <c r="J64" s="7">
        <f t="shared" si="7"/>
        <v>0.20791799169240033</v>
      </c>
      <c r="K64" s="7">
        <f t="shared" si="8"/>
        <v>0.19180497914290706</v>
      </c>
      <c r="L64" s="6" t="str">
        <f t="shared" si="9"/>
        <v>55.0% [34.2%–74.2%]</v>
      </c>
      <c r="M64" s="6" t="s">
        <v>90</v>
      </c>
      <c r="N64" s="6" t="s">
        <v>137</v>
      </c>
      <c r="O64" s="6" t="s">
        <v>138</v>
      </c>
    </row>
    <row r="65" spans="1:15" ht="60" customHeight="1">
      <c r="A65" s="6" t="s">
        <v>144</v>
      </c>
      <c r="B65" s="6" t="s">
        <v>84</v>
      </c>
      <c r="C65" s="6" t="s">
        <v>85</v>
      </c>
      <c r="D65" s="8">
        <v>16</v>
      </c>
      <c r="E65" s="8">
        <v>4</v>
      </c>
      <c r="F65" s="8">
        <f t="shared" si="5"/>
        <v>20</v>
      </c>
      <c r="G65" s="7">
        <f t="shared" si="6"/>
        <v>0.8</v>
      </c>
      <c r="H65" s="7">
        <f>IF(F65=0,"",MAX(0,(G65+Guide!$B$4^2/(2*F65))/(1+Guide!$B$4^2/F65)-Guide!$B$4*SQRT(G65*(1-G65)/F65+Guide!$B$4^2/(4*F65^2))/(1+Guide!$B$4^2/F65)))</f>
        <v>0.58397827797424007</v>
      </c>
      <c r="I65" s="7">
        <f>IF(F65=0,"",MIN(1,(G65+Guide!$B$4^2/(2*F65))/(1+Guide!$B$4^2/F65)+Guide!$B$4*SQRT(G65*(1-G65)/F65+Guide!$B$4^2/(4*F65^2))/(1+Guide!$B$4^2/F65)))</f>
        <v>0.91934364672879998</v>
      </c>
      <c r="J65" s="7">
        <f t="shared" si="7"/>
        <v>0.21602172202575998</v>
      </c>
      <c r="K65" s="7">
        <f t="shared" si="8"/>
        <v>0.11934364672879993</v>
      </c>
      <c r="L65" s="6" t="str">
        <f t="shared" si="9"/>
        <v>80.0% [58.4%–91.9%]</v>
      </c>
      <c r="M65" s="6" t="s">
        <v>84</v>
      </c>
      <c r="N65" s="6" t="s">
        <v>145</v>
      </c>
      <c r="O65" s="6" t="s">
        <v>146</v>
      </c>
    </row>
    <row r="66" spans="1:15" ht="60" customHeight="1">
      <c r="A66" s="6" t="s">
        <v>144</v>
      </c>
      <c r="B66" s="6" t="s">
        <v>88</v>
      </c>
      <c r="C66" s="6" t="s">
        <v>85</v>
      </c>
      <c r="D66" s="8">
        <v>14</v>
      </c>
      <c r="E66" s="8">
        <v>6</v>
      </c>
      <c r="F66" s="8">
        <f t="shared" si="5"/>
        <v>20</v>
      </c>
      <c r="G66" s="7">
        <f t="shared" si="6"/>
        <v>0.7</v>
      </c>
      <c r="H66" s="7">
        <f>IF(F66=0,"",MAX(0,(G66+Guide!$B$4^2/(2*F66))/(1+Guide!$B$4^2/F66)-Guide!$B$4*SQRT(G66*(1-G66)/F66+Guide!$B$4^2/(4*F66^2))/(1+Guide!$B$4^2/F66)))</f>
        <v>0.48102322377102058</v>
      </c>
      <c r="I66" s="7">
        <f>IF(F66=0,"",MIN(1,(G66+Guide!$B$4^2/(2*F66))/(1+Guide!$B$4^2/F66)+Guide!$B$4*SQRT(G66*(1-G66)/F66+Guide!$B$4^2/(4*F66^2))/(1+Guide!$B$4^2/F66)))</f>
        <v>0.85452472603100604</v>
      </c>
      <c r="J66" s="7">
        <f t="shared" si="7"/>
        <v>0.21897677622897938</v>
      </c>
      <c r="K66" s="7">
        <f t="shared" si="8"/>
        <v>0.15452472603100609</v>
      </c>
      <c r="L66" s="6" t="str">
        <f t="shared" si="9"/>
        <v>70.0% [48.1%–85.5%]</v>
      </c>
      <c r="M66" s="6" t="s">
        <v>89</v>
      </c>
      <c r="N66" s="6" t="s">
        <v>145</v>
      </c>
      <c r="O66" s="6" t="s">
        <v>146</v>
      </c>
    </row>
    <row r="67" spans="1:15" ht="60" customHeight="1">
      <c r="A67" s="6" t="s">
        <v>144</v>
      </c>
      <c r="B67" s="6" t="s">
        <v>90</v>
      </c>
      <c r="C67" s="6" t="s">
        <v>85</v>
      </c>
      <c r="D67" s="8">
        <v>9</v>
      </c>
      <c r="E67" s="8">
        <v>11</v>
      </c>
      <c r="F67" s="8">
        <f t="shared" si="5"/>
        <v>20</v>
      </c>
      <c r="G67" s="7">
        <f t="shared" si="6"/>
        <v>0.45</v>
      </c>
      <c r="H67" s="7">
        <f>IF(F67=0,"",MAX(0,(G67+Guide!$B$4^2/(2*F67))/(1+Guide!$B$4^2/F67)-Guide!$B$4*SQRT(G67*(1-G67)/F67+Guide!$B$4^2/(4*F67^2))/(1+Guide!$B$4^2/F67)))</f>
        <v>0.25819502085709295</v>
      </c>
      <c r="I67" s="7">
        <f>IF(F67=0,"",MIN(1,(G67+Guide!$B$4^2/(2*F67))/(1+Guide!$B$4^2/F67)+Guide!$B$4*SQRT(G67*(1-G67)/F67+Guide!$B$4^2/(4*F67^2))/(1+Guide!$B$4^2/F67)))</f>
        <v>0.65791799169240028</v>
      </c>
      <c r="J67" s="7">
        <f t="shared" si="7"/>
        <v>0.19180497914290706</v>
      </c>
      <c r="K67" s="7">
        <f t="shared" si="8"/>
        <v>0.20791799169240027</v>
      </c>
      <c r="L67" s="6" t="str">
        <f t="shared" si="9"/>
        <v>45.0% [25.8%–65.8%]</v>
      </c>
      <c r="M67" s="6" t="s">
        <v>90</v>
      </c>
      <c r="N67" s="6" t="s">
        <v>145</v>
      </c>
      <c r="O67" s="6" t="s">
        <v>146</v>
      </c>
    </row>
    <row r="68" spans="1:15" ht="48" customHeight="1">
      <c r="A68" s="6" t="s">
        <v>147</v>
      </c>
      <c r="B68" s="6" t="s">
        <v>84</v>
      </c>
      <c r="C68" s="6" t="s">
        <v>85</v>
      </c>
      <c r="D68" s="8">
        <v>16</v>
      </c>
      <c r="E68" s="8">
        <v>4</v>
      </c>
      <c r="F68" s="8">
        <f t="shared" si="5"/>
        <v>20</v>
      </c>
      <c r="G68" s="7">
        <f t="shared" si="6"/>
        <v>0.8</v>
      </c>
      <c r="H68" s="7">
        <f>IF(F68=0,"",MAX(0,(G68+Guide!$B$4^2/(2*F68))/(1+Guide!$B$4^2/F68)-Guide!$B$4*SQRT(G68*(1-G68)/F68+Guide!$B$4^2/(4*F68^2))/(1+Guide!$B$4^2/F68)))</f>
        <v>0.58397827797424007</v>
      </c>
      <c r="I68" s="7">
        <f>IF(F68=0,"",MIN(1,(G68+Guide!$B$4^2/(2*F68))/(1+Guide!$B$4^2/F68)+Guide!$B$4*SQRT(G68*(1-G68)/F68+Guide!$B$4^2/(4*F68^2))/(1+Guide!$B$4^2/F68)))</f>
        <v>0.91934364672879998</v>
      </c>
      <c r="J68" s="7">
        <f t="shared" si="7"/>
        <v>0.21602172202575998</v>
      </c>
      <c r="K68" s="7">
        <f t="shared" si="8"/>
        <v>0.11934364672879993</v>
      </c>
      <c r="L68" s="6" t="str">
        <f t="shared" si="9"/>
        <v>80.0% [58.4%–91.9%]</v>
      </c>
      <c r="M68" s="6" t="s">
        <v>84</v>
      </c>
      <c r="N68" s="6" t="s">
        <v>145</v>
      </c>
      <c r="O68" s="6" t="s">
        <v>146</v>
      </c>
    </row>
    <row r="69" spans="1:15" ht="48" customHeight="1">
      <c r="A69" s="6" t="s">
        <v>147</v>
      </c>
      <c r="B69" s="6" t="s">
        <v>88</v>
      </c>
      <c r="C69" s="6" t="s">
        <v>85</v>
      </c>
      <c r="D69" s="8">
        <v>14</v>
      </c>
      <c r="E69" s="8">
        <v>6</v>
      </c>
      <c r="F69" s="8">
        <f t="shared" ref="F69:F100" si="10">D69+E69</f>
        <v>20</v>
      </c>
      <c r="G69" s="7">
        <f t="shared" ref="G69:G100" si="11">IF(F69=0,"",D69/F69)</f>
        <v>0.7</v>
      </c>
      <c r="H69" s="7">
        <f>IF(F69=0,"",MAX(0,(G69+Guide!$B$4^2/(2*F69))/(1+Guide!$B$4^2/F69)-Guide!$B$4*SQRT(G69*(1-G69)/F69+Guide!$B$4^2/(4*F69^2))/(1+Guide!$B$4^2/F69)))</f>
        <v>0.48102322377102058</v>
      </c>
      <c r="I69" s="7">
        <f>IF(F69=0,"",MIN(1,(G69+Guide!$B$4^2/(2*F69))/(1+Guide!$B$4^2/F69)+Guide!$B$4*SQRT(G69*(1-G69)/F69+Guide!$B$4^2/(4*F69^2))/(1+Guide!$B$4^2/F69)))</f>
        <v>0.85452472603100604</v>
      </c>
      <c r="J69" s="7">
        <f t="shared" ref="J69:J94" si="12">IF(F69=0,"",G69-H69)</f>
        <v>0.21897677622897938</v>
      </c>
      <c r="K69" s="7">
        <f t="shared" ref="K69:K94" si="13">IF(F69=0,"",I69-G69)</f>
        <v>0.15452472603100609</v>
      </c>
      <c r="L69" s="6" t="str">
        <f t="shared" ref="L69:L94" si="14">IF(F69=0,"",TEXT(G69,"0.0%")&amp;" ["&amp;TEXT(H69,"0.0%")&amp;"–"&amp;TEXT(I69,"0.0%")&amp;"]")</f>
        <v>70.0% [48.1%–85.5%]</v>
      </c>
      <c r="M69" s="6" t="s">
        <v>89</v>
      </c>
      <c r="N69" s="6" t="s">
        <v>145</v>
      </c>
      <c r="O69" s="6" t="s">
        <v>146</v>
      </c>
    </row>
    <row r="70" spans="1:15" ht="48" customHeight="1">
      <c r="A70" s="6" t="s">
        <v>147</v>
      </c>
      <c r="B70" s="6" t="s">
        <v>90</v>
      </c>
      <c r="C70" s="6" t="s">
        <v>85</v>
      </c>
      <c r="D70" s="8">
        <v>9</v>
      </c>
      <c r="E70" s="8">
        <v>11</v>
      </c>
      <c r="F70" s="8">
        <f t="shared" si="10"/>
        <v>20</v>
      </c>
      <c r="G70" s="7">
        <f t="shared" si="11"/>
        <v>0.45</v>
      </c>
      <c r="H70" s="7">
        <f>IF(F70=0,"",MAX(0,(G70+Guide!$B$4^2/(2*F70))/(1+Guide!$B$4^2/F70)-Guide!$B$4*SQRT(G70*(1-G70)/F70+Guide!$B$4^2/(4*F70^2))/(1+Guide!$B$4^2/F70)))</f>
        <v>0.25819502085709295</v>
      </c>
      <c r="I70" s="7">
        <f>IF(F70=0,"",MIN(1,(G70+Guide!$B$4^2/(2*F70))/(1+Guide!$B$4^2/F70)+Guide!$B$4*SQRT(G70*(1-G70)/F70+Guide!$B$4^2/(4*F70^2))/(1+Guide!$B$4^2/F70)))</f>
        <v>0.65791799169240028</v>
      </c>
      <c r="J70" s="7">
        <f t="shared" si="12"/>
        <v>0.19180497914290706</v>
      </c>
      <c r="K70" s="7">
        <f t="shared" si="13"/>
        <v>0.20791799169240027</v>
      </c>
      <c r="L70" s="6" t="str">
        <f t="shared" si="14"/>
        <v>45.0% [25.8%–65.8%]</v>
      </c>
      <c r="M70" s="6" t="s">
        <v>90</v>
      </c>
      <c r="N70" s="6" t="s">
        <v>145</v>
      </c>
      <c r="O70" s="6" t="s">
        <v>146</v>
      </c>
    </row>
    <row r="71" spans="1:15" ht="84" customHeight="1">
      <c r="A71" s="6" t="s">
        <v>148</v>
      </c>
      <c r="B71" s="6" t="s">
        <v>84</v>
      </c>
      <c r="C71" s="6" t="s">
        <v>85</v>
      </c>
      <c r="D71" s="8">
        <v>34</v>
      </c>
      <c r="E71" s="8">
        <v>66</v>
      </c>
      <c r="F71" s="8">
        <f t="shared" si="10"/>
        <v>100</v>
      </c>
      <c r="G71" s="7">
        <f t="shared" si="11"/>
        <v>0.34</v>
      </c>
      <c r="H71" s="7">
        <f>IF(F71=0,"",MAX(0,(G71+Guide!$B$4^2/(2*F71))/(1+Guide!$B$4^2/F71)-Guide!$B$4*SQRT(G71*(1-G71)/F71+Guide!$B$4^2/(4*F71^2))/(1+Guide!$B$4^2/F71)))</f>
        <v>0.25461379497543002</v>
      </c>
      <c r="I71" s="7">
        <f>IF(F71=0,"",MIN(1,(G71+Guide!$B$4^2/(2*F71))/(1+Guide!$B$4^2/F71)+Guide!$B$4*SQRT(G71*(1-G71)/F71+Guide!$B$4^2/(4*F71^2))/(1+Guide!$B$4^2/F71)))</f>
        <v>0.43722454341689065</v>
      </c>
      <c r="J71" s="7">
        <f t="shared" si="12"/>
        <v>8.5386205024570005E-2</v>
      </c>
      <c r="K71" s="7">
        <f t="shared" si="13"/>
        <v>9.722454341689063E-2</v>
      </c>
      <c r="L71" s="6" t="str">
        <f t="shared" si="14"/>
        <v>34.0% [25.5%–43.7%]</v>
      </c>
      <c r="M71" s="6" t="s">
        <v>84</v>
      </c>
      <c r="N71" s="6" t="s">
        <v>149</v>
      </c>
      <c r="O71" s="6" t="s">
        <v>150</v>
      </c>
    </row>
    <row r="72" spans="1:15" ht="84" customHeight="1">
      <c r="A72" s="6" t="s">
        <v>148</v>
      </c>
      <c r="B72" s="6" t="s">
        <v>88</v>
      </c>
      <c r="C72" s="6" t="s">
        <v>85</v>
      </c>
      <c r="D72" s="8">
        <v>32</v>
      </c>
      <c r="E72" s="8">
        <v>68</v>
      </c>
      <c r="F72" s="8">
        <f t="shared" si="10"/>
        <v>100</v>
      </c>
      <c r="G72" s="7">
        <f t="shared" si="11"/>
        <v>0.32</v>
      </c>
      <c r="H72" s="7">
        <f>IF(F72=0,"",MAX(0,(G72+Guide!$B$4^2/(2*F72))/(1+Guide!$B$4^2/F72)-Guide!$B$4*SQRT(G72*(1-G72)/F72+Guide!$B$4^2/(4*F72^2))/(1+Guide!$B$4^2/F72)))</f>
        <v>0.23669010815456881</v>
      </c>
      <c r="I72" s="7">
        <f>IF(F72=0,"",MIN(1,(G72+Guide!$B$4^2/(2*F72))/(1+Guide!$B$4^2/F72)+Guide!$B$4*SQRT(G72*(1-G72)/F72+Guide!$B$4^2/(4*F72^2))/(1+Guide!$B$4^2/F72)))</f>
        <v>0.41662802253679188</v>
      </c>
      <c r="J72" s="7">
        <f t="shared" si="12"/>
        <v>8.3309891845431194E-2</v>
      </c>
      <c r="K72" s="7">
        <f t="shared" si="13"/>
        <v>9.6628022536791869E-2</v>
      </c>
      <c r="L72" s="6" t="str">
        <f t="shared" si="14"/>
        <v>32.0% [23.7%–41.7%]</v>
      </c>
      <c r="M72" s="6" t="s">
        <v>89</v>
      </c>
      <c r="N72" s="6" t="s">
        <v>149</v>
      </c>
      <c r="O72" s="6" t="s">
        <v>150</v>
      </c>
    </row>
    <row r="73" spans="1:15" ht="84" customHeight="1">
      <c r="A73" s="6" t="s">
        <v>148</v>
      </c>
      <c r="B73" s="6" t="s">
        <v>90</v>
      </c>
      <c r="C73" s="6" t="s">
        <v>85</v>
      </c>
      <c r="D73" s="8">
        <v>36</v>
      </c>
      <c r="E73" s="8">
        <v>64</v>
      </c>
      <c r="F73" s="8">
        <f t="shared" si="10"/>
        <v>100</v>
      </c>
      <c r="G73" s="7">
        <f t="shared" si="11"/>
        <v>0.36</v>
      </c>
      <c r="H73" s="7">
        <f>IF(F73=0,"",MAX(0,(G73+Guide!$B$4^2/(2*F73))/(1+Guide!$B$4^2/F73)-Guide!$B$4*SQRT(G73*(1-G73)/F73+Guide!$B$4^2/(4*F73^2))/(1+Guide!$B$4^2/F73)))</f>
        <v>0.27271074590490141</v>
      </c>
      <c r="I73" s="7">
        <f>IF(F73=0,"",MIN(1,(G73+Guide!$B$4^2/(2*F73))/(1+Guide!$B$4^2/F73)+Guide!$B$4*SQRT(G73*(1-G73)/F73+Guide!$B$4^2/(4*F73^2))/(1+Guide!$B$4^2/F73)))</f>
        <v>0.45764780018837914</v>
      </c>
      <c r="J73" s="7">
        <f t="shared" si="12"/>
        <v>8.7289254095098578E-2</v>
      </c>
      <c r="K73" s="7">
        <f t="shared" si="13"/>
        <v>9.7647800188379152E-2</v>
      </c>
      <c r="L73" s="6" t="str">
        <f t="shared" si="14"/>
        <v>36.0% [27.3%–45.8%]</v>
      </c>
      <c r="M73" s="6" t="s">
        <v>90</v>
      </c>
      <c r="N73" s="6" t="s">
        <v>149</v>
      </c>
      <c r="O73" s="6" t="s">
        <v>150</v>
      </c>
    </row>
    <row r="74" spans="1:15" ht="84" customHeight="1">
      <c r="A74" s="6" t="s">
        <v>151</v>
      </c>
      <c r="B74" s="6" t="s">
        <v>84</v>
      </c>
      <c r="C74" s="6" t="s">
        <v>85</v>
      </c>
      <c r="D74" s="8">
        <v>0</v>
      </c>
      <c r="E74" s="8">
        <v>20</v>
      </c>
      <c r="F74" s="8">
        <f t="shared" si="10"/>
        <v>20</v>
      </c>
      <c r="G74" s="7">
        <f t="shared" si="11"/>
        <v>0</v>
      </c>
      <c r="H74" s="7">
        <f>IF(F74=0,"",MAX(0,(G74+Guide!$B$4^2/(2*F74))/(1+Guide!$B$4^2/F74)-Guide!$B$4*SQRT(G74*(1-G74)/F74+Guide!$B$4^2/(4*F74^2))/(1+Guide!$B$4^2/F74)))</f>
        <v>0</v>
      </c>
      <c r="I74" s="7">
        <f>IF(F74=0,"",MIN(1,(G74+Guide!$B$4^2/(2*F74))/(1+Guide!$B$4^2/F74)+Guide!$B$4*SQRT(G74*(1-G74)/F74+Guide!$B$4^2/(4*F74^2))/(1+Guide!$B$4^2/F74)))</f>
        <v>0.16113012549493322</v>
      </c>
      <c r="J74" s="7">
        <f t="shared" si="12"/>
        <v>0</v>
      </c>
      <c r="K74" s="7">
        <f t="shared" si="13"/>
        <v>0.16113012549493322</v>
      </c>
      <c r="L74" s="6" t="str">
        <f t="shared" si="14"/>
        <v>0.0% [0.0%–16.1%]</v>
      </c>
      <c r="M74" s="6" t="s">
        <v>84</v>
      </c>
      <c r="N74" s="6" t="s">
        <v>149</v>
      </c>
      <c r="O74" s="6" t="s">
        <v>150</v>
      </c>
    </row>
    <row r="75" spans="1:15" ht="84" customHeight="1">
      <c r="A75" s="6" t="s">
        <v>151</v>
      </c>
      <c r="B75" s="6" t="s">
        <v>88</v>
      </c>
      <c r="C75" s="6" t="s">
        <v>85</v>
      </c>
      <c r="D75" s="8">
        <v>0</v>
      </c>
      <c r="E75" s="8">
        <v>20</v>
      </c>
      <c r="F75" s="8">
        <f t="shared" si="10"/>
        <v>20</v>
      </c>
      <c r="G75" s="7">
        <f t="shared" si="11"/>
        <v>0</v>
      </c>
      <c r="H75" s="7">
        <f>IF(F75=0,"",MAX(0,(G75+Guide!$B$4^2/(2*F75))/(1+Guide!$B$4^2/F75)-Guide!$B$4*SQRT(G75*(1-G75)/F75+Guide!$B$4^2/(4*F75^2))/(1+Guide!$B$4^2/F75)))</f>
        <v>0</v>
      </c>
      <c r="I75" s="7">
        <f>IF(F75=0,"",MIN(1,(G75+Guide!$B$4^2/(2*F75))/(1+Guide!$B$4^2/F75)+Guide!$B$4*SQRT(G75*(1-G75)/F75+Guide!$B$4^2/(4*F75^2))/(1+Guide!$B$4^2/F75)))</f>
        <v>0.16113012549493322</v>
      </c>
      <c r="J75" s="7">
        <f t="shared" si="12"/>
        <v>0</v>
      </c>
      <c r="K75" s="7">
        <f t="shared" si="13"/>
        <v>0.16113012549493322</v>
      </c>
      <c r="L75" s="6" t="str">
        <f t="shared" si="14"/>
        <v>0.0% [0.0%–16.1%]</v>
      </c>
      <c r="M75" s="6" t="s">
        <v>89</v>
      </c>
      <c r="N75" s="6" t="s">
        <v>149</v>
      </c>
      <c r="O75" s="6" t="s">
        <v>150</v>
      </c>
    </row>
    <row r="76" spans="1:15" ht="84" customHeight="1">
      <c r="A76" s="6" t="s">
        <v>151</v>
      </c>
      <c r="B76" s="6" t="s">
        <v>90</v>
      </c>
      <c r="C76" s="6" t="s">
        <v>85</v>
      </c>
      <c r="D76" s="8">
        <v>0</v>
      </c>
      <c r="E76" s="8">
        <v>20</v>
      </c>
      <c r="F76" s="8">
        <f t="shared" si="10"/>
        <v>20</v>
      </c>
      <c r="G76" s="7">
        <f t="shared" si="11"/>
        <v>0</v>
      </c>
      <c r="H76" s="7">
        <f>IF(F76=0,"",MAX(0,(G76+Guide!$B$4^2/(2*F76))/(1+Guide!$B$4^2/F76)-Guide!$B$4*SQRT(G76*(1-G76)/F76+Guide!$B$4^2/(4*F76^2))/(1+Guide!$B$4^2/F76)))</f>
        <v>0</v>
      </c>
      <c r="I76" s="7">
        <f>IF(F76=0,"",MIN(1,(G76+Guide!$B$4^2/(2*F76))/(1+Guide!$B$4^2/F76)+Guide!$B$4*SQRT(G76*(1-G76)/F76+Guide!$B$4^2/(4*F76^2))/(1+Guide!$B$4^2/F76)))</f>
        <v>0.16113012549493322</v>
      </c>
      <c r="J76" s="7">
        <f t="shared" si="12"/>
        <v>0</v>
      </c>
      <c r="K76" s="7">
        <f t="shared" si="13"/>
        <v>0.16113012549493322</v>
      </c>
      <c r="L76" s="6" t="str">
        <f t="shared" si="14"/>
        <v>0.0% [0.0%–16.1%]</v>
      </c>
      <c r="M76" s="6" t="s">
        <v>90</v>
      </c>
      <c r="N76" s="6" t="s">
        <v>149</v>
      </c>
      <c r="O76" s="6" t="s">
        <v>150</v>
      </c>
    </row>
    <row r="77" spans="1:15" ht="84" customHeight="1">
      <c r="A77" s="6" t="s">
        <v>152</v>
      </c>
      <c r="B77" s="6" t="s">
        <v>84</v>
      </c>
      <c r="C77" s="6" t="s">
        <v>85</v>
      </c>
      <c r="D77" s="8">
        <v>16</v>
      </c>
      <c r="E77" s="8">
        <v>4</v>
      </c>
      <c r="F77" s="8">
        <f t="shared" si="10"/>
        <v>20</v>
      </c>
      <c r="G77" s="7">
        <f t="shared" si="11"/>
        <v>0.8</v>
      </c>
      <c r="H77" s="7">
        <f>IF(F77=0,"",MAX(0,(G77+Guide!$B$4^2/(2*F77))/(1+Guide!$B$4^2/F77)-Guide!$B$4*SQRT(G77*(1-G77)/F77+Guide!$B$4^2/(4*F77^2))/(1+Guide!$B$4^2/F77)))</f>
        <v>0.58397827797424007</v>
      </c>
      <c r="I77" s="7">
        <f>IF(F77=0,"",MIN(1,(G77+Guide!$B$4^2/(2*F77))/(1+Guide!$B$4^2/F77)+Guide!$B$4*SQRT(G77*(1-G77)/F77+Guide!$B$4^2/(4*F77^2))/(1+Guide!$B$4^2/F77)))</f>
        <v>0.91934364672879998</v>
      </c>
      <c r="J77" s="7">
        <f t="shared" si="12"/>
        <v>0.21602172202575998</v>
      </c>
      <c r="K77" s="7">
        <f t="shared" si="13"/>
        <v>0.11934364672879993</v>
      </c>
      <c r="L77" s="6" t="str">
        <f t="shared" si="14"/>
        <v>80.0% [58.4%–91.9%]</v>
      </c>
      <c r="M77" s="6" t="s">
        <v>84</v>
      </c>
      <c r="N77" s="6" t="s">
        <v>149</v>
      </c>
      <c r="O77" s="6" t="s">
        <v>150</v>
      </c>
    </row>
    <row r="78" spans="1:15" ht="84" customHeight="1">
      <c r="A78" s="6" t="s">
        <v>152</v>
      </c>
      <c r="B78" s="6" t="s">
        <v>88</v>
      </c>
      <c r="C78" s="6" t="s">
        <v>85</v>
      </c>
      <c r="D78" s="8">
        <v>16</v>
      </c>
      <c r="E78" s="8">
        <v>4</v>
      </c>
      <c r="F78" s="8">
        <f t="shared" si="10"/>
        <v>20</v>
      </c>
      <c r="G78" s="7">
        <f t="shared" si="11"/>
        <v>0.8</v>
      </c>
      <c r="H78" s="7">
        <f>IF(F78=0,"",MAX(0,(G78+Guide!$B$4^2/(2*F78))/(1+Guide!$B$4^2/F78)-Guide!$B$4*SQRT(G78*(1-G78)/F78+Guide!$B$4^2/(4*F78^2))/(1+Guide!$B$4^2/F78)))</f>
        <v>0.58397827797424007</v>
      </c>
      <c r="I78" s="7">
        <f>IF(F78=0,"",MIN(1,(G78+Guide!$B$4^2/(2*F78))/(1+Guide!$B$4^2/F78)+Guide!$B$4*SQRT(G78*(1-G78)/F78+Guide!$B$4^2/(4*F78^2))/(1+Guide!$B$4^2/F78)))</f>
        <v>0.91934364672879998</v>
      </c>
      <c r="J78" s="7">
        <f t="shared" si="12"/>
        <v>0.21602172202575998</v>
      </c>
      <c r="K78" s="7">
        <f t="shared" si="13"/>
        <v>0.11934364672879993</v>
      </c>
      <c r="L78" s="6" t="str">
        <f t="shared" si="14"/>
        <v>80.0% [58.4%–91.9%]</v>
      </c>
      <c r="M78" s="6" t="s">
        <v>89</v>
      </c>
      <c r="N78" s="6" t="s">
        <v>149</v>
      </c>
      <c r="O78" s="6" t="s">
        <v>150</v>
      </c>
    </row>
    <row r="79" spans="1:15" ht="84" customHeight="1">
      <c r="A79" s="6" t="s">
        <v>152</v>
      </c>
      <c r="B79" s="6" t="s">
        <v>90</v>
      </c>
      <c r="C79" s="6" t="s">
        <v>85</v>
      </c>
      <c r="D79" s="8">
        <v>17</v>
      </c>
      <c r="E79" s="8">
        <v>3</v>
      </c>
      <c r="F79" s="8">
        <f t="shared" si="10"/>
        <v>20</v>
      </c>
      <c r="G79" s="7">
        <f t="shared" si="11"/>
        <v>0.85</v>
      </c>
      <c r="H79" s="7">
        <f>IF(F79=0,"",MAX(0,(G79+Guide!$B$4^2/(2*F79))/(1+Guide!$B$4^2/F79)-Guide!$B$4*SQRT(G79*(1-G79)/F79+Guide!$B$4^2/(4*F79^2))/(1+Guide!$B$4^2/F79)))</f>
        <v>0.63957670411304257</v>
      </c>
      <c r="I79" s="7">
        <f>IF(F79=0,"",MIN(1,(G79+Guide!$B$4^2/(2*F79))/(1+Guide!$B$4^2/F79)+Guide!$B$4*SQRT(G79*(1-G79)/F79+Guide!$B$4^2/(4*F79^2))/(1+Guide!$B$4^2/F79)))</f>
        <v>0.94763220804050408</v>
      </c>
      <c r="J79" s="7">
        <f t="shared" si="12"/>
        <v>0.21042329588695741</v>
      </c>
      <c r="K79" s="7">
        <f t="shared" si="13"/>
        <v>9.7632208040504098E-2</v>
      </c>
      <c r="L79" s="6" t="str">
        <f t="shared" si="14"/>
        <v>85.0% [64.0%–94.8%]</v>
      </c>
      <c r="M79" s="6" t="s">
        <v>90</v>
      </c>
      <c r="N79" s="6" t="s">
        <v>149</v>
      </c>
      <c r="O79" s="6" t="s">
        <v>150</v>
      </c>
    </row>
    <row r="80" spans="1:15" ht="84" customHeight="1">
      <c r="A80" s="6" t="s">
        <v>153</v>
      </c>
      <c r="B80" s="6" t="s">
        <v>84</v>
      </c>
      <c r="C80" s="6" t="s">
        <v>85</v>
      </c>
      <c r="D80" s="8">
        <v>0</v>
      </c>
      <c r="E80" s="8">
        <v>20</v>
      </c>
      <c r="F80" s="8">
        <f t="shared" si="10"/>
        <v>20</v>
      </c>
      <c r="G80" s="7">
        <f t="shared" si="11"/>
        <v>0</v>
      </c>
      <c r="H80" s="7">
        <f>IF(F80=0,"",MAX(0,(G80+Guide!$B$4^2/(2*F80))/(1+Guide!$B$4^2/F80)-Guide!$B$4*SQRT(G80*(1-G80)/F80+Guide!$B$4^2/(4*F80^2))/(1+Guide!$B$4^2/F80)))</f>
        <v>0</v>
      </c>
      <c r="I80" s="7">
        <f>IF(F80=0,"",MIN(1,(G80+Guide!$B$4^2/(2*F80))/(1+Guide!$B$4^2/F80)+Guide!$B$4*SQRT(G80*(1-G80)/F80+Guide!$B$4^2/(4*F80^2))/(1+Guide!$B$4^2/F80)))</f>
        <v>0.16113012549493322</v>
      </c>
      <c r="J80" s="7">
        <f t="shared" si="12"/>
        <v>0</v>
      </c>
      <c r="K80" s="7">
        <f t="shared" si="13"/>
        <v>0.16113012549493322</v>
      </c>
      <c r="L80" s="6" t="str">
        <f t="shared" si="14"/>
        <v>0.0% [0.0%–16.1%]</v>
      </c>
      <c r="M80" s="6" t="s">
        <v>84</v>
      </c>
      <c r="N80" s="6" t="s">
        <v>149</v>
      </c>
      <c r="O80" s="6" t="s">
        <v>150</v>
      </c>
    </row>
    <row r="81" spans="1:15" ht="84" customHeight="1">
      <c r="A81" s="6" t="s">
        <v>153</v>
      </c>
      <c r="B81" s="6" t="s">
        <v>88</v>
      </c>
      <c r="C81" s="6" t="s">
        <v>85</v>
      </c>
      <c r="D81" s="8">
        <v>0</v>
      </c>
      <c r="E81" s="8">
        <v>20</v>
      </c>
      <c r="F81" s="8">
        <f t="shared" si="10"/>
        <v>20</v>
      </c>
      <c r="G81" s="7">
        <f t="shared" si="11"/>
        <v>0</v>
      </c>
      <c r="H81" s="7">
        <f>IF(F81=0,"",MAX(0,(G81+Guide!$B$4^2/(2*F81))/(1+Guide!$B$4^2/F81)-Guide!$B$4*SQRT(G81*(1-G81)/F81+Guide!$B$4^2/(4*F81^2))/(1+Guide!$B$4^2/F81)))</f>
        <v>0</v>
      </c>
      <c r="I81" s="7">
        <f>IF(F81=0,"",MIN(1,(G81+Guide!$B$4^2/(2*F81))/(1+Guide!$B$4^2/F81)+Guide!$B$4*SQRT(G81*(1-G81)/F81+Guide!$B$4^2/(4*F81^2))/(1+Guide!$B$4^2/F81)))</f>
        <v>0.16113012549493322</v>
      </c>
      <c r="J81" s="7">
        <f t="shared" si="12"/>
        <v>0</v>
      </c>
      <c r="K81" s="7">
        <f t="shared" si="13"/>
        <v>0.16113012549493322</v>
      </c>
      <c r="L81" s="6" t="str">
        <f t="shared" si="14"/>
        <v>0.0% [0.0%–16.1%]</v>
      </c>
      <c r="M81" s="6" t="s">
        <v>89</v>
      </c>
      <c r="N81" s="6" t="s">
        <v>149</v>
      </c>
      <c r="O81" s="6" t="s">
        <v>150</v>
      </c>
    </row>
    <row r="82" spans="1:15" ht="84" customHeight="1">
      <c r="A82" s="6" t="s">
        <v>153</v>
      </c>
      <c r="B82" s="6" t="s">
        <v>90</v>
      </c>
      <c r="C82" s="6" t="s">
        <v>85</v>
      </c>
      <c r="D82" s="8">
        <v>0</v>
      </c>
      <c r="E82" s="8">
        <v>20</v>
      </c>
      <c r="F82" s="8">
        <f t="shared" si="10"/>
        <v>20</v>
      </c>
      <c r="G82" s="7">
        <f t="shared" si="11"/>
        <v>0</v>
      </c>
      <c r="H82" s="7">
        <f>IF(F82=0,"",MAX(0,(G82+Guide!$B$4^2/(2*F82))/(1+Guide!$B$4^2/F82)-Guide!$B$4*SQRT(G82*(1-G82)/F82+Guide!$B$4^2/(4*F82^2))/(1+Guide!$B$4^2/F82)))</f>
        <v>0</v>
      </c>
      <c r="I82" s="7">
        <f>IF(F82=0,"",MIN(1,(G82+Guide!$B$4^2/(2*F82))/(1+Guide!$B$4^2/F82)+Guide!$B$4*SQRT(G82*(1-G82)/F82+Guide!$B$4^2/(4*F82^2))/(1+Guide!$B$4^2/F82)))</f>
        <v>0.16113012549493322</v>
      </c>
      <c r="J82" s="7">
        <f t="shared" si="12"/>
        <v>0</v>
      </c>
      <c r="K82" s="7">
        <f t="shared" si="13"/>
        <v>0.16113012549493322</v>
      </c>
      <c r="L82" s="6" t="str">
        <f t="shared" si="14"/>
        <v>0.0% [0.0%–16.1%]</v>
      </c>
      <c r="M82" s="6" t="s">
        <v>90</v>
      </c>
      <c r="N82" s="6" t="s">
        <v>149</v>
      </c>
      <c r="O82" s="6" t="s">
        <v>150</v>
      </c>
    </row>
    <row r="83" spans="1:15" ht="84" customHeight="1">
      <c r="A83" s="6" t="s">
        <v>154</v>
      </c>
      <c r="B83" s="6" t="s">
        <v>84</v>
      </c>
      <c r="C83" s="6" t="s">
        <v>85</v>
      </c>
      <c r="D83" s="8">
        <v>15</v>
      </c>
      <c r="E83" s="8">
        <v>5</v>
      </c>
      <c r="F83" s="8">
        <f t="shared" si="10"/>
        <v>20</v>
      </c>
      <c r="G83" s="7">
        <f t="shared" si="11"/>
        <v>0.75</v>
      </c>
      <c r="H83" s="7">
        <f>IF(F83=0,"",MAX(0,(G83+Guide!$B$4^2/(2*F83))/(1+Guide!$B$4^2/F83)-Guide!$B$4*SQRT(G83*(1-G83)/F83+Guide!$B$4^2/(4*F83^2))/(1+Guide!$B$4^2/F83)))</f>
        <v>0.53129499004193648</v>
      </c>
      <c r="I83" s="7">
        <f>IF(F83=0,"",MIN(1,(G83+Guide!$B$4^2/(2*F83))/(1+Guide!$B$4^2/F83)+Guide!$B$4*SQRT(G83*(1-G83)/F83+Guide!$B$4^2/(4*F83^2))/(1+Guide!$B$4^2/F83)))</f>
        <v>0.88813994721059697</v>
      </c>
      <c r="J83" s="7">
        <f t="shared" si="12"/>
        <v>0.21870500995806352</v>
      </c>
      <c r="K83" s="7">
        <f t="shared" si="13"/>
        <v>0.13813994721059697</v>
      </c>
      <c r="L83" s="6" t="str">
        <f t="shared" si="14"/>
        <v>75.0% [53.1%–88.8%]</v>
      </c>
      <c r="M83" s="6" t="s">
        <v>84</v>
      </c>
      <c r="N83" s="6" t="s">
        <v>149</v>
      </c>
      <c r="O83" s="6" t="s">
        <v>150</v>
      </c>
    </row>
    <row r="84" spans="1:15" ht="84" customHeight="1">
      <c r="A84" s="6" t="s">
        <v>154</v>
      </c>
      <c r="B84" s="6" t="s">
        <v>88</v>
      </c>
      <c r="C84" s="6" t="s">
        <v>85</v>
      </c>
      <c r="D84" s="8">
        <v>16</v>
      </c>
      <c r="E84" s="8">
        <v>4</v>
      </c>
      <c r="F84" s="8">
        <f t="shared" si="10"/>
        <v>20</v>
      </c>
      <c r="G84" s="7">
        <f t="shared" si="11"/>
        <v>0.8</v>
      </c>
      <c r="H84" s="7">
        <f>IF(F84=0,"",MAX(0,(G84+Guide!$B$4^2/(2*F84))/(1+Guide!$B$4^2/F84)-Guide!$B$4*SQRT(G84*(1-G84)/F84+Guide!$B$4^2/(4*F84^2))/(1+Guide!$B$4^2/F84)))</f>
        <v>0.58397827797424007</v>
      </c>
      <c r="I84" s="7">
        <f>IF(F84=0,"",MIN(1,(G84+Guide!$B$4^2/(2*F84))/(1+Guide!$B$4^2/F84)+Guide!$B$4*SQRT(G84*(1-G84)/F84+Guide!$B$4^2/(4*F84^2))/(1+Guide!$B$4^2/F84)))</f>
        <v>0.91934364672879998</v>
      </c>
      <c r="J84" s="7">
        <f t="shared" si="12"/>
        <v>0.21602172202575998</v>
      </c>
      <c r="K84" s="7">
        <f t="shared" si="13"/>
        <v>0.11934364672879993</v>
      </c>
      <c r="L84" s="6" t="str">
        <f t="shared" si="14"/>
        <v>80.0% [58.4%–91.9%]</v>
      </c>
      <c r="M84" s="6" t="s">
        <v>89</v>
      </c>
      <c r="N84" s="6" t="s">
        <v>149</v>
      </c>
      <c r="O84" s="6" t="s">
        <v>150</v>
      </c>
    </row>
    <row r="85" spans="1:15" ht="84" customHeight="1">
      <c r="A85" s="6" t="s">
        <v>154</v>
      </c>
      <c r="B85" s="6" t="s">
        <v>90</v>
      </c>
      <c r="C85" s="6" t="s">
        <v>85</v>
      </c>
      <c r="D85" s="8">
        <v>19</v>
      </c>
      <c r="E85" s="8">
        <v>1</v>
      </c>
      <c r="F85" s="8">
        <f t="shared" si="10"/>
        <v>20</v>
      </c>
      <c r="G85" s="7">
        <f t="shared" si="11"/>
        <v>0.95</v>
      </c>
      <c r="H85" s="7">
        <f>IF(F85=0,"",MAX(0,(G85+Guide!$B$4^2/(2*F85))/(1+Guide!$B$4^2/F85)-Guide!$B$4*SQRT(G85*(1-G85)/F85+Guide!$B$4^2/(4*F85^2))/(1+Guide!$B$4^2/F85)))</f>
        <v>0.76386410648743308</v>
      </c>
      <c r="I85" s="7">
        <f>IF(F85=0,"",MIN(1,(G85+Guide!$B$4^2/(2*F85))/(1+Guide!$B$4^2/F85)+Guide!$B$4*SQRT(G85*(1-G85)/F85+Guide!$B$4^2/(4*F85^2))/(1+Guide!$B$4^2/F85)))</f>
        <v>0.99111878056712677</v>
      </c>
      <c r="J85" s="7">
        <f t="shared" si="12"/>
        <v>0.18613589351256687</v>
      </c>
      <c r="K85" s="7">
        <f t="shared" si="13"/>
        <v>4.1118780567126811E-2</v>
      </c>
      <c r="L85" s="6" t="str">
        <f t="shared" si="14"/>
        <v>95.0% [76.4%–99.1%]</v>
      </c>
      <c r="M85" s="6" t="s">
        <v>90</v>
      </c>
      <c r="N85" s="6" t="s">
        <v>149</v>
      </c>
      <c r="O85" s="6" t="s">
        <v>150</v>
      </c>
    </row>
    <row r="86" spans="1:15" ht="84" customHeight="1">
      <c r="A86" s="6" t="s">
        <v>155</v>
      </c>
      <c r="B86" s="6" t="s">
        <v>84</v>
      </c>
      <c r="C86" s="6" t="s">
        <v>85</v>
      </c>
      <c r="D86" s="8">
        <v>3</v>
      </c>
      <c r="E86" s="8">
        <v>17</v>
      </c>
      <c r="F86" s="8">
        <f t="shared" si="10"/>
        <v>20</v>
      </c>
      <c r="G86" s="7">
        <f t="shared" si="11"/>
        <v>0.15</v>
      </c>
      <c r="H86" s="7">
        <f>IF(F86=0,"",MAX(0,(G86+Guide!$B$4^2/(2*F86))/(1+Guide!$B$4^2/F86)-Guide!$B$4*SQRT(G86*(1-G86)/F86+Guide!$B$4^2/(4*F86^2))/(1+Guide!$B$4^2/F86)))</f>
        <v>5.2367791959495841E-2</v>
      </c>
      <c r="I86" s="7">
        <f>IF(F86=0,"",MIN(1,(G86+Guide!$B$4^2/(2*F86))/(1+Guide!$B$4^2/F86)+Guide!$B$4*SQRT(G86*(1-G86)/F86+Guide!$B$4^2/(4*F86^2))/(1+Guide!$B$4^2/F86)))</f>
        <v>0.36042329588695743</v>
      </c>
      <c r="J86" s="7">
        <f t="shared" si="12"/>
        <v>9.7632208040504154E-2</v>
      </c>
      <c r="K86" s="7">
        <f t="shared" si="13"/>
        <v>0.21042329588695743</v>
      </c>
      <c r="L86" s="6" t="str">
        <f t="shared" si="14"/>
        <v>15.0% [5.2%–36.0%]</v>
      </c>
      <c r="M86" s="6" t="s">
        <v>84</v>
      </c>
      <c r="N86" s="6" t="s">
        <v>149</v>
      </c>
      <c r="O86" s="6" t="s">
        <v>150</v>
      </c>
    </row>
    <row r="87" spans="1:15" ht="84" customHeight="1">
      <c r="A87" s="6" t="s">
        <v>155</v>
      </c>
      <c r="B87" s="6" t="s">
        <v>88</v>
      </c>
      <c r="C87" s="6" t="s">
        <v>85</v>
      </c>
      <c r="D87" s="8">
        <v>0</v>
      </c>
      <c r="E87" s="8">
        <v>20</v>
      </c>
      <c r="F87" s="8">
        <f t="shared" si="10"/>
        <v>20</v>
      </c>
      <c r="G87" s="7">
        <f t="shared" si="11"/>
        <v>0</v>
      </c>
      <c r="H87" s="7">
        <f>IF(F87=0,"",MAX(0,(G87+Guide!$B$4^2/(2*F87))/(1+Guide!$B$4^2/F87)-Guide!$B$4*SQRT(G87*(1-G87)/F87+Guide!$B$4^2/(4*F87^2))/(1+Guide!$B$4^2/F87)))</f>
        <v>0</v>
      </c>
      <c r="I87" s="7">
        <f>IF(F87=0,"",MIN(1,(G87+Guide!$B$4^2/(2*F87))/(1+Guide!$B$4^2/F87)+Guide!$B$4*SQRT(G87*(1-G87)/F87+Guide!$B$4^2/(4*F87^2))/(1+Guide!$B$4^2/F87)))</f>
        <v>0.16113012549493322</v>
      </c>
      <c r="J87" s="7">
        <f t="shared" si="12"/>
        <v>0</v>
      </c>
      <c r="K87" s="7">
        <f t="shared" si="13"/>
        <v>0.16113012549493322</v>
      </c>
      <c r="L87" s="6" t="str">
        <f t="shared" si="14"/>
        <v>0.0% [0.0%–16.1%]</v>
      </c>
      <c r="M87" s="6" t="s">
        <v>89</v>
      </c>
      <c r="N87" s="6" t="s">
        <v>149</v>
      </c>
      <c r="O87" s="6" t="s">
        <v>150</v>
      </c>
    </row>
    <row r="88" spans="1:15" ht="84" customHeight="1">
      <c r="A88" s="6" t="s">
        <v>155</v>
      </c>
      <c r="B88" s="6" t="s">
        <v>90</v>
      </c>
      <c r="C88" s="6" t="s">
        <v>85</v>
      </c>
      <c r="D88" s="8">
        <v>0</v>
      </c>
      <c r="E88" s="8">
        <v>20</v>
      </c>
      <c r="F88" s="8">
        <f t="shared" si="10"/>
        <v>20</v>
      </c>
      <c r="G88" s="7">
        <f t="shared" si="11"/>
        <v>0</v>
      </c>
      <c r="H88" s="7">
        <f>IF(F88=0,"",MAX(0,(G88+Guide!$B$4^2/(2*F88))/(1+Guide!$B$4^2/F88)-Guide!$B$4*SQRT(G88*(1-G88)/F88+Guide!$B$4^2/(4*F88^2))/(1+Guide!$B$4^2/F88)))</f>
        <v>0</v>
      </c>
      <c r="I88" s="7">
        <f>IF(F88=0,"",MIN(1,(G88+Guide!$B$4^2/(2*F88))/(1+Guide!$B$4^2/F88)+Guide!$B$4*SQRT(G88*(1-G88)/F88+Guide!$B$4^2/(4*F88^2))/(1+Guide!$B$4^2/F88)))</f>
        <v>0.16113012549493322</v>
      </c>
      <c r="J88" s="7">
        <f t="shared" si="12"/>
        <v>0</v>
      </c>
      <c r="K88" s="7">
        <f t="shared" si="13"/>
        <v>0.16113012549493322</v>
      </c>
      <c r="L88" s="6" t="str">
        <f t="shared" si="14"/>
        <v>0.0% [0.0%–16.1%]</v>
      </c>
      <c r="M88" s="6" t="s">
        <v>90</v>
      </c>
      <c r="N88" s="6" t="s">
        <v>149</v>
      </c>
      <c r="O88" s="6" t="s">
        <v>150</v>
      </c>
    </row>
    <row r="89" spans="1:15" ht="84" customHeight="1">
      <c r="A89" s="6" t="s">
        <v>156</v>
      </c>
      <c r="B89" s="6" t="s">
        <v>84</v>
      </c>
      <c r="C89" s="6" t="s">
        <v>85</v>
      </c>
      <c r="D89" s="8">
        <v>1</v>
      </c>
      <c r="E89" s="8">
        <v>19</v>
      </c>
      <c r="F89" s="8">
        <f t="shared" si="10"/>
        <v>20</v>
      </c>
      <c r="G89" s="7">
        <f t="shared" si="11"/>
        <v>0.05</v>
      </c>
      <c r="H89" s="7">
        <f>IF(F89=0,"",MAX(0,(G89+Guide!$B$4^2/(2*F89))/(1+Guide!$B$4^2/F89)-Guide!$B$4*SQRT(G89*(1-G89)/F89+Guide!$B$4^2/(4*F89^2))/(1+Guide!$B$4^2/F89)))</f>
        <v>8.8812194328731359E-3</v>
      </c>
      <c r="I89" s="7">
        <f>IF(F89=0,"",MIN(1,(G89+Guide!$B$4^2/(2*F89))/(1+Guide!$B$4^2/F89)+Guide!$B$4*SQRT(G89*(1-G89)/F89+Guide!$B$4^2/(4*F89^2))/(1+Guide!$B$4^2/F89)))</f>
        <v>0.23613589351256675</v>
      </c>
      <c r="J89" s="7">
        <f t="shared" si="12"/>
        <v>4.1118780567126867E-2</v>
      </c>
      <c r="K89" s="7">
        <f t="shared" si="13"/>
        <v>0.18613589351256676</v>
      </c>
      <c r="L89" s="6" t="str">
        <f t="shared" si="14"/>
        <v>5.0% [0.9%–23.6%]</v>
      </c>
      <c r="M89" s="6" t="s">
        <v>84</v>
      </c>
      <c r="N89" s="6" t="s">
        <v>157</v>
      </c>
      <c r="O89" s="6" t="s">
        <v>158</v>
      </c>
    </row>
    <row r="90" spans="1:15" ht="84" customHeight="1">
      <c r="A90" s="6" t="s">
        <v>156</v>
      </c>
      <c r="B90" s="6" t="s">
        <v>88</v>
      </c>
      <c r="C90" s="6" t="s">
        <v>85</v>
      </c>
      <c r="D90" s="8">
        <v>3</v>
      </c>
      <c r="E90" s="8">
        <v>17</v>
      </c>
      <c r="F90" s="8">
        <f t="shared" si="10"/>
        <v>20</v>
      </c>
      <c r="G90" s="7">
        <f t="shared" si="11"/>
        <v>0.15</v>
      </c>
      <c r="H90" s="7">
        <f>IF(F90=0,"",MAX(0,(G90+Guide!$B$4^2/(2*F90))/(1+Guide!$B$4^2/F90)-Guide!$B$4*SQRT(G90*(1-G90)/F90+Guide!$B$4^2/(4*F90^2))/(1+Guide!$B$4^2/F90)))</f>
        <v>5.2367791959495841E-2</v>
      </c>
      <c r="I90" s="7">
        <f>IF(F90=0,"",MIN(1,(G90+Guide!$B$4^2/(2*F90))/(1+Guide!$B$4^2/F90)+Guide!$B$4*SQRT(G90*(1-G90)/F90+Guide!$B$4^2/(4*F90^2))/(1+Guide!$B$4^2/F90)))</f>
        <v>0.36042329588695743</v>
      </c>
      <c r="J90" s="7">
        <f t="shared" si="12"/>
        <v>9.7632208040504154E-2</v>
      </c>
      <c r="K90" s="7">
        <f t="shared" si="13"/>
        <v>0.21042329588695743</v>
      </c>
      <c r="L90" s="6" t="str">
        <f t="shared" si="14"/>
        <v>15.0% [5.2%–36.0%]</v>
      </c>
      <c r="M90" s="6" t="s">
        <v>89</v>
      </c>
      <c r="N90" s="6" t="s">
        <v>157</v>
      </c>
      <c r="O90" s="6" t="s">
        <v>158</v>
      </c>
    </row>
    <row r="91" spans="1:15" ht="84" customHeight="1">
      <c r="A91" s="6" t="s">
        <v>156</v>
      </c>
      <c r="B91" s="6" t="s">
        <v>90</v>
      </c>
      <c r="C91" s="6" t="s">
        <v>85</v>
      </c>
      <c r="D91" s="8">
        <v>1</v>
      </c>
      <c r="E91" s="8">
        <v>19</v>
      </c>
      <c r="F91" s="8">
        <f t="shared" si="10"/>
        <v>20</v>
      </c>
      <c r="G91" s="7">
        <f t="shared" si="11"/>
        <v>0.05</v>
      </c>
      <c r="H91" s="7">
        <f>IF(F91=0,"",MAX(0,(G91+Guide!$B$4^2/(2*F91))/(1+Guide!$B$4^2/F91)-Guide!$B$4*SQRT(G91*(1-G91)/F91+Guide!$B$4^2/(4*F91^2))/(1+Guide!$B$4^2/F91)))</f>
        <v>8.8812194328731359E-3</v>
      </c>
      <c r="I91" s="7">
        <f>IF(F91=0,"",MIN(1,(G91+Guide!$B$4^2/(2*F91))/(1+Guide!$B$4^2/F91)+Guide!$B$4*SQRT(G91*(1-G91)/F91+Guide!$B$4^2/(4*F91^2))/(1+Guide!$B$4^2/F91)))</f>
        <v>0.23613589351256675</v>
      </c>
      <c r="J91" s="7">
        <f t="shared" si="12"/>
        <v>4.1118780567126867E-2</v>
      </c>
      <c r="K91" s="7">
        <f t="shared" si="13"/>
        <v>0.18613589351256676</v>
      </c>
      <c r="L91" s="6" t="str">
        <f t="shared" si="14"/>
        <v>5.0% [0.9%–23.6%]</v>
      </c>
      <c r="M91" s="6" t="s">
        <v>90</v>
      </c>
      <c r="N91" s="6" t="s">
        <v>157</v>
      </c>
      <c r="O91" s="6" t="s">
        <v>158</v>
      </c>
    </row>
    <row r="92" spans="1:15" ht="72" customHeight="1">
      <c r="A92" s="6" t="s">
        <v>159</v>
      </c>
      <c r="B92" s="6" t="s">
        <v>84</v>
      </c>
      <c r="C92" s="6" t="s">
        <v>85</v>
      </c>
      <c r="D92" s="8">
        <v>1</v>
      </c>
      <c r="E92" s="8">
        <v>19</v>
      </c>
      <c r="F92" s="8">
        <f t="shared" si="10"/>
        <v>20</v>
      </c>
      <c r="G92" s="7" t="e" cm="1" vm="1">
        <f t="array" aca="1" ref="G92" ca="1">'[1]GR00T Full'!$27:$27+'[1]GR00T Full'!$121:$121</f>
        <v>#VALUE!</v>
      </c>
      <c r="H92" s="7" t="e" vm="2">
        <f ca="1">IF(F92=0,"",MAX(0,(G92+Guide!$B$4^2/(2*F92))/(1+Guide!$B$4^2/F92)-Guide!$B$4*SQRT(G92*(1-G92)/F92+Guide!$B$4^2/(4*F92^2))/(1+Guide!$B$4^2/F92)))</f>
        <v>#VALUE!</v>
      </c>
      <c r="I92" s="7" t="e" vm="2">
        <f ca="1">IF(F92=0,"",MIN(1,(G92+Guide!$B$4^2/(2*F92))/(1+Guide!$B$4^2/F92)+Guide!$B$4*SQRT(G92*(1-G92)/F92+Guide!$B$4^2/(4*F92^2))/(1+Guide!$B$4^2/F92)))</f>
        <v>#VALUE!</v>
      </c>
      <c r="J92" s="7" t="e" vm="2">
        <f t="shared" ca="1" si="12"/>
        <v>#VALUE!</v>
      </c>
      <c r="K92" s="7" t="e" vm="2">
        <f t="shared" ca="1" si="13"/>
        <v>#VALUE!</v>
      </c>
      <c r="L92" s="6" t="e" vm="2">
        <f t="shared" ca="1" si="14"/>
        <v>#VALUE!</v>
      </c>
      <c r="M92" s="6" t="s">
        <v>84</v>
      </c>
      <c r="N92" s="6" t="s">
        <v>157</v>
      </c>
      <c r="O92" s="6" t="s">
        <v>158</v>
      </c>
    </row>
    <row r="93" spans="1:15" ht="72" customHeight="1">
      <c r="A93" s="6" t="s">
        <v>159</v>
      </c>
      <c r="B93" s="6" t="s">
        <v>88</v>
      </c>
      <c r="C93" s="6" t="s">
        <v>85</v>
      </c>
      <c r="D93" s="8">
        <v>3</v>
      </c>
      <c r="E93" s="8">
        <v>17</v>
      </c>
      <c r="F93" s="8">
        <f t="shared" si="10"/>
        <v>20</v>
      </c>
      <c r="G93" s="7">
        <f t="shared" si="11"/>
        <v>0.15</v>
      </c>
      <c r="H93" s="7">
        <f>IF(F93=0,"",MAX(0,(G93+Guide!$B$4^2/(2*F93))/(1+Guide!$B$4^2/F93)-Guide!$B$4*SQRT(G93*(1-G93)/F93+Guide!$B$4^2/(4*F93^2))/(1+Guide!$B$4^2/F93)))</f>
        <v>5.2367791959495841E-2</v>
      </c>
      <c r="I93" s="7">
        <f>IF(F93=0,"",MIN(1,(G93+Guide!$B$4^2/(2*F93))/(1+Guide!$B$4^2/F93)+Guide!$B$4*SQRT(G93*(1-G93)/F93+Guide!$B$4^2/(4*F93^2))/(1+Guide!$B$4^2/F93)))</f>
        <v>0.36042329588695743</v>
      </c>
      <c r="J93" s="7">
        <f t="shared" si="12"/>
        <v>9.7632208040504154E-2</v>
      </c>
      <c r="K93" s="7">
        <f t="shared" si="13"/>
        <v>0.21042329588695743</v>
      </c>
      <c r="L93" s="6" t="str">
        <f t="shared" si="14"/>
        <v>15.0% [5.2%–36.0%]</v>
      </c>
      <c r="M93" s="6" t="s">
        <v>89</v>
      </c>
      <c r="N93" s="6" t="s">
        <v>157</v>
      </c>
      <c r="O93" s="6" t="s">
        <v>158</v>
      </c>
    </row>
    <row r="94" spans="1:15" ht="72" customHeight="1">
      <c r="A94" s="6" t="s">
        <v>159</v>
      </c>
      <c r="B94" s="6" t="s">
        <v>90</v>
      </c>
      <c r="C94" s="6" t="s">
        <v>85</v>
      </c>
      <c r="D94" s="8">
        <v>1</v>
      </c>
      <c r="E94" s="8">
        <v>19</v>
      </c>
      <c r="F94" s="8">
        <f t="shared" si="10"/>
        <v>20</v>
      </c>
      <c r="G94" s="7">
        <f t="shared" si="11"/>
        <v>0.05</v>
      </c>
      <c r="H94" s="7">
        <f>IF(F94=0,"",MAX(0,(G94+Guide!$B$4^2/(2*F94))/(1+Guide!$B$4^2/F94)-Guide!$B$4*SQRT(G94*(1-G94)/F94+Guide!$B$4^2/(4*F94^2))/(1+Guide!$B$4^2/F94)))</f>
        <v>8.8812194328731359E-3</v>
      </c>
      <c r="I94" s="7">
        <f>IF(F94=0,"",MIN(1,(G94+Guide!$B$4^2/(2*F94))/(1+Guide!$B$4^2/F94)+Guide!$B$4*SQRT(G94*(1-G94)/F94+Guide!$B$4^2/(4*F94^2))/(1+Guide!$B$4^2/F94)))</f>
        <v>0.23613589351256675</v>
      </c>
      <c r="J94" s="7">
        <f t="shared" si="12"/>
        <v>4.1118780567126867E-2</v>
      </c>
      <c r="K94" s="7">
        <f t="shared" si="13"/>
        <v>0.18613589351256676</v>
      </c>
      <c r="L94" s="6" t="str">
        <f t="shared" si="14"/>
        <v>5.0% [0.9%–23.6%]</v>
      </c>
      <c r="M94" s="6" t="s">
        <v>90</v>
      </c>
      <c r="N94" s="6" t="s">
        <v>157</v>
      </c>
      <c r="O94" s="6" t="s">
        <v>158</v>
      </c>
    </row>
  </sheetData>
  <mergeCells count="2">
    <mergeCell ref="A1:O1"/>
    <mergeCell ref="A2:O2"/>
  </mergeCells>
  <conditionalFormatting sqref="A5:O94">
    <cfRule type="expression" dxfId="0" priority="1">
      <formula>$C5="Partial familiar-only baseline"</formula>
    </cfRule>
  </conditionalFormatting>
  <conditionalFormatting sqref="G5:G94">
    <cfRule type="dataBar" priority="2">
      <dataBar>
        <cfvo type="num" val="0"/>
        <cfvo type="num" val="1"/>
        <color rgb="FF2F67E8"/>
      </dataBar>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0"/>
  <sheetViews>
    <sheetView showGridLines="0" workbookViewId="0">
      <pane ySplit="2" topLeftCell="A3" activePane="bottomLeft" state="frozen"/>
      <selection pane="bottomLeft" sqref="A1:G1"/>
    </sheetView>
  </sheetViews>
  <sheetFormatPr baseColWidth="10" defaultColWidth="8.83203125" defaultRowHeight="14"/>
  <cols>
    <col min="1" max="1" width="31" customWidth="1"/>
    <col min="2" max="7" width="18" customWidth="1"/>
  </cols>
  <sheetData>
    <row r="1" spans="1:7" ht="21.5" customHeight="1">
      <c r="A1" s="15" t="s">
        <v>160</v>
      </c>
      <c r="B1" s="15"/>
      <c r="C1" s="15"/>
      <c r="D1" s="15"/>
      <c r="E1" s="15"/>
      <c r="F1" s="15"/>
      <c r="G1" s="15"/>
    </row>
    <row r="2" spans="1:7" ht="24" customHeight="1">
      <c r="A2" s="16" t="s">
        <v>161</v>
      </c>
      <c r="B2" s="16"/>
      <c r="C2" s="16"/>
      <c r="D2" s="16"/>
      <c r="E2" s="16"/>
      <c r="F2" s="16"/>
      <c r="G2" s="16"/>
    </row>
    <row r="4" spans="1:7" ht="15" customHeight="1">
      <c r="A4" s="9" t="s">
        <v>68</v>
      </c>
      <c r="B4" s="9" t="s">
        <v>84</v>
      </c>
      <c r="C4" s="9" t="s">
        <v>88</v>
      </c>
      <c r="D4" s="9" t="s">
        <v>90</v>
      </c>
    </row>
    <row r="5" spans="1:7" ht="15" customHeight="1">
      <c r="A5" s="1" t="s">
        <v>83</v>
      </c>
      <c r="B5" s="10">
        <f>'Overall Summary'!$G$5</f>
        <v>0.52</v>
      </c>
      <c r="C5" s="10">
        <f>'Overall Summary'!$G$6</f>
        <v>0.40666666666666668</v>
      </c>
      <c r="D5" s="10">
        <f>'Overall Summary'!$G$7</f>
        <v>0.44333333333333336</v>
      </c>
    </row>
    <row r="6" spans="1:7" ht="15" customHeight="1">
      <c r="A6" s="1" t="s">
        <v>91</v>
      </c>
      <c r="B6" s="10">
        <f>'Overall Summary'!$G$8</f>
        <v>0.72499999999999998</v>
      </c>
      <c r="C6" s="10">
        <f>'Overall Summary'!$G$9</f>
        <v>0.68333333333333335</v>
      </c>
      <c r="D6" s="10">
        <f>'Overall Summary'!$G$10</f>
        <v>0.67500000000000004</v>
      </c>
    </row>
    <row r="7" spans="1:7" ht="15" customHeight="1">
      <c r="A7" s="1" t="s">
        <v>94</v>
      </c>
      <c r="B7" s="10">
        <f>'Overall Summary'!$G$11</f>
        <v>0.89166666666666672</v>
      </c>
      <c r="C7" s="10">
        <f>'Overall Summary'!$G$12</f>
        <v>0.83333333333333337</v>
      </c>
      <c r="D7" s="10">
        <f>'Overall Summary'!$G$13</f>
        <v>0.81666666666666665</v>
      </c>
    </row>
    <row r="10" spans="1:7" ht="15" customHeight="1">
      <c r="A10" s="30" t="s">
        <v>162</v>
      </c>
      <c r="B10" s="30"/>
      <c r="C10" s="30"/>
      <c r="D10" s="30"/>
      <c r="E10" s="30"/>
      <c r="F10" s="30"/>
      <c r="G10" s="30"/>
    </row>
    <row r="11" spans="1:7" ht="15" customHeight="1">
      <c r="A11" s="12" t="s">
        <v>163</v>
      </c>
      <c r="B11" s="12" t="s">
        <v>84</v>
      </c>
      <c r="C11" s="12" t="s">
        <v>88</v>
      </c>
      <c r="D11" s="12" t="s">
        <v>101</v>
      </c>
      <c r="E11" s="12" t="s">
        <v>104</v>
      </c>
      <c r="F11" s="12" t="s">
        <v>90</v>
      </c>
      <c r="G11" s="12" t="s">
        <v>164</v>
      </c>
    </row>
    <row r="12" spans="1:7" ht="15" customHeight="1">
      <c r="A12" s="11" t="s">
        <v>74</v>
      </c>
      <c r="B12" s="13">
        <f>'Familiar Data'!$G$5</f>
        <v>0.9</v>
      </c>
      <c r="C12" s="13">
        <f>'Familiar Data'!$G$6</f>
        <v>0.8</v>
      </c>
      <c r="D12" s="13">
        <f>'Familiar Data'!$G$7</f>
        <v>0</v>
      </c>
      <c r="E12" s="13">
        <f>'Familiar Data'!$G$8</f>
        <v>0.2</v>
      </c>
      <c r="F12" s="13">
        <f>'Familiar Data'!$G$9</f>
        <v>0.85</v>
      </c>
      <c r="G12" s="13">
        <v>0.9</v>
      </c>
    </row>
    <row r="13" spans="1:7" ht="15" customHeight="1">
      <c r="A13" s="11" t="s">
        <v>75</v>
      </c>
      <c r="B13" s="13">
        <f>'Familiar Data'!$H$5</f>
        <v>0.69896179358820665</v>
      </c>
      <c r="C13" s="13">
        <f>'Familiar Data'!$H$6</f>
        <v>0.58397827797424007</v>
      </c>
      <c r="D13" s="13">
        <f>'Familiar Data'!$H$7</f>
        <v>0</v>
      </c>
      <c r="E13" s="13">
        <f>'Familiar Data'!$H$8</f>
        <v>8.0656353271199993E-2</v>
      </c>
      <c r="F13" s="13">
        <f>'Familiar Data'!$H$9</f>
        <v>0.63957670411304257</v>
      </c>
      <c r="G13" s="13"/>
    </row>
    <row r="14" spans="1:7" ht="15" customHeight="1">
      <c r="A14" s="11" t="s">
        <v>76</v>
      </c>
      <c r="B14" s="13">
        <f>'Familiar Data'!$I$5</f>
        <v>0.97213410601584682</v>
      </c>
      <c r="C14" s="13">
        <f>'Familiar Data'!$I$6</f>
        <v>0.91934364672879998</v>
      </c>
      <c r="D14" s="13">
        <f>'Familiar Data'!$I$7</f>
        <v>0.27754016876661658</v>
      </c>
      <c r="E14" s="13">
        <f>'Familiar Data'!$I$8</f>
        <v>0.41602172202575993</v>
      </c>
      <c r="F14" s="13">
        <f>'Familiar Data'!$I$9</f>
        <v>0.94763220804050408</v>
      </c>
      <c r="G14" s="13"/>
    </row>
    <row r="15" spans="1:7" ht="15" customHeight="1">
      <c r="A15" s="11" t="s">
        <v>77</v>
      </c>
      <c r="B15" s="13">
        <f>'Familiar Data'!$J$5</f>
        <v>0.20103820641179337</v>
      </c>
      <c r="C15" s="13">
        <f>'Familiar Data'!$J$6</f>
        <v>0.21602172202575998</v>
      </c>
      <c r="D15" s="13">
        <f>'Familiar Data'!$J$7</f>
        <v>0</v>
      </c>
      <c r="E15" s="13">
        <f>'Familiar Data'!$J$8</f>
        <v>0.11934364672880002</v>
      </c>
      <c r="F15" s="13">
        <f>'Familiar Data'!$J$9</f>
        <v>0.21042329588695741</v>
      </c>
      <c r="G15" s="13"/>
    </row>
    <row r="16" spans="1:7" ht="15" customHeight="1">
      <c r="A16" s="11" t="s">
        <v>78</v>
      </c>
      <c r="B16" s="13">
        <f>'Familiar Data'!$K$5</f>
        <v>7.2134106015846799E-2</v>
      </c>
      <c r="C16" s="13">
        <f>'Familiar Data'!$K$6</f>
        <v>0.11934364672879993</v>
      </c>
      <c r="D16" s="13">
        <f>'Familiar Data'!$K$7</f>
        <v>0.27754016876661658</v>
      </c>
      <c r="E16" s="13">
        <f>'Familiar Data'!$K$8</f>
        <v>0.21602172202575992</v>
      </c>
      <c r="F16" s="13">
        <f>'Familiar Data'!$K$9</f>
        <v>9.7632208040504098E-2</v>
      </c>
      <c r="G16" s="13"/>
    </row>
    <row r="17" spans="1:7" ht="15" customHeight="1">
      <c r="A17" s="11" t="s">
        <v>165</v>
      </c>
      <c r="B17" s="11">
        <f>'Familiar Data'!$D$5</f>
        <v>18</v>
      </c>
      <c r="C17" s="11">
        <f>'Familiar Data'!$D$6</f>
        <v>16</v>
      </c>
      <c r="D17" s="11">
        <f>'Familiar Data'!$D$7</f>
        <v>0</v>
      </c>
      <c r="E17" s="11">
        <f>'Familiar Data'!$D$8</f>
        <v>4</v>
      </c>
      <c r="F17" s="11">
        <f>'Familiar Data'!$D$9</f>
        <v>17</v>
      </c>
      <c r="G17" s="11"/>
    </row>
    <row r="18" spans="1:7" ht="15" customHeight="1">
      <c r="A18" s="11" t="s">
        <v>73</v>
      </c>
      <c r="B18" s="11">
        <f>'Familiar Data'!$F$5</f>
        <v>20</v>
      </c>
      <c r="C18" s="11">
        <f>'Familiar Data'!$F$6</f>
        <v>20</v>
      </c>
      <c r="D18" s="11">
        <f>'Familiar Data'!$F$7</f>
        <v>10</v>
      </c>
      <c r="E18" s="11">
        <f>'Familiar Data'!$F$8</f>
        <v>20</v>
      </c>
      <c r="F18" s="11">
        <f>'Familiar Data'!$F$9</f>
        <v>20</v>
      </c>
      <c r="G18" s="11"/>
    </row>
    <row r="19" spans="1:7" ht="15" customHeight="1">
      <c r="A19" s="11" t="s">
        <v>79</v>
      </c>
      <c r="B19" s="11" t="str">
        <f>'Familiar Data'!$L$5</f>
        <v>90.0% [69.9%–97.2%]</v>
      </c>
      <c r="C19" s="11" t="str">
        <f>'Familiar Data'!$L$6</f>
        <v>80.0% [58.4%–91.9%]</v>
      </c>
      <c r="D19" s="11" t="str">
        <f>'Familiar Data'!$L$7</f>
        <v>0.0% [0.0%–27.8%]</v>
      </c>
      <c r="E19" s="11" t="str">
        <f>'Familiar Data'!$L$8</f>
        <v>20.0% [8.1%–41.6%]</v>
      </c>
      <c r="F19" s="11" t="str">
        <f>'Familiar Data'!$L$9</f>
        <v>85.0% [64.0%–94.8%]</v>
      </c>
      <c r="G19" s="11"/>
    </row>
    <row r="21" spans="1:7" ht="15" customHeight="1">
      <c r="A21" s="30" t="s">
        <v>166</v>
      </c>
      <c r="B21" s="30"/>
      <c r="C21" s="30"/>
      <c r="D21" s="30"/>
      <c r="E21" s="30"/>
      <c r="F21" s="30"/>
      <c r="G21" s="30"/>
    </row>
    <row r="22" spans="1:7" ht="15" customHeight="1">
      <c r="A22" s="12" t="s">
        <v>163</v>
      </c>
      <c r="B22" s="12" t="s">
        <v>84</v>
      </c>
      <c r="C22" s="12" t="s">
        <v>88</v>
      </c>
      <c r="D22" s="12" t="s">
        <v>101</v>
      </c>
      <c r="E22" s="12" t="s">
        <v>104</v>
      </c>
      <c r="F22" s="12" t="s">
        <v>90</v>
      </c>
      <c r="G22" s="12" t="s">
        <v>164</v>
      </c>
    </row>
    <row r="23" spans="1:7" ht="15" customHeight="1">
      <c r="A23" s="11" t="s">
        <v>74</v>
      </c>
      <c r="B23" s="13">
        <f>'Familiar Data'!$G$10</f>
        <v>0.6</v>
      </c>
      <c r="C23" s="13">
        <f>'Familiar Data'!$G$11</f>
        <v>0.55000000000000004</v>
      </c>
      <c r="D23" s="13">
        <f>'Familiar Data'!$G$12</f>
        <v>0</v>
      </c>
      <c r="E23" s="13">
        <f>'Familiar Data'!$G$13</f>
        <v>0.36842105263157893</v>
      </c>
      <c r="F23" s="13">
        <f>'Familiar Data'!$G$14</f>
        <v>0.6</v>
      </c>
      <c r="G23" s="13">
        <v>0.9</v>
      </c>
    </row>
    <row r="24" spans="1:7" ht="15" customHeight="1">
      <c r="A24" s="11" t="s">
        <v>75</v>
      </c>
      <c r="B24" s="13">
        <f>'Familiar Data'!$H$10</f>
        <v>0.38657794231520609</v>
      </c>
      <c r="C24" s="13">
        <f>'Familiar Data'!$H$11</f>
        <v>0.34208200830759972</v>
      </c>
      <c r="D24" s="13">
        <f>'Familiar Data'!$H$12</f>
        <v>0</v>
      </c>
      <c r="E24" s="13">
        <f>'Familiar Data'!$H$13</f>
        <v>0.19149272376273843</v>
      </c>
      <c r="F24" s="13">
        <f>'Familiar Data'!$H$14</f>
        <v>0.38657794231520609</v>
      </c>
      <c r="G24" s="13"/>
    </row>
    <row r="25" spans="1:7" ht="15" customHeight="1">
      <c r="A25" s="11" t="s">
        <v>76</v>
      </c>
      <c r="B25" s="13">
        <f>'Familiar Data'!$I$10</f>
        <v>0.78119603258580739</v>
      </c>
      <c r="C25" s="13">
        <f>'Familiar Data'!$I$11</f>
        <v>0.74180497914290711</v>
      </c>
      <c r="D25" s="13">
        <f>'Familiar Data'!$I$12</f>
        <v>0.27754016876661658</v>
      </c>
      <c r="E25" s="13">
        <f>'Familiar Data'!$I$13</f>
        <v>0.5896084250184328</v>
      </c>
      <c r="F25" s="13">
        <f>'Familiar Data'!$I$14</f>
        <v>0.78119603258580739</v>
      </c>
      <c r="G25" s="13"/>
    </row>
    <row r="26" spans="1:7" ht="15" customHeight="1">
      <c r="A26" s="11" t="s">
        <v>77</v>
      </c>
      <c r="B26" s="13">
        <f>'Familiar Data'!$J$10</f>
        <v>0.21342205768479389</v>
      </c>
      <c r="C26" s="13">
        <f>'Familiar Data'!$J$11</f>
        <v>0.20791799169240033</v>
      </c>
      <c r="D26" s="13">
        <f>'Familiar Data'!$J$12</f>
        <v>0</v>
      </c>
      <c r="E26" s="13">
        <f>'Familiar Data'!$J$13</f>
        <v>0.1769283288688405</v>
      </c>
      <c r="F26" s="13">
        <f>'Familiar Data'!$J$14</f>
        <v>0.21342205768479389</v>
      </c>
      <c r="G26" s="13"/>
    </row>
    <row r="27" spans="1:7" ht="15" customHeight="1">
      <c r="A27" s="11" t="s">
        <v>78</v>
      </c>
      <c r="B27" s="13">
        <f>'Familiar Data'!$K$10</f>
        <v>0.18119603258580741</v>
      </c>
      <c r="C27" s="13">
        <f>'Familiar Data'!$K$11</f>
        <v>0.19180497914290706</v>
      </c>
      <c r="D27" s="13">
        <f>'Familiar Data'!$K$12</f>
        <v>0.27754016876661658</v>
      </c>
      <c r="E27" s="13">
        <f>'Familiar Data'!$K$13</f>
        <v>0.22118737238685388</v>
      </c>
      <c r="F27" s="13">
        <f>'Familiar Data'!$K$14</f>
        <v>0.18119603258580741</v>
      </c>
      <c r="G27" s="13"/>
    </row>
    <row r="28" spans="1:7" ht="15" customHeight="1">
      <c r="A28" s="11" t="s">
        <v>165</v>
      </c>
      <c r="B28" s="11">
        <f>'Familiar Data'!$D$10</f>
        <v>12</v>
      </c>
      <c r="C28" s="11">
        <f>'Familiar Data'!$D$11</f>
        <v>11</v>
      </c>
      <c r="D28" s="11">
        <f>'Familiar Data'!$D$12</f>
        <v>0</v>
      </c>
      <c r="E28" s="11">
        <f>'Familiar Data'!$D$13</f>
        <v>7</v>
      </c>
      <c r="F28" s="11">
        <f>'Familiar Data'!$D$14</f>
        <v>12</v>
      </c>
      <c r="G28" s="11"/>
    </row>
    <row r="29" spans="1:7" ht="15" customHeight="1">
      <c r="A29" s="11" t="s">
        <v>73</v>
      </c>
      <c r="B29" s="11">
        <f>'Familiar Data'!$F$10</f>
        <v>20</v>
      </c>
      <c r="C29" s="11">
        <f>'Familiar Data'!$F$11</f>
        <v>20</v>
      </c>
      <c r="D29" s="11">
        <f>'Familiar Data'!$F$12</f>
        <v>10</v>
      </c>
      <c r="E29" s="11">
        <f>'Familiar Data'!$F$13</f>
        <v>19</v>
      </c>
      <c r="F29" s="11">
        <f>'Familiar Data'!$F$14</f>
        <v>20</v>
      </c>
      <c r="G29" s="11"/>
    </row>
    <row r="30" spans="1:7" ht="15" customHeight="1">
      <c r="A30" s="11" t="s">
        <v>79</v>
      </c>
      <c r="B30" s="11" t="str">
        <f>'Familiar Data'!$L$10</f>
        <v>60.0% [38.7%–78.1%]</v>
      </c>
      <c r="C30" s="11" t="str">
        <f>'Familiar Data'!$L$11</f>
        <v>55.0% [34.2%–74.2%]</v>
      </c>
      <c r="D30" s="11" t="str">
        <f>'Familiar Data'!$L$12</f>
        <v>0.0% [0.0%–27.8%]</v>
      </c>
      <c r="E30" s="11" t="str">
        <f>'Familiar Data'!$L$13</f>
        <v>36.8% [19.1%–59.0%]</v>
      </c>
      <c r="F30" s="11" t="str">
        <f>'Familiar Data'!$L$14</f>
        <v>60.0% [38.7%–78.1%]</v>
      </c>
      <c r="G30" s="11"/>
    </row>
    <row r="32" spans="1:7" ht="15" customHeight="1">
      <c r="A32" s="30" t="s">
        <v>167</v>
      </c>
      <c r="B32" s="30"/>
      <c r="C32" s="30"/>
      <c r="D32" s="30"/>
      <c r="E32" s="30"/>
      <c r="F32" s="30"/>
      <c r="G32" s="30"/>
    </row>
    <row r="33" spans="1:7" ht="15" customHeight="1">
      <c r="A33" s="12" t="s">
        <v>163</v>
      </c>
      <c r="B33" s="12" t="s">
        <v>84</v>
      </c>
      <c r="C33" s="12" t="s">
        <v>88</v>
      </c>
      <c r="D33" s="12" t="s">
        <v>101</v>
      </c>
      <c r="E33" s="12" t="s">
        <v>104</v>
      </c>
      <c r="F33" s="12" t="s">
        <v>90</v>
      </c>
      <c r="G33" s="12" t="s">
        <v>164</v>
      </c>
    </row>
    <row r="34" spans="1:7" ht="15" customHeight="1">
      <c r="A34" s="11" t="s">
        <v>74</v>
      </c>
      <c r="B34" s="13">
        <f>'Familiar Data'!$G$15</f>
        <v>0.5</v>
      </c>
      <c r="C34" s="13">
        <f>'Familiar Data'!$G$16</f>
        <v>0.35</v>
      </c>
      <c r="D34" s="13">
        <f>'Familiar Data'!$G$17</f>
        <v>0</v>
      </c>
      <c r="E34" s="13">
        <f>'Familiar Data'!$G$18</f>
        <v>0.15</v>
      </c>
      <c r="F34" s="13">
        <f>'Familiar Data'!$G$19</f>
        <v>0.45</v>
      </c>
      <c r="G34" s="13">
        <v>0.9</v>
      </c>
    </row>
    <row r="35" spans="1:7" ht="15" customHeight="1">
      <c r="A35" s="11" t="s">
        <v>75</v>
      </c>
      <c r="B35" s="13">
        <f>'Familiar Data'!$H$15</f>
        <v>0.29929491442981992</v>
      </c>
      <c r="C35" s="13">
        <f>'Familiar Data'!$H$16</f>
        <v>0.18118954786794464</v>
      </c>
      <c r="D35" s="13">
        <f>'Familiar Data'!$H$17</f>
        <v>0</v>
      </c>
      <c r="E35" s="13">
        <f>'Familiar Data'!$H$18</f>
        <v>5.2367791959495841E-2</v>
      </c>
      <c r="F35" s="13">
        <f>'Familiar Data'!$H$19</f>
        <v>0.25819502085709295</v>
      </c>
      <c r="G35" s="13"/>
    </row>
    <row r="36" spans="1:7" ht="15" customHeight="1">
      <c r="A36" s="11" t="s">
        <v>76</v>
      </c>
      <c r="B36" s="13">
        <f>'Familiar Data'!$I$15</f>
        <v>0.70070508557018008</v>
      </c>
      <c r="C36" s="13">
        <f>'Familiar Data'!$I$16</f>
        <v>0.56714948978053537</v>
      </c>
      <c r="D36" s="13">
        <f>'Familiar Data'!$I$17</f>
        <v>0.27754016876661658</v>
      </c>
      <c r="E36" s="13">
        <f>'Familiar Data'!$I$18</f>
        <v>0.36042329588695743</v>
      </c>
      <c r="F36" s="13">
        <f>'Familiar Data'!$I$19</f>
        <v>0.65791799169240028</v>
      </c>
      <c r="G36" s="13"/>
    </row>
    <row r="37" spans="1:7" ht="15" customHeight="1">
      <c r="A37" s="11" t="s">
        <v>77</v>
      </c>
      <c r="B37" s="13">
        <f>'Familiar Data'!$J$15</f>
        <v>0.20070508557018008</v>
      </c>
      <c r="C37" s="13">
        <f>'Familiar Data'!$J$16</f>
        <v>0.16881045213205534</v>
      </c>
      <c r="D37" s="13">
        <f>'Familiar Data'!$J$17</f>
        <v>0</v>
      </c>
      <c r="E37" s="13">
        <f>'Familiar Data'!$J$18</f>
        <v>9.7632208040504154E-2</v>
      </c>
      <c r="F37" s="13">
        <f>'Familiar Data'!$J$19</f>
        <v>0.19180497914290706</v>
      </c>
      <c r="G37" s="13"/>
    </row>
    <row r="38" spans="1:7" ht="15" customHeight="1">
      <c r="A38" s="11" t="s">
        <v>78</v>
      </c>
      <c r="B38" s="13">
        <f>'Familiar Data'!$K$15</f>
        <v>0.20070508557018008</v>
      </c>
      <c r="C38" s="13">
        <f>'Familiar Data'!$K$16</f>
        <v>0.21714948978053539</v>
      </c>
      <c r="D38" s="13">
        <f>'Familiar Data'!$K$17</f>
        <v>0.27754016876661658</v>
      </c>
      <c r="E38" s="13">
        <f>'Familiar Data'!$K$18</f>
        <v>0.21042329588695743</v>
      </c>
      <c r="F38" s="13">
        <f>'Familiar Data'!$K$19</f>
        <v>0.20791799169240027</v>
      </c>
      <c r="G38" s="13"/>
    </row>
    <row r="39" spans="1:7" ht="15" customHeight="1">
      <c r="A39" s="11" t="s">
        <v>165</v>
      </c>
      <c r="B39" s="11">
        <f>'Familiar Data'!$D$15</f>
        <v>10</v>
      </c>
      <c r="C39" s="11">
        <f>'Familiar Data'!$D$16</f>
        <v>7</v>
      </c>
      <c r="D39" s="11">
        <f>'Familiar Data'!$D$17</f>
        <v>0</v>
      </c>
      <c r="E39" s="11">
        <f>'Familiar Data'!$D$18</f>
        <v>3</v>
      </c>
      <c r="F39" s="11">
        <f>'Familiar Data'!$D$19</f>
        <v>9</v>
      </c>
      <c r="G39" s="11"/>
    </row>
    <row r="40" spans="1:7" ht="15" customHeight="1">
      <c r="A40" s="11" t="s">
        <v>73</v>
      </c>
      <c r="B40" s="11">
        <f>'Familiar Data'!$F$15</f>
        <v>20</v>
      </c>
      <c r="C40" s="11">
        <f>'Familiar Data'!$F$16</f>
        <v>20</v>
      </c>
      <c r="D40" s="11">
        <f>'Familiar Data'!$F$17</f>
        <v>10</v>
      </c>
      <c r="E40" s="11">
        <f>'Familiar Data'!$F$18</f>
        <v>20</v>
      </c>
      <c r="F40" s="11">
        <f>'Familiar Data'!$F$19</f>
        <v>20</v>
      </c>
      <c r="G40" s="11"/>
    </row>
    <row r="41" spans="1:7" ht="15" customHeight="1">
      <c r="A41" s="11" t="s">
        <v>79</v>
      </c>
      <c r="B41" s="11" t="str">
        <f>'Familiar Data'!$L$15</f>
        <v>50.0% [29.9%–70.1%]</v>
      </c>
      <c r="C41" s="11" t="str">
        <f>'Familiar Data'!$L$16</f>
        <v>35.0% [18.1%–56.7%]</v>
      </c>
      <c r="D41" s="11" t="str">
        <f>'Familiar Data'!$L$17</f>
        <v>0.0% [0.0%–27.8%]</v>
      </c>
      <c r="E41" s="11" t="str">
        <f>'Familiar Data'!$L$18</f>
        <v>15.0% [5.2%–36.0%]</v>
      </c>
      <c r="F41" s="11" t="str">
        <f>'Familiar Data'!$L$19</f>
        <v>45.0% [25.8%–65.8%]</v>
      </c>
      <c r="G41" s="11"/>
    </row>
    <row r="43" spans="1:7" ht="15" customHeight="1">
      <c r="A43" s="30" t="s">
        <v>168</v>
      </c>
      <c r="B43" s="30"/>
      <c r="C43" s="30"/>
      <c r="D43" s="30"/>
      <c r="E43" s="30"/>
      <c r="F43" s="30"/>
      <c r="G43" s="30"/>
    </row>
    <row r="44" spans="1:7" ht="15" customHeight="1">
      <c r="A44" s="12" t="s">
        <v>163</v>
      </c>
      <c r="B44" s="12" t="s">
        <v>84</v>
      </c>
      <c r="C44" s="12" t="s">
        <v>88</v>
      </c>
      <c r="D44" s="12" t="s">
        <v>101</v>
      </c>
      <c r="E44" s="12" t="s">
        <v>104</v>
      </c>
      <c r="F44" s="12" t="s">
        <v>90</v>
      </c>
      <c r="G44" s="12" t="s">
        <v>164</v>
      </c>
    </row>
    <row r="45" spans="1:7" ht="15" customHeight="1">
      <c r="A45" s="11" t="s">
        <v>74</v>
      </c>
      <c r="B45" s="13">
        <f>'Familiar Data'!$G$20</f>
        <v>0.8</v>
      </c>
      <c r="C45" s="13">
        <f>'Familiar Data'!$G$21</f>
        <v>0.65</v>
      </c>
      <c r="D45" s="13">
        <f>'Familiar Data'!$G$22</f>
        <v>0</v>
      </c>
      <c r="E45" s="13">
        <f>'Familiar Data'!$G$23</f>
        <v>0</v>
      </c>
      <c r="F45" s="13">
        <f>'Familiar Data'!$G$24</f>
        <v>0.7</v>
      </c>
      <c r="G45" s="13">
        <v>0.9</v>
      </c>
    </row>
    <row r="46" spans="1:7" ht="15" customHeight="1">
      <c r="A46" s="11" t="s">
        <v>75</v>
      </c>
      <c r="B46" s="13">
        <f>'Familiar Data'!$H$20</f>
        <v>0.58397827797424007</v>
      </c>
      <c r="C46" s="13">
        <f>'Familiar Data'!$H$21</f>
        <v>0.43285051021946463</v>
      </c>
      <c r="D46" s="13">
        <f>'Familiar Data'!$H$22</f>
        <v>0</v>
      </c>
      <c r="E46" s="13">
        <f>'Familiar Data'!$H$23</f>
        <v>0</v>
      </c>
      <c r="F46" s="13">
        <f>'Familiar Data'!$H$24</f>
        <v>0.48102322377102058</v>
      </c>
      <c r="G46" s="13"/>
    </row>
    <row r="47" spans="1:7" ht="15" customHeight="1">
      <c r="A47" s="11" t="s">
        <v>76</v>
      </c>
      <c r="B47" s="13">
        <f>'Familiar Data'!$I$20</f>
        <v>0.91934364672879998</v>
      </c>
      <c r="C47" s="13">
        <f>'Familiar Data'!$I$21</f>
        <v>0.81881045213205539</v>
      </c>
      <c r="D47" s="13">
        <f>'Familiar Data'!$I$22</f>
        <v>0.24250075749924249</v>
      </c>
      <c r="E47" s="13">
        <f>'Familiar Data'!$I$23</f>
        <v>0.16113012549493322</v>
      </c>
      <c r="F47" s="13">
        <f>'Familiar Data'!$I$24</f>
        <v>0.85452472603100604</v>
      </c>
      <c r="G47" s="13"/>
    </row>
    <row r="48" spans="1:7" ht="15" customHeight="1">
      <c r="A48" s="11" t="s">
        <v>77</v>
      </c>
      <c r="B48" s="13">
        <f>'Familiar Data'!$J$20</f>
        <v>0.21602172202575998</v>
      </c>
      <c r="C48" s="13">
        <f>'Familiar Data'!$J$21</f>
        <v>0.21714948978053539</v>
      </c>
      <c r="D48" s="13">
        <f>'Familiar Data'!$J$22</f>
        <v>0</v>
      </c>
      <c r="E48" s="13">
        <f>'Familiar Data'!$J$23</f>
        <v>0</v>
      </c>
      <c r="F48" s="13">
        <f>'Familiar Data'!$J$24</f>
        <v>0.21897677622897938</v>
      </c>
      <c r="G48" s="13"/>
    </row>
    <row r="49" spans="1:7" ht="15" customHeight="1">
      <c r="A49" s="11" t="s">
        <v>78</v>
      </c>
      <c r="B49" s="13">
        <f>'Familiar Data'!$K$20</f>
        <v>0.11934364672879993</v>
      </c>
      <c r="C49" s="13">
        <f>'Familiar Data'!$K$21</f>
        <v>0.16881045213205537</v>
      </c>
      <c r="D49" s="13">
        <f>'Familiar Data'!$K$22</f>
        <v>0.24250075749924249</v>
      </c>
      <c r="E49" s="13">
        <f>'Familiar Data'!$K$23</f>
        <v>0.16113012549493322</v>
      </c>
      <c r="F49" s="13">
        <f>'Familiar Data'!$K$24</f>
        <v>0.15452472603100609</v>
      </c>
      <c r="G49" s="13"/>
    </row>
    <row r="50" spans="1:7" ht="15" customHeight="1">
      <c r="A50" s="11" t="s">
        <v>165</v>
      </c>
      <c r="B50" s="11">
        <f>'Familiar Data'!$D$20</f>
        <v>16</v>
      </c>
      <c r="C50" s="11">
        <f>'Familiar Data'!$D$21</f>
        <v>13</v>
      </c>
      <c r="D50" s="11">
        <f>'Familiar Data'!$D$22</f>
        <v>0</v>
      </c>
      <c r="E50" s="11">
        <f>'Familiar Data'!$D$23</f>
        <v>0</v>
      </c>
      <c r="F50" s="11">
        <f>'Familiar Data'!$D$24</f>
        <v>14</v>
      </c>
      <c r="G50" s="11"/>
    </row>
    <row r="51" spans="1:7" ht="15" customHeight="1">
      <c r="A51" s="11" t="s">
        <v>73</v>
      </c>
      <c r="B51" s="11">
        <f>'Familiar Data'!$F$20</f>
        <v>20</v>
      </c>
      <c r="C51" s="11">
        <f>'Familiar Data'!$F$21</f>
        <v>20</v>
      </c>
      <c r="D51" s="11">
        <f>'Familiar Data'!$F$22</f>
        <v>12</v>
      </c>
      <c r="E51" s="11">
        <f>'Familiar Data'!$F$23</f>
        <v>20</v>
      </c>
      <c r="F51" s="11">
        <f>'Familiar Data'!$F$24</f>
        <v>20</v>
      </c>
      <c r="G51" s="11"/>
    </row>
    <row r="52" spans="1:7" ht="15" customHeight="1">
      <c r="A52" s="11" t="s">
        <v>79</v>
      </c>
      <c r="B52" s="11" t="str">
        <f>'Familiar Data'!$L$20</f>
        <v>80.0% [58.4%–91.9%]</v>
      </c>
      <c r="C52" s="11" t="str">
        <f>'Familiar Data'!$L$21</f>
        <v>65.0% [43.3%–81.9%]</v>
      </c>
      <c r="D52" s="11" t="str">
        <f>'Familiar Data'!$L$22</f>
        <v>0.0% [0.0%–24.3%]</v>
      </c>
      <c r="E52" s="11" t="str">
        <f>'Familiar Data'!$L$23</f>
        <v>0.0% [0.0%–16.1%]</v>
      </c>
      <c r="F52" s="11" t="str">
        <f>'Familiar Data'!$L$24</f>
        <v>70.0% [48.1%–85.5%]</v>
      </c>
      <c r="G52" s="11"/>
    </row>
    <row r="54" spans="1:7" ht="15" customHeight="1">
      <c r="A54" s="30" t="s">
        <v>169</v>
      </c>
      <c r="B54" s="30"/>
      <c r="C54" s="30"/>
      <c r="D54" s="30"/>
      <c r="E54" s="30"/>
      <c r="F54" s="30"/>
      <c r="G54" s="30"/>
    </row>
    <row r="55" spans="1:7" ht="15" customHeight="1">
      <c r="A55" s="12" t="s">
        <v>163</v>
      </c>
      <c r="B55" s="12" t="s">
        <v>84</v>
      </c>
      <c r="C55" s="12" t="s">
        <v>88</v>
      </c>
      <c r="D55" s="12" t="s">
        <v>101</v>
      </c>
      <c r="E55" s="12" t="s">
        <v>104</v>
      </c>
      <c r="F55" s="12" t="s">
        <v>90</v>
      </c>
      <c r="G55" s="12" t="s">
        <v>164</v>
      </c>
    </row>
    <row r="56" spans="1:7" ht="15" customHeight="1">
      <c r="A56" s="11" t="s">
        <v>74</v>
      </c>
      <c r="B56" s="13">
        <f>'Familiar Data'!$G$25</f>
        <v>0.75</v>
      </c>
      <c r="C56" s="13">
        <f>'Familiar Data'!$G$26</f>
        <v>0.8</v>
      </c>
      <c r="D56" s="13">
        <f>'Familiar Data'!$G$27</f>
        <v>0</v>
      </c>
      <c r="E56" s="13">
        <f>'Familiar Data'!$G$28</f>
        <v>0.2</v>
      </c>
      <c r="F56" s="13">
        <f>'Familiar Data'!$G$29</f>
        <v>0.6</v>
      </c>
      <c r="G56" s="13">
        <v>0.9</v>
      </c>
    </row>
    <row r="57" spans="1:7" ht="15" customHeight="1">
      <c r="A57" s="11" t="s">
        <v>75</v>
      </c>
      <c r="B57" s="13">
        <f>'Familiar Data'!$H$25</f>
        <v>0.53129499004193648</v>
      </c>
      <c r="C57" s="13">
        <f>'Familiar Data'!$H$26</f>
        <v>0.58397827797424007</v>
      </c>
      <c r="D57" s="13">
        <f>'Familiar Data'!$H$27</f>
        <v>0</v>
      </c>
      <c r="E57" s="13">
        <f>'Familiar Data'!$H$28</f>
        <v>8.0656353271199993E-2</v>
      </c>
      <c r="F57" s="13">
        <f>'Familiar Data'!$H$29</f>
        <v>0.38657794231520609</v>
      </c>
      <c r="G57" s="13"/>
    </row>
    <row r="58" spans="1:7" ht="15" customHeight="1">
      <c r="A58" s="11" t="s">
        <v>76</v>
      </c>
      <c r="B58" s="13">
        <f>'Familiar Data'!$I$25</f>
        <v>0.88813994721059697</v>
      </c>
      <c r="C58" s="13">
        <f>'Familiar Data'!$I$26</f>
        <v>0.91934364672879998</v>
      </c>
      <c r="D58" s="13">
        <f>'Familiar Data'!$I$27</f>
        <v>0.27754016876661658</v>
      </c>
      <c r="E58" s="13">
        <f>'Familiar Data'!$I$28</f>
        <v>0.41602172202575993</v>
      </c>
      <c r="F58" s="13">
        <f>'Familiar Data'!$I$29</f>
        <v>0.78119603258580739</v>
      </c>
      <c r="G58" s="13"/>
    </row>
    <row r="59" spans="1:7" ht="15" customHeight="1">
      <c r="A59" s="11" t="s">
        <v>77</v>
      </c>
      <c r="B59" s="13">
        <f>'Familiar Data'!$J$25</f>
        <v>0.21870500995806352</v>
      </c>
      <c r="C59" s="13">
        <f>'Familiar Data'!$J$26</f>
        <v>0.21602172202575998</v>
      </c>
      <c r="D59" s="13">
        <f>'Familiar Data'!$J$27</f>
        <v>0</v>
      </c>
      <c r="E59" s="13">
        <f>'Familiar Data'!$J$28</f>
        <v>0.11934364672880002</v>
      </c>
      <c r="F59" s="13">
        <f>'Familiar Data'!$J$29</f>
        <v>0.21342205768479389</v>
      </c>
      <c r="G59" s="13"/>
    </row>
    <row r="60" spans="1:7" ht="15" customHeight="1">
      <c r="A60" s="11" t="s">
        <v>78</v>
      </c>
      <c r="B60" s="13">
        <f>'Familiar Data'!$K$25</f>
        <v>0.13813994721059697</v>
      </c>
      <c r="C60" s="13">
        <f>'Familiar Data'!$K$26</f>
        <v>0.11934364672879993</v>
      </c>
      <c r="D60" s="13">
        <f>'Familiar Data'!$K$27</f>
        <v>0.27754016876661658</v>
      </c>
      <c r="E60" s="13">
        <f>'Familiar Data'!$K$28</f>
        <v>0.21602172202575992</v>
      </c>
      <c r="F60" s="13">
        <f>'Familiar Data'!$K$29</f>
        <v>0.18119603258580741</v>
      </c>
      <c r="G60" s="13"/>
    </row>
    <row r="61" spans="1:7" ht="15" customHeight="1">
      <c r="A61" s="11" t="s">
        <v>165</v>
      </c>
      <c r="B61" s="11">
        <f>'Familiar Data'!$D$25</f>
        <v>15</v>
      </c>
      <c r="C61" s="11">
        <f>'Familiar Data'!$D$26</f>
        <v>16</v>
      </c>
      <c r="D61" s="11">
        <f>'Familiar Data'!$D$27</f>
        <v>0</v>
      </c>
      <c r="E61" s="11">
        <f>'Familiar Data'!$D$28</f>
        <v>4</v>
      </c>
      <c r="F61" s="11">
        <f>'Familiar Data'!$D$29</f>
        <v>12</v>
      </c>
      <c r="G61" s="11"/>
    </row>
    <row r="62" spans="1:7" ht="15" customHeight="1">
      <c r="A62" s="11" t="s">
        <v>73</v>
      </c>
      <c r="B62" s="11">
        <f>'Familiar Data'!$F$25</f>
        <v>20</v>
      </c>
      <c r="C62" s="11">
        <f>'Familiar Data'!$F$26</f>
        <v>20</v>
      </c>
      <c r="D62" s="11">
        <f>'Familiar Data'!$F$27</f>
        <v>10</v>
      </c>
      <c r="E62" s="11">
        <f>'Familiar Data'!$F$28</f>
        <v>20</v>
      </c>
      <c r="F62" s="11">
        <f>'Familiar Data'!$F$29</f>
        <v>20</v>
      </c>
      <c r="G62" s="11"/>
    </row>
    <row r="63" spans="1:7" ht="15" customHeight="1">
      <c r="A63" s="11" t="s">
        <v>79</v>
      </c>
      <c r="B63" s="11" t="str">
        <f>'Familiar Data'!$L$25</f>
        <v>75.0% [53.1%–88.8%]</v>
      </c>
      <c r="C63" s="11" t="str">
        <f>'Familiar Data'!$L$26</f>
        <v>80.0% [58.4%–91.9%]</v>
      </c>
      <c r="D63" s="11" t="str">
        <f>'Familiar Data'!$L$27</f>
        <v>0.0% [0.0%–27.8%]</v>
      </c>
      <c r="E63" s="11" t="str">
        <f>'Familiar Data'!$L$28</f>
        <v>20.0% [8.1%–41.6%]</v>
      </c>
      <c r="F63" s="11" t="str">
        <f>'Familiar Data'!$L$29</f>
        <v>60.0% [38.7%–78.1%]</v>
      </c>
      <c r="G63" s="11"/>
    </row>
    <row r="65" spans="1:7" ht="15" customHeight="1">
      <c r="A65" s="30" t="s">
        <v>170</v>
      </c>
      <c r="B65" s="30"/>
      <c r="C65" s="30"/>
      <c r="D65" s="30"/>
      <c r="E65" s="30"/>
      <c r="F65" s="30"/>
      <c r="G65" s="30"/>
    </row>
    <row r="66" spans="1:7" ht="15" customHeight="1">
      <c r="A66" s="12" t="s">
        <v>163</v>
      </c>
      <c r="B66" s="12" t="s">
        <v>84</v>
      </c>
      <c r="C66" s="12" t="s">
        <v>88</v>
      </c>
      <c r="D66" s="12" t="s">
        <v>101</v>
      </c>
      <c r="E66" s="12" t="s">
        <v>104</v>
      </c>
      <c r="F66" s="12" t="s">
        <v>90</v>
      </c>
      <c r="G66" s="12" t="s">
        <v>164</v>
      </c>
    </row>
    <row r="67" spans="1:7" ht="15" customHeight="1">
      <c r="A67" s="11" t="s">
        <v>74</v>
      </c>
      <c r="B67" s="13">
        <f>'Familiar Data'!$G$30</f>
        <v>0.8</v>
      </c>
      <c r="C67" s="13">
        <f>'Familiar Data'!$G$31</f>
        <v>0.95</v>
      </c>
      <c r="D67" s="13">
        <f>'Familiar Data'!$G$32</f>
        <v>0</v>
      </c>
      <c r="E67" s="13">
        <f>'Familiar Data'!$G$33</f>
        <v>0.35</v>
      </c>
      <c r="F67" s="13">
        <f>'Familiar Data'!$G$34</f>
        <v>0.85</v>
      </c>
      <c r="G67" s="13">
        <v>0.9</v>
      </c>
    </row>
    <row r="68" spans="1:7" ht="15" customHeight="1">
      <c r="A68" s="11" t="s">
        <v>75</v>
      </c>
      <c r="B68" s="13">
        <f>'Familiar Data'!$H$30</f>
        <v>0.58397827797424007</v>
      </c>
      <c r="C68" s="13">
        <f>'Familiar Data'!$H$31</f>
        <v>0.76386410648743308</v>
      </c>
      <c r="D68" s="13">
        <f>'Familiar Data'!$H$32</f>
        <v>0</v>
      </c>
      <c r="E68" s="13">
        <f>'Familiar Data'!$H$33</f>
        <v>0.18118954786794464</v>
      </c>
      <c r="F68" s="13">
        <f>'Familiar Data'!$H$34</f>
        <v>0.63957670411304257</v>
      </c>
      <c r="G68" s="13"/>
    </row>
    <row r="69" spans="1:7" ht="15" customHeight="1">
      <c r="A69" s="11" t="s">
        <v>76</v>
      </c>
      <c r="B69" s="13">
        <f>'Familiar Data'!$I$30</f>
        <v>0.91934364672879998</v>
      </c>
      <c r="C69" s="13">
        <f>'Familiar Data'!$I$31</f>
        <v>0.99111878056712677</v>
      </c>
      <c r="D69" s="13">
        <f>'Familiar Data'!$I$32</f>
        <v>0.16113012549493322</v>
      </c>
      <c r="E69" s="13">
        <f>'Familiar Data'!$I$33</f>
        <v>0.56714948978053537</v>
      </c>
      <c r="F69" s="13">
        <f>'Familiar Data'!$I$34</f>
        <v>0.94763220804050408</v>
      </c>
      <c r="G69" s="13"/>
    </row>
    <row r="70" spans="1:7" ht="15" customHeight="1">
      <c r="A70" s="11" t="s">
        <v>77</v>
      </c>
      <c r="B70" s="13">
        <f>'Familiar Data'!$J$30</f>
        <v>0.21602172202575998</v>
      </c>
      <c r="C70" s="13">
        <f>'Familiar Data'!$J$31</f>
        <v>0.18613589351256687</v>
      </c>
      <c r="D70" s="13">
        <f>'Familiar Data'!$J$32</f>
        <v>0</v>
      </c>
      <c r="E70" s="13">
        <f>'Familiar Data'!$J$33</f>
        <v>0.16881045213205534</v>
      </c>
      <c r="F70" s="13">
        <f>'Familiar Data'!$J$34</f>
        <v>0.21042329588695741</v>
      </c>
      <c r="G70" s="13"/>
    </row>
    <row r="71" spans="1:7" ht="15" customHeight="1">
      <c r="A71" s="11" t="s">
        <v>78</v>
      </c>
      <c r="B71" s="13">
        <f>'Familiar Data'!$K$30</f>
        <v>0.11934364672879993</v>
      </c>
      <c r="C71" s="13">
        <f>'Familiar Data'!$K$31</f>
        <v>4.1118780567126811E-2</v>
      </c>
      <c r="D71" s="13">
        <f>'Familiar Data'!$K$32</f>
        <v>0.16113012549493322</v>
      </c>
      <c r="E71" s="13">
        <f>'Familiar Data'!$K$33</f>
        <v>0.21714948978053539</v>
      </c>
      <c r="F71" s="13">
        <f>'Familiar Data'!$K$34</f>
        <v>9.7632208040504098E-2</v>
      </c>
      <c r="G71" s="13"/>
    </row>
    <row r="72" spans="1:7" ht="15" customHeight="1">
      <c r="A72" s="11" t="s">
        <v>165</v>
      </c>
      <c r="B72" s="11">
        <f>'Familiar Data'!$D$30</f>
        <v>16</v>
      </c>
      <c r="C72" s="11">
        <f>'Familiar Data'!$D$31</f>
        <v>19</v>
      </c>
      <c r="D72" s="11">
        <f>'Familiar Data'!$D$32</f>
        <v>0</v>
      </c>
      <c r="E72" s="11">
        <f>'Familiar Data'!$D$33</f>
        <v>7</v>
      </c>
      <c r="F72" s="11">
        <f>'Familiar Data'!$D$34</f>
        <v>17</v>
      </c>
      <c r="G72" s="11"/>
    </row>
    <row r="73" spans="1:7" ht="15" customHeight="1">
      <c r="A73" s="11" t="s">
        <v>73</v>
      </c>
      <c r="B73" s="11">
        <f>'Familiar Data'!$F$30</f>
        <v>20</v>
      </c>
      <c r="C73" s="11">
        <f>'Familiar Data'!$F$31</f>
        <v>20</v>
      </c>
      <c r="D73" s="11">
        <f>'Familiar Data'!$F$32</f>
        <v>20</v>
      </c>
      <c r="E73" s="11">
        <f>'Familiar Data'!$F$33</f>
        <v>20</v>
      </c>
      <c r="F73" s="11">
        <f>'Familiar Data'!$F$34</f>
        <v>20</v>
      </c>
      <c r="G73" s="11"/>
    </row>
    <row r="74" spans="1:7" ht="15" customHeight="1">
      <c r="A74" s="11" t="s">
        <v>79</v>
      </c>
      <c r="B74" s="11" t="str">
        <f>'Familiar Data'!$L$30</f>
        <v>80.0% [58.4%–91.9%]</v>
      </c>
      <c r="C74" s="11" t="str">
        <f>'Familiar Data'!$L$31</f>
        <v>95.0% [76.4%–99.1%]</v>
      </c>
      <c r="D74" s="11" t="str">
        <f>'Familiar Data'!$L$32</f>
        <v>0.0% [0.0%–16.1%]</v>
      </c>
      <c r="E74" s="11" t="str">
        <f>'Familiar Data'!$L$33</f>
        <v>35.0% [18.1%–56.7%]</v>
      </c>
      <c r="F74" s="11" t="str">
        <f>'Familiar Data'!$L$34</f>
        <v>85.0% [64.0%–94.8%]</v>
      </c>
      <c r="G74" s="11"/>
    </row>
    <row r="76" spans="1:7" ht="15" customHeight="1">
      <c r="A76" s="30" t="s">
        <v>171</v>
      </c>
      <c r="B76" s="30"/>
      <c r="C76" s="30"/>
      <c r="D76" s="30"/>
      <c r="E76" s="30"/>
      <c r="F76" s="30"/>
      <c r="G76" s="30"/>
    </row>
    <row r="77" spans="1:7" ht="15" customHeight="1">
      <c r="A77" s="12" t="s">
        <v>163</v>
      </c>
      <c r="B77" s="12" t="s">
        <v>84</v>
      </c>
      <c r="C77" s="12" t="s">
        <v>88</v>
      </c>
      <c r="D77" s="12" t="s">
        <v>90</v>
      </c>
      <c r="E77" s="12" t="s">
        <v>164</v>
      </c>
    </row>
    <row r="78" spans="1:7" ht="15" customHeight="1">
      <c r="A78" s="11" t="s">
        <v>74</v>
      </c>
      <c r="B78" s="13">
        <f>'Novel Data'!$G$5</f>
        <v>0.76</v>
      </c>
      <c r="C78" s="13">
        <f>'Novel Data'!$G$6</f>
        <v>0.36</v>
      </c>
      <c r="D78" s="13">
        <f>'Novel Data'!$G$7</f>
        <v>0.34</v>
      </c>
      <c r="E78" s="13">
        <v>0.9</v>
      </c>
    </row>
    <row r="79" spans="1:7" ht="15" customHeight="1">
      <c r="A79" s="11" t="s">
        <v>75</v>
      </c>
      <c r="B79" s="13">
        <f>'Novel Data'!$H$5</f>
        <v>0.62587050624807627</v>
      </c>
      <c r="C79" s="13">
        <f>'Novel Data'!$H$6</f>
        <v>0.24138562967182875</v>
      </c>
      <c r="D79" s="13">
        <f>'Novel Data'!$H$7</f>
        <v>0.2243676963506106</v>
      </c>
      <c r="E79" s="13"/>
    </row>
    <row r="80" spans="1:7" ht="15" customHeight="1">
      <c r="A80" s="11" t="s">
        <v>76</v>
      </c>
      <c r="B80" s="13">
        <f>'Novel Data'!$I$5</f>
        <v>0.85702747598127793</v>
      </c>
      <c r="C80" s="13">
        <f>'Novel Data'!$I$6</f>
        <v>0.49859237989698046</v>
      </c>
      <c r="D80" s="13">
        <f>'Novel Data'!$I$7</f>
        <v>0.47846431458517147</v>
      </c>
      <c r="E80" s="13"/>
    </row>
    <row r="81" spans="1:7" ht="15" customHeight="1">
      <c r="A81" s="11" t="s">
        <v>77</v>
      </c>
      <c r="B81" s="13">
        <f>'Novel Data'!$J$5</f>
        <v>0.13412949375192373</v>
      </c>
      <c r="C81" s="13">
        <f>'Novel Data'!$J$6</f>
        <v>0.11861437032817124</v>
      </c>
      <c r="D81" s="13">
        <f>'Novel Data'!$J$7</f>
        <v>0.11563230364938942</v>
      </c>
      <c r="E81" s="13"/>
    </row>
    <row r="82" spans="1:7" ht="15" customHeight="1">
      <c r="A82" s="11" t="s">
        <v>78</v>
      </c>
      <c r="B82" s="13">
        <f>'Novel Data'!$K$5</f>
        <v>9.7027475981277922E-2</v>
      </c>
      <c r="C82" s="13">
        <f>'Novel Data'!$K$6</f>
        <v>0.13859237989698048</v>
      </c>
      <c r="D82" s="13">
        <f>'Novel Data'!$K$7</f>
        <v>0.13846431458517144</v>
      </c>
      <c r="E82" s="13"/>
    </row>
    <row r="83" spans="1:7" ht="15" customHeight="1">
      <c r="A83" s="11" t="s">
        <v>165</v>
      </c>
      <c r="B83" s="11">
        <f>'Novel Data'!$D$5</f>
        <v>38</v>
      </c>
      <c r="C83" s="11">
        <f>'Novel Data'!$D$6</f>
        <v>18</v>
      </c>
      <c r="D83" s="11">
        <f>'Novel Data'!$D$7</f>
        <v>17</v>
      </c>
      <c r="E83" s="11"/>
    </row>
    <row r="84" spans="1:7" ht="15" customHeight="1">
      <c r="A84" s="11" t="s">
        <v>73</v>
      </c>
      <c r="B84" s="11">
        <f>'Novel Data'!$F$5</f>
        <v>50</v>
      </c>
      <c r="C84" s="11">
        <f>'Novel Data'!$F$6</f>
        <v>50</v>
      </c>
      <c r="D84" s="11">
        <f>'Novel Data'!$F$7</f>
        <v>50</v>
      </c>
      <c r="E84" s="11"/>
    </row>
    <row r="85" spans="1:7" ht="15" customHeight="1">
      <c r="A85" s="11" t="s">
        <v>79</v>
      </c>
      <c r="B85" s="11" t="str">
        <f>'Novel Data'!$L$5</f>
        <v>76.0% [62.6%–85.7%]</v>
      </c>
      <c r="C85" s="11" t="str">
        <f>'Novel Data'!$L$6</f>
        <v>36.0% [24.1%–49.9%]</v>
      </c>
      <c r="D85" s="11" t="str">
        <f>'Novel Data'!$L$7</f>
        <v>34.0% [22.4%–47.8%]</v>
      </c>
      <c r="E85" s="11"/>
    </row>
    <row r="87" spans="1:7" ht="15" customHeight="1">
      <c r="A87" s="30" t="s">
        <v>172</v>
      </c>
      <c r="B87" s="30"/>
      <c r="C87" s="30"/>
      <c r="D87" s="30"/>
      <c r="E87" s="30"/>
      <c r="F87" s="30"/>
      <c r="G87" s="30"/>
    </row>
    <row r="88" spans="1:7" ht="15" customHeight="1">
      <c r="A88" s="12" t="s">
        <v>163</v>
      </c>
      <c r="B88" s="12" t="s">
        <v>84</v>
      </c>
      <c r="C88" s="12" t="s">
        <v>88</v>
      </c>
      <c r="D88" s="12" t="s">
        <v>90</v>
      </c>
      <c r="E88" s="12" t="s">
        <v>164</v>
      </c>
    </row>
    <row r="89" spans="1:7" ht="15" customHeight="1">
      <c r="A89" s="11" t="s">
        <v>74</v>
      </c>
      <c r="B89" s="13">
        <f>'Novel Data'!$G$8</f>
        <v>0</v>
      </c>
      <c r="C89" s="13">
        <f>'Novel Data'!$G$9</f>
        <v>0</v>
      </c>
      <c r="D89" s="13">
        <f>'Novel Data'!$G$10</f>
        <v>0</v>
      </c>
      <c r="E89" s="13">
        <v>0.9</v>
      </c>
    </row>
    <row r="90" spans="1:7" ht="15" customHeight="1">
      <c r="A90" s="11" t="s">
        <v>75</v>
      </c>
      <c r="B90" s="13">
        <f>'Novel Data'!$H$8</f>
        <v>0</v>
      </c>
      <c r="C90" s="13">
        <f>'Novel Data'!$H$9</f>
        <v>0</v>
      </c>
      <c r="D90" s="13">
        <f>'Novel Data'!$H$10</f>
        <v>0</v>
      </c>
      <c r="E90" s="13"/>
    </row>
    <row r="91" spans="1:7" ht="15" customHeight="1">
      <c r="A91" s="11" t="s">
        <v>76</v>
      </c>
      <c r="B91" s="13">
        <f>'Novel Data'!$I$8</f>
        <v>7.1350034174318733E-2</v>
      </c>
      <c r="C91" s="13">
        <f>'Novel Data'!$I$9</f>
        <v>7.1350034174318733E-2</v>
      </c>
      <c r="D91" s="13">
        <f>'Novel Data'!$I$10</f>
        <v>7.1350034174318733E-2</v>
      </c>
      <c r="E91" s="13"/>
    </row>
    <row r="92" spans="1:7" ht="15" customHeight="1">
      <c r="A92" s="11" t="s">
        <v>77</v>
      </c>
      <c r="B92" s="13">
        <f>'Novel Data'!$J$8</f>
        <v>0</v>
      </c>
      <c r="C92" s="13">
        <f>'Novel Data'!$J$9</f>
        <v>0</v>
      </c>
      <c r="D92" s="13">
        <f>'Novel Data'!$J$10</f>
        <v>0</v>
      </c>
      <c r="E92" s="13"/>
    </row>
    <row r="93" spans="1:7" ht="15" customHeight="1">
      <c r="A93" s="11" t="s">
        <v>78</v>
      </c>
      <c r="B93" s="13">
        <f>'Novel Data'!$K$8</f>
        <v>7.1350034174318733E-2</v>
      </c>
      <c r="C93" s="13">
        <f>'Novel Data'!$K$9</f>
        <v>7.1350034174318733E-2</v>
      </c>
      <c r="D93" s="13">
        <f>'Novel Data'!$K$10</f>
        <v>7.1350034174318733E-2</v>
      </c>
      <c r="E93" s="13"/>
    </row>
    <row r="94" spans="1:7" ht="15" customHeight="1">
      <c r="A94" s="11" t="s">
        <v>165</v>
      </c>
      <c r="B94" s="11">
        <f>'Novel Data'!$D$8</f>
        <v>0</v>
      </c>
      <c r="C94" s="11">
        <f>'Novel Data'!$D$9</f>
        <v>0</v>
      </c>
      <c r="D94" s="11">
        <f>'Novel Data'!$D$10</f>
        <v>0</v>
      </c>
      <c r="E94" s="11"/>
    </row>
    <row r="95" spans="1:7" ht="15" customHeight="1">
      <c r="A95" s="11" t="s">
        <v>73</v>
      </c>
      <c r="B95" s="11">
        <f>'Novel Data'!$F$8</f>
        <v>50</v>
      </c>
      <c r="C95" s="11">
        <f>'Novel Data'!$F$9</f>
        <v>50</v>
      </c>
      <c r="D95" s="11">
        <f>'Novel Data'!$F$10</f>
        <v>50</v>
      </c>
      <c r="E95" s="11"/>
    </row>
    <row r="96" spans="1:7" ht="15" customHeight="1">
      <c r="A96" s="11" t="s">
        <v>79</v>
      </c>
      <c r="B96" s="11" t="str">
        <f>'Novel Data'!$L$8</f>
        <v>0.0% [0.0%–7.1%]</v>
      </c>
      <c r="C96" s="11" t="str">
        <f>'Novel Data'!$L$9</f>
        <v>0.0% [0.0%–7.1%]</v>
      </c>
      <c r="D96" s="11" t="str">
        <f>'Novel Data'!$L$10</f>
        <v>0.0% [0.0%–7.1%]</v>
      </c>
      <c r="E96" s="11"/>
    </row>
    <row r="98" spans="1:7" ht="15" customHeight="1">
      <c r="A98" s="30" t="s">
        <v>173</v>
      </c>
      <c r="B98" s="30"/>
      <c r="C98" s="30"/>
      <c r="D98" s="30"/>
      <c r="E98" s="30"/>
      <c r="F98" s="30"/>
      <c r="G98" s="30"/>
    </row>
    <row r="99" spans="1:7" ht="15" customHeight="1">
      <c r="A99" s="12" t="s">
        <v>163</v>
      </c>
      <c r="B99" s="12" t="s">
        <v>84</v>
      </c>
      <c r="C99" s="12" t="s">
        <v>88</v>
      </c>
      <c r="D99" s="12" t="s">
        <v>90</v>
      </c>
      <c r="E99" s="12" t="s">
        <v>164</v>
      </c>
    </row>
    <row r="100" spans="1:7" ht="15" customHeight="1">
      <c r="A100" s="11" t="s">
        <v>74</v>
      </c>
      <c r="B100" s="13">
        <f>'Novel Data'!$G$11</f>
        <v>0.54</v>
      </c>
      <c r="C100" s="13">
        <f>'Novel Data'!$G$12</f>
        <v>0.46</v>
      </c>
      <c r="D100" s="13">
        <f>'Novel Data'!$G$13</f>
        <v>0.42</v>
      </c>
      <c r="E100" s="13">
        <v>0.9</v>
      </c>
    </row>
    <row r="101" spans="1:7" ht="15" customHeight="1">
      <c r="A101" s="11" t="s">
        <v>75</v>
      </c>
      <c r="B101" s="13">
        <f>'Novel Data'!$H$11</f>
        <v>0.40398634328388083</v>
      </c>
      <c r="C101" s="13">
        <f>'Novel Data'!$H$12</f>
        <v>0.32969434601782632</v>
      </c>
      <c r="D101" s="13">
        <f>'Novel Data'!$H$13</f>
        <v>0.29374797234566929</v>
      </c>
      <c r="E101" s="13"/>
    </row>
    <row r="102" spans="1:7" ht="15" customHeight="1">
      <c r="A102" s="11" t="s">
        <v>76</v>
      </c>
      <c r="B102" s="13">
        <f>'Novel Data'!$I$11</f>
        <v>0.67030565398217368</v>
      </c>
      <c r="C102" s="13">
        <f>'Novel Data'!$I$12</f>
        <v>0.59601365671611917</v>
      </c>
      <c r="D102" s="13">
        <f>'Novel Data'!$I$13</f>
        <v>0.55766803312222168</v>
      </c>
      <c r="E102" s="13"/>
    </row>
    <row r="103" spans="1:7" ht="15" customHeight="1">
      <c r="A103" s="11" t="s">
        <v>77</v>
      </c>
      <c r="B103" s="13">
        <f>'Novel Data'!$J$11</f>
        <v>0.1360136567161192</v>
      </c>
      <c r="C103" s="13">
        <f>'Novel Data'!$J$12</f>
        <v>0.1303056539821737</v>
      </c>
      <c r="D103" s="13">
        <f>'Novel Data'!$J$13</f>
        <v>0.12625202765433069</v>
      </c>
      <c r="E103" s="13"/>
    </row>
    <row r="104" spans="1:7" ht="15" customHeight="1">
      <c r="A104" s="11" t="s">
        <v>78</v>
      </c>
      <c r="B104" s="13">
        <f>'Novel Data'!$K$11</f>
        <v>0.13030565398217364</v>
      </c>
      <c r="C104" s="13">
        <f>'Novel Data'!$K$12</f>
        <v>0.13601365671611915</v>
      </c>
      <c r="D104" s="13">
        <f>'Novel Data'!$K$13</f>
        <v>0.1376680331222217</v>
      </c>
      <c r="E104" s="13"/>
    </row>
    <row r="105" spans="1:7" ht="15" customHeight="1">
      <c r="A105" s="11" t="s">
        <v>165</v>
      </c>
      <c r="B105" s="11">
        <f>'Novel Data'!$D$11</f>
        <v>27</v>
      </c>
      <c r="C105" s="11">
        <f>'Novel Data'!$D$12</f>
        <v>23</v>
      </c>
      <c r="D105" s="11">
        <f>'Novel Data'!$D$13</f>
        <v>21</v>
      </c>
      <c r="E105" s="11"/>
    </row>
    <row r="106" spans="1:7" ht="15" customHeight="1">
      <c r="A106" s="11" t="s">
        <v>73</v>
      </c>
      <c r="B106" s="11">
        <f>'Novel Data'!$F$11</f>
        <v>50</v>
      </c>
      <c r="C106" s="11">
        <f>'Novel Data'!$F$12</f>
        <v>50</v>
      </c>
      <c r="D106" s="11">
        <f>'Novel Data'!$F$13</f>
        <v>50</v>
      </c>
      <c r="E106" s="11"/>
    </row>
    <row r="107" spans="1:7" ht="15" customHeight="1">
      <c r="A107" s="11" t="s">
        <v>79</v>
      </c>
      <c r="B107" s="11" t="str">
        <f>'Novel Data'!$L$11</f>
        <v>54.0% [40.4%–67.0%]</v>
      </c>
      <c r="C107" s="11" t="str">
        <f>'Novel Data'!$L$12</f>
        <v>46.0% [33.0%–59.6%]</v>
      </c>
      <c r="D107" s="11" t="str">
        <f>'Novel Data'!$L$13</f>
        <v>42.0% [29.4%–55.8%]</v>
      </c>
      <c r="E107" s="11"/>
    </row>
    <row r="109" spans="1:7" ht="15" customHeight="1">
      <c r="A109" s="30" t="s">
        <v>174</v>
      </c>
      <c r="B109" s="30"/>
      <c r="C109" s="30"/>
      <c r="D109" s="30"/>
      <c r="E109" s="30"/>
      <c r="F109" s="30"/>
      <c r="G109" s="30"/>
    </row>
    <row r="110" spans="1:7" ht="15" customHeight="1">
      <c r="A110" s="12" t="s">
        <v>163</v>
      </c>
      <c r="B110" s="12" t="s">
        <v>84</v>
      </c>
      <c r="C110" s="12" t="s">
        <v>88</v>
      </c>
      <c r="D110" s="12" t="s">
        <v>90</v>
      </c>
      <c r="E110" s="12" t="s">
        <v>164</v>
      </c>
    </row>
    <row r="111" spans="1:7" ht="15" customHeight="1">
      <c r="A111" s="11" t="s">
        <v>74</v>
      </c>
      <c r="B111" s="13">
        <f>'Novel Data'!$G$14</f>
        <v>0.5</v>
      </c>
      <c r="C111" s="13">
        <f>'Novel Data'!$G$15</f>
        <v>0.72</v>
      </c>
      <c r="D111" s="13">
        <f>'Novel Data'!$G$16</f>
        <v>0.78</v>
      </c>
      <c r="E111" s="13">
        <v>0.9</v>
      </c>
    </row>
    <row r="112" spans="1:7" ht="15" customHeight="1">
      <c r="A112" s="11" t="s">
        <v>75</v>
      </c>
      <c r="B112" s="13">
        <f>'Novel Data'!$H$14</f>
        <v>0.36644286412332855</v>
      </c>
      <c r="C112" s="13">
        <f>'Novel Data'!$H$15</f>
        <v>0.58334612854010337</v>
      </c>
      <c r="D112" s="13">
        <f>'Novel Data'!$H$16</f>
        <v>0.64758184310540445</v>
      </c>
      <c r="E112" s="13"/>
    </row>
    <row r="113" spans="1:7" ht="15" customHeight="1">
      <c r="A113" s="11" t="s">
        <v>76</v>
      </c>
      <c r="B113" s="13">
        <f>'Novel Data'!$I$14</f>
        <v>0.6335571358766714</v>
      </c>
      <c r="C113" s="13">
        <f>'Novel Data'!$I$15</f>
        <v>0.82525985642319633</v>
      </c>
      <c r="D113" s="13">
        <f>'Novel Data'!$I$16</f>
        <v>0.87246213775697712</v>
      </c>
      <c r="E113" s="13"/>
    </row>
    <row r="114" spans="1:7" ht="15" customHeight="1">
      <c r="A114" s="11" t="s">
        <v>77</v>
      </c>
      <c r="B114" s="13">
        <f>'Novel Data'!$J$14</f>
        <v>0.13355713587667145</v>
      </c>
      <c r="C114" s="13">
        <f>'Novel Data'!$J$15</f>
        <v>0.1366538714598966</v>
      </c>
      <c r="D114" s="13">
        <f>'Novel Data'!$J$16</f>
        <v>0.13241815689459557</v>
      </c>
      <c r="E114" s="13"/>
    </row>
    <row r="115" spans="1:7" ht="15" customHeight="1">
      <c r="A115" s="11" t="s">
        <v>78</v>
      </c>
      <c r="B115" s="13">
        <f>'Novel Data'!$K$14</f>
        <v>0.1335571358766714</v>
      </c>
      <c r="C115" s="13">
        <f>'Novel Data'!$K$15</f>
        <v>0.10525985642319635</v>
      </c>
      <c r="D115" s="13">
        <f>'Novel Data'!$K$16</f>
        <v>9.2462137756977092E-2</v>
      </c>
      <c r="E115" s="13"/>
    </row>
    <row r="116" spans="1:7" ht="15" customHeight="1">
      <c r="A116" s="11" t="s">
        <v>165</v>
      </c>
      <c r="B116" s="11">
        <f>'Novel Data'!$D$14</f>
        <v>25</v>
      </c>
      <c r="C116" s="11">
        <f>'Novel Data'!$D$15</f>
        <v>36</v>
      </c>
      <c r="D116" s="11">
        <f>'Novel Data'!$D$16</f>
        <v>39</v>
      </c>
      <c r="E116" s="11"/>
    </row>
    <row r="117" spans="1:7" ht="15" customHeight="1">
      <c r="A117" s="11" t="s">
        <v>73</v>
      </c>
      <c r="B117" s="11">
        <f>'Novel Data'!$F$14</f>
        <v>50</v>
      </c>
      <c r="C117" s="11">
        <f>'Novel Data'!$F$15</f>
        <v>50</v>
      </c>
      <c r="D117" s="11">
        <f>'Novel Data'!$F$16</f>
        <v>50</v>
      </c>
      <c r="E117" s="11"/>
    </row>
    <row r="118" spans="1:7" ht="15" customHeight="1">
      <c r="A118" s="11" t="s">
        <v>79</v>
      </c>
      <c r="B118" s="11" t="str">
        <f>'Novel Data'!$L$14</f>
        <v>50.0% [36.6%–63.4%]</v>
      </c>
      <c r="C118" s="11" t="str">
        <f>'Novel Data'!$L$15</f>
        <v>72.0% [58.3%–82.5%]</v>
      </c>
      <c r="D118" s="11" t="str">
        <f>'Novel Data'!$L$16</f>
        <v>78.0% [64.8%–87.2%]</v>
      </c>
      <c r="E118" s="11"/>
    </row>
    <row r="120" spans="1:7" ht="15" customHeight="1">
      <c r="A120" s="30" t="s">
        <v>175</v>
      </c>
      <c r="B120" s="30"/>
      <c r="C120" s="30"/>
      <c r="D120" s="30"/>
      <c r="E120" s="30"/>
      <c r="F120" s="30"/>
      <c r="G120" s="30"/>
    </row>
    <row r="121" spans="1:7" ht="15" customHeight="1">
      <c r="A121" s="12" t="s">
        <v>163</v>
      </c>
      <c r="B121" s="12" t="s">
        <v>84</v>
      </c>
      <c r="C121" s="12" t="s">
        <v>88</v>
      </c>
      <c r="D121" s="12" t="s">
        <v>90</v>
      </c>
      <c r="E121" s="12" t="s">
        <v>164</v>
      </c>
    </row>
    <row r="122" spans="1:7" ht="15" customHeight="1">
      <c r="A122" s="11" t="s">
        <v>74</v>
      </c>
      <c r="B122" s="13">
        <f>'Novel Data'!$G$17</f>
        <v>0.68</v>
      </c>
      <c r="C122" s="13">
        <f>'Novel Data'!$G$18</f>
        <v>0.36</v>
      </c>
      <c r="D122" s="13">
        <f>'Novel Data'!$G$19</f>
        <v>0.54</v>
      </c>
      <c r="E122" s="13">
        <v>0.9</v>
      </c>
    </row>
    <row r="123" spans="1:7" ht="15" customHeight="1">
      <c r="A123" s="11" t="s">
        <v>75</v>
      </c>
      <c r="B123" s="13">
        <f>'Novel Data'!$H$17</f>
        <v>0.54189442863723936</v>
      </c>
      <c r="C123" s="13">
        <f>'Novel Data'!$H$18</f>
        <v>0.24138562967182875</v>
      </c>
      <c r="D123" s="13">
        <f>'Novel Data'!$H$19</f>
        <v>0.40398634328388083</v>
      </c>
      <c r="E123" s="13"/>
    </row>
    <row r="124" spans="1:7" ht="15" customHeight="1">
      <c r="A124" s="11" t="s">
        <v>76</v>
      </c>
      <c r="B124" s="13">
        <f>'Novel Data'!$I$17</f>
        <v>0.79241955906000605</v>
      </c>
      <c r="C124" s="13">
        <f>'Novel Data'!$I$18</f>
        <v>0.49859237989698046</v>
      </c>
      <c r="D124" s="13">
        <f>'Novel Data'!$I$19</f>
        <v>0.67030565398217368</v>
      </c>
      <c r="E124" s="13"/>
    </row>
    <row r="125" spans="1:7" ht="15" customHeight="1">
      <c r="A125" s="11" t="s">
        <v>77</v>
      </c>
      <c r="B125" s="13">
        <f>'Novel Data'!$J$17</f>
        <v>0.13810557136276069</v>
      </c>
      <c r="C125" s="13">
        <f>'Novel Data'!$J$18</f>
        <v>0.11861437032817124</v>
      </c>
      <c r="D125" s="13">
        <f>'Novel Data'!$J$19</f>
        <v>0.1360136567161192</v>
      </c>
      <c r="E125" s="13"/>
    </row>
    <row r="126" spans="1:7" ht="15" customHeight="1">
      <c r="A126" s="11" t="s">
        <v>78</v>
      </c>
      <c r="B126" s="13">
        <f>'Novel Data'!$K$17</f>
        <v>0.112419559060006</v>
      </c>
      <c r="C126" s="13">
        <f>'Novel Data'!$K$18</f>
        <v>0.13859237989698048</v>
      </c>
      <c r="D126" s="13">
        <f>'Novel Data'!$K$19</f>
        <v>0.13030565398217364</v>
      </c>
      <c r="E126" s="13"/>
    </row>
    <row r="127" spans="1:7" ht="15" customHeight="1">
      <c r="A127" s="11" t="s">
        <v>165</v>
      </c>
      <c r="B127" s="11">
        <f>'Novel Data'!$D$17</f>
        <v>34</v>
      </c>
      <c r="C127" s="11">
        <f>'Novel Data'!$D$18</f>
        <v>18</v>
      </c>
      <c r="D127" s="11">
        <f>'Novel Data'!$D$19</f>
        <v>27</v>
      </c>
      <c r="E127" s="11"/>
    </row>
    <row r="128" spans="1:7" ht="15" customHeight="1">
      <c r="A128" s="11" t="s">
        <v>73</v>
      </c>
      <c r="B128" s="11">
        <f>'Novel Data'!$F$17</f>
        <v>50</v>
      </c>
      <c r="C128" s="11">
        <f>'Novel Data'!$F$18</f>
        <v>50</v>
      </c>
      <c r="D128" s="11">
        <f>'Novel Data'!$F$19</f>
        <v>50</v>
      </c>
      <c r="E128" s="11"/>
    </row>
    <row r="129" spans="1:7" ht="15" customHeight="1">
      <c r="A129" s="11" t="s">
        <v>79</v>
      </c>
      <c r="B129" s="11" t="str">
        <f>'Novel Data'!$L$17</f>
        <v>68.0% [54.2%–79.2%]</v>
      </c>
      <c r="C129" s="11" t="str">
        <f>'Novel Data'!$L$18</f>
        <v>36.0% [24.1%–49.9%]</v>
      </c>
      <c r="D129" s="11" t="str">
        <f>'Novel Data'!$L$19</f>
        <v>54.0% [40.4%–67.0%]</v>
      </c>
      <c r="E129" s="11"/>
    </row>
    <row r="131" spans="1:7" ht="15" customHeight="1">
      <c r="A131" s="30" t="s">
        <v>176</v>
      </c>
      <c r="B131" s="30"/>
      <c r="C131" s="30"/>
      <c r="D131" s="30"/>
      <c r="E131" s="30"/>
      <c r="F131" s="30"/>
      <c r="G131" s="30"/>
    </row>
    <row r="132" spans="1:7" ht="15" customHeight="1">
      <c r="A132" s="12" t="s">
        <v>163</v>
      </c>
      <c r="B132" s="12" t="s">
        <v>84</v>
      </c>
      <c r="C132" s="12" t="s">
        <v>88</v>
      </c>
      <c r="D132" s="12" t="s">
        <v>90</v>
      </c>
      <c r="E132" s="12" t="s">
        <v>164</v>
      </c>
    </row>
    <row r="133" spans="1:7" ht="15" customHeight="1">
      <c r="A133" s="11" t="s">
        <v>74</v>
      </c>
      <c r="B133" s="13">
        <f>'Novel Data'!$G$20</f>
        <v>0.64</v>
      </c>
      <c r="C133" s="13">
        <f>'Novel Data'!$G$21</f>
        <v>0.54</v>
      </c>
      <c r="D133" s="13">
        <f>'Novel Data'!$G$22</f>
        <v>0.57999999999999996</v>
      </c>
      <c r="E133" s="13">
        <v>0.9</v>
      </c>
    </row>
    <row r="134" spans="1:7" ht="15" customHeight="1">
      <c r="A134" s="11" t="s">
        <v>75</v>
      </c>
      <c r="B134" s="13">
        <f>'Novel Data'!$H$20</f>
        <v>0.50140762010301954</v>
      </c>
      <c r="C134" s="13">
        <f>'Novel Data'!$H$21</f>
        <v>0.40398634328388083</v>
      </c>
      <c r="D134" s="13">
        <f>'Novel Data'!$H$22</f>
        <v>0.44233196687777832</v>
      </c>
      <c r="E134" s="13"/>
    </row>
    <row r="135" spans="1:7" ht="15" customHeight="1">
      <c r="A135" s="11" t="s">
        <v>76</v>
      </c>
      <c r="B135" s="13">
        <f>'Novel Data'!$I$20</f>
        <v>0.75861437032817114</v>
      </c>
      <c r="C135" s="13">
        <f>'Novel Data'!$I$21</f>
        <v>0.67030565398217368</v>
      </c>
      <c r="D135" s="13">
        <f>'Novel Data'!$I$22</f>
        <v>0.70625202765433071</v>
      </c>
      <c r="E135" s="13"/>
    </row>
    <row r="136" spans="1:7" ht="15" customHeight="1">
      <c r="A136" s="11" t="s">
        <v>77</v>
      </c>
      <c r="B136" s="13">
        <f>'Novel Data'!$J$20</f>
        <v>0.13859237989698048</v>
      </c>
      <c r="C136" s="13">
        <f>'Novel Data'!$J$21</f>
        <v>0.1360136567161192</v>
      </c>
      <c r="D136" s="13">
        <f>'Novel Data'!$J$22</f>
        <v>0.13766803312222164</v>
      </c>
      <c r="E136" s="13"/>
    </row>
    <row r="137" spans="1:7" ht="15" customHeight="1">
      <c r="A137" s="11" t="s">
        <v>78</v>
      </c>
      <c r="B137" s="13">
        <f>'Novel Data'!$K$20</f>
        <v>0.11861437032817113</v>
      </c>
      <c r="C137" s="13">
        <f>'Novel Data'!$K$21</f>
        <v>0.13030565398217364</v>
      </c>
      <c r="D137" s="13">
        <f>'Novel Data'!$K$22</f>
        <v>0.12625202765433075</v>
      </c>
      <c r="E137" s="13"/>
    </row>
    <row r="138" spans="1:7" ht="15" customHeight="1">
      <c r="A138" s="11" t="s">
        <v>165</v>
      </c>
      <c r="B138" s="11">
        <f>'Novel Data'!$D$20</f>
        <v>32</v>
      </c>
      <c r="C138" s="11">
        <f>'Novel Data'!$D$21</f>
        <v>27</v>
      </c>
      <c r="D138" s="11">
        <f>'Novel Data'!$D$22</f>
        <v>29</v>
      </c>
      <c r="E138" s="11"/>
    </row>
    <row r="139" spans="1:7" ht="15" customHeight="1">
      <c r="A139" s="11" t="s">
        <v>73</v>
      </c>
      <c r="B139" s="11">
        <f>'Novel Data'!$F$20</f>
        <v>50</v>
      </c>
      <c r="C139" s="11">
        <f>'Novel Data'!$F$21</f>
        <v>50</v>
      </c>
      <c r="D139" s="11">
        <f>'Novel Data'!$F$22</f>
        <v>50</v>
      </c>
      <c r="E139" s="11"/>
    </row>
    <row r="140" spans="1:7" ht="15" customHeight="1">
      <c r="A140" s="11" t="s">
        <v>79</v>
      </c>
      <c r="B140" s="11" t="str">
        <f>'Novel Data'!$L$20</f>
        <v>64.0% [50.1%–75.9%]</v>
      </c>
      <c r="C140" s="11" t="str">
        <f>'Novel Data'!$L$21</f>
        <v>54.0% [40.4%–67.0%]</v>
      </c>
      <c r="D140" s="11" t="str">
        <f>'Novel Data'!$L$22</f>
        <v>58.0% [44.2%–70.6%]</v>
      </c>
      <c r="E140" s="11"/>
    </row>
  </sheetData>
  <mergeCells count="14">
    <mergeCell ref="A98:G98"/>
    <mergeCell ref="A109:G109"/>
    <mergeCell ref="A120:G120"/>
    <mergeCell ref="A131:G131"/>
    <mergeCell ref="A43:G43"/>
    <mergeCell ref="A54:G54"/>
    <mergeCell ref="A65:G65"/>
    <mergeCell ref="A76:G76"/>
    <mergeCell ref="A87:G87"/>
    <mergeCell ref="A1:G1"/>
    <mergeCell ref="A2:G2"/>
    <mergeCell ref="A10:G10"/>
    <mergeCell ref="A21:G21"/>
    <mergeCell ref="A32:G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2"/>
  <sheetViews>
    <sheetView showGridLines="0" workbookViewId="0">
      <selection sqref="A1:U1"/>
    </sheetView>
  </sheetViews>
  <sheetFormatPr baseColWidth="10" defaultColWidth="8.83203125" defaultRowHeight="14"/>
  <cols>
    <col min="1" max="21" width="11" customWidth="1"/>
  </cols>
  <sheetData>
    <row r="1" spans="1:21" ht="30" customHeight="1">
      <c r="A1" s="15" t="s">
        <v>177</v>
      </c>
      <c r="B1" s="15"/>
      <c r="C1" s="15"/>
      <c r="D1" s="15"/>
      <c r="E1" s="15"/>
      <c r="F1" s="15"/>
      <c r="G1" s="15"/>
      <c r="H1" s="15"/>
      <c r="I1" s="15"/>
      <c r="J1" s="15"/>
      <c r="K1" s="15"/>
      <c r="L1" s="15"/>
      <c r="M1" s="15"/>
      <c r="N1" s="15"/>
      <c r="O1" s="15"/>
      <c r="P1" s="15"/>
      <c r="Q1" s="15"/>
      <c r="R1" s="15"/>
      <c r="S1" s="15"/>
      <c r="T1" s="15"/>
      <c r="U1" s="15"/>
    </row>
    <row r="2" spans="1:21" ht="32" customHeight="1">
      <c r="A2" s="16" t="s">
        <v>178</v>
      </c>
      <c r="B2" s="16"/>
      <c r="C2" s="16"/>
      <c r="D2" s="16"/>
      <c r="E2" s="16"/>
      <c r="F2" s="16"/>
      <c r="G2" s="16"/>
      <c r="H2" s="16"/>
      <c r="I2" s="16"/>
      <c r="J2" s="16"/>
      <c r="K2" s="16"/>
      <c r="L2" s="16"/>
      <c r="M2" s="16"/>
      <c r="N2" s="16"/>
      <c r="O2" s="16"/>
      <c r="P2" s="16"/>
      <c r="Q2" s="16"/>
      <c r="R2" s="16"/>
      <c r="S2" s="16"/>
      <c r="T2" s="16"/>
      <c r="U2" s="16"/>
    </row>
    <row r="3" spans="1:21">
      <c r="A3" s="31" t="s">
        <v>84</v>
      </c>
      <c r="B3" s="31" t="s">
        <v>84</v>
      </c>
      <c r="C3" s="31" t="s">
        <v>84</v>
      </c>
      <c r="E3" s="32" t="s">
        <v>88</v>
      </c>
      <c r="F3" s="32" t="s">
        <v>88</v>
      </c>
      <c r="G3" s="32" t="s">
        <v>88</v>
      </c>
      <c r="I3" s="33" t="s">
        <v>101</v>
      </c>
      <c r="J3" s="33" t="s">
        <v>101</v>
      </c>
      <c r="K3" s="33" t="s">
        <v>101</v>
      </c>
      <c r="M3" s="34" t="s">
        <v>104</v>
      </c>
      <c r="N3" s="34" t="s">
        <v>104</v>
      </c>
      <c r="O3" s="34" t="s">
        <v>104</v>
      </c>
      <c r="Q3" s="35" t="s">
        <v>90</v>
      </c>
      <c r="R3" s="35" t="s">
        <v>90</v>
      </c>
      <c r="S3" s="35" t="s">
        <v>90</v>
      </c>
    </row>
    <row r="61" spans="1:21">
      <c r="A61" s="36" t="s">
        <v>179</v>
      </c>
      <c r="B61" s="36"/>
      <c r="C61" s="36"/>
      <c r="D61" s="36"/>
      <c r="E61" s="36"/>
      <c r="F61" s="36"/>
      <c r="G61" s="36"/>
      <c r="H61" s="36"/>
      <c r="I61" s="36"/>
      <c r="J61" s="36"/>
      <c r="K61" s="36"/>
      <c r="L61" s="36"/>
      <c r="M61" s="36"/>
      <c r="N61" s="36"/>
      <c r="O61" s="36"/>
      <c r="P61" s="36"/>
      <c r="Q61" s="36"/>
      <c r="R61" s="36"/>
      <c r="S61" s="36"/>
      <c r="T61" s="36"/>
      <c r="U61" s="36"/>
    </row>
    <row r="62" spans="1:21">
      <c r="A62" s="36"/>
      <c r="B62" s="36"/>
      <c r="C62" s="36"/>
      <c r="D62" s="36"/>
      <c r="E62" s="36"/>
      <c r="F62" s="36"/>
      <c r="G62" s="36"/>
      <c r="H62" s="36"/>
      <c r="I62" s="36"/>
      <c r="J62" s="36"/>
      <c r="K62" s="36"/>
      <c r="L62" s="36"/>
      <c r="M62" s="36"/>
      <c r="N62" s="36"/>
      <c r="O62" s="36"/>
      <c r="P62" s="36"/>
      <c r="Q62" s="36"/>
      <c r="R62" s="36"/>
      <c r="S62" s="36"/>
      <c r="T62" s="36"/>
      <c r="U62" s="36"/>
    </row>
  </sheetData>
  <mergeCells count="8">
    <mergeCell ref="A61:U62"/>
    <mergeCell ref="A1:U1"/>
    <mergeCell ref="A2:U2"/>
    <mergeCell ref="A3:C3"/>
    <mergeCell ref="E3:G3"/>
    <mergeCell ref="I3:K3"/>
    <mergeCell ref="M3:O3"/>
    <mergeCell ref="Q3:S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2"/>
  <sheetViews>
    <sheetView showGridLines="0" tabSelected="1" workbookViewId="0">
      <selection activeCell="K26" sqref="K26"/>
    </sheetView>
  </sheetViews>
  <sheetFormatPr baseColWidth="10" defaultColWidth="8.83203125" defaultRowHeight="14"/>
  <cols>
    <col min="1" max="21" width="11" customWidth="1"/>
  </cols>
  <sheetData>
    <row r="1" spans="1:21" ht="30" customHeight="1">
      <c r="A1" s="15" t="s">
        <v>180</v>
      </c>
      <c r="B1" s="15"/>
      <c r="C1" s="15"/>
      <c r="D1" s="15"/>
      <c r="E1" s="15"/>
      <c r="F1" s="15"/>
      <c r="G1" s="15"/>
      <c r="H1" s="15"/>
      <c r="I1" s="15"/>
      <c r="J1" s="15"/>
      <c r="K1" s="15"/>
      <c r="L1" s="15"/>
      <c r="M1" s="15"/>
      <c r="N1" s="15"/>
      <c r="O1" s="15"/>
      <c r="P1" s="15"/>
      <c r="Q1" s="15"/>
      <c r="R1" s="15"/>
      <c r="S1" s="15"/>
      <c r="T1" s="15"/>
      <c r="U1" s="15"/>
    </row>
    <row r="2" spans="1:21" ht="32" customHeight="1">
      <c r="A2" s="16" t="s">
        <v>181</v>
      </c>
      <c r="B2" s="16"/>
      <c r="C2" s="16"/>
      <c r="D2" s="16"/>
      <c r="E2" s="16"/>
      <c r="F2" s="16"/>
      <c r="G2" s="16"/>
      <c r="H2" s="16"/>
      <c r="I2" s="16"/>
      <c r="J2" s="16"/>
      <c r="K2" s="16"/>
      <c r="L2" s="16"/>
      <c r="M2" s="16"/>
      <c r="N2" s="16"/>
      <c r="O2" s="16"/>
      <c r="P2" s="16"/>
      <c r="Q2" s="16"/>
      <c r="R2" s="16"/>
      <c r="S2" s="16"/>
      <c r="T2" s="16"/>
      <c r="U2" s="16"/>
    </row>
    <row r="3" spans="1:21">
      <c r="A3" s="31" t="s">
        <v>84</v>
      </c>
      <c r="B3" s="31" t="s">
        <v>84</v>
      </c>
      <c r="C3" s="31" t="s">
        <v>84</v>
      </c>
      <c r="D3" s="31" t="s">
        <v>84</v>
      </c>
      <c r="E3" s="31" t="s">
        <v>84</v>
      </c>
      <c r="G3" s="32" t="s">
        <v>88</v>
      </c>
      <c r="H3" s="32" t="s">
        <v>88</v>
      </c>
      <c r="I3" s="32" t="s">
        <v>88</v>
      </c>
      <c r="J3" s="32" t="s">
        <v>88</v>
      </c>
      <c r="K3" s="32" t="s">
        <v>88</v>
      </c>
      <c r="M3" s="35" t="s">
        <v>90</v>
      </c>
      <c r="N3" s="35" t="s">
        <v>90</v>
      </c>
      <c r="O3" s="35" t="s">
        <v>90</v>
      </c>
      <c r="P3" s="35" t="s">
        <v>90</v>
      </c>
      <c r="Q3" s="35" t="s">
        <v>90</v>
      </c>
    </row>
    <row r="61" spans="1:21">
      <c r="A61" s="36" t="s">
        <v>179</v>
      </c>
      <c r="B61" s="36"/>
      <c r="C61" s="36"/>
      <c r="D61" s="36"/>
      <c r="E61" s="36"/>
      <c r="F61" s="36"/>
      <c r="G61" s="36"/>
      <c r="H61" s="36"/>
      <c r="I61" s="36"/>
      <c r="J61" s="36"/>
      <c r="K61" s="36"/>
      <c r="L61" s="36"/>
      <c r="M61" s="36"/>
      <c r="N61" s="36"/>
      <c r="O61" s="36"/>
      <c r="P61" s="36"/>
      <c r="Q61" s="36"/>
      <c r="R61" s="36"/>
      <c r="S61" s="36"/>
      <c r="T61" s="36"/>
      <c r="U61" s="36"/>
    </row>
    <row r="62" spans="1:21">
      <c r="A62" s="36"/>
      <c r="B62" s="36"/>
      <c r="C62" s="36"/>
      <c r="D62" s="36"/>
      <c r="E62" s="36"/>
      <c r="F62" s="36"/>
      <c r="G62" s="36"/>
      <c r="H62" s="36"/>
      <c r="I62" s="36"/>
      <c r="J62" s="36"/>
      <c r="K62" s="36"/>
      <c r="L62" s="36"/>
      <c r="M62" s="36"/>
      <c r="N62" s="36"/>
      <c r="O62" s="36"/>
      <c r="P62" s="36"/>
      <c r="Q62" s="36"/>
      <c r="R62" s="36"/>
      <c r="S62" s="36"/>
      <c r="T62" s="36"/>
      <c r="U62" s="36"/>
    </row>
  </sheetData>
  <mergeCells count="6">
    <mergeCell ref="A61:U62"/>
    <mergeCell ref="A1:U1"/>
    <mergeCell ref="A2:U2"/>
    <mergeCell ref="A3:E3"/>
    <mergeCell ref="G3:K3"/>
    <mergeCell ref="M3:Q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Guide</vt:lpstr>
      <vt:lpstr>Overall Summary</vt:lpstr>
      <vt:lpstr>Familiar Data</vt:lpstr>
      <vt:lpstr>Novel Data</vt:lpstr>
      <vt:lpstr>Matched Data</vt:lpstr>
      <vt:lpstr>Diagnostics</vt:lpstr>
      <vt:lpstr>Chart Data</vt:lpstr>
      <vt:lpstr>Familiar Charts</vt:lpstr>
      <vt:lpstr>Novel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Tien-Smith, Justin Z</cp:lastModifiedBy>
  <dcterms:modified xsi:type="dcterms:W3CDTF">2026-09-05T11:24:58Z</dcterms:modified>
</cp:coreProperties>
</file>